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4276827-C198-42B7-A5F7-6D23478686B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3"/>
  <c r="C133" i="3" s="1"/>
  <c r="D136" i="3" s="1"/>
  <c r="C116" i="4"/>
  <c r="C122" i="4"/>
  <c r="C133" i="4" s="1"/>
  <c r="C136" i="4" s="1"/>
  <c r="R765" i="1"/>
  <c r="C116" i="3"/>
  <c r="C136" i="5" l="1"/>
  <c r="C138" i="5" s="1"/>
  <c r="C136" i="3"/>
  <c r="C138" i="3" s="1"/>
  <c r="D136" i="4"/>
  <c r="C138" i="4" s="1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S753" i="1" l="1"/>
  <c r="T753" i="1" s="1"/>
  <c r="R752" i="1"/>
  <c r="S752" i="1" l="1"/>
  <c r="T752" i="1" s="1"/>
  <c r="R751" i="1"/>
  <c r="S751" i="1" l="1"/>
  <c r="T751" i="1" s="1"/>
  <c r="R750" i="1"/>
  <c r="R749" i="1" l="1"/>
  <c r="S750" i="1"/>
  <c r="T750" i="1" s="1"/>
  <c r="S749" i="1" l="1"/>
  <c r="T749" i="1" s="1"/>
  <c r="R748" i="1"/>
  <c r="R747" i="1" l="1"/>
  <c r="S748" i="1"/>
  <c r="T748" i="1" s="1"/>
  <c r="R746" i="1" l="1"/>
  <c r="S747" i="1"/>
  <c r="T747" i="1" s="1"/>
  <c r="R745" i="1" l="1"/>
  <c r="S746" i="1"/>
  <c r="T746" i="1" s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R740" i="1" l="1"/>
  <c r="S741" i="1"/>
  <c r="T741" i="1" s="1"/>
  <c r="S740" i="1" l="1"/>
  <c r="T740" i="1" s="1"/>
  <c r="R739" i="1"/>
  <c r="S739" i="1" l="1"/>
  <c r="T739" i="1" s="1"/>
  <c r="R738" i="1"/>
  <c r="S738" i="1" l="1"/>
  <c r="T738" i="1" s="1"/>
  <c r="R737" i="1"/>
  <c r="R736" i="1" l="1"/>
  <c r="S737" i="1"/>
  <c r="T737" i="1" s="1"/>
  <c r="S736" i="1" l="1"/>
  <c r="T736" i="1" s="1"/>
  <c r="R735" i="1"/>
  <c r="R734" i="1" l="1"/>
  <c r="S735" i="1"/>
  <c r="T735" i="1" s="1"/>
  <c r="S734" i="1" l="1"/>
  <c r="T734" i="1" s="1"/>
  <c r="R733" i="1"/>
  <c r="S733" i="1" l="1"/>
  <c r="T733" i="1" s="1"/>
  <c r="R732" i="1"/>
  <c r="S732" i="1" l="1"/>
  <c r="T732" i="1" s="1"/>
  <c r="R731" i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S722" i="1" l="1"/>
  <c r="T722" i="1" s="1"/>
  <c r="R721" i="1"/>
  <c r="R720" i="1" l="1"/>
  <c r="S721" i="1"/>
  <c r="T721" i="1" s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S716" i="1" l="1"/>
  <c r="T716" i="1" s="1"/>
  <c r="R715" i="1"/>
  <c r="S715" i="1" l="1"/>
  <c r="T715" i="1" s="1"/>
  <c r="R714" i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S709" i="1" l="1"/>
  <c r="T709" i="1" s="1"/>
  <c r="R708" i="1"/>
  <c r="S708" i="1" l="1"/>
  <c r="T708" i="1" s="1"/>
  <c r="R707" i="1"/>
  <c r="S707" i="1" l="1"/>
  <c r="T707" i="1" s="1"/>
  <c r="R706" i="1"/>
  <c r="S706" i="1" l="1"/>
  <c r="T706" i="1" s="1"/>
  <c r="R705" i="1"/>
  <c r="R704" i="1" l="1"/>
  <c r="S705" i="1"/>
  <c r="T705" i="1" s="1"/>
  <c r="R703" i="1" l="1"/>
  <c r="S704" i="1"/>
  <c r="T704" i="1" s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S695" i="1" l="1"/>
  <c r="T695" i="1" s="1"/>
  <c r="R694" i="1"/>
  <c r="S694" i="1" l="1"/>
  <c r="T694" i="1" s="1"/>
  <c r="R693" i="1"/>
  <c r="S693" i="1" l="1"/>
  <c r="T693" i="1" s="1"/>
  <c r="R692" i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S663" i="1" l="1"/>
  <c r="T663" i="1" s="1"/>
  <c r="R662" i="1"/>
  <c r="S662" i="1" l="1"/>
  <c r="T662" i="1" s="1"/>
  <c r="R661" i="1"/>
  <c r="S661" i="1" l="1"/>
  <c r="T661" i="1" s="1"/>
  <c r="R660" i="1"/>
  <c r="R659" i="1" l="1"/>
  <c r="S660" i="1"/>
  <c r="T660" i="1" s="1"/>
  <c r="R658" i="1" l="1"/>
  <c r="S659" i="1"/>
  <c r="T659" i="1" s="1"/>
  <c r="S658" i="1" l="1"/>
  <c r="T658" i="1" s="1"/>
  <c r="R657" i="1"/>
  <c r="R656" i="1" l="1"/>
  <c r="S657" i="1"/>
  <c r="T657" i="1" s="1"/>
  <c r="S656" i="1" l="1"/>
  <c r="T656" i="1" s="1"/>
  <c r="R655" i="1"/>
  <c r="R654" i="1" l="1"/>
  <c r="S655" i="1"/>
  <c r="T655" i="1" s="1"/>
  <c r="S654" i="1" l="1"/>
  <c r="T654" i="1" s="1"/>
  <c r="R653" i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R645" i="1" l="1"/>
  <c r="S646" i="1"/>
  <c r="T646" i="1" s="1"/>
  <c r="S645" i="1" l="1"/>
  <c r="T645" i="1" s="1"/>
  <c r="R644" i="1"/>
  <c r="R643" i="1" l="1"/>
  <c r="S644" i="1"/>
  <c r="T644" i="1" s="1"/>
  <c r="R642" i="1" l="1"/>
  <c r="S643" i="1"/>
  <c r="T643" i="1" s="1"/>
  <c r="S642" i="1" l="1"/>
  <c r="T642" i="1" s="1"/>
  <c r="R641" i="1"/>
  <c r="R640" i="1" l="1"/>
  <c r="S641" i="1"/>
  <c r="T641" i="1" s="1"/>
  <c r="R639" i="1" l="1"/>
  <c r="S640" i="1"/>
  <c r="T640" i="1" s="1"/>
  <c r="S639" i="1" l="1"/>
  <c r="T639" i="1" s="1"/>
  <c r="R638" i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S626" i="1" l="1"/>
  <c r="T626" i="1" s="1"/>
  <c r="R625" i="1"/>
  <c r="S625" i="1" l="1"/>
  <c r="T625" i="1" s="1"/>
  <c r="R624" i="1"/>
  <c r="S624" i="1" l="1"/>
  <c r="T624" i="1" s="1"/>
  <c r="R623" i="1"/>
  <c r="S623" i="1" l="1"/>
  <c r="T623" i="1" s="1"/>
  <c r="R622" i="1"/>
  <c r="R621" i="1" l="1"/>
  <c r="S622" i="1"/>
  <c r="T622" i="1" s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R598" i="1" l="1"/>
  <c r="S599" i="1"/>
  <c r="T599" i="1" s="1"/>
  <c r="S598" i="1" l="1"/>
  <c r="T598" i="1" s="1"/>
  <c r="R597" i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R592" i="1" l="1"/>
  <c r="S593" i="1"/>
  <c r="T593" i="1" s="1"/>
  <c r="R591" i="1" l="1"/>
  <c r="S592" i="1"/>
  <c r="T592" i="1" s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S582" i="1" l="1"/>
  <c r="T582" i="1" s="1"/>
  <c r="R581" i="1"/>
  <c r="R580" i="1" l="1"/>
  <c r="S581" i="1"/>
  <c r="T581" i="1" s="1"/>
  <c r="S580" i="1" l="1"/>
  <c r="T580" i="1" s="1"/>
  <c r="R579" i="1"/>
  <c r="S579" i="1" l="1"/>
  <c r="T579" i="1" s="1"/>
  <c r="R578" i="1"/>
  <c r="S578" i="1" l="1"/>
  <c r="T578" i="1" s="1"/>
  <c r="R577" i="1"/>
  <c r="R576" i="1" l="1"/>
  <c r="S577" i="1"/>
  <c r="T577" i="1" s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R564" i="1" l="1"/>
  <c r="S565" i="1"/>
  <c r="T565" i="1" s="1"/>
  <c r="S564" i="1" l="1"/>
  <c r="T564" i="1" s="1"/>
  <c r="R563" i="1"/>
  <c r="S563" i="1" l="1"/>
  <c r="T563" i="1" s="1"/>
  <c r="R562" i="1"/>
  <c r="S562" i="1" l="1"/>
  <c r="T562" i="1" s="1"/>
  <c r="R561" i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S537" i="1" l="1"/>
  <c r="T537" i="1" s="1"/>
  <c r="R536" i="1"/>
  <c r="S536" i="1" l="1"/>
  <c r="T536" i="1" s="1"/>
  <c r="R535" i="1"/>
  <c r="S535" i="1" l="1"/>
  <c r="T535" i="1" s="1"/>
  <c r="R534" i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S528" i="1" l="1"/>
  <c r="T528" i="1" s="1"/>
  <c r="R527" i="1"/>
  <c r="R526" i="1" l="1"/>
  <c r="S527" i="1"/>
  <c r="T527" i="1" s="1"/>
  <c r="S526" i="1" l="1"/>
  <c r="T526" i="1" s="1"/>
  <c r="R525" i="1"/>
  <c r="R524" i="1" l="1"/>
  <c r="S525" i="1"/>
  <c r="T525" i="1" s="1"/>
  <c r="S524" i="1" l="1"/>
  <c r="T524" i="1" s="1"/>
  <c r="R523" i="1"/>
  <c r="S523" i="1" l="1"/>
  <c r="T523" i="1" s="1"/>
  <c r="R522" i="1"/>
  <c r="S522" i="1" l="1"/>
  <c r="T522" i="1" s="1"/>
  <c r="R521" i="1"/>
  <c r="S521" i="1" l="1"/>
  <c r="T521" i="1" s="1"/>
  <c r="R520" i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S507" i="1" l="1"/>
  <c r="T507" i="1" s="1"/>
  <c r="R506" i="1"/>
  <c r="S506" i="1" l="1"/>
  <c r="T506" i="1" s="1"/>
  <c r="R505" i="1"/>
  <c r="S505" i="1" l="1"/>
  <c r="T505" i="1" s="1"/>
  <c r="R504" i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S494" i="1" l="1"/>
  <c r="T494" i="1" s="1"/>
  <c r="R493" i="1"/>
  <c r="S493" i="1" l="1"/>
  <c r="T493" i="1" s="1"/>
  <c r="R492" i="1"/>
  <c r="S492" i="1" l="1"/>
  <c r="T492" i="1" s="1"/>
  <c r="R491" i="1"/>
  <c r="S491" i="1" l="1"/>
  <c r="T491" i="1" s="1"/>
  <c r="R490" i="1"/>
  <c r="S490" i="1" l="1"/>
  <c r="T490" i="1" s="1"/>
  <c r="R489" i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R482" i="1" l="1"/>
  <c r="S483" i="1"/>
  <c r="T483" i="1" s="1"/>
  <c r="S482" i="1" l="1"/>
  <c r="T482" i="1" s="1"/>
  <c r="R481" i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S445" i="1" l="1"/>
  <c r="T445" i="1" s="1"/>
  <c r="R444" i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S418" i="1" l="1"/>
  <c r="T418" i="1" s="1"/>
  <c r="R417" i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R393" i="1" l="1"/>
  <c r="S394" i="1"/>
  <c r="T394" i="1" s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S388" i="1" l="1"/>
  <c r="T388" i="1" s="1"/>
  <c r="R387" i="1"/>
  <c r="S387" i="1" l="1"/>
  <c r="T387" i="1" s="1"/>
  <c r="R386" i="1"/>
  <c r="S386" i="1" l="1"/>
  <c r="T386" i="1" s="1"/>
  <c r="R385" i="1"/>
  <c r="R384" i="1" l="1"/>
  <c r="S385" i="1"/>
  <c r="T385" i="1" s="1"/>
  <c r="S384" i="1" l="1"/>
  <c r="T384" i="1" s="1"/>
  <c r="R383" i="1"/>
  <c r="R382" i="1" l="1"/>
  <c r="S383" i="1"/>
  <c r="T383" i="1" s="1"/>
  <c r="R381" i="1" l="1"/>
  <c r="S382" i="1"/>
  <c r="T382" i="1" s="1"/>
  <c r="S381" i="1" l="1"/>
  <c r="T381" i="1" s="1"/>
  <c r="R380" i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S365" i="1" l="1"/>
  <c r="T365" i="1" s="1"/>
  <c r="R364" i="1"/>
  <c r="S364" i="1" l="1"/>
  <c r="T364" i="1" s="1"/>
  <c r="R363" i="1"/>
  <c r="S363" i="1" l="1"/>
  <c r="T363" i="1" s="1"/>
  <c r="R362" i="1"/>
  <c r="S362" i="1" l="1"/>
  <c r="T362" i="1" s="1"/>
  <c r="R361" i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S344" i="1" l="1"/>
  <c r="T344" i="1" s="1"/>
  <c r="R343" i="1"/>
  <c r="S343" i="1" l="1"/>
  <c r="T343" i="1" s="1"/>
  <c r="R342" i="1"/>
  <c r="R341" i="1" l="1"/>
  <c r="S342" i="1"/>
  <c r="T342" i="1" s="1"/>
  <c r="R340" i="1" l="1"/>
  <c r="S341" i="1"/>
  <c r="T341" i="1" s="1"/>
  <c r="S340" i="1" l="1"/>
  <c r="T340" i="1" s="1"/>
  <c r="R339" i="1"/>
  <c r="R338" i="1" l="1"/>
  <c r="S339" i="1"/>
  <c r="T339" i="1" s="1"/>
  <c r="S338" i="1" l="1"/>
  <c r="T338" i="1" s="1"/>
  <c r="R337" i="1"/>
  <c r="R336" i="1" l="1"/>
  <c r="S337" i="1"/>
  <c r="T337" i="1" s="1"/>
  <c r="R335" i="1" l="1"/>
  <c r="S336" i="1"/>
  <c r="T336" i="1" s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R329" i="1" l="1"/>
  <c r="S330" i="1"/>
  <c r="T330" i="1" s="1"/>
  <c r="S329" i="1" l="1"/>
  <c r="T329" i="1" s="1"/>
  <c r="R328" i="1"/>
  <c r="S328" i="1" l="1"/>
  <c r="T328" i="1" s="1"/>
  <c r="R327" i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S306" i="1" l="1"/>
  <c r="T306" i="1" s="1"/>
  <c r="R305" i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S296" i="1" l="1"/>
  <c r="T296" i="1" s="1"/>
  <c r="R295" i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R274" i="1" l="1"/>
  <c r="S275" i="1"/>
  <c r="T275" i="1" s="1"/>
  <c r="R273" i="1" l="1"/>
  <c r="S274" i="1"/>
  <c r="T274" i="1" s="1"/>
  <c r="S273" i="1" l="1"/>
  <c r="T273" i="1" s="1"/>
  <c r="R272" i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S264" i="1" l="1"/>
  <c r="T264" i="1" s="1"/>
  <c r="R263" i="1"/>
  <c r="R262" i="1" l="1"/>
  <c r="S263" i="1"/>
  <c r="T263" i="1" s="1"/>
  <c r="R261" i="1" l="1"/>
  <c r="S262" i="1"/>
  <c r="T262" i="1" s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S255" i="1" l="1"/>
  <c r="T255" i="1" s="1"/>
  <c r="R254" i="1"/>
  <c r="S254" i="1" l="1"/>
  <c r="T254" i="1" s="1"/>
  <c r="R253" i="1"/>
  <c r="S253" i="1" l="1"/>
  <c r="T253" i="1" s="1"/>
  <c r="R252" i="1"/>
  <c r="S252" i="1" l="1"/>
  <c r="T252" i="1" s="1"/>
  <c r="R251" i="1"/>
  <c r="S251" i="1" l="1"/>
  <c r="T251" i="1" s="1"/>
  <c r="R250" i="1"/>
  <c r="S250" i="1" l="1"/>
  <c r="T250" i="1" s="1"/>
  <c r="R249" i="1"/>
  <c r="S249" i="1" l="1"/>
  <c r="T249" i="1" s="1"/>
  <c r="R248" i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S237" i="1" l="1"/>
  <c r="T237" i="1" s="1"/>
  <c r="R236" i="1"/>
  <c r="S236" i="1" l="1"/>
  <c r="T236" i="1" s="1"/>
  <c r="R235" i="1"/>
  <c r="S235" i="1" l="1"/>
  <c r="T235" i="1" s="1"/>
  <c r="R234" i="1"/>
  <c r="S234" i="1" l="1"/>
  <c r="T234" i="1" s="1"/>
  <c r="R233" i="1"/>
  <c r="S233" i="1" l="1"/>
  <c r="T233" i="1" s="1"/>
  <c r="R232" i="1"/>
  <c r="S232" i="1" l="1"/>
  <c r="T232" i="1" s="1"/>
  <c r="R231" i="1"/>
  <c r="S231" i="1" l="1"/>
  <c r="T231" i="1" s="1"/>
  <c r="R230" i="1"/>
  <c r="R229" i="1" l="1"/>
  <c r="S230" i="1"/>
  <c r="T230" i="1" s="1"/>
  <c r="S229" i="1" l="1"/>
  <c r="T229" i="1" s="1"/>
  <c r="R228" i="1"/>
  <c r="R227" i="1" l="1"/>
  <c r="S228" i="1"/>
  <c r="T228" i="1" s="1"/>
  <c r="R226" i="1" l="1"/>
  <c r="S227" i="1"/>
  <c r="T227" i="1" s="1"/>
  <c r="R225" i="1" l="1"/>
  <c r="S226" i="1"/>
  <c r="T226" i="1" s="1"/>
  <c r="S225" i="1" l="1"/>
  <c r="T225" i="1" s="1"/>
  <c r="R224" i="1"/>
  <c r="S224" i="1" l="1"/>
  <c r="T224" i="1" s="1"/>
  <c r="R223" i="1"/>
  <c r="S223" i="1" l="1"/>
  <c r="T223" i="1" s="1"/>
  <c r="R222" i="1"/>
  <c r="S222" i="1" l="1"/>
  <c r="T222" i="1" s="1"/>
  <c r="R221" i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R206" i="1" l="1"/>
  <c r="S207" i="1"/>
  <c r="T207" i="1" s="1"/>
  <c r="S206" i="1" l="1"/>
  <c r="T206" i="1" s="1"/>
  <c r="R205" i="1"/>
  <c r="R204" i="1" l="1"/>
  <c r="S205" i="1"/>
  <c r="T205" i="1" s="1"/>
  <c r="S204" i="1" l="1"/>
  <c r="T204" i="1" s="1"/>
  <c r="R203" i="1"/>
  <c r="S203" i="1" l="1"/>
  <c r="T203" i="1" s="1"/>
  <c r="R202" i="1"/>
  <c r="S202" i="1" l="1"/>
  <c r="T202" i="1" s="1"/>
  <c r="R201" i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S189" i="1" l="1"/>
  <c r="T189" i="1" s="1"/>
  <c r="R188" i="1"/>
  <c r="S188" i="1" l="1"/>
  <c r="T188" i="1" s="1"/>
  <c r="R187" i="1"/>
  <c r="S187" i="1" l="1"/>
  <c r="T187" i="1" s="1"/>
  <c r="R186" i="1"/>
  <c r="S186" i="1" l="1"/>
  <c r="T186" i="1" s="1"/>
  <c r="R185" i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S177" i="1" l="1"/>
  <c r="T177" i="1" s="1"/>
  <c r="R176" i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S168" i="1" l="1"/>
  <c r="T168" i="1" s="1"/>
  <c r="R167" i="1"/>
  <c r="S167" i="1" l="1"/>
  <c r="T167" i="1" s="1"/>
  <c r="R166" i="1"/>
  <c r="S166" i="1" l="1"/>
  <c r="T166" i="1" s="1"/>
  <c r="R165" i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S134" i="1" l="1"/>
  <c r="T134" i="1" s="1"/>
  <c r="R133" i="1"/>
  <c r="S133" i="1" l="1"/>
  <c r="T133" i="1" s="1"/>
  <c r="R132" i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R116" i="1" l="1"/>
  <c r="S117" i="1"/>
  <c r="T117" i="1" s="1"/>
  <c r="S116" i="1" l="1"/>
  <c r="T116" i="1" s="1"/>
  <c r="R115" i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R94" i="1" l="1"/>
  <c r="S95" i="1"/>
  <c r="T95" i="1" s="1"/>
  <c r="S94" i="1" l="1"/>
  <c r="T94" i="1" s="1"/>
  <c r="R93" i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S80" i="1" l="1"/>
  <c r="T80" i="1" s="1"/>
  <c r="R79" i="1"/>
  <c r="R78" i="1" l="1"/>
  <c r="S79" i="1"/>
  <c r="T79" i="1" s="1"/>
  <c r="S78" i="1" l="1"/>
  <c r="T78" i="1" s="1"/>
  <c r="R77" i="1"/>
  <c r="S77" i="1" l="1"/>
  <c r="T77" i="1" s="1"/>
  <c r="R76" i="1"/>
  <c r="S76" i="1" l="1"/>
  <c r="T76" i="1" s="1"/>
  <c r="R75" i="1"/>
  <c r="S75" i="1" l="1"/>
  <c r="T75" i="1" s="1"/>
  <c r="R74" i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S57" i="1" l="1"/>
  <c r="T57" i="1" s="1"/>
  <c r="R56" i="1"/>
  <c r="R55" i="1" l="1"/>
  <c r="S56" i="1"/>
  <c r="T56" i="1" s="1"/>
  <c r="S55" i="1" l="1"/>
  <c r="T55" i="1" s="1"/>
  <c r="R54" i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S43" i="1" l="1"/>
  <c r="T43" i="1" s="1"/>
  <c r="R42" i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<sst xmlns="http://schemas.openxmlformats.org/spreadsheetml/2006/main" count="7516" uniqueCount="34">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</sst>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8.43E-2</c:v>
                </c:pt>
                <c:pt idx="1">
                  <c:v>8.6199999999999999E-2</c:v>
                </c:pt>
                <c:pt idx="2">
                  <c:v>8.4699999999999998E-2</c:v>
                </c:pt>
                <c:pt idx="3">
                  <c:v>8.6400000000000005E-2</c:v>
                </c:pt>
                <c:pt idx="4">
                  <c:v>8.9300000000000004E-2</c:v>
                </c:pt>
                <c:pt idx="5">
                  <c:v>8.5800000000000001E-2</c:v>
                </c:pt>
                <c:pt idx="6">
                  <c:v>9.7000000000000003E-2</c:v>
                </c:pt>
                <c:pt idx="7">
                  <c:v>0.1152</c:v>
                </c:pt>
                <c:pt idx="8">
                  <c:v>0.11360000000000001</c:v>
                </c:pt>
                <c:pt idx="9">
                  <c:v>0.12089999999999999</c:v>
                </c:pt>
                <c:pt idx="10">
                  <c:v>0.11940000000000001</c:v>
                </c:pt>
                <c:pt idx="11">
                  <c:v>0.1226</c:v>
                </c:pt>
                <c:pt idx="12">
                  <c:v>0.123</c:v>
                </c:pt>
                <c:pt idx="13">
                  <c:v>0.1208</c:v>
                </c:pt>
                <c:pt idx="14">
                  <c:v>0.12039999999999999</c:v>
                </c:pt>
                <c:pt idx="15">
                  <c:v>0.12620000000000001</c:v>
                </c:pt>
                <c:pt idx="16">
                  <c:v>0.12230000000000001</c:v>
                </c:pt>
                <c:pt idx="17">
                  <c:v>0.1154</c:v>
                </c:pt>
                <c:pt idx="18">
                  <c:v>0.1225</c:v>
                </c:pt>
                <c:pt idx="19">
                  <c:v>0.12089999999999999</c:v>
                </c:pt>
                <c:pt idx="20">
                  <c:v>0.1237</c:v>
                </c:pt>
                <c:pt idx="21">
                  <c:v>0.13489999999999999</c:v>
                </c:pt>
                <c:pt idx="22">
                  <c:v>0.13600000000000001</c:v>
                </c:pt>
                <c:pt idx="23">
                  <c:v>0.15310000000000001</c:v>
                </c:pt>
                <c:pt idx="24">
                  <c:v>0.1429</c:v>
                </c:pt>
                <c:pt idx="25">
                  <c:v>0.14330000000000001</c:v>
                </c:pt>
                <c:pt idx="26">
                  <c:v>0.1419</c:v>
                </c:pt>
                <c:pt idx="27">
                  <c:v>0.1391</c:v>
                </c:pt>
                <c:pt idx="28">
                  <c:v>0.14169999999999999</c:v>
                </c:pt>
                <c:pt idx="29">
                  <c:v>0.13950000000000001</c:v>
                </c:pt>
                <c:pt idx="30">
                  <c:v>0.14560000000000001</c:v>
                </c:pt>
                <c:pt idx="31">
                  <c:v>0.15959999999999999</c:v>
                </c:pt>
                <c:pt idx="32">
                  <c:v>0.1573</c:v>
                </c:pt>
                <c:pt idx="33">
                  <c:v>0.15210000000000001</c:v>
                </c:pt>
                <c:pt idx="34">
                  <c:v>0.14910000000000001</c:v>
                </c:pt>
                <c:pt idx="35">
                  <c:v>0.15670000000000001</c:v>
                </c:pt>
                <c:pt idx="36">
                  <c:v>0.14829999999999999</c:v>
                </c:pt>
                <c:pt idx="37">
                  <c:v>0.14449999999999999</c:v>
                </c:pt>
                <c:pt idx="38">
                  <c:v>0.1429</c:v>
                </c:pt>
                <c:pt idx="39">
                  <c:v>0.14399999999999999</c:v>
                </c:pt>
                <c:pt idx="40">
                  <c:v>0.14879999999999999</c:v>
                </c:pt>
                <c:pt idx="41">
                  <c:v>0.1578</c:v>
                </c:pt>
                <c:pt idx="42">
                  <c:v>0.1421</c:v>
                </c:pt>
                <c:pt idx="43">
                  <c:v>0.14410000000000001</c:v>
                </c:pt>
                <c:pt idx="44">
                  <c:v>0.14199999999999999</c:v>
                </c:pt>
                <c:pt idx="45">
                  <c:v>0.14180000000000001</c:v>
                </c:pt>
                <c:pt idx="46">
                  <c:v>0.161</c:v>
                </c:pt>
                <c:pt idx="47">
                  <c:v>0.15679999999999999</c:v>
                </c:pt>
                <c:pt idx="48">
                  <c:v>0.1565</c:v>
                </c:pt>
                <c:pt idx="49">
                  <c:v>0.15989999999999999</c:v>
                </c:pt>
                <c:pt idx="50">
                  <c:v>0.1739</c:v>
                </c:pt>
                <c:pt idx="51">
                  <c:v>0.1694</c:v>
                </c:pt>
                <c:pt idx="52">
                  <c:v>0.1789</c:v>
                </c:pt>
                <c:pt idx="53">
                  <c:v>0.16009999999999999</c:v>
                </c:pt>
                <c:pt idx="54">
                  <c:v>0.1804</c:v>
                </c:pt>
                <c:pt idx="55">
                  <c:v>0.19939999999999999</c:v>
                </c:pt>
                <c:pt idx="56">
                  <c:v>0.20530000000000001</c:v>
                </c:pt>
                <c:pt idx="57">
                  <c:v>0.2235</c:v>
                </c:pt>
                <c:pt idx="58">
                  <c:v>0.20069999999999999</c:v>
                </c:pt>
                <c:pt idx="59">
                  <c:v>0.21249999999999999</c:v>
                </c:pt>
                <c:pt idx="60">
                  <c:v>0.2135</c:v>
                </c:pt>
                <c:pt idx="61">
                  <c:v>0.2258</c:v>
                </c:pt>
                <c:pt idx="62">
                  <c:v>0.24579999999999999</c:v>
                </c:pt>
                <c:pt idx="63">
                  <c:v>0.31040000000000001</c:v>
                </c:pt>
                <c:pt idx="64">
                  <c:v>0.16589999999999999</c:v>
                </c:pt>
                <c:pt idx="65">
                  <c:v>0.1739</c:v>
                </c:pt>
                <c:pt idx="66">
                  <c:v>0.17280000000000001</c:v>
                </c:pt>
                <c:pt idx="67">
                  <c:v>0.1784</c:v>
                </c:pt>
                <c:pt idx="68">
                  <c:v>0.17050000000000001</c:v>
                </c:pt>
                <c:pt idx="69">
                  <c:v>0.16320000000000001</c:v>
                </c:pt>
                <c:pt idx="70">
                  <c:v>0.1555</c:v>
                </c:pt>
                <c:pt idx="71">
                  <c:v>0.16450000000000001</c:v>
                </c:pt>
                <c:pt idx="72">
                  <c:v>0.16400000000000001</c:v>
                </c:pt>
                <c:pt idx="73">
                  <c:v>0.1799</c:v>
                </c:pt>
                <c:pt idx="74">
                  <c:v>0.18329999999999999</c:v>
                </c:pt>
                <c:pt idx="75">
                  <c:v>0.17299999999999999</c:v>
                </c:pt>
                <c:pt idx="76">
                  <c:v>0.1744</c:v>
                </c:pt>
                <c:pt idx="77">
                  <c:v>0.1767</c:v>
                </c:pt>
                <c:pt idx="78">
                  <c:v>0.17119999999999999</c:v>
                </c:pt>
                <c:pt idx="79">
                  <c:v>0.18329999999999999</c:v>
                </c:pt>
                <c:pt idx="80">
                  <c:v>0.18229999999999999</c:v>
                </c:pt>
                <c:pt idx="81">
                  <c:v>0.18210000000000001</c:v>
                </c:pt>
                <c:pt idx="82">
                  <c:v>0.18099999999999999</c:v>
                </c:pt>
                <c:pt idx="83">
                  <c:v>0.1827</c:v>
                </c:pt>
                <c:pt idx="84">
                  <c:v>0.18690000000000001</c:v>
                </c:pt>
                <c:pt idx="85">
                  <c:v>0.19170000000000001</c:v>
                </c:pt>
                <c:pt idx="86">
                  <c:v>0.1857</c:v>
                </c:pt>
                <c:pt idx="87">
                  <c:v>0.18099999999999999</c:v>
                </c:pt>
                <c:pt idx="88">
                  <c:v>0.18840000000000001</c:v>
                </c:pt>
                <c:pt idx="89">
                  <c:v>0.1767</c:v>
                </c:pt>
                <c:pt idx="90">
                  <c:v>0.17169999999999999</c:v>
                </c:pt>
                <c:pt idx="91">
                  <c:v>0.1726</c:v>
                </c:pt>
                <c:pt idx="92">
                  <c:v>0.16220000000000001</c:v>
                </c:pt>
                <c:pt idx="93">
                  <c:v>0.17949999999999999</c:v>
                </c:pt>
                <c:pt idx="94">
                  <c:v>0.18590000000000001</c:v>
                </c:pt>
                <c:pt idx="95">
                  <c:v>0.18490000000000001</c:v>
                </c:pt>
                <c:pt idx="96">
                  <c:v>0.17680000000000001</c:v>
                </c:pt>
                <c:pt idx="97">
                  <c:v>0.17649999999999999</c:v>
                </c:pt>
                <c:pt idx="98">
                  <c:v>0.17860000000000001</c:v>
                </c:pt>
                <c:pt idx="99">
                  <c:v>0.1822</c:v>
                </c:pt>
                <c:pt idx="100">
                  <c:v>0.17449999999999999</c:v>
                </c:pt>
                <c:pt idx="101">
                  <c:v>0.17599999999999999</c:v>
                </c:pt>
                <c:pt idx="102">
                  <c:v>0.1797</c:v>
                </c:pt>
                <c:pt idx="103">
                  <c:v>0.19220000000000001</c:v>
                </c:pt>
                <c:pt idx="104">
                  <c:v>0.17419999999999999</c:v>
                </c:pt>
                <c:pt idx="105">
                  <c:v>0.1716</c:v>
                </c:pt>
                <c:pt idx="106">
                  <c:v>0.16589999999999999</c:v>
                </c:pt>
                <c:pt idx="107">
                  <c:v>0.16370000000000001</c:v>
                </c:pt>
                <c:pt idx="108">
                  <c:v>0.1646</c:v>
                </c:pt>
                <c:pt idx="109">
                  <c:v>0.16819999999999999</c:v>
                </c:pt>
                <c:pt idx="110">
                  <c:v>0.18529999999999999</c:v>
                </c:pt>
                <c:pt idx="111">
                  <c:v>0.16869999999999999</c:v>
                </c:pt>
                <c:pt idx="112">
                  <c:v>0.16800000000000001</c:v>
                </c:pt>
                <c:pt idx="113">
                  <c:v>0.16209999999999999</c:v>
                </c:pt>
                <c:pt idx="114">
                  <c:v>0.16220000000000001</c:v>
                </c:pt>
                <c:pt idx="115">
                  <c:v>0.1615</c:v>
                </c:pt>
                <c:pt idx="116">
                  <c:v>0.16350000000000001</c:v>
                </c:pt>
                <c:pt idx="117">
                  <c:v>0.1651</c:v>
                </c:pt>
                <c:pt idx="118">
                  <c:v>0.15429999999999999</c:v>
                </c:pt>
                <c:pt idx="119">
                  <c:v>0.14099999999999999</c:v>
                </c:pt>
                <c:pt idx="120">
                  <c:v>0.1381</c:v>
                </c:pt>
                <c:pt idx="121">
                  <c:v>0.13619999999999999</c:v>
                </c:pt>
                <c:pt idx="122">
                  <c:v>0.14269999999999999</c:v>
                </c:pt>
                <c:pt idx="123">
                  <c:v>0.15210000000000001</c:v>
                </c:pt>
                <c:pt idx="124">
                  <c:v>0.14949999999999999</c:v>
                </c:pt>
                <c:pt idx="125">
                  <c:v>0.1452</c:v>
                </c:pt>
                <c:pt idx="126">
                  <c:v>0.15670000000000001</c:v>
                </c:pt>
                <c:pt idx="127">
                  <c:v>0.1552</c:v>
                </c:pt>
                <c:pt idx="128">
                  <c:v>0.1386</c:v>
                </c:pt>
                <c:pt idx="129">
                  <c:v>0.1646</c:v>
                </c:pt>
                <c:pt idx="130">
                  <c:v>0.18099999999999999</c:v>
                </c:pt>
                <c:pt idx="131">
                  <c:v>0.19739999999999999</c:v>
                </c:pt>
                <c:pt idx="132">
                  <c:v>0.19120000000000001</c:v>
                </c:pt>
                <c:pt idx="133">
                  <c:v>0.17599999999999999</c:v>
                </c:pt>
                <c:pt idx="134">
                  <c:v>0.18110000000000001</c:v>
                </c:pt>
                <c:pt idx="135">
                  <c:v>0.17499999999999999</c:v>
                </c:pt>
                <c:pt idx="136">
                  <c:v>0.17050000000000001</c:v>
                </c:pt>
                <c:pt idx="137">
                  <c:v>0.17929999999999999</c:v>
                </c:pt>
                <c:pt idx="138">
                  <c:v>0.1744</c:v>
                </c:pt>
                <c:pt idx="139">
                  <c:v>0.17349999999999999</c:v>
                </c:pt>
                <c:pt idx="140">
                  <c:v>0.1767</c:v>
                </c:pt>
                <c:pt idx="141">
                  <c:v>0.1784</c:v>
                </c:pt>
                <c:pt idx="142">
                  <c:v>0.18279999999999999</c:v>
                </c:pt>
                <c:pt idx="143">
                  <c:v>0.22889999999999999</c:v>
                </c:pt>
                <c:pt idx="144">
                  <c:v>0.22370000000000001</c:v>
                </c:pt>
                <c:pt idx="145">
                  <c:v>0.20100000000000001</c:v>
                </c:pt>
                <c:pt idx="146">
                  <c:v>0.19750000000000001</c:v>
                </c:pt>
                <c:pt idx="147">
                  <c:v>0.19470000000000001</c:v>
                </c:pt>
                <c:pt idx="148">
                  <c:v>0.2011</c:v>
                </c:pt>
                <c:pt idx="149">
                  <c:v>0.19689999999999999</c:v>
                </c:pt>
                <c:pt idx="150">
                  <c:v>0.17899999999999999</c:v>
                </c:pt>
                <c:pt idx="151">
                  <c:v>0.18770000000000001</c:v>
                </c:pt>
                <c:pt idx="152">
                  <c:v>0.18820000000000001</c:v>
                </c:pt>
                <c:pt idx="153">
                  <c:v>0.19170000000000001</c:v>
                </c:pt>
                <c:pt idx="154">
                  <c:v>0.18429999999999999</c:v>
                </c:pt>
                <c:pt idx="155">
                  <c:v>0.2019</c:v>
                </c:pt>
                <c:pt idx="156">
                  <c:v>0.20050000000000001</c:v>
                </c:pt>
                <c:pt idx="157">
                  <c:v>0.2084</c:v>
                </c:pt>
                <c:pt idx="158">
                  <c:v>0.21460000000000001</c:v>
                </c:pt>
                <c:pt idx="159">
                  <c:v>0.2109</c:v>
                </c:pt>
                <c:pt idx="160">
                  <c:v>0.20499999999999999</c:v>
                </c:pt>
                <c:pt idx="161">
                  <c:v>0.18890000000000001</c:v>
                </c:pt>
                <c:pt idx="162">
                  <c:v>0.1762</c:v>
                </c:pt>
                <c:pt idx="163">
                  <c:v>0.1721</c:v>
                </c:pt>
                <c:pt idx="164">
                  <c:v>0.1774</c:v>
                </c:pt>
                <c:pt idx="165">
                  <c:v>0.1925</c:v>
                </c:pt>
                <c:pt idx="166">
                  <c:v>0.19220000000000001</c:v>
                </c:pt>
                <c:pt idx="167">
                  <c:v>0.1867</c:v>
                </c:pt>
                <c:pt idx="168">
                  <c:v>0.16400000000000001</c:v>
                </c:pt>
                <c:pt idx="169">
                  <c:v>0.16270000000000001</c:v>
                </c:pt>
                <c:pt idx="170">
                  <c:v>0.15279999999999999</c:v>
                </c:pt>
                <c:pt idx="171">
                  <c:v>0.15690000000000001</c:v>
                </c:pt>
                <c:pt idx="172">
                  <c:v>0.1474</c:v>
                </c:pt>
                <c:pt idx="173">
                  <c:v>0.16</c:v>
                </c:pt>
                <c:pt idx="174">
                  <c:v>0.15429999999999999</c:v>
                </c:pt>
                <c:pt idx="175">
                  <c:v>0.13969999999999999</c:v>
                </c:pt>
                <c:pt idx="176">
                  <c:v>0.13239999999999999</c:v>
                </c:pt>
                <c:pt idx="177">
                  <c:v>0.1244</c:v>
                </c:pt>
                <c:pt idx="178">
                  <c:v>0.1229</c:v>
                </c:pt>
                <c:pt idx="179">
                  <c:v>0.12280000000000001</c:v>
                </c:pt>
                <c:pt idx="180">
                  <c:v>0.1265</c:v>
                </c:pt>
                <c:pt idx="181">
                  <c:v>0.12839999999999999</c:v>
                </c:pt>
                <c:pt idx="182">
                  <c:v>0.12670000000000001</c:v>
                </c:pt>
                <c:pt idx="183">
                  <c:v>0.1244</c:v>
                </c:pt>
                <c:pt idx="184">
                  <c:v>0.13059999999999999</c:v>
                </c:pt>
                <c:pt idx="185">
                  <c:v>0.11749999999999999</c:v>
                </c:pt>
                <c:pt idx="186">
                  <c:v>0.1159</c:v>
                </c:pt>
                <c:pt idx="187">
                  <c:v>0.1166</c:v>
                </c:pt>
                <c:pt idx="188">
                  <c:v>0.112</c:v>
                </c:pt>
                <c:pt idx="189">
                  <c:v>0.10780000000000001</c:v>
                </c:pt>
                <c:pt idx="190">
                  <c:v>0.1057</c:v>
                </c:pt>
                <c:pt idx="191">
                  <c:v>9.8299999999999998E-2</c:v>
                </c:pt>
                <c:pt idx="192">
                  <c:v>0.1081</c:v>
                </c:pt>
                <c:pt idx="193">
                  <c:v>0.1153</c:v>
                </c:pt>
                <c:pt idx="194">
                  <c:v>0.11559999999999999</c:v>
                </c:pt>
                <c:pt idx="195">
                  <c:v>0.1172</c:v>
                </c:pt>
                <c:pt idx="196">
                  <c:v>0.125</c:v>
                </c:pt>
                <c:pt idx="197">
                  <c:v>0.1225</c:v>
                </c:pt>
                <c:pt idx="198">
                  <c:v>0.12089999999999999</c:v>
                </c:pt>
                <c:pt idx="199">
                  <c:v>0.125</c:v>
                </c:pt>
                <c:pt idx="200">
                  <c:v>0.1285</c:v>
                </c:pt>
                <c:pt idx="201">
                  <c:v>0.12520000000000001</c:v>
                </c:pt>
                <c:pt idx="202">
                  <c:v>0.12720000000000001</c:v>
                </c:pt>
                <c:pt idx="203">
                  <c:v>0.1285</c:v>
                </c:pt>
                <c:pt idx="204">
                  <c:v>0.13800000000000001</c:v>
                </c:pt>
                <c:pt idx="205">
                  <c:v>0.1328</c:v>
                </c:pt>
                <c:pt idx="206">
                  <c:v>0.128</c:v>
                </c:pt>
                <c:pt idx="207">
                  <c:v>0.13320000000000001</c:v>
                </c:pt>
                <c:pt idx="208">
                  <c:v>0.13500000000000001</c:v>
                </c:pt>
                <c:pt idx="209">
                  <c:v>0.12920000000000001</c:v>
                </c:pt>
                <c:pt idx="210">
                  <c:v>0.13220000000000001</c:v>
                </c:pt>
                <c:pt idx="211">
                  <c:v>0.1444</c:v>
                </c:pt>
                <c:pt idx="212">
                  <c:v>0.13159999999999999</c:v>
                </c:pt>
                <c:pt idx="213">
                  <c:v>0.12429999999999999</c:v>
                </c:pt>
                <c:pt idx="214">
                  <c:v>0.12330000000000001</c:v>
                </c:pt>
                <c:pt idx="215">
                  <c:v>0.122</c:v>
                </c:pt>
                <c:pt idx="216">
                  <c:v>0.11940000000000001</c:v>
                </c:pt>
                <c:pt idx="217">
                  <c:v>0.14119999999999999</c:v>
                </c:pt>
                <c:pt idx="218">
                  <c:v>0.1178</c:v>
                </c:pt>
                <c:pt idx="219">
                  <c:v>0.11020000000000001</c:v>
                </c:pt>
                <c:pt idx="220">
                  <c:v>0.1183</c:v>
                </c:pt>
                <c:pt idx="221">
                  <c:v>0.15240000000000001</c:v>
                </c:pt>
                <c:pt idx="222">
                  <c:v>0.1583</c:v>
                </c:pt>
                <c:pt idx="223">
                  <c:v>0.16139999999999999</c:v>
                </c:pt>
                <c:pt idx="224">
                  <c:v>0.17480000000000001</c:v>
                </c:pt>
                <c:pt idx="225">
                  <c:v>0.1704</c:v>
                </c:pt>
                <c:pt idx="226">
                  <c:v>0.18110000000000001</c:v>
                </c:pt>
                <c:pt idx="227">
                  <c:v>0.18440000000000001</c:v>
                </c:pt>
                <c:pt idx="228">
                  <c:v>0.18079999999999999</c:v>
                </c:pt>
                <c:pt idx="229">
                  <c:v>0.17150000000000001</c:v>
                </c:pt>
                <c:pt idx="230">
                  <c:v>0.18</c:v>
                </c:pt>
                <c:pt idx="231">
                  <c:v>0.18629999999999999</c:v>
                </c:pt>
                <c:pt idx="232">
                  <c:v>0.1948</c:v>
                </c:pt>
                <c:pt idx="233">
                  <c:v>0.1837</c:v>
                </c:pt>
                <c:pt idx="234">
                  <c:v>0.17660000000000001</c:v>
                </c:pt>
                <c:pt idx="235">
                  <c:v>0.2029</c:v>
                </c:pt>
                <c:pt idx="236">
                  <c:v>0.19059999999999999</c:v>
                </c:pt>
                <c:pt idx="237">
                  <c:v>0.1993</c:v>
                </c:pt>
                <c:pt idx="238">
                  <c:v>0.2208</c:v>
                </c:pt>
                <c:pt idx="239">
                  <c:v>0.2084</c:v>
                </c:pt>
                <c:pt idx="240">
                  <c:v>0.20330000000000001</c:v>
                </c:pt>
                <c:pt idx="241">
                  <c:v>0.20930000000000001</c:v>
                </c:pt>
                <c:pt idx="242">
                  <c:v>0.18729999999999999</c:v>
                </c:pt>
                <c:pt idx="243">
                  <c:v>0.18379999999999999</c:v>
                </c:pt>
                <c:pt idx="244">
                  <c:v>0.1923</c:v>
                </c:pt>
                <c:pt idx="245">
                  <c:v>0.21510000000000001</c:v>
                </c:pt>
                <c:pt idx="246">
                  <c:v>0.2303</c:v>
                </c:pt>
                <c:pt idx="247">
                  <c:v>0.21199999999999999</c:v>
                </c:pt>
                <c:pt idx="248">
                  <c:v>0.2092</c:v>
                </c:pt>
                <c:pt idx="249">
                  <c:v>0.1641</c:v>
                </c:pt>
                <c:pt idx="250">
                  <c:v>0.19589999999999999</c:v>
                </c:pt>
                <c:pt idx="251">
                  <c:v>0.2198</c:v>
                </c:pt>
                <c:pt idx="252">
                  <c:v>0.251</c:v>
                </c:pt>
                <c:pt idx="253">
                  <c:v>0.21410000000000001</c:v>
                </c:pt>
                <c:pt idx="254">
                  <c:v>0.34010000000000001</c:v>
                </c:pt>
                <c:pt idx="255">
                  <c:v>0.35370000000000001</c:v>
                </c:pt>
                <c:pt idx="256">
                  <c:v>0.38750000000000001</c:v>
                </c:pt>
                <c:pt idx="257">
                  <c:v>0.38550000000000001</c:v>
                </c:pt>
                <c:pt idx="258">
                  <c:v>0.45590000000000003</c:v>
                </c:pt>
                <c:pt idx="259">
                  <c:v>0.38229999999999997</c:v>
                </c:pt>
                <c:pt idx="260">
                  <c:v>0.38</c:v>
                </c:pt>
                <c:pt idx="261">
                  <c:v>0.47110000000000002</c:v>
                </c:pt>
                <c:pt idx="262">
                  <c:v>0.45100000000000001</c:v>
                </c:pt>
                <c:pt idx="263">
                  <c:v>0.50360000000000005</c:v>
                </c:pt>
                <c:pt idx="264">
                  <c:v>0.5353</c:v>
                </c:pt>
                <c:pt idx="265">
                  <c:v>0.51539999999999997</c:v>
                </c:pt>
                <c:pt idx="266">
                  <c:v>0.36099999999999999</c:v>
                </c:pt>
                <c:pt idx="267">
                  <c:v>0.3397</c:v>
                </c:pt>
                <c:pt idx="268">
                  <c:v>0.30669999999999997</c:v>
                </c:pt>
                <c:pt idx="269">
                  <c:v>0.35709999999999997</c:v>
                </c:pt>
                <c:pt idx="270">
                  <c:v>0.35</c:v>
                </c:pt>
                <c:pt idx="271">
                  <c:v>0.36099999999999999</c:v>
                </c:pt>
                <c:pt idx="272">
                  <c:v>0.38150000000000001</c:v>
                </c:pt>
                <c:pt idx="273">
                  <c:v>0.3201</c:v>
                </c:pt>
                <c:pt idx="274">
                  <c:v>0.33019999999999999</c:v>
                </c:pt>
                <c:pt idx="275">
                  <c:v>0.34399999999999997</c:v>
                </c:pt>
                <c:pt idx="276">
                  <c:v>0.2974</c:v>
                </c:pt>
                <c:pt idx="277">
                  <c:v>0.23910000000000001</c:v>
                </c:pt>
                <c:pt idx="278">
                  <c:v>0.2437</c:v>
                </c:pt>
                <c:pt idx="279">
                  <c:v>0.26290000000000002</c:v>
                </c:pt>
                <c:pt idx="280">
                  <c:v>0.2747</c:v>
                </c:pt>
                <c:pt idx="281">
                  <c:v>0.307</c:v>
                </c:pt>
                <c:pt idx="282">
                  <c:v>0.3296</c:v>
                </c:pt>
                <c:pt idx="283">
                  <c:v>0.318</c:v>
                </c:pt>
                <c:pt idx="284">
                  <c:v>0.35210000000000002</c:v>
                </c:pt>
                <c:pt idx="285">
                  <c:v>0.40560000000000002</c:v>
                </c:pt>
                <c:pt idx="286">
                  <c:v>0.40870000000000001</c:v>
                </c:pt>
                <c:pt idx="287">
                  <c:v>0.43530000000000002</c:v>
                </c:pt>
                <c:pt idx="288">
                  <c:v>0.42599999999999999</c:v>
                </c:pt>
                <c:pt idx="289">
                  <c:v>0.43780000000000002</c:v>
                </c:pt>
                <c:pt idx="290">
                  <c:v>0.46039999999999998</c:v>
                </c:pt>
                <c:pt idx="291">
                  <c:v>0.48899999999999999</c:v>
                </c:pt>
                <c:pt idx="292">
                  <c:v>0.45950000000000002</c:v>
                </c:pt>
                <c:pt idx="293">
                  <c:v>0.44259999999999999</c:v>
                </c:pt>
                <c:pt idx="294">
                  <c:v>0.41049999999999998</c:v>
                </c:pt>
                <c:pt idx="295">
                  <c:v>0.37280000000000002</c:v>
                </c:pt>
                <c:pt idx="296">
                  <c:v>0.42730000000000001</c:v>
                </c:pt>
                <c:pt idx="297">
                  <c:v>0.42820000000000003</c:v>
                </c:pt>
                <c:pt idx="298">
                  <c:v>0.38009999999999999</c:v>
                </c:pt>
                <c:pt idx="299">
                  <c:v>0.33729999999999999</c:v>
                </c:pt>
                <c:pt idx="300">
                  <c:v>0.37969999999999998</c:v>
                </c:pt>
                <c:pt idx="301">
                  <c:v>0.35930000000000001</c:v>
                </c:pt>
                <c:pt idx="302">
                  <c:v>0.34350000000000003</c:v>
                </c:pt>
                <c:pt idx="303">
                  <c:v>0.33119999999999999</c:v>
                </c:pt>
                <c:pt idx="304">
                  <c:v>0.35410000000000003</c:v>
                </c:pt>
                <c:pt idx="305">
                  <c:v>0.2949</c:v>
                </c:pt>
                <c:pt idx="306">
                  <c:v>0.27139999999999997</c:v>
                </c:pt>
                <c:pt idx="307">
                  <c:v>0.27360000000000001</c:v>
                </c:pt>
                <c:pt idx="308">
                  <c:v>0.25280000000000002</c:v>
                </c:pt>
                <c:pt idx="309">
                  <c:v>0.26350000000000001</c:v>
                </c:pt>
                <c:pt idx="310">
                  <c:v>0.2382</c:v>
                </c:pt>
                <c:pt idx="311">
                  <c:v>0.24</c:v>
                </c:pt>
                <c:pt idx="312">
                  <c:v>0.25069999999999998</c:v>
                </c:pt>
                <c:pt idx="313">
                  <c:v>0.25319999999999998</c:v>
                </c:pt>
                <c:pt idx="314">
                  <c:v>0.28239999999999998</c:v>
                </c:pt>
                <c:pt idx="315">
                  <c:v>0.25590000000000002</c:v>
                </c:pt>
                <c:pt idx="316">
                  <c:v>0.27300000000000002</c:v>
                </c:pt>
                <c:pt idx="317">
                  <c:v>0.2676</c:v>
                </c:pt>
                <c:pt idx="318">
                  <c:v>0.29430000000000001</c:v>
                </c:pt>
                <c:pt idx="319">
                  <c:v>0.2838</c:v>
                </c:pt>
                <c:pt idx="320">
                  <c:v>0.2495</c:v>
                </c:pt>
                <c:pt idx="321">
                  <c:v>0.21299999999999999</c:v>
                </c:pt>
                <c:pt idx="322">
                  <c:v>0.21310000000000001</c:v>
                </c:pt>
                <c:pt idx="323">
                  <c:v>0.18179999999999999</c:v>
                </c:pt>
                <c:pt idx="324">
                  <c:v>0.19470000000000001</c:v>
                </c:pt>
                <c:pt idx="325">
                  <c:v>0.17280000000000001</c:v>
                </c:pt>
                <c:pt idx="326">
                  <c:v>0.1658</c:v>
                </c:pt>
                <c:pt idx="327">
                  <c:v>0.16589999999999999</c:v>
                </c:pt>
                <c:pt idx="328">
                  <c:v>0.16400000000000001</c:v>
                </c:pt>
                <c:pt idx="329">
                  <c:v>0.17080000000000001</c:v>
                </c:pt>
                <c:pt idx="330">
                  <c:v>0.18579999999999999</c:v>
                </c:pt>
                <c:pt idx="331">
                  <c:v>0.1825</c:v>
                </c:pt>
                <c:pt idx="332">
                  <c:v>0.1915</c:v>
                </c:pt>
                <c:pt idx="333">
                  <c:v>0.16869999999999999</c:v>
                </c:pt>
                <c:pt idx="334">
                  <c:v>0.1822</c:v>
                </c:pt>
                <c:pt idx="335">
                  <c:v>0.19600000000000001</c:v>
                </c:pt>
                <c:pt idx="336">
                  <c:v>0.1867</c:v>
                </c:pt>
                <c:pt idx="337">
                  <c:v>0.16270000000000001</c:v>
                </c:pt>
                <c:pt idx="338">
                  <c:v>0.16259999999999999</c:v>
                </c:pt>
                <c:pt idx="339">
                  <c:v>0.2016</c:v>
                </c:pt>
                <c:pt idx="340">
                  <c:v>0.22</c:v>
                </c:pt>
                <c:pt idx="341">
                  <c:v>0.16819999999999999</c:v>
                </c:pt>
                <c:pt idx="342">
                  <c:v>0.1734</c:v>
                </c:pt>
                <c:pt idx="343">
                  <c:v>0.1913</c:v>
                </c:pt>
                <c:pt idx="344">
                  <c:v>0.13350000000000001</c:v>
                </c:pt>
                <c:pt idx="345">
                  <c:v>0.1348</c:v>
                </c:pt>
                <c:pt idx="346">
                  <c:v>0.13009999999999999</c:v>
                </c:pt>
                <c:pt idx="347">
                  <c:v>0.1353</c:v>
                </c:pt>
                <c:pt idx="348">
                  <c:v>0.14499999999999999</c:v>
                </c:pt>
                <c:pt idx="349">
                  <c:v>0.13400000000000001</c:v>
                </c:pt>
                <c:pt idx="350">
                  <c:v>0.12089999999999999</c:v>
                </c:pt>
                <c:pt idx="351">
                  <c:v>0.1106</c:v>
                </c:pt>
                <c:pt idx="352">
                  <c:v>9.5600000000000004E-2</c:v>
                </c:pt>
                <c:pt idx="353">
                  <c:v>8.5900000000000004E-2</c:v>
                </c:pt>
                <c:pt idx="354">
                  <c:v>8.1299999999999997E-2</c:v>
                </c:pt>
                <c:pt idx="355">
                  <c:v>8.0799999999999997E-2</c:v>
                </c:pt>
                <c:pt idx="356">
                  <c:v>8.8900000000000007E-2</c:v>
                </c:pt>
                <c:pt idx="357">
                  <c:v>8.5800000000000001E-2</c:v>
                </c:pt>
                <c:pt idx="358">
                  <c:v>8.0699999999999994E-2</c:v>
                </c:pt>
                <c:pt idx="359">
                  <c:v>7.3700000000000002E-2</c:v>
                </c:pt>
                <c:pt idx="360">
                  <c:v>7.2400000000000006E-2</c:v>
                </c:pt>
                <c:pt idx="361">
                  <c:v>7.2300000000000003E-2</c:v>
                </c:pt>
                <c:pt idx="362">
                  <c:v>7.4700000000000003E-2</c:v>
                </c:pt>
                <c:pt idx="363">
                  <c:v>7.1599999999999997E-2</c:v>
                </c:pt>
                <c:pt idx="364">
                  <c:v>7.0599999999999996E-2</c:v>
                </c:pt>
                <c:pt idx="365">
                  <c:v>6.6299999999999998E-2</c:v>
                </c:pt>
                <c:pt idx="366">
                  <c:v>7.5399999999999995E-2</c:v>
                </c:pt>
                <c:pt idx="367">
                  <c:v>7.6100000000000001E-2</c:v>
                </c:pt>
                <c:pt idx="368">
                  <c:v>7.9100000000000004E-2</c:v>
                </c:pt>
                <c:pt idx="369">
                  <c:v>8.1199999999999994E-2</c:v>
                </c:pt>
                <c:pt idx="370">
                  <c:v>8.72E-2</c:v>
                </c:pt>
                <c:pt idx="371">
                  <c:v>8.8200000000000001E-2</c:v>
                </c:pt>
                <c:pt idx="372">
                  <c:v>9.69E-2</c:v>
                </c:pt>
                <c:pt idx="373">
                  <c:v>8.72E-2</c:v>
                </c:pt>
                <c:pt idx="374">
                  <c:v>9.11E-2</c:v>
                </c:pt>
                <c:pt idx="375">
                  <c:v>8.6400000000000005E-2</c:v>
                </c:pt>
                <c:pt idx="376">
                  <c:v>8.0600000000000005E-2</c:v>
                </c:pt>
                <c:pt idx="377">
                  <c:v>7.7499999999999999E-2</c:v>
                </c:pt>
                <c:pt idx="378">
                  <c:v>7.6600000000000001E-2</c:v>
                </c:pt>
                <c:pt idx="379">
                  <c:v>7.6899999999999996E-2</c:v>
                </c:pt>
                <c:pt idx="380">
                  <c:v>7.1400000000000005E-2</c:v>
                </c:pt>
                <c:pt idx="381">
                  <c:v>7.4200000000000002E-2</c:v>
                </c:pt>
                <c:pt idx="382">
                  <c:v>8.5500000000000007E-2</c:v>
                </c:pt>
                <c:pt idx="383">
                  <c:v>8.9099999999999999E-2</c:v>
                </c:pt>
                <c:pt idx="384">
                  <c:v>8.0799999999999997E-2</c:v>
                </c:pt>
                <c:pt idx="385">
                  <c:v>8.4699999999999998E-2</c:v>
                </c:pt>
                <c:pt idx="386">
                  <c:v>7.6499999999999999E-2</c:v>
                </c:pt>
                <c:pt idx="387">
                  <c:v>7.1199999999999999E-2</c:v>
                </c:pt>
                <c:pt idx="388">
                  <c:v>7.3099999999999998E-2</c:v>
                </c:pt>
                <c:pt idx="389">
                  <c:v>6.6799999999999998E-2</c:v>
                </c:pt>
                <c:pt idx="390">
                  <c:v>6.4100000000000004E-2</c:v>
                </c:pt>
                <c:pt idx="391">
                  <c:v>6.8500000000000005E-2</c:v>
                </c:pt>
                <c:pt idx="392">
                  <c:v>6.1600000000000002E-2</c:v>
                </c:pt>
                <c:pt idx="393">
                  <c:v>6.3399999999999998E-2</c:v>
                </c:pt>
                <c:pt idx="394">
                  <c:v>6.5199999999999994E-2</c:v>
                </c:pt>
                <c:pt idx="395">
                  <c:v>6.7500000000000004E-2</c:v>
                </c:pt>
                <c:pt idx="396">
                  <c:v>6.7100000000000007E-2</c:v>
                </c:pt>
                <c:pt idx="397">
                  <c:v>6.7900000000000002E-2</c:v>
                </c:pt>
                <c:pt idx="398">
                  <c:v>6.7799999999999999E-2</c:v>
                </c:pt>
                <c:pt idx="399">
                  <c:v>6.8900000000000003E-2</c:v>
                </c:pt>
                <c:pt idx="400">
                  <c:v>6.3600000000000004E-2</c:v>
                </c:pt>
                <c:pt idx="401">
                  <c:v>7.5399999999999995E-2</c:v>
                </c:pt>
                <c:pt idx="402">
                  <c:v>7.3800000000000004E-2</c:v>
                </c:pt>
                <c:pt idx="403">
                  <c:v>7.85E-2</c:v>
                </c:pt>
                <c:pt idx="404">
                  <c:v>0.08</c:v>
                </c:pt>
                <c:pt idx="405">
                  <c:v>8.0600000000000005E-2</c:v>
                </c:pt>
                <c:pt idx="406">
                  <c:v>8.4099999999999994E-2</c:v>
                </c:pt>
                <c:pt idx="407">
                  <c:v>8.5599999999999996E-2</c:v>
                </c:pt>
                <c:pt idx="408">
                  <c:v>8.8400000000000006E-2</c:v>
                </c:pt>
                <c:pt idx="409">
                  <c:v>8.9800000000000005E-2</c:v>
                </c:pt>
                <c:pt idx="410">
                  <c:v>8.3599999999999994E-2</c:v>
                </c:pt>
                <c:pt idx="411">
                  <c:v>8.1699999999999995E-2</c:v>
                </c:pt>
                <c:pt idx="412">
                  <c:v>7.1999999999999995E-2</c:v>
                </c:pt>
                <c:pt idx="413">
                  <c:v>7.6200000000000004E-2</c:v>
                </c:pt>
                <c:pt idx="414">
                  <c:v>7.8700000000000006E-2</c:v>
                </c:pt>
                <c:pt idx="415">
                  <c:v>7.9000000000000001E-2</c:v>
                </c:pt>
                <c:pt idx="416">
                  <c:v>8.3599999999999994E-2</c:v>
                </c:pt>
                <c:pt idx="417">
                  <c:v>7.9100000000000004E-2</c:v>
                </c:pt>
                <c:pt idx="418">
                  <c:v>7.9399999999999998E-2</c:v>
                </c:pt>
                <c:pt idx="419">
                  <c:v>7.4300000000000005E-2</c:v>
                </c:pt>
                <c:pt idx="420">
                  <c:v>7.9200000000000007E-2</c:v>
                </c:pt>
                <c:pt idx="421">
                  <c:v>7.6399999999999996E-2</c:v>
                </c:pt>
                <c:pt idx="422">
                  <c:v>7.2900000000000006E-2</c:v>
                </c:pt>
                <c:pt idx="423">
                  <c:v>7.6399999999999996E-2</c:v>
                </c:pt>
                <c:pt idx="424">
                  <c:v>7.4099999999999999E-2</c:v>
                </c:pt>
                <c:pt idx="425">
                  <c:v>7.5200000000000003E-2</c:v>
                </c:pt>
                <c:pt idx="426">
                  <c:v>7.2700000000000001E-2</c:v>
                </c:pt>
                <c:pt idx="427">
                  <c:v>7.1800000000000003E-2</c:v>
                </c:pt>
                <c:pt idx="428">
                  <c:v>8.2100000000000006E-2</c:v>
                </c:pt>
                <c:pt idx="429">
                  <c:v>8.7499999999999994E-2</c:v>
                </c:pt>
                <c:pt idx="430">
                  <c:v>7.6200000000000004E-2</c:v>
                </c:pt>
                <c:pt idx="431">
                  <c:v>6.9000000000000006E-2</c:v>
                </c:pt>
                <c:pt idx="432">
                  <c:v>7.2300000000000003E-2</c:v>
                </c:pt>
                <c:pt idx="433">
                  <c:v>6.8000000000000005E-2</c:v>
                </c:pt>
                <c:pt idx="434">
                  <c:v>6.7299999999999999E-2</c:v>
                </c:pt>
                <c:pt idx="435">
                  <c:v>6.93E-2</c:v>
                </c:pt>
                <c:pt idx="436">
                  <c:v>7.3200000000000001E-2</c:v>
                </c:pt>
                <c:pt idx="437">
                  <c:v>6.8900000000000003E-2</c:v>
                </c:pt>
                <c:pt idx="438">
                  <c:v>6.6100000000000006E-2</c:v>
                </c:pt>
                <c:pt idx="439">
                  <c:v>7.0000000000000007E-2</c:v>
                </c:pt>
                <c:pt idx="440">
                  <c:v>7.0800000000000002E-2</c:v>
                </c:pt>
                <c:pt idx="441">
                  <c:v>7.0199999999999999E-2</c:v>
                </c:pt>
                <c:pt idx="442">
                  <c:v>7.7200000000000005E-2</c:v>
                </c:pt>
                <c:pt idx="443">
                  <c:v>7.6600000000000001E-2</c:v>
                </c:pt>
                <c:pt idx="444">
                  <c:v>6.8500000000000005E-2</c:v>
                </c:pt>
                <c:pt idx="445">
                  <c:v>6.7500000000000004E-2</c:v>
                </c:pt>
                <c:pt idx="446">
                  <c:v>6.4199999999999993E-2</c:v>
                </c:pt>
                <c:pt idx="447">
                  <c:v>7.1499999999999994E-2</c:v>
                </c:pt>
                <c:pt idx="448">
                  <c:v>6.2300000000000001E-2</c:v>
                </c:pt>
                <c:pt idx="449">
                  <c:v>6.0499999999999998E-2</c:v>
                </c:pt>
                <c:pt idx="450">
                  <c:v>5.8700000000000002E-2</c:v>
                </c:pt>
                <c:pt idx="451">
                  <c:v>6.0999999999999999E-2</c:v>
                </c:pt>
                <c:pt idx="452">
                  <c:v>6.3899999999999998E-2</c:v>
                </c:pt>
                <c:pt idx="453">
                  <c:v>6.2600000000000003E-2</c:v>
                </c:pt>
                <c:pt idx="454">
                  <c:v>5.9700000000000003E-2</c:v>
                </c:pt>
                <c:pt idx="455">
                  <c:v>6.2E-2</c:v>
                </c:pt>
                <c:pt idx="456">
                  <c:v>6.1199999999999997E-2</c:v>
                </c:pt>
                <c:pt idx="457">
                  <c:v>6.6299999999999998E-2</c:v>
                </c:pt>
                <c:pt idx="458">
                  <c:v>6.9699999999999998E-2</c:v>
                </c:pt>
                <c:pt idx="459">
                  <c:v>7.2300000000000003E-2</c:v>
                </c:pt>
                <c:pt idx="460">
                  <c:v>7.4499999999999997E-2</c:v>
                </c:pt>
                <c:pt idx="461">
                  <c:v>7.51E-2</c:v>
                </c:pt>
                <c:pt idx="462">
                  <c:v>7.6600000000000001E-2</c:v>
                </c:pt>
                <c:pt idx="463">
                  <c:v>7.2800000000000004E-2</c:v>
                </c:pt>
                <c:pt idx="464">
                  <c:v>7.1999999999999995E-2</c:v>
                </c:pt>
                <c:pt idx="465">
                  <c:v>7.7399999999999997E-2</c:v>
                </c:pt>
                <c:pt idx="466">
                  <c:v>7.8600000000000003E-2</c:v>
                </c:pt>
                <c:pt idx="467">
                  <c:v>7.9100000000000004E-2</c:v>
                </c:pt>
                <c:pt idx="468">
                  <c:v>7.8399999999999997E-2</c:v>
                </c:pt>
                <c:pt idx="469">
                  <c:v>8.0399999999999999E-2</c:v>
                </c:pt>
                <c:pt idx="470">
                  <c:v>8.14E-2</c:v>
                </c:pt>
                <c:pt idx="471">
                  <c:v>8.5999999999999993E-2</c:v>
                </c:pt>
                <c:pt idx="472">
                  <c:v>8.3199999999999996E-2</c:v>
                </c:pt>
                <c:pt idx="473">
                  <c:v>7.9899999999999999E-2</c:v>
                </c:pt>
                <c:pt idx="474">
                  <c:v>7.7600000000000002E-2</c:v>
                </c:pt>
                <c:pt idx="475">
                  <c:v>8.0100000000000005E-2</c:v>
                </c:pt>
                <c:pt idx="476">
                  <c:v>7.6799999999999993E-2</c:v>
                </c:pt>
                <c:pt idx="477">
                  <c:v>7.3800000000000004E-2</c:v>
                </c:pt>
                <c:pt idx="478">
                  <c:v>7.3899999999999993E-2</c:v>
                </c:pt>
                <c:pt idx="479">
                  <c:v>0.08</c:v>
                </c:pt>
                <c:pt idx="480">
                  <c:v>7.9299999999999995E-2</c:v>
                </c:pt>
                <c:pt idx="481">
                  <c:v>7.8700000000000006E-2</c:v>
                </c:pt>
                <c:pt idx="482">
                  <c:v>7.9100000000000004E-2</c:v>
                </c:pt>
                <c:pt idx="483">
                  <c:v>8.1900000000000001E-2</c:v>
                </c:pt>
                <c:pt idx="484">
                  <c:v>8.3599999999999994E-2</c:v>
                </c:pt>
                <c:pt idx="485">
                  <c:v>8.6300000000000002E-2</c:v>
                </c:pt>
                <c:pt idx="486">
                  <c:v>8.6599999999999996E-2</c:v>
                </c:pt>
                <c:pt idx="487">
                  <c:v>9.8000000000000004E-2</c:v>
                </c:pt>
                <c:pt idx="488">
                  <c:v>8.2299999999999998E-2</c:v>
                </c:pt>
                <c:pt idx="489">
                  <c:v>8.0699999999999994E-2</c:v>
                </c:pt>
                <c:pt idx="490">
                  <c:v>7.9100000000000004E-2</c:v>
                </c:pt>
                <c:pt idx="491">
                  <c:v>7.46E-2</c:v>
                </c:pt>
                <c:pt idx="492">
                  <c:v>8.3699999999999997E-2</c:v>
                </c:pt>
                <c:pt idx="493">
                  <c:v>8.1699999999999995E-2</c:v>
                </c:pt>
                <c:pt idx="494">
                  <c:v>9.1200000000000003E-2</c:v>
                </c:pt>
                <c:pt idx="495">
                  <c:v>9.1700000000000004E-2</c:v>
                </c:pt>
                <c:pt idx="496">
                  <c:v>9.0899999999999995E-2</c:v>
                </c:pt>
                <c:pt idx="497">
                  <c:v>9.8500000000000004E-2</c:v>
                </c:pt>
                <c:pt idx="498">
                  <c:v>9.8199999999999996E-2</c:v>
                </c:pt>
                <c:pt idx="499">
                  <c:v>9.7500000000000003E-2</c:v>
                </c:pt>
                <c:pt idx="500">
                  <c:v>0.1038</c:v>
                </c:pt>
                <c:pt idx="501">
                  <c:v>0.10340000000000001</c:v>
                </c:pt>
                <c:pt idx="502">
                  <c:v>0.1095</c:v>
                </c:pt>
                <c:pt idx="503">
                  <c:v>0.11210000000000001</c:v>
                </c:pt>
                <c:pt idx="504">
                  <c:v>0.1099</c:v>
                </c:pt>
                <c:pt idx="505">
                  <c:v>9.5699999999999993E-2</c:v>
                </c:pt>
                <c:pt idx="506">
                  <c:v>9.1899999999999996E-2</c:v>
                </c:pt>
                <c:pt idx="507">
                  <c:v>9.3700000000000006E-2</c:v>
                </c:pt>
                <c:pt idx="508">
                  <c:v>9.5399999999999999E-2</c:v>
                </c:pt>
                <c:pt idx="509">
                  <c:v>9.0800000000000006E-2</c:v>
                </c:pt>
                <c:pt idx="510">
                  <c:v>0.10290000000000001</c:v>
                </c:pt>
                <c:pt idx="511">
                  <c:v>9.8100000000000007E-2</c:v>
                </c:pt>
                <c:pt idx="512">
                  <c:v>0.1293</c:v>
                </c:pt>
                <c:pt idx="513">
                  <c:v>0.13850000000000001</c:v>
                </c:pt>
                <c:pt idx="514">
                  <c:v>0.13469999999999999</c:v>
                </c:pt>
                <c:pt idx="515">
                  <c:v>0.13780000000000001</c:v>
                </c:pt>
                <c:pt idx="516">
                  <c:v>0.129</c:v>
                </c:pt>
                <c:pt idx="517">
                  <c:v>0.12640000000000001</c:v>
                </c:pt>
                <c:pt idx="518">
                  <c:v>0.1236</c:v>
                </c:pt>
                <c:pt idx="519">
                  <c:v>0.13370000000000001</c:v>
                </c:pt>
                <c:pt idx="520">
                  <c:v>0.13400000000000001</c:v>
                </c:pt>
                <c:pt idx="521">
                  <c:v>0.151</c:v>
                </c:pt>
                <c:pt idx="522">
                  <c:v>0.1411</c:v>
                </c:pt>
                <c:pt idx="523">
                  <c:v>0.14879999999999999</c:v>
                </c:pt>
                <c:pt idx="524">
                  <c:v>0.14199999999999999</c:v>
                </c:pt>
                <c:pt idx="525">
                  <c:v>0.1303</c:v>
                </c:pt>
                <c:pt idx="526">
                  <c:v>0.12620000000000001</c:v>
                </c:pt>
                <c:pt idx="527">
                  <c:v>0.13669999999999999</c:v>
                </c:pt>
                <c:pt idx="528">
                  <c:v>0.12620000000000001</c:v>
                </c:pt>
                <c:pt idx="529">
                  <c:v>0.1242</c:v>
                </c:pt>
                <c:pt idx="530">
                  <c:v>0.1226</c:v>
                </c:pt>
                <c:pt idx="531">
                  <c:v>0.1275</c:v>
                </c:pt>
                <c:pt idx="532">
                  <c:v>0.1231</c:v>
                </c:pt>
                <c:pt idx="533">
                  <c:v>0.1207</c:v>
                </c:pt>
                <c:pt idx="534">
                  <c:v>0.1162</c:v>
                </c:pt>
                <c:pt idx="535">
                  <c:v>0.1268</c:v>
                </c:pt>
                <c:pt idx="536">
                  <c:v>0.1225</c:v>
                </c:pt>
                <c:pt idx="537">
                  <c:v>0.113</c:v>
                </c:pt>
                <c:pt idx="538">
                  <c:v>0.115</c:v>
                </c:pt>
                <c:pt idx="539">
                  <c:v>0.1056</c:v>
                </c:pt>
                <c:pt idx="540">
                  <c:v>0.105</c:v>
                </c:pt>
                <c:pt idx="541">
                  <c:v>0.1042</c:v>
                </c:pt>
                <c:pt idx="542">
                  <c:v>0.10299999999999999</c:v>
                </c:pt>
                <c:pt idx="543">
                  <c:v>0.10249999999999999</c:v>
                </c:pt>
                <c:pt idx="544">
                  <c:v>0.1028</c:v>
                </c:pt>
                <c:pt idx="545">
                  <c:v>0.1022</c:v>
                </c:pt>
                <c:pt idx="546">
                  <c:v>0.1067</c:v>
                </c:pt>
                <c:pt idx="547">
                  <c:v>0.1013</c:v>
                </c:pt>
                <c:pt idx="548">
                  <c:v>0.1057</c:v>
                </c:pt>
                <c:pt idx="549">
                  <c:v>9.7500000000000003E-2</c:v>
                </c:pt>
                <c:pt idx="550">
                  <c:v>0.10879999999999999</c:v>
                </c:pt>
                <c:pt idx="551">
                  <c:v>0.1132</c:v>
                </c:pt>
                <c:pt idx="552">
                  <c:v>0.1158</c:v>
                </c:pt>
                <c:pt idx="553">
                  <c:v>0.1178</c:v>
                </c:pt>
                <c:pt idx="554">
                  <c:v>0.11849999999999999</c:v>
                </c:pt>
                <c:pt idx="555">
                  <c:v>0.1171</c:v>
                </c:pt>
                <c:pt idx="556">
                  <c:v>0.1139</c:v>
                </c:pt>
                <c:pt idx="557">
                  <c:v>0.1192</c:v>
                </c:pt>
                <c:pt idx="558">
                  <c:v>0.11020000000000001</c:v>
                </c:pt>
                <c:pt idx="559">
                  <c:v>0.1094</c:v>
                </c:pt>
                <c:pt idx="560">
                  <c:v>0.1084</c:v>
                </c:pt>
                <c:pt idx="561">
                  <c:v>0.11459999999999999</c:v>
                </c:pt>
                <c:pt idx="562">
                  <c:v>0.1125</c:v>
                </c:pt>
                <c:pt idx="563">
                  <c:v>0.10979999999999999</c:v>
                </c:pt>
                <c:pt idx="564">
                  <c:v>0.11459999999999999</c:v>
                </c:pt>
                <c:pt idx="565">
                  <c:v>0.1192</c:v>
                </c:pt>
                <c:pt idx="566">
                  <c:v>0.112</c:v>
                </c:pt>
                <c:pt idx="567">
                  <c:v>0.10489999999999999</c:v>
                </c:pt>
                <c:pt idx="568">
                  <c:v>0.11169999999999999</c:v>
                </c:pt>
                <c:pt idx="569">
                  <c:v>0.1071</c:v>
                </c:pt>
                <c:pt idx="570">
                  <c:v>0.1012</c:v>
                </c:pt>
                <c:pt idx="571">
                  <c:v>9.8100000000000007E-2</c:v>
                </c:pt>
                <c:pt idx="572">
                  <c:v>9.9400000000000002E-2</c:v>
                </c:pt>
                <c:pt idx="573">
                  <c:v>9.8100000000000007E-2</c:v>
                </c:pt>
                <c:pt idx="574">
                  <c:v>9.4100000000000003E-2</c:v>
                </c:pt>
                <c:pt idx="575">
                  <c:v>9.6100000000000005E-2</c:v>
                </c:pt>
                <c:pt idx="576">
                  <c:v>9.6600000000000005E-2</c:v>
                </c:pt>
                <c:pt idx="577">
                  <c:v>9.3200000000000005E-2</c:v>
                </c:pt>
                <c:pt idx="578">
                  <c:v>9.2700000000000005E-2</c:v>
                </c:pt>
                <c:pt idx="579">
                  <c:v>9.0300000000000005E-2</c:v>
                </c:pt>
                <c:pt idx="580">
                  <c:v>9.7100000000000006E-2</c:v>
                </c:pt>
                <c:pt idx="581">
                  <c:v>0.10059999999999999</c:v>
                </c:pt>
                <c:pt idx="582">
                  <c:v>0.1041</c:v>
                </c:pt>
                <c:pt idx="583">
                  <c:v>0.10879999999999999</c:v>
                </c:pt>
                <c:pt idx="584">
                  <c:v>0.10920000000000001</c:v>
                </c:pt>
                <c:pt idx="585">
                  <c:v>0.10780000000000001</c:v>
                </c:pt>
                <c:pt idx="586">
                  <c:v>0.1086</c:v>
                </c:pt>
                <c:pt idx="587">
                  <c:v>0.11070000000000001</c:v>
                </c:pt>
                <c:pt idx="588">
                  <c:v>0.1119</c:v>
                </c:pt>
                <c:pt idx="589">
                  <c:v>0.1134</c:v>
                </c:pt>
                <c:pt idx="590">
                  <c:v>0.1104</c:v>
                </c:pt>
                <c:pt idx="591">
                  <c:v>0.1095</c:v>
                </c:pt>
                <c:pt idx="592">
                  <c:v>0.1145</c:v>
                </c:pt>
                <c:pt idx="593">
                  <c:v>0.1142</c:v>
                </c:pt>
                <c:pt idx="594">
                  <c:v>0.1172</c:v>
                </c:pt>
                <c:pt idx="595">
                  <c:v>0.1081</c:v>
                </c:pt>
                <c:pt idx="596">
                  <c:v>0.1242</c:v>
                </c:pt>
                <c:pt idx="597">
                  <c:v>0.12479999999999999</c:v>
                </c:pt>
                <c:pt idx="598">
                  <c:v>0.1244</c:v>
                </c:pt>
                <c:pt idx="599">
                  <c:v>0.1249</c:v>
                </c:pt>
                <c:pt idx="600">
                  <c:v>0.1104</c:v>
                </c:pt>
                <c:pt idx="601">
                  <c:v>0.1119</c:v>
                </c:pt>
                <c:pt idx="602">
                  <c:v>0.113</c:v>
                </c:pt>
                <c:pt idx="603">
                  <c:v>0.1101</c:v>
                </c:pt>
                <c:pt idx="604">
                  <c:v>0.1072</c:v>
                </c:pt>
                <c:pt idx="605">
                  <c:v>0.1021</c:v>
                </c:pt>
                <c:pt idx="606">
                  <c:v>9.7900000000000001E-2</c:v>
                </c:pt>
                <c:pt idx="607">
                  <c:v>0.1002</c:v>
                </c:pt>
                <c:pt idx="608">
                  <c:v>9.6600000000000005E-2</c:v>
                </c:pt>
                <c:pt idx="609">
                  <c:v>9.4100000000000003E-2</c:v>
                </c:pt>
                <c:pt idx="610">
                  <c:v>9.3899999999999997E-2</c:v>
                </c:pt>
                <c:pt idx="611">
                  <c:v>9.5699999999999993E-2</c:v>
                </c:pt>
                <c:pt idx="612">
                  <c:v>0.1003</c:v>
                </c:pt>
                <c:pt idx="613">
                  <c:v>0.09</c:v>
                </c:pt>
                <c:pt idx="614">
                  <c:v>9.3299999999999994E-2</c:v>
                </c:pt>
                <c:pt idx="615">
                  <c:v>9.4700000000000006E-2</c:v>
                </c:pt>
                <c:pt idx="616">
                  <c:v>9.2200000000000004E-2</c:v>
                </c:pt>
                <c:pt idx="617">
                  <c:v>8.48E-2</c:v>
                </c:pt>
                <c:pt idx="618">
                  <c:v>8.6999999999999994E-2</c:v>
                </c:pt>
                <c:pt idx="619">
                  <c:v>8.4099999999999994E-2</c:v>
                </c:pt>
                <c:pt idx="620">
                  <c:v>8.3299999999999999E-2</c:v>
                </c:pt>
                <c:pt idx="621">
                  <c:v>8.6199999999999999E-2</c:v>
                </c:pt>
                <c:pt idx="622">
                  <c:v>8.1000000000000003E-2</c:v>
                </c:pt>
                <c:pt idx="623">
                  <c:v>8.2000000000000003E-2</c:v>
                </c:pt>
                <c:pt idx="624">
                  <c:v>8.5199999999999998E-2</c:v>
                </c:pt>
                <c:pt idx="625">
                  <c:v>8.14E-2</c:v>
                </c:pt>
                <c:pt idx="626">
                  <c:v>7.5700000000000003E-2</c:v>
                </c:pt>
                <c:pt idx="627">
                  <c:v>7.7799999999999994E-2</c:v>
                </c:pt>
                <c:pt idx="628">
                  <c:v>8.9399999999999993E-2</c:v>
                </c:pt>
                <c:pt idx="629">
                  <c:v>9.2299999999999993E-2</c:v>
                </c:pt>
                <c:pt idx="630">
                  <c:v>8.5699999999999998E-2</c:v>
                </c:pt>
                <c:pt idx="631">
                  <c:v>8.5500000000000007E-2</c:v>
                </c:pt>
                <c:pt idx="632">
                  <c:v>9.01E-2</c:v>
                </c:pt>
                <c:pt idx="633">
                  <c:v>9.4100000000000003E-2</c:v>
                </c:pt>
                <c:pt idx="634">
                  <c:v>8.6699999999999999E-2</c:v>
                </c:pt>
                <c:pt idx="635">
                  <c:v>9.2200000000000004E-2</c:v>
                </c:pt>
                <c:pt idx="636">
                  <c:v>9.35E-2</c:v>
                </c:pt>
                <c:pt idx="637">
                  <c:v>8.1699999999999995E-2</c:v>
                </c:pt>
                <c:pt idx="638">
                  <c:v>8.5900000000000004E-2</c:v>
                </c:pt>
                <c:pt idx="639">
                  <c:v>8.2199999999999995E-2</c:v>
                </c:pt>
                <c:pt idx="640">
                  <c:v>8.5300000000000001E-2</c:v>
                </c:pt>
                <c:pt idx="641">
                  <c:v>8.1799999999999998E-2</c:v>
                </c:pt>
                <c:pt idx="642">
                  <c:v>8.2400000000000001E-2</c:v>
                </c:pt>
                <c:pt idx="643">
                  <c:v>8.5599999999999996E-2</c:v>
                </c:pt>
                <c:pt idx="644">
                  <c:v>7.0900000000000005E-2</c:v>
                </c:pt>
                <c:pt idx="645">
                  <c:v>6.6400000000000001E-2</c:v>
                </c:pt>
                <c:pt idx="646">
                  <c:v>5.9700000000000003E-2</c:v>
                </c:pt>
                <c:pt idx="647">
                  <c:v>5.9900000000000002E-2</c:v>
                </c:pt>
                <c:pt idx="648">
                  <c:v>6.4199999999999993E-2</c:v>
                </c:pt>
                <c:pt idx="649">
                  <c:v>6.6699999999999995E-2</c:v>
                </c:pt>
                <c:pt idx="650">
                  <c:v>6.4100000000000004E-2</c:v>
                </c:pt>
                <c:pt idx="651">
                  <c:v>6.4100000000000004E-2</c:v>
                </c:pt>
                <c:pt idx="652">
                  <c:v>6.0999999999999999E-2</c:v>
                </c:pt>
                <c:pt idx="653">
                  <c:v>6.3399999999999998E-2</c:v>
                </c:pt>
                <c:pt idx="654">
                  <c:v>6.4000000000000001E-2</c:v>
                </c:pt>
                <c:pt idx="655">
                  <c:v>6.4000000000000001E-2</c:v>
                </c:pt>
                <c:pt idx="656">
                  <c:v>6.4299999999999996E-2</c:v>
                </c:pt>
                <c:pt idx="657">
                  <c:v>6.4699999999999994E-2</c:v>
                </c:pt>
                <c:pt idx="658">
                  <c:v>7.1999999999999995E-2</c:v>
                </c:pt>
                <c:pt idx="659">
                  <c:v>6.9800000000000001E-2</c:v>
                </c:pt>
                <c:pt idx="660">
                  <c:v>6.6799999999999998E-2</c:v>
                </c:pt>
                <c:pt idx="661">
                  <c:v>6.8500000000000005E-2</c:v>
                </c:pt>
                <c:pt idx="662">
                  <c:v>6.2700000000000006E-2</c:v>
                </c:pt>
                <c:pt idx="663">
                  <c:v>6.4399999999999999E-2</c:v>
                </c:pt>
                <c:pt idx="664">
                  <c:v>6.5199999999999994E-2</c:v>
                </c:pt>
                <c:pt idx="665">
                  <c:v>6.54E-2</c:v>
                </c:pt>
                <c:pt idx="666">
                  <c:v>6.54E-2</c:v>
                </c:pt>
                <c:pt idx="667">
                  <c:v>5.8999999999999997E-2</c:v>
                </c:pt>
                <c:pt idx="668">
                  <c:v>5.8299999999999998E-2</c:v>
                </c:pt>
                <c:pt idx="669">
                  <c:v>5.3699999999999998E-2</c:v>
                </c:pt>
                <c:pt idx="670">
                  <c:v>5.8299999999999998E-2</c:v>
                </c:pt>
                <c:pt idx="671">
                  <c:v>5.8099999999999999E-2</c:v>
                </c:pt>
                <c:pt idx="672">
                  <c:v>6.1499999999999999E-2</c:v>
                </c:pt>
                <c:pt idx="673">
                  <c:v>5.9400000000000001E-2</c:v>
                </c:pt>
                <c:pt idx="674">
                  <c:v>5.8999999999999997E-2</c:v>
                </c:pt>
                <c:pt idx="675">
                  <c:v>5.9200000000000003E-2</c:v>
                </c:pt>
                <c:pt idx="676">
                  <c:v>5.6099999999999997E-2</c:v>
                </c:pt>
                <c:pt idx="677">
                  <c:v>6.2300000000000001E-2</c:v>
                </c:pt>
                <c:pt idx="678">
                  <c:v>6.1600000000000002E-2</c:v>
                </c:pt>
                <c:pt idx="679">
                  <c:v>6.4699999999999994E-2</c:v>
                </c:pt>
                <c:pt idx="680">
                  <c:v>5.3400000000000003E-2</c:v>
                </c:pt>
                <c:pt idx="681">
                  <c:v>5.3600000000000002E-2</c:v>
                </c:pt>
                <c:pt idx="682">
                  <c:v>4.8500000000000001E-2</c:v>
                </c:pt>
                <c:pt idx="683">
                  <c:v>5.7799999999999997E-2</c:v>
                </c:pt>
                <c:pt idx="684">
                  <c:v>5.7799999999999997E-2</c:v>
                </c:pt>
                <c:pt idx="685">
                  <c:v>6.2399999999999997E-2</c:v>
                </c:pt>
                <c:pt idx="686">
                  <c:v>5.1400000000000001E-2</c:v>
                </c:pt>
                <c:pt idx="687">
                  <c:v>0.10920000000000001</c:v>
                </c:pt>
                <c:pt idx="688">
                  <c:v>0.1192</c:v>
                </c:pt>
                <c:pt idx="689">
                  <c:v>0.1159</c:v>
                </c:pt>
                <c:pt idx="690">
                  <c:v>0.1173</c:v>
                </c:pt>
                <c:pt idx="691">
                  <c:v>0.14499999999999999</c:v>
                </c:pt>
                <c:pt idx="692">
                  <c:v>0.15079999999999999</c:v>
                </c:pt>
                <c:pt idx="693">
                  <c:v>0.14560000000000001</c:v>
                </c:pt>
                <c:pt idx="694">
                  <c:v>0.13980000000000001</c:v>
                </c:pt>
                <c:pt idx="695">
                  <c:v>0.1459</c:v>
                </c:pt>
                <c:pt idx="696">
                  <c:v>0.14760000000000001</c:v>
                </c:pt>
                <c:pt idx="697">
                  <c:v>0.13339999999999999</c:v>
                </c:pt>
                <c:pt idx="698">
                  <c:v>0.14399999999999999</c:v>
                </c:pt>
                <c:pt idx="699">
                  <c:v>0.1492</c:v>
                </c:pt>
                <c:pt idx="700">
                  <c:v>0.161</c:v>
                </c:pt>
                <c:pt idx="701">
                  <c:v>0.16039999999999999</c:v>
                </c:pt>
                <c:pt idx="702">
                  <c:v>0.12559999999999999</c:v>
                </c:pt>
                <c:pt idx="703">
                  <c:v>0.14419999999999999</c:v>
                </c:pt>
                <c:pt idx="704">
                  <c:v>0.16209999999999999</c:v>
                </c:pt>
                <c:pt idx="705">
                  <c:v>0.1424</c:v>
                </c:pt>
                <c:pt idx="706">
                  <c:v>0.1298</c:v>
                </c:pt>
                <c:pt idx="707">
                  <c:v>0.125</c:v>
                </c:pt>
                <c:pt idx="708">
                  <c:v>0.1166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33-4F2F-B851-6A42652914E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-15.680089367874581</c:v>
                </c:pt>
                <c:pt idx="1">
                  <c:v>-15.674120896584258</c:v>
                </c:pt>
                <c:pt idx="2">
                  <c:v>-15.621144360240171</c:v>
                </c:pt>
                <c:pt idx="3">
                  <c:v>-15.622868259485454</c:v>
                </c:pt>
                <c:pt idx="4">
                  <c:v>-15.725062324733683</c:v>
                </c:pt>
                <c:pt idx="5">
                  <c:v>-15.726722558067015</c:v>
                </c:pt>
                <c:pt idx="6">
                  <c:v>-15.608387036141089</c:v>
                </c:pt>
                <c:pt idx="7">
                  <c:v>-15.338532573322706</c:v>
                </c:pt>
                <c:pt idx="8">
                  <c:v>-14.676962552742996</c:v>
                </c:pt>
                <c:pt idx="9">
                  <c:v>-14.553276898609662</c:v>
                </c:pt>
                <c:pt idx="10">
                  <c:v>-14.571315258609662</c:v>
                </c:pt>
                <c:pt idx="11">
                  <c:v>-14.439220097359662</c:v>
                </c:pt>
                <c:pt idx="12">
                  <c:v>-14.420732612744276</c:v>
                </c:pt>
                <c:pt idx="13">
                  <c:v>-14.421829259999178</c:v>
                </c:pt>
                <c:pt idx="14">
                  <c:v>-14.43773122943314</c:v>
                </c:pt>
                <c:pt idx="15">
                  <c:v>-14.345880472327879</c:v>
                </c:pt>
                <c:pt idx="16">
                  <c:v>-14.377414468472455</c:v>
                </c:pt>
                <c:pt idx="17">
                  <c:v>-14.44083660640349</c:v>
                </c:pt>
                <c:pt idx="18">
                  <c:v>-14.390064710349069</c:v>
                </c:pt>
                <c:pt idx="19">
                  <c:v>-14.367076385803614</c:v>
                </c:pt>
                <c:pt idx="20">
                  <c:v>-14.170185014965291</c:v>
                </c:pt>
                <c:pt idx="21">
                  <c:v>-14.084578738754109</c:v>
                </c:pt>
                <c:pt idx="22">
                  <c:v>-14.137657613625688</c:v>
                </c:pt>
                <c:pt idx="23">
                  <c:v>-13.855521273258717</c:v>
                </c:pt>
                <c:pt idx="24">
                  <c:v>-13.803564997289724</c:v>
                </c:pt>
                <c:pt idx="25">
                  <c:v>-13.659612763307424</c:v>
                </c:pt>
                <c:pt idx="26">
                  <c:v>-13.627120743505444</c:v>
                </c:pt>
                <c:pt idx="27">
                  <c:v>-13.68327856437501</c:v>
                </c:pt>
                <c:pt idx="28">
                  <c:v>-13.667762365433832</c:v>
                </c:pt>
                <c:pt idx="29">
                  <c:v>-13.692515611324243</c:v>
                </c:pt>
                <c:pt idx="30">
                  <c:v>-13.539354041324243</c:v>
                </c:pt>
                <c:pt idx="31">
                  <c:v>-13.452274173649826</c:v>
                </c:pt>
                <c:pt idx="32">
                  <c:v>-13.344304308094269</c:v>
                </c:pt>
                <c:pt idx="33">
                  <c:v>-13.24565700316035</c:v>
                </c:pt>
                <c:pt idx="34">
                  <c:v>-13.247095751894529</c:v>
                </c:pt>
                <c:pt idx="35">
                  <c:v>-13.065283031696508</c:v>
                </c:pt>
                <c:pt idx="36">
                  <c:v>-13.253726316105956</c:v>
                </c:pt>
                <c:pt idx="37">
                  <c:v>-13.318365736582148</c:v>
                </c:pt>
                <c:pt idx="38">
                  <c:v>-13.352432079439291</c:v>
                </c:pt>
                <c:pt idx="39">
                  <c:v>-13.433465714994847</c:v>
                </c:pt>
                <c:pt idx="40">
                  <c:v>-13.288650845471038</c:v>
                </c:pt>
                <c:pt idx="41">
                  <c:v>-13.15669355157033</c:v>
                </c:pt>
                <c:pt idx="42">
                  <c:v>-13.083858850367323</c:v>
                </c:pt>
                <c:pt idx="43">
                  <c:v>-12.935819907510178</c:v>
                </c:pt>
                <c:pt idx="44">
                  <c:v>-13.112535718473142</c:v>
                </c:pt>
                <c:pt idx="45">
                  <c:v>-13.099151430866304</c:v>
                </c:pt>
                <c:pt idx="46">
                  <c:v>-12.987524584395716</c:v>
                </c:pt>
                <c:pt idx="47">
                  <c:v>-12.765739956617939</c:v>
                </c:pt>
                <c:pt idx="48">
                  <c:v>-12.771751592981577</c:v>
                </c:pt>
                <c:pt idx="49">
                  <c:v>-12.53404676475577</c:v>
                </c:pt>
                <c:pt idx="50">
                  <c:v>-12.32437275246069</c:v>
                </c:pt>
                <c:pt idx="51">
                  <c:v>-12.557470337076074</c:v>
                </c:pt>
                <c:pt idx="52">
                  <c:v>-12.202625583403758</c:v>
                </c:pt>
                <c:pt idx="53">
                  <c:v>-12.58566504249467</c:v>
                </c:pt>
                <c:pt idx="54">
                  <c:v>-12.15140328980236</c:v>
                </c:pt>
                <c:pt idx="55">
                  <c:v>-12.498807465526497</c:v>
                </c:pt>
                <c:pt idx="56">
                  <c:v>-11.85597036748822</c:v>
                </c:pt>
                <c:pt idx="57">
                  <c:v>-11.364671588952655</c:v>
                </c:pt>
                <c:pt idx="58">
                  <c:v>-11.024245152994466</c:v>
                </c:pt>
                <c:pt idx="59">
                  <c:v>-10.554902431979972</c:v>
                </c:pt>
                <c:pt idx="60">
                  <c:v>-9.3346650066552979</c:v>
                </c:pt>
                <c:pt idx="61">
                  <c:v>-9.3201270434052965</c:v>
                </c:pt>
                <c:pt idx="62">
                  <c:v>-8.3104746921354558</c:v>
                </c:pt>
                <c:pt idx="63">
                  <c:v>-2.773163519314084</c:v>
                </c:pt>
                <c:pt idx="64">
                  <c:v>-6.8104278370576399</c:v>
                </c:pt>
                <c:pt idx="65">
                  <c:v>-6.7952838318521609</c:v>
                </c:pt>
                <c:pt idx="66">
                  <c:v>-6.8101930371351793</c:v>
                </c:pt>
                <c:pt idx="67">
                  <c:v>-6.7969395427003967</c:v>
                </c:pt>
                <c:pt idx="68">
                  <c:v>-6.7573240217182535</c:v>
                </c:pt>
                <c:pt idx="69">
                  <c:v>-6.9050557822031031</c:v>
                </c:pt>
                <c:pt idx="70">
                  <c:v>-6.7259200530714516</c:v>
                </c:pt>
                <c:pt idx="71">
                  <c:v>-6.3230046652369012</c:v>
                </c:pt>
                <c:pt idx="72">
                  <c:v>-6.3514814501934236</c:v>
                </c:pt>
                <c:pt idx="73">
                  <c:v>-6.2978110269835472</c:v>
                </c:pt>
                <c:pt idx="74">
                  <c:v>-6.0843679124221435</c:v>
                </c:pt>
                <c:pt idx="75">
                  <c:v>-6.1094106768822378</c:v>
                </c:pt>
                <c:pt idx="76">
                  <c:v>-6.0332049323767425</c:v>
                </c:pt>
                <c:pt idx="77">
                  <c:v>-6.0570671565872685</c:v>
                </c:pt>
                <c:pt idx="78">
                  <c:v>-6.1363814688553093</c:v>
                </c:pt>
                <c:pt idx="79">
                  <c:v>-6.0484166435286761</c:v>
                </c:pt>
                <c:pt idx="80">
                  <c:v>-5.919104883599597</c:v>
                </c:pt>
                <c:pt idx="81">
                  <c:v>-5.9694039079632333</c:v>
                </c:pt>
                <c:pt idx="82">
                  <c:v>-5.9220022556555403</c:v>
                </c:pt>
                <c:pt idx="83">
                  <c:v>-5.9553594319055403</c:v>
                </c:pt>
                <c:pt idx="84">
                  <c:v>-5.9308545379055406</c:v>
                </c:pt>
                <c:pt idx="85">
                  <c:v>-5.8325064123736263</c:v>
                </c:pt>
                <c:pt idx="86">
                  <c:v>-6.0135607868080152</c:v>
                </c:pt>
                <c:pt idx="87">
                  <c:v>-6.0364414715537782</c:v>
                </c:pt>
                <c:pt idx="88">
                  <c:v>-5.9359531106842125</c:v>
                </c:pt>
                <c:pt idx="89">
                  <c:v>-5.7581199258078088</c:v>
                </c:pt>
                <c:pt idx="90">
                  <c:v>-5.8275890741622387</c:v>
                </c:pt>
                <c:pt idx="91">
                  <c:v>-5.8528951244607459</c:v>
                </c:pt>
                <c:pt idx="92">
                  <c:v>-6.0099294200551521</c:v>
                </c:pt>
                <c:pt idx="93">
                  <c:v>-5.9118260348016962</c:v>
                </c:pt>
                <c:pt idx="94">
                  <c:v>-5.8388711844568695</c:v>
                </c:pt>
                <c:pt idx="95">
                  <c:v>-5.8891851581856836</c:v>
                </c:pt>
                <c:pt idx="96">
                  <c:v>-6.0482342962291611</c:v>
                </c:pt>
                <c:pt idx="97">
                  <c:v>-6.0872100658182022</c:v>
                </c:pt>
                <c:pt idx="98">
                  <c:v>-6.0308080215959796</c:v>
                </c:pt>
                <c:pt idx="99">
                  <c:v>-5.9181674043297932</c:v>
                </c:pt>
                <c:pt idx="100">
                  <c:v>-5.9770456358326838</c:v>
                </c:pt>
                <c:pt idx="101">
                  <c:v>-5.9631277805265617</c:v>
                </c:pt>
                <c:pt idx="102">
                  <c:v>-5.9146973208901983</c:v>
                </c:pt>
                <c:pt idx="103">
                  <c:v>-5.8083605181504714</c:v>
                </c:pt>
                <c:pt idx="104">
                  <c:v>-6.0856756895790429</c:v>
                </c:pt>
                <c:pt idx="105">
                  <c:v>-6.130214278150472</c:v>
                </c:pt>
                <c:pt idx="106">
                  <c:v>-6.1196372751429537</c:v>
                </c:pt>
                <c:pt idx="107">
                  <c:v>-6.1215341618593717</c:v>
                </c:pt>
                <c:pt idx="108">
                  <c:v>-6.1855860662071986</c:v>
                </c:pt>
                <c:pt idx="109">
                  <c:v>-6.0636210501287664</c:v>
                </c:pt>
                <c:pt idx="110">
                  <c:v>-5.8624649673538967</c:v>
                </c:pt>
                <c:pt idx="111">
                  <c:v>-6.1423703996119619</c:v>
                </c:pt>
                <c:pt idx="112">
                  <c:v>-6.0772708159912714</c:v>
                </c:pt>
                <c:pt idx="113">
                  <c:v>-6.0684458977559776</c:v>
                </c:pt>
                <c:pt idx="114">
                  <c:v>-6.1873908276569676</c:v>
                </c:pt>
                <c:pt idx="115">
                  <c:v>-6.0942962311185065</c:v>
                </c:pt>
                <c:pt idx="116">
                  <c:v>-6.18457820327537</c:v>
                </c:pt>
                <c:pt idx="117">
                  <c:v>-6.0787387998711147</c:v>
                </c:pt>
                <c:pt idx="118">
                  <c:v>-6.3417401646859295</c:v>
                </c:pt>
                <c:pt idx="119">
                  <c:v>-6.457357800592666</c:v>
                </c:pt>
                <c:pt idx="120">
                  <c:v>-6.4256068437019085</c:v>
                </c:pt>
                <c:pt idx="121">
                  <c:v>-6.3244269012628838</c:v>
                </c:pt>
                <c:pt idx="122">
                  <c:v>-6.0293631704520729</c:v>
                </c:pt>
                <c:pt idx="123">
                  <c:v>-5.8366847045763661</c:v>
                </c:pt>
                <c:pt idx="124">
                  <c:v>-5.7990280328880548</c:v>
                </c:pt>
                <c:pt idx="125">
                  <c:v>-5.8403925112442181</c:v>
                </c:pt>
                <c:pt idx="126">
                  <c:v>-5.852051456006123</c:v>
                </c:pt>
                <c:pt idx="127">
                  <c:v>-6.0007852781661244</c:v>
                </c:pt>
                <c:pt idx="128">
                  <c:v>-6.1297974710795096</c:v>
                </c:pt>
                <c:pt idx="129">
                  <c:v>-5.9991491597704183</c:v>
                </c:pt>
                <c:pt idx="130">
                  <c:v>-5.9209886491550341</c:v>
                </c:pt>
                <c:pt idx="131">
                  <c:v>-5.9116932874050345</c:v>
                </c:pt>
                <c:pt idx="132">
                  <c:v>-5.9769245995877753</c:v>
                </c:pt>
                <c:pt idx="133">
                  <c:v>-6.2069825729211088</c:v>
                </c:pt>
                <c:pt idx="134">
                  <c:v>-6.1644254905681679</c:v>
                </c:pt>
                <c:pt idx="135">
                  <c:v>-6.2212419537068548</c:v>
                </c:pt>
                <c:pt idx="136">
                  <c:v>-6.2513965491613996</c:v>
                </c:pt>
                <c:pt idx="137">
                  <c:v>-6.3291653118524298</c:v>
                </c:pt>
                <c:pt idx="138">
                  <c:v>-6.315243982559501</c:v>
                </c:pt>
                <c:pt idx="139">
                  <c:v>-6.3074547212691785</c:v>
                </c:pt>
                <c:pt idx="140">
                  <c:v>-6.1105814498294899</c:v>
                </c:pt>
                <c:pt idx="141">
                  <c:v>-6.0105812178534421</c:v>
                </c:pt>
                <c:pt idx="142">
                  <c:v>-6.1004379784917404</c:v>
                </c:pt>
                <c:pt idx="143">
                  <c:v>-6.0289176910435645</c:v>
                </c:pt>
                <c:pt idx="144">
                  <c:v>-5.8474379861173729</c:v>
                </c:pt>
                <c:pt idx="145">
                  <c:v>-6.2555475103711045</c:v>
                </c:pt>
                <c:pt idx="146">
                  <c:v>-6.3016004672528254</c:v>
                </c:pt>
                <c:pt idx="147">
                  <c:v>-6.3650117688744476</c:v>
                </c:pt>
                <c:pt idx="148">
                  <c:v>-6.268666368105217</c:v>
                </c:pt>
                <c:pt idx="149">
                  <c:v>-6.4195515191052177</c:v>
                </c:pt>
                <c:pt idx="150">
                  <c:v>-6.1500310315811015</c:v>
                </c:pt>
                <c:pt idx="151">
                  <c:v>-6.0089103823811021</c:v>
                </c:pt>
                <c:pt idx="152">
                  <c:v>-6.0493404207739596</c:v>
                </c:pt>
                <c:pt idx="153">
                  <c:v>-5.9187039350730242</c:v>
                </c:pt>
                <c:pt idx="154">
                  <c:v>-6.0233438399494288</c:v>
                </c:pt>
                <c:pt idx="155">
                  <c:v>-5.8804085757940294</c:v>
                </c:pt>
                <c:pt idx="156">
                  <c:v>-5.8877504015854578</c:v>
                </c:pt>
                <c:pt idx="157">
                  <c:v>-5.901503902460747</c:v>
                </c:pt>
                <c:pt idx="158">
                  <c:v>-5.9081463002807455</c:v>
                </c:pt>
                <c:pt idx="159">
                  <c:v>-5.9350390218512228</c:v>
                </c:pt>
                <c:pt idx="160">
                  <c:v>-6.1062259589283849</c:v>
                </c:pt>
                <c:pt idx="161">
                  <c:v>-6.4391200550066454</c:v>
                </c:pt>
                <c:pt idx="162">
                  <c:v>-6.6204718338566444</c:v>
                </c:pt>
                <c:pt idx="163">
                  <c:v>-6.6204718338566444</c:v>
                </c:pt>
                <c:pt idx="164">
                  <c:v>-6.3614343926714598</c:v>
                </c:pt>
                <c:pt idx="165">
                  <c:v>-6.1211389788709303</c:v>
                </c:pt>
                <c:pt idx="166">
                  <c:v>-6.3611806355460985</c:v>
                </c:pt>
                <c:pt idx="167">
                  <c:v>-6.0334516246807146</c:v>
                </c:pt>
                <c:pt idx="168">
                  <c:v>-6.2802184182118905</c:v>
                </c:pt>
                <c:pt idx="169">
                  <c:v>-6.3254345189019361</c:v>
                </c:pt>
                <c:pt idx="170">
                  <c:v>-6.3512542130403595</c:v>
                </c:pt>
                <c:pt idx="171">
                  <c:v>-6.3037782643949036</c:v>
                </c:pt>
                <c:pt idx="172">
                  <c:v>-6.5435798933926623</c:v>
                </c:pt>
                <c:pt idx="173">
                  <c:v>-6.3609610155853336</c:v>
                </c:pt>
                <c:pt idx="174">
                  <c:v>-6.3609610155853336</c:v>
                </c:pt>
                <c:pt idx="175">
                  <c:v>-6.6662941424437019</c:v>
                </c:pt>
                <c:pt idx="176">
                  <c:v>-6.8694162975459241</c:v>
                </c:pt>
                <c:pt idx="177">
                  <c:v>-6.9648486858624592</c:v>
                </c:pt>
                <c:pt idx="178">
                  <c:v>-7.0714823777475644</c:v>
                </c:pt>
                <c:pt idx="179">
                  <c:v>-7.056198148309103</c:v>
                </c:pt>
                <c:pt idx="180">
                  <c:v>-6.936505983509103</c:v>
                </c:pt>
                <c:pt idx="181">
                  <c:v>-6.8711050050424367</c:v>
                </c:pt>
                <c:pt idx="182">
                  <c:v>-6.995906619837351</c:v>
                </c:pt>
                <c:pt idx="183">
                  <c:v>-7.074351806513822</c:v>
                </c:pt>
                <c:pt idx="184">
                  <c:v>-6.8552680553605843</c:v>
                </c:pt>
                <c:pt idx="185">
                  <c:v>-6.9654906804664254</c:v>
                </c:pt>
                <c:pt idx="186">
                  <c:v>-6.7955283489842033</c:v>
                </c:pt>
                <c:pt idx="187">
                  <c:v>-6.8174611930501374</c:v>
                </c:pt>
                <c:pt idx="188">
                  <c:v>-6.8578689169626381</c:v>
                </c:pt>
                <c:pt idx="189">
                  <c:v>-6.9111871010300536</c:v>
                </c:pt>
                <c:pt idx="190">
                  <c:v>-6.9827522918531315</c:v>
                </c:pt>
                <c:pt idx="191">
                  <c:v>-7.0606575307044137</c:v>
                </c:pt>
                <c:pt idx="192">
                  <c:v>-7.008508879063907</c:v>
                </c:pt>
                <c:pt idx="193">
                  <c:v>-6.9777178163911797</c:v>
                </c:pt>
                <c:pt idx="194">
                  <c:v>-6.9528598435534752</c:v>
                </c:pt>
                <c:pt idx="195">
                  <c:v>-6.9136919104874366</c:v>
                </c:pt>
                <c:pt idx="196">
                  <c:v>-6.8000484105207706</c:v>
                </c:pt>
                <c:pt idx="197">
                  <c:v>-6.8054441915597321</c:v>
                </c:pt>
                <c:pt idx="198">
                  <c:v>-6.8480932989494514</c:v>
                </c:pt>
                <c:pt idx="199">
                  <c:v>-6.8162168779194507</c:v>
                </c:pt>
                <c:pt idx="200">
                  <c:v>-6.7800096532739964</c:v>
                </c:pt>
                <c:pt idx="201">
                  <c:v>-6.8137808093739958</c:v>
                </c:pt>
                <c:pt idx="202">
                  <c:v>-6.8007259375568525</c:v>
                </c:pt>
                <c:pt idx="203">
                  <c:v>-6.8220779420229087</c:v>
                </c:pt>
                <c:pt idx="204">
                  <c:v>-6.7426532764786469</c:v>
                </c:pt>
                <c:pt idx="205">
                  <c:v>-6.7618172318841641</c:v>
                </c:pt>
                <c:pt idx="206">
                  <c:v>-6.7732836424160805</c:v>
                </c:pt>
                <c:pt idx="207">
                  <c:v>-6.7554155399044529</c:v>
                </c:pt>
                <c:pt idx="208">
                  <c:v>-6.7182696446344536</c:v>
                </c:pt>
                <c:pt idx="209">
                  <c:v>-6.7535240743256937</c:v>
                </c:pt>
                <c:pt idx="210">
                  <c:v>-6.7211914528175853</c:v>
                </c:pt>
                <c:pt idx="211">
                  <c:v>-6.599295708468091</c:v>
                </c:pt>
                <c:pt idx="212">
                  <c:v>-6.839576788942888</c:v>
                </c:pt>
                <c:pt idx="213">
                  <c:v>-6.8408027513035776</c:v>
                </c:pt>
                <c:pt idx="214">
                  <c:v>-6.9020181117783252</c:v>
                </c:pt>
                <c:pt idx="215">
                  <c:v>-7.0225084441361236</c:v>
                </c:pt>
                <c:pt idx="216">
                  <c:v>-7.1360829930509393</c:v>
                </c:pt>
                <c:pt idx="217">
                  <c:v>-6.8831835635326009</c:v>
                </c:pt>
                <c:pt idx="218">
                  <c:v>-6.9563590557197141</c:v>
                </c:pt>
                <c:pt idx="219">
                  <c:v>-6.9577989501299946</c:v>
                </c:pt>
                <c:pt idx="220">
                  <c:v>-6.9562297528429573</c:v>
                </c:pt>
                <c:pt idx="221">
                  <c:v>-6.7950182968047059</c:v>
                </c:pt>
                <c:pt idx="222">
                  <c:v>-6.8104464320091509</c:v>
                </c:pt>
                <c:pt idx="223">
                  <c:v>-6.723304164457427</c:v>
                </c:pt>
                <c:pt idx="224">
                  <c:v>-6.6904849040166861</c:v>
                </c:pt>
                <c:pt idx="225">
                  <c:v>-6.674261966806343</c:v>
                </c:pt>
                <c:pt idx="226">
                  <c:v>-6.6169350125426387</c:v>
                </c:pt>
                <c:pt idx="227">
                  <c:v>-6.5816528638698228</c:v>
                </c:pt>
                <c:pt idx="228">
                  <c:v>-6.5910279505880043</c:v>
                </c:pt>
                <c:pt idx="229">
                  <c:v>-6.6265572904451471</c:v>
                </c:pt>
                <c:pt idx="230">
                  <c:v>-6.6296437044639323</c:v>
                </c:pt>
                <c:pt idx="231">
                  <c:v>-6.582931885959054</c:v>
                </c:pt>
                <c:pt idx="232">
                  <c:v>-6.5756148959699239</c:v>
                </c:pt>
                <c:pt idx="233">
                  <c:v>-6.7157397820597788</c:v>
                </c:pt>
                <c:pt idx="234">
                  <c:v>-6.9905052933766711</c:v>
                </c:pt>
                <c:pt idx="235">
                  <c:v>-6.8451306936620213</c:v>
                </c:pt>
                <c:pt idx="236">
                  <c:v>-6.9445227291506288</c:v>
                </c:pt>
                <c:pt idx="237">
                  <c:v>-6.8301617595847608</c:v>
                </c:pt>
                <c:pt idx="238">
                  <c:v>-6.7833632757590632</c:v>
                </c:pt>
                <c:pt idx="239">
                  <c:v>-6.9583085958206015</c:v>
                </c:pt>
                <c:pt idx="240">
                  <c:v>-6.9731030879168632</c:v>
                </c:pt>
                <c:pt idx="241">
                  <c:v>-6.9651106456418628</c:v>
                </c:pt>
                <c:pt idx="242">
                  <c:v>-7.1856098466854075</c:v>
                </c:pt>
                <c:pt idx="243">
                  <c:v>-7.2056762480359531</c:v>
                </c:pt>
                <c:pt idx="244">
                  <c:v>-7.1035420931893043</c:v>
                </c:pt>
                <c:pt idx="245">
                  <c:v>-7.0280820368886134</c:v>
                </c:pt>
                <c:pt idx="246">
                  <c:v>-6.9231310759331119</c:v>
                </c:pt>
                <c:pt idx="247">
                  <c:v>-7.0604943321685765</c:v>
                </c:pt>
                <c:pt idx="248">
                  <c:v>-6.9665274536082462</c:v>
                </c:pt>
                <c:pt idx="249">
                  <c:v>-7.1927370042882455</c:v>
                </c:pt>
                <c:pt idx="250">
                  <c:v>-7.197063574151719</c:v>
                </c:pt>
                <c:pt idx="251">
                  <c:v>-6.9898023433423662</c:v>
                </c:pt>
                <c:pt idx="252">
                  <c:v>-6.9772810316610148</c:v>
                </c:pt>
                <c:pt idx="253">
                  <c:v>-7.1695098237486174</c:v>
                </c:pt>
                <c:pt idx="254">
                  <c:v>-6.816140545207837</c:v>
                </c:pt>
                <c:pt idx="255">
                  <c:v>-6.6310082347861181</c:v>
                </c:pt>
                <c:pt idx="256">
                  <c:v>-6.5795090803172975</c:v>
                </c:pt>
                <c:pt idx="257">
                  <c:v>-6.5187141945382718</c:v>
                </c:pt>
                <c:pt idx="258">
                  <c:v>-6.1940364402522645</c:v>
                </c:pt>
                <c:pt idx="259">
                  <c:v>-6.3747524396484936</c:v>
                </c:pt>
                <c:pt idx="260">
                  <c:v>-6.22762321765269</c:v>
                </c:pt>
                <c:pt idx="261">
                  <c:v>-5.8838190734367268</c:v>
                </c:pt>
                <c:pt idx="262">
                  <c:v>-6.0161535905729799</c:v>
                </c:pt>
                <c:pt idx="263">
                  <c:v>-5.7055306872867275</c:v>
                </c:pt>
                <c:pt idx="264">
                  <c:v>-5.3158715959558966</c:v>
                </c:pt>
                <c:pt idx="265">
                  <c:v>-3.101362179901618</c:v>
                </c:pt>
                <c:pt idx="266">
                  <c:v>-3.474849112653029</c:v>
                </c:pt>
                <c:pt idx="267">
                  <c:v>-3.7275476528624036</c:v>
                </c:pt>
                <c:pt idx="268">
                  <c:v>-3.8247263376372063</c:v>
                </c:pt>
                <c:pt idx="269">
                  <c:v>-3.5484330634056893</c:v>
                </c:pt>
                <c:pt idx="270">
                  <c:v>-3.4801067585879712</c:v>
                </c:pt>
                <c:pt idx="271">
                  <c:v>-3.4268946699806624</c:v>
                </c:pt>
                <c:pt idx="272">
                  <c:v>-3.3307619789589484</c:v>
                </c:pt>
                <c:pt idx="273">
                  <c:v>-3.6086257339370733</c:v>
                </c:pt>
                <c:pt idx="274">
                  <c:v>-3.6146865593586424</c:v>
                </c:pt>
                <c:pt idx="275">
                  <c:v>-3.6687898887047674</c:v>
                </c:pt>
                <c:pt idx="276">
                  <c:v>-3.8794984024593893</c:v>
                </c:pt>
                <c:pt idx="277">
                  <c:v>-4.1789475500393891</c:v>
                </c:pt>
                <c:pt idx="278">
                  <c:v>-4.0895166305000972</c:v>
                </c:pt>
                <c:pt idx="279">
                  <c:v>-3.9822151395726784</c:v>
                </c:pt>
                <c:pt idx="280">
                  <c:v>-4.1885100794327368</c:v>
                </c:pt>
                <c:pt idx="281">
                  <c:v>-3.6380032763603807</c:v>
                </c:pt>
                <c:pt idx="282">
                  <c:v>-3.4397314550042206</c:v>
                </c:pt>
                <c:pt idx="283">
                  <c:v>-3.6082619583466173</c:v>
                </c:pt>
                <c:pt idx="284">
                  <c:v>-3.3635733078001722</c:v>
                </c:pt>
                <c:pt idx="285">
                  <c:v>-3.3003083017389589</c:v>
                </c:pt>
                <c:pt idx="286">
                  <c:v>-3.0805208547120624</c:v>
                </c:pt>
                <c:pt idx="287">
                  <c:v>-3.0617371599164422</c:v>
                </c:pt>
                <c:pt idx="288">
                  <c:v>-2.9760530434250909</c:v>
                </c:pt>
                <c:pt idx="289">
                  <c:v>-3.0044269206530911</c:v>
                </c:pt>
                <c:pt idx="290">
                  <c:v>-2.8653102918530911</c:v>
                </c:pt>
                <c:pt idx="291">
                  <c:v>-2.7242499362983583</c:v>
                </c:pt>
                <c:pt idx="292">
                  <c:v>-2.6975090052733863</c:v>
                </c:pt>
                <c:pt idx="293">
                  <c:v>-2.1179137732537447</c:v>
                </c:pt>
                <c:pt idx="294">
                  <c:v>-2.2346864487283873</c:v>
                </c:pt>
                <c:pt idx="295">
                  <c:v>-2.2830243987091507</c:v>
                </c:pt>
                <c:pt idx="296">
                  <c:v>-1.9242944394619554</c:v>
                </c:pt>
                <c:pt idx="297">
                  <c:v>-1.5452725018089706</c:v>
                </c:pt>
                <c:pt idx="298">
                  <c:v>-1.7404738590301971</c:v>
                </c:pt>
                <c:pt idx="299">
                  <c:v>-1.8632250008832252</c:v>
                </c:pt>
                <c:pt idx="300">
                  <c:v>-1.5785314798056742</c:v>
                </c:pt>
                <c:pt idx="301">
                  <c:v>-1.5744315028209577</c:v>
                </c:pt>
                <c:pt idx="302">
                  <c:v>-1.7356223649824964</c:v>
                </c:pt>
                <c:pt idx="303">
                  <c:v>-1.945371093100144</c:v>
                </c:pt>
                <c:pt idx="304">
                  <c:v>-1.6865492164532268</c:v>
                </c:pt>
                <c:pt idx="305">
                  <c:v>-2.0936033976725823</c:v>
                </c:pt>
                <c:pt idx="306">
                  <c:v>-2.4777754975765829</c:v>
                </c:pt>
                <c:pt idx="307">
                  <c:v>-2.4038066052540255</c:v>
                </c:pt>
                <c:pt idx="308">
                  <c:v>-2.4503856823281596</c:v>
                </c:pt>
                <c:pt idx="309">
                  <c:v>-1.5513980777103591</c:v>
                </c:pt>
                <c:pt idx="310">
                  <c:v>-1.3423748313221453</c:v>
                </c:pt>
                <c:pt idx="311">
                  <c:v>-1.3074157267846453</c:v>
                </c:pt>
                <c:pt idx="312">
                  <c:v>-0.96883625412135388</c:v>
                </c:pt>
                <c:pt idx="313">
                  <c:v>-1.0059187644196137</c:v>
                </c:pt>
                <c:pt idx="314">
                  <c:v>-0.71026224078052536</c:v>
                </c:pt>
                <c:pt idx="315">
                  <c:v>-1.0549196754956858</c:v>
                </c:pt>
                <c:pt idx="316">
                  <c:v>-0.76093991102612168</c:v>
                </c:pt>
                <c:pt idx="317">
                  <c:v>-0.93248133931330202</c:v>
                </c:pt>
                <c:pt idx="318">
                  <c:v>-0.59994327107023626</c:v>
                </c:pt>
                <c:pt idx="319">
                  <c:v>-0.84399760808298996</c:v>
                </c:pt>
                <c:pt idx="320">
                  <c:v>-0.92193966995490106</c:v>
                </c:pt>
                <c:pt idx="321">
                  <c:v>-1.2881695665716673</c:v>
                </c:pt>
                <c:pt idx="322">
                  <c:v>-0.92924009184931422</c:v>
                </c:pt>
                <c:pt idx="323">
                  <c:v>-1.3235774954797606</c:v>
                </c:pt>
                <c:pt idx="324">
                  <c:v>-1.010360928781888</c:v>
                </c:pt>
                <c:pt idx="325">
                  <c:v>-1.2798396158289471</c:v>
                </c:pt>
                <c:pt idx="326">
                  <c:v>-1.3279755819469599</c:v>
                </c:pt>
                <c:pt idx="327">
                  <c:v>-1.2254030567517984</c:v>
                </c:pt>
                <c:pt idx="328">
                  <c:v>-1.3166977977568484</c:v>
                </c:pt>
                <c:pt idx="329">
                  <c:v>-1.2303693226404742</c:v>
                </c:pt>
                <c:pt idx="330">
                  <c:v>-0.98644148190176439</c:v>
                </c:pt>
                <c:pt idx="331">
                  <c:v>-0.89783742760551388</c:v>
                </c:pt>
                <c:pt idx="332">
                  <c:v>-0.75847085094669031</c:v>
                </c:pt>
                <c:pt idx="333">
                  <c:v>-0.95966564565119172</c:v>
                </c:pt>
                <c:pt idx="334">
                  <c:v>-0.92443414306478022</c:v>
                </c:pt>
                <c:pt idx="335">
                  <c:v>-0.45122741530694893</c:v>
                </c:pt>
                <c:pt idx="336">
                  <c:v>0.62320549234044731</c:v>
                </c:pt>
                <c:pt idx="337">
                  <c:v>0.4284625611263298</c:v>
                </c:pt>
                <c:pt idx="338">
                  <c:v>0.63722407883493692</c:v>
                </c:pt>
                <c:pt idx="339">
                  <c:v>0.85370483321463242</c:v>
                </c:pt>
                <c:pt idx="340">
                  <c:v>1.4995766805533248</c:v>
                </c:pt>
                <c:pt idx="341">
                  <c:v>1.0562200711931768</c:v>
                </c:pt>
                <c:pt idx="342">
                  <c:v>1.1200682366209376</c:v>
                </c:pt>
                <c:pt idx="343">
                  <c:v>1.4333994930763836</c:v>
                </c:pt>
                <c:pt idx="344">
                  <c:v>0.83599876577974697</c:v>
                </c:pt>
                <c:pt idx="345">
                  <c:v>0.77663358048104547</c:v>
                </c:pt>
                <c:pt idx="346">
                  <c:v>0.83197037564611676</c:v>
                </c:pt>
                <c:pt idx="347">
                  <c:v>0.87314391908209232</c:v>
                </c:pt>
                <c:pt idx="348">
                  <c:v>0.93527161594280661</c:v>
                </c:pt>
                <c:pt idx="349">
                  <c:v>0.57878783098395947</c:v>
                </c:pt>
                <c:pt idx="350">
                  <c:v>0.25789371285308665</c:v>
                </c:pt>
                <c:pt idx="351">
                  <c:v>0.1164366724468629</c:v>
                </c:pt>
                <c:pt idx="352">
                  <c:v>-0.38646068887996693</c:v>
                </c:pt>
                <c:pt idx="353">
                  <c:v>-0.80177715837901475</c:v>
                </c:pt>
                <c:pt idx="354">
                  <c:v>-0.9257920575030657</c:v>
                </c:pt>
                <c:pt idx="355">
                  <c:v>-0.91767615810696168</c:v>
                </c:pt>
                <c:pt idx="356">
                  <c:v>-0.71977367242124701</c:v>
                </c:pt>
                <c:pt idx="357">
                  <c:v>-0.92239459103062316</c:v>
                </c:pt>
                <c:pt idx="358">
                  <c:v>-1.237504676906134</c:v>
                </c:pt>
                <c:pt idx="359">
                  <c:v>-1.5136449741658742</c:v>
                </c:pt>
                <c:pt idx="360">
                  <c:v>-1.5602797607475072</c:v>
                </c:pt>
                <c:pt idx="361">
                  <c:v>-1.6941812000155081</c:v>
                </c:pt>
                <c:pt idx="362">
                  <c:v>-1.6270509269415949</c:v>
                </c:pt>
                <c:pt idx="363">
                  <c:v>-1.7842773905844524</c:v>
                </c:pt>
                <c:pt idx="364">
                  <c:v>-1.9294814038181869</c:v>
                </c:pt>
                <c:pt idx="365">
                  <c:v>-1.94528168732345</c:v>
                </c:pt>
                <c:pt idx="366">
                  <c:v>-1.7773571912377357</c:v>
                </c:pt>
                <c:pt idx="367">
                  <c:v>-1.8214639608946586</c:v>
                </c:pt>
                <c:pt idx="368">
                  <c:v>-1.6164717226102832</c:v>
                </c:pt>
                <c:pt idx="369">
                  <c:v>-1.6205633713994405</c:v>
                </c:pt>
                <c:pt idx="370">
                  <c:v>-1.4057257030994401</c:v>
                </c:pt>
                <c:pt idx="371">
                  <c:v>-1.3207080049039515</c:v>
                </c:pt>
                <c:pt idx="372">
                  <c:v>-1.179176346538872</c:v>
                </c:pt>
                <c:pt idx="373">
                  <c:v>-1.3142345301570537</c:v>
                </c:pt>
                <c:pt idx="374">
                  <c:v>-1.2137482434570539</c:v>
                </c:pt>
                <c:pt idx="375">
                  <c:v>-1.2764148067875798</c:v>
                </c:pt>
                <c:pt idx="376">
                  <c:v>-1.2667091752524451</c:v>
                </c:pt>
                <c:pt idx="377">
                  <c:v>-1.2510658618934976</c:v>
                </c:pt>
                <c:pt idx="378">
                  <c:v>-1.274518650967182</c:v>
                </c:pt>
                <c:pt idx="379">
                  <c:v>-1.2666412214092111</c:v>
                </c:pt>
                <c:pt idx="380">
                  <c:v>-1.2833433877963079</c:v>
                </c:pt>
                <c:pt idx="381">
                  <c:v>-1.2678914566777033</c:v>
                </c:pt>
                <c:pt idx="382">
                  <c:v>-1.2593632695843699</c:v>
                </c:pt>
                <c:pt idx="383">
                  <c:v>-1.2562806298792155</c:v>
                </c:pt>
                <c:pt idx="384">
                  <c:v>-1.3302386828906438</c:v>
                </c:pt>
                <c:pt idx="385">
                  <c:v>-1.3614305014106438</c:v>
                </c:pt>
                <c:pt idx="386">
                  <c:v>-1.3287946844420448</c:v>
                </c:pt>
                <c:pt idx="387">
                  <c:v>-1.3741804664687116</c:v>
                </c:pt>
                <c:pt idx="388">
                  <c:v>-1.3822529100687113</c:v>
                </c:pt>
                <c:pt idx="389">
                  <c:v>-1.4723758612374613</c:v>
                </c:pt>
                <c:pt idx="390">
                  <c:v>-1.4918879560497418</c:v>
                </c:pt>
                <c:pt idx="391">
                  <c:v>-1.4599551022916026</c:v>
                </c:pt>
                <c:pt idx="392">
                  <c:v>-1.5104218423339555</c:v>
                </c:pt>
                <c:pt idx="393">
                  <c:v>-1.4944748397717935</c:v>
                </c:pt>
                <c:pt idx="394">
                  <c:v>-1.4992700701451269</c:v>
                </c:pt>
                <c:pt idx="395">
                  <c:v>-1.5123907353595847</c:v>
                </c:pt>
                <c:pt idx="396">
                  <c:v>-1.5029302035174794</c:v>
                </c:pt>
                <c:pt idx="397">
                  <c:v>-1.4953345451334792</c:v>
                </c:pt>
                <c:pt idx="398">
                  <c:v>-1.4939396414209791</c:v>
                </c:pt>
                <c:pt idx="399">
                  <c:v>-1.4908551549004314</c:v>
                </c:pt>
                <c:pt idx="400">
                  <c:v>-1.5211728962575741</c:v>
                </c:pt>
                <c:pt idx="401">
                  <c:v>-1.4734604257295743</c:v>
                </c:pt>
                <c:pt idx="402">
                  <c:v>-1.4949893886646388</c:v>
                </c:pt>
                <c:pt idx="403">
                  <c:v>-1.464899875624639</c:v>
                </c:pt>
                <c:pt idx="404">
                  <c:v>-1.4543372418674965</c:v>
                </c:pt>
                <c:pt idx="405">
                  <c:v>-1.4254665486081217</c:v>
                </c:pt>
                <c:pt idx="406">
                  <c:v>-1.4011545430960737</c:v>
                </c:pt>
                <c:pt idx="407">
                  <c:v>-1.4385714277210735</c:v>
                </c:pt>
                <c:pt idx="408">
                  <c:v>-1.3959474843654029</c:v>
                </c:pt>
                <c:pt idx="409">
                  <c:v>-1.3083889519382188</c:v>
                </c:pt>
                <c:pt idx="410">
                  <c:v>-1.3003184279333408</c:v>
                </c:pt>
                <c:pt idx="411">
                  <c:v>-1.2834345472254196</c:v>
                </c:pt>
                <c:pt idx="412">
                  <c:v>-1.3003529452978335</c:v>
                </c:pt>
                <c:pt idx="413">
                  <c:v>-1.2782083720638711</c:v>
                </c:pt>
                <c:pt idx="414">
                  <c:v>-1.263204180559109</c:v>
                </c:pt>
                <c:pt idx="415">
                  <c:v>-1.2833486952025874</c:v>
                </c:pt>
                <c:pt idx="416">
                  <c:v>-1.2338073359494228</c:v>
                </c:pt>
                <c:pt idx="417">
                  <c:v>-1.2572656037727996</c:v>
                </c:pt>
                <c:pt idx="418">
                  <c:v>-1.2525129992502189</c:v>
                </c:pt>
                <c:pt idx="419">
                  <c:v>-1.2648247783725717</c:v>
                </c:pt>
                <c:pt idx="420">
                  <c:v>-1.217272595160807</c:v>
                </c:pt>
                <c:pt idx="421">
                  <c:v>-1.2378387809964235</c:v>
                </c:pt>
                <c:pt idx="422">
                  <c:v>-1.2585548609405415</c:v>
                </c:pt>
                <c:pt idx="423">
                  <c:v>-1.2340607329119699</c:v>
                </c:pt>
                <c:pt idx="424">
                  <c:v>-1.2815859622590287</c:v>
                </c:pt>
                <c:pt idx="425">
                  <c:v>-1.2815859622590287</c:v>
                </c:pt>
                <c:pt idx="426">
                  <c:v>-1.3032083321575794</c:v>
                </c:pt>
                <c:pt idx="427">
                  <c:v>-1.3419845240083992</c:v>
                </c:pt>
                <c:pt idx="428">
                  <c:v>-1.2525766728015026</c:v>
                </c:pt>
                <c:pt idx="429">
                  <c:v>-1.1572294984263933</c:v>
                </c:pt>
                <c:pt idx="430">
                  <c:v>-1.2424864119880372</c:v>
                </c:pt>
                <c:pt idx="431">
                  <c:v>-1.3164409186311743</c:v>
                </c:pt>
                <c:pt idx="432">
                  <c:v>-1.3110209117145077</c:v>
                </c:pt>
                <c:pt idx="433">
                  <c:v>-1.4078036963449427</c:v>
                </c:pt>
                <c:pt idx="434">
                  <c:v>-1.3968444406699427</c:v>
                </c:pt>
                <c:pt idx="435">
                  <c:v>-1.3943578581817075</c:v>
                </c:pt>
                <c:pt idx="436">
                  <c:v>-1.3960398166940531</c:v>
                </c:pt>
                <c:pt idx="437">
                  <c:v>-1.4122722912639327</c:v>
                </c:pt>
                <c:pt idx="438">
                  <c:v>-1.4298580933230236</c:v>
                </c:pt>
                <c:pt idx="439">
                  <c:v>-1.4068609296230237</c:v>
                </c:pt>
                <c:pt idx="440">
                  <c:v>-1.41279096348666</c:v>
                </c:pt>
                <c:pt idx="441">
                  <c:v>-1.4062454694129758</c:v>
                </c:pt>
                <c:pt idx="442">
                  <c:v>-1.3681032498562749</c:v>
                </c:pt>
                <c:pt idx="443">
                  <c:v>-1.3405544144516772</c:v>
                </c:pt>
                <c:pt idx="444">
                  <c:v>-1.402972938637816</c:v>
                </c:pt>
                <c:pt idx="445">
                  <c:v>-1.4294302768532008</c:v>
                </c:pt>
                <c:pt idx="446">
                  <c:v>-1.4471625218532007</c:v>
                </c:pt>
                <c:pt idx="447">
                  <c:v>-1.425864482401588</c:v>
                </c:pt>
                <c:pt idx="448">
                  <c:v>-1.4581430567415878</c:v>
                </c:pt>
                <c:pt idx="449">
                  <c:v>-1.4727268621610998</c:v>
                </c:pt>
                <c:pt idx="450">
                  <c:v>-1.4802138031610999</c:v>
                </c:pt>
                <c:pt idx="451">
                  <c:v>-1.4781538506205596</c:v>
                </c:pt>
                <c:pt idx="452">
                  <c:v>-1.4669056725974825</c:v>
                </c:pt>
                <c:pt idx="453">
                  <c:v>-1.4726237790584582</c:v>
                </c:pt>
                <c:pt idx="454">
                  <c:v>-1.4780961102323713</c:v>
                </c:pt>
                <c:pt idx="455">
                  <c:v>-1.4643604221370226</c:v>
                </c:pt>
                <c:pt idx="456">
                  <c:v>-1.4492171528798796</c:v>
                </c:pt>
                <c:pt idx="457">
                  <c:v>-1.4329335960771019</c:v>
                </c:pt>
                <c:pt idx="458">
                  <c:v>-1.415595152177102</c:v>
                </c:pt>
                <c:pt idx="459">
                  <c:v>-1.4014900556507861</c:v>
                </c:pt>
                <c:pt idx="460">
                  <c:v>-1.3794306203695361</c:v>
                </c:pt>
                <c:pt idx="461">
                  <c:v>-1.3732458845917586</c:v>
                </c:pt>
                <c:pt idx="462">
                  <c:v>-1.3610993227717583</c:v>
                </c:pt>
                <c:pt idx="463">
                  <c:v>-1.3712027920517584</c:v>
                </c:pt>
                <c:pt idx="464">
                  <c:v>-1.3619338872988174</c:v>
                </c:pt>
                <c:pt idx="465">
                  <c:v>-1.3476475922675673</c:v>
                </c:pt>
                <c:pt idx="466">
                  <c:v>-1.3426307792675671</c:v>
                </c:pt>
                <c:pt idx="467">
                  <c:v>-1.3383459512191798</c:v>
                </c:pt>
                <c:pt idx="468">
                  <c:v>-1.3400334156763229</c:v>
                </c:pt>
                <c:pt idx="469">
                  <c:v>-1.3373743296910767</c:v>
                </c:pt>
                <c:pt idx="470">
                  <c:v>-1.3530387352910769</c:v>
                </c:pt>
                <c:pt idx="471">
                  <c:v>-1.333529368891077</c:v>
                </c:pt>
                <c:pt idx="472">
                  <c:v>-1.3355419205277859</c:v>
                </c:pt>
                <c:pt idx="473">
                  <c:v>-1.3329340137124011</c:v>
                </c:pt>
                <c:pt idx="474">
                  <c:v>-1.3431906979176642</c:v>
                </c:pt>
                <c:pt idx="475">
                  <c:v>-1.3275484641309976</c:v>
                </c:pt>
                <c:pt idx="476">
                  <c:v>-1.3448023448068598</c:v>
                </c:pt>
                <c:pt idx="477">
                  <c:v>-1.3753010468068596</c:v>
                </c:pt>
                <c:pt idx="478">
                  <c:v>-1.3735980134218599</c:v>
                </c:pt>
                <c:pt idx="479">
                  <c:v>-1.3524272357920091</c:v>
                </c:pt>
                <c:pt idx="480">
                  <c:v>-1.3672616899217387</c:v>
                </c:pt>
                <c:pt idx="481">
                  <c:v>-1.3672616899217387</c:v>
                </c:pt>
                <c:pt idx="482">
                  <c:v>-1.3612288897717391</c:v>
                </c:pt>
                <c:pt idx="483">
                  <c:v>-1.3548614100868903</c:v>
                </c:pt>
                <c:pt idx="484">
                  <c:v>-1.3403883897628903</c:v>
                </c:pt>
                <c:pt idx="485">
                  <c:v>-1.321977260573701</c:v>
                </c:pt>
                <c:pt idx="486">
                  <c:v>-1.3081542783070346</c:v>
                </c:pt>
                <c:pt idx="487">
                  <c:v>-1.2206028910070343</c:v>
                </c:pt>
                <c:pt idx="488">
                  <c:v>-1.3270269469648293</c:v>
                </c:pt>
                <c:pt idx="489">
                  <c:v>-1.3347490211398292</c:v>
                </c:pt>
                <c:pt idx="490">
                  <c:v>-1.3557444400684004</c:v>
                </c:pt>
                <c:pt idx="491">
                  <c:v>-1.3841378110398292</c:v>
                </c:pt>
                <c:pt idx="492">
                  <c:v>-1.3624849114935136</c:v>
                </c:pt>
                <c:pt idx="493">
                  <c:v>-1.372682452786617</c:v>
                </c:pt>
                <c:pt idx="494">
                  <c:v>-1.3567742786712325</c:v>
                </c:pt>
                <c:pt idx="495">
                  <c:v>-1.3557758115477032</c:v>
                </c:pt>
                <c:pt idx="496">
                  <c:v>-1.3568824350691318</c:v>
                </c:pt>
                <c:pt idx="497">
                  <c:v>-1.3373991110278474</c:v>
                </c:pt>
                <c:pt idx="498">
                  <c:v>-1.3459208758278474</c:v>
                </c:pt>
                <c:pt idx="499">
                  <c:v>-1.3623161116984357</c:v>
                </c:pt>
                <c:pt idx="500">
                  <c:v>-1.284066350316919</c:v>
                </c:pt>
                <c:pt idx="501">
                  <c:v>-1.2801115072769189</c:v>
                </c:pt>
                <c:pt idx="502">
                  <c:v>-1.266245692619419</c:v>
                </c:pt>
                <c:pt idx="503">
                  <c:v>-1.2428059310262685</c:v>
                </c:pt>
                <c:pt idx="504">
                  <c:v>-1.2707110990904475</c:v>
                </c:pt>
                <c:pt idx="505">
                  <c:v>-1.3212693054793363</c:v>
                </c:pt>
                <c:pt idx="506">
                  <c:v>-1.3245341853230861</c:v>
                </c:pt>
                <c:pt idx="507">
                  <c:v>-1.3211733021295378</c:v>
                </c:pt>
                <c:pt idx="508">
                  <c:v>-1.3329341240170378</c:v>
                </c:pt>
                <c:pt idx="509">
                  <c:v>-1.3537753775377588</c:v>
                </c:pt>
                <c:pt idx="510">
                  <c:v>-1.3158956020010919</c:v>
                </c:pt>
                <c:pt idx="511">
                  <c:v>-1.3235943081020443</c:v>
                </c:pt>
                <c:pt idx="512">
                  <c:v>-1.2576358252111355</c:v>
                </c:pt>
                <c:pt idx="513">
                  <c:v>-1.2260184905128975</c:v>
                </c:pt>
                <c:pt idx="514">
                  <c:v>-1.2060329656952506</c:v>
                </c:pt>
                <c:pt idx="515">
                  <c:v>-1.1918973833283215</c:v>
                </c:pt>
                <c:pt idx="516">
                  <c:v>-1.1962897182653585</c:v>
                </c:pt>
                <c:pt idx="517">
                  <c:v>-1.2102307562331553</c:v>
                </c:pt>
                <c:pt idx="518">
                  <c:v>-1.214385083847441</c:v>
                </c:pt>
                <c:pt idx="519">
                  <c:v>-1.1833952670233447</c:v>
                </c:pt>
                <c:pt idx="520">
                  <c:v>-1.1524916201775435</c:v>
                </c:pt>
                <c:pt idx="521">
                  <c:v>-1.0903147183575437</c:v>
                </c:pt>
                <c:pt idx="522">
                  <c:v>-1.1079170081879783</c:v>
                </c:pt>
                <c:pt idx="523">
                  <c:v>-1.0578987308526844</c:v>
                </c:pt>
                <c:pt idx="524">
                  <c:v>-1.0849527499450977</c:v>
                </c:pt>
                <c:pt idx="525">
                  <c:v>-1.141580613782786</c:v>
                </c:pt>
                <c:pt idx="526">
                  <c:v>-1.1466432765588421</c:v>
                </c:pt>
                <c:pt idx="527">
                  <c:v>-1.1023054590519059</c:v>
                </c:pt>
                <c:pt idx="528">
                  <c:v>-1.1811566085336411</c:v>
                </c:pt>
                <c:pt idx="529">
                  <c:v>-1.1364774373832345</c:v>
                </c:pt>
                <c:pt idx="530">
                  <c:v>-1.1609971935272347</c:v>
                </c:pt>
                <c:pt idx="531">
                  <c:v>-1.1408319222292755</c:v>
                </c:pt>
                <c:pt idx="532">
                  <c:v>-1.1643786120959421</c:v>
                </c:pt>
                <c:pt idx="533">
                  <c:v>-1.1715996646861675</c:v>
                </c:pt>
                <c:pt idx="534">
                  <c:v>-1.1990890516591406</c:v>
                </c:pt>
                <c:pt idx="535">
                  <c:v>-1.1561354644271145</c:v>
                </c:pt>
                <c:pt idx="536">
                  <c:v>-1.208995443439727</c:v>
                </c:pt>
                <c:pt idx="537">
                  <c:v>-1.2965648710820348</c:v>
                </c:pt>
                <c:pt idx="538">
                  <c:v>-1.249633635842035</c:v>
                </c:pt>
                <c:pt idx="539">
                  <c:v>-1.3245321071662288</c:v>
                </c:pt>
                <c:pt idx="540">
                  <c:v>-1.3660554921220427</c:v>
                </c:pt>
                <c:pt idx="541">
                  <c:v>-1.3821364450598805</c:v>
                </c:pt>
                <c:pt idx="542">
                  <c:v>-1.422364943787467</c:v>
                </c:pt>
                <c:pt idx="543">
                  <c:v>-1.4164830811303242</c:v>
                </c:pt>
                <c:pt idx="544">
                  <c:v>-1.4544975445303241</c:v>
                </c:pt>
                <c:pt idx="545">
                  <c:v>-1.4745457499327628</c:v>
                </c:pt>
                <c:pt idx="546">
                  <c:v>-1.4372589815994294</c:v>
                </c:pt>
                <c:pt idx="547">
                  <c:v>-1.4813176802836401</c:v>
                </c:pt>
                <c:pt idx="548">
                  <c:v>-1.4284259122718754</c:v>
                </c:pt>
                <c:pt idx="549">
                  <c:v>-1.5067077059416429</c:v>
                </c:pt>
                <c:pt idx="550">
                  <c:v>-1.4391330590802143</c:v>
                </c:pt>
                <c:pt idx="551">
                  <c:v>-1.4330082670879063</c:v>
                </c:pt>
                <c:pt idx="552">
                  <c:v>-1.3803731769708332</c:v>
                </c:pt>
                <c:pt idx="553">
                  <c:v>-1.3610299925216269</c:v>
                </c:pt>
                <c:pt idx="554">
                  <c:v>-1.3600226405529523</c:v>
                </c:pt>
                <c:pt idx="555">
                  <c:v>-1.3284322885576034</c:v>
                </c:pt>
                <c:pt idx="556">
                  <c:v>-1.3183875335246136</c:v>
                </c:pt>
                <c:pt idx="557">
                  <c:v>-1.1905832048665297</c:v>
                </c:pt>
                <c:pt idx="558">
                  <c:v>-1.2706084034711098</c:v>
                </c:pt>
                <c:pt idx="559">
                  <c:v>-1.3105386654582896</c:v>
                </c:pt>
                <c:pt idx="560">
                  <c:v>-1.3185145086027339</c:v>
                </c:pt>
                <c:pt idx="561">
                  <c:v>-1.3024748644581183</c:v>
                </c:pt>
                <c:pt idx="562">
                  <c:v>-1.3106853003105774</c:v>
                </c:pt>
                <c:pt idx="563">
                  <c:v>-1.3667697496756375</c:v>
                </c:pt>
                <c:pt idx="564">
                  <c:v>-1.2821623143921324</c:v>
                </c:pt>
                <c:pt idx="565">
                  <c:v>-1.2503878081733824</c:v>
                </c:pt>
                <c:pt idx="566">
                  <c:v>-1.3049060529382948</c:v>
                </c:pt>
                <c:pt idx="567">
                  <c:v>-1.3532365441485887</c:v>
                </c:pt>
                <c:pt idx="568">
                  <c:v>-1.333041476794258</c:v>
                </c:pt>
                <c:pt idx="569">
                  <c:v>-1.3614152424978725</c:v>
                </c:pt>
                <c:pt idx="570">
                  <c:v>-1.4137691542776192</c:v>
                </c:pt>
                <c:pt idx="571">
                  <c:v>-1.4171220249189982</c:v>
                </c:pt>
                <c:pt idx="572">
                  <c:v>-1.4072634582462711</c:v>
                </c:pt>
                <c:pt idx="573">
                  <c:v>-1.3914721719791479</c:v>
                </c:pt>
                <c:pt idx="574">
                  <c:v>-1.4007052109312024</c:v>
                </c:pt>
                <c:pt idx="575">
                  <c:v>-1.3836604393207548</c:v>
                </c:pt>
                <c:pt idx="576">
                  <c:v>-1.3774790820733862</c:v>
                </c:pt>
                <c:pt idx="577">
                  <c:v>-1.3757282251983862</c:v>
                </c:pt>
                <c:pt idx="578">
                  <c:v>-1.4042609439728964</c:v>
                </c:pt>
                <c:pt idx="579">
                  <c:v>-1.4142927850165583</c:v>
                </c:pt>
                <c:pt idx="580">
                  <c:v>-1.3550379147926876</c:v>
                </c:pt>
                <c:pt idx="581">
                  <c:v>-1.3319508493588414</c:v>
                </c:pt>
                <c:pt idx="582">
                  <c:v>-1.3175853352388414</c:v>
                </c:pt>
                <c:pt idx="583">
                  <c:v>-1.2735159544493675</c:v>
                </c:pt>
                <c:pt idx="584">
                  <c:v>-1.2509525090580631</c:v>
                </c:pt>
                <c:pt idx="585">
                  <c:v>-1.2422378207247298</c:v>
                </c:pt>
                <c:pt idx="586">
                  <c:v>-1.2021086590303902</c:v>
                </c:pt>
                <c:pt idx="587">
                  <c:v>-1.194473518139481</c:v>
                </c:pt>
                <c:pt idx="588">
                  <c:v>-1.1885955829839256</c:v>
                </c:pt>
                <c:pt idx="589">
                  <c:v>-1.1281413819839257</c:v>
                </c:pt>
                <c:pt idx="590">
                  <c:v>-1.1318687506505924</c:v>
                </c:pt>
                <c:pt idx="591">
                  <c:v>-1.1711640076322252</c:v>
                </c:pt>
                <c:pt idx="592">
                  <c:v>-1.1944685042896022</c:v>
                </c:pt>
                <c:pt idx="593">
                  <c:v>-1.1772333073317074</c:v>
                </c:pt>
                <c:pt idx="594">
                  <c:v>-1.1731381266483742</c:v>
                </c:pt>
                <c:pt idx="595">
                  <c:v>-1.2022437448150409</c:v>
                </c:pt>
                <c:pt idx="596">
                  <c:v>-1.1388170427101949</c:v>
                </c:pt>
                <c:pt idx="597">
                  <c:v>-1.117396781882857</c:v>
                </c:pt>
                <c:pt idx="598">
                  <c:v>-1.109954101284675</c:v>
                </c:pt>
                <c:pt idx="599">
                  <c:v>-1.0796337708277213</c:v>
                </c:pt>
                <c:pt idx="600">
                  <c:v>-1.181178304434189</c:v>
                </c:pt>
                <c:pt idx="601">
                  <c:v>-1.1509446558928096</c:v>
                </c:pt>
                <c:pt idx="602">
                  <c:v>-1.0545789219195272</c:v>
                </c:pt>
                <c:pt idx="603">
                  <c:v>-1.1020453359261939</c:v>
                </c:pt>
                <c:pt idx="604">
                  <c:v>-1.0572945972359502</c:v>
                </c:pt>
                <c:pt idx="605">
                  <c:v>-1.0712757037518235</c:v>
                </c:pt>
                <c:pt idx="606">
                  <c:v>-1.1276030382303042</c:v>
                </c:pt>
                <c:pt idx="607">
                  <c:v>-1.039184825577474</c:v>
                </c:pt>
                <c:pt idx="608">
                  <c:v>-1.1026302430589554</c:v>
                </c:pt>
                <c:pt idx="609">
                  <c:v>-1.116418002354874</c:v>
                </c:pt>
                <c:pt idx="610">
                  <c:v>-1.1059142360977312</c:v>
                </c:pt>
                <c:pt idx="611">
                  <c:v>-1.032286611067611</c:v>
                </c:pt>
                <c:pt idx="612">
                  <c:v>-1.0171473835676106</c:v>
                </c:pt>
                <c:pt idx="613">
                  <c:v>-1.098588524366241</c:v>
                </c:pt>
                <c:pt idx="614">
                  <c:v>-0.98507285024688596</c:v>
                </c:pt>
                <c:pt idx="615">
                  <c:v>-0.92230961462531724</c:v>
                </c:pt>
                <c:pt idx="616">
                  <c:v>-0.83762044341865094</c:v>
                </c:pt>
                <c:pt idx="617">
                  <c:v>-0.80495610988440458</c:v>
                </c:pt>
                <c:pt idx="618">
                  <c:v>-0.73852453922788275</c:v>
                </c:pt>
                <c:pt idx="619">
                  <c:v>-0.76537876262788263</c:v>
                </c:pt>
                <c:pt idx="620">
                  <c:v>-0.77727682642417861</c:v>
                </c:pt>
                <c:pt idx="621">
                  <c:v>-0.69637421696167878</c:v>
                </c:pt>
                <c:pt idx="622">
                  <c:v>-0.7558888179465274</c:v>
                </c:pt>
                <c:pt idx="623">
                  <c:v>-0.69572177398551049</c:v>
                </c:pt>
                <c:pt idx="624">
                  <c:v>-0.66515084867641971</c:v>
                </c:pt>
                <c:pt idx="625">
                  <c:v>-0.72856747016149426</c:v>
                </c:pt>
                <c:pt idx="626">
                  <c:v>-0.78490549951577981</c:v>
                </c:pt>
                <c:pt idx="627">
                  <c:v>-0.79538937853867164</c:v>
                </c:pt>
                <c:pt idx="628">
                  <c:v>-0.73835764726508657</c:v>
                </c:pt>
                <c:pt idx="629">
                  <c:v>-0.66037642306508626</c:v>
                </c:pt>
                <c:pt idx="630">
                  <c:v>-0.71288502723175262</c:v>
                </c:pt>
                <c:pt idx="631">
                  <c:v>-0.6779847166503572</c:v>
                </c:pt>
                <c:pt idx="632">
                  <c:v>-0.57222554343745435</c:v>
                </c:pt>
                <c:pt idx="633">
                  <c:v>-0.50923374301078772</c:v>
                </c:pt>
                <c:pt idx="634">
                  <c:v>-0.62669955708111036</c:v>
                </c:pt>
                <c:pt idx="635">
                  <c:v>-0.52701486049020108</c:v>
                </c:pt>
                <c:pt idx="636">
                  <c:v>-0.58339379174020123</c:v>
                </c:pt>
                <c:pt idx="637">
                  <c:v>-0.65302124043145793</c:v>
                </c:pt>
                <c:pt idx="638">
                  <c:v>-0.59560759788745776</c:v>
                </c:pt>
                <c:pt idx="639">
                  <c:v>-0.59734562136847058</c:v>
                </c:pt>
                <c:pt idx="640">
                  <c:v>-0.50062133220004912</c:v>
                </c:pt>
                <c:pt idx="641">
                  <c:v>-0.59820271219895016</c:v>
                </c:pt>
                <c:pt idx="642">
                  <c:v>-0.52537572921589915</c:v>
                </c:pt>
                <c:pt idx="643">
                  <c:v>-0.37427737815032541</c:v>
                </c:pt>
                <c:pt idx="644">
                  <c:v>-0.26402731900372844</c:v>
                </c:pt>
                <c:pt idx="645">
                  <c:v>-0.30911348987269399</c:v>
                </c:pt>
                <c:pt idx="646">
                  <c:v>-0.37602615403585193</c:v>
                </c:pt>
                <c:pt idx="647">
                  <c:v>-0.35402795628101341</c:v>
                </c:pt>
                <c:pt idx="648">
                  <c:v>-0.30036554327307696</c:v>
                </c:pt>
                <c:pt idx="649">
                  <c:v>-0.2681613534633992</c:v>
                </c:pt>
                <c:pt idx="650">
                  <c:v>-0.25529833518214901</c:v>
                </c:pt>
                <c:pt idx="651">
                  <c:v>-0.26032318249249403</c:v>
                </c:pt>
                <c:pt idx="652">
                  <c:v>-0.30595365586749407</c:v>
                </c:pt>
                <c:pt idx="653">
                  <c:v>-0.25694245606749394</c:v>
                </c:pt>
                <c:pt idx="654">
                  <c:v>-0.25498595094349402</c:v>
                </c:pt>
                <c:pt idx="655">
                  <c:v>-0.30088038798673727</c:v>
                </c:pt>
                <c:pt idx="656">
                  <c:v>-0.26782025928107678</c:v>
                </c:pt>
                <c:pt idx="657">
                  <c:v>-0.24270022908499833</c:v>
                </c:pt>
                <c:pt idx="658">
                  <c:v>-0.17325049629632835</c:v>
                </c:pt>
                <c:pt idx="659">
                  <c:v>-0.22259473210966155</c:v>
                </c:pt>
                <c:pt idx="660">
                  <c:v>-0.28054304971453953</c:v>
                </c:pt>
                <c:pt idx="661">
                  <c:v>-0.24488501973867755</c:v>
                </c:pt>
                <c:pt idx="662">
                  <c:v>-0.31783534674687441</c:v>
                </c:pt>
                <c:pt idx="663">
                  <c:v>-0.29352662443108507</c:v>
                </c:pt>
                <c:pt idx="664">
                  <c:v>-0.28009295405689139</c:v>
                </c:pt>
                <c:pt idx="665">
                  <c:v>-0.28009295405689111</c:v>
                </c:pt>
                <c:pt idx="666">
                  <c:v>-0.2171706941042594</c:v>
                </c:pt>
                <c:pt idx="667">
                  <c:v>-0.29996305733640216</c:v>
                </c:pt>
                <c:pt idx="668">
                  <c:v>-0.31765575471875501</c:v>
                </c:pt>
                <c:pt idx="669">
                  <c:v>-0.33634680798665617</c:v>
                </c:pt>
                <c:pt idx="670">
                  <c:v>-0.29578492188139294</c:v>
                </c:pt>
                <c:pt idx="671">
                  <c:v>-0.35105276769957477</c:v>
                </c:pt>
                <c:pt idx="672">
                  <c:v>-0.29617593134788939</c:v>
                </c:pt>
                <c:pt idx="673">
                  <c:v>-0.34350912954788937</c:v>
                </c:pt>
                <c:pt idx="674">
                  <c:v>-0.3991900318770561</c:v>
                </c:pt>
                <c:pt idx="675">
                  <c:v>-0.43551545611916109</c:v>
                </c:pt>
                <c:pt idx="676">
                  <c:v>-0.52234045069916124</c:v>
                </c:pt>
                <c:pt idx="677">
                  <c:v>-0.41950704899714109</c:v>
                </c:pt>
                <c:pt idx="678">
                  <c:v>-0.44010214418750265</c:v>
                </c:pt>
                <c:pt idx="679">
                  <c:v>-0.40552916073160206</c:v>
                </c:pt>
                <c:pt idx="680">
                  <c:v>-0.498357876745395</c:v>
                </c:pt>
                <c:pt idx="681">
                  <c:v>-0.5274350290311095</c:v>
                </c:pt>
                <c:pt idx="682">
                  <c:v>-0.53669236995216207</c:v>
                </c:pt>
                <c:pt idx="683">
                  <c:v>-0.50867775740670751</c:v>
                </c:pt>
                <c:pt idx="684">
                  <c:v>-0.46667286282409881</c:v>
                </c:pt>
                <c:pt idx="685">
                  <c:v>-0.38591045550796971</c:v>
                </c:pt>
                <c:pt idx="686">
                  <c:v>-0.43064848752807844</c:v>
                </c:pt>
                <c:pt idx="687">
                  <c:v>-0.24433518666688439</c:v>
                </c:pt>
                <c:pt idx="688">
                  <c:v>-0.20394453862256628</c:v>
                </c:pt>
                <c:pt idx="689">
                  <c:v>-0.18365698131347538</c:v>
                </c:pt>
                <c:pt idx="690">
                  <c:v>-0.1921729696865091</c:v>
                </c:pt>
                <c:pt idx="691">
                  <c:v>-0.10279754640276349</c:v>
                </c:pt>
                <c:pt idx="692">
                  <c:v>8.5882797675874089E-4</c:v>
                </c:pt>
                <c:pt idx="693">
                  <c:v>-5.1479678594907742E-2</c:v>
                </c:pt>
                <c:pt idx="694">
                  <c:v>-5.3705922229714528E-2</c:v>
                </c:pt>
                <c:pt idx="695">
                  <c:v>-5.178668982145776E-2</c:v>
                </c:pt>
                <c:pt idx="696">
                  <c:v>-4.8938117773457725E-2</c:v>
                </c:pt>
                <c:pt idx="697">
                  <c:v>-5.2350519273457748E-2</c:v>
                </c:pt>
                <c:pt idx="698">
                  <c:v>-3.0945938292101748E-2</c:v>
                </c:pt>
                <c:pt idx="699">
                  <c:v>-2.1360064777815959E-2</c:v>
                </c:pt>
                <c:pt idx="700">
                  <c:v>2.4229500897997433E-3</c:v>
                </c:pt>
                <c:pt idx="701">
                  <c:v>4.1679360154315753E-2</c:v>
                </c:pt>
                <c:pt idx="702">
                  <c:v>3.8233301774161215E-3</c:v>
                </c:pt>
                <c:pt idx="703">
                  <c:v>3.3051633392800768E-2</c:v>
                </c:pt>
                <c:pt idx="704">
                  <c:v>4.9920482920811957E-2</c:v>
                </c:pt>
                <c:pt idx="705">
                  <c:v>1.3993877842017682E-3</c:v>
                </c:pt>
                <c:pt idx="706">
                  <c:v>-1.7435424964635425E-2</c:v>
                </c:pt>
                <c:pt idx="707">
                  <c:v>-9.7996913120930399E-3</c:v>
                </c:pt>
                <c:pt idx="708">
                  <c:v>-1.5733355672093021E-2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33-4F2F-B851-6A4265291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60671"/>
        <c:axId val="836057759"/>
      </c:lineChart>
      <c:dateAx>
        <c:axId val="836060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057759"/>
        <c:crosses val="autoZero"/>
        <c:auto val="1"/>
        <c:lblOffset val="100"/>
        <c:baseTimeUnit val="days"/>
      </c:dateAx>
      <c:valAx>
        <c:axId val="83605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06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2CF46C-C053-494E-B2A0-0D328DCD28C2}">
  <sheetPr/>
  <sheetViews>
    <sheetView zoomScale="7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863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A76A1C-8BDA-4531-A955-6AC2C00986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0.69520000000000004</v>
      </c>
      <c r="D2" s="4">
        <f>MIN(D3:D1912)</f>
        <v>3.73E-2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8.6099999999999996E-2</v>
      </c>
      <c r="C5">
        <v>8.7300000000000003E-2</v>
      </c>
      <c r="D5">
        <v>8.4199999999999997E-2</v>
      </c>
      <c r="E5">
        <v>8.43E-2</v>
      </c>
      <c r="F5">
        <v>638009</v>
      </c>
      <c r="G5">
        <v>8.43E-2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-0.93548387096774022</v>
      </c>
      <c r="Q5">
        <f t="shared" ref="Q5" si="1">F5*P5</f>
        <v>-596847.12903225701</v>
      </c>
      <c r="R5">
        <f t="shared" ref="R5" si="2">R6+Q5</f>
        <v>-1568008936.7874582</v>
      </c>
      <c r="S5">
        <f t="shared" ref="S5" si="3">R5/100000</f>
        <v>-15680.089367874582</v>
      </c>
      <c r="T5">
        <f t="shared" ref="T5" si="4">S5/1000</f>
        <v>-15.680089367874581</v>
      </c>
    </row>
    <row r="6" spans="1:20" x14ac:dyDescent="0.25">
      <c r="A6" s="5">
        <v>44587</v>
      </c>
      <c r="B6">
        <v>8.4900000000000003E-2</v>
      </c>
      <c r="C6">
        <v>9.2700000000000005E-2</v>
      </c>
      <c r="D6">
        <v>8.3400000000000002E-2</v>
      </c>
      <c r="E6">
        <v>8.6199999999999999E-2</v>
      </c>
      <c r="F6">
        <v>13315724</v>
      </c>
      <c r="G6">
        <v>8.6199999999999999E-2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-0.39784946236559221</v>
      </c>
      <c r="Q6">
        <f t="shared" ref="Q6" si="6">F6*P6</f>
        <v>-5297653.6344086127</v>
      </c>
      <c r="R6">
        <f t="shared" ref="R6" si="7">R7+Q6</f>
        <v>-1567412089.6584258</v>
      </c>
      <c r="S6">
        <f t="shared" ref="S6" si="8">R6/100000</f>
        <v>-15674.120896584258</v>
      </c>
      <c r="T6">
        <f t="shared" ref="T6" si="9">S6/1000</f>
        <v>-15.674120896584258</v>
      </c>
    </row>
    <row r="7" spans="1:20" x14ac:dyDescent="0.25">
      <c r="A7" s="5">
        <v>44586</v>
      </c>
      <c r="B7">
        <v>8.6300000000000002E-2</v>
      </c>
      <c r="C7">
        <v>8.7300000000000003E-2</v>
      </c>
      <c r="D7">
        <v>8.2000000000000003E-2</v>
      </c>
      <c r="E7">
        <v>8.4699999999999998E-2</v>
      </c>
      <c r="F7">
        <v>9136666</v>
      </c>
      <c r="G7">
        <v>8.4699999999999998E-2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1.8867924528299811E-2</v>
      </c>
      <c r="Q7">
        <f t="shared" ref="Q7" si="11">F7*P7</f>
        <v>172389.92452828292</v>
      </c>
      <c r="R7">
        <f t="shared" ref="R7" si="12">R8+Q7</f>
        <v>-1562114436.0240171</v>
      </c>
      <c r="S7">
        <f t="shared" ref="S7" si="13">R7/100000</f>
        <v>-15621.14436024017</v>
      </c>
      <c r="T7">
        <f t="shared" ref="T7" si="14">S7/1000</f>
        <v>-15.621144360240171</v>
      </c>
    </row>
    <row r="8" spans="1:20" x14ac:dyDescent="0.25">
      <c r="A8" s="5">
        <v>44585</v>
      </c>
      <c r="B8">
        <v>8.9200000000000002E-2</v>
      </c>
      <c r="C8">
        <v>8.9200000000000002E-2</v>
      </c>
      <c r="D8">
        <v>7.51E-2</v>
      </c>
      <c r="E8">
        <v>8.6400000000000005E-2</v>
      </c>
      <c r="F8">
        <v>16952192</v>
      </c>
      <c r="G8">
        <v>8.6400000000000005E-2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0.60283687943262454</v>
      </c>
      <c r="Q8">
        <f t="shared" ref="Q8" si="16">F8*P8</f>
        <v>10219406.524822703</v>
      </c>
      <c r="R8">
        <f t="shared" ref="R8" si="17">R9+Q8</f>
        <v>-1562286825.9485455</v>
      </c>
      <c r="S8">
        <f t="shared" ref="S8" si="18">R8/100000</f>
        <v>-15622.868259485454</v>
      </c>
      <c r="T8">
        <f t="shared" ref="T8" si="19">S8/1000</f>
        <v>-15.622868259485454</v>
      </c>
    </row>
    <row r="9" spans="1:20" x14ac:dyDescent="0.25">
      <c r="A9" s="5">
        <v>44584</v>
      </c>
      <c r="B9">
        <v>8.5800000000000001E-2</v>
      </c>
      <c r="C9">
        <v>9.2999999999999999E-2</v>
      </c>
      <c r="D9">
        <v>8.5500000000000007E-2</v>
      </c>
      <c r="E9">
        <v>8.9300000000000004E-2</v>
      </c>
      <c r="F9">
        <v>12451750</v>
      </c>
      <c r="G9">
        <v>8.9300000000000004E-2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1.3333333333333728E-2</v>
      </c>
      <c r="Q9">
        <f t="shared" ref="Q9" si="21">F9*P9</f>
        <v>166023.33333333826</v>
      </c>
      <c r="R9">
        <f t="shared" ref="R9" si="22">R10+Q9</f>
        <v>-1572506232.4733682</v>
      </c>
      <c r="S9">
        <f t="shared" ref="S9" si="23">R9/100000</f>
        <v>-15725.062324733683</v>
      </c>
      <c r="T9">
        <f t="shared" ref="T9" si="24">S9/1000</f>
        <v>-15.725062324733683</v>
      </c>
    </row>
    <row r="10" spans="1:20" x14ac:dyDescent="0.25">
      <c r="A10" s="5">
        <v>44583</v>
      </c>
      <c r="B10">
        <v>9.69E-2</v>
      </c>
      <c r="C10">
        <v>9.7900000000000001E-2</v>
      </c>
      <c r="D10">
        <v>8.1699999999999995E-2</v>
      </c>
      <c r="E10">
        <v>8.5800000000000001E-2</v>
      </c>
      <c r="F10">
        <v>23962943.190000001</v>
      </c>
      <c r="G10">
        <v>8.5800000000000001E-2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-0.49382716049382658</v>
      </c>
      <c r="Q10">
        <f t="shared" ref="Q10" si="26">F10*P10</f>
        <v>-11833552.19259258</v>
      </c>
      <c r="R10">
        <f t="shared" ref="R10" si="27">R11+Q10</f>
        <v>-1572672255.8067014</v>
      </c>
      <c r="S10">
        <f t="shared" ref="S10" si="28">R10/100000</f>
        <v>-15726.722558067015</v>
      </c>
      <c r="T10">
        <f t="shared" ref="T10" si="29">S10/1000</f>
        <v>-15.726722558067015</v>
      </c>
    </row>
    <row r="11" spans="1:20" x14ac:dyDescent="0.25">
      <c r="A11" s="5">
        <v>44582</v>
      </c>
      <c r="B11">
        <v>0.1153</v>
      </c>
      <c r="C11">
        <v>0.1203</v>
      </c>
      <c r="D11">
        <v>9.3100000000000002E-2</v>
      </c>
      <c r="E11">
        <v>9.7000000000000003E-2</v>
      </c>
      <c r="F11">
        <v>37835264.890000001</v>
      </c>
      <c r="G11">
        <v>9.7000000000000003E-2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-0.71323529411764708</v>
      </c>
      <c r="Q11">
        <f t="shared" ref="Q11" si="31">F11*P11</f>
        <v>-26985446.281838238</v>
      </c>
      <c r="R11">
        <f t="shared" ref="R11" si="32">R12+Q11</f>
        <v>-1560838703.6141088</v>
      </c>
      <c r="S11">
        <f t="shared" ref="S11" si="33">R11/100000</f>
        <v>-15608.387036141088</v>
      </c>
      <c r="T11">
        <f t="shared" ref="T11" si="34">S11/1000</f>
        <v>-15.608387036141089</v>
      </c>
    </row>
    <row r="12" spans="1:20" x14ac:dyDescent="0.25">
      <c r="A12" s="5">
        <v>44581</v>
      </c>
      <c r="B12">
        <v>0.1137</v>
      </c>
      <c r="C12">
        <v>0.1545</v>
      </c>
      <c r="D12">
        <v>0.11310000000000001</v>
      </c>
      <c r="E12">
        <v>0.1152</v>
      </c>
      <c r="F12">
        <v>73626341</v>
      </c>
      <c r="G12">
        <v>0.1152</v>
      </c>
      <c r="L12" t="s">
        <v>7</v>
      </c>
      <c r="M12" t="s">
        <v>8</v>
      </c>
      <c r="N12" t="s">
        <v>8</v>
      </c>
      <c r="P12">
        <f t="shared" ref="P12" si="35">IF(C12=D12,0,((E12-D12)-(C12-E12))/(C12-D12))</f>
        <v>-0.8985507246376816</v>
      </c>
      <c r="Q12">
        <f t="shared" ref="Q12" si="36">F12*P12</f>
        <v>-66157002.057971045</v>
      </c>
      <c r="R12">
        <f t="shared" ref="R12" si="37">R13+Q12</f>
        <v>-1533853257.3322706</v>
      </c>
      <c r="S12">
        <f t="shared" ref="S12" si="38">R12/100000</f>
        <v>-15338.532573322706</v>
      </c>
      <c r="T12">
        <f t="shared" ref="T12" si="39">S12/1000</f>
        <v>-15.338532573322706</v>
      </c>
    </row>
    <row r="13" spans="1:20" x14ac:dyDescent="0.25">
      <c r="A13" s="5">
        <v>44580</v>
      </c>
      <c r="B13">
        <v>0.1208</v>
      </c>
      <c r="C13">
        <v>0.12089999999999999</v>
      </c>
      <c r="D13">
        <v>0.1134</v>
      </c>
      <c r="E13">
        <v>0.11360000000000001</v>
      </c>
      <c r="F13">
        <v>13065386</v>
      </c>
      <c r="G13">
        <v>0.11360000000000001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-0.9466666666666651</v>
      </c>
      <c r="Q13">
        <f t="shared" ref="Q13" si="41">F13*P13</f>
        <v>-12368565.413333314</v>
      </c>
      <c r="R13">
        <f t="shared" ref="R13" si="42">R14+Q13</f>
        <v>-1467696255.2742996</v>
      </c>
      <c r="S13">
        <f t="shared" ref="S13" si="43">R13/100000</f>
        <v>-14676.962552742996</v>
      </c>
      <c r="T13">
        <f t="shared" ref="T13" si="44">S13/1000</f>
        <v>-14.676962552742996</v>
      </c>
    </row>
    <row r="14" spans="1:20" x14ac:dyDescent="0.25">
      <c r="A14" s="5">
        <v>44579</v>
      </c>
      <c r="B14">
        <v>0.11940000000000001</v>
      </c>
      <c r="C14">
        <v>0.1249</v>
      </c>
      <c r="D14">
        <v>0.1152</v>
      </c>
      <c r="E14">
        <v>0.12089999999999999</v>
      </c>
      <c r="F14">
        <v>10292476</v>
      </c>
      <c r="G14">
        <v>0.12089999999999999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0.17525773195876218</v>
      </c>
      <c r="Q14">
        <f t="shared" ref="Q14" si="46">F14*P14</f>
        <v>1803835.9999999928</v>
      </c>
      <c r="R14">
        <f t="shared" ref="R14" si="47">R15+Q14</f>
        <v>-1455327689.8609662</v>
      </c>
      <c r="S14">
        <f t="shared" ref="S14" si="48">R14/100000</f>
        <v>-14553.276898609662</v>
      </c>
      <c r="T14">
        <f t="shared" ref="T14" si="49">S14/1000</f>
        <v>-14.553276898609662</v>
      </c>
    </row>
    <row r="15" spans="1:20" x14ac:dyDescent="0.25">
      <c r="A15" s="5">
        <v>44578</v>
      </c>
      <c r="B15">
        <v>0.1226</v>
      </c>
      <c r="C15">
        <v>0.1305</v>
      </c>
      <c r="D15">
        <v>0.11609999999999999</v>
      </c>
      <c r="E15">
        <v>0.11940000000000001</v>
      </c>
      <c r="F15">
        <v>24386799</v>
      </c>
      <c r="G15">
        <v>0.11940000000000001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-0.54166666666666541</v>
      </c>
      <c r="Q15">
        <f t="shared" ref="Q15" si="51">F15*P15</f>
        <v>-13209516.12499997</v>
      </c>
      <c r="R15">
        <f t="shared" ref="R15" si="52">R16+Q15</f>
        <v>-1457131525.8609662</v>
      </c>
      <c r="S15">
        <f t="shared" ref="S15" si="53">R15/100000</f>
        <v>-14571.315258609662</v>
      </c>
      <c r="T15">
        <f t="shared" ref="T15" si="54">S15/1000</f>
        <v>-14.571315258609662</v>
      </c>
    </row>
    <row r="16" spans="1:20" x14ac:dyDescent="0.25">
      <c r="A16" s="5">
        <v>44577</v>
      </c>
      <c r="B16">
        <v>0.123</v>
      </c>
      <c r="C16">
        <v>0.1244</v>
      </c>
      <c r="D16">
        <v>0.12180000000000001</v>
      </c>
      <c r="E16">
        <v>0.1226</v>
      </c>
      <c r="F16">
        <v>4806746</v>
      </c>
      <c r="G16">
        <v>0.1226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-0.38461538461538625</v>
      </c>
      <c r="Q16">
        <f t="shared" ref="Q16" si="56">F16*P16</f>
        <v>-1848748.4615384694</v>
      </c>
      <c r="R16">
        <f t="shared" ref="R16" si="57">R17+Q16</f>
        <v>-1443922009.7359662</v>
      </c>
      <c r="S16">
        <f t="shared" ref="S16" si="58">R16/100000</f>
        <v>-14439.220097359663</v>
      </c>
      <c r="T16">
        <f t="shared" ref="T16" si="59">S16/1000</f>
        <v>-14.439220097359662</v>
      </c>
    </row>
    <row r="17" spans="1:20" x14ac:dyDescent="0.25">
      <c r="A17" s="5">
        <v>44576</v>
      </c>
      <c r="B17">
        <v>0.121</v>
      </c>
      <c r="C17">
        <v>0.1255</v>
      </c>
      <c r="D17">
        <v>0.12039999999999999</v>
      </c>
      <c r="E17">
        <v>0.123</v>
      </c>
      <c r="F17">
        <v>5592901</v>
      </c>
      <c r="G17">
        <v>0.123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1.9607843137255436E-2</v>
      </c>
      <c r="Q17">
        <f t="shared" ref="Q17" si="61">F17*P17</f>
        <v>109664.72549019907</v>
      </c>
      <c r="R17">
        <f t="shared" ref="R17" si="62">R18+Q17</f>
        <v>-1442073261.2744277</v>
      </c>
      <c r="S17">
        <f t="shared" ref="S17" si="63">R17/100000</f>
        <v>-14420.732612744276</v>
      </c>
      <c r="T17">
        <f t="shared" ref="T17" si="64">S17/1000</f>
        <v>-14.420732612744276</v>
      </c>
    </row>
    <row r="18" spans="1:20" x14ac:dyDescent="0.25">
      <c r="A18" s="5">
        <v>44575</v>
      </c>
      <c r="B18">
        <v>0.1205</v>
      </c>
      <c r="C18">
        <v>0.1229</v>
      </c>
      <c r="D18">
        <v>0.1176</v>
      </c>
      <c r="E18">
        <v>0.1208</v>
      </c>
      <c r="F18">
        <v>7661858</v>
      </c>
      <c r="G18">
        <v>0.1208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0.20754716981132412</v>
      </c>
      <c r="Q18">
        <f t="shared" ref="Q18" si="66">F18*P18</f>
        <v>1590196.9433962521</v>
      </c>
      <c r="R18">
        <f t="shared" ref="R18" si="67">R19+Q18</f>
        <v>-1442182925.9999177</v>
      </c>
      <c r="S18">
        <f t="shared" ref="S18" si="68">R18/100000</f>
        <v>-14421.829259999178</v>
      </c>
      <c r="T18">
        <f t="shared" ref="T18" si="69">S18/1000</f>
        <v>-14.421829259999178</v>
      </c>
    </row>
    <row r="19" spans="1:20" x14ac:dyDescent="0.25">
      <c r="A19" s="5">
        <v>44574</v>
      </c>
      <c r="B19">
        <v>0.12620000000000001</v>
      </c>
      <c r="C19">
        <v>0.12790000000000001</v>
      </c>
      <c r="D19">
        <v>0.1203</v>
      </c>
      <c r="E19">
        <v>0.12039999999999999</v>
      </c>
      <c r="F19">
        <v>9433321</v>
      </c>
      <c r="G19">
        <v>0.12039999999999999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-0.97368421052631871</v>
      </c>
      <c r="Q19">
        <f t="shared" ref="Q19" si="71">F19*P19</f>
        <v>-9185075.7105263434</v>
      </c>
      <c r="R19">
        <f t="shared" ref="R19" si="72">R20+Q19</f>
        <v>-1443773122.9433141</v>
      </c>
      <c r="S19">
        <f t="shared" ref="S19" si="73">R19/100000</f>
        <v>-14437.73122943314</v>
      </c>
      <c r="T19">
        <f t="shared" ref="T19" si="74">S19/1000</f>
        <v>-14.43773122943314</v>
      </c>
    </row>
    <row r="20" spans="1:20" x14ac:dyDescent="0.25">
      <c r="A20" s="5">
        <v>44573</v>
      </c>
      <c r="B20">
        <v>0.1222</v>
      </c>
      <c r="C20">
        <v>0.129</v>
      </c>
      <c r="D20">
        <v>0.1207</v>
      </c>
      <c r="E20">
        <v>0.12620000000000001</v>
      </c>
      <c r="F20">
        <v>9693784</v>
      </c>
      <c r="G20">
        <v>0.12620000000000001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0.32530120481927799</v>
      </c>
      <c r="Q20">
        <f t="shared" ref="Q20" si="76">F20*P20</f>
        <v>3153399.6144578396</v>
      </c>
      <c r="R20">
        <f t="shared" ref="R20" si="77">R21+Q20</f>
        <v>-1434588047.2327878</v>
      </c>
      <c r="S20">
        <f t="shared" ref="S20" si="78">R20/100000</f>
        <v>-14345.880472327879</v>
      </c>
      <c r="T20">
        <f t="shared" ref="T20" si="79">S20/1000</f>
        <v>-14.345880472327879</v>
      </c>
    </row>
    <row r="21" spans="1:20" x14ac:dyDescent="0.25">
      <c r="A21" s="5">
        <v>44572</v>
      </c>
      <c r="B21">
        <v>0.1153</v>
      </c>
      <c r="C21">
        <v>0.1229</v>
      </c>
      <c r="D21">
        <v>0.1142</v>
      </c>
      <c r="E21">
        <v>0.12230000000000001</v>
      </c>
      <c r="F21">
        <v>7356968</v>
      </c>
      <c r="G21">
        <v>0.12230000000000001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0.86206896551724377</v>
      </c>
      <c r="Q21">
        <f t="shared" ref="Q21" si="81">F21*P21</f>
        <v>6342213.7931034658</v>
      </c>
      <c r="R21">
        <f t="shared" ref="R21" si="82">R22+Q21</f>
        <v>-1437741446.8472457</v>
      </c>
      <c r="S21">
        <f t="shared" ref="S21" si="83">R21/100000</f>
        <v>-14377.414468472456</v>
      </c>
      <c r="T21">
        <f t="shared" ref="T21" si="84">S21/1000</f>
        <v>-14.377414468472455</v>
      </c>
    </row>
    <row r="22" spans="1:20" x14ac:dyDescent="0.25">
      <c r="A22" s="5">
        <v>44571</v>
      </c>
      <c r="B22">
        <v>0.1225</v>
      </c>
      <c r="C22">
        <v>0.1249</v>
      </c>
      <c r="D22">
        <v>0.11020000000000001</v>
      </c>
      <c r="E22">
        <v>0.1154</v>
      </c>
      <c r="F22">
        <v>17356904</v>
      </c>
      <c r="G22">
        <v>0.1154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-0.29251700680272114</v>
      </c>
      <c r="Q22">
        <f t="shared" ref="Q22" si="86">F22*P22</f>
        <v>-5077189.6054421775</v>
      </c>
      <c r="R22">
        <f t="shared" ref="R22" si="87">R23+Q22</f>
        <v>-1444083660.6403491</v>
      </c>
      <c r="S22">
        <f t="shared" ref="S22" si="88">R22/100000</f>
        <v>-14440.836606403491</v>
      </c>
      <c r="T22">
        <f t="shared" ref="T22" si="89">S22/1000</f>
        <v>-14.44083660640349</v>
      </c>
    </row>
    <row r="23" spans="1:20" x14ac:dyDescent="0.25">
      <c r="A23" s="5">
        <v>44570</v>
      </c>
      <c r="B23">
        <v>0.1208</v>
      </c>
      <c r="C23">
        <v>0.1273</v>
      </c>
      <c r="D23">
        <v>0.1196</v>
      </c>
      <c r="E23">
        <v>0.1225</v>
      </c>
      <c r="F23">
        <v>9316321</v>
      </c>
      <c r="G23">
        <v>0.1225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-0.24675324675324667</v>
      </c>
      <c r="Q23">
        <f t="shared" ref="Q23" si="91">F23*P23</f>
        <v>-2298832.4545454537</v>
      </c>
      <c r="R23">
        <f t="shared" ref="R23" si="92">R24+Q23</f>
        <v>-1439006471.0349069</v>
      </c>
      <c r="S23">
        <f t="shared" ref="S23" si="93">R23/100000</f>
        <v>-14390.064710349068</v>
      </c>
      <c r="T23">
        <f t="shared" ref="T23" si="94">S23/1000</f>
        <v>-14.390064710349069</v>
      </c>
    </row>
    <row r="24" spans="1:20" x14ac:dyDescent="0.25">
      <c r="A24" s="5">
        <v>44569</v>
      </c>
      <c r="B24">
        <v>0.12379999999999999</v>
      </c>
      <c r="C24">
        <v>0.1333</v>
      </c>
      <c r="D24">
        <v>0.1166</v>
      </c>
      <c r="E24">
        <v>0.12089999999999999</v>
      </c>
      <c r="F24">
        <v>40593653</v>
      </c>
      <c r="G24">
        <v>0.12089999999999999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-0.48502994011976086</v>
      </c>
      <c r="Q24">
        <f t="shared" ref="Q24" si="96">F24*P24</f>
        <v>-19689137.08383235</v>
      </c>
      <c r="R24">
        <f t="shared" ref="R24" si="97">R25+Q24</f>
        <v>-1436707638.5803614</v>
      </c>
      <c r="S24">
        <f t="shared" ref="S24" si="98">R24/100000</f>
        <v>-14367.076385803613</v>
      </c>
      <c r="T24">
        <f t="shared" ref="T24" si="99">S24/1000</f>
        <v>-14.367076385803614</v>
      </c>
    </row>
    <row r="25" spans="1:20" x14ac:dyDescent="0.25">
      <c r="A25" s="5">
        <v>44568</v>
      </c>
      <c r="B25">
        <v>0.13489999999999999</v>
      </c>
      <c r="C25">
        <v>0.1361</v>
      </c>
      <c r="D25">
        <v>0.12</v>
      </c>
      <c r="E25">
        <v>0.1237</v>
      </c>
      <c r="F25">
        <v>15842081</v>
      </c>
      <c r="G25">
        <v>0.1237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-0.54037267080745244</v>
      </c>
      <c r="Q25">
        <f t="shared" ref="Q25" si="101">F25*P25</f>
        <v>-8560627.6211179961</v>
      </c>
      <c r="R25">
        <f t="shared" ref="R25" si="102">R26+Q25</f>
        <v>-1417018501.4965291</v>
      </c>
      <c r="S25">
        <f t="shared" ref="S25" si="103">R25/100000</f>
        <v>-14170.185014965291</v>
      </c>
      <c r="T25">
        <f t="shared" ref="T25" si="104">S25/1000</f>
        <v>-14.170185014965291</v>
      </c>
    </row>
    <row r="26" spans="1:20" x14ac:dyDescent="0.25">
      <c r="A26" s="5">
        <v>44567</v>
      </c>
      <c r="B26">
        <v>0.1363</v>
      </c>
      <c r="C26">
        <v>0.13769999999999999</v>
      </c>
      <c r="D26">
        <v>0.12820000000000001</v>
      </c>
      <c r="E26">
        <v>0.13489999999999999</v>
      </c>
      <c r="F26">
        <v>12929469.52</v>
      </c>
      <c r="G26">
        <v>0.13489999999999999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0.41052631578947313</v>
      </c>
      <c r="Q26">
        <f t="shared" ref="Q26" si="106">F26*P26</f>
        <v>5307887.4871578878</v>
      </c>
      <c r="R26">
        <f t="shared" ref="R26" si="107">R27+Q26</f>
        <v>-1408457873.875411</v>
      </c>
      <c r="S26">
        <f t="shared" ref="S26" si="108">R26/100000</f>
        <v>-14084.57873875411</v>
      </c>
      <c r="T26">
        <f t="shared" ref="T26" si="109">S26/1000</f>
        <v>-14.084578738754109</v>
      </c>
    </row>
    <row r="27" spans="1:20" x14ac:dyDescent="0.25">
      <c r="A27" s="5">
        <v>44566</v>
      </c>
      <c r="B27">
        <v>0.15329999999999999</v>
      </c>
      <c r="C27">
        <v>0.1547</v>
      </c>
      <c r="D27">
        <v>0.13289999999999999</v>
      </c>
      <c r="E27">
        <v>0.13600000000000001</v>
      </c>
      <c r="F27">
        <v>39426745</v>
      </c>
      <c r="G27">
        <v>0.13600000000000001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-0.71559633027522773</v>
      </c>
      <c r="Q27">
        <f t="shared" ref="Q27" si="111">F27*P27</f>
        <v>-28213634.036697183</v>
      </c>
      <c r="R27">
        <f t="shared" ref="R27" si="112">R28+Q27</f>
        <v>-1413765761.3625689</v>
      </c>
      <c r="S27">
        <f t="shared" ref="S27" si="113">R27/100000</f>
        <v>-14137.657613625688</v>
      </c>
      <c r="T27">
        <f t="shared" ref="T27" si="114">S27/1000</f>
        <v>-14.137657613625688</v>
      </c>
    </row>
    <row r="28" spans="1:20" x14ac:dyDescent="0.25">
      <c r="A28" s="5">
        <v>44565</v>
      </c>
      <c r="B28">
        <v>0.14280000000000001</v>
      </c>
      <c r="C28">
        <v>0.16700000000000001</v>
      </c>
      <c r="D28">
        <v>0.14119999999999999</v>
      </c>
      <c r="E28">
        <v>0.15310000000000001</v>
      </c>
      <c r="F28">
        <v>67023596</v>
      </c>
      <c r="G28">
        <v>0.15310000000000001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-7.7519379844960185E-2</v>
      </c>
      <c r="Q28">
        <f t="shared" ref="Q28" si="116">F28*P28</f>
        <v>-5195627.5968991537</v>
      </c>
      <c r="R28">
        <f t="shared" ref="R28" si="117">R29+Q28</f>
        <v>-1385552127.3258717</v>
      </c>
      <c r="S28">
        <f t="shared" ref="S28" si="118">R28/100000</f>
        <v>-13855.521273258717</v>
      </c>
      <c r="T28">
        <f t="shared" ref="T28" si="119">S28/1000</f>
        <v>-13.855521273258717</v>
      </c>
    </row>
    <row r="29" spans="1:20" x14ac:dyDescent="0.25">
      <c r="A29" s="5">
        <v>44564</v>
      </c>
      <c r="B29">
        <v>0.14319999999999999</v>
      </c>
      <c r="C29">
        <v>0.1525</v>
      </c>
      <c r="D29">
        <v>0.14119999999999999</v>
      </c>
      <c r="E29">
        <v>0.1429</v>
      </c>
      <c r="F29">
        <v>20590636</v>
      </c>
      <c r="G29">
        <v>0.1429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-0.69911504424778648</v>
      </c>
      <c r="Q29">
        <f t="shared" ref="Q29" si="121">F29*P29</f>
        <v>-14395223.398230065</v>
      </c>
      <c r="R29">
        <f t="shared" ref="R29" si="122">R30+Q29</f>
        <v>-1380356499.7289724</v>
      </c>
      <c r="S29">
        <f t="shared" ref="S29" si="123">R29/100000</f>
        <v>-13803.564997289724</v>
      </c>
      <c r="T29">
        <f t="shared" ref="T29" si="124">S29/1000</f>
        <v>-13.803564997289724</v>
      </c>
    </row>
    <row r="30" spans="1:20" x14ac:dyDescent="0.25">
      <c r="A30" s="5">
        <v>44563</v>
      </c>
      <c r="B30">
        <v>0.14180000000000001</v>
      </c>
      <c r="C30">
        <v>0.14960000000000001</v>
      </c>
      <c r="D30">
        <v>0.13950000000000001</v>
      </c>
      <c r="E30">
        <v>0.14330000000000001</v>
      </c>
      <c r="F30">
        <v>13126776</v>
      </c>
      <c r="G30">
        <v>0.14330000000000001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-0.2475247524752478</v>
      </c>
      <c r="Q30">
        <f t="shared" ref="Q30" si="126">F30*P30</f>
        <v>-3249201.9801980234</v>
      </c>
      <c r="R30">
        <f t="shared" ref="R30" si="127">R31+Q30</f>
        <v>-1365961276.3307424</v>
      </c>
      <c r="S30">
        <f t="shared" ref="S30" si="128">R30/100000</f>
        <v>-13659.612763307423</v>
      </c>
      <c r="T30">
        <f t="shared" ref="T30" si="129">S30/1000</f>
        <v>-13.659612763307424</v>
      </c>
    </row>
    <row r="31" spans="1:20" x14ac:dyDescent="0.25">
      <c r="A31" s="5">
        <v>44562</v>
      </c>
      <c r="B31">
        <v>0.1391</v>
      </c>
      <c r="C31">
        <v>0.14230000000000001</v>
      </c>
      <c r="D31">
        <v>0.13769999999999999</v>
      </c>
      <c r="E31">
        <v>0.1419</v>
      </c>
      <c r="F31">
        <v>6798052</v>
      </c>
      <c r="G31">
        <v>0.1419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0.82608695652173492</v>
      </c>
      <c r="Q31">
        <f t="shared" ref="Q31" si="131">F31*P31</f>
        <v>5615782.0869564936</v>
      </c>
      <c r="R31">
        <f t="shared" ref="R31" si="132">R32+Q31</f>
        <v>-1362712074.3505445</v>
      </c>
      <c r="S31">
        <f t="shared" ref="S31" si="133">R31/100000</f>
        <v>-13627.120743505444</v>
      </c>
      <c r="T31">
        <f t="shared" ref="T31" si="134">S31/1000</f>
        <v>-13.627120743505444</v>
      </c>
    </row>
    <row r="32" spans="1:20" x14ac:dyDescent="0.25">
      <c r="A32" s="5">
        <v>44561</v>
      </c>
      <c r="B32">
        <v>0.1416</v>
      </c>
      <c r="C32">
        <v>0.14399999999999999</v>
      </c>
      <c r="D32">
        <v>0.13550000000000001</v>
      </c>
      <c r="E32">
        <v>0.1391</v>
      </c>
      <c r="F32">
        <v>10145207</v>
      </c>
      <c r="G32">
        <v>0.1391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-0.15294117647058808</v>
      </c>
      <c r="Q32">
        <f t="shared" ref="Q32" si="136">F32*P32</f>
        <v>-1551619.8941176455</v>
      </c>
      <c r="R32">
        <f t="shared" ref="R32" si="137">R33+Q32</f>
        <v>-1368327856.437501</v>
      </c>
      <c r="S32">
        <f t="shared" ref="S32" si="138">R32/100000</f>
        <v>-13683.27856437501</v>
      </c>
      <c r="T32">
        <f t="shared" ref="T32" si="139">S32/1000</f>
        <v>-13.68327856437501</v>
      </c>
    </row>
    <row r="33" spans="1:20" x14ac:dyDescent="0.25">
      <c r="A33" s="5">
        <v>44560</v>
      </c>
      <c r="B33">
        <v>0.13969999999999999</v>
      </c>
      <c r="C33">
        <v>0.14449999999999999</v>
      </c>
      <c r="D33">
        <v>0.13719999999999999</v>
      </c>
      <c r="E33">
        <v>0.14169999999999999</v>
      </c>
      <c r="F33">
        <v>10629335</v>
      </c>
      <c r="G33">
        <v>0.14169999999999999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0.23287671232876805</v>
      </c>
      <c r="Q33">
        <f t="shared" ref="Q33" si="141">F33*P33</f>
        <v>2475324.5890411059</v>
      </c>
      <c r="R33">
        <f t="shared" ref="R33" si="142">R34+Q33</f>
        <v>-1366776236.5433834</v>
      </c>
      <c r="S33">
        <f t="shared" ref="S33" si="143">R33/100000</f>
        <v>-13667.762365433833</v>
      </c>
      <c r="T33">
        <f t="shared" ref="T33" si="144">S33/1000</f>
        <v>-13.667762365433832</v>
      </c>
    </row>
    <row r="34" spans="1:20" x14ac:dyDescent="0.25">
      <c r="A34" s="5">
        <v>44559</v>
      </c>
      <c r="B34">
        <v>0.14560000000000001</v>
      </c>
      <c r="C34">
        <v>0.15490000000000001</v>
      </c>
      <c r="D34">
        <v>0.13900000000000001</v>
      </c>
      <c r="E34">
        <v>0.13950000000000001</v>
      </c>
      <c r="F34">
        <v>16344087</v>
      </c>
      <c r="G34">
        <v>0.13950000000000001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-0.93710691823899361</v>
      </c>
      <c r="Q34">
        <f t="shared" ref="Q34" si="146">F34*P34</f>
        <v>-15316156.999999998</v>
      </c>
      <c r="R34">
        <f t="shared" ref="R34" si="147">R35+Q34</f>
        <v>-1369251561.1324244</v>
      </c>
      <c r="S34">
        <f t="shared" ref="S34" si="148">R34/100000</f>
        <v>-13692.515611324243</v>
      </c>
      <c r="T34">
        <f t="shared" ref="T34" si="149">S34/1000</f>
        <v>-13.692515611324243</v>
      </c>
    </row>
    <row r="35" spans="1:20" x14ac:dyDescent="0.25">
      <c r="A35" s="5">
        <v>44558</v>
      </c>
      <c r="B35">
        <v>0.15989999999999999</v>
      </c>
      <c r="C35">
        <v>0.15989999999999999</v>
      </c>
      <c r="D35">
        <v>0.14269999999999999</v>
      </c>
      <c r="E35">
        <v>0.14560000000000001</v>
      </c>
      <c r="F35">
        <v>13138366</v>
      </c>
      <c r="G35">
        <v>0.14560000000000001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-0.6627906976744169</v>
      </c>
      <c r="Q35">
        <f t="shared" ref="Q35" si="151">F35*P35</f>
        <v>-8707986.7674418371</v>
      </c>
      <c r="R35">
        <f t="shared" ref="R35" si="152">R36+Q35</f>
        <v>-1353935404.1324244</v>
      </c>
      <c r="S35">
        <f t="shared" ref="S35" si="153">R35/100000</f>
        <v>-13539.354041324243</v>
      </c>
      <c r="T35">
        <f t="shared" ref="T35" si="154">S35/1000</f>
        <v>-13.539354041324243</v>
      </c>
    </row>
    <row r="36" spans="1:20" x14ac:dyDescent="0.25">
      <c r="A36" s="5">
        <v>44557</v>
      </c>
      <c r="B36">
        <v>0.1573</v>
      </c>
      <c r="C36">
        <v>0.16900000000000001</v>
      </c>
      <c r="D36">
        <v>0.15640000000000001</v>
      </c>
      <c r="E36">
        <v>0.15959999999999999</v>
      </c>
      <c r="F36">
        <v>21942263</v>
      </c>
      <c r="G36">
        <v>0.15959999999999999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-0.49206349206349514</v>
      </c>
      <c r="Q36">
        <f t="shared" ref="Q36" si="156">F36*P36</f>
        <v>-10796986.555555623</v>
      </c>
      <c r="R36">
        <f t="shared" ref="R36" si="157">R37+Q36</f>
        <v>-1345227417.3649826</v>
      </c>
      <c r="S36">
        <f t="shared" ref="S36" si="158">R36/100000</f>
        <v>-13452.274173649826</v>
      </c>
      <c r="T36">
        <f t="shared" ref="T36" si="159">S36/1000</f>
        <v>-13.452274173649826</v>
      </c>
    </row>
    <row r="37" spans="1:20" x14ac:dyDescent="0.25">
      <c r="A37" s="5">
        <v>44556</v>
      </c>
      <c r="B37">
        <v>0.1522</v>
      </c>
      <c r="C37">
        <v>0.17119999999999999</v>
      </c>
      <c r="D37">
        <v>0.14849999999999999</v>
      </c>
      <c r="E37">
        <v>0.1573</v>
      </c>
      <c r="F37">
        <v>43907722</v>
      </c>
      <c r="G37">
        <v>0.1573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-0.22466960352422879</v>
      </c>
      <c r="Q37">
        <f t="shared" ref="Q37" si="161">F37*P37</f>
        <v>-9864730.4933920577</v>
      </c>
      <c r="R37">
        <f t="shared" ref="R37" si="162">R38+Q37</f>
        <v>-1334430430.809427</v>
      </c>
      <c r="S37">
        <f t="shared" ref="S37" si="163">R37/100000</f>
        <v>-13344.30430809427</v>
      </c>
      <c r="T37">
        <f t="shared" ref="T37" si="164">S37/1000</f>
        <v>-13.344304308094269</v>
      </c>
    </row>
    <row r="38" spans="1:20" x14ac:dyDescent="0.25">
      <c r="A38" s="5">
        <v>44555</v>
      </c>
      <c r="B38">
        <v>0.14899999999999999</v>
      </c>
      <c r="C38">
        <v>0.156</v>
      </c>
      <c r="D38">
        <v>0.14810000000000001</v>
      </c>
      <c r="E38">
        <v>0.15210000000000001</v>
      </c>
      <c r="F38">
        <v>11366115</v>
      </c>
      <c r="G38">
        <v>0.15210000000000001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1.2658227848103401E-2</v>
      </c>
      <c r="Q38">
        <f t="shared" ref="Q38" si="166">F38*P38</f>
        <v>143874.87341774578</v>
      </c>
      <c r="R38">
        <f t="shared" ref="R38" si="167">R39+Q38</f>
        <v>-1324565700.316035</v>
      </c>
      <c r="S38">
        <f t="shared" ref="S38" si="168">R38/100000</f>
        <v>-13245.65700316035</v>
      </c>
      <c r="T38">
        <f t="shared" ref="T38" si="169">S38/1000</f>
        <v>-13.24565700316035</v>
      </c>
    </row>
    <row r="39" spans="1:20" x14ac:dyDescent="0.25">
      <c r="A39" s="5">
        <v>44554</v>
      </c>
      <c r="B39">
        <v>0.15670000000000001</v>
      </c>
      <c r="C39">
        <v>0.15870000000000001</v>
      </c>
      <c r="D39">
        <v>0.14860000000000001</v>
      </c>
      <c r="E39">
        <v>0.14910000000000001</v>
      </c>
      <c r="F39">
        <v>20179214</v>
      </c>
      <c r="G39">
        <v>0.14910000000000001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-0.9009900990099009</v>
      </c>
      <c r="Q39">
        <f t="shared" ref="Q39" si="171">F39*P39</f>
        <v>-18181272.019801978</v>
      </c>
      <c r="R39">
        <f t="shared" ref="R39" si="172">R40+Q39</f>
        <v>-1324709575.1894529</v>
      </c>
      <c r="S39">
        <f t="shared" ref="S39" si="173">R39/100000</f>
        <v>-13247.095751894529</v>
      </c>
      <c r="T39">
        <f t="shared" ref="T39" si="174">S39/1000</f>
        <v>-13.247095751894529</v>
      </c>
    </row>
    <row r="40" spans="1:20" x14ac:dyDescent="0.25">
      <c r="A40" s="5">
        <v>44553</v>
      </c>
      <c r="B40">
        <v>0.14829999999999999</v>
      </c>
      <c r="C40">
        <v>0.15740000000000001</v>
      </c>
      <c r="D40">
        <v>0.1447</v>
      </c>
      <c r="E40">
        <v>0.15670000000000001</v>
      </c>
      <c r="F40">
        <v>21179024</v>
      </c>
      <c r="G40">
        <v>0.15670000000000001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0.88976377952755825</v>
      </c>
      <c r="Q40">
        <f t="shared" ref="Q40" si="176">F40*P40</f>
        <v>18844328.440944865</v>
      </c>
      <c r="R40">
        <f t="shared" ref="R40" si="177">R41+Q40</f>
        <v>-1306528303.1696508</v>
      </c>
      <c r="S40">
        <f t="shared" ref="S40" si="178">R40/100000</f>
        <v>-13065.283031696508</v>
      </c>
      <c r="T40">
        <f t="shared" ref="T40" si="179">S40/1000</f>
        <v>-13.065283031696508</v>
      </c>
    </row>
    <row r="41" spans="1:20" x14ac:dyDescent="0.25">
      <c r="A41" s="5">
        <v>44552</v>
      </c>
      <c r="B41">
        <v>0.14449999999999999</v>
      </c>
      <c r="C41">
        <v>0.14979999999999999</v>
      </c>
      <c r="D41">
        <v>0.14349999999999999</v>
      </c>
      <c r="E41">
        <v>0.14829999999999999</v>
      </c>
      <c r="F41">
        <v>12340253</v>
      </c>
      <c r="G41">
        <v>0.14829999999999999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0.52380952380952339</v>
      </c>
      <c r="Q41">
        <f t="shared" ref="Q41" si="181">F41*P41</f>
        <v>6463942.0476190429</v>
      </c>
      <c r="R41">
        <f t="shared" ref="R41" si="182">R42+Q41</f>
        <v>-1325372631.6105957</v>
      </c>
      <c r="S41">
        <f t="shared" ref="S41" si="183">R41/100000</f>
        <v>-13253.726316105956</v>
      </c>
      <c r="T41">
        <f t="shared" ref="T41" si="184">S41/1000</f>
        <v>-13.253726316105956</v>
      </c>
    </row>
    <row r="42" spans="1:20" x14ac:dyDescent="0.25">
      <c r="A42" s="5">
        <v>44551</v>
      </c>
      <c r="B42">
        <v>0.14269999999999999</v>
      </c>
      <c r="C42">
        <v>0.14649999999999999</v>
      </c>
      <c r="D42">
        <v>0.1409</v>
      </c>
      <c r="E42">
        <v>0.14449999999999999</v>
      </c>
      <c r="F42">
        <v>11923220</v>
      </c>
      <c r="G42">
        <v>0.14449999999999999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0.28571428571428431</v>
      </c>
      <c r="Q42">
        <f t="shared" ref="Q42" si="186">F42*P42</f>
        <v>3406634.2857142692</v>
      </c>
      <c r="R42">
        <f t="shared" ref="R42" si="187">R43+Q42</f>
        <v>-1331836573.6582148</v>
      </c>
      <c r="S42">
        <f t="shared" ref="S42" si="188">R42/100000</f>
        <v>-13318.365736582147</v>
      </c>
      <c r="T42">
        <f t="shared" ref="T42" si="189">S42/1000</f>
        <v>-13.318365736582148</v>
      </c>
    </row>
    <row r="43" spans="1:20" x14ac:dyDescent="0.25">
      <c r="A43" s="5">
        <v>44550</v>
      </c>
      <c r="B43">
        <v>0.1439</v>
      </c>
      <c r="C43">
        <v>0.14510000000000001</v>
      </c>
      <c r="D43">
        <v>0.1343</v>
      </c>
      <c r="E43">
        <v>0.1429</v>
      </c>
      <c r="F43">
        <v>13674426</v>
      </c>
      <c r="G43">
        <v>0.1429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0.59259259259259134</v>
      </c>
      <c r="Q43">
        <f t="shared" ref="Q43" si="191">F43*P43</f>
        <v>8103363.5555555383</v>
      </c>
      <c r="R43">
        <f t="shared" ref="R43" si="192">R44+Q43</f>
        <v>-1335243207.9439292</v>
      </c>
      <c r="S43">
        <f t="shared" ref="S43" si="193">R43/100000</f>
        <v>-13352.432079439292</v>
      </c>
      <c r="T43">
        <f t="shared" ref="T43" si="194">S43/1000</f>
        <v>-13.352432079439291</v>
      </c>
    </row>
    <row r="44" spans="1:20" x14ac:dyDescent="0.25">
      <c r="A44" s="5">
        <v>44549</v>
      </c>
      <c r="B44">
        <v>0.14879999999999999</v>
      </c>
      <c r="C44">
        <v>0.152</v>
      </c>
      <c r="D44">
        <v>0.14360000000000001</v>
      </c>
      <c r="E44">
        <v>0.14399999999999999</v>
      </c>
      <c r="F44">
        <v>16005854</v>
      </c>
      <c r="G44">
        <v>0.14399999999999999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-0.90476190476190854</v>
      </c>
      <c r="Q44">
        <f t="shared" ref="Q44" si="196">F44*P44</f>
        <v>-14481486.952381013</v>
      </c>
      <c r="R44">
        <f t="shared" ref="R44" si="197">R45+Q44</f>
        <v>-1343346571.4994848</v>
      </c>
      <c r="S44">
        <f t="shared" ref="S44" si="198">R44/100000</f>
        <v>-13433.465714994847</v>
      </c>
      <c r="T44">
        <f t="shared" ref="T44" si="199">S44/1000</f>
        <v>-13.433465714994847</v>
      </c>
    </row>
    <row r="45" spans="1:20" x14ac:dyDescent="0.25">
      <c r="A45" s="5">
        <v>44548</v>
      </c>
      <c r="B45">
        <v>0.158</v>
      </c>
      <c r="C45">
        <v>0.15890000000000001</v>
      </c>
      <c r="D45">
        <v>0.14480000000000001</v>
      </c>
      <c r="E45">
        <v>0.14879999999999999</v>
      </c>
      <c r="F45">
        <v>30501604</v>
      </c>
      <c r="G45">
        <v>0.14879999999999999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-0.43262411347518082</v>
      </c>
      <c r="Q45">
        <f t="shared" ref="Q45" si="201">F45*P45</f>
        <v>-13195729.390071029</v>
      </c>
      <c r="R45">
        <f t="shared" ref="R45" si="202">R46+Q45</f>
        <v>-1328865084.5471039</v>
      </c>
      <c r="S45">
        <f t="shared" ref="S45" si="203">R45/100000</f>
        <v>-13288.650845471038</v>
      </c>
      <c r="T45">
        <f t="shared" ref="T45" si="204">S45/1000</f>
        <v>-13.288650845471038</v>
      </c>
    </row>
    <row r="46" spans="1:20" x14ac:dyDescent="0.25">
      <c r="A46" s="5">
        <v>44547</v>
      </c>
      <c r="B46">
        <v>0.14199999999999999</v>
      </c>
      <c r="C46">
        <v>0.1797</v>
      </c>
      <c r="D46">
        <v>0.13980000000000001</v>
      </c>
      <c r="E46">
        <v>0.1578</v>
      </c>
      <c r="F46">
        <v>74515502</v>
      </c>
      <c r="G46">
        <v>0.1578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-9.7744360902256022E-2</v>
      </c>
      <c r="Q46">
        <f t="shared" ref="Q46" si="206">F46*P46</f>
        <v>-7283470.1203007801</v>
      </c>
      <c r="R46">
        <f t="shared" ref="R46" si="207">R47+Q46</f>
        <v>-1315669355.157033</v>
      </c>
      <c r="S46">
        <f t="shared" ref="S46" si="208">R46/100000</f>
        <v>-13156.69355157033</v>
      </c>
      <c r="T46">
        <f t="shared" ref="T46" si="209">S46/1000</f>
        <v>-13.15669355157033</v>
      </c>
    </row>
    <row r="47" spans="1:20" x14ac:dyDescent="0.25">
      <c r="A47" s="5">
        <v>44546</v>
      </c>
      <c r="B47">
        <v>0.14430000000000001</v>
      </c>
      <c r="C47">
        <v>0.1525</v>
      </c>
      <c r="D47">
        <v>0.14130000000000001</v>
      </c>
      <c r="E47">
        <v>0.1421</v>
      </c>
      <c r="F47">
        <v>17271210</v>
      </c>
      <c r="G47">
        <v>0.1421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-0.85714285714285787</v>
      </c>
      <c r="Q47">
        <f t="shared" ref="Q47" si="211">F47*P47</f>
        <v>-14803894.285714298</v>
      </c>
      <c r="R47">
        <f t="shared" ref="R47" si="212">R48+Q47</f>
        <v>-1308385885.0367322</v>
      </c>
      <c r="S47">
        <f t="shared" ref="S47" si="213">R47/100000</f>
        <v>-13083.858850367322</v>
      </c>
      <c r="T47">
        <f t="shared" ref="T47" si="214">S47/1000</f>
        <v>-13.083858850367323</v>
      </c>
    </row>
    <row r="48" spans="1:20" x14ac:dyDescent="0.25">
      <c r="A48" s="5">
        <v>44545</v>
      </c>
      <c r="B48">
        <v>0.1419</v>
      </c>
      <c r="C48">
        <v>0.1449</v>
      </c>
      <c r="D48">
        <v>0.13139999999999999</v>
      </c>
      <c r="E48">
        <v>0.14410000000000001</v>
      </c>
      <c r="F48">
        <v>20047592</v>
      </c>
      <c r="G48">
        <v>0.14410000000000001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0.88148148148148231</v>
      </c>
      <c r="Q48">
        <f t="shared" ref="Q48" si="216">F48*P48</f>
        <v>17671581.096296314</v>
      </c>
      <c r="R48">
        <f t="shared" ref="R48" si="217">R49+Q48</f>
        <v>-1293581990.7510178</v>
      </c>
      <c r="S48">
        <f t="shared" ref="S48" si="218">R48/100000</f>
        <v>-12935.819907510178</v>
      </c>
      <c r="T48">
        <f t="shared" ref="T48" si="219">S48/1000</f>
        <v>-12.935819907510178</v>
      </c>
    </row>
    <row r="49" spans="1:20" x14ac:dyDescent="0.25">
      <c r="A49" s="5">
        <v>44544</v>
      </c>
      <c r="B49">
        <v>0.1419</v>
      </c>
      <c r="C49">
        <v>0.1484</v>
      </c>
      <c r="D49">
        <v>0.13669999999999999</v>
      </c>
      <c r="E49">
        <v>0.14199999999999999</v>
      </c>
      <c r="F49">
        <v>14236015</v>
      </c>
      <c r="G49">
        <v>0.14199999999999999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-9.401709401709539E-2</v>
      </c>
      <c r="Q49">
        <f t="shared" ref="Q49" si="221">F49*P49</f>
        <v>-1338428.7606837803</v>
      </c>
      <c r="R49">
        <f t="shared" ref="R49" si="222">R50+Q49</f>
        <v>-1311253571.8473141</v>
      </c>
      <c r="S49">
        <f t="shared" ref="S49" si="223">R49/100000</f>
        <v>-13112.535718473142</v>
      </c>
      <c r="T49">
        <f t="shared" ref="T49" si="224">S49/1000</f>
        <v>-13.112535718473142</v>
      </c>
    </row>
    <row r="50" spans="1:20" x14ac:dyDescent="0.25">
      <c r="A50" s="5">
        <v>44543</v>
      </c>
      <c r="B50">
        <v>0.16120000000000001</v>
      </c>
      <c r="C50">
        <v>0.16200000000000001</v>
      </c>
      <c r="D50">
        <v>0.13819999999999999</v>
      </c>
      <c r="E50">
        <v>0.14180000000000001</v>
      </c>
      <c r="F50">
        <v>16004331</v>
      </c>
      <c r="G50">
        <v>0.14180000000000001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-0.69747899159663718</v>
      </c>
      <c r="Q50">
        <f t="shared" ref="Q50" si="226">F50*P50</f>
        <v>-11162684.6470588</v>
      </c>
      <c r="R50">
        <f t="shared" ref="R50" si="227">R51+Q50</f>
        <v>-1309915143.0866303</v>
      </c>
      <c r="S50">
        <f t="shared" ref="S50" si="228">R50/100000</f>
        <v>-13099.151430866303</v>
      </c>
      <c r="T50">
        <f t="shared" ref="T50" si="229">S50/1000</f>
        <v>-13.099151430866304</v>
      </c>
    </row>
    <row r="51" spans="1:20" x14ac:dyDescent="0.25">
      <c r="A51" s="5">
        <v>44542</v>
      </c>
      <c r="B51">
        <v>0.15989999999999999</v>
      </c>
      <c r="C51">
        <v>0.17499999999999999</v>
      </c>
      <c r="D51">
        <v>0.157</v>
      </c>
      <c r="E51">
        <v>0.161</v>
      </c>
      <c r="F51">
        <v>39921233</v>
      </c>
      <c r="G51">
        <v>0.161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-0.55555555555555491</v>
      </c>
      <c r="Q51">
        <f t="shared" ref="Q51" si="231">F51*P51</f>
        <v>-22178462.777777754</v>
      </c>
      <c r="R51">
        <f t="shared" ref="R51" si="232">R52+Q51</f>
        <v>-1298752458.4395716</v>
      </c>
      <c r="S51">
        <f t="shared" ref="S51" si="233">R51/100000</f>
        <v>-12987.524584395716</v>
      </c>
      <c r="T51">
        <f t="shared" ref="T51" si="234">S51/1000</f>
        <v>-12.987524584395716</v>
      </c>
    </row>
    <row r="52" spans="1:20" x14ac:dyDescent="0.25">
      <c r="A52" s="5">
        <v>44541</v>
      </c>
      <c r="B52">
        <v>0.15629999999999999</v>
      </c>
      <c r="C52">
        <v>0.15740000000000001</v>
      </c>
      <c r="D52">
        <v>0.153</v>
      </c>
      <c r="E52">
        <v>0.15679999999999999</v>
      </c>
      <c r="F52">
        <v>826600</v>
      </c>
      <c r="G52">
        <v>0.15679999999999999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0.72727272727272041</v>
      </c>
      <c r="Q52">
        <f t="shared" ref="Q52" si="236">F52*P52</f>
        <v>601163.63636363065</v>
      </c>
      <c r="R52">
        <f t="shared" ref="R52" si="237">R53+Q52</f>
        <v>-1276573995.6617939</v>
      </c>
      <c r="S52">
        <f t="shared" ref="S52" si="238">R52/100000</f>
        <v>-12765.739956617939</v>
      </c>
      <c r="T52">
        <f t="shared" ref="T52" si="239">S52/1000</f>
        <v>-12.765739956617939</v>
      </c>
    </row>
    <row r="53" spans="1:20" x14ac:dyDescent="0.25">
      <c r="A53" s="5">
        <v>44540</v>
      </c>
      <c r="B53">
        <v>0.1598</v>
      </c>
      <c r="C53">
        <v>0.1799</v>
      </c>
      <c r="D53">
        <v>0.15509999999999999</v>
      </c>
      <c r="E53">
        <v>0.1565</v>
      </c>
      <c r="F53">
        <v>26795817</v>
      </c>
      <c r="G53">
        <v>0.1565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-0.88709677419354749</v>
      </c>
      <c r="Q53">
        <f t="shared" ref="Q53" si="241">F53*P53</f>
        <v>-23770482.822580621</v>
      </c>
      <c r="R53">
        <f t="shared" ref="R53" si="242">R54+Q53</f>
        <v>-1277175159.2981577</v>
      </c>
      <c r="S53">
        <f t="shared" ref="S53" si="243">R53/100000</f>
        <v>-12771.751592981576</v>
      </c>
      <c r="T53">
        <f t="shared" ref="T53" si="244">S53/1000</f>
        <v>-12.771751592981577</v>
      </c>
    </row>
    <row r="54" spans="1:20" x14ac:dyDescent="0.25">
      <c r="A54" s="5">
        <v>44539</v>
      </c>
      <c r="B54">
        <v>0.17369999999999999</v>
      </c>
      <c r="C54">
        <v>0.18190000000000001</v>
      </c>
      <c r="D54">
        <v>0.1575</v>
      </c>
      <c r="E54">
        <v>0.15989999999999999</v>
      </c>
      <c r="F54">
        <v>26102275</v>
      </c>
      <c r="G54">
        <v>0.15989999999999999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-0.80327868852459139</v>
      </c>
      <c r="Q54">
        <f t="shared" ref="Q54" si="246">F54*P54</f>
        <v>-20967401.229508229</v>
      </c>
      <c r="R54">
        <f t="shared" ref="R54" si="247">R55+Q54</f>
        <v>-1253404676.4755771</v>
      </c>
      <c r="S54">
        <f t="shared" ref="S54" si="248">R54/100000</f>
        <v>-12534.046764755771</v>
      </c>
      <c r="T54">
        <f t="shared" ref="T54" si="249">S54/1000</f>
        <v>-12.53404676475577</v>
      </c>
    </row>
    <row r="55" spans="1:20" x14ac:dyDescent="0.25">
      <c r="A55" s="5">
        <v>44538</v>
      </c>
      <c r="B55">
        <v>0.1694</v>
      </c>
      <c r="C55">
        <v>0.1754</v>
      </c>
      <c r="D55">
        <v>0.16239999999999999</v>
      </c>
      <c r="E55">
        <v>0.1739</v>
      </c>
      <c r="F55">
        <v>30302686</v>
      </c>
      <c r="G55">
        <v>0.1739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0.76923076923076927</v>
      </c>
      <c r="Q55">
        <f t="shared" ref="Q55" si="251">F55*P55</f>
        <v>23309758.461538464</v>
      </c>
      <c r="R55">
        <f t="shared" ref="R55" si="252">R56+Q55</f>
        <v>-1232437275.246069</v>
      </c>
      <c r="S55">
        <f t="shared" ref="S55" si="253">R55/100000</f>
        <v>-12324.372752460689</v>
      </c>
      <c r="T55">
        <f t="shared" ref="T55" si="254">S55/1000</f>
        <v>-12.32437275246069</v>
      </c>
    </row>
    <row r="56" spans="1:20" x14ac:dyDescent="0.25">
      <c r="A56" s="5">
        <v>44537</v>
      </c>
      <c r="B56">
        <v>0.1789</v>
      </c>
      <c r="C56">
        <v>0.184</v>
      </c>
      <c r="D56">
        <v>0.1663</v>
      </c>
      <c r="E56">
        <v>0.1694</v>
      </c>
      <c r="F56">
        <v>54615236</v>
      </c>
      <c r="G56">
        <v>0.1694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-0.64971751412429457</v>
      </c>
      <c r="Q56">
        <f t="shared" ref="Q56" si="256">F56*P56</f>
        <v>-35484475.367231682</v>
      </c>
      <c r="R56">
        <f t="shared" ref="R56" si="257">R57+Q56</f>
        <v>-1255747033.7076075</v>
      </c>
      <c r="S56">
        <f t="shared" ref="S56" si="258">R56/100000</f>
        <v>-12557.470337076074</v>
      </c>
      <c r="T56">
        <f t="shared" ref="T56" si="259">S56/1000</f>
        <v>-12.557470337076074</v>
      </c>
    </row>
    <row r="57" spans="1:20" x14ac:dyDescent="0.25">
      <c r="A57" s="5">
        <v>44536</v>
      </c>
      <c r="B57">
        <v>0.15970000000000001</v>
      </c>
      <c r="C57">
        <v>0.19</v>
      </c>
      <c r="D57">
        <v>0.14929999999999999</v>
      </c>
      <c r="E57">
        <v>0.1789</v>
      </c>
      <c r="F57">
        <v>84268681</v>
      </c>
      <c r="G57">
        <v>0.1789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0.45454545454545481</v>
      </c>
      <c r="Q57">
        <f t="shared" ref="Q57" si="261">F57*P57</f>
        <v>38303945.909090929</v>
      </c>
      <c r="R57">
        <f t="shared" ref="R57" si="262">R58+Q57</f>
        <v>-1220262558.3403759</v>
      </c>
      <c r="S57">
        <f t="shared" ref="S57" si="263">R57/100000</f>
        <v>-12202.625583403758</v>
      </c>
      <c r="T57">
        <f t="shared" ref="T57" si="264">S57/1000</f>
        <v>-12.202625583403758</v>
      </c>
    </row>
    <row r="58" spans="1:20" x14ac:dyDescent="0.25">
      <c r="A58" s="5">
        <v>44535</v>
      </c>
      <c r="B58">
        <v>0.18010000000000001</v>
      </c>
      <c r="C58">
        <v>0.1895</v>
      </c>
      <c r="D58">
        <v>0.1583</v>
      </c>
      <c r="E58">
        <v>0.16009999999999999</v>
      </c>
      <c r="F58">
        <v>49090459</v>
      </c>
      <c r="G58">
        <v>0.16009999999999999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-0.88461538461538491</v>
      </c>
      <c r="Q58">
        <f t="shared" ref="Q58" si="266">F58*P58</f>
        <v>-43426175.269230783</v>
      </c>
      <c r="R58">
        <f t="shared" ref="R58" si="267">R59+Q58</f>
        <v>-1258566504.2494669</v>
      </c>
      <c r="S58">
        <f t="shared" ref="S58" si="268">R58/100000</f>
        <v>-12585.665042494669</v>
      </c>
      <c r="T58">
        <f t="shared" ref="T58" si="269">S58/1000</f>
        <v>-12.58566504249467</v>
      </c>
    </row>
    <row r="59" spans="1:20" x14ac:dyDescent="0.25">
      <c r="A59" s="5">
        <v>44534</v>
      </c>
      <c r="B59">
        <v>0.1996</v>
      </c>
      <c r="C59">
        <v>0.2</v>
      </c>
      <c r="D59">
        <v>0.14199999999999999</v>
      </c>
      <c r="E59">
        <v>0.1804</v>
      </c>
      <c r="F59">
        <v>107177884</v>
      </c>
      <c r="G59">
        <v>0.1804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0.3241379310344828</v>
      </c>
      <c r="Q59">
        <f t="shared" ref="Q59" si="271">F59*P59</f>
        <v>34740417.572413795</v>
      </c>
      <c r="R59">
        <f t="shared" ref="R59" si="272">R60+Q59</f>
        <v>-1215140328.9802361</v>
      </c>
      <c r="S59">
        <f t="shared" ref="S59" si="273">R59/100000</f>
        <v>-12151.40328980236</v>
      </c>
      <c r="T59">
        <f t="shared" ref="T59" si="274">S59/1000</f>
        <v>-12.15140328980236</v>
      </c>
    </row>
    <row r="60" spans="1:20" x14ac:dyDescent="0.25">
      <c r="A60" s="5">
        <v>44533</v>
      </c>
      <c r="B60">
        <v>0.20549999999999999</v>
      </c>
      <c r="C60">
        <v>0.23499999999999999</v>
      </c>
      <c r="D60">
        <v>0.19320000000000001</v>
      </c>
      <c r="E60">
        <v>0.19939999999999999</v>
      </c>
      <c r="F60">
        <v>91396567</v>
      </c>
      <c r="G60">
        <v>0.19939999999999999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-0.70334928229665139</v>
      </c>
      <c r="Q60">
        <f t="shared" ref="Q60" si="276">F60*P60</f>
        <v>-64283709.803827815</v>
      </c>
      <c r="R60">
        <f t="shared" ref="R60" si="277">R61+Q60</f>
        <v>-1249880746.5526497</v>
      </c>
      <c r="S60">
        <f t="shared" ref="S60" si="278">R60/100000</f>
        <v>-12498.807465526497</v>
      </c>
      <c r="T60">
        <f t="shared" ref="T60" si="279">S60/1000</f>
        <v>-12.498807465526497</v>
      </c>
    </row>
    <row r="61" spans="1:20" x14ac:dyDescent="0.25">
      <c r="A61" s="5">
        <v>44532</v>
      </c>
      <c r="B61">
        <v>0.2235</v>
      </c>
      <c r="C61">
        <v>0.22470000000000001</v>
      </c>
      <c r="D61">
        <v>0.20080000000000001</v>
      </c>
      <c r="E61">
        <v>0.20530000000000001</v>
      </c>
      <c r="F61">
        <v>78805643</v>
      </c>
      <c r="G61">
        <v>0.20530000000000001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-0.62343096234309592</v>
      </c>
      <c r="Q61">
        <f t="shared" ref="Q61" si="281">F61*P61</f>
        <v>-49129877.853556462</v>
      </c>
      <c r="R61">
        <f t="shared" ref="R61" si="282">R62+Q61</f>
        <v>-1185597036.748822</v>
      </c>
      <c r="S61">
        <f t="shared" ref="S61" si="283">R61/100000</f>
        <v>-11855.97036748822</v>
      </c>
      <c r="T61">
        <f t="shared" ref="T61" si="284">S61/1000</f>
        <v>-11.85597036748822</v>
      </c>
    </row>
    <row r="62" spans="1:20" x14ac:dyDescent="0.25">
      <c r="A62" s="5">
        <v>44531</v>
      </c>
      <c r="B62">
        <v>0.20069999999999999</v>
      </c>
      <c r="C62">
        <v>0.25740000000000002</v>
      </c>
      <c r="D62">
        <v>0.2</v>
      </c>
      <c r="E62">
        <v>0.2235</v>
      </c>
      <c r="F62">
        <v>187889206</v>
      </c>
      <c r="G62">
        <v>0.2235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-0.18118466898954738</v>
      </c>
      <c r="Q62">
        <f t="shared" ref="Q62" si="286">F62*P62</f>
        <v>-34042643.595818877</v>
      </c>
      <c r="R62">
        <f t="shared" ref="R62" si="287">R63+Q62</f>
        <v>-1136467158.8952656</v>
      </c>
      <c r="S62">
        <f t="shared" ref="S62" si="288">R62/100000</f>
        <v>-11364.671588952655</v>
      </c>
      <c r="T62">
        <f t="shared" ref="T62" si="289">S62/1000</f>
        <v>-11.364671588952655</v>
      </c>
    </row>
    <row r="63" spans="1:20" x14ac:dyDescent="0.25">
      <c r="A63" s="5">
        <v>44530</v>
      </c>
      <c r="B63">
        <v>0.21249999999999999</v>
      </c>
      <c r="C63">
        <v>0.2208</v>
      </c>
      <c r="D63">
        <v>0.2001</v>
      </c>
      <c r="E63">
        <v>0.20069999999999999</v>
      </c>
      <c r="F63">
        <v>49822535</v>
      </c>
      <c r="G63">
        <v>0.20069999999999999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-0.94202898550724734</v>
      </c>
      <c r="Q63">
        <f t="shared" ref="Q63" si="291">F63*P63</f>
        <v>-46934272.101449326</v>
      </c>
      <c r="R63">
        <f t="shared" ref="R63" si="292">R64+Q63</f>
        <v>-1102424515.2994466</v>
      </c>
      <c r="S63">
        <f t="shared" ref="S63" si="293">R63/100000</f>
        <v>-11024.245152994466</v>
      </c>
      <c r="T63">
        <f t="shared" ref="T63" si="294">S63/1000</f>
        <v>-11.024245152994466</v>
      </c>
    </row>
    <row r="64" spans="1:20" x14ac:dyDescent="0.25">
      <c r="A64" s="5">
        <v>44529</v>
      </c>
      <c r="B64">
        <v>0.2135</v>
      </c>
      <c r="C64">
        <v>0.25</v>
      </c>
      <c r="D64">
        <v>0.21149999999999999</v>
      </c>
      <c r="E64">
        <v>0.21249999999999999</v>
      </c>
      <c r="F64">
        <v>128709975</v>
      </c>
      <c r="G64">
        <v>0.21249999999999999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-0.94805194805194803</v>
      </c>
      <c r="Q64">
        <f t="shared" ref="Q64" si="296">F64*P64</f>
        <v>-122023742.53246753</v>
      </c>
      <c r="R64">
        <f t="shared" ref="R64" si="297">R65+Q64</f>
        <v>-1055490243.1979972</v>
      </c>
      <c r="S64">
        <f t="shared" ref="S64" si="298">R64/100000</f>
        <v>-10554.902431979972</v>
      </c>
      <c r="T64">
        <f t="shared" ref="T64" si="299">S64/1000</f>
        <v>-10.554902431979972</v>
      </c>
    </row>
    <row r="65" spans="1:20" x14ac:dyDescent="0.25">
      <c r="A65" s="5">
        <v>44528</v>
      </c>
      <c r="B65">
        <v>0.22570000000000001</v>
      </c>
      <c r="C65">
        <v>0.2298</v>
      </c>
      <c r="D65">
        <v>0.1978</v>
      </c>
      <c r="E65">
        <v>0.2135</v>
      </c>
      <c r="F65">
        <v>77535804</v>
      </c>
      <c r="G65">
        <v>0.2135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-1.8750000000000537E-2</v>
      </c>
      <c r="Q65">
        <f t="shared" ref="Q65" si="301">F65*P65</f>
        <v>-1453796.3250000416</v>
      </c>
      <c r="R65">
        <f t="shared" ref="R65" si="302">R66+Q65</f>
        <v>-933466500.66552973</v>
      </c>
      <c r="S65">
        <f t="shared" ref="S65" si="303">R65/100000</f>
        <v>-9334.6650066552975</v>
      </c>
      <c r="T65">
        <f t="shared" ref="T65" si="304">S65/1000</f>
        <v>-9.3346650066552979</v>
      </c>
    </row>
    <row r="66" spans="1:20" x14ac:dyDescent="0.25">
      <c r="A66" s="5">
        <v>44527</v>
      </c>
      <c r="B66">
        <v>0.24529999999999999</v>
      </c>
      <c r="C66">
        <v>0.25330000000000003</v>
      </c>
      <c r="D66">
        <v>0.2218</v>
      </c>
      <c r="E66">
        <v>0.2258</v>
      </c>
      <c r="F66">
        <v>135336379</v>
      </c>
      <c r="G66">
        <v>0.2258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-0.74603174603174605</v>
      </c>
      <c r="Q66">
        <f t="shared" ref="Q66" si="306">F66*P66</f>
        <v>-100965235.12698413</v>
      </c>
      <c r="R66">
        <f t="shared" ref="R66" si="307">R67+Q66</f>
        <v>-932012704.34052968</v>
      </c>
      <c r="S66">
        <f t="shared" ref="S66" si="308">R66/100000</f>
        <v>-9320.1270434052967</v>
      </c>
      <c r="T66">
        <f t="shared" ref="T66" si="309">S66/1000</f>
        <v>-9.3201270434052965</v>
      </c>
    </row>
    <row r="67" spans="1:20" x14ac:dyDescent="0.25">
      <c r="A67" s="5">
        <v>44526</v>
      </c>
      <c r="B67">
        <v>0.31059999999999999</v>
      </c>
      <c r="C67">
        <v>0.3478</v>
      </c>
      <c r="D67">
        <v>0.22800000000000001</v>
      </c>
      <c r="E67">
        <v>0.24579999999999999</v>
      </c>
      <c r="F67">
        <v>787850212</v>
      </c>
      <c r="G67">
        <v>0.24579999999999999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-0.70283806343906541</v>
      </c>
      <c r="Q67">
        <f t="shared" ref="Q67" si="311">F67*P67</f>
        <v>-553731117.28213716</v>
      </c>
      <c r="R67">
        <f t="shared" ref="R67" si="312">R68+Q67</f>
        <v>-831047469.21354556</v>
      </c>
      <c r="S67">
        <f t="shared" ref="S67" si="313">R67/100000</f>
        <v>-8310.4746921354563</v>
      </c>
      <c r="T67">
        <f t="shared" ref="T67" si="314">S67/1000</f>
        <v>-8.3104746921354558</v>
      </c>
    </row>
    <row r="68" spans="1:20" x14ac:dyDescent="0.25">
      <c r="A68" s="5">
        <v>44525</v>
      </c>
      <c r="B68">
        <v>0.16700000000000001</v>
      </c>
      <c r="C68">
        <v>0.36799999999999999</v>
      </c>
      <c r="D68">
        <v>0.16550000000000001</v>
      </c>
      <c r="E68">
        <v>0.31040000000000001</v>
      </c>
      <c r="F68">
        <v>936478836.59000003</v>
      </c>
      <c r="G68">
        <v>0.31040000000000001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0.43111111111111122</v>
      </c>
      <c r="Q68">
        <f t="shared" ref="Q68" si="316">F68*P68</f>
        <v>403726431.77435565</v>
      </c>
      <c r="R68">
        <f t="shared" ref="R68" si="317">R69+Q68</f>
        <v>-277316351.93140841</v>
      </c>
      <c r="S68">
        <f t="shared" ref="S68" si="318">R68/100000</f>
        <v>-2773.1635193140842</v>
      </c>
      <c r="T68">
        <f t="shared" ref="T68" si="319">S68/1000</f>
        <v>-2.773163519314084</v>
      </c>
    </row>
    <row r="69" spans="1:20" x14ac:dyDescent="0.25">
      <c r="A69" s="5">
        <v>44524</v>
      </c>
      <c r="B69">
        <v>0.1739</v>
      </c>
      <c r="C69">
        <v>0.17460000000000001</v>
      </c>
      <c r="D69">
        <v>0.16</v>
      </c>
      <c r="E69">
        <v>0.16589999999999999</v>
      </c>
      <c r="F69">
        <v>7896517</v>
      </c>
      <c r="G69">
        <v>0.16589999999999999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-0.19178082191780987</v>
      </c>
      <c r="Q69">
        <f t="shared" ref="Q69" si="321">F69*P69</f>
        <v>-1514400.5205479583</v>
      </c>
      <c r="R69">
        <f t="shared" ref="R69" si="322">R70+Q69</f>
        <v>-681042783.70576406</v>
      </c>
      <c r="S69">
        <f t="shared" ref="S69" si="323">R69/100000</f>
        <v>-6810.4278370576403</v>
      </c>
      <c r="T69">
        <f t="shared" ref="T69" si="324">S69/1000</f>
        <v>-6.8104278370576399</v>
      </c>
    </row>
    <row r="70" spans="1:20" x14ac:dyDescent="0.25">
      <c r="A70" s="5">
        <v>44523</v>
      </c>
      <c r="B70">
        <v>0.17319999999999999</v>
      </c>
      <c r="C70">
        <v>0.17860000000000001</v>
      </c>
      <c r="D70">
        <v>0.16800000000000001</v>
      </c>
      <c r="E70">
        <v>0.1739</v>
      </c>
      <c r="F70">
        <v>13169798</v>
      </c>
      <c r="G70">
        <v>0.1739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0.11320754716980934</v>
      </c>
      <c r="Q70">
        <f t="shared" ref="Q70" si="326">F70*P70</f>
        <v>1490920.5283018607</v>
      </c>
      <c r="R70">
        <f t="shared" ref="R70" si="327">R71+Q70</f>
        <v>-679528383.18521607</v>
      </c>
      <c r="S70">
        <f t="shared" ref="S70" si="328">R70/100000</f>
        <v>-6795.2838318521608</v>
      </c>
      <c r="T70">
        <f t="shared" ref="T70" si="329">S70/1000</f>
        <v>-6.7952838318521609</v>
      </c>
    </row>
    <row r="71" spans="1:20" x14ac:dyDescent="0.25">
      <c r="A71" s="5">
        <v>44522</v>
      </c>
      <c r="B71">
        <v>0.17780000000000001</v>
      </c>
      <c r="C71">
        <v>0.17910000000000001</v>
      </c>
      <c r="D71">
        <v>0.1676</v>
      </c>
      <c r="E71">
        <v>0.17280000000000001</v>
      </c>
      <c r="F71">
        <v>13855926</v>
      </c>
      <c r="G71">
        <v>0.17280000000000001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-9.565217391304251E-2</v>
      </c>
      <c r="Q71">
        <f t="shared" ref="Q71" si="331">F71*P71</f>
        <v>-1325349.4434782474</v>
      </c>
      <c r="R71">
        <f t="shared" ref="R71" si="332">R72+Q71</f>
        <v>-681019303.7135179</v>
      </c>
      <c r="S71">
        <f t="shared" ref="S71" si="333">R71/100000</f>
        <v>-6810.1930371351791</v>
      </c>
      <c r="T71">
        <f t="shared" ref="T71" si="334">S71/1000</f>
        <v>-6.8101930371351793</v>
      </c>
    </row>
    <row r="72" spans="1:20" x14ac:dyDescent="0.25">
      <c r="A72" s="5">
        <v>44521</v>
      </c>
      <c r="B72">
        <v>0.17050000000000001</v>
      </c>
      <c r="C72">
        <v>0.19089999999999999</v>
      </c>
      <c r="D72">
        <v>0.16850000000000001</v>
      </c>
      <c r="E72">
        <v>0.1784</v>
      </c>
      <c r="F72">
        <v>34130295</v>
      </c>
      <c r="G72">
        <v>0.1784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-0.11607142857142831</v>
      </c>
      <c r="Q72">
        <f t="shared" ref="Q72" si="336">F72*P72</f>
        <v>-3961552.0982142771</v>
      </c>
      <c r="R72">
        <f t="shared" ref="R72" si="337">R73+Q72</f>
        <v>-679693954.27003968</v>
      </c>
      <c r="S72">
        <f t="shared" ref="S72" si="338">R72/100000</f>
        <v>-6796.9395427003965</v>
      </c>
      <c r="T72">
        <f t="shared" ref="T72" si="339">S72/1000</f>
        <v>-6.7969395427003967</v>
      </c>
    </row>
    <row r="73" spans="1:20" x14ac:dyDescent="0.25">
      <c r="A73" s="5">
        <v>44520</v>
      </c>
      <c r="B73">
        <v>0.16320000000000001</v>
      </c>
      <c r="C73">
        <v>0.17419999999999999</v>
      </c>
      <c r="D73">
        <v>0.15770000000000001</v>
      </c>
      <c r="E73">
        <v>0.17050000000000001</v>
      </c>
      <c r="F73">
        <v>26786528</v>
      </c>
      <c r="G73">
        <v>0.17050000000000001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0.5515151515151534</v>
      </c>
      <c r="Q73">
        <f t="shared" ref="Q73" si="341">F73*P73</f>
        <v>14773176.048484899</v>
      </c>
      <c r="R73">
        <f t="shared" ref="R73" si="342">R74+Q73</f>
        <v>-675732402.17182541</v>
      </c>
      <c r="S73">
        <f t="shared" ref="S73" si="343">R73/100000</f>
        <v>-6757.3240217182538</v>
      </c>
      <c r="T73">
        <f t="shared" ref="T73" si="344">S73/1000</f>
        <v>-6.7573240217182535</v>
      </c>
    </row>
    <row r="74" spans="1:20" x14ac:dyDescent="0.25">
      <c r="A74" s="5">
        <v>44519</v>
      </c>
      <c r="B74">
        <v>0.15570000000000001</v>
      </c>
      <c r="C74">
        <v>0.19</v>
      </c>
      <c r="D74">
        <v>0.15429999999999999</v>
      </c>
      <c r="E74">
        <v>0.16320000000000001</v>
      </c>
      <c r="F74">
        <v>35727070</v>
      </c>
      <c r="G74">
        <v>0.16320000000000001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-0.50140056022408874</v>
      </c>
      <c r="Q74">
        <f t="shared" ref="Q74" si="346">F74*P74</f>
        <v>-17913572.913165234</v>
      </c>
      <c r="R74">
        <f t="shared" ref="R74" si="347">R75+Q74</f>
        <v>-690505578.22031033</v>
      </c>
      <c r="S74">
        <f t="shared" ref="S74" si="348">R74/100000</f>
        <v>-6905.0557822031033</v>
      </c>
      <c r="T74">
        <f t="shared" ref="T74" si="349">S74/1000</f>
        <v>-6.9050557822031031</v>
      </c>
    </row>
    <row r="75" spans="1:20" x14ac:dyDescent="0.25">
      <c r="A75" s="5">
        <v>44518</v>
      </c>
      <c r="B75">
        <v>0.16420000000000001</v>
      </c>
      <c r="C75">
        <v>0.1893</v>
      </c>
      <c r="D75">
        <v>0.1482</v>
      </c>
      <c r="E75">
        <v>0.1555</v>
      </c>
      <c r="F75">
        <v>62489896</v>
      </c>
      <c r="G75">
        <v>0.1555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-0.64476885644768855</v>
      </c>
      <c r="Q75">
        <f t="shared" ref="Q75" si="351">F75*P75</f>
        <v>-40291538.783454984</v>
      </c>
      <c r="R75">
        <f t="shared" ref="R75" si="352">R76+Q75</f>
        <v>-672592005.30714512</v>
      </c>
      <c r="S75">
        <f t="shared" ref="S75" si="353">R75/100000</f>
        <v>-6725.9200530714515</v>
      </c>
      <c r="T75">
        <f t="shared" ref="T75" si="354">S75/1000</f>
        <v>-6.7259200530714516</v>
      </c>
    </row>
    <row r="76" spans="1:20" x14ac:dyDescent="0.25">
      <c r="A76" s="5">
        <v>44517</v>
      </c>
      <c r="B76">
        <v>0.16350000000000001</v>
      </c>
      <c r="C76">
        <v>0.16889999999999999</v>
      </c>
      <c r="D76">
        <v>0.15740000000000001</v>
      </c>
      <c r="E76">
        <v>0.16450000000000001</v>
      </c>
      <c r="F76">
        <v>12129001</v>
      </c>
      <c r="G76">
        <v>0.16450000000000001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0.23478260869565323</v>
      </c>
      <c r="Q76">
        <f t="shared" ref="Q76" si="356">F76*P76</f>
        <v>2847678.4956521867</v>
      </c>
      <c r="R76">
        <f t="shared" ref="R76" si="357">R77+Q76</f>
        <v>-632300466.5236901</v>
      </c>
      <c r="S76">
        <f t="shared" ref="S76" si="358">R76/100000</f>
        <v>-6323.004665236901</v>
      </c>
      <c r="T76">
        <f t="shared" ref="T76" si="359">S76/1000</f>
        <v>-6.3230046652369012</v>
      </c>
    </row>
    <row r="77" spans="1:20" x14ac:dyDescent="0.25">
      <c r="A77" s="5">
        <v>44516</v>
      </c>
      <c r="B77">
        <v>0.1799</v>
      </c>
      <c r="C77">
        <v>0.18029999999999999</v>
      </c>
      <c r="D77">
        <v>0.156</v>
      </c>
      <c r="E77">
        <v>0.16400000000000001</v>
      </c>
      <c r="F77">
        <v>15713148</v>
      </c>
      <c r="G77">
        <v>0.16400000000000001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-0.34156378600822956</v>
      </c>
      <c r="Q77">
        <f t="shared" ref="Q77" si="361">F77*P77</f>
        <v>-5367042.3209876399</v>
      </c>
      <c r="R77">
        <f t="shared" ref="R77" si="362">R78+Q77</f>
        <v>-635148145.0193423</v>
      </c>
      <c r="S77">
        <f t="shared" ref="S77" si="363">R77/100000</f>
        <v>-6351.4814501934234</v>
      </c>
      <c r="T77">
        <f t="shared" ref="T77" si="364">S77/1000</f>
        <v>-6.3514814501934236</v>
      </c>
    </row>
    <row r="78" spans="1:20" x14ac:dyDescent="0.25">
      <c r="A78" s="5">
        <v>44515</v>
      </c>
      <c r="B78">
        <v>0.18340000000000001</v>
      </c>
      <c r="C78">
        <v>0.1905</v>
      </c>
      <c r="D78">
        <v>0.17910000000000001</v>
      </c>
      <c r="E78">
        <v>0.1799</v>
      </c>
      <c r="F78">
        <v>24829097</v>
      </c>
      <c r="G78">
        <v>0.1799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-0.85964912280701833</v>
      </c>
      <c r="Q78">
        <f t="shared" ref="Q78" si="366">F78*P78</f>
        <v>-21344311.456140369</v>
      </c>
      <c r="R78">
        <f t="shared" ref="R78" si="367">R79+Q78</f>
        <v>-629781102.69835472</v>
      </c>
      <c r="S78">
        <f t="shared" ref="S78" si="368">R78/100000</f>
        <v>-6297.811026983547</v>
      </c>
      <c r="T78">
        <f t="shared" ref="T78" si="369">S78/1000</f>
        <v>-6.2978110269835472</v>
      </c>
    </row>
    <row r="79" spans="1:20" x14ac:dyDescent="0.25">
      <c r="A79" s="5">
        <v>44514</v>
      </c>
      <c r="B79">
        <v>0.17299999999999999</v>
      </c>
      <c r="C79">
        <v>0.193</v>
      </c>
      <c r="D79">
        <v>0.17169999999999999</v>
      </c>
      <c r="E79">
        <v>0.18329999999999999</v>
      </c>
      <c r="F79">
        <v>28074257</v>
      </c>
      <c r="G79">
        <v>0.18329999999999999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8.9201877934271548E-2</v>
      </c>
      <c r="Q79">
        <f t="shared" ref="Q79" si="371">F79*P79</f>
        <v>2504276.4460093686</v>
      </c>
      <c r="R79">
        <f t="shared" ref="R79" si="372">R80+Q79</f>
        <v>-608436791.24221432</v>
      </c>
      <c r="S79">
        <f t="shared" ref="S79" si="373">R79/100000</f>
        <v>-6084.3679124221435</v>
      </c>
      <c r="T79">
        <f t="shared" ref="T79" si="374">S79/1000</f>
        <v>-6.0843679124221435</v>
      </c>
    </row>
    <row r="80" spans="1:20" x14ac:dyDescent="0.25">
      <c r="A80" s="5">
        <v>44513</v>
      </c>
      <c r="B80">
        <v>0.17430000000000001</v>
      </c>
      <c r="C80">
        <v>0.18129999999999999</v>
      </c>
      <c r="D80">
        <v>0.17219999999999999</v>
      </c>
      <c r="E80">
        <v>0.17299999999999999</v>
      </c>
      <c r="F80">
        <v>9246297</v>
      </c>
      <c r="G80">
        <v>0.17299999999999999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-0.82417582417582513</v>
      </c>
      <c r="Q80">
        <f t="shared" ref="Q80" si="376">F80*P80</f>
        <v>-7620574.4505494591</v>
      </c>
      <c r="R80">
        <f t="shared" ref="R80" si="377">R81+Q80</f>
        <v>-610941067.68822372</v>
      </c>
      <c r="S80">
        <f t="shared" ref="S80" si="378">R80/100000</f>
        <v>-6109.4106768822376</v>
      </c>
      <c r="T80">
        <f t="shared" ref="T80" si="379">S80/1000</f>
        <v>-6.1094106768822378</v>
      </c>
    </row>
    <row r="81" spans="1:20" x14ac:dyDescent="0.25">
      <c r="A81" s="5">
        <v>44512</v>
      </c>
      <c r="B81">
        <v>0.1767</v>
      </c>
      <c r="C81">
        <v>0.1792</v>
      </c>
      <c r="D81">
        <v>0.1678</v>
      </c>
      <c r="E81">
        <v>0.1744</v>
      </c>
      <c r="F81">
        <v>15112742</v>
      </c>
      <c r="G81">
        <v>0.1744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0.157894736842105</v>
      </c>
      <c r="Q81">
        <f t="shared" ref="Q81" si="381">F81*P81</f>
        <v>2386222.4210526277</v>
      </c>
      <c r="R81">
        <f t="shared" ref="R81" si="382">R82+Q81</f>
        <v>-603320493.23767424</v>
      </c>
      <c r="S81">
        <f t="shared" ref="S81" si="383">R81/100000</f>
        <v>-6033.2049323767424</v>
      </c>
      <c r="T81">
        <f t="shared" ref="T81" si="384">S81/1000</f>
        <v>-6.0332049323767425</v>
      </c>
    </row>
    <row r="82" spans="1:20" x14ac:dyDescent="0.25">
      <c r="A82" s="5">
        <v>44511</v>
      </c>
      <c r="B82">
        <v>0.17119999999999999</v>
      </c>
      <c r="C82">
        <v>0.17799999999999999</v>
      </c>
      <c r="D82">
        <v>0.16830000000000001</v>
      </c>
      <c r="E82">
        <v>0.1767</v>
      </c>
      <c r="F82">
        <v>10835899</v>
      </c>
      <c r="G82">
        <v>0.1767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0.73195876288659845</v>
      </c>
      <c r="Q82">
        <f t="shared" ref="Q82" si="386">F82*P82</f>
        <v>7931431.2268041288</v>
      </c>
      <c r="R82">
        <f t="shared" ref="R82" si="387">R83+Q82</f>
        <v>-605706715.65872681</v>
      </c>
      <c r="S82">
        <f t="shared" ref="S82" si="388">R82/100000</f>
        <v>-6057.0671565872681</v>
      </c>
      <c r="T82">
        <f t="shared" ref="T82" si="389">S82/1000</f>
        <v>-6.0570671565872685</v>
      </c>
    </row>
    <row r="83" spans="1:20" x14ac:dyDescent="0.25">
      <c r="A83" s="5">
        <v>44510</v>
      </c>
      <c r="B83">
        <v>0.18329999999999999</v>
      </c>
      <c r="C83">
        <v>0.1857</v>
      </c>
      <c r="D83">
        <v>0.1658</v>
      </c>
      <c r="E83">
        <v>0.17119999999999999</v>
      </c>
      <c r="F83">
        <v>19236264</v>
      </c>
      <c r="G83">
        <v>0.17119999999999999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-0.45728643216080522</v>
      </c>
      <c r="Q83">
        <f t="shared" ref="Q83" si="391">F83*P83</f>
        <v>-8796482.5326633397</v>
      </c>
      <c r="R83">
        <f t="shared" ref="R83" si="392">R84+Q83</f>
        <v>-613638146.88553095</v>
      </c>
      <c r="S83">
        <f t="shared" ref="S83" si="393">R83/100000</f>
        <v>-6136.3814688553093</v>
      </c>
      <c r="T83">
        <f t="shared" ref="T83" si="394">S83/1000</f>
        <v>-6.1363814688553093</v>
      </c>
    </row>
    <row r="84" spans="1:20" x14ac:dyDescent="0.25">
      <c r="A84" s="5">
        <v>44509</v>
      </c>
      <c r="B84">
        <v>0.1825</v>
      </c>
      <c r="C84">
        <v>0.19400000000000001</v>
      </c>
      <c r="D84">
        <v>0.1799</v>
      </c>
      <c r="E84">
        <v>0.18329999999999999</v>
      </c>
      <c r="F84">
        <v>24976655</v>
      </c>
      <c r="G84">
        <v>0.18329999999999999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-0.51773049645390268</v>
      </c>
      <c r="Q84">
        <f t="shared" ref="Q84" si="396">F84*P84</f>
        <v>-12931175.99290785</v>
      </c>
      <c r="R84">
        <f t="shared" ref="R84" si="397">R85+Q84</f>
        <v>-604841664.3528676</v>
      </c>
      <c r="S84">
        <f t="shared" ref="S84" si="398">R84/100000</f>
        <v>-6048.4166435286761</v>
      </c>
      <c r="T84">
        <f t="shared" ref="T84" si="399">S84/1000</f>
        <v>-6.0484166435286761</v>
      </c>
    </row>
    <row r="85" spans="1:20" x14ac:dyDescent="0.25">
      <c r="A85" s="5">
        <v>44508</v>
      </c>
      <c r="B85">
        <v>0.18229999999999999</v>
      </c>
      <c r="C85">
        <v>0.184</v>
      </c>
      <c r="D85">
        <v>0.17849999999999999</v>
      </c>
      <c r="E85">
        <v>0.18229999999999999</v>
      </c>
      <c r="F85">
        <v>13173554</v>
      </c>
      <c r="G85">
        <v>0.18229999999999999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0.38181818181817978</v>
      </c>
      <c r="Q85">
        <f t="shared" ref="Q85" si="401">F85*P85</f>
        <v>5029902.4363636095</v>
      </c>
      <c r="R85">
        <f t="shared" ref="R85" si="402">R86+Q85</f>
        <v>-591910488.35995972</v>
      </c>
      <c r="S85">
        <f t="shared" ref="S85" si="403">R85/100000</f>
        <v>-5919.1048835995971</v>
      </c>
      <c r="T85">
        <f t="shared" ref="T85" si="404">S85/1000</f>
        <v>-5.919104883599597</v>
      </c>
    </row>
    <row r="86" spans="1:20" x14ac:dyDescent="0.25">
      <c r="A86" s="5">
        <v>44507</v>
      </c>
      <c r="B86">
        <v>0.18099999999999999</v>
      </c>
      <c r="C86">
        <v>0.18740000000000001</v>
      </c>
      <c r="D86">
        <v>0.17960000000000001</v>
      </c>
      <c r="E86">
        <v>0.18210000000000001</v>
      </c>
      <c r="F86">
        <v>13204746</v>
      </c>
      <c r="G86">
        <v>0.18210000000000001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-0.35897435897435853</v>
      </c>
      <c r="Q86">
        <f t="shared" ref="Q86" si="406">F86*P86</f>
        <v>-4740165.2307692245</v>
      </c>
      <c r="R86">
        <f t="shared" ref="R86" si="407">R87+Q86</f>
        <v>-596940390.7963233</v>
      </c>
      <c r="S86">
        <f t="shared" ref="S86" si="408">R86/100000</f>
        <v>-5969.403907963233</v>
      </c>
      <c r="T86">
        <f t="shared" ref="T86" si="409">S86/1000</f>
        <v>-5.9694039079632333</v>
      </c>
    </row>
    <row r="87" spans="1:20" x14ac:dyDescent="0.25">
      <c r="A87" s="5">
        <v>44506</v>
      </c>
      <c r="B87">
        <v>0.18240000000000001</v>
      </c>
      <c r="C87">
        <v>0.1835</v>
      </c>
      <c r="D87">
        <v>0.17549999999999999</v>
      </c>
      <c r="E87">
        <v>0.18099999999999999</v>
      </c>
      <c r="F87">
        <v>8895247</v>
      </c>
      <c r="G87">
        <v>0.18099999999999999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0.375</v>
      </c>
      <c r="Q87">
        <f t="shared" ref="Q87" si="411">F87*P87</f>
        <v>3335717.625</v>
      </c>
      <c r="R87">
        <f t="shared" ref="R87" si="412">R88+Q87</f>
        <v>-592200225.56555402</v>
      </c>
      <c r="S87">
        <f t="shared" ref="S87" si="413">R87/100000</f>
        <v>-5922.0022556555405</v>
      </c>
      <c r="T87">
        <f t="shared" ref="T87" si="414">S87/1000</f>
        <v>-5.9220022556555403</v>
      </c>
    </row>
    <row r="88" spans="1:20" x14ac:dyDescent="0.25">
      <c r="A88" s="5">
        <v>44505</v>
      </c>
      <c r="B88">
        <v>0.18690000000000001</v>
      </c>
      <c r="C88">
        <v>0.18840000000000001</v>
      </c>
      <c r="D88">
        <v>0.1789</v>
      </c>
      <c r="E88">
        <v>0.1827</v>
      </c>
      <c r="F88">
        <v>12252447</v>
      </c>
      <c r="G88">
        <v>0.1827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-0.20000000000000118</v>
      </c>
      <c r="Q88">
        <f t="shared" ref="Q88" si="416">F88*P88</f>
        <v>-2450489.4000000143</v>
      </c>
      <c r="R88">
        <f t="shared" ref="R88" si="417">R89+Q88</f>
        <v>-595535943.19055402</v>
      </c>
      <c r="S88">
        <f t="shared" ref="S88" si="418">R88/100000</f>
        <v>-5955.3594319055401</v>
      </c>
      <c r="T88">
        <f t="shared" ref="T88" si="419">S88/1000</f>
        <v>-5.9553594319055403</v>
      </c>
    </row>
    <row r="89" spans="1:20" x14ac:dyDescent="0.25">
      <c r="A89" s="5">
        <v>44504</v>
      </c>
      <c r="B89">
        <v>0.19170000000000001</v>
      </c>
      <c r="C89">
        <v>0.2</v>
      </c>
      <c r="D89">
        <v>0.1812</v>
      </c>
      <c r="E89">
        <v>0.18690000000000001</v>
      </c>
      <c r="F89">
        <v>24985740</v>
      </c>
      <c r="G89">
        <v>0.18690000000000001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-0.39361702127659498</v>
      </c>
      <c r="Q89">
        <f t="shared" ref="Q89" si="421">F89*P89</f>
        <v>-9834812.55319147</v>
      </c>
      <c r="R89">
        <f t="shared" ref="R89" si="422">R90+Q89</f>
        <v>-593085453.79055405</v>
      </c>
      <c r="S89">
        <f t="shared" ref="S89" si="423">R89/100000</f>
        <v>-5930.8545379055404</v>
      </c>
      <c r="T89">
        <f t="shared" ref="T89" si="424">S89/1000</f>
        <v>-5.9308545379055406</v>
      </c>
    </row>
    <row r="90" spans="1:20" x14ac:dyDescent="0.25">
      <c r="A90" s="5">
        <v>44503</v>
      </c>
      <c r="B90">
        <v>0.18579999999999999</v>
      </c>
      <c r="C90">
        <v>0.19800000000000001</v>
      </c>
      <c r="D90">
        <v>0.1759</v>
      </c>
      <c r="E90">
        <v>0.19170000000000001</v>
      </c>
      <c r="F90">
        <v>42118965</v>
      </c>
      <c r="G90">
        <v>0.19170000000000001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0.42986425339366535</v>
      </c>
      <c r="Q90">
        <f t="shared" ref="Q90" si="426">F90*P90</f>
        <v>18105437.443438921</v>
      </c>
      <c r="R90">
        <f t="shared" ref="R90" si="427">R91+Q90</f>
        <v>-583250641.23736262</v>
      </c>
      <c r="S90">
        <f t="shared" ref="S90" si="428">R90/100000</f>
        <v>-5832.5064123736265</v>
      </c>
      <c r="T90">
        <f t="shared" ref="T90" si="429">S90/1000</f>
        <v>-5.8325064123736263</v>
      </c>
    </row>
    <row r="91" spans="1:20" x14ac:dyDescent="0.25">
      <c r="A91" s="5">
        <v>44502</v>
      </c>
      <c r="B91">
        <v>0.18090000000000001</v>
      </c>
      <c r="C91">
        <v>0.191</v>
      </c>
      <c r="D91">
        <v>0.1792</v>
      </c>
      <c r="E91">
        <v>0.1857</v>
      </c>
      <c r="F91">
        <v>22499340</v>
      </c>
      <c r="G91">
        <v>0.1857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0.10169491525423781</v>
      </c>
      <c r="Q91">
        <f t="shared" ref="Q91" si="431">F91*P91</f>
        <v>2288068.4745762828</v>
      </c>
      <c r="R91">
        <f t="shared" ref="R91" si="432">R92+Q91</f>
        <v>-601356078.68080151</v>
      </c>
      <c r="S91">
        <f t="shared" ref="S91" si="433">R91/100000</f>
        <v>-6013.5607868080151</v>
      </c>
      <c r="T91">
        <f t="shared" ref="T91" si="434">S91/1000</f>
        <v>-6.0135607868080152</v>
      </c>
    </row>
    <row r="92" spans="1:20" x14ac:dyDescent="0.25">
      <c r="A92" s="5">
        <v>44501</v>
      </c>
      <c r="B92">
        <v>0.1883</v>
      </c>
      <c r="C92">
        <v>0.1918</v>
      </c>
      <c r="D92">
        <v>0.17799999999999999</v>
      </c>
      <c r="E92">
        <v>0.18099999999999999</v>
      </c>
      <c r="F92">
        <v>17778710</v>
      </c>
      <c r="G92">
        <v>0.18099999999999999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-0.56521739130434767</v>
      </c>
      <c r="Q92">
        <f t="shared" ref="Q92" si="436">F92*P92</f>
        <v>-10048836.08695652</v>
      </c>
      <c r="R92">
        <f t="shared" ref="R92" si="437">R93+Q92</f>
        <v>-603644147.15537775</v>
      </c>
      <c r="S92">
        <f t="shared" ref="S92" si="438">R92/100000</f>
        <v>-6036.4414715537778</v>
      </c>
      <c r="T92">
        <f t="shared" ref="T92" si="439">S92/1000</f>
        <v>-6.0364414715537782</v>
      </c>
    </row>
    <row r="93" spans="1:20" x14ac:dyDescent="0.25">
      <c r="A93" s="5">
        <v>44500</v>
      </c>
      <c r="B93">
        <v>0.1769</v>
      </c>
      <c r="C93">
        <v>0.216</v>
      </c>
      <c r="D93">
        <v>0.17150000000000001</v>
      </c>
      <c r="E93">
        <v>0.18840000000000001</v>
      </c>
      <c r="F93">
        <v>73958661</v>
      </c>
      <c r="G93">
        <v>0.18840000000000001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-0.24044943820224698</v>
      </c>
      <c r="Q93">
        <f t="shared" ref="Q93" si="441">F93*P93</f>
        <v>-17783318.487640433</v>
      </c>
      <c r="R93">
        <f t="shared" ref="R93" si="442">R94+Q93</f>
        <v>-593595311.06842124</v>
      </c>
      <c r="S93">
        <f t="shared" ref="S93" si="443">R93/100000</f>
        <v>-5935.9531106842123</v>
      </c>
      <c r="T93">
        <f t="shared" ref="T93" si="444">S93/1000</f>
        <v>-5.9359531106842125</v>
      </c>
    </row>
    <row r="94" spans="1:20" x14ac:dyDescent="0.25">
      <c r="A94" s="5">
        <v>44499</v>
      </c>
      <c r="B94">
        <v>0.17169999999999999</v>
      </c>
      <c r="C94">
        <v>0.18179999999999999</v>
      </c>
      <c r="D94">
        <v>0.16600000000000001</v>
      </c>
      <c r="E94">
        <v>0.1767</v>
      </c>
      <c r="F94">
        <v>19600224</v>
      </c>
      <c r="G94">
        <v>0.1767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0.3544303797468355</v>
      </c>
      <c r="Q94">
        <f t="shared" ref="Q94" si="446">F94*P94</f>
        <v>6946914.8354430394</v>
      </c>
      <c r="R94">
        <f t="shared" ref="R94" si="447">R95+Q94</f>
        <v>-575811992.58078086</v>
      </c>
      <c r="S94">
        <f t="shared" ref="S94" si="448">R94/100000</f>
        <v>-5758.1199258078086</v>
      </c>
      <c r="T94">
        <f t="shared" ref="T94" si="449">S94/1000</f>
        <v>-5.7581199258078088</v>
      </c>
    </row>
    <row r="95" spans="1:20" x14ac:dyDescent="0.25">
      <c r="A95" s="5">
        <v>44498</v>
      </c>
      <c r="B95">
        <v>0.1726</v>
      </c>
      <c r="C95">
        <v>0.1744</v>
      </c>
      <c r="D95">
        <v>0.16769999999999999</v>
      </c>
      <c r="E95">
        <v>0.17169999999999999</v>
      </c>
      <c r="F95">
        <v>13042349</v>
      </c>
      <c r="G95">
        <v>0.17169999999999999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0.19402985074626766</v>
      </c>
      <c r="Q95">
        <f t="shared" ref="Q95" si="451">F95*P95</f>
        <v>2530605.0298507335</v>
      </c>
      <c r="R95">
        <f t="shared" ref="R95" si="452">R96+Q95</f>
        <v>-582758907.41622388</v>
      </c>
      <c r="S95">
        <f t="shared" ref="S95" si="453">R95/100000</f>
        <v>-5827.5890741622388</v>
      </c>
      <c r="T95">
        <f t="shared" ref="T95" si="454">S95/1000</f>
        <v>-5.8275890741622387</v>
      </c>
    </row>
    <row r="96" spans="1:20" x14ac:dyDescent="0.25">
      <c r="A96" s="5">
        <v>44497</v>
      </c>
      <c r="B96">
        <v>0.16200000000000001</v>
      </c>
      <c r="C96">
        <v>0.1729</v>
      </c>
      <c r="D96">
        <v>0.15859999999999999</v>
      </c>
      <c r="E96">
        <v>0.1726</v>
      </c>
      <c r="F96">
        <v>16391171</v>
      </c>
      <c r="G96">
        <v>0.1726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0.9580419580419588</v>
      </c>
      <c r="Q96">
        <f t="shared" ref="Q96" si="456">F96*P96</f>
        <v>15703429.559440572</v>
      </c>
      <c r="R96">
        <f t="shared" ref="R96" si="457">R97+Q96</f>
        <v>-585289512.4460746</v>
      </c>
      <c r="S96">
        <f t="shared" ref="S96" si="458">R96/100000</f>
        <v>-5852.895124460746</v>
      </c>
      <c r="T96">
        <f t="shared" ref="T96" si="459">S96/1000</f>
        <v>-5.8528951244607459</v>
      </c>
    </row>
    <row r="97" spans="1:20" x14ac:dyDescent="0.25">
      <c r="A97" s="5">
        <v>44496</v>
      </c>
      <c r="B97">
        <v>0.17949999999999999</v>
      </c>
      <c r="C97">
        <v>0.18049999999999999</v>
      </c>
      <c r="D97">
        <v>0.1588</v>
      </c>
      <c r="E97">
        <v>0.16220000000000001</v>
      </c>
      <c r="F97">
        <v>14287540</v>
      </c>
      <c r="G97">
        <v>0.16220000000000001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-0.68663594470045952</v>
      </c>
      <c r="Q97">
        <f t="shared" ref="Q97" si="461">F97*P97</f>
        <v>-9810338.525345603</v>
      </c>
      <c r="R97">
        <f t="shared" ref="R97" si="462">R98+Q97</f>
        <v>-600992942.00551522</v>
      </c>
      <c r="S97">
        <f t="shared" ref="S97" si="463">R97/100000</f>
        <v>-6009.9294200551521</v>
      </c>
      <c r="T97">
        <f t="shared" ref="T97" si="464">S97/1000</f>
        <v>-6.0099294200551521</v>
      </c>
    </row>
    <row r="98" spans="1:20" x14ac:dyDescent="0.25">
      <c r="A98" s="5">
        <v>44495</v>
      </c>
      <c r="B98">
        <v>0.18629999999999999</v>
      </c>
      <c r="C98">
        <v>0.1867</v>
      </c>
      <c r="D98">
        <v>0.17799999999999999</v>
      </c>
      <c r="E98">
        <v>0.17949999999999999</v>
      </c>
      <c r="F98">
        <v>11135214</v>
      </c>
      <c r="G98">
        <v>0.17949999999999999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-0.65517241379310365</v>
      </c>
      <c r="Q98">
        <f t="shared" ref="Q98" si="466">F98*P98</f>
        <v>-7295485.0344827613</v>
      </c>
      <c r="R98">
        <f t="shared" ref="R98" si="467">R99+Q98</f>
        <v>-591182603.48016965</v>
      </c>
      <c r="S98">
        <f t="shared" ref="S98" si="468">R98/100000</f>
        <v>-5911.8260348016966</v>
      </c>
      <c r="T98">
        <f t="shared" ref="T98" si="469">S98/1000</f>
        <v>-5.9118260348016962</v>
      </c>
    </row>
    <row r="99" spans="1:20" x14ac:dyDescent="0.25">
      <c r="A99" s="5">
        <v>44494</v>
      </c>
      <c r="B99">
        <v>0.18490000000000001</v>
      </c>
      <c r="C99">
        <v>0.1875</v>
      </c>
      <c r="D99">
        <v>0.18160000000000001</v>
      </c>
      <c r="E99">
        <v>0.18590000000000001</v>
      </c>
      <c r="F99">
        <v>10994535</v>
      </c>
      <c r="G99">
        <v>0.18590000000000001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0.45762711864407002</v>
      </c>
      <c r="Q99">
        <f t="shared" ref="Q99" si="471">F99*P99</f>
        <v>5031397.3728813799</v>
      </c>
      <c r="R99">
        <f t="shared" ref="R99" si="472">R100+Q99</f>
        <v>-583887118.44568694</v>
      </c>
      <c r="S99">
        <f t="shared" ref="S99" si="473">R99/100000</f>
        <v>-5838.8711844568697</v>
      </c>
      <c r="T99">
        <f t="shared" ref="T99" si="474">S99/1000</f>
        <v>-5.8388711844568695</v>
      </c>
    </row>
    <row r="100" spans="1:20" x14ac:dyDescent="0.25">
      <c r="A100" s="5">
        <v>44493</v>
      </c>
      <c r="B100">
        <v>0.17660000000000001</v>
      </c>
      <c r="C100">
        <v>0.18990000000000001</v>
      </c>
      <c r="D100">
        <v>0.17150000000000001</v>
      </c>
      <c r="E100">
        <v>0.18490000000000001</v>
      </c>
      <c r="F100">
        <v>34839335</v>
      </c>
      <c r="G100">
        <v>0.18490000000000001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0.45652173913043431</v>
      </c>
      <c r="Q100">
        <f t="shared" ref="Q100" si="476">F100*P100</f>
        <v>15904913.804347809</v>
      </c>
      <c r="R100">
        <f t="shared" ref="R100" si="477">R101+Q100</f>
        <v>-588918515.81856835</v>
      </c>
      <c r="S100">
        <f t="shared" ref="S100" si="478">R100/100000</f>
        <v>-5889.1851581856836</v>
      </c>
      <c r="T100">
        <f t="shared" ref="T100" si="479">S100/1000</f>
        <v>-5.8891851581856836</v>
      </c>
    </row>
    <row r="101" spans="1:20" x14ac:dyDescent="0.25">
      <c r="A101" s="5">
        <v>44492</v>
      </c>
      <c r="B101">
        <v>0.17630000000000001</v>
      </c>
      <c r="C101">
        <v>0.17860000000000001</v>
      </c>
      <c r="D101">
        <v>0.17130000000000001</v>
      </c>
      <c r="E101">
        <v>0.17680000000000001</v>
      </c>
      <c r="F101">
        <v>7689814</v>
      </c>
      <c r="G101">
        <v>0.17680000000000001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0.50684931506849429</v>
      </c>
      <c r="Q101">
        <f t="shared" ref="Q101" si="481">F101*P101</f>
        <v>3897576.9589041183</v>
      </c>
      <c r="R101">
        <f t="shared" ref="R101" si="482">R102+Q101</f>
        <v>-604823429.6229161</v>
      </c>
      <c r="S101">
        <f t="shared" ref="S101" si="483">R101/100000</f>
        <v>-6048.2342962291614</v>
      </c>
      <c r="T101">
        <f t="shared" ref="T101" si="484">S101/1000</f>
        <v>-6.0482342962291611</v>
      </c>
    </row>
    <row r="102" spans="1:20" x14ac:dyDescent="0.25">
      <c r="A102" s="5">
        <v>44491</v>
      </c>
      <c r="B102">
        <v>0.17860000000000001</v>
      </c>
      <c r="C102">
        <v>0.18659999999999999</v>
      </c>
      <c r="D102">
        <v>0.1731</v>
      </c>
      <c r="E102">
        <v>0.17649999999999999</v>
      </c>
      <c r="F102">
        <v>11364591</v>
      </c>
      <c r="G102">
        <v>0.17649999999999999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-0.49629629629629773</v>
      </c>
      <c r="Q102">
        <f t="shared" ref="Q102" si="486">F102*P102</f>
        <v>-5640204.422222239</v>
      </c>
      <c r="R102">
        <f t="shared" ref="R102" si="487">R103+Q102</f>
        <v>-608721006.58182025</v>
      </c>
      <c r="S102">
        <f t="shared" ref="S102" si="488">R102/100000</f>
        <v>-6087.2100658182026</v>
      </c>
      <c r="T102">
        <f t="shared" ref="T102" si="489">S102/1000</f>
        <v>-6.0872100658182022</v>
      </c>
    </row>
    <row r="103" spans="1:20" x14ac:dyDescent="0.25">
      <c r="A103" s="5">
        <v>44490</v>
      </c>
      <c r="B103">
        <v>0.18229999999999999</v>
      </c>
      <c r="C103">
        <v>0.1883</v>
      </c>
      <c r="D103">
        <v>0.1744</v>
      </c>
      <c r="E103">
        <v>0.17860000000000001</v>
      </c>
      <c r="F103">
        <v>28467356</v>
      </c>
      <c r="G103">
        <v>0.17860000000000001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-0.39568345323740856</v>
      </c>
      <c r="Q103">
        <f t="shared" ref="Q103" si="491">F103*P103</f>
        <v>-11264061.726618662</v>
      </c>
      <c r="R103">
        <f t="shared" ref="R103" si="492">R104+Q103</f>
        <v>-603080802.15959799</v>
      </c>
      <c r="S103">
        <f t="shared" ref="S103" si="493">R103/100000</f>
        <v>-6030.8080215959799</v>
      </c>
      <c r="T103">
        <f t="shared" ref="T103" si="494">S103/1000</f>
        <v>-6.0308080215959796</v>
      </c>
    </row>
    <row r="104" spans="1:20" x14ac:dyDescent="0.25">
      <c r="A104" s="5">
        <v>44489</v>
      </c>
      <c r="B104">
        <v>0.17480000000000001</v>
      </c>
      <c r="C104">
        <v>0.18790000000000001</v>
      </c>
      <c r="D104">
        <v>0.1706</v>
      </c>
      <c r="E104">
        <v>0.1822</v>
      </c>
      <c r="F104">
        <v>17264295</v>
      </c>
      <c r="G104">
        <v>0.1822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0.34104046242774483</v>
      </c>
      <c r="Q104">
        <f t="shared" ref="Q104" si="496">F104*P104</f>
        <v>5887823.1502890028</v>
      </c>
      <c r="R104">
        <f t="shared" ref="R104" si="497">R105+Q104</f>
        <v>-591816740.43297935</v>
      </c>
      <c r="S104">
        <f t="shared" ref="S104" si="498">R104/100000</f>
        <v>-5918.1674043297935</v>
      </c>
      <c r="T104">
        <f t="shared" ref="T104" si="499">S104/1000</f>
        <v>-5.9181674043297932</v>
      </c>
    </row>
    <row r="105" spans="1:20" x14ac:dyDescent="0.25">
      <c r="A105" s="5">
        <v>44488</v>
      </c>
      <c r="B105">
        <v>0.17610000000000001</v>
      </c>
      <c r="C105">
        <v>0.1774</v>
      </c>
      <c r="D105">
        <v>0.17249999999999999</v>
      </c>
      <c r="E105">
        <v>0.17449999999999999</v>
      </c>
      <c r="F105">
        <v>7577499</v>
      </c>
      <c r="G105">
        <v>0.17449999999999999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-0.18367346938775694</v>
      </c>
      <c r="Q105">
        <f t="shared" ref="Q105" si="501">F105*P105</f>
        <v>-1391785.5306122589</v>
      </c>
      <c r="R105">
        <f t="shared" ref="R105" si="502">R106+Q105</f>
        <v>-597704563.5832684</v>
      </c>
      <c r="S105">
        <f t="shared" ref="S105" si="503">R105/100000</f>
        <v>-5977.0456358326837</v>
      </c>
      <c r="T105">
        <f t="shared" ref="T105" si="504">S105/1000</f>
        <v>-5.9770456358326838</v>
      </c>
    </row>
    <row r="106" spans="1:20" x14ac:dyDescent="0.25">
      <c r="A106" s="5">
        <v>44487</v>
      </c>
      <c r="B106">
        <v>0.1797</v>
      </c>
      <c r="C106">
        <v>0.18329999999999999</v>
      </c>
      <c r="D106">
        <v>0.17230000000000001</v>
      </c>
      <c r="E106">
        <v>0.17599999999999999</v>
      </c>
      <c r="F106">
        <v>14798196</v>
      </c>
      <c r="G106">
        <v>0.17599999999999999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-0.3272727272727296</v>
      </c>
      <c r="Q106">
        <f t="shared" ref="Q106" si="506">F106*P106</f>
        <v>-4843045.9636363983</v>
      </c>
      <c r="R106">
        <f t="shared" ref="R106" si="507">R107+Q106</f>
        <v>-596312778.05265617</v>
      </c>
      <c r="S106">
        <f t="shared" ref="S106" si="508">R106/100000</f>
        <v>-5963.1277805265618</v>
      </c>
      <c r="T106">
        <f t="shared" ref="T106" si="509">S106/1000</f>
        <v>-5.9631277805265617</v>
      </c>
    </row>
    <row r="107" spans="1:20" x14ac:dyDescent="0.25">
      <c r="A107" s="5">
        <v>44486</v>
      </c>
      <c r="B107">
        <v>0.19220000000000001</v>
      </c>
      <c r="C107">
        <v>0.19500000000000001</v>
      </c>
      <c r="D107">
        <v>0.1731</v>
      </c>
      <c r="E107">
        <v>0.1797</v>
      </c>
      <c r="F107">
        <v>26767540</v>
      </c>
      <c r="G107">
        <v>0.1797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-0.39726027397260327</v>
      </c>
      <c r="Q107">
        <f t="shared" ref="Q107" si="511">F107*P107</f>
        <v>-10633680.273972617</v>
      </c>
      <c r="R107">
        <f t="shared" ref="R107" si="512">R108+Q107</f>
        <v>-591469732.08901978</v>
      </c>
      <c r="S107">
        <f t="shared" ref="S107" si="513">R107/100000</f>
        <v>-5914.6973208901982</v>
      </c>
      <c r="T107">
        <f t="shared" ref="T107" si="514">S107/1000</f>
        <v>-5.9146973208901983</v>
      </c>
    </row>
    <row r="108" spans="1:20" x14ac:dyDescent="0.25">
      <c r="A108" s="5">
        <v>44485</v>
      </c>
      <c r="B108">
        <v>0.1744</v>
      </c>
      <c r="C108">
        <v>0.1953</v>
      </c>
      <c r="D108">
        <v>0.1736</v>
      </c>
      <c r="E108">
        <v>0.19220000000000001</v>
      </c>
      <c r="F108">
        <v>38824124</v>
      </c>
      <c r="G108">
        <v>0.19220000000000001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0.71428571428571497</v>
      </c>
      <c r="Q108">
        <f t="shared" ref="Q108" si="516">F108*P108</f>
        <v>27731517.142857168</v>
      </c>
      <c r="R108">
        <f t="shared" ref="R108" si="517">R109+Q108</f>
        <v>-580836051.81504714</v>
      </c>
      <c r="S108">
        <f t="shared" ref="S108" si="518">R108/100000</f>
        <v>-5808.3605181504718</v>
      </c>
      <c r="T108">
        <f t="shared" ref="T108" si="519">S108/1000</f>
        <v>-5.8083605181504714</v>
      </c>
    </row>
    <row r="109" spans="1:20" x14ac:dyDescent="0.25">
      <c r="A109" s="5">
        <v>44484</v>
      </c>
      <c r="B109">
        <v>0.1716</v>
      </c>
      <c r="C109">
        <v>0.1787</v>
      </c>
      <c r="D109">
        <v>0.1661</v>
      </c>
      <c r="E109">
        <v>0.17419999999999999</v>
      </c>
      <c r="F109">
        <v>15588506</v>
      </c>
      <c r="G109">
        <v>0.17419999999999999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0.28571428571428509</v>
      </c>
      <c r="Q109">
        <f t="shared" ref="Q109" si="521">F109*P109</f>
        <v>4453858.857142847</v>
      </c>
      <c r="R109">
        <f t="shared" ref="R109" si="522">R110+Q109</f>
        <v>-608567568.95790434</v>
      </c>
      <c r="S109">
        <f t="shared" ref="S109" si="523">R109/100000</f>
        <v>-6085.6756895790431</v>
      </c>
      <c r="T109">
        <f t="shared" ref="T109" si="524">S109/1000</f>
        <v>-6.0856756895790429</v>
      </c>
    </row>
    <row r="110" spans="1:20" x14ac:dyDescent="0.25">
      <c r="A110" s="5">
        <v>44483</v>
      </c>
      <c r="B110">
        <v>0.1661</v>
      </c>
      <c r="C110">
        <v>0.1787</v>
      </c>
      <c r="D110">
        <v>0.16539999999999999</v>
      </c>
      <c r="E110">
        <v>0.1716</v>
      </c>
      <c r="F110">
        <v>15630460</v>
      </c>
      <c r="G110">
        <v>0.1716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-6.7669172932329602E-2</v>
      </c>
      <c r="Q110">
        <f t="shared" ref="Q110" si="526">F110*P110</f>
        <v>-1057700.3007518605</v>
      </c>
      <c r="R110">
        <f t="shared" ref="R110" si="527">R111+Q110</f>
        <v>-613021427.81504714</v>
      </c>
      <c r="S110">
        <f t="shared" ref="S110" si="528">R110/100000</f>
        <v>-6130.2142781504717</v>
      </c>
      <c r="T110">
        <f t="shared" ref="T110" si="529">S110/1000</f>
        <v>-6.130214278150472</v>
      </c>
    </row>
    <row r="111" spans="1:20" x14ac:dyDescent="0.25">
      <c r="A111" s="5">
        <v>44482</v>
      </c>
      <c r="B111">
        <v>0.16389999999999999</v>
      </c>
      <c r="C111">
        <v>0.17249999999999999</v>
      </c>
      <c r="D111">
        <v>0.15909999999999999</v>
      </c>
      <c r="E111">
        <v>0.16589999999999999</v>
      </c>
      <c r="F111">
        <v>12709141</v>
      </c>
      <c r="G111">
        <v>0.16589999999999999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1.4925373134328792E-2</v>
      </c>
      <c r="Q111">
        <f t="shared" ref="Q111" si="531">F111*P111</f>
        <v>189688.67164179657</v>
      </c>
      <c r="R111">
        <f t="shared" ref="R111" si="532">R112+Q111</f>
        <v>-611963727.51429534</v>
      </c>
      <c r="S111">
        <f t="shared" ref="S111" si="533">R111/100000</f>
        <v>-6119.6372751429535</v>
      </c>
      <c r="T111">
        <f t="shared" ref="T111" si="534">S111/1000</f>
        <v>-6.1196372751429537</v>
      </c>
    </row>
    <row r="112" spans="1:20" x14ac:dyDescent="0.25">
      <c r="A112" s="5">
        <v>44481</v>
      </c>
      <c r="B112">
        <v>0.1646</v>
      </c>
      <c r="C112">
        <v>0.16569999999999999</v>
      </c>
      <c r="D112">
        <v>0.1542</v>
      </c>
      <c r="E112">
        <v>0.16370000000000001</v>
      </c>
      <c r="F112">
        <v>9821292</v>
      </c>
      <c r="G112">
        <v>0.16370000000000001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0.65217391304348227</v>
      </c>
      <c r="Q112">
        <f t="shared" ref="Q112" si="536">F112*P112</f>
        <v>6405190.4347826485</v>
      </c>
      <c r="R112">
        <f t="shared" ref="R112" si="537">R113+Q112</f>
        <v>-612153416.18593717</v>
      </c>
      <c r="S112">
        <f t="shared" ref="S112" si="538">R112/100000</f>
        <v>-6121.534161859372</v>
      </c>
      <c r="T112">
        <f t="shared" ref="T112" si="539">S112/1000</f>
        <v>-6.1215341618593717</v>
      </c>
    </row>
    <row r="113" spans="1:20" x14ac:dyDescent="0.25">
      <c r="A113" s="5">
        <v>44480</v>
      </c>
      <c r="B113">
        <v>0.16819999999999999</v>
      </c>
      <c r="C113">
        <v>0.18</v>
      </c>
      <c r="D113">
        <v>0.15959999999999999</v>
      </c>
      <c r="E113">
        <v>0.1646</v>
      </c>
      <c r="F113">
        <v>23923907</v>
      </c>
      <c r="G113">
        <v>0.1646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-0.50980392156862708</v>
      </c>
      <c r="Q113">
        <f t="shared" ref="Q113" si="541">F113*P113</f>
        <v>-12196501.607843129</v>
      </c>
      <c r="R113">
        <f t="shared" ref="R113" si="542">R114+Q113</f>
        <v>-618558606.62071979</v>
      </c>
      <c r="S113">
        <f t="shared" ref="S113" si="543">R113/100000</f>
        <v>-6185.5860662071982</v>
      </c>
      <c r="T113">
        <f t="shared" ref="T113" si="544">S113/1000</f>
        <v>-6.1855860662071986</v>
      </c>
    </row>
    <row r="114" spans="1:20" x14ac:dyDescent="0.25">
      <c r="A114" s="5">
        <v>44479</v>
      </c>
      <c r="B114">
        <v>0.1857</v>
      </c>
      <c r="C114">
        <v>0.18629999999999999</v>
      </c>
      <c r="D114">
        <v>0.16719999999999999</v>
      </c>
      <c r="E114">
        <v>0.16819999999999999</v>
      </c>
      <c r="F114">
        <v>22468311</v>
      </c>
      <c r="G114">
        <v>0.16819999999999999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-0.89528795811518314</v>
      </c>
      <c r="Q114">
        <f t="shared" ref="Q114" si="546">F114*P114</f>
        <v>-20115608.277486909</v>
      </c>
      <c r="R114">
        <f t="shared" ref="R114" si="547">R115+Q114</f>
        <v>-606362105.01287663</v>
      </c>
      <c r="S114">
        <f t="shared" ref="S114" si="548">R114/100000</f>
        <v>-6063.621050128766</v>
      </c>
      <c r="T114">
        <f t="shared" ref="T114" si="549">S114/1000</f>
        <v>-6.0636210501287664</v>
      </c>
    </row>
    <row r="115" spans="1:20" x14ac:dyDescent="0.25">
      <c r="A115" s="5">
        <v>44478</v>
      </c>
      <c r="B115">
        <v>0.16880000000000001</v>
      </c>
      <c r="C115">
        <v>0.189</v>
      </c>
      <c r="D115">
        <v>0.1673</v>
      </c>
      <c r="E115">
        <v>0.18529999999999999</v>
      </c>
      <c r="F115">
        <v>42475160</v>
      </c>
      <c r="G115">
        <v>0.18529999999999999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0.65898617511520652</v>
      </c>
      <c r="Q115">
        <f t="shared" ref="Q115" si="551">F115*P115</f>
        <v>27990543.225806415</v>
      </c>
      <c r="R115">
        <f t="shared" ref="R115" si="552">R116+Q115</f>
        <v>-586246496.73538971</v>
      </c>
      <c r="S115">
        <f t="shared" ref="S115" si="553">R115/100000</f>
        <v>-5862.464967353897</v>
      </c>
      <c r="T115">
        <f t="shared" ref="T115" si="554">S115/1000</f>
        <v>-5.8624649673538967</v>
      </c>
    </row>
    <row r="116" spans="1:20" x14ac:dyDescent="0.25">
      <c r="A116" s="5">
        <v>44477</v>
      </c>
      <c r="B116">
        <v>0.1673</v>
      </c>
      <c r="C116">
        <v>0.17660000000000001</v>
      </c>
      <c r="D116">
        <v>0.16500000000000001</v>
      </c>
      <c r="E116">
        <v>0.16869999999999999</v>
      </c>
      <c r="F116">
        <v>17979885</v>
      </c>
      <c r="G116">
        <v>0.16869999999999999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-0.3620689655172446</v>
      </c>
      <c r="Q116">
        <f t="shared" ref="Q116" si="556">F116*P116</f>
        <v>-6509958.3620690238</v>
      </c>
      <c r="R116">
        <f t="shared" ref="R116" si="557">R117+Q116</f>
        <v>-614237039.96119618</v>
      </c>
      <c r="S116">
        <f t="shared" ref="S116" si="558">R116/100000</f>
        <v>-6142.3703996119621</v>
      </c>
      <c r="T116">
        <f t="shared" ref="T116" si="559">S116/1000</f>
        <v>-6.1423703996119619</v>
      </c>
    </row>
    <row r="117" spans="1:20" x14ac:dyDescent="0.25">
      <c r="A117" s="5">
        <v>44476</v>
      </c>
      <c r="B117">
        <v>0.1623</v>
      </c>
      <c r="C117">
        <v>0.17849999999999999</v>
      </c>
      <c r="D117">
        <v>0.15809999999999999</v>
      </c>
      <c r="E117">
        <v>0.16800000000000001</v>
      </c>
      <c r="F117">
        <v>30004722</v>
      </c>
      <c r="G117">
        <v>0.16800000000000001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-2.9411764705880472E-2</v>
      </c>
      <c r="Q117">
        <f t="shared" ref="Q117" si="561">F117*P117</f>
        <v>-882491.82352935534</v>
      </c>
      <c r="R117">
        <f t="shared" ref="R117" si="562">R118+Q117</f>
        <v>-607727081.59912717</v>
      </c>
      <c r="S117">
        <f t="shared" ref="S117" si="563">R117/100000</f>
        <v>-6077.2708159912718</v>
      </c>
      <c r="T117">
        <f t="shared" ref="T117" si="564">S117/1000</f>
        <v>-6.0772708159912714</v>
      </c>
    </row>
    <row r="118" spans="1:20" x14ac:dyDescent="0.25">
      <c r="A118" s="5">
        <v>44475</v>
      </c>
      <c r="B118">
        <v>0.16250000000000001</v>
      </c>
      <c r="C118">
        <v>0.1678</v>
      </c>
      <c r="D118">
        <v>0.14760000000000001</v>
      </c>
      <c r="E118">
        <v>0.16209999999999999</v>
      </c>
      <c r="F118">
        <v>27303268</v>
      </c>
      <c r="G118">
        <v>0.16209999999999999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0.43564356435643448</v>
      </c>
      <c r="Q118">
        <f t="shared" ref="Q118" si="566">F118*P118</f>
        <v>11894492.990098977</v>
      </c>
      <c r="R118">
        <f t="shared" ref="R118" si="567">R119+Q118</f>
        <v>-606844589.77559781</v>
      </c>
      <c r="S118">
        <f t="shared" ref="S118" si="568">R118/100000</f>
        <v>-6068.445897755978</v>
      </c>
      <c r="T118">
        <f t="shared" ref="T118" si="569">S118/1000</f>
        <v>-6.0684458977559776</v>
      </c>
    </row>
    <row r="119" spans="1:20" x14ac:dyDescent="0.25">
      <c r="A119" s="5">
        <v>44474</v>
      </c>
      <c r="B119">
        <v>0.16109999999999999</v>
      </c>
      <c r="C119">
        <v>0.16969999999999999</v>
      </c>
      <c r="D119">
        <v>0.1593</v>
      </c>
      <c r="E119">
        <v>0.16220000000000001</v>
      </c>
      <c r="F119">
        <v>21047474</v>
      </c>
      <c r="G119">
        <v>0.16220000000000001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-0.44230769230768929</v>
      </c>
      <c r="Q119">
        <f t="shared" ref="Q119" si="571">F119*P119</f>
        <v>-9309459.6538460907</v>
      </c>
      <c r="R119">
        <f t="shared" ref="R119" si="572">R120+Q119</f>
        <v>-618739082.76569676</v>
      </c>
      <c r="S119">
        <f t="shared" ref="S119" si="573">R119/100000</f>
        <v>-6187.3908276569673</v>
      </c>
      <c r="T119">
        <f t="shared" ref="T119" si="574">S119/1000</f>
        <v>-6.1873908276569676</v>
      </c>
    </row>
    <row r="120" spans="1:20" x14ac:dyDescent="0.25">
      <c r="A120" s="5">
        <v>44473</v>
      </c>
      <c r="B120">
        <v>0.16400000000000001</v>
      </c>
      <c r="C120">
        <v>0.1663</v>
      </c>
      <c r="D120">
        <v>0.151</v>
      </c>
      <c r="E120">
        <v>0.1615</v>
      </c>
      <c r="F120">
        <v>24233582</v>
      </c>
      <c r="G120">
        <v>0.1615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0.37254901960784365</v>
      </c>
      <c r="Q120">
        <f t="shared" ref="Q120" si="576">F120*P120</f>
        <v>9028197.2156862877</v>
      </c>
      <c r="R120">
        <f t="shared" ref="R120" si="577">R121+Q120</f>
        <v>-609429623.11185062</v>
      </c>
      <c r="S120">
        <f t="shared" ref="S120" si="578">R120/100000</f>
        <v>-6094.2962311185065</v>
      </c>
      <c r="T120">
        <f t="shared" ref="T120" si="579">S120/1000</f>
        <v>-6.0942962311185065</v>
      </c>
    </row>
    <row r="121" spans="1:20" x14ac:dyDescent="0.25">
      <c r="A121" s="5">
        <v>44472</v>
      </c>
      <c r="B121">
        <v>0.1656</v>
      </c>
      <c r="C121">
        <v>0.17050000000000001</v>
      </c>
      <c r="D121">
        <v>0.16109999999999999</v>
      </c>
      <c r="E121">
        <v>0.16350000000000001</v>
      </c>
      <c r="F121">
        <v>21628052</v>
      </c>
      <c r="G121">
        <v>0.16350000000000001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-0.48936170212765784</v>
      </c>
      <c r="Q121">
        <f t="shared" ref="Q121" si="581">F121*P121</f>
        <v>-10583940.340425495</v>
      </c>
      <c r="R121">
        <f t="shared" ref="R121" si="582">R122+Q121</f>
        <v>-618457820.32753694</v>
      </c>
      <c r="S121">
        <f t="shared" ref="S121" si="583">R121/100000</f>
        <v>-6184.5782032753696</v>
      </c>
      <c r="T121">
        <f t="shared" ref="T121" si="584">S121/1000</f>
        <v>-6.18457820327537</v>
      </c>
    </row>
    <row r="122" spans="1:20" x14ac:dyDescent="0.25">
      <c r="A122" s="5">
        <v>44471</v>
      </c>
      <c r="B122">
        <v>0.15429999999999999</v>
      </c>
      <c r="C122">
        <v>0.17249999999999999</v>
      </c>
      <c r="D122">
        <v>0.15090000000000001</v>
      </c>
      <c r="E122">
        <v>0.1651</v>
      </c>
      <c r="F122">
        <v>83541610</v>
      </c>
      <c r="G122">
        <v>0.1651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0.3148148148148151</v>
      </c>
      <c r="Q122">
        <f t="shared" ref="Q122" si="586">F122*P122</f>
        <v>26300136.481481504</v>
      </c>
      <c r="R122">
        <f t="shared" ref="R122" si="587">R123+Q122</f>
        <v>-607873879.98711145</v>
      </c>
      <c r="S122">
        <f t="shared" ref="S122" si="588">R122/100000</f>
        <v>-6078.7387998711147</v>
      </c>
      <c r="T122">
        <f t="shared" ref="T122" si="589">S122/1000</f>
        <v>-6.0787387998711147</v>
      </c>
    </row>
    <row r="123" spans="1:20" x14ac:dyDescent="0.25">
      <c r="A123" s="5">
        <v>44470</v>
      </c>
      <c r="B123">
        <v>0.1409</v>
      </c>
      <c r="C123">
        <v>0.15809999999999999</v>
      </c>
      <c r="D123">
        <v>0.13880000000000001</v>
      </c>
      <c r="E123">
        <v>0.15429999999999999</v>
      </c>
      <c r="F123">
        <v>19071969</v>
      </c>
      <c r="G123">
        <v>0.15429999999999999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0.60621761658031081</v>
      </c>
      <c r="Q123">
        <f t="shared" ref="Q123" si="591">F123*P123</f>
        <v>11561763.590673573</v>
      </c>
      <c r="R123">
        <f t="shared" ref="R123" si="592">R124+Q123</f>
        <v>-634174016.468593</v>
      </c>
      <c r="S123">
        <f t="shared" ref="S123" si="593">R123/100000</f>
        <v>-6341.7401646859298</v>
      </c>
      <c r="T123">
        <f t="shared" ref="T123" si="594">S123/1000</f>
        <v>-6.3417401646859295</v>
      </c>
    </row>
    <row r="124" spans="1:20" x14ac:dyDescent="0.25">
      <c r="A124" s="5">
        <v>44469</v>
      </c>
      <c r="B124">
        <v>0.13819999999999999</v>
      </c>
      <c r="C124">
        <v>0.14810000000000001</v>
      </c>
      <c r="D124">
        <v>0.13619999999999999</v>
      </c>
      <c r="E124">
        <v>0.14099999999999999</v>
      </c>
      <c r="F124">
        <v>16427669</v>
      </c>
      <c r="G124">
        <v>0.14099999999999999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-0.19327731092437142</v>
      </c>
      <c r="Q124">
        <f t="shared" ref="Q124" si="596">F124*P124</f>
        <v>-3175095.6890756576</v>
      </c>
      <c r="R124">
        <f t="shared" ref="R124" si="597">R125+Q124</f>
        <v>-645735780.05926657</v>
      </c>
      <c r="S124">
        <f t="shared" ref="S124" si="598">R124/100000</f>
        <v>-6457.3578005926656</v>
      </c>
      <c r="T124">
        <f t="shared" ref="T124" si="599">S124/1000</f>
        <v>-6.457357800592666</v>
      </c>
    </row>
    <row r="125" spans="1:20" x14ac:dyDescent="0.25">
      <c r="A125" s="5">
        <v>44468</v>
      </c>
      <c r="B125">
        <v>0.1363</v>
      </c>
      <c r="C125">
        <v>0.1507</v>
      </c>
      <c r="D125">
        <v>0.1343</v>
      </c>
      <c r="E125">
        <v>0.1381</v>
      </c>
      <c r="F125">
        <v>18856262</v>
      </c>
      <c r="G125">
        <v>0.1381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-0.53658536585365879</v>
      </c>
      <c r="Q125">
        <f t="shared" ref="Q125" si="601">F125*P125</f>
        <v>-10117994.243902443</v>
      </c>
      <c r="R125">
        <f t="shared" ref="R125" si="602">R126+Q125</f>
        <v>-642560684.37019086</v>
      </c>
      <c r="S125">
        <f t="shared" ref="S125" si="603">R125/100000</f>
        <v>-6425.6068437019085</v>
      </c>
      <c r="T125">
        <f t="shared" ref="T125" si="604">S125/1000</f>
        <v>-6.4256068437019085</v>
      </c>
    </row>
    <row r="126" spans="1:20" x14ac:dyDescent="0.25">
      <c r="A126" s="5">
        <v>44467</v>
      </c>
      <c r="B126">
        <v>0.14249999999999999</v>
      </c>
      <c r="C126">
        <v>0.14979999999999999</v>
      </c>
      <c r="D126">
        <v>0.13500000000000001</v>
      </c>
      <c r="E126">
        <v>0.13619999999999999</v>
      </c>
      <c r="F126">
        <v>35217284</v>
      </c>
      <c r="G126">
        <v>0.13619999999999999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-0.83783783783784049</v>
      </c>
      <c r="Q126">
        <f t="shared" ref="Q126" si="606">F126*P126</f>
        <v>-29506373.081081174</v>
      </c>
      <c r="R126">
        <f t="shared" ref="R126" si="607">R127+Q126</f>
        <v>-632442690.12628841</v>
      </c>
      <c r="S126">
        <f t="shared" ref="S126" si="608">R126/100000</f>
        <v>-6324.4269012628838</v>
      </c>
      <c r="T126">
        <f t="shared" ref="T126" si="609">S126/1000</f>
        <v>-6.3244269012628838</v>
      </c>
    </row>
    <row r="127" spans="1:20" x14ac:dyDescent="0.25">
      <c r="A127" s="5">
        <v>44466</v>
      </c>
      <c r="B127">
        <v>0.15179999999999999</v>
      </c>
      <c r="C127">
        <v>0.16</v>
      </c>
      <c r="D127">
        <v>0.14230000000000001</v>
      </c>
      <c r="E127">
        <v>0.14269999999999999</v>
      </c>
      <c r="F127">
        <v>20179934</v>
      </c>
      <c r="G127">
        <v>0.14269999999999999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-0.95480225988700751</v>
      </c>
      <c r="Q127">
        <f t="shared" ref="Q127" si="611">F127*P127</f>
        <v>-19267846.58757066</v>
      </c>
      <c r="R127">
        <f t="shared" ref="R127" si="612">R128+Q127</f>
        <v>-602936317.04520726</v>
      </c>
      <c r="S127">
        <f t="shared" ref="S127" si="613">R127/100000</f>
        <v>-6029.3631704520731</v>
      </c>
      <c r="T127">
        <f t="shared" ref="T127" si="614">S127/1000</f>
        <v>-6.0293631704520729</v>
      </c>
    </row>
    <row r="128" spans="1:20" x14ac:dyDescent="0.25">
      <c r="A128" s="5">
        <v>44465</v>
      </c>
      <c r="B128">
        <v>0.14949999999999999</v>
      </c>
      <c r="C128">
        <v>0.161</v>
      </c>
      <c r="D128">
        <v>0.14560000000000001</v>
      </c>
      <c r="E128">
        <v>0.15210000000000001</v>
      </c>
      <c r="F128">
        <v>24163031</v>
      </c>
      <c r="G128">
        <v>0.15210000000000001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-0.15584415584415492</v>
      </c>
      <c r="Q128">
        <f t="shared" ref="Q128" si="616">F128*P128</f>
        <v>-3765667.1688311468</v>
      </c>
      <c r="R128">
        <f t="shared" ref="R128" si="617">R129+Q128</f>
        <v>-583668470.45763659</v>
      </c>
      <c r="S128">
        <f t="shared" ref="S128" si="618">R128/100000</f>
        <v>-5836.6847045763661</v>
      </c>
      <c r="T128">
        <f t="shared" ref="T128" si="619">S128/1000</f>
        <v>-5.8366847045763661</v>
      </c>
    </row>
    <row r="129" spans="1:20" x14ac:dyDescent="0.25">
      <c r="A129" s="5">
        <v>44464</v>
      </c>
      <c r="B129">
        <v>0.14560000000000001</v>
      </c>
      <c r="C129">
        <v>0.15490000000000001</v>
      </c>
      <c r="D129">
        <v>0.14030000000000001</v>
      </c>
      <c r="E129">
        <v>0.14949999999999999</v>
      </c>
      <c r="F129">
        <v>15892668</v>
      </c>
      <c r="G129">
        <v>0.14949999999999999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0.26027397260273766</v>
      </c>
      <c r="Q129">
        <f t="shared" ref="Q129" si="621">F129*P129</f>
        <v>4136447.8356164056</v>
      </c>
      <c r="R129">
        <f t="shared" ref="R129" si="622">R130+Q129</f>
        <v>-579902803.28880548</v>
      </c>
      <c r="S129">
        <f t="shared" ref="S129" si="623">R129/100000</f>
        <v>-5799.0280328880544</v>
      </c>
      <c r="T129">
        <f t="shared" ref="T129" si="624">S129/1000</f>
        <v>-5.7990280328880548</v>
      </c>
    </row>
    <row r="130" spans="1:20" x14ac:dyDescent="0.25">
      <c r="A130" s="5">
        <v>44463</v>
      </c>
      <c r="B130">
        <v>0.15670000000000001</v>
      </c>
      <c r="C130">
        <v>0.15720000000000001</v>
      </c>
      <c r="D130">
        <v>0.13200000000000001</v>
      </c>
      <c r="E130">
        <v>0.1452</v>
      </c>
      <c r="F130">
        <v>24483784</v>
      </c>
      <c r="G130">
        <v>0.1452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4.7619047619046777E-2</v>
      </c>
      <c r="Q130">
        <f t="shared" ref="Q130" si="626">F130*P130</f>
        <v>1165894.4761904555</v>
      </c>
      <c r="R130">
        <f t="shared" ref="R130" si="627">R131+Q130</f>
        <v>-584039251.12442183</v>
      </c>
      <c r="S130">
        <f t="shared" ref="S130" si="628">R130/100000</f>
        <v>-5840.3925112442184</v>
      </c>
      <c r="T130">
        <f t="shared" ref="T130" si="629">S130/1000</f>
        <v>-5.8403925112442181</v>
      </c>
    </row>
    <row r="131" spans="1:20" x14ac:dyDescent="0.25">
      <c r="A131" s="5">
        <v>44462</v>
      </c>
      <c r="B131">
        <v>0.1555</v>
      </c>
      <c r="C131">
        <v>0.1598</v>
      </c>
      <c r="D131">
        <v>0.14729999999999999</v>
      </c>
      <c r="E131">
        <v>0.15670000000000001</v>
      </c>
      <c r="F131">
        <v>29510679</v>
      </c>
      <c r="G131">
        <v>0.15670000000000001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0.50400000000000178</v>
      </c>
      <c r="Q131">
        <f t="shared" ref="Q131" si="631">F131*P131</f>
        <v>14873382.216000052</v>
      </c>
      <c r="R131">
        <f t="shared" ref="R131" si="632">R132+Q131</f>
        <v>-585205145.60061228</v>
      </c>
      <c r="S131">
        <f t="shared" ref="S131" si="633">R131/100000</f>
        <v>-5852.0514560061229</v>
      </c>
      <c r="T131">
        <f t="shared" ref="T131" si="634">S131/1000</f>
        <v>-5.852051456006123</v>
      </c>
    </row>
    <row r="132" spans="1:20" x14ac:dyDescent="0.25">
      <c r="A132" s="5">
        <v>44461</v>
      </c>
      <c r="B132">
        <v>0.1386</v>
      </c>
      <c r="C132">
        <v>0.16120000000000001</v>
      </c>
      <c r="D132">
        <v>0.1358</v>
      </c>
      <c r="E132">
        <v>0.1552</v>
      </c>
      <c r="F132">
        <v>24454550</v>
      </c>
      <c r="G132">
        <v>0.1552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0.52755905511810997</v>
      </c>
      <c r="Q132">
        <f t="shared" ref="Q132" si="636">F132*P132</f>
        <v>12901219.291338576</v>
      </c>
      <c r="R132">
        <f t="shared" ref="R132" si="637">R133+Q132</f>
        <v>-600078527.81661236</v>
      </c>
      <c r="S132">
        <f t="shared" ref="S132" si="638">R132/100000</f>
        <v>-6000.785278166124</v>
      </c>
      <c r="T132">
        <f t="shared" ref="T132" si="639">S132/1000</f>
        <v>-6.0007852781661244</v>
      </c>
    </row>
    <row r="133" spans="1:20" x14ac:dyDescent="0.25">
      <c r="A133" s="5">
        <v>44460</v>
      </c>
      <c r="B133">
        <v>0.1552</v>
      </c>
      <c r="C133">
        <v>0.16020000000000001</v>
      </c>
      <c r="D133">
        <v>0.1338</v>
      </c>
      <c r="E133">
        <v>0.1386</v>
      </c>
      <c r="F133">
        <v>20530448.920000002</v>
      </c>
      <c r="G133">
        <v>0.1386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-0.63636363636363658</v>
      </c>
      <c r="Q133">
        <f t="shared" ref="Q133" si="641">F133*P133</f>
        <v>-13064831.130909096</v>
      </c>
      <c r="R133">
        <f t="shared" ref="R133" si="642">R134+Q133</f>
        <v>-612979747.10795093</v>
      </c>
      <c r="S133">
        <f t="shared" ref="S133" si="643">R133/100000</f>
        <v>-6129.7974710795097</v>
      </c>
      <c r="T133">
        <f t="shared" ref="T133" si="644">S133/1000</f>
        <v>-6.1297974710795096</v>
      </c>
    </row>
    <row r="134" spans="1:20" x14ac:dyDescent="0.25">
      <c r="A134" s="5">
        <v>44459</v>
      </c>
      <c r="B134">
        <v>0.18099999999999999</v>
      </c>
      <c r="C134">
        <v>0.1817</v>
      </c>
      <c r="D134">
        <v>0.16220000000000001</v>
      </c>
      <c r="E134">
        <v>0.1646</v>
      </c>
      <c r="F134">
        <v>10368231</v>
      </c>
      <c r="G134">
        <v>0.1646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-0.75384615384615516</v>
      </c>
      <c r="Q134">
        <f t="shared" ref="Q134" si="646">F134*P134</f>
        <v>-7816051.0615384756</v>
      </c>
      <c r="R134">
        <f t="shared" ref="R134" si="647">R135+Q134</f>
        <v>-599914915.97704184</v>
      </c>
      <c r="S134">
        <f t="shared" ref="S134" si="648">R134/100000</f>
        <v>-5999.149159770418</v>
      </c>
      <c r="T134">
        <f t="shared" ref="T134" si="649">S134/1000</f>
        <v>-5.9991491597704183</v>
      </c>
    </row>
    <row r="135" spans="1:20" x14ac:dyDescent="0.25">
      <c r="A135" s="5">
        <v>44458</v>
      </c>
      <c r="B135">
        <v>0.19739999999999999</v>
      </c>
      <c r="C135">
        <v>0.19739999999999999</v>
      </c>
      <c r="D135">
        <v>0.16539999999999999</v>
      </c>
      <c r="E135">
        <v>0.18099999999999999</v>
      </c>
      <c r="F135">
        <v>37181447</v>
      </c>
      <c r="G135">
        <v>0.18099999999999999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-2.4999999999999849E-2</v>
      </c>
      <c r="Q135">
        <f t="shared" ref="Q135" si="651">F135*P135</f>
        <v>-929536.17499999434</v>
      </c>
      <c r="R135">
        <f t="shared" ref="R135" si="652">R136+Q135</f>
        <v>-592098864.91550338</v>
      </c>
      <c r="S135">
        <f t="shared" ref="S135" si="653">R135/100000</f>
        <v>-5920.9886491550342</v>
      </c>
      <c r="T135">
        <f t="shared" ref="T135" si="654">S135/1000</f>
        <v>-5.9209886491550341</v>
      </c>
    </row>
    <row r="136" spans="1:20" x14ac:dyDescent="0.25">
      <c r="A136" s="5">
        <v>44457</v>
      </c>
      <c r="B136">
        <v>0.19120000000000001</v>
      </c>
      <c r="C136">
        <v>0.20599999999999999</v>
      </c>
      <c r="D136">
        <v>0.18629999999999999</v>
      </c>
      <c r="E136">
        <v>0.19739999999999999</v>
      </c>
      <c r="F136">
        <v>51402274</v>
      </c>
      <c r="G136">
        <v>0.19739999999999999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0.12690355329949252</v>
      </c>
      <c r="Q136">
        <f t="shared" ref="Q136" si="656">F136*P136</f>
        <v>6523131.2182741184</v>
      </c>
      <c r="R136">
        <f t="shared" ref="R136" si="657">R137+Q136</f>
        <v>-591169328.74050343</v>
      </c>
      <c r="S136">
        <f t="shared" ref="S136" si="658">R136/100000</f>
        <v>-5911.6932874050344</v>
      </c>
      <c r="T136">
        <f t="shared" ref="T136" si="659">S136/1000</f>
        <v>-5.9116932874050345</v>
      </c>
    </row>
    <row r="137" spans="1:20" x14ac:dyDescent="0.25">
      <c r="A137" s="5">
        <v>44456</v>
      </c>
      <c r="B137">
        <v>0.1757</v>
      </c>
      <c r="C137">
        <v>0.19489999999999999</v>
      </c>
      <c r="D137">
        <v>0.1736</v>
      </c>
      <c r="E137">
        <v>0.19120000000000001</v>
      </c>
      <c r="F137">
        <v>35253488</v>
      </c>
      <c r="G137">
        <v>0.19120000000000001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0.65258215962441468</v>
      </c>
      <c r="Q137">
        <f t="shared" ref="Q137" si="661">F137*P137</f>
        <v>23005797.333333388</v>
      </c>
      <c r="R137">
        <f t="shared" ref="R137" si="662">R138+Q137</f>
        <v>-597692459.95877755</v>
      </c>
      <c r="S137">
        <f t="shared" ref="S137" si="663">R137/100000</f>
        <v>-5976.9245995877754</v>
      </c>
      <c r="T137">
        <f t="shared" ref="T137" si="664">S137/1000</f>
        <v>-5.9769245995877753</v>
      </c>
    </row>
    <row r="138" spans="1:20" x14ac:dyDescent="0.25">
      <c r="A138" s="5">
        <v>44455</v>
      </c>
      <c r="B138">
        <v>0.18149999999999999</v>
      </c>
      <c r="C138">
        <v>0.1827</v>
      </c>
      <c r="D138">
        <v>0.17249999999999999</v>
      </c>
      <c r="E138">
        <v>0.17599999999999999</v>
      </c>
      <c r="F138">
        <v>13565070</v>
      </c>
      <c r="G138">
        <v>0.17599999999999999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-0.31372549019607882</v>
      </c>
      <c r="Q138">
        <f t="shared" ref="Q138" si="666">F138*P138</f>
        <v>-4255708.2352941232</v>
      </c>
      <c r="R138">
        <f t="shared" ref="R138" si="667">R139+Q138</f>
        <v>-620698257.29211092</v>
      </c>
      <c r="S138">
        <f t="shared" ref="S138" si="668">R138/100000</f>
        <v>-6206.9825729211088</v>
      </c>
      <c r="T138">
        <f t="shared" ref="T138" si="669">S138/1000</f>
        <v>-6.2069825729211088</v>
      </c>
    </row>
    <row r="139" spans="1:20" x14ac:dyDescent="0.25">
      <c r="A139" s="5">
        <v>44454</v>
      </c>
      <c r="B139">
        <v>0.17469999999999999</v>
      </c>
      <c r="C139">
        <v>0.1862</v>
      </c>
      <c r="D139">
        <v>0.17249999999999999</v>
      </c>
      <c r="E139">
        <v>0.18110000000000001</v>
      </c>
      <c r="F139">
        <v>22239587</v>
      </c>
      <c r="G139">
        <v>0.18110000000000001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0.25547445255474643</v>
      </c>
      <c r="Q139">
        <f t="shared" ref="Q139" si="671">F139*P139</f>
        <v>5681646.3138686558</v>
      </c>
      <c r="R139">
        <f t="shared" ref="R139" si="672">R140+Q139</f>
        <v>-616442549.05681682</v>
      </c>
      <c r="S139">
        <f t="shared" ref="S139" si="673">R139/100000</f>
        <v>-6164.4254905681682</v>
      </c>
      <c r="T139">
        <f t="shared" ref="T139" si="674">S139/1000</f>
        <v>-6.1644254905681679</v>
      </c>
    </row>
    <row r="140" spans="1:20" x14ac:dyDescent="0.25">
      <c r="A140" s="5">
        <v>44453</v>
      </c>
      <c r="B140">
        <v>0.17019999999999999</v>
      </c>
      <c r="C140">
        <v>0.1784</v>
      </c>
      <c r="D140">
        <v>0.1696</v>
      </c>
      <c r="E140">
        <v>0.17499999999999999</v>
      </c>
      <c r="F140">
        <v>13268022</v>
      </c>
      <c r="G140">
        <v>0.17499999999999999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0.22727272727272427</v>
      </c>
      <c r="Q140">
        <f t="shared" ref="Q140" si="676">F140*P140</f>
        <v>3015459.5454545054</v>
      </c>
      <c r="R140">
        <f t="shared" ref="R140" si="677">R141+Q140</f>
        <v>-622124195.37068546</v>
      </c>
      <c r="S140">
        <f t="shared" ref="S140" si="678">R140/100000</f>
        <v>-6221.2419537068545</v>
      </c>
      <c r="T140">
        <f t="shared" ref="T140" si="679">S140/1000</f>
        <v>-6.2212419537068548</v>
      </c>
    </row>
    <row r="141" spans="1:20" x14ac:dyDescent="0.25">
      <c r="A141" s="5">
        <v>44452</v>
      </c>
      <c r="B141">
        <v>0.17960000000000001</v>
      </c>
      <c r="C141">
        <v>0.18160000000000001</v>
      </c>
      <c r="D141">
        <v>0.1515</v>
      </c>
      <c r="E141">
        <v>0.17050000000000001</v>
      </c>
      <c r="F141">
        <v>29630883</v>
      </c>
      <c r="G141">
        <v>0.17050000000000001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0.26245847176079778</v>
      </c>
      <c r="Q141">
        <f t="shared" ref="Q141" si="681">F141*P141</f>
        <v>7776876.2691030027</v>
      </c>
      <c r="R141">
        <f t="shared" ref="R141" si="682">R142+Q141</f>
        <v>-625139654.91613996</v>
      </c>
      <c r="S141">
        <f t="shared" ref="S141" si="683">R141/100000</f>
        <v>-6251.3965491613999</v>
      </c>
      <c r="T141">
        <f t="shared" ref="T141" si="684">S141/1000</f>
        <v>-6.2513965491613996</v>
      </c>
    </row>
    <row r="142" spans="1:20" x14ac:dyDescent="0.25">
      <c r="A142" s="5">
        <v>44451</v>
      </c>
      <c r="B142">
        <v>0.1744</v>
      </c>
      <c r="C142">
        <v>0.19</v>
      </c>
      <c r="D142">
        <v>0.17019999999999999</v>
      </c>
      <c r="E142">
        <v>0.17929999999999999</v>
      </c>
      <c r="F142">
        <v>17227645</v>
      </c>
      <c r="G142">
        <v>0.17929999999999999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-8.0808080808081675E-2</v>
      </c>
      <c r="Q142">
        <f t="shared" ref="Q142" si="686">F142*P142</f>
        <v>-1392132.9292929443</v>
      </c>
      <c r="R142">
        <f t="shared" ref="R142" si="687">R143+Q142</f>
        <v>-632916531.18524301</v>
      </c>
      <c r="S142">
        <f t="shared" ref="S142" si="688">R142/100000</f>
        <v>-6329.16531185243</v>
      </c>
      <c r="T142">
        <f t="shared" ref="T142" si="689">S142/1000</f>
        <v>-6.3291653118524298</v>
      </c>
    </row>
    <row r="143" spans="1:20" x14ac:dyDescent="0.25">
      <c r="A143" s="5">
        <v>44450</v>
      </c>
      <c r="B143">
        <v>0.17349999999999999</v>
      </c>
      <c r="C143">
        <v>0.17929999999999999</v>
      </c>
      <c r="D143">
        <v>0.17</v>
      </c>
      <c r="E143">
        <v>0.1744</v>
      </c>
      <c r="F143">
        <v>14488026</v>
      </c>
      <c r="G143">
        <v>0.1744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-5.3763440860215249E-2</v>
      </c>
      <c r="Q143">
        <f t="shared" ref="Q143" si="691">F143*P143</f>
        <v>-778926.12903226085</v>
      </c>
      <c r="R143">
        <f t="shared" ref="R143" si="692">R144+Q143</f>
        <v>-631524398.25595009</v>
      </c>
      <c r="S143">
        <f t="shared" ref="S143" si="693">R143/100000</f>
        <v>-6315.2439825595011</v>
      </c>
      <c r="T143">
        <f t="shared" ref="T143" si="694">S143/1000</f>
        <v>-6.315243982559501</v>
      </c>
    </row>
    <row r="144" spans="1:20" x14ac:dyDescent="0.25">
      <c r="A144" s="5">
        <v>44449</v>
      </c>
      <c r="B144">
        <v>0.1767</v>
      </c>
      <c r="C144">
        <v>0.19489999999999999</v>
      </c>
      <c r="D144">
        <v>0.16919999999999999</v>
      </c>
      <c r="E144">
        <v>0.17349999999999999</v>
      </c>
      <c r="F144">
        <v>29588556</v>
      </c>
      <c r="G144">
        <v>0.17349999999999999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-0.66536964980544766</v>
      </c>
      <c r="Q144">
        <f t="shared" ref="Q144" si="696">F144*P144</f>
        <v>-19687327.143968876</v>
      </c>
      <c r="R144">
        <f t="shared" ref="R144" si="697">R145+Q144</f>
        <v>-630745472.12691784</v>
      </c>
      <c r="S144">
        <f t="shared" ref="S144" si="698">R144/100000</f>
        <v>-6307.4547212691787</v>
      </c>
      <c r="T144">
        <f t="shared" ref="T144" si="699">S144/1000</f>
        <v>-6.3074547212691785</v>
      </c>
    </row>
    <row r="145" spans="1:20" x14ac:dyDescent="0.25">
      <c r="A145" s="5">
        <v>44448</v>
      </c>
      <c r="B145">
        <v>0.1784</v>
      </c>
      <c r="C145">
        <v>0.18890000000000001</v>
      </c>
      <c r="D145">
        <v>0.17219999999999999</v>
      </c>
      <c r="E145">
        <v>0.1767</v>
      </c>
      <c r="F145">
        <v>21688362</v>
      </c>
      <c r="G145">
        <v>0.1767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-0.46107784431137744</v>
      </c>
      <c r="Q145">
        <f t="shared" ref="Q145" si="701">F145*P145</f>
        <v>-10000023.197604794</v>
      </c>
      <c r="R145">
        <f t="shared" ref="R145" si="702">R146+Q145</f>
        <v>-611058144.98294902</v>
      </c>
      <c r="S145">
        <f t="shared" ref="S145" si="703">R145/100000</f>
        <v>-6110.5814498294903</v>
      </c>
      <c r="T145">
        <f t="shared" ref="T145" si="704">S145/1000</f>
        <v>-6.1105814498294899</v>
      </c>
    </row>
    <row r="146" spans="1:20" x14ac:dyDescent="0.25">
      <c r="A146" s="5">
        <v>44447</v>
      </c>
      <c r="B146">
        <v>0.18290000000000001</v>
      </c>
      <c r="C146">
        <v>0.185</v>
      </c>
      <c r="D146">
        <v>0.15679999999999999</v>
      </c>
      <c r="E146">
        <v>0.1784</v>
      </c>
      <c r="F146">
        <v>16893071</v>
      </c>
      <c r="G146">
        <v>0.1784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0.53191489361702171</v>
      </c>
      <c r="Q146">
        <f t="shared" ref="Q146" si="706">F146*P146</f>
        <v>8985676.0638297945</v>
      </c>
      <c r="R146">
        <f t="shared" ref="R146" si="707">R147+Q146</f>
        <v>-601058121.78534424</v>
      </c>
      <c r="S146">
        <f t="shared" ref="S146" si="708">R146/100000</f>
        <v>-6010.5812178534425</v>
      </c>
      <c r="T146">
        <f t="shared" ref="T146" si="709">S146/1000</f>
        <v>-6.0105812178534421</v>
      </c>
    </row>
    <row r="147" spans="1:20" x14ac:dyDescent="0.25">
      <c r="A147" s="5">
        <v>44446</v>
      </c>
      <c r="B147">
        <v>0.2291</v>
      </c>
      <c r="C147">
        <v>0.23</v>
      </c>
      <c r="D147">
        <v>0.15049999999999999</v>
      </c>
      <c r="E147">
        <v>0.18279999999999999</v>
      </c>
      <c r="F147">
        <v>38160153.369999997</v>
      </c>
      <c r="G147">
        <v>0.18279999999999999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-0.18742138364779901</v>
      </c>
      <c r="Q147">
        <f t="shared" ref="Q147" si="711">F147*P147</f>
        <v>-7152028.7448176192</v>
      </c>
      <c r="R147">
        <f t="shared" ref="R147" si="712">R148+Q147</f>
        <v>-610043797.84917402</v>
      </c>
      <c r="S147">
        <f t="shared" ref="S147" si="713">R147/100000</f>
        <v>-6100.4379784917401</v>
      </c>
      <c r="T147">
        <f t="shared" ref="T147" si="714">S147/1000</f>
        <v>-6.1004379784917404</v>
      </c>
    </row>
    <row r="148" spans="1:20" x14ac:dyDescent="0.25">
      <c r="A148" s="5">
        <v>44445</v>
      </c>
      <c r="B148">
        <v>0.22389999999999999</v>
      </c>
      <c r="C148">
        <v>0.24440000000000001</v>
      </c>
      <c r="D148">
        <v>0.21920000000000001</v>
      </c>
      <c r="E148">
        <v>0.22889999999999999</v>
      </c>
      <c r="F148">
        <v>78849802.829999998</v>
      </c>
      <c r="G148">
        <v>0.22889999999999999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-0.23015873015873126</v>
      </c>
      <c r="Q148">
        <f t="shared" ref="Q148" si="716">F148*P148</f>
        <v>-18147970.492619134</v>
      </c>
      <c r="R148">
        <f t="shared" ref="R148" si="717">R149+Q148</f>
        <v>-602891769.10435641</v>
      </c>
      <c r="S148">
        <f t="shared" ref="S148" si="718">R148/100000</f>
        <v>-6028.9176910435644</v>
      </c>
      <c r="T148">
        <f t="shared" ref="T148" si="719">S148/1000</f>
        <v>-6.0289176910435645</v>
      </c>
    </row>
    <row r="149" spans="1:20" x14ac:dyDescent="0.25">
      <c r="A149" s="5">
        <v>44444</v>
      </c>
      <c r="B149">
        <v>0.20100000000000001</v>
      </c>
      <c r="C149">
        <v>0.22439999999999999</v>
      </c>
      <c r="D149">
        <v>0.1976</v>
      </c>
      <c r="E149">
        <v>0.22370000000000001</v>
      </c>
      <c r="F149">
        <v>43060375</v>
      </c>
      <c r="G149">
        <v>0.22370000000000001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0.94776119402985237</v>
      </c>
      <c r="Q149">
        <f t="shared" ref="Q149" si="721">F149*P149</f>
        <v>40810952.425373204</v>
      </c>
      <c r="R149">
        <f t="shared" ref="R149" si="722">R150+Q149</f>
        <v>-584743798.61173725</v>
      </c>
      <c r="S149">
        <f t="shared" ref="S149" si="723">R149/100000</f>
        <v>-5847.4379861173729</v>
      </c>
      <c r="T149">
        <f t="shared" ref="T149" si="724">S149/1000</f>
        <v>-5.8474379861173729</v>
      </c>
    </row>
    <row r="150" spans="1:20" x14ac:dyDescent="0.25">
      <c r="A150" s="5">
        <v>44443</v>
      </c>
      <c r="B150">
        <v>0.19719999999999999</v>
      </c>
      <c r="C150">
        <v>0.20449999999999999</v>
      </c>
      <c r="D150">
        <v>0.19520000000000001</v>
      </c>
      <c r="E150">
        <v>0.20100000000000001</v>
      </c>
      <c r="F150">
        <v>18621413</v>
      </c>
      <c r="G150">
        <v>0.20100000000000001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0.24731182795699252</v>
      </c>
      <c r="Q150">
        <f t="shared" ref="Q150" si="726">F150*P150</f>
        <v>4605295.6881721038</v>
      </c>
      <c r="R150">
        <f t="shared" ref="R150" si="727">R151+Q150</f>
        <v>-625554751.03711045</v>
      </c>
      <c r="S150">
        <f t="shared" ref="S150" si="728">R150/100000</f>
        <v>-6255.5475103711042</v>
      </c>
      <c r="T150">
        <f t="shared" ref="T150" si="729">S150/1000</f>
        <v>-6.2555475103711045</v>
      </c>
    </row>
    <row r="151" spans="1:20" x14ac:dyDescent="0.25">
      <c r="A151" s="5">
        <v>44442</v>
      </c>
      <c r="B151">
        <v>0.1946</v>
      </c>
      <c r="C151">
        <v>0.2011</v>
      </c>
      <c r="D151">
        <v>0.19</v>
      </c>
      <c r="E151">
        <v>0.19750000000000001</v>
      </c>
      <c r="F151">
        <v>18047832</v>
      </c>
      <c r="G151">
        <v>0.19750000000000001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0.3513513513513527</v>
      </c>
      <c r="Q151">
        <f t="shared" ref="Q151" si="731">F151*P151</f>
        <v>6341130.1621621866</v>
      </c>
      <c r="R151">
        <f t="shared" ref="R151" si="732">R152+Q151</f>
        <v>-630160046.72528255</v>
      </c>
      <c r="S151">
        <f t="shared" ref="S151" si="733">R151/100000</f>
        <v>-6301.6004672528252</v>
      </c>
      <c r="T151">
        <f t="shared" ref="T151" si="734">S151/1000</f>
        <v>-6.3016004672528254</v>
      </c>
    </row>
    <row r="152" spans="1:20" x14ac:dyDescent="0.25">
      <c r="A152" s="5">
        <v>44441</v>
      </c>
      <c r="B152">
        <v>0.2011</v>
      </c>
      <c r="C152">
        <v>0.20300000000000001</v>
      </c>
      <c r="D152">
        <v>0.19259999999999999</v>
      </c>
      <c r="E152">
        <v>0.19470000000000001</v>
      </c>
      <c r="F152">
        <v>16161164</v>
      </c>
      <c r="G152">
        <v>0.19470000000000001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-0.59615384615384337</v>
      </c>
      <c r="Q152">
        <f t="shared" ref="Q152" si="736">F152*P152</f>
        <v>-9634540.0769230314</v>
      </c>
      <c r="R152">
        <f t="shared" ref="R152" si="737">R153+Q152</f>
        <v>-636501176.88744473</v>
      </c>
      <c r="S152">
        <f t="shared" ref="S152" si="738">R152/100000</f>
        <v>-6365.0117688744476</v>
      </c>
      <c r="T152">
        <f t="shared" ref="T152" si="739">S152/1000</f>
        <v>-6.3650117688744476</v>
      </c>
    </row>
    <row r="153" spans="1:20" x14ac:dyDescent="0.25">
      <c r="A153" s="5">
        <v>44440</v>
      </c>
      <c r="B153">
        <v>0.1971</v>
      </c>
      <c r="C153">
        <v>0.20480000000000001</v>
      </c>
      <c r="D153">
        <v>0.1888</v>
      </c>
      <c r="E153">
        <v>0.2011</v>
      </c>
      <c r="F153">
        <v>28071656</v>
      </c>
      <c r="G153">
        <v>0.2011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0.53749999999999931</v>
      </c>
      <c r="Q153">
        <f t="shared" ref="Q153" si="741">F153*P153</f>
        <v>15088515.099999981</v>
      </c>
      <c r="R153">
        <f t="shared" ref="R153" si="742">R154+Q153</f>
        <v>-626866636.81052172</v>
      </c>
      <c r="S153">
        <f t="shared" ref="S153" si="743">R153/100000</f>
        <v>-6268.6663681052169</v>
      </c>
      <c r="T153">
        <f t="shared" ref="T153" si="744">S153/1000</f>
        <v>-6.268666368105217</v>
      </c>
    </row>
    <row r="154" spans="1:20" x14ac:dyDescent="0.25">
      <c r="A154" s="5">
        <v>44439</v>
      </c>
      <c r="B154">
        <v>0.17899999999999999</v>
      </c>
      <c r="C154">
        <v>0.23799999999999999</v>
      </c>
      <c r="D154">
        <v>0.17580000000000001</v>
      </c>
      <c r="E154">
        <v>0.19689999999999999</v>
      </c>
      <c r="F154">
        <v>83820871.620000005</v>
      </c>
      <c r="G154">
        <v>0.19689999999999999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-0.32154340836012901</v>
      </c>
      <c r="Q154">
        <f t="shared" ref="Q154" si="746">F154*P154</f>
        <v>-26952048.752411611</v>
      </c>
      <c r="R154">
        <f t="shared" ref="R154" si="747">R155+Q154</f>
        <v>-641955151.91052175</v>
      </c>
      <c r="S154">
        <f t="shared" ref="S154" si="748">R154/100000</f>
        <v>-6419.5515191052173</v>
      </c>
      <c r="T154">
        <f t="shared" ref="T154" si="749">S154/1000</f>
        <v>-6.4195515191052177</v>
      </c>
    </row>
    <row r="155" spans="1:20" x14ac:dyDescent="0.25">
      <c r="A155" s="5">
        <v>44438</v>
      </c>
      <c r="B155">
        <v>0.188</v>
      </c>
      <c r="C155">
        <v>0.1908</v>
      </c>
      <c r="D155">
        <v>0.17829999999999999</v>
      </c>
      <c r="E155">
        <v>0.17899999999999999</v>
      </c>
      <c r="F155">
        <v>15891965</v>
      </c>
      <c r="G155">
        <v>0.17899999999999999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-0.88799999999999912</v>
      </c>
      <c r="Q155">
        <f t="shared" ref="Q155" si="751">F155*P155</f>
        <v>-14112064.919999987</v>
      </c>
      <c r="R155">
        <f t="shared" ref="R155" si="752">R156+Q155</f>
        <v>-615003103.15811014</v>
      </c>
      <c r="S155">
        <f t="shared" ref="S155" si="753">R155/100000</f>
        <v>-6150.0310315811012</v>
      </c>
      <c r="T155">
        <f t="shared" ref="T155" si="754">S155/1000</f>
        <v>-6.1500310315811015</v>
      </c>
    </row>
    <row r="156" spans="1:20" x14ac:dyDescent="0.25">
      <c r="A156" s="5">
        <v>44437</v>
      </c>
      <c r="B156">
        <v>0.18820000000000001</v>
      </c>
      <c r="C156">
        <v>0.1918</v>
      </c>
      <c r="D156">
        <v>0.18060000000000001</v>
      </c>
      <c r="E156">
        <v>0.18770000000000001</v>
      </c>
      <c r="F156">
        <v>15093881</v>
      </c>
      <c r="G156">
        <v>0.18770000000000001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0.2678571428571434</v>
      </c>
      <c r="Q156">
        <f t="shared" ref="Q156" si="756">F156*P156</f>
        <v>4043003.8392857225</v>
      </c>
      <c r="R156">
        <f t="shared" ref="R156" si="757">R157+Q156</f>
        <v>-600891038.23811018</v>
      </c>
      <c r="S156">
        <f t="shared" ref="S156" si="758">R156/100000</f>
        <v>-6008.910382381102</v>
      </c>
      <c r="T156">
        <f t="shared" ref="T156" si="759">S156/1000</f>
        <v>-6.0089103823811021</v>
      </c>
    </row>
    <row r="157" spans="1:20" x14ac:dyDescent="0.25">
      <c r="A157" s="5">
        <v>44436</v>
      </c>
      <c r="B157">
        <v>0.19170000000000001</v>
      </c>
      <c r="C157">
        <v>0.1961</v>
      </c>
      <c r="D157">
        <v>0.18540000000000001</v>
      </c>
      <c r="E157">
        <v>0.18820000000000001</v>
      </c>
      <c r="F157">
        <v>27408047</v>
      </c>
      <c r="G157">
        <v>0.18820000000000001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-0.47663551401869153</v>
      </c>
      <c r="Q157">
        <f t="shared" ref="Q157" si="761">F157*P157</f>
        <v>-13063648.570093457</v>
      </c>
      <c r="R157">
        <f t="shared" ref="R157" si="762">R158+Q157</f>
        <v>-604934042.07739592</v>
      </c>
      <c r="S157">
        <f t="shared" ref="S157" si="763">R157/100000</f>
        <v>-6049.3404207739595</v>
      </c>
      <c r="T157">
        <f t="shared" ref="T157" si="764">S157/1000</f>
        <v>-6.0493404207739596</v>
      </c>
    </row>
    <row r="158" spans="1:20" x14ac:dyDescent="0.25">
      <c r="A158" s="5">
        <v>44435</v>
      </c>
      <c r="B158">
        <v>0.18390000000000001</v>
      </c>
      <c r="C158">
        <v>0.1946</v>
      </c>
      <c r="D158">
        <v>0.17680000000000001</v>
      </c>
      <c r="E158">
        <v>0.19170000000000001</v>
      </c>
      <c r="F158">
        <v>15521585.890000001</v>
      </c>
      <c r="G158">
        <v>0.19170000000000001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0.67415730337078783</v>
      </c>
      <c r="Q158">
        <f t="shared" ref="Q158" si="766">F158*P158</f>
        <v>10463990.48764047</v>
      </c>
      <c r="R158">
        <f t="shared" ref="R158" si="767">R159+Q158</f>
        <v>-591870393.5073024</v>
      </c>
      <c r="S158">
        <f t="shared" ref="S158" si="768">R158/100000</f>
        <v>-5918.7039350730238</v>
      </c>
      <c r="T158">
        <f t="shared" ref="T158" si="769">S158/1000</f>
        <v>-5.9187039350730242</v>
      </c>
    </row>
    <row r="159" spans="1:20" x14ac:dyDescent="0.25">
      <c r="A159" s="5">
        <v>44434</v>
      </c>
      <c r="B159">
        <v>0.20200000000000001</v>
      </c>
      <c r="C159">
        <v>0.20399999999999999</v>
      </c>
      <c r="D159">
        <v>0.1827</v>
      </c>
      <c r="E159">
        <v>0.18429999999999999</v>
      </c>
      <c r="F159">
        <v>16820558.710000001</v>
      </c>
      <c r="G159">
        <v>0.18429999999999999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-0.84976525821596327</v>
      </c>
      <c r="Q159">
        <f t="shared" ref="Q159" si="771">F159*P159</f>
        <v>-14293526.41553992</v>
      </c>
      <c r="R159">
        <f t="shared" ref="R159" si="772">R160+Q159</f>
        <v>-602334383.9949429</v>
      </c>
      <c r="S159">
        <f t="shared" ref="S159" si="773">R159/100000</f>
        <v>-6023.3438399494289</v>
      </c>
      <c r="T159">
        <f t="shared" ref="T159" si="774">S159/1000</f>
        <v>-6.0233438399494288</v>
      </c>
    </row>
    <row r="160" spans="1:20" x14ac:dyDescent="0.25">
      <c r="A160" s="5">
        <v>44433</v>
      </c>
      <c r="B160">
        <v>0.20050000000000001</v>
      </c>
      <c r="C160">
        <v>0.21210000000000001</v>
      </c>
      <c r="D160">
        <v>0.19109999999999999</v>
      </c>
      <c r="E160">
        <v>0.2019</v>
      </c>
      <c r="F160">
        <v>25696390.27</v>
      </c>
      <c r="G160">
        <v>0.2019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2.8571428571428043E-2</v>
      </c>
      <c r="Q160">
        <f t="shared" ref="Q160" si="776">F160*P160</f>
        <v>734182.57914284361</v>
      </c>
      <c r="R160">
        <f t="shared" ref="R160" si="777">R161+Q160</f>
        <v>-588040857.57940292</v>
      </c>
      <c r="S160">
        <f t="shared" ref="S160" si="778">R160/100000</f>
        <v>-5880.4085757940293</v>
      </c>
      <c r="T160">
        <f t="shared" ref="T160" si="779">S160/1000</f>
        <v>-5.8804085757940294</v>
      </c>
    </row>
    <row r="161" spans="1:20" x14ac:dyDescent="0.25">
      <c r="A161" s="5">
        <v>44432</v>
      </c>
      <c r="B161">
        <v>0.2084</v>
      </c>
      <c r="C161">
        <v>0.21279999999999999</v>
      </c>
      <c r="D161">
        <v>0.18690000000000001</v>
      </c>
      <c r="E161">
        <v>0.20050000000000001</v>
      </c>
      <c r="F161">
        <v>27401205.59</v>
      </c>
      <c r="G161">
        <v>0.20050000000000001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5.0193050193051134E-2</v>
      </c>
      <c r="Q161">
        <f t="shared" ref="Q161" si="781">F161*P161</f>
        <v>1375350.0875289834</v>
      </c>
      <c r="R161">
        <f t="shared" ref="R161" si="782">R162+Q161</f>
        <v>-588775040.15854573</v>
      </c>
      <c r="S161">
        <f t="shared" ref="S161" si="783">R161/100000</f>
        <v>-5887.7504015854574</v>
      </c>
      <c r="T161">
        <f t="shared" ref="T161" si="784">S161/1000</f>
        <v>-5.8877504015854578</v>
      </c>
    </row>
    <row r="162" spans="1:20" x14ac:dyDescent="0.25">
      <c r="A162" s="5">
        <v>44431</v>
      </c>
      <c r="B162">
        <v>0.20699999999999999</v>
      </c>
      <c r="C162">
        <v>0.2165</v>
      </c>
      <c r="D162">
        <v>0.2</v>
      </c>
      <c r="E162">
        <v>0.2084</v>
      </c>
      <c r="F162">
        <v>36533188.009999998</v>
      </c>
      <c r="G162">
        <v>0.2084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1.8181818181817876E-2</v>
      </c>
      <c r="Q162">
        <f t="shared" ref="Q162" si="786">F162*P162</f>
        <v>664239.78199998883</v>
      </c>
      <c r="R162">
        <f t="shared" ref="R162" si="787">R163+Q162</f>
        <v>-590150390.24607468</v>
      </c>
      <c r="S162">
        <f t="shared" ref="S162" si="788">R162/100000</f>
        <v>-5901.5039024607468</v>
      </c>
      <c r="T162">
        <f t="shared" ref="T162" si="789">S162/1000</f>
        <v>-5.901503902460747</v>
      </c>
    </row>
    <row r="163" spans="1:20" x14ac:dyDescent="0.25">
      <c r="A163" s="5">
        <v>44430</v>
      </c>
      <c r="B163">
        <v>0.2104</v>
      </c>
      <c r="C163">
        <v>0.2172</v>
      </c>
      <c r="D163">
        <v>0.20669999999999999</v>
      </c>
      <c r="E163">
        <v>0.21460000000000001</v>
      </c>
      <c r="F163">
        <v>5327803.33</v>
      </c>
      <c r="G163">
        <v>0.21460000000000001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0.50476190476190685</v>
      </c>
      <c r="Q163">
        <f t="shared" ref="Q163" si="791">F163*P163</f>
        <v>2689272.1570476303</v>
      </c>
      <c r="R163">
        <f t="shared" ref="R163" si="792">R164+Q163</f>
        <v>-590814630.02807462</v>
      </c>
      <c r="S163">
        <f t="shared" ref="S163" si="793">R163/100000</f>
        <v>-5908.1463002807459</v>
      </c>
      <c r="T163">
        <f t="shared" ref="T163" si="794">S163/1000</f>
        <v>-5.9081463002807455</v>
      </c>
    </row>
    <row r="164" spans="1:20" x14ac:dyDescent="0.25">
      <c r="A164" s="5">
        <v>44429</v>
      </c>
      <c r="B164">
        <v>0.20499999999999999</v>
      </c>
      <c r="C164">
        <v>0.22</v>
      </c>
      <c r="D164">
        <v>0.19109999999999999</v>
      </c>
      <c r="E164">
        <v>0.2109</v>
      </c>
      <c r="F164">
        <v>46236471.789999999</v>
      </c>
      <c r="G164">
        <v>0.2109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0.37024221453287237</v>
      </c>
      <c r="Q164">
        <f t="shared" ref="Q164" si="796">F164*P164</f>
        <v>17118693.707716282</v>
      </c>
      <c r="R164">
        <f t="shared" ref="R164" si="797">R165+Q164</f>
        <v>-593503902.18512225</v>
      </c>
      <c r="S164">
        <f t="shared" ref="S164" si="798">R164/100000</f>
        <v>-5935.039021851223</v>
      </c>
      <c r="T164">
        <f t="shared" ref="T164" si="799">S164/1000</f>
        <v>-5.9350390218512228</v>
      </c>
    </row>
    <row r="165" spans="1:20" x14ac:dyDescent="0.25">
      <c r="A165" s="5">
        <v>44428</v>
      </c>
      <c r="B165">
        <v>0.18890000000000001</v>
      </c>
      <c r="C165">
        <v>0.20580000000000001</v>
      </c>
      <c r="D165">
        <v>0.16900000000000001</v>
      </c>
      <c r="E165">
        <v>0.20499999999999999</v>
      </c>
      <c r="F165">
        <v>34802564.590000004</v>
      </c>
      <c r="G165">
        <v>0.20499999999999999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0.95652173913043359</v>
      </c>
      <c r="Q165">
        <f t="shared" ref="Q165" si="801">F165*P165</f>
        <v>33289409.60782605</v>
      </c>
      <c r="R165">
        <f t="shared" ref="R165" si="802">R166+Q165</f>
        <v>-610622595.89283848</v>
      </c>
      <c r="S165">
        <f t="shared" ref="S165" si="803">R165/100000</f>
        <v>-6106.2259589283849</v>
      </c>
      <c r="T165">
        <f t="shared" ref="T165" si="804">S165/1000</f>
        <v>-6.1062259589283849</v>
      </c>
    </row>
    <row r="166" spans="1:20" x14ac:dyDescent="0.25">
      <c r="A166" s="5">
        <v>44427</v>
      </c>
      <c r="B166">
        <v>0.17599999999999999</v>
      </c>
      <c r="C166">
        <v>0.191</v>
      </c>
      <c r="D166">
        <v>0.1706</v>
      </c>
      <c r="E166">
        <v>0.18890000000000001</v>
      </c>
      <c r="F166">
        <v>22836890.670000002</v>
      </c>
      <c r="G166">
        <v>0.18890000000000001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0.79411764705882448</v>
      </c>
      <c r="Q166">
        <f t="shared" ref="Q166" si="806">F166*P166</f>
        <v>18135177.885000024</v>
      </c>
      <c r="R166">
        <f t="shared" ref="R166" si="807">R167+Q166</f>
        <v>-643912005.50066447</v>
      </c>
      <c r="S166">
        <f t="shared" ref="S166" si="808">R166/100000</f>
        <v>-6439.1200550066451</v>
      </c>
      <c r="T166">
        <f t="shared" ref="T166" si="809">S166/1000</f>
        <v>-6.4391200550066454</v>
      </c>
    </row>
    <row r="167" spans="1:20" x14ac:dyDescent="0.25">
      <c r="A167" s="5">
        <v>44426</v>
      </c>
      <c r="B167">
        <v>0.1716</v>
      </c>
      <c r="C167">
        <v>0.18740000000000001</v>
      </c>
      <c r="D167">
        <v>0.16500000000000001</v>
      </c>
      <c r="E167">
        <v>0.1762</v>
      </c>
      <c r="F167">
        <v>26497560.32</v>
      </c>
      <c r="G167">
        <v>0.1762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-1.2390881971262907E-15</v>
      </c>
      <c r="Q167">
        <f t="shared" ref="Q167" si="811">F167*P167</f>
        <v>-3.2832814245153941E-8</v>
      </c>
      <c r="R167">
        <f t="shared" ref="R167" si="812">R168+Q167</f>
        <v>-662047183.38566446</v>
      </c>
      <c r="S167">
        <f t="shared" ref="S167" si="813">R167/100000</f>
        <v>-6620.4718338566445</v>
      </c>
      <c r="T167">
        <f t="shared" ref="T167" si="814">S167/1000</f>
        <v>-6.6204718338566444</v>
      </c>
    </row>
    <row r="168" spans="1:20" x14ac:dyDescent="0.25">
      <c r="A168" s="5">
        <v>44425</v>
      </c>
      <c r="B168">
        <v>0.1774</v>
      </c>
      <c r="C168">
        <v>0.19450000000000001</v>
      </c>
      <c r="D168">
        <v>0.17019999999999999</v>
      </c>
      <c r="E168">
        <v>0.1721</v>
      </c>
      <c r="F168">
        <v>30705413.760000002</v>
      </c>
      <c r="G168">
        <v>0.1721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-0.84362139917695378</v>
      </c>
      <c r="Q168">
        <f t="shared" ref="Q168" si="816">F168*P168</f>
        <v>-25903744.11851849</v>
      </c>
      <c r="R168">
        <f t="shared" ref="R168" si="817">R169+Q168</f>
        <v>-662047183.38566446</v>
      </c>
      <c r="S168">
        <f t="shared" ref="S168" si="818">R168/100000</f>
        <v>-6620.4718338566445</v>
      </c>
      <c r="T168">
        <f t="shared" ref="T168" si="819">S168/1000</f>
        <v>-6.6204718338566444</v>
      </c>
    </row>
    <row r="169" spans="1:20" x14ac:dyDescent="0.25">
      <c r="A169" s="5">
        <v>44424</v>
      </c>
      <c r="B169">
        <v>0.1925</v>
      </c>
      <c r="C169">
        <v>0.19550000000000001</v>
      </c>
      <c r="D169">
        <v>0.17660000000000001</v>
      </c>
      <c r="E169">
        <v>0.1774</v>
      </c>
      <c r="F169">
        <v>26251926.710000001</v>
      </c>
      <c r="G169">
        <v>0.1774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-0.9153439153439159</v>
      </c>
      <c r="Q169">
        <f t="shared" ref="Q169" si="821">F169*P169</f>
        <v>-24029541.380052924</v>
      </c>
      <c r="R169">
        <f t="shared" ref="R169" si="822">R170+Q169</f>
        <v>-636143439.26714599</v>
      </c>
      <c r="S169">
        <f t="shared" ref="S169" si="823">R169/100000</f>
        <v>-6361.43439267146</v>
      </c>
      <c r="T169">
        <f t="shared" ref="T169" si="824">S169/1000</f>
        <v>-6.3614343926714598</v>
      </c>
    </row>
    <row r="170" spans="1:20" x14ac:dyDescent="0.25">
      <c r="A170" s="5">
        <v>44423</v>
      </c>
      <c r="B170">
        <v>0.19239999999999999</v>
      </c>
      <c r="C170">
        <v>0.19350000000000001</v>
      </c>
      <c r="D170">
        <v>0.17860000000000001</v>
      </c>
      <c r="E170">
        <v>0.1925</v>
      </c>
      <c r="F170">
        <v>27725741.739999998</v>
      </c>
      <c r="G170">
        <v>0.1925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0.86577181208053677</v>
      </c>
      <c r="Q170">
        <f t="shared" ref="Q170" si="826">F170*P170</f>
        <v>24004165.667516772</v>
      </c>
      <c r="R170">
        <f t="shared" ref="R170" si="827">R171+Q170</f>
        <v>-612113897.88709307</v>
      </c>
      <c r="S170">
        <f t="shared" ref="S170" si="828">R170/100000</f>
        <v>-6121.1389788709303</v>
      </c>
      <c r="T170">
        <f t="shared" ref="T170" si="829">S170/1000</f>
        <v>-6.1211389788709303</v>
      </c>
    </row>
    <row r="171" spans="1:20" x14ac:dyDescent="0.25">
      <c r="A171" s="5">
        <v>44422</v>
      </c>
      <c r="B171">
        <v>0.1867</v>
      </c>
      <c r="C171">
        <v>0.21640000000000001</v>
      </c>
      <c r="D171">
        <v>0.1852</v>
      </c>
      <c r="E171">
        <v>0.19220000000000001</v>
      </c>
      <c r="F171">
        <v>59448518.25</v>
      </c>
      <c r="G171">
        <v>0.19220000000000001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-0.55128205128205099</v>
      </c>
      <c r="Q171">
        <f t="shared" ref="Q171" si="831">F171*P171</f>
        <v>-32772901.086538445</v>
      </c>
      <c r="R171">
        <f t="shared" ref="R171" si="832">R172+Q171</f>
        <v>-636118063.55460989</v>
      </c>
      <c r="S171">
        <f t="shared" ref="S171" si="833">R171/100000</f>
        <v>-6361.1806355460985</v>
      </c>
      <c r="T171">
        <f t="shared" ref="T171" si="834">S171/1000</f>
        <v>-6.3611806355460985</v>
      </c>
    </row>
    <row r="172" spans="1:20" x14ac:dyDescent="0.25">
      <c r="A172" s="5">
        <v>44421</v>
      </c>
      <c r="B172">
        <v>0.1641</v>
      </c>
      <c r="C172">
        <v>0.19600000000000001</v>
      </c>
      <c r="D172">
        <v>0.16200000000000001</v>
      </c>
      <c r="E172">
        <v>0.1867</v>
      </c>
      <c r="F172">
        <v>54480980.390000001</v>
      </c>
      <c r="G172">
        <v>0.1867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0.45294117647058812</v>
      </c>
      <c r="Q172">
        <f t="shared" ref="Q172" si="836">F172*P172</f>
        <v>24676679.353117641</v>
      </c>
      <c r="R172">
        <f t="shared" ref="R172" si="837">R173+Q172</f>
        <v>-603345162.46807146</v>
      </c>
      <c r="S172">
        <f t="shared" ref="S172" si="838">R172/100000</f>
        <v>-6033.4516246807143</v>
      </c>
      <c r="T172">
        <f t="shared" ref="T172" si="839">S172/1000</f>
        <v>-6.0334516246807146</v>
      </c>
    </row>
    <row r="173" spans="1:20" x14ac:dyDescent="0.25">
      <c r="A173" s="5">
        <v>44420</v>
      </c>
      <c r="B173">
        <v>0.1628</v>
      </c>
      <c r="C173">
        <v>0.17380000000000001</v>
      </c>
      <c r="D173">
        <v>0.1517</v>
      </c>
      <c r="E173">
        <v>0.16400000000000001</v>
      </c>
      <c r="F173">
        <v>39971033.009999998</v>
      </c>
      <c r="G173">
        <v>0.16400000000000001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0.11312217194570141</v>
      </c>
      <c r="Q173">
        <f t="shared" ref="Q173" si="841">F173*P173</f>
        <v>4521610.0690045273</v>
      </c>
      <c r="R173">
        <f t="shared" ref="R173" si="842">R174+Q173</f>
        <v>-628021841.82118905</v>
      </c>
      <c r="S173">
        <f t="shared" ref="S173" si="843">R173/100000</f>
        <v>-6280.2184182118908</v>
      </c>
      <c r="T173">
        <f t="shared" ref="T173" si="844">S173/1000</f>
        <v>-6.2802184182118905</v>
      </c>
    </row>
    <row r="174" spans="1:20" x14ac:dyDescent="0.25">
      <c r="A174" s="5">
        <v>44419</v>
      </c>
      <c r="B174">
        <v>0.153</v>
      </c>
      <c r="C174">
        <v>0.17230000000000001</v>
      </c>
      <c r="D174">
        <v>0.152</v>
      </c>
      <c r="E174">
        <v>0.16270000000000001</v>
      </c>
      <c r="F174">
        <v>47649071.909999996</v>
      </c>
      <c r="G174">
        <v>0.16270000000000001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5.4187192118227437E-2</v>
      </c>
      <c r="Q174">
        <f t="shared" ref="Q174" si="846">F174*P174</f>
        <v>2581969.4138424043</v>
      </c>
      <c r="R174">
        <f t="shared" ref="R174" si="847">R175+Q174</f>
        <v>-632543451.89019358</v>
      </c>
      <c r="S174">
        <f t="shared" ref="S174" si="848">R174/100000</f>
        <v>-6325.4345189019359</v>
      </c>
      <c r="T174">
        <f t="shared" ref="T174" si="849">S174/1000</f>
        <v>-6.3254345189019361</v>
      </c>
    </row>
    <row r="175" spans="1:20" x14ac:dyDescent="0.25">
      <c r="A175" s="5">
        <v>44418</v>
      </c>
      <c r="B175">
        <v>0.15670000000000001</v>
      </c>
      <c r="C175">
        <v>0.16</v>
      </c>
      <c r="D175">
        <v>0.14680000000000001</v>
      </c>
      <c r="E175">
        <v>0.15279999999999999</v>
      </c>
      <c r="F175">
        <v>52223543.509999998</v>
      </c>
      <c r="G175">
        <v>0.15279999999999999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-9.090909090909359E-2</v>
      </c>
      <c r="Q175">
        <f t="shared" ref="Q175" si="851">F175*P175</f>
        <v>-4747594.864545594</v>
      </c>
      <c r="R175">
        <f t="shared" ref="R175" si="852">R176+Q175</f>
        <v>-635125421.30403602</v>
      </c>
      <c r="S175">
        <f t="shared" ref="S175" si="853">R175/100000</f>
        <v>-6351.2542130403599</v>
      </c>
      <c r="T175">
        <f t="shared" ref="T175" si="854">S175/1000</f>
        <v>-6.3512542130403595</v>
      </c>
    </row>
    <row r="176" spans="1:20" x14ac:dyDescent="0.25">
      <c r="A176" s="5">
        <v>44417</v>
      </c>
      <c r="B176">
        <v>0.14749999999999999</v>
      </c>
      <c r="C176">
        <v>0.1623</v>
      </c>
      <c r="D176">
        <v>0.14000000000000001</v>
      </c>
      <c r="E176">
        <v>0.15690000000000001</v>
      </c>
      <c r="F176">
        <v>46500663.710000001</v>
      </c>
      <c r="G176">
        <v>0.15690000000000001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0.51569506726457481</v>
      </c>
      <c r="Q176">
        <f t="shared" ref="Q176" si="856">F176*P176</f>
        <v>23980162.899775822</v>
      </c>
      <c r="R176">
        <f t="shared" ref="R176" si="857">R177+Q176</f>
        <v>-630377826.43949044</v>
      </c>
      <c r="S176">
        <f t="shared" ref="S176" si="858">R176/100000</f>
        <v>-6303.778264394904</v>
      </c>
      <c r="T176">
        <f t="shared" ref="T176" si="859">S176/1000</f>
        <v>-6.3037782643949036</v>
      </c>
    </row>
    <row r="177" spans="1:20" x14ac:dyDescent="0.25">
      <c r="A177" s="5">
        <v>44416</v>
      </c>
      <c r="B177">
        <v>0.16</v>
      </c>
      <c r="C177">
        <v>0.1646</v>
      </c>
      <c r="D177">
        <v>0.14549999999999999</v>
      </c>
      <c r="E177">
        <v>0.1474</v>
      </c>
      <c r="F177">
        <v>22797520.039999999</v>
      </c>
      <c r="G177">
        <v>0.1474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-0.80104712041884685</v>
      </c>
      <c r="Q177">
        <f t="shared" ref="Q177" si="861">F177*P177</f>
        <v>-18261887.780732952</v>
      </c>
      <c r="R177">
        <f t="shared" ref="R177" si="862">R178+Q177</f>
        <v>-654357989.3392663</v>
      </c>
      <c r="S177">
        <f t="shared" ref="S177" si="863">R177/100000</f>
        <v>-6543.5798933926626</v>
      </c>
      <c r="T177">
        <f t="shared" ref="T177" si="864">S177/1000</f>
        <v>-6.5435798933926623</v>
      </c>
    </row>
    <row r="178" spans="1:20" x14ac:dyDescent="0.25">
      <c r="A178" s="5">
        <v>44415</v>
      </c>
      <c r="B178">
        <v>0.15429999999999999</v>
      </c>
      <c r="C178">
        <v>0.17</v>
      </c>
      <c r="D178">
        <v>0.15</v>
      </c>
      <c r="E178">
        <v>0.16</v>
      </c>
      <c r="F178">
        <v>42065838.289999999</v>
      </c>
      <c r="G178">
        <v>0.16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</v>
      </c>
      <c r="Q178">
        <f t="shared" ref="Q178" si="866">F178*P178</f>
        <v>0</v>
      </c>
      <c r="R178">
        <f t="shared" ref="R178" si="867">R179+Q178</f>
        <v>-636096101.55853331</v>
      </c>
      <c r="S178">
        <f t="shared" ref="S178" si="868">R178/100000</f>
        <v>-6360.9610155853334</v>
      </c>
      <c r="T178">
        <f t="shared" ref="T178" si="869">S178/1000</f>
        <v>-6.3609610155853336</v>
      </c>
    </row>
    <row r="179" spans="1:20" x14ac:dyDescent="0.25">
      <c r="A179" s="5">
        <v>44414</v>
      </c>
      <c r="B179">
        <v>0.1399</v>
      </c>
      <c r="C179">
        <v>0.15770000000000001</v>
      </c>
      <c r="D179">
        <v>0.13439999999999999</v>
      </c>
      <c r="E179">
        <v>0.15429999999999999</v>
      </c>
      <c r="F179">
        <v>43116738.520000003</v>
      </c>
      <c r="G179">
        <v>0.15429999999999999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0.70815450643776723</v>
      </c>
      <c r="Q179">
        <f t="shared" ref="Q179" si="871">F179*P179</f>
        <v>30533312.68583687</v>
      </c>
      <c r="R179">
        <f t="shared" ref="R179" si="872">R180+Q179</f>
        <v>-636096101.55853331</v>
      </c>
      <c r="S179">
        <f t="shared" ref="S179" si="873">R179/100000</f>
        <v>-6360.9610155853334</v>
      </c>
      <c r="T179">
        <f t="shared" ref="T179" si="874">S179/1000</f>
        <v>-6.3609610155853336</v>
      </c>
    </row>
    <row r="180" spans="1:20" x14ac:dyDescent="0.25">
      <c r="A180" s="5">
        <v>44413</v>
      </c>
      <c r="B180">
        <v>0.1321</v>
      </c>
      <c r="C180">
        <v>0.14000000000000001</v>
      </c>
      <c r="D180">
        <v>0.1265</v>
      </c>
      <c r="E180">
        <v>0.13969999999999999</v>
      </c>
      <c r="F180">
        <v>21256969.719999999</v>
      </c>
      <c r="G180">
        <v>0.13969999999999999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0.95555555555555227</v>
      </c>
      <c r="Q180">
        <f t="shared" ref="Q180" si="876">F180*P180</f>
        <v>20312215.510222152</v>
      </c>
      <c r="R180">
        <f t="shared" ref="R180" si="877">R181+Q180</f>
        <v>-666629414.24437022</v>
      </c>
      <c r="S180">
        <f t="shared" ref="S180" si="878">R180/100000</f>
        <v>-6666.2941424437022</v>
      </c>
      <c r="T180">
        <f t="shared" ref="T180" si="879">S180/1000</f>
        <v>-6.6662941424437019</v>
      </c>
    </row>
    <row r="181" spans="1:20" x14ac:dyDescent="0.25">
      <c r="A181" s="5">
        <v>44412</v>
      </c>
      <c r="B181">
        <v>0.1245</v>
      </c>
      <c r="C181">
        <v>0.13539999999999999</v>
      </c>
      <c r="D181">
        <v>0.1227</v>
      </c>
      <c r="E181">
        <v>0.13239999999999999</v>
      </c>
      <c r="F181">
        <v>18089422.859999999</v>
      </c>
      <c r="G181">
        <v>0.13239999999999999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0.52755905511810941</v>
      </c>
      <c r="Q181">
        <f t="shared" ref="Q181" si="881">F181*P181</f>
        <v>9543238.8316535279</v>
      </c>
      <c r="R181">
        <f t="shared" ref="R181" si="882">R182+Q181</f>
        <v>-686941629.75459242</v>
      </c>
      <c r="S181">
        <f t="shared" ref="S181" si="883">R181/100000</f>
        <v>-6869.416297545924</v>
      </c>
      <c r="T181">
        <f t="shared" ref="T181" si="884">S181/1000</f>
        <v>-6.8694162975459241</v>
      </c>
    </row>
    <row r="182" spans="1:20" x14ac:dyDescent="0.25">
      <c r="A182" s="5">
        <v>44411</v>
      </c>
      <c r="B182">
        <v>0.1229</v>
      </c>
      <c r="C182">
        <v>0.12640000000000001</v>
      </c>
      <c r="D182">
        <v>0.11700000000000001</v>
      </c>
      <c r="E182">
        <v>0.1244</v>
      </c>
      <c r="F182">
        <v>18562161.18</v>
      </c>
      <c r="G182">
        <v>0.1244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0.57446808510637992</v>
      </c>
      <c r="Q182">
        <f t="shared" ref="Q182" si="886">F182*P182</f>
        <v>10663369.188510582</v>
      </c>
      <c r="R182">
        <f t="shared" ref="R182" si="887">R183+Q182</f>
        <v>-696484868.58624589</v>
      </c>
      <c r="S182">
        <f t="shared" ref="S182" si="888">R182/100000</f>
        <v>-6964.8486858624592</v>
      </c>
      <c r="T182">
        <f t="shared" ref="T182" si="889">S182/1000</f>
        <v>-6.9648486858624592</v>
      </c>
    </row>
    <row r="183" spans="1:20" x14ac:dyDescent="0.25">
      <c r="A183" s="5">
        <v>44410</v>
      </c>
      <c r="B183">
        <v>0.1226</v>
      </c>
      <c r="C183">
        <v>0.1258</v>
      </c>
      <c r="D183">
        <v>0.1206</v>
      </c>
      <c r="E183">
        <v>0.1229</v>
      </c>
      <c r="F183">
        <v>13246332.18</v>
      </c>
      <c r="G183">
        <v>0.1229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-0.1153846153846161</v>
      </c>
      <c r="Q183">
        <f t="shared" ref="Q183" si="891">F183*P183</f>
        <v>-1528422.9438461633</v>
      </c>
      <c r="R183">
        <f t="shared" ref="R183" si="892">R184+Q183</f>
        <v>-707148237.77475643</v>
      </c>
      <c r="S183">
        <f t="shared" ref="S183" si="893">R183/100000</f>
        <v>-7071.482377747564</v>
      </c>
      <c r="T183">
        <f t="shared" ref="T183" si="894">S183/1000</f>
        <v>-7.0714823777475644</v>
      </c>
    </row>
    <row r="184" spans="1:20" x14ac:dyDescent="0.25">
      <c r="A184" s="5">
        <v>44409</v>
      </c>
      <c r="B184">
        <v>0.12659999999999999</v>
      </c>
      <c r="C184">
        <v>0.1343</v>
      </c>
      <c r="D184">
        <v>0.1205</v>
      </c>
      <c r="E184">
        <v>0.12280000000000001</v>
      </c>
      <c r="F184">
        <v>17953824.719999999</v>
      </c>
      <c r="G184">
        <v>0.12280000000000001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-0.6666666666666653</v>
      </c>
      <c r="Q184">
        <f t="shared" ref="Q184" si="896">F184*P184</f>
        <v>-11969216.479999974</v>
      </c>
      <c r="R184">
        <f t="shared" ref="R184" si="897">R185+Q184</f>
        <v>-705619814.83091033</v>
      </c>
      <c r="S184">
        <f t="shared" ref="S184" si="898">R184/100000</f>
        <v>-7056.1981483091031</v>
      </c>
      <c r="T184">
        <f t="shared" ref="T184" si="899">S184/1000</f>
        <v>-7.056198148309103</v>
      </c>
    </row>
    <row r="185" spans="1:20" x14ac:dyDescent="0.25">
      <c r="A185" s="5">
        <v>44408</v>
      </c>
      <c r="B185">
        <v>0.12839999999999999</v>
      </c>
      <c r="C185">
        <v>0.13109999999999999</v>
      </c>
      <c r="D185">
        <v>0.1242</v>
      </c>
      <c r="E185">
        <v>0.1265</v>
      </c>
      <c r="F185">
        <v>19620293.539999999</v>
      </c>
      <c r="G185">
        <v>0.1265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-0.33333333333333331</v>
      </c>
      <c r="Q185">
        <f t="shared" ref="Q185" si="901">F185*P185</f>
        <v>-6540097.8466666657</v>
      </c>
      <c r="R185">
        <f t="shared" ref="R185" si="902">R186+Q185</f>
        <v>-693650598.35091031</v>
      </c>
      <c r="S185">
        <f t="shared" ref="S185" si="903">R185/100000</f>
        <v>-6936.5059835091033</v>
      </c>
      <c r="T185">
        <f t="shared" ref="T185" si="904">S185/1000</f>
        <v>-6.936505983509103</v>
      </c>
    </row>
    <row r="186" spans="1:20" x14ac:dyDescent="0.25">
      <c r="A186" s="5">
        <v>44407</v>
      </c>
      <c r="B186">
        <v>0.12670000000000001</v>
      </c>
      <c r="C186">
        <v>0.12939999999999999</v>
      </c>
      <c r="D186">
        <v>0.1176</v>
      </c>
      <c r="E186">
        <v>0.12839999999999999</v>
      </c>
      <c r="F186">
        <v>15027133.210000001</v>
      </c>
      <c r="G186">
        <v>0.12839999999999999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0.83050847457627086</v>
      </c>
      <c r="Q186">
        <f t="shared" ref="Q186" si="906">F186*P186</f>
        <v>12480161.479491521</v>
      </c>
      <c r="R186">
        <f t="shared" ref="R186" si="907">R187+Q186</f>
        <v>-687110500.50424361</v>
      </c>
      <c r="S186">
        <f t="shared" ref="S186" si="908">R186/100000</f>
        <v>-6871.1050050424365</v>
      </c>
      <c r="T186">
        <f t="shared" ref="T186" si="909">S186/1000</f>
        <v>-6.8711050050424367</v>
      </c>
    </row>
    <row r="187" spans="1:20" x14ac:dyDescent="0.25">
      <c r="A187" s="5">
        <v>44406</v>
      </c>
      <c r="B187">
        <v>0.12470000000000001</v>
      </c>
      <c r="C187">
        <v>0.12859999999999999</v>
      </c>
      <c r="D187">
        <v>0.12180000000000001</v>
      </c>
      <c r="E187">
        <v>0.12670000000000001</v>
      </c>
      <c r="F187">
        <v>17780908.98</v>
      </c>
      <c r="G187">
        <v>0.12670000000000001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0.44117647058823861</v>
      </c>
      <c r="Q187">
        <f t="shared" ref="Q187" si="911">F187*P187</f>
        <v>7844518.6676471177</v>
      </c>
      <c r="R187">
        <f t="shared" ref="R187" si="912">R188+Q187</f>
        <v>-699590661.98373508</v>
      </c>
      <c r="S187">
        <f t="shared" ref="S187" si="913">R187/100000</f>
        <v>-6995.9066198373512</v>
      </c>
      <c r="T187">
        <f t="shared" ref="T187" si="914">S187/1000</f>
        <v>-6.995906619837351</v>
      </c>
    </row>
    <row r="188" spans="1:20" x14ac:dyDescent="0.25">
      <c r="A188" s="5">
        <v>44405</v>
      </c>
      <c r="B188">
        <v>0.13020000000000001</v>
      </c>
      <c r="C188">
        <v>0.13600000000000001</v>
      </c>
      <c r="D188">
        <v>0.1221</v>
      </c>
      <c r="E188">
        <v>0.1244</v>
      </c>
      <c r="F188">
        <v>32744775.710000001</v>
      </c>
      <c r="G188">
        <v>0.1244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-0.66906474820143957</v>
      </c>
      <c r="Q188">
        <f t="shared" ref="Q188" si="916">F188*P188</f>
        <v>-21908375.115323767</v>
      </c>
      <c r="R188">
        <f t="shared" ref="R188" si="917">R189+Q188</f>
        <v>-707435180.65138221</v>
      </c>
      <c r="S188">
        <f t="shared" ref="S188" si="918">R188/100000</f>
        <v>-7074.3518065138223</v>
      </c>
      <c r="T188">
        <f t="shared" ref="T188" si="919">S188/1000</f>
        <v>-7.074351806513822</v>
      </c>
    </row>
    <row r="189" spans="1:20" x14ac:dyDescent="0.25">
      <c r="A189" s="5">
        <v>44404</v>
      </c>
      <c r="B189">
        <v>0.1174</v>
      </c>
      <c r="C189">
        <v>0.1416</v>
      </c>
      <c r="D189">
        <v>0.1125</v>
      </c>
      <c r="E189">
        <v>0.13059999999999999</v>
      </c>
      <c r="F189">
        <v>45175751.979999997</v>
      </c>
      <c r="G189">
        <v>0.13059999999999999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0.243986254295532</v>
      </c>
      <c r="Q189">
        <f t="shared" ref="Q189" si="921">F189*P189</f>
        <v>11022262.510584163</v>
      </c>
      <c r="R189">
        <f t="shared" ref="R189" si="922">R190+Q189</f>
        <v>-685526805.53605843</v>
      </c>
      <c r="S189">
        <f t="shared" ref="S189" si="923">R189/100000</f>
        <v>-6855.2680553605842</v>
      </c>
      <c r="T189">
        <f t="shared" ref="T189" si="924">S189/1000</f>
        <v>-6.8552680553605843</v>
      </c>
    </row>
    <row r="190" spans="1:20" x14ac:dyDescent="0.25">
      <c r="A190" s="5">
        <v>44403</v>
      </c>
      <c r="B190">
        <v>0.1159</v>
      </c>
      <c r="C190">
        <v>0.12859999999999999</v>
      </c>
      <c r="D190">
        <v>0.11509999999999999</v>
      </c>
      <c r="E190">
        <v>0.11749999999999999</v>
      </c>
      <c r="F190">
        <v>26373465.23</v>
      </c>
      <c r="G190">
        <v>0.11749999999999999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-0.64444444444444449</v>
      </c>
      <c r="Q190">
        <f t="shared" ref="Q190" si="926">F190*P190</f>
        <v>-16996233.148222223</v>
      </c>
      <c r="R190">
        <f t="shared" ref="R190" si="927">R191+Q190</f>
        <v>-696549068.04664254</v>
      </c>
      <c r="S190">
        <f t="shared" ref="S190" si="928">R190/100000</f>
        <v>-6965.4906804664251</v>
      </c>
      <c r="T190">
        <f t="shared" ref="T190" si="929">S190/1000</f>
        <v>-6.9654906804664254</v>
      </c>
    </row>
    <row r="191" spans="1:20" x14ac:dyDescent="0.25">
      <c r="A191" s="5">
        <v>44402</v>
      </c>
      <c r="B191">
        <v>0.1166</v>
      </c>
      <c r="C191">
        <v>0.1197</v>
      </c>
      <c r="D191">
        <v>0.1106</v>
      </c>
      <c r="E191">
        <v>0.1159</v>
      </c>
      <c r="F191">
        <v>13305925.4</v>
      </c>
      <c r="G191">
        <v>0.1159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0.16483516483516503</v>
      </c>
      <c r="Q191">
        <f t="shared" ref="Q191" si="931">F191*P191</f>
        <v>2193284.4065934094</v>
      </c>
      <c r="R191">
        <f t="shared" ref="R191" si="932">R192+Q191</f>
        <v>-679552834.89842033</v>
      </c>
      <c r="S191">
        <f t="shared" ref="S191" si="933">R191/100000</f>
        <v>-6795.5283489842031</v>
      </c>
      <c r="T191">
        <f t="shared" ref="T191" si="934">S191/1000</f>
        <v>-6.7955283489842033</v>
      </c>
    </row>
    <row r="192" spans="1:20" x14ac:dyDescent="0.25">
      <c r="A192" s="5">
        <v>44401</v>
      </c>
      <c r="B192">
        <v>0.11210000000000001</v>
      </c>
      <c r="C192">
        <v>0.12</v>
      </c>
      <c r="D192">
        <v>0.1104</v>
      </c>
      <c r="E192">
        <v>0.1166</v>
      </c>
      <c r="F192">
        <v>13854076.77</v>
      </c>
      <c r="G192">
        <v>0.1166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0.29166666666666641</v>
      </c>
      <c r="Q192">
        <f t="shared" ref="Q192" si="936">F192*P192</f>
        <v>4040772.3912499961</v>
      </c>
      <c r="R192">
        <f t="shared" ref="R192" si="937">R193+Q192</f>
        <v>-681746119.30501378</v>
      </c>
      <c r="S192">
        <f t="shared" ref="S192" si="938">R192/100000</f>
        <v>-6817.4611930501378</v>
      </c>
      <c r="T192">
        <f t="shared" ref="T192:T197" si="939">S192/1000</f>
        <v>-6.8174611930501374</v>
      </c>
    </row>
    <row r="193" spans="1:20" x14ac:dyDescent="0.25">
      <c r="A193" s="5">
        <v>44400</v>
      </c>
      <c r="B193">
        <v>0.10780000000000001</v>
      </c>
      <c r="C193">
        <v>0.1147</v>
      </c>
      <c r="D193">
        <v>0.10580000000000001</v>
      </c>
      <c r="E193">
        <v>0.112</v>
      </c>
      <c r="F193">
        <v>13558052.52</v>
      </c>
      <c r="G193">
        <v>0.112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0.39325842696629287</v>
      </c>
      <c r="Q193">
        <f t="shared" ref="Q193" si="941">F193*P193</f>
        <v>5331818.4067415828</v>
      </c>
      <c r="R193">
        <f t="shared" ref="R193" si="942">R194+Q193</f>
        <v>-685786891.69626379</v>
      </c>
      <c r="S193">
        <f t="shared" ref="S193" si="943">R193/100000</f>
        <v>-6857.8689169626377</v>
      </c>
      <c r="T193">
        <f t="shared" si="939"/>
        <v>-6.8578689169626381</v>
      </c>
    </row>
    <row r="194" spans="1:20" x14ac:dyDescent="0.25">
      <c r="A194" s="5">
        <v>44399</v>
      </c>
      <c r="B194">
        <v>0.10580000000000001</v>
      </c>
      <c r="C194">
        <v>0.1086</v>
      </c>
      <c r="D194">
        <v>0.10340000000000001</v>
      </c>
      <c r="E194">
        <v>0.10780000000000001</v>
      </c>
      <c r="F194">
        <v>10337194.23</v>
      </c>
      <c r="G194">
        <v>0.10780000000000001</v>
      </c>
      <c r="L194" t="s">
        <v>8</v>
      </c>
      <c r="M194" t="s">
        <v>7</v>
      </c>
      <c r="N194" t="s">
        <v>7</v>
      </c>
      <c r="P194">
        <f t="shared" ref="P194" si="944">IF(C194=D194,0,((E194-D194)-(C194-E194))/(C194-D194))</f>
        <v>0.69230769230769396</v>
      </c>
      <c r="Q194">
        <f t="shared" ref="Q194" si="945">F194*P194</f>
        <v>7156519.0823077094</v>
      </c>
      <c r="R194">
        <f t="shared" ref="R194" si="946">R195+Q194</f>
        <v>-691118710.10300541</v>
      </c>
      <c r="S194">
        <f t="shared" ref="S194" si="947">R194/100000</f>
        <v>-6911.1871010300538</v>
      </c>
      <c r="T194">
        <f t="shared" si="939"/>
        <v>-6.9111871010300536</v>
      </c>
    </row>
    <row r="195" spans="1:20" x14ac:dyDescent="0.25">
      <c r="A195" s="5">
        <v>44398</v>
      </c>
      <c r="B195">
        <v>9.8299999999999998E-2</v>
      </c>
      <c r="C195">
        <v>0.1077</v>
      </c>
      <c r="D195">
        <v>9.6000000000000002E-2</v>
      </c>
      <c r="E195">
        <v>0.1057</v>
      </c>
      <c r="F195">
        <v>11837549.279999999</v>
      </c>
      <c r="G195">
        <v>0.1057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0.65811965811965789</v>
      </c>
      <c r="Q195">
        <f t="shared" ref="Q195" si="949">F195*P195</f>
        <v>7790523.8851282019</v>
      </c>
      <c r="R195">
        <f t="shared" ref="R195" si="950">R196+Q195</f>
        <v>-698275229.18531311</v>
      </c>
      <c r="S195">
        <f t="shared" ref="S195" si="951">R195/100000</f>
        <v>-6982.7522918531313</v>
      </c>
      <c r="T195">
        <f t="shared" si="939"/>
        <v>-6.9827522918531315</v>
      </c>
    </row>
    <row r="196" spans="1:20" x14ac:dyDescent="0.25">
      <c r="A196" s="5">
        <v>44397</v>
      </c>
      <c r="B196">
        <v>0.1081</v>
      </c>
      <c r="C196">
        <v>0.109</v>
      </c>
      <c r="D196">
        <v>9.3200000000000005E-2</v>
      </c>
      <c r="E196">
        <v>9.8299999999999998E-2</v>
      </c>
      <c r="F196">
        <v>14713369.57</v>
      </c>
      <c r="G196">
        <v>9.8299999999999998E-2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-0.35443037974683606</v>
      </c>
      <c r="Q196">
        <f t="shared" ref="Q196" si="953">F196*P196</f>
        <v>-5214865.1640506424</v>
      </c>
      <c r="R196">
        <f t="shared" ref="R196" si="954">R197+Q196</f>
        <v>-706065753.07044137</v>
      </c>
      <c r="S196">
        <f t="shared" ref="S196" si="955">R196/100000</f>
        <v>-7060.6575307044141</v>
      </c>
      <c r="T196">
        <f t="shared" si="939"/>
        <v>-7.0606575307044137</v>
      </c>
    </row>
    <row r="197" spans="1:20" x14ac:dyDescent="0.25">
      <c r="A197" s="5">
        <v>44396</v>
      </c>
      <c r="B197">
        <v>0.1153</v>
      </c>
      <c r="C197">
        <v>0.11600000000000001</v>
      </c>
      <c r="D197">
        <v>0.1061</v>
      </c>
      <c r="E197">
        <v>0.1081</v>
      </c>
      <c r="F197">
        <v>5166635.9400000004</v>
      </c>
      <c r="G197">
        <v>-6.24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-0.5959595959595958</v>
      </c>
      <c r="Q197">
        <f t="shared" ref="Q197" si="957">F197*P197</f>
        <v>-3079106.2672727266</v>
      </c>
      <c r="R197">
        <f t="shared" ref="R197" si="958">R198+Q197</f>
        <v>-700850887.90639067</v>
      </c>
      <c r="S197">
        <f t="shared" ref="S197" si="959">R197/100000</f>
        <v>-7008.5088790639065</v>
      </c>
      <c r="T197">
        <f t="shared" si="939"/>
        <v>-7.008508879063907</v>
      </c>
    </row>
    <row r="198" spans="1:20" x14ac:dyDescent="0.25">
      <c r="A198" s="5">
        <v>44395</v>
      </c>
      <c r="B198">
        <v>0.11559999999999999</v>
      </c>
      <c r="C198">
        <v>0.1197</v>
      </c>
      <c r="D198">
        <v>0.11360000000000001</v>
      </c>
      <c r="E198">
        <v>0.1153</v>
      </c>
      <c r="F198">
        <v>5616060.5300000003</v>
      </c>
      <c r="G198">
        <v>-0.26</v>
      </c>
      <c r="L198" t="s">
        <v>7</v>
      </c>
      <c r="M198" t="s">
        <v>7</v>
      </c>
      <c r="N198" t="s">
        <v>7</v>
      </c>
      <c r="P198">
        <f t="shared" ref="P198:P261" si="960">IF(C198=D198,0,((E198-D198)-(C198-E198))/(C198-D198))</f>
        <v>-0.44262295081967384</v>
      </c>
      <c r="Q198">
        <f t="shared" ref="Q198:Q261" si="961">F198*P198</f>
        <v>-2485797.2837705016</v>
      </c>
      <c r="R198">
        <f t="shared" ref="R198:R261" si="962">R199+Q198</f>
        <v>-697771781.63911796</v>
      </c>
      <c r="S198">
        <f t="shared" ref="S198:S261" si="963">R198/100000</f>
        <v>-6977.7178163911794</v>
      </c>
      <c r="T198">
        <f t="shared" ref="T198:T261" si="964">S198/1000</f>
        <v>-6.9777178163911797</v>
      </c>
    </row>
    <row r="199" spans="1:20" x14ac:dyDescent="0.25">
      <c r="A199" s="5">
        <v>44394</v>
      </c>
      <c r="B199">
        <v>0.1172</v>
      </c>
      <c r="C199">
        <v>0.12</v>
      </c>
      <c r="D199">
        <v>0.1147</v>
      </c>
      <c r="E199">
        <v>0.11559999999999999</v>
      </c>
      <c r="F199">
        <v>5931144.1500000004</v>
      </c>
      <c r="G199">
        <v>-1.37</v>
      </c>
      <c r="L199" t="s">
        <v>7</v>
      </c>
      <c r="M199" t="s">
        <v>7</v>
      </c>
      <c r="N199" t="s">
        <v>7</v>
      </c>
      <c r="P199">
        <f t="shared" si="960"/>
        <v>-0.66037735849056678</v>
      </c>
      <c r="Q199">
        <f t="shared" si="961"/>
        <v>-3916793.3066037782</v>
      </c>
      <c r="R199">
        <f t="shared" si="962"/>
        <v>-695285984.35534751</v>
      </c>
      <c r="S199">
        <f t="shared" si="963"/>
        <v>-6952.859843553475</v>
      </c>
      <c r="T199">
        <f t="shared" si="964"/>
        <v>-6.9528598435534752</v>
      </c>
    </row>
    <row r="200" spans="1:20" x14ac:dyDescent="0.25">
      <c r="A200" s="5">
        <v>44393</v>
      </c>
      <c r="B200">
        <v>0.12540000000000001</v>
      </c>
      <c r="C200">
        <v>0.1308</v>
      </c>
      <c r="D200">
        <v>0.1167</v>
      </c>
      <c r="E200">
        <v>0.1172</v>
      </c>
      <c r="F200">
        <v>12231857.630000001</v>
      </c>
      <c r="G200">
        <v>-6.54</v>
      </c>
      <c r="L200" t="s">
        <v>7</v>
      </c>
      <c r="M200" t="s">
        <v>7</v>
      </c>
      <c r="N200" t="s">
        <v>7</v>
      </c>
      <c r="P200">
        <f t="shared" si="960"/>
        <v>-0.92907801418439706</v>
      </c>
      <c r="Q200">
        <f t="shared" si="961"/>
        <v>-11364349.996666666</v>
      </c>
      <c r="R200">
        <f t="shared" si="962"/>
        <v>-691369191.04874372</v>
      </c>
      <c r="S200">
        <f t="shared" si="963"/>
        <v>-6913.6919104874369</v>
      </c>
      <c r="T200">
        <f t="shared" si="964"/>
        <v>-6.9136919104874366</v>
      </c>
    </row>
    <row r="201" spans="1:20" x14ac:dyDescent="0.25">
      <c r="A201" s="5">
        <v>44392</v>
      </c>
      <c r="B201">
        <v>0.12239999999999999</v>
      </c>
      <c r="C201">
        <v>0.13250000000000001</v>
      </c>
      <c r="D201">
        <v>0.1171</v>
      </c>
      <c r="E201">
        <v>0.125</v>
      </c>
      <c r="F201">
        <v>20773757</v>
      </c>
      <c r="G201">
        <v>2.12</v>
      </c>
      <c r="L201" t="s">
        <v>8</v>
      </c>
      <c r="M201" t="s">
        <v>7</v>
      </c>
      <c r="N201" t="s">
        <v>7</v>
      </c>
      <c r="P201">
        <f t="shared" si="960"/>
        <v>2.5974025974025799E-2</v>
      </c>
      <c r="Q201">
        <f t="shared" si="961"/>
        <v>539578.10389610031</v>
      </c>
      <c r="R201">
        <f t="shared" si="962"/>
        <v>-680004841.05207705</v>
      </c>
      <c r="S201">
        <f t="shared" si="963"/>
        <v>-6800.0484105207706</v>
      </c>
      <c r="T201">
        <f t="shared" si="964"/>
        <v>-6.8000484105207706</v>
      </c>
    </row>
    <row r="202" spans="1:20" x14ac:dyDescent="0.25">
      <c r="A202" s="5">
        <v>44391</v>
      </c>
      <c r="B202">
        <v>0.12089999999999999</v>
      </c>
      <c r="C202">
        <v>0.125</v>
      </c>
      <c r="D202">
        <v>0.1143</v>
      </c>
      <c r="E202">
        <v>0.1225</v>
      </c>
      <c r="F202">
        <v>8006060.5099999998</v>
      </c>
      <c r="G202">
        <v>1.32</v>
      </c>
      <c r="L202" t="s">
        <v>7</v>
      </c>
      <c r="M202" t="s">
        <v>7</v>
      </c>
      <c r="N202" t="s">
        <v>7</v>
      </c>
      <c r="P202">
        <f t="shared" si="960"/>
        <v>0.53271028037383139</v>
      </c>
      <c r="Q202">
        <f t="shared" si="961"/>
        <v>4264910.7389719598</v>
      </c>
      <c r="R202">
        <f t="shared" si="962"/>
        <v>-680544419.1559732</v>
      </c>
      <c r="S202">
        <f t="shared" si="963"/>
        <v>-6805.4441915597317</v>
      </c>
      <c r="T202">
        <f t="shared" si="964"/>
        <v>-6.8054441915597321</v>
      </c>
    </row>
    <row r="203" spans="1:20" x14ac:dyDescent="0.25">
      <c r="A203" s="5">
        <v>44390</v>
      </c>
      <c r="B203">
        <v>0.12479999999999999</v>
      </c>
      <c r="C203">
        <v>0.1268</v>
      </c>
      <c r="D203">
        <v>0.1188</v>
      </c>
      <c r="E203">
        <v>0.12089999999999999</v>
      </c>
      <c r="F203">
        <v>6710825.4800000004</v>
      </c>
      <c r="G203">
        <v>-3.13</v>
      </c>
      <c r="L203" t="s">
        <v>7</v>
      </c>
      <c r="M203" t="s">
        <v>7</v>
      </c>
      <c r="N203" t="s">
        <v>7</v>
      </c>
      <c r="P203">
        <f t="shared" si="960"/>
        <v>-0.47500000000000187</v>
      </c>
      <c r="Q203">
        <f t="shared" si="961"/>
        <v>-3187642.1030000127</v>
      </c>
      <c r="R203">
        <f t="shared" si="962"/>
        <v>-684809329.89494514</v>
      </c>
      <c r="S203">
        <f t="shared" si="963"/>
        <v>-6848.0932989494513</v>
      </c>
      <c r="T203">
        <f t="shared" si="964"/>
        <v>-6.8480932989494514</v>
      </c>
    </row>
    <row r="204" spans="1:20" x14ac:dyDescent="0.25">
      <c r="A204" s="5">
        <v>44389</v>
      </c>
      <c r="B204">
        <v>0.1285</v>
      </c>
      <c r="C204">
        <v>0.1326</v>
      </c>
      <c r="D204">
        <v>0.1216</v>
      </c>
      <c r="E204">
        <v>0.125</v>
      </c>
      <c r="F204">
        <v>9482844.5500000007</v>
      </c>
      <c r="G204">
        <v>-2.72</v>
      </c>
      <c r="L204" t="s">
        <v>7</v>
      </c>
      <c r="M204" t="s">
        <v>7</v>
      </c>
      <c r="N204" t="s">
        <v>7</v>
      </c>
      <c r="P204">
        <f t="shared" si="960"/>
        <v>-0.38181818181818156</v>
      </c>
      <c r="Q204">
        <f t="shared" si="961"/>
        <v>-3620722.4645454525</v>
      </c>
      <c r="R204">
        <f t="shared" si="962"/>
        <v>-681621687.7919451</v>
      </c>
      <c r="S204">
        <f t="shared" si="963"/>
        <v>-6816.2168779194508</v>
      </c>
      <c r="T204">
        <f t="shared" si="964"/>
        <v>-6.8162168779194507</v>
      </c>
    </row>
    <row r="205" spans="1:20" x14ac:dyDescent="0.25">
      <c r="A205" s="5">
        <v>44388</v>
      </c>
      <c r="B205">
        <v>0.1249</v>
      </c>
      <c r="C205">
        <v>0.13220000000000001</v>
      </c>
      <c r="D205">
        <v>0.1226</v>
      </c>
      <c r="E205">
        <v>0.1285</v>
      </c>
      <c r="F205">
        <v>14736504.48</v>
      </c>
      <c r="G205">
        <v>2.88</v>
      </c>
      <c r="L205" t="s">
        <v>8</v>
      </c>
      <c r="M205" t="s">
        <v>7</v>
      </c>
      <c r="N205" t="s">
        <v>7</v>
      </c>
      <c r="P205">
        <f t="shared" si="960"/>
        <v>0.22916666666666574</v>
      </c>
      <c r="Q205">
        <f t="shared" si="961"/>
        <v>3377115.6099999864</v>
      </c>
      <c r="R205">
        <f t="shared" si="962"/>
        <v>-678000965.32739961</v>
      </c>
      <c r="S205">
        <f t="shared" si="963"/>
        <v>-6780.0096532739963</v>
      </c>
      <c r="T205">
        <f t="shared" si="964"/>
        <v>-6.7800096532739964</v>
      </c>
    </row>
    <row r="206" spans="1:20" x14ac:dyDescent="0.25">
      <c r="A206" s="5">
        <v>44387</v>
      </c>
      <c r="B206">
        <v>0.12690000000000001</v>
      </c>
      <c r="C206">
        <v>0.1295</v>
      </c>
      <c r="D206">
        <v>0.1225</v>
      </c>
      <c r="E206">
        <v>0.12520000000000001</v>
      </c>
      <c r="F206">
        <v>5711506.4199999999</v>
      </c>
      <c r="G206">
        <v>-1.34</v>
      </c>
      <c r="L206" t="s">
        <v>7</v>
      </c>
      <c r="M206" t="s">
        <v>7</v>
      </c>
      <c r="N206" t="s">
        <v>7</v>
      </c>
      <c r="P206">
        <f t="shared" si="960"/>
        <v>-0.22857142857142698</v>
      </c>
      <c r="Q206">
        <f t="shared" si="961"/>
        <v>-1305487.1817142766</v>
      </c>
      <c r="R206">
        <f t="shared" si="962"/>
        <v>-681378080.93739963</v>
      </c>
      <c r="S206">
        <f t="shared" si="963"/>
        <v>-6813.7808093739959</v>
      </c>
      <c r="T206">
        <f t="shared" si="964"/>
        <v>-6.8137808093739958</v>
      </c>
    </row>
    <row r="207" spans="1:20" x14ac:dyDescent="0.25">
      <c r="A207" s="5">
        <v>44386</v>
      </c>
      <c r="B207">
        <v>0.12790000000000001</v>
      </c>
      <c r="C207">
        <v>0.13159999999999999</v>
      </c>
      <c r="D207">
        <v>0.1207</v>
      </c>
      <c r="E207">
        <v>0.12720000000000001</v>
      </c>
      <c r="F207">
        <v>11082707.08</v>
      </c>
      <c r="G207">
        <v>-0.55000000000000004</v>
      </c>
      <c r="L207" t="s">
        <v>7</v>
      </c>
      <c r="M207" t="s">
        <v>7</v>
      </c>
      <c r="N207" t="s">
        <v>7</v>
      </c>
      <c r="P207">
        <f t="shared" si="960"/>
        <v>0.19266055045871741</v>
      </c>
      <c r="Q207">
        <f t="shared" si="961"/>
        <v>2135200.4466055245</v>
      </c>
      <c r="R207">
        <f t="shared" si="962"/>
        <v>-680072593.75568533</v>
      </c>
      <c r="S207">
        <f t="shared" si="963"/>
        <v>-6800.7259375568528</v>
      </c>
      <c r="T207">
        <f t="shared" si="964"/>
        <v>-6.8007259375568525</v>
      </c>
    </row>
    <row r="208" spans="1:20" x14ac:dyDescent="0.25">
      <c r="A208" s="5">
        <v>44385</v>
      </c>
      <c r="B208">
        <v>0.13750000000000001</v>
      </c>
      <c r="C208">
        <v>0.13750000000000001</v>
      </c>
      <c r="D208">
        <v>0.12529999999999999</v>
      </c>
      <c r="E208">
        <v>0.1285</v>
      </c>
      <c r="F208">
        <v>16706567.58</v>
      </c>
      <c r="G208">
        <v>-6.55</v>
      </c>
      <c r="L208" t="s">
        <v>7</v>
      </c>
      <c r="M208" t="s">
        <v>8</v>
      </c>
      <c r="N208" t="s">
        <v>7</v>
      </c>
      <c r="P208">
        <f t="shared" si="960"/>
        <v>-0.47540983606557308</v>
      </c>
      <c r="Q208">
        <f t="shared" si="961"/>
        <v>-7942466.5544262184</v>
      </c>
      <c r="R208">
        <f t="shared" si="962"/>
        <v>-682207794.20229089</v>
      </c>
      <c r="S208">
        <f t="shared" si="963"/>
        <v>-6822.0779420229092</v>
      </c>
      <c r="T208">
        <f t="shared" si="964"/>
        <v>-6.8220779420229087</v>
      </c>
    </row>
    <row r="209" spans="1:20" x14ac:dyDescent="0.25">
      <c r="A209" s="5">
        <v>44384</v>
      </c>
      <c r="B209">
        <v>0.13270000000000001</v>
      </c>
      <c r="C209">
        <v>0.1447</v>
      </c>
      <c r="D209">
        <v>0.13020000000000001</v>
      </c>
      <c r="E209">
        <v>0.13800000000000001</v>
      </c>
      <c r="F209">
        <v>25261577.579999998</v>
      </c>
      <c r="G209">
        <v>3.99</v>
      </c>
      <c r="L209" t="s">
        <v>8</v>
      </c>
      <c r="M209" t="s">
        <v>8</v>
      </c>
      <c r="N209" t="s">
        <v>7</v>
      </c>
      <c r="P209">
        <f t="shared" si="960"/>
        <v>7.5862068965518531E-2</v>
      </c>
      <c r="Q209">
        <f t="shared" si="961"/>
        <v>1916395.5405517565</v>
      </c>
      <c r="R209">
        <f t="shared" si="962"/>
        <v>-674265327.6478647</v>
      </c>
      <c r="S209">
        <f t="shared" si="963"/>
        <v>-6742.6532764786471</v>
      </c>
      <c r="T209">
        <f t="shared" si="964"/>
        <v>-6.7426532764786469</v>
      </c>
    </row>
    <row r="210" spans="1:20" x14ac:dyDescent="0.25">
      <c r="A210" s="5">
        <v>44383</v>
      </c>
      <c r="B210">
        <v>0.1278</v>
      </c>
      <c r="C210">
        <v>0.13700000000000001</v>
      </c>
      <c r="D210">
        <v>0.12759999999999999</v>
      </c>
      <c r="E210">
        <v>0.1328</v>
      </c>
      <c r="F210">
        <v>10778425.9</v>
      </c>
      <c r="G210">
        <v>3.91</v>
      </c>
      <c r="L210" t="s">
        <v>8</v>
      </c>
      <c r="M210" t="s">
        <v>8</v>
      </c>
      <c r="N210" t="s">
        <v>7</v>
      </c>
      <c r="P210">
        <f t="shared" si="960"/>
        <v>0.10638297872340413</v>
      </c>
      <c r="Q210">
        <f t="shared" si="961"/>
        <v>1146641.0531914881</v>
      </c>
      <c r="R210">
        <f t="shared" si="962"/>
        <v>-676181723.18841648</v>
      </c>
      <c r="S210">
        <f t="shared" si="963"/>
        <v>-6761.8172318841644</v>
      </c>
      <c r="T210">
        <f t="shared" si="964"/>
        <v>-6.7618172318841641</v>
      </c>
    </row>
    <row r="211" spans="1:20" x14ac:dyDescent="0.25">
      <c r="A211" s="5">
        <v>44382</v>
      </c>
      <c r="B211">
        <v>0.13320000000000001</v>
      </c>
      <c r="C211">
        <v>0.1333</v>
      </c>
      <c r="D211">
        <v>0.12470000000000001</v>
      </c>
      <c r="E211">
        <v>0.128</v>
      </c>
      <c r="F211">
        <v>7683284.0800000001</v>
      </c>
      <c r="G211">
        <v>-3.9</v>
      </c>
      <c r="L211" t="s">
        <v>7</v>
      </c>
      <c r="M211" t="s">
        <v>8</v>
      </c>
      <c r="N211" t="s">
        <v>7</v>
      </c>
      <c r="P211">
        <f t="shared" si="960"/>
        <v>-0.23255813953488402</v>
      </c>
      <c r="Q211">
        <f t="shared" si="961"/>
        <v>-1786810.251162793</v>
      </c>
      <c r="R211">
        <f t="shared" si="962"/>
        <v>-677328364.24160802</v>
      </c>
      <c r="S211">
        <f t="shared" si="963"/>
        <v>-6773.2836424160805</v>
      </c>
      <c r="T211">
        <f t="shared" si="964"/>
        <v>-6.7732836424160805</v>
      </c>
    </row>
    <row r="212" spans="1:20" x14ac:dyDescent="0.25">
      <c r="A212" s="5">
        <v>44381</v>
      </c>
      <c r="B212">
        <v>0.13500000000000001</v>
      </c>
      <c r="C212">
        <v>0.1434</v>
      </c>
      <c r="D212">
        <v>0.12740000000000001</v>
      </c>
      <c r="E212">
        <v>0.13320000000000001</v>
      </c>
      <c r="F212">
        <v>13507598.279999999</v>
      </c>
      <c r="G212">
        <v>-1.33</v>
      </c>
      <c r="L212" t="s">
        <v>8</v>
      </c>
      <c r="M212" t="s">
        <v>8</v>
      </c>
      <c r="N212" t="s">
        <v>7</v>
      </c>
      <c r="P212">
        <f t="shared" si="960"/>
        <v>-0.27499999999999941</v>
      </c>
      <c r="Q212">
        <f t="shared" si="961"/>
        <v>-3714589.5269999919</v>
      </c>
      <c r="R212">
        <f t="shared" si="962"/>
        <v>-675541553.99044526</v>
      </c>
      <c r="S212">
        <f t="shared" si="963"/>
        <v>-6755.415539904453</v>
      </c>
      <c r="T212">
        <f t="shared" si="964"/>
        <v>-6.7554155399044529</v>
      </c>
    </row>
    <row r="213" spans="1:20" x14ac:dyDescent="0.25">
      <c r="A213" s="5">
        <v>44380</v>
      </c>
      <c r="B213">
        <v>0.12920000000000001</v>
      </c>
      <c r="C213">
        <v>0.14000000000000001</v>
      </c>
      <c r="D213">
        <v>0.1263</v>
      </c>
      <c r="E213">
        <v>0.13500000000000001</v>
      </c>
      <c r="F213">
        <v>13053667.210000001</v>
      </c>
      <c r="G213">
        <v>4.49</v>
      </c>
      <c r="L213" t="s">
        <v>8</v>
      </c>
      <c r="M213" t="s">
        <v>8</v>
      </c>
      <c r="N213" t="s">
        <v>7</v>
      </c>
      <c r="P213">
        <f t="shared" si="960"/>
        <v>0.27007299270073021</v>
      </c>
      <c r="Q213">
        <f t="shared" si="961"/>
        <v>3525442.9691240913</v>
      </c>
      <c r="R213">
        <f t="shared" si="962"/>
        <v>-671826964.46344531</v>
      </c>
      <c r="S213">
        <f t="shared" si="963"/>
        <v>-6718.2696446344535</v>
      </c>
      <c r="T213">
        <f t="shared" si="964"/>
        <v>-6.7182696446344536</v>
      </c>
    </row>
    <row r="214" spans="1:20" x14ac:dyDescent="0.25">
      <c r="A214" s="5">
        <v>44379</v>
      </c>
      <c r="B214">
        <v>0.13220000000000001</v>
      </c>
      <c r="C214">
        <v>0.13869999999999999</v>
      </c>
      <c r="D214">
        <v>0.1239</v>
      </c>
      <c r="E214">
        <v>0.12920000000000001</v>
      </c>
      <c r="F214">
        <v>11393399.960000001</v>
      </c>
      <c r="G214">
        <v>-2.27</v>
      </c>
      <c r="L214" t="s">
        <v>7</v>
      </c>
      <c r="M214" t="s">
        <v>8</v>
      </c>
      <c r="N214" t="s">
        <v>7</v>
      </c>
      <c r="P214">
        <f t="shared" si="960"/>
        <v>-0.28378378378378172</v>
      </c>
      <c r="Q214">
        <f t="shared" si="961"/>
        <v>-3233262.1508107875</v>
      </c>
      <c r="R214">
        <f t="shared" si="962"/>
        <v>-675352407.43256938</v>
      </c>
      <c r="S214">
        <f t="shared" si="963"/>
        <v>-6753.5240743256936</v>
      </c>
      <c r="T214">
        <f t="shared" si="964"/>
        <v>-6.7535240743256937</v>
      </c>
    </row>
    <row r="215" spans="1:20" x14ac:dyDescent="0.25">
      <c r="A215" s="5">
        <v>44378</v>
      </c>
      <c r="B215">
        <v>0.14410000000000001</v>
      </c>
      <c r="C215">
        <v>0.1479</v>
      </c>
      <c r="D215">
        <v>0.12809999999999999</v>
      </c>
      <c r="E215">
        <v>0.13220000000000001</v>
      </c>
      <c r="F215">
        <v>20806342.57</v>
      </c>
      <c r="G215">
        <v>-8.26</v>
      </c>
      <c r="L215" t="s">
        <v>7</v>
      </c>
      <c r="M215" t="s">
        <v>8</v>
      </c>
      <c r="N215" t="s">
        <v>7</v>
      </c>
      <c r="P215">
        <f t="shared" si="960"/>
        <v>-0.58585858585858408</v>
      </c>
      <c r="Q215">
        <f t="shared" si="961"/>
        <v>-12189574.434949458</v>
      </c>
      <c r="R215">
        <f t="shared" si="962"/>
        <v>-672119145.28175855</v>
      </c>
      <c r="S215">
        <f t="shared" si="963"/>
        <v>-6721.1914528175857</v>
      </c>
      <c r="T215">
        <f t="shared" si="964"/>
        <v>-6.7211914528175853</v>
      </c>
    </row>
    <row r="216" spans="1:20" x14ac:dyDescent="0.25">
      <c r="A216" s="5">
        <v>44377</v>
      </c>
      <c r="B216">
        <v>0.13170000000000001</v>
      </c>
      <c r="C216">
        <v>0.1479</v>
      </c>
      <c r="D216">
        <v>0.12330000000000001</v>
      </c>
      <c r="E216">
        <v>0.1444</v>
      </c>
      <c r="F216">
        <v>33584741.93</v>
      </c>
      <c r="G216">
        <v>9.64</v>
      </c>
      <c r="L216" t="s">
        <v>8</v>
      </c>
      <c r="M216" t="s">
        <v>8</v>
      </c>
      <c r="N216" t="s">
        <v>7</v>
      </c>
      <c r="P216">
        <f t="shared" si="960"/>
        <v>0.71544715447154439</v>
      </c>
      <c r="Q216">
        <f t="shared" si="961"/>
        <v>24028108.047479663</v>
      </c>
      <c r="R216">
        <f t="shared" si="962"/>
        <v>-659929570.84680915</v>
      </c>
      <c r="S216">
        <f t="shared" si="963"/>
        <v>-6599.2957084680911</v>
      </c>
      <c r="T216">
        <f t="shared" si="964"/>
        <v>-6.599295708468091</v>
      </c>
    </row>
    <row r="217" spans="1:20" x14ac:dyDescent="0.25">
      <c r="A217" s="5">
        <v>44376</v>
      </c>
      <c r="B217">
        <v>0.12470000000000001</v>
      </c>
      <c r="C217">
        <v>0.13880000000000001</v>
      </c>
      <c r="D217">
        <v>0.12429999999999999</v>
      </c>
      <c r="E217">
        <v>0.13159999999999999</v>
      </c>
      <c r="F217">
        <v>17776454.23</v>
      </c>
      <c r="G217">
        <v>5.53</v>
      </c>
      <c r="L217" t="s">
        <v>8</v>
      </c>
      <c r="M217" t="s">
        <v>8</v>
      </c>
      <c r="N217" t="s">
        <v>7</v>
      </c>
      <c r="P217">
        <f t="shared" si="960"/>
        <v>6.8965517241371651E-3</v>
      </c>
      <c r="Q217">
        <f t="shared" si="961"/>
        <v>122596.2360689519</v>
      </c>
      <c r="R217">
        <f t="shared" si="962"/>
        <v>-683957678.89428878</v>
      </c>
      <c r="S217">
        <f t="shared" si="963"/>
        <v>-6839.576788942888</v>
      </c>
      <c r="T217">
        <f t="shared" si="964"/>
        <v>-6.839576788942888</v>
      </c>
    </row>
    <row r="218" spans="1:20" x14ac:dyDescent="0.25">
      <c r="A218" s="5">
        <v>44375</v>
      </c>
      <c r="B218">
        <v>0.1231</v>
      </c>
      <c r="C218">
        <v>0.12740000000000001</v>
      </c>
      <c r="D218">
        <v>0.11749999999999999</v>
      </c>
      <c r="E218">
        <v>0.12429999999999999</v>
      </c>
      <c r="F218">
        <v>16379245.1</v>
      </c>
      <c r="G218">
        <v>0.97</v>
      </c>
      <c r="L218" t="s">
        <v>8</v>
      </c>
      <c r="M218" t="s">
        <v>7</v>
      </c>
      <c r="N218" t="s">
        <v>7</v>
      </c>
      <c r="P218">
        <f t="shared" si="960"/>
        <v>0.37373737373737109</v>
      </c>
      <c r="Q218">
        <f t="shared" si="961"/>
        <v>6121536.0474747038</v>
      </c>
      <c r="R218">
        <f t="shared" si="962"/>
        <v>-684080275.13035774</v>
      </c>
      <c r="S218">
        <f t="shared" si="963"/>
        <v>-6840.8027513035777</v>
      </c>
      <c r="T218">
        <f t="shared" si="964"/>
        <v>-6.8408027513035776</v>
      </c>
    </row>
    <row r="219" spans="1:20" x14ac:dyDescent="0.25">
      <c r="A219" s="5">
        <v>44374</v>
      </c>
      <c r="B219">
        <v>0.12239999999999999</v>
      </c>
      <c r="C219">
        <v>0.12379999999999999</v>
      </c>
      <c r="D219">
        <v>0.1129</v>
      </c>
      <c r="E219">
        <v>0.12330000000000001</v>
      </c>
      <c r="F219">
        <v>13266107.300000001</v>
      </c>
      <c r="G219">
        <v>0.74</v>
      </c>
      <c r="L219" t="s">
        <v>8</v>
      </c>
      <c r="M219" t="s">
        <v>7</v>
      </c>
      <c r="N219" t="s">
        <v>7</v>
      </c>
      <c r="P219">
        <f t="shared" si="960"/>
        <v>0.90825688073394739</v>
      </c>
      <c r="Q219">
        <f t="shared" si="961"/>
        <v>12049033.23577985</v>
      </c>
      <c r="R219">
        <f t="shared" si="962"/>
        <v>-690201811.17783248</v>
      </c>
      <c r="S219">
        <f t="shared" si="963"/>
        <v>-6902.018111778325</v>
      </c>
      <c r="T219">
        <f t="shared" si="964"/>
        <v>-6.9020181117783252</v>
      </c>
    </row>
    <row r="220" spans="1:20" x14ac:dyDescent="0.25">
      <c r="A220" s="5">
        <v>44373</v>
      </c>
      <c r="B220">
        <v>0.11899999999999999</v>
      </c>
      <c r="C220">
        <v>0.1245</v>
      </c>
      <c r="D220">
        <v>0.111</v>
      </c>
      <c r="E220">
        <v>0.122</v>
      </c>
      <c r="F220">
        <v>18038310.710000001</v>
      </c>
      <c r="G220">
        <v>2.52</v>
      </c>
      <c r="L220" t="s">
        <v>7</v>
      </c>
      <c r="M220" t="s">
        <v>7</v>
      </c>
      <c r="N220" t="s">
        <v>7</v>
      </c>
      <c r="P220">
        <f t="shared" si="960"/>
        <v>0.62962962962962921</v>
      </c>
      <c r="Q220">
        <f t="shared" si="961"/>
        <v>11357454.891481474</v>
      </c>
      <c r="R220">
        <f t="shared" si="962"/>
        <v>-702250844.41361237</v>
      </c>
      <c r="S220">
        <f t="shared" si="963"/>
        <v>-7022.5084441361232</v>
      </c>
      <c r="T220">
        <f t="shared" si="964"/>
        <v>-7.0225084441361236</v>
      </c>
    </row>
    <row r="221" spans="1:20" x14ac:dyDescent="0.25">
      <c r="A221" s="5">
        <v>44372</v>
      </c>
      <c r="B221">
        <v>0.1411</v>
      </c>
      <c r="C221">
        <v>0.14599999999999999</v>
      </c>
      <c r="D221">
        <v>0.1171</v>
      </c>
      <c r="E221">
        <v>0.11940000000000001</v>
      </c>
      <c r="F221">
        <v>30077339.559999999</v>
      </c>
      <c r="G221">
        <v>-15.38</v>
      </c>
      <c r="L221" t="s">
        <v>7</v>
      </c>
      <c r="M221" t="s">
        <v>7</v>
      </c>
      <c r="N221" t="s">
        <v>7</v>
      </c>
      <c r="P221">
        <f t="shared" si="960"/>
        <v>-0.84083044982698885</v>
      </c>
      <c r="Q221">
        <f t="shared" si="961"/>
        <v>-25289942.951833885</v>
      </c>
      <c r="R221">
        <f t="shared" si="962"/>
        <v>-713608299.30509388</v>
      </c>
      <c r="S221">
        <f t="shared" si="963"/>
        <v>-7136.082993050939</v>
      </c>
      <c r="T221">
        <f t="shared" si="964"/>
        <v>-7.1360829930509393</v>
      </c>
    </row>
    <row r="222" spans="1:20" x14ac:dyDescent="0.25">
      <c r="A222" s="5">
        <v>44371</v>
      </c>
      <c r="B222">
        <v>0.1178</v>
      </c>
      <c r="C222">
        <v>0.1656</v>
      </c>
      <c r="D222">
        <v>0.1105</v>
      </c>
      <c r="E222">
        <v>0.14119999999999999</v>
      </c>
      <c r="F222">
        <v>63999517.770000003</v>
      </c>
      <c r="G222">
        <v>19.86</v>
      </c>
      <c r="L222" t="s">
        <v>8</v>
      </c>
      <c r="M222" t="s">
        <v>8</v>
      </c>
      <c r="N222" t="s">
        <v>8</v>
      </c>
      <c r="P222">
        <f t="shared" si="960"/>
        <v>0.11433756805807598</v>
      </c>
      <c r="Q222">
        <f t="shared" si="961"/>
        <v>7317549.2187114181</v>
      </c>
      <c r="R222">
        <f t="shared" si="962"/>
        <v>-688318356.35326004</v>
      </c>
      <c r="S222">
        <f t="shared" si="963"/>
        <v>-6883.1835635326006</v>
      </c>
      <c r="T222">
        <f t="shared" si="964"/>
        <v>-6.8831835635326009</v>
      </c>
    </row>
    <row r="223" spans="1:20" x14ac:dyDescent="0.25">
      <c r="A223" s="5">
        <v>44370</v>
      </c>
      <c r="B223">
        <v>0.1105</v>
      </c>
      <c r="C223">
        <v>0.12839999999999999</v>
      </c>
      <c r="D223">
        <v>0.107</v>
      </c>
      <c r="E223">
        <v>0.1178</v>
      </c>
      <c r="F223">
        <v>15406870.189999999</v>
      </c>
      <c r="G223">
        <v>6.61</v>
      </c>
      <c r="L223" t="s">
        <v>8</v>
      </c>
      <c r="M223" t="s">
        <v>8</v>
      </c>
      <c r="N223" t="s">
        <v>7</v>
      </c>
      <c r="P223">
        <f t="shared" si="960"/>
        <v>9.3457943925242849E-3</v>
      </c>
      <c r="Q223">
        <f t="shared" si="961"/>
        <v>143989.44102805157</v>
      </c>
      <c r="R223">
        <f t="shared" si="962"/>
        <v>-695635905.57197142</v>
      </c>
      <c r="S223">
        <f t="shared" si="963"/>
        <v>-6956.359055719714</v>
      </c>
      <c r="T223">
        <f t="shared" si="964"/>
        <v>-6.9563590557197141</v>
      </c>
    </row>
    <row r="224" spans="1:20" x14ac:dyDescent="0.25">
      <c r="A224" s="5">
        <v>44369</v>
      </c>
      <c r="B224">
        <v>0.11840000000000001</v>
      </c>
      <c r="C224">
        <v>0.1265</v>
      </c>
      <c r="D224">
        <v>9.4100000000000003E-2</v>
      </c>
      <c r="E224">
        <v>0.11020000000000001</v>
      </c>
      <c r="F224">
        <v>25420996.050000001</v>
      </c>
      <c r="G224">
        <v>-6.93</v>
      </c>
      <c r="L224" t="s">
        <v>7</v>
      </c>
      <c r="M224" t="s">
        <v>7</v>
      </c>
      <c r="N224" t="s">
        <v>7</v>
      </c>
      <c r="P224">
        <f t="shared" si="960"/>
        <v>-6.1728395061725885E-3</v>
      </c>
      <c r="Q224">
        <f t="shared" si="961"/>
        <v>-156919.72870369733</v>
      </c>
      <c r="R224">
        <f t="shared" si="962"/>
        <v>-695779895.01299942</v>
      </c>
      <c r="S224">
        <f t="shared" si="963"/>
        <v>-6957.7989501299944</v>
      </c>
      <c r="T224">
        <f t="shared" si="964"/>
        <v>-6.9577989501299946</v>
      </c>
    </row>
    <row r="225" spans="1:20" x14ac:dyDescent="0.25">
      <c r="A225" s="5">
        <v>44368</v>
      </c>
      <c r="B225">
        <v>0.1527</v>
      </c>
      <c r="C225">
        <v>0.15409999999999999</v>
      </c>
      <c r="D225">
        <v>0.11749999999999999</v>
      </c>
      <c r="E225">
        <v>0.1183</v>
      </c>
      <c r="F225">
        <v>16858112.260000002</v>
      </c>
      <c r="G225">
        <v>-22.53</v>
      </c>
      <c r="L225" t="s">
        <v>7</v>
      </c>
      <c r="M225" t="s">
        <v>7</v>
      </c>
      <c r="N225" t="s">
        <v>7</v>
      </c>
      <c r="P225">
        <f t="shared" si="960"/>
        <v>-0.95628415300546399</v>
      </c>
      <c r="Q225">
        <f t="shared" si="961"/>
        <v>-16121145.60382513</v>
      </c>
      <c r="R225">
        <f t="shared" si="962"/>
        <v>-695622975.28429568</v>
      </c>
      <c r="S225">
        <f t="shared" si="963"/>
        <v>-6956.2297528429572</v>
      </c>
      <c r="T225">
        <f t="shared" si="964"/>
        <v>-6.9562297528429573</v>
      </c>
    </row>
    <row r="226" spans="1:20" x14ac:dyDescent="0.25">
      <c r="A226" s="5">
        <v>44367</v>
      </c>
      <c r="B226">
        <v>0.1578</v>
      </c>
      <c r="C226">
        <v>0.16009999999999999</v>
      </c>
      <c r="D226">
        <v>0.1421</v>
      </c>
      <c r="E226">
        <v>0.15240000000000001</v>
      </c>
      <c r="F226">
        <v>10681016.68</v>
      </c>
      <c r="G226">
        <v>-3.42</v>
      </c>
      <c r="L226" t="s">
        <v>7</v>
      </c>
      <c r="M226" t="s">
        <v>7</v>
      </c>
      <c r="N226" t="s">
        <v>7</v>
      </c>
      <c r="P226">
        <f t="shared" si="960"/>
        <v>0.1444444444444456</v>
      </c>
      <c r="Q226">
        <f t="shared" si="961"/>
        <v>1542813.5204444567</v>
      </c>
      <c r="R226">
        <f t="shared" si="962"/>
        <v>-679501829.68047059</v>
      </c>
      <c r="S226">
        <f t="shared" si="963"/>
        <v>-6795.0182968047056</v>
      </c>
      <c r="T226">
        <f t="shared" si="964"/>
        <v>-6.7950182968047059</v>
      </c>
    </row>
    <row r="227" spans="1:20" x14ac:dyDescent="0.25">
      <c r="A227" s="5">
        <v>44366</v>
      </c>
      <c r="B227">
        <v>0.16170000000000001</v>
      </c>
      <c r="C227">
        <v>0.1686</v>
      </c>
      <c r="D227">
        <v>0.157</v>
      </c>
      <c r="E227">
        <v>0.1583</v>
      </c>
      <c r="F227">
        <v>11231670.039999999</v>
      </c>
      <c r="G227">
        <v>-2.1</v>
      </c>
      <c r="L227" t="s">
        <v>8</v>
      </c>
      <c r="M227" t="s">
        <v>7</v>
      </c>
      <c r="N227" t="s">
        <v>7</v>
      </c>
      <c r="P227">
        <f t="shared" si="960"/>
        <v>-0.77586206896551801</v>
      </c>
      <c r="Q227">
        <f t="shared" si="961"/>
        <v>-8714226.7551724222</v>
      </c>
      <c r="R227">
        <f t="shared" si="962"/>
        <v>-681044643.2009151</v>
      </c>
      <c r="S227">
        <f t="shared" si="963"/>
        <v>-6810.4464320091511</v>
      </c>
      <c r="T227">
        <f t="shared" si="964"/>
        <v>-6.8104464320091509</v>
      </c>
    </row>
    <row r="228" spans="1:20" x14ac:dyDescent="0.25">
      <c r="A228" s="5">
        <v>44365</v>
      </c>
      <c r="B228">
        <v>0.17469999999999999</v>
      </c>
      <c r="C228">
        <v>0.1769</v>
      </c>
      <c r="D228">
        <v>0.15529999999999999</v>
      </c>
      <c r="E228">
        <v>0.16139999999999999</v>
      </c>
      <c r="F228">
        <v>7541447.0800000001</v>
      </c>
      <c r="G228">
        <v>-7.61</v>
      </c>
      <c r="L228" t="s">
        <v>7</v>
      </c>
      <c r="M228" t="s">
        <v>7</v>
      </c>
      <c r="N228" t="s">
        <v>7</v>
      </c>
      <c r="P228">
        <f t="shared" si="960"/>
        <v>-0.4351851851851859</v>
      </c>
      <c r="Q228">
        <f t="shared" si="961"/>
        <v>-3281926.0440740795</v>
      </c>
      <c r="R228">
        <f t="shared" si="962"/>
        <v>-672330416.44574273</v>
      </c>
      <c r="S228">
        <f t="shared" si="963"/>
        <v>-6723.3041644574269</v>
      </c>
      <c r="T228">
        <f t="shared" si="964"/>
        <v>-6.723304164457427</v>
      </c>
    </row>
    <row r="229" spans="1:20" x14ac:dyDescent="0.25">
      <c r="A229" s="5">
        <v>44364</v>
      </c>
      <c r="B229">
        <v>0.1709</v>
      </c>
      <c r="C229">
        <v>0.182</v>
      </c>
      <c r="D229">
        <v>0.1704</v>
      </c>
      <c r="E229">
        <v>0.17480000000000001</v>
      </c>
      <c r="F229">
        <v>6720931.1299999999</v>
      </c>
      <c r="G229">
        <v>2.2799999999999998</v>
      </c>
      <c r="L229" t="s">
        <v>8</v>
      </c>
      <c r="M229" t="s">
        <v>7</v>
      </c>
      <c r="N229" t="s">
        <v>7</v>
      </c>
      <c r="P229">
        <f t="shared" si="960"/>
        <v>-0.24137931034482493</v>
      </c>
      <c r="Q229">
        <f t="shared" si="961"/>
        <v>-1622293.7210344649</v>
      </c>
      <c r="R229">
        <f t="shared" si="962"/>
        <v>-669048490.40166867</v>
      </c>
      <c r="S229">
        <f t="shared" si="963"/>
        <v>-6690.4849040166864</v>
      </c>
      <c r="T229">
        <f t="shared" si="964"/>
        <v>-6.6904849040166861</v>
      </c>
    </row>
    <row r="230" spans="1:20" x14ac:dyDescent="0.25">
      <c r="A230" s="5">
        <v>44363</v>
      </c>
      <c r="B230">
        <v>0.1807</v>
      </c>
      <c r="C230">
        <v>0.1817</v>
      </c>
      <c r="D230">
        <v>0.16819999999999999</v>
      </c>
      <c r="E230">
        <v>0.1704</v>
      </c>
      <c r="F230">
        <v>8504548.1600000001</v>
      </c>
      <c r="G230">
        <v>-5.7</v>
      </c>
      <c r="L230" t="s">
        <v>7</v>
      </c>
      <c r="M230" t="s">
        <v>7</v>
      </c>
      <c r="N230" t="s">
        <v>7</v>
      </c>
      <c r="P230">
        <f t="shared" si="960"/>
        <v>-0.67407407407407327</v>
      </c>
      <c r="Q230">
        <f t="shared" si="961"/>
        <v>-5732695.4263703637</v>
      </c>
      <c r="R230">
        <f t="shared" si="962"/>
        <v>-667426196.68063426</v>
      </c>
      <c r="S230">
        <f t="shared" si="963"/>
        <v>-6674.2619668063426</v>
      </c>
      <c r="T230">
        <f t="shared" si="964"/>
        <v>-6.674261966806343</v>
      </c>
    </row>
    <row r="231" spans="1:20" x14ac:dyDescent="0.25">
      <c r="A231" s="5">
        <v>44362</v>
      </c>
      <c r="B231">
        <v>0.18440000000000001</v>
      </c>
      <c r="C231">
        <v>0.18779999999999999</v>
      </c>
      <c r="D231">
        <v>0.17749999999999999</v>
      </c>
      <c r="E231">
        <v>0.18110000000000001</v>
      </c>
      <c r="F231">
        <v>11722778.43</v>
      </c>
      <c r="G231">
        <v>-1.79</v>
      </c>
      <c r="L231" t="s">
        <v>7</v>
      </c>
      <c r="M231" t="s">
        <v>7</v>
      </c>
      <c r="N231" t="s">
        <v>7</v>
      </c>
      <c r="P231">
        <f t="shared" si="960"/>
        <v>-0.30097087378640414</v>
      </c>
      <c r="Q231">
        <f t="shared" si="961"/>
        <v>-3528214.867281511</v>
      </c>
      <c r="R231">
        <f t="shared" si="962"/>
        <v>-661693501.25426388</v>
      </c>
      <c r="S231">
        <f t="shared" si="963"/>
        <v>-6616.935012542639</v>
      </c>
      <c r="T231">
        <f t="shared" si="964"/>
        <v>-6.6169350125426387</v>
      </c>
    </row>
    <row r="232" spans="1:20" x14ac:dyDescent="0.25">
      <c r="A232" s="5">
        <v>44361</v>
      </c>
      <c r="B232">
        <v>0.1812</v>
      </c>
      <c r="C232">
        <v>0.18990000000000001</v>
      </c>
      <c r="D232">
        <v>0.17780000000000001</v>
      </c>
      <c r="E232">
        <v>0.18440000000000001</v>
      </c>
      <c r="F232">
        <v>10312595.390000001</v>
      </c>
      <c r="G232">
        <v>1.77</v>
      </c>
      <c r="L232" t="s">
        <v>8</v>
      </c>
      <c r="M232" t="s">
        <v>7</v>
      </c>
      <c r="N232" t="s">
        <v>7</v>
      </c>
      <c r="P232">
        <f t="shared" si="960"/>
        <v>9.0909090909090079E-2</v>
      </c>
      <c r="Q232">
        <f t="shared" si="961"/>
        <v>937508.67181817326</v>
      </c>
      <c r="R232">
        <f t="shared" si="962"/>
        <v>-658165286.38698232</v>
      </c>
      <c r="S232">
        <f t="shared" si="963"/>
        <v>-6581.6528638698228</v>
      </c>
      <c r="T232">
        <f t="shared" si="964"/>
        <v>-6.5816528638698228</v>
      </c>
    </row>
    <row r="233" spans="1:20" x14ac:dyDescent="0.25">
      <c r="A233" s="5">
        <v>44360</v>
      </c>
      <c r="B233">
        <v>0.17150000000000001</v>
      </c>
      <c r="C233">
        <v>0.18640000000000001</v>
      </c>
      <c r="D233">
        <v>0.1668</v>
      </c>
      <c r="E233">
        <v>0.18079999999999999</v>
      </c>
      <c r="F233">
        <v>8290179.2999999998</v>
      </c>
      <c r="G233">
        <v>5.42</v>
      </c>
      <c r="L233" t="s">
        <v>8</v>
      </c>
      <c r="M233" t="s">
        <v>7</v>
      </c>
      <c r="N233" t="s">
        <v>7</v>
      </c>
      <c r="P233">
        <f t="shared" si="960"/>
        <v>0.42857142857142655</v>
      </c>
      <c r="Q233">
        <f t="shared" si="961"/>
        <v>3552933.9857142689</v>
      </c>
      <c r="R233">
        <f t="shared" si="962"/>
        <v>-659102795.05880046</v>
      </c>
      <c r="S233">
        <f t="shared" si="963"/>
        <v>-6591.0279505880044</v>
      </c>
      <c r="T233">
        <f t="shared" si="964"/>
        <v>-6.5910279505880043</v>
      </c>
    </row>
    <row r="234" spans="1:20" x14ac:dyDescent="0.25">
      <c r="A234" s="5">
        <v>44359</v>
      </c>
      <c r="B234">
        <v>0.1794</v>
      </c>
      <c r="C234">
        <v>0.1802</v>
      </c>
      <c r="D234">
        <v>0.16209999999999999</v>
      </c>
      <c r="E234">
        <v>0.17150000000000001</v>
      </c>
      <c r="F234">
        <v>7980584.8200000003</v>
      </c>
      <c r="G234">
        <v>-4.4000000000000004</v>
      </c>
      <c r="L234" t="s">
        <v>7</v>
      </c>
      <c r="M234" t="s">
        <v>7</v>
      </c>
      <c r="N234" t="s">
        <v>7</v>
      </c>
      <c r="P234">
        <f t="shared" si="960"/>
        <v>3.8674033149173136E-2</v>
      </c>
      <c r="Q234">
        <f t="shared" si="961"/>
        <v>308641.40187846794</v>
      </c>
      <c r="R234">
        <f t="shared" si="962"/>
        <v>-662655729.04451478</v>
      </c>
      <c r="S234">
        <f t="shared" si="963"/>
        <v>-6626.5572904451474</v>
      </c>
      <c r="T234">
        <f t="shared" si="964"/>
        <v>-6.6265572904451471</v>
      </c>
    </row>
    <row r="235" spans="1:20" x14ac:dyDescent="0.25">
      <c r="A235" s="5">
        <v>44358</v>
      </c>
      <c r="B235">
        <v>0.1862</v>
      </c>
      <c r="C235">
        <v>0.19550000000000001</v>
      </c>
      <c r="D235">
        <v>0.17499999999999999</v>
      </c>
      <c r="E235">
        <v>0.18</v>
      </c>
      <c r="F235">
        <v>9119926.4700000007</v>
      </c>
      <c r="G235">
        <v>-3.33</v>
      </c>
      <c r="L235" t="s">
        <v>7</v>
      </c>
      <c r="M235" t="s">
        <v>8</v>
      </c>
      <c r="N235" t="s">
        <v>7</v>
      </c>
      <c r="P235">
        <f t="shared" si="960"/>
        <v>-0.51219512195121952</v>
      </c>
      <c r="Q235">
        <f t="shared" si="961"/>
        <v>-4671181.850487805</v>
      </c>
      <c r="R235">
        <f t="shared" si="962"/>
        <v>-662964370.44639325</v>
      </c>
      <c r="S235">
        <f t="shared" si="963"/>
        <v>-6629.6437044639324</v>
      </c>
      <c r="T235">
        <f t="shared" si="964"/>
        <v>-6.6296437044639323</v>
      </c>
    </row>
    <row r="236" spans="1:20" x14ac:dyDescent="0.25">
      <c r="A236" s="5">
        <v>44357</v>
      </c>
      <c r="B236">
        <v>0.1948</v>
      </c>
      <c r="C236">
        <v>0.19600000000000001</v>
      </c>
      <c r="D236">
        <v>0.17760000000000001</v>
      </c>
      <c r="E236">
        <v>0.18629999999999999</v>
      </c>
      <c r="F236">
        <v>13463261.58</v>
      </c>
      <c r="G236">
        <v>-4.3600000000000003</v>
      </c>
      <c r="L236" t="s">
        <v>7</v>
      </c>
      <c r="M236" t="s">
        <v>8</v>
      </c>
      <c r="N236" t="s">
        <v>7</v>
      </c>
      <c r="P236">
        <f t="shared" si="960"/>
        <v>-5.4347826086958081E-2</v>
      </c>
      <c r="Q236">
        <f t="shared" si="961"/>
        <v>-731698.99891306448</v>
      </c>
      <c r="R236">
        <f t="shared" si="962"/>
        <v>-658293188.59590542</v>
      </c>
      <c r="S236">
        <f t="shared" si="963"/>
        <v>-6582.9318859590539</v>
      </c>
      <c r="T236">
        <f t="shared" si="964"/>
        <v>-6.582931885959054</v>
      </c>
    </row>
    <row r="237" spans="1:20" x14ac:dyDescent="0.25">
      <c r="A237" s="5">
        <v>44356</v>
      </c>
      <c r="B237">
        <v>0.1842</v>
      </c>
      <c r="C237">
        <v>0.2</v>
      </c>
      <c r="D237">
        <v>0.1724</v>
      </c>
      <c r="E237">
        <v>0.1948</v>
      </c>
      <c r="F237">
        <v>22485156.140000001</v>
      </c>
      <c r="G237">
        <v>5.75</v>
      </c>
      <c r="L237" t="s">
        <v>8</v>
      </c>
      <c r="M237" t="s">
        <v>8</v>
      </c>
      <c r="N237" t="s">
        <v>7</v>
      </c>
      <c r="P237">
        <f t="shared" si="960"/>
        <v>0.62318840579710089</v>
      </c>
      <c r="Q237">
        <f t="shared" si="961"/>
        <v>14012488.608985495</v>
      </c>
      <c r="R237">
        <f t="shared" si="962"/>
        <v>-657561489.59699237</v>
      </c>
      <c r="S237">
        <f t="shared" si="963"/>
        <v>-6575.614895969924</v>
      </c>
      <c r="T237">
        <f t="shared" si="964"/>
        <v>-6.5756148959699239</v>
      </c>
    </row>
    <row r="238" spans="1:20" x14ac:dyDescent="0.25">
      <c r="A238" s="5">
        <v>44355</v>
      </c>
      <c r="B238">
        <v>0.1767</v>
      </c>
      <c r="C238">
        <v>0.18679999999999999</v>
      </c>
      <c r="D238">
        <v>0.15720000000000001</v>
      </c>
      <c r="E238">
        <v>0.1837</v>
      </c>
      <c r="F238">
        <v>34756662.969999999</v>
      </c>
      <c r="G238">
        <v>3.96</v>
      </c>
      <c r="L238" t="s">
        <v>7</v>
      </c>
      <c r="M238" t="s">
        <v>7</v>
      </c>
      <c r="N238" t="s">
        <v>7</v>
      </c>
      <c r="P238">
        <f t="shared" si="960"/>
        <v>0.79054054054054101</v>
      </c>
      <c r="Q238">
        <f t="shared" si="961"/>
        <v>27476551.131689206</v>
      </c>
      <c r="R238">
        <f t="shared" si="962"/>
        <v>-671573978.20597792</v>
      </c>
      <c r="S238">
        <f t="shared" si="963"/>
        <v>-6715.7397820597789</v>
      </c>
      <c r="T238">
        <f t="shared" si="964"/>
        <v>-6.7157397820597788</v>
      </c>
    </row>
    <row r="239" spans="1:20" x14ac:dyDescent="0.25">
      <c r="A239" s="5">
        <v>44354</v>
      </c>
      <c r="B239">
        <v>0.20250000000000001</v>
      </c>
      <c r="C239">
        <v>0.2059</v>
      </c>
      <c r="D239">
        <v>0.17449999999999999</v>
      </c>
      <c r="E239">
        <v>0.17660000000000001</v>
      </c>
      <c r="F239">
        <v>16782214.82</v>
      </c>
      <c r="G239">
        <v>-12.79</v>
      </c>
      <c r="L239" t="s">
        <v>7</v>
      </c>
      <c r="M239" t="s">
        <v>7</v>
      </c>
      <c r="N239" t="s">
        <v>7</v>
      </c>
      <c r="P239">
        <f t="shared" si="960"/>
        <v>-0.86624203821655943</v>
      </c>
      <c r="Q239">
        <f t="shared" si="961"/>
        <v>-14537459.971464951</v>
      </c>
      <c r="R239">
        <f t="shared" si="962"/>
        <v>-699050529.33766711</v>
      </c>
      <c r="S239">
        <f t="shared" si="963"/>
        <v>-6990.505293376671</v>
      </c>
      <c r="T239">
        <f t="shared" si="964"/>
        <v>-6.9905052933766711</v>
      </c>
    </row>
    <row r="240" spans="1:20" x14ac:dyDescent="0.25">
      <c r="A240" s="5">
        <v>44353</v>
      </c>
      <c r="B240">
        <v>0.19040000000000001</v>
      </c>
      <c r="C240">
        <v>0.20449999999999999</v>
      </c>
      <c r="D240">
        <v>0.18870000000000001</v>
      </c>
      <c r="E240">
        <v>0.2029</v>
      </c>
      <c r="F240">
        <v>12463445.720000001</v>
      </c>
      <c r="G240">
        <v>6.57</v>
      </c>
      <c r="L240" t="s">
        <v>7</v>
      </c>
      <c r="M240" t="s">
        <v>7</v>
      </c>
      <c r="N240" t="s">
        <v>7</v>
      </c>
      <c r="P240">
        <f t="shared" si="960"/>
        <v>0.79746835443038078</v>
      </c>
      <c r="Q240">
        <f t="shared" si="961"/>
        <v>9939203.5488607734</v>
      </c>
      <c r="R240">
        <f t="shared" si="962"/>
        <v>-684513069.36620212</v>
      </c>
      <c r="S240">
        <f t="shared" si="963"/>
        <v>-6845.1306936620213</v>
      </c>
      <c r="T240">
        <f t="shared" si="964"/>
        <v>-6.8451306936620213</v>
      </c>
    </row>
    <row r="241" spans="1:20" x14ac:dyDescent="0.25">
      <c r="A241" s="5">
        <v>44352</v>
      </c>
      <c r="B241">
        <v>0.20019999999999999</v>
      </c>
      <c r="C241">
        <v>0.21679999999999999</v>
      </c>
      <c r="D241">
        <v>0.18340000000000001</v>
      </c>
      <c r="E241">
        <v>0.19059999999999999</v>
      </c>
      <c r="F241">
        <v>20103454.649999999</v>
      </c>
      <c r="G241">
        <v>-4.8</v>
      </c>
      <c r="L241" t="s">
        <v>8</v>
      </c>
      <c r="M241" t="s">
        <v>7</v>
      </c>
      <c r="N241" t="s">
        <v>7</v>
      </c>
      <c r="P241">
        <f t="shared" si="960"/>
        <v>-0.56886227544910251</v>
      </c>
      <c r="Q241">
        <f t="shared" si="961"/>
        <v>-11436096.95658684</v>
      </c>
      <c r="R241">
        <f t="shared" si="962"/>
        <v>-694452272.9150629</v>
      </c>
      <c r="S241">
        <f t="shared" si="963"/>
        <v>-6944.5227291506289</v>
      </c>
      <c r="T241">
        <f t="shared" si="964"/>
        <v>-6.9445227291506288</v>
      </c>
    </row>
    <row r="242" spans="1:20" x14ac:dyDescent="0.25">
      <c r="A242" s="5">
        <v>44351</v>
      </c>
      <c r="B242">
        <v>0.22009999999999999</v>
      </c>
      <c r="C242">
        <v>0.221</v>
      </c>
      <c r="D242">
        <v>0.1852</v>
      </c>
      <c r="E242">
        <v>0.1993</v>
      </c>
      <c r="F242">
        <v>22044548.960000001</v>
      </c>
      <c r="G242">
        <v>-9.4499999999999993</v>
      </c>
      <c r="L242" t="s">
        <v>7</v>
      </c>
      <c r="M242" t="s">
        <v>7</v>
      </c>
      <c r="N242" t="s">
        <v>7</v>
      </c>
      <c r="P242">
        <f t="shared" si="960"/>
        <v>-0.21229050279329598</v>
      </c>
      <c r="Q242">
        <f t="shared" si="961"/>
        <v>-4679848.3825698299</v>
      </c>
      <c r="R242">
        <f t="shared" si="962"/>
        <v>-683016175.95847607</v>
      </c>
      <c r="S242">
        <f t="shared" si="963"/>
        <v>-6830.1617595847611</v>
      </c>
      <c r="T242">
        <f t="shared" si="964"/>
        <v>-6.8301617595847608</v>
      </c>
    </row>
    <row r="243" spans="1:20" x14ac:dyDescent="0.25">
      <c r="A243" s="5">
        <v>44350</v>
      </c>
      <c r="B243">
        <v>0.20810000000000001</v>
      </c>
      <c r="C243">
        <v>0.22409999999999999</v>
      </c>
      <c r="D243">
        <v>0.2046</v>
      </c>
      <c r="E243">
        <v>0.2208</v>
      </c>
      <c r="F243">
        <v>26445222.800000001</v>
      </c>
      <c r="G243">
        <v>6.1</v>
      </c>
      <c r="L243" t="s">
        <v>8</v>
      </c>
      <c r="M243" t="s">
        <v>8</v>
      </c>
      <c r="N243" t="s">
        <v>7</v>
      </c>
      <c r="P243">
        <f t="shared" si="960"/>
        <v>0.66153846153846163</v>
      </c>
      <c r="Q243">
        <f t="shared" si="961"/>
        <v>17494532.006153848</v>
      </c>
      <c r="R243">
        <f t="shared" si="962"/>
        <v>-678336327.57590628</v>
      </c>
      <c r="S243">
        <f t="shared" si="963"/>
        <v>-6783.3632757590631</v>
      </c>
      <c r="T243">
        <f t="shared" si="964"/>
        <v>-6.7833632757590632</v>
      </c>
    </row>
    <row r="244" spans="1:20" x14ac:dyDescent="0.25">
      <c r="A244" s="5">
        <v>44349</v>
      </c>
      <c r="B244">
        <v>0.20319999999999999</v>
      </c>
      <c r="C244">
        <v>0.21820000000000001</v>
      </c>
      <c r="D244">
        <v>0.1968</v>
      </c>
      <c r="E244">
        <v>0.2084</v>
      </c>
      <c r="F244">
        <v>17589007.27</v>
      </c>
      <c r="G244">
        <v>2.56</v>
      </c>
      <c r="L244" t="s">
        <v>8</v>
      </c>
      <c r="M244" t="s">
        <v>8</v>
      </c>
      <c r="N244" t="s">
        <v>7</v>
      </c>
      <c r="P244">
        <f t="shared" si="960"/>
        <v>8.4112149532710082E-2</v>
      </c>
      <c r="Q244">
        <f t="shared" si="961"/>
        <v>1479449.2096261648</v>
      </c>
      <c r="R244">
        <f t="shared" si="962"/>
        <v>-695830859.5820601</v>
      </c>
      <c r="S244">
        <f t="shared" si="963"/>
        <v>-6958.3085958206011</v>
      </c>
      <c r="T244">
        <f t="shared" si="964"/>
        <v>-6.9583085958206015</v>
      </c>
    </row>
    <row r="245" spans="1:20" x14ac:dyDescent="0.25">
      <c r="A245" s="5">
        <v>44348</v>
      </c>
      <c r="B245">
        <v>0.2092</v>
      </c>
      <c r="C245">
        <v>0.21199999999999999</v>
      </c>
      <c r="D245">
        <v>0.19520000000000001</v>
      </c>
      <c r="E245">
        <v>0.20330000000000001</v>
      </c>
      <c r="F245">
        <v>22378838.370000001</v>
      </c>
      <c r="G245">
        <v>-2.82</v>
      </c>
      <c r="L245" t="s">
        <v>7</v>
      </c>
      <c r="M245" t="s">
        <v>8</v>
      </c>
      <c r="N245" t="s">
        <v>7</v>
      </c>
      <c r="P245">
        <f t="shared" si="960"/>
        <v>-3.5714285714285122E-2</v>
      </c>
      <c r="Q245">
        <f t="shared" si="961"/>
        <v>-799244.22749998677</v>
      </c>
      <c r="R245">
        <f t="shared" si="962"/>
        <v>-697310308.7916863</v>
      </c>
      <c r="S245">
        <f t="shared" si="963"/>
        <v>-6973.1030879168629</v>
      </c>
      <c r="T245">
        <f t="shared" si="964"/>
        <v>-6.9731030879168632</v>
      </c>
    </row>
    <row r="246" spans="1:20" x14ac:dyDescent="0.25">
      <c r="A246" s="5">
        <v>44347</v>
      </c>
      <c r="B246">
        <v>0.18729999999999999</v>
      </c>
      <c r="C246">
        <v>0.2094</v>
      </c>
      <c r="D246">
        <v>0.17610000000000001</v>
      </c>
      <c r="E246">
        <v>0.20930000000000001</v>
      </c>
      <c r="F246">
        <v>22183152.25</v>
      </c>
      <c r="G246">
        <v>11.75</v>
      </c>
      <c r="L246" t="s">
        <v>8</v>
      </c>
      <c r="M246" t="s">
        <v>8</v>
      </c>
      <c r="N246" t="s">
        <v>7</v>
      </c>
      <c r="P246">
        <f t="shared" si="960"/>
        <v>0.99399399399399468</v>
      </c>
      <c r="Q246">
        <f t="shared" si="961"/>
        <v>22049920.10435437</v>
      </c>
      <c r="R246">
        <f t="shared" si="962"/>
        <v>-696511064.56418633</v>
      </c>
      <c r="S246">
        <f t="shared" si="963"/>
        <v>-6965.1106456418629</v>
      </c>
      <c r="T246">
        <f t="shared" si="964"/>
        <v>-6.9651106456418628</v>
      </c>
    </row>
    <row r="247" spans="1:20" x14ac:dyDescent="0.25">
      <c r="A247" s="5">
        <v>44346</v>
      </c>
      <c r="B247">
        <v>0.18459999999999999</v>
      </c>
      <c r="C247">
        <v>0.19919999999999999</v>
      </c>
      <c r="D247">
        <v>0.17169999999999999</v>
      </c>
      <c r="E247">
        <v>0.18729999999999999</v>
      </c>
      <c r="F247">
        <v>14914217.220000001</v>
      </c>
      <c r="G247">
        <v>1.46</v>
      </c>
      <c r="L247" t="s">
        <v>7</v>
      </c>
      <c r="M247" t="s">
        <v>7</v>
      </c>
      <c r="N247" t="s">
        <v>7</v>
      </c>
      <c r="P247">
        <f t="shared" si="960"/>
        <v>0.13454545454545488</v>
      </c>
      <c r="Q247">
        <f t="shared" si="961"/>
        <v>2006640.1350545506</v>
      </c>
      <c r="R247">
        <f t="shared" si="962"/>
        <v>-718560984.66854072</v>
      </c>
      <c r="S247">
        <f t="shared" si="963"/>
        <v>-7185.6098466854073</v>
      </c>
      <c r="T247">
        <f t="shared" si="964"/>
        <v>-7.1856098466854075</v>
      </c>
    </row>
    <row r="248" spans="1:20" x14ac:dyDescent="0.25">
      <c r="A248" s="5">
        <v>44345</v>
      </c>
      <c r="B248">
        <v>0.1923</v>
      </c>
      <c r="C248">
        <v>0.20899999999999999</v>
      </c>
      <c r="D248">
        <v>0.17169999999999999</v>
      </c>
      <c r="E248">
        <v>0.18379999999999999</v>
      </c>
      <c r="F248">
        <v>29080946.379999999</v>
      </c>
      <c r="G248">
        <v>-4.42</v>
      </c>
      <c r="L248" t="s">
        <v>8</v>
      </c>
      <c r="M248" t="s">
        <v>7</v>
      </c>
      <c r="N248" t="s">
        <v>7</v>
      </c>
      <c r="P248">
        <f t="shared" si="960"/>
        <v>-0.3512064343163539</v>
      </c>
      <c r="Q248">
        <f t="shared" si="961"/>
        <v>-10213415.48466488</v>
      </c>
      <c r="R248">
        <f t="shared" si="962"/>
        <v>-720567624.8035953</v>
      </c>
      <c r="S248">
        <f t="shared" si="963"/>
        <v>-7205.676248035953</v>
      </c>
      <c r="T248">
        <f t="shared" si="964"/>
        <v>-7.2056762480359531</v>
      </c>
    </row>
    <row r="249" spans="1:20" x14ac:dyDescent="0.25">
      <c r="A249" s="5">
        <v>44344</v>
      </c>
      <c r="B249">
        <v>0.21479999999999999</v>
      </c>
      <c r="C249">
        <v>0.21820000000000001</v>
      </c>
      <c r="D249">
        <v>0.17469999999999999</v>
      </c>
      <c r="E249">
        <v>0.1923</v>
      </c>
      <c r="F249">
        <v>39548342.759999998</v>
      </c>
      <c r="G249">
        <v>-10.47</v>
      </c>
      <c r="L249" t="s">
        <v>7</v>
      </c>
      <c r="M249" t="s">
        <v>7</v>
      </c>
      <c r="N249" t="s">
        <v>7</v>
      </c>
      <c r="P249">
        <f t="shared" si="960"/>
        <v>-0.19080459770114941</v>
      </c>
      <c r="Q249">
        <f t="shared" si="961"/>
        <v>-7546005.6300689643</v>
      </c>
      <c r="R249">
        <f t="shared" si="962"/>
        <v>-710354209.31893039</v>
      </c>
      <c r="S249">
        <f t="shared" si="963"/>
        <v>-7103.5420931893041</v>
      </c>
      <c r="T249">
        <f t="shared" si="964"/>
        <v>-7.1035420931893043</v>
      </c>
    </row>
    <row r="250" spans="1:20" x14ac:dyDescent="0.25">
      <c r="A250" s="5">
        <v>44343</v>
      </c>
      <c r="B250">
        <v>0.2303</v>
      </c>
      <c r="C250">
        <v>0.24329999999999999</v>
      </c>
      <c r="D250">
        <v>0.20150000000000001</v>
      </c>
      <c r="E250">
        <v>0.21510000000000001</v>
      </c>
      <c r="F250">
        <v>30047603.890000001</v>
      </c>
      <c r="G250">
        <v>-6.6</v>
      </c>
      <c r="L250" t="s">
        <v>7</v>
      </c>
      <c r="M250" t="s">
        <v>8</v>
      </c>
      <c r="N250" t="s">
        <v>8</v>
      </c>
      <c r="P250">
        <f t="shared" si="960"/>
        <v>-0.34928229665071731</v>
      </c>
      <c r="Q250">
        <f t="shared" si="961"/>
        <v>-10495096.095550228</v>
      </c>
      <c r="R250">
        <f t="shared" si="962"/>
        <v>-702808203.68886137</v>
      </c>
      <c r="S250">
        <f t="shared" si="963"/>
        <v>-7028.0820368886134</v>
      </c>
      <c r="T250">
        <f t="shared" si="964"/>
        <v>-7.0280820368886134</v>
      </c>
    </row>
    <row r="251" spans="1:20" x14ac:dyDescent="0.25">
      <c r="A251" s="5">
        <v>44342</v>
      </c>
      <c r="B251">
        <v>0.21229999999999999</v>
      </c>
      <c r="C251">
        <v>0.24</v>
      </c>
      <c r="D251">
        <v>0.2056</v>
      </c>
      <c r="E251">
        <v>0.2303</v>
      </c>
      <c r="F251">
        <v>31501973.43</v>
      </c>
      <c r="G251">
        <v>8.48</v>
      </c>
      <c r="L251" t="s">
        <v>7</v>
      </c>
      <c r="M251" t="s">
        <v>8</v>
      </c>
      <c r="N251" t="s">
        <v>8</v>
      </c>
      <c r="P251">
        <f t="shared" si="960"/>
        <v>0.43604651162790753</v>
      </c>
      <c r="Q251">
        <f t="shared" si="961"/>
        <v>13736325.62354653</v>
      </c>
      <c r="R251">
        <f t="shared" si="962"/>
        <v>-692313107.59331119</v>
      </c>
      <c r="S251">
        <f t="shared" si="963"/>
        <v>-6923.1310759331118</v>
      </c>
      <c r="T251">
        <f t="shared" si="964"/>
        <v>-6.9231310759331119</v>
      </c>
    </row>
    <row r="252" spans="1:20" x14ac:dyDescent="0.25">
      <c r="A252" s="5">
        <v>44341</v>
      </c>
      <c r="B252">
        <v>0.2092</v>
      </c>
      <c r="C252">
        <v>0.24199999999999999</v>
      </c>
      <c r="D252">
        <v>0.19359999999999999</v>
      </c>
      <c r="E252">
        <v>0.21199999999999999</v>
      </c>
      <c r="F252">
        <v>39206870.020000003</v>
      </c>
      <c r="G252">
        <v>1.34</v>
      </c>
      <c r="L252" t="s">
        <v>8</v>
      </c>
      <c r="M252" t="s">
        <v>8</v>
      </c>
      <c r="N252" t="s">
        <v>8</v>
      </c>
      <c r="P252">
        <f t="shared" si="960"/>
        <v>-0.23966942148760328</v>
      </c>
      <c r="Q252">
        <f t="shared" si="961"/>
        <v>-9396687.856033057</v>
      </c>
      <c r="R252">
        <f t="shared" si="962"/>
        <v>-706049433.21685767</v>
      </c>
      <c r="S252">
        <f t="shared" si="963"/>
        <v>-7060.4943321685769</v>
      </c>
      <c r="T252">
        <f t="shared" si="964"/>
        <v>-7.0604943321685765</v>
      </c>
    </row>
    <row r="253" spans="1:20" x14ac:dyDescent="0.25">
      <c r="A253" s="5">
        <v>44340</v>
      </c>
      <c r="B253">
        <v>0.16489999999999999</v>
      </c>
      <c r="C253">
        <v>0.21690000000000001</v>
      </c>
      <c r="D253">
        <v>0.16189999999999999</v>
      </c>
      <c r="E253">
        <v>0.2092</v>
      </c>
      <c r="F253">
        <v>31417993.149999999</v>
      </c>
      <c r="G253">
        <v>26.86</v>
      </c>
      <c r="L253" t="s">
        <v>8</v>
      </c>
      <c r="M253" t="s">
        <v>8</v>
      </c>
      <c r="N253" t="s">
        <v>8</v>
      </c>
      <c r="P253">
        <f t="shared" si="960"/>
        <v>0.71999999999999964</v>
      </c>
      <c r="Q253">
        <f t="shared" si="961"/>
        <v>22620955.067999989</v>
      </c>
      <c r="R253">
        <f t="shared" si="962"/>
        <v>-696652745.36082458</v>
      </c>
      <c r="S253">
        <f t="shared" si="963"/>
        <v>-6966.5274536082461</v>
      </c>
      <c r="T253">
        <f t="shared" si="964"/>
        <v>-6.9665274536082462</v>
      </c>
    </row>
    <row r="254" spans="1:20" x14ac:dyDescent="0.25">
      <c r="A254" s="5">
        <v>44339</v>
      </c>
      <c r="B254">
        <v>0.1956</v>
      </c>
      <c r="C254">
        <v>0.2029</v>
      </c>
      <c r="D254">
        <v>0.1246</v>
      </c>
      <c r="E254">
        <v>0.1641</v>
      </c>
      <c r="F254">
        <v>48395774.329999998</v>
      </c>
      <c r="G254">
        <v>-16.100000000000001</v>
      </c>
      <c r="L254" t="s">
        <v>7</v>
      </c>
      <c r="M254" t="s">
        <v>7</v>
      </c>
      <c r="N254" t="s">
        <v>7</v>
      </c>
      <c r="P254">
        <f t="shared" si="960"/>
        <v>8.9399744572157391E-3</v>
      </c>
      <c r="Q254">
        <f t="shared" si="961"/>
        <v>432656.98634737713</v>
      </c>
      <c r="R254">
        <f t="shared" si="962"/>
        <v>-719273700.42882454</v>
      </c>
      <c r="S254">
        <f t="shared" si="963"/>
        <v>-7192.7370042882458</v>
      </c>
      <c r="T254">
        <f t="shared" si="964"/>
        <v>-7.1927370042882455</v>
      </c>
    </row>
    <row r="255" spans="1:20" x14ac:dyDescent="0.25">
      <c r="A255" s="5">
        <v>44338</v>
      </c>
      <c r="B255">
        <v>0.2195</v>
      </c>
      <c r="C255">
        <v>0.23300000000000001</v>
      </c>
      <c r="D255">
        <v>0.1913</v>
      </c>
      <c r="E255">
        <v>0.19589999999999999</v>
      </c>
      <c r="F255">
        <v>26593210.23</v>
      </c>
      <c r="G255">
        <v>-10.75</v>
      </c>
      <c r="L255" t="s">
        <v>8</v>
      </c>
      <c r="M255" t="s">
        <v>8</v>
      </c>
      <c r="N255" t="s">
        <v>7</v>
      </c>
      <c r="P255">
        <f t="shared" si="960"/>
        <v>-0.77937649880095961</v>
      </c>
      <c r="Q255">
        <f t="shared" si="961"/>
        <v>-20726123.080935262</v>
      </c>
      <c r="R255">
        <f t="shared" si="962"/>
        <v>-719706357.41517186</v>
      </c>
      <c r="S255">
        <f t="shared" si="963"/>
        <v>-7197.063574151719</v>
      </c>
      <c r="T255">
        <f t="shared" si="964"/>
        <v>-7.197063574151719</v>
      </c>
    </row>
    <row r="256" spans="1:20" x14ac:dyDescent="0.25">
      <c r="A256" s="5">
        <v>44337</v>
      </c>
      <c r="B256">
        <v>0.251</v>
      </c>
      <c r="C256">
        <v>0.26719999999999999</v>
      </c>
      <c r="D256">
        <v>0.17549999999999999</v>
      </c>
      <c r="E256">
        <v>0.2198</v>
      </c>
      <c r="F256">
        <v>37038847.780000001</v>
      </c>
      <c r="G256">
        <v>-12.43</v>
      </c>
      <c r="L256" t="s">
        <v>7</v>
      </c>
      <c r="M256" t="s">
        <v>7</v>
      </c>
      <c r="N256" t="s">
        <v>7</v>
      </c>
      <c r="P256">
        <f t="shared" si="960"/>
        <v>-3.3805888767720733E-2</v>
      </c>
      <c r="Q256">
        <f t="shared" si="961"/>
        <v>-1252131.16813522</v>
      </c>
      <c r="R256">
        <f t="shared" si="962"/>
        <v>-698980234.33423662</v>
      </c>
      <c r="S256">
        <f t="shared" si="963"/>
        <v>-6989.8023433423659</v>
      </c>
      <c r="T256">
        <f t="shared" si="964"/>
        <v>-6.9898023433423662</v>
      </c>
    </row>
    <row r="257" spans="1:20" x14ac:dyDescent="0.25">
      <c r="A257" s="5">
        <v>44336</v>
      </c>
      <c r="B257">
        <v>0.2152</v>
      </c>
      <c r="C257">
        <v>0.27239999999999998</v>
      </c>
      <c r="D257">
        <v>0.18690000000000001</v>
      </c>
      <c r="E257">
        <v>0.251</v>
      </c>
      <c r="F257">
        <v>38490776.869999997</v>
      </c>
      <c r="G257">
        <v>16.64</v>
      </c>
      <c r="L257" t="s">
        <v>8</v>
      </c>
      <c r="M257" t="s">
        <v>8</v>
      </c>
      <c r="N257" t="s">
        <v>8</v>
      </c>
      <c r="P257">
        <f t="shared" si="960"/>
        <v>0.49941520467836298</v>
      </c>
      <c r="Q257">
        <f t="shared" si="961"/>
        <v>19222879.208760247</v>
      </c>
      <c r="R257">
        <f t="shared" si="962"/>
        <v>-697728103.16610146</v>
      </c>
      <c r="S257">
        <f t="shared" si="963"/>
        <v>-6977.2810316610148</v>
      </c>
      <c r="T257">
        <f t="shared" si="964"/>
        <v>-6.9772810316610148</v>
      </c>
    </row>
    <row r="258" spans="1:20" x14ac:dyDescent="0.25">
      <c r="A258" s="5">
        <v>44335</v>
      </c>
      <c r="B258">
        <v>0.33910000000000001</v>
      </c>
      <c r="C258">
        <v>0.34639999999999999</v>
      </c>
      <c r="D258">
        <v>0.16200000000000001</v>
      </c>
      <c r="E258">
        <v>0.21410000000000001</v>
      </c>
      <c r="F258">
        <v>81248497.459999993</v>
      </c>
      <c r="G258">
        <v>-36.86</v>
      </c>
      <c r="L258" t="s">
        <v>7</v>
      </c>
      <c r="M258" t="s">
        <v>7</v>
      </c>
      <c r="N258" t="s">
        <v>7</v>
      </c>
      <c r="P258">
        <f t="shared" si="960"/>
        <v>-0.43492407809110617</v>
      </c>
      <c r="Q258">
        <f t="shared" si="961"/>
        <v>-35336927.854078077</v>
      </c>
      <c r="R258">
        <f t="shared" si="962"/>
        <v>-716950982.37486172</v>
      </c>
      <c r="S258">
        <f t="shared" si="963"/>
        <v>-7169.5098237486172</v>
      </c>
      <c r="T258">
        <f t="shared" si="964"/>
        <v>-7.1695098237486174</v>
      </c>
    </row>
    <row r="259" spans="1:20" x14ac:dyDescent="0.25">
      <c r="A259" s="5">
        <v>44334</v>
      </c>
      <c r="B259">
        <v>0.3528</v>
      </c>
      <c r="C259">
        <v>0.3755</v>
      </c>
      <c r="D259">
        <v>0.33360000000000001</v>
      </c>
      <c r="E259">
        <v>0.34010000000000001</v>
      </c>
      <c r="F259">
        <v>26840982.030000001</v>
      </c>
      <c r="G259">
        <v>-3.6</v>
      </c>
      <c r="L259" t="s">
        <v>8</v>
      </c>
      <c r="M259" t="s">
        <v>7</v>
      </c>
      <c r="N259" t="s">
        <v>7</v>
      </c>
      <c r="P259">
        <f t="shared" si="960"/>
        <v>-0.6897374701670641</v>
      </c>
      <c r="Q259">
        <f t="shared" si="961"/>
        <v>-18513231.042171828</v>
      </c>
      <c r="R259">
        <f t="shared" si="962"/>
        <v>-681614054.52078366</v>
      </c>
      <c r="S259">
        <f t="shared" si="963"/>
        <v>-6816.140545207837</v>
      </c>
      <c r="T259">
        <f t="shared" si="964"/>
        <v>-6.816140545207837</v>
      </c>
    </row>
    <row r="260" spans="1:20" x14ac:dyDescent="0.25">
      <c r="A260" s="5">
        <v>44333</v>
      </c>
      <c r="B260">
        <v>0.38790000000000002</v>
      </c>
      <c r="C260">
        <v>0.3896</v>
      </c>
      <c r="D260">
        <v>0.32769999999999999</v>
      </c>
      <c r="E260">
        <v>0.35370000000000001</v>
      </c>
      <c r="F260">
        <v>32199976.379999999</v>
      </c>
      <c r="G260">
        <v>-8.82</v>
      </c>
      <c r="L260" t="s">
        <v>7</v>
      </c>
      <c r="M260" t="s">
        <v>7</v>
      </c>
      <c r="N260" t="s">
        <v>7</v>
      </c>
      <c r="P260">
        <f t="shared" si="960"/>
        <v>-0.15993537964458746</v>
      </c>
      <c r="Q260">
        <f t="shared" si="961"/>
        <v>-5149915.4468820486</v>
      </c>
      <c r="R260">
        <f t="shared" si="962"/>
        <v>-663100823.47861183</v>
      </c>
      <c r="S260">
        <f t="shared" si="963"/>
        <v>-6631.008234786118</v>
      </c>
      <c r="T260">
        <f t="shared" si="964"/>
        <v>-6.6310082347861181</v>
      </c>
    </row>
    <row r="261" spans="1:20" x14ac:dyDescent="0.25">
      <c r="A261" s="5">
        <v>44332</v>
      </c>
      <c r="B261">
        <v>0.38529999999999998</v>
      </c>
      <c r="C261">
        <v>0.43590000000000001</v>
      </c>
      <c r="D261">
        <v>0.35580000000000001</v>
      </c>
      <c r="E261">
        <v>0.38750000000000001</v>
      </c>
      <c r="F261">
        <v>29159702.699999999</v>
      </c>
      <c r="G261">
        <v>0.56999999999999995</v>
      </c>
      <c r="L261" t="s">
        <v>7</v>
      </c>
      <c r="M261" t="s">
        <v>7</v>
      </c>
      <c r="N261" t="s">
        <v>7</v>
      </c>
      <c r="P261">
        <f t="shared" si="960"/>
        <v>-0.20848938826466906</v>
      </c>
      <c r="Q261">
        <f t="shared" si="961"/>
        <v>-6079488.5779026188</v>
      </c>
      <c r="R261">
        <f t="shared" si="962"/>
        <v>-657950908.03172982</v>
      </c>
      <c r="S261">
        <f t="shared" si="963"/>
        <v>-6579.509080317298</v>
      </c>
      <c r="T261">
        <f t="shared" si="964"/>
        <v>-6.5795090803172975</v>
      </c>
    </row>
    <row r="262" spans="1:20" x14ac:dyDescent="0.25">
      <c r="A262" s="5">
        <v>44331</v>
      </c>
      <c r="B262">
        <v>0.45529999999999998</v>
      </c>
      <c r="C262">
        <v>0.46300000000000002</v>
      </c>
      <c r="D262">
        <v>0.37509999999999999</v>
      </c>
      <c r="E262">
        <v>0.38550000000000001</v>
      </c>
      <c r="F262">
        <v>42532301.939999998</v>
      </c>
      <c r="G262">
        <v>-15.33</v>
      </c>
      <c r="L262" t="s">
        <v>7</v>
      </c>
      <c r="M262" t="s">
        <v>7</v>
      </c>
      <c r="N262" t="s">
        <v>7</v>
      </c>
      <c r="P262">
        <f t="shared" ref="P262:P325" si="965">IF(C262=D262,0,((E262-D262)-(C262-E262))/(C262-D262))</f>
        <v>-0.76336746302616576</v>
      </c>
      <c r="Q262">
        <f t="shared" ref="Q262:Q325" si="966">F262*P262</f>
        <v>-32467775.428600665</v>
      </c>
      <c r="R262">
        <f t="shared" ref="R262:R325" si="967">R263+Q262</f>
        <v>-651871419.45382714</v>
      </c>
      <c r="S262">
        <f t="shared" ref="S262:S325" si="968">R262/100000</f>
        <v>-6518.7141945382718</v>
      </c>
      <c r="T262">
        <f t="shared" ref="T262:T325" si="969">S262/1000</f>
        <v>-6.5187141945382718</v>
      </c>
    </row>
    <row r="263" spans="1:20" x14ac:dyDescent="0.25">
      <c r="A263" s="5">
        <v>44330</v>
      </c>
      <c r="B263">
        <v>0.38200000000000001</v>
      </c>
      <c r="C263">
        <v>0.49359999999999998</v>
      </c>
      <c r="D263">
        <v>0.37430000000000002</v>
      </c>
      <c r="E263">
        <v>0.45590000000000003</v>
      </c>
      <c r="F263">
        <v>49110293.229999997</v>
      </c>
      <c r="G263">
        <v>19.350000000000001</v>
      </c>
      <c r="L263" t="s">
        <v>8</v>
      </c>
      <c r="M263" t="s">
        <v>8</v>
      </c>
      <c r="N263" t="s">
        <v>7</v>
      </c>
      <c r="P263">
        <f t="shared" si="965"/>
        <v>0.36797988264878512</v>
      </c>
      <c r="Q263">
        <f t="shared" si="966"/>
        <v>18071599.939622823</v>
      </c>
      <c r="R263">
        <f t="shared" si="967"/>
        <v>-619403644.02522647</v>
      </c>
      <c r="S263">
        <f t="shared" si="968"/>
        <v>-6194.0364402522646</v>
      </c>
      <c r="T263">
        <f t="shared" si="969"/>
        <v>-6.1940364402522645</v>
      </c>
    </row>
    <row r="264" spans="1:20" x14ac:dyDescent="0.25">
      <c r="A264" s="5">
        <v>44329</v>
      </c>
      <c r="B264">
        <v>0.37990000000000002</v>
      </c>
      <c r="C264">
        <v>0.44740000000000002</v>
      </c>
      <c r="D264">
        <v>0.35210000000000002</v>
      </c>
      <c r="E264">
        <v>0.38229999999999997</v>
      </c>
      <c r="F264">
        <v>40175973.799999997</v>
      </c>
      <c r="G264">
        <v>0.63</v>
      </c>
      <c r="L264" t="s">
        <v>7</v>
      </c>
      <c r="M264" t="s">
        <v>7</v>
      </c>
      <c r="N264" t="s">
        <v>7</v>
      </c>
      <c r="P264">
        <f t="shared" si="965"/>
        <v>-0.3662119622245551</v>
      </c>
      <c r="Q264">
        <f t="shared" si="966"/>
        <v>-14712922.199580314</v>
      </c>
      <c r="R264">
        <f t="shared" si="967"/>
        <v>-637475243.96484935</v>
      </c>
      <c r="S264">
        <f t="shared" si="968"/>
        <v>-6374.7524396484932</v>
      </c>
      <c r="T264">
        <f t="shared" si="969"/>
        <v>-6.3747524396484936</v>
      </c>
    </row>
    <row r="265" spans="1:20" x14ac:dyDescent="0.25">
      <c r="A265" s="5">
        <v>44328</v>
      </c>
      <c r="B265">
        <v>0.4718</v>
      </c>
      <c r="C265">
        <v>0.50490000000000002</v>
      </c>
      <c r="D265">
        <v>0.37709999999999999</v>
      </c>
      <c r="E265">
        <v>0.38</v>
      </c>
      <c r="F265">
        <v>36014893.140000001</v>
      </c>
      <c r="G265">
        <v>-19.46</v>
      </c>
      <c r="L265" t="s">
        <v>8</v>
      </c>
      <c r="M265" t="s">
        <v>7</v>
      </c>
      <c r="N265" t="s">
        <v>7</v>
      </c>
      <c r="P265">
        <f t="shared" si="965"/>
        <v>-0.95461658841940511</v>
      </c>
      <c r="Q265">
        <f t="shared" si="966"/>
        <v>-34380414.421596237</v>
      </c>
      <c r="R265">
        <f t="shared" si="967"/>
        <v>-622762321.76526904</v>
      </c>
      <c r="S265">
        <f t="shared" si="968"/>
        <v>-6227.6232176526901</v>
      </c>
      <c r="T265">
        <f t="shared" si="969"/>
        <v>-6.22762321765269</v>
      </c>
    </row>
    <row r="266" spans="1:20" x14ac:dyDescent="0.25">
      <c r="A266" s="5">
        <v>44327</v>
      </c>
      <c r="B266">
        <v>0.45069999999999999</v>
      </c>
      <c r="C266">
        <v>0.49769999999999998</v>
      </c>
      <c r="D266">
        <v>0.41660000000000003</v>
      </c>
      <c r="E266">
        <v>0.47110000000000002</v>
      </c>
      <c r="F266">
        <v>38467130.25</v>
      </c>
      <c r="G266">
        <v>4.53</v>
      </c>
      <c r="L266" t="s">
        <v>8</v>
      </c>
      <c r="M266" t="s">
        <v>8</v>
      </c>
      <c r="N266" t="s">
        <v>7</v>
      </c>
      <c r="P266">
        <f t="shared" si="965"/>
        <v>0.34401972872996367</v>
      </c>
      <c r="Q266">
        <f t="shared" si="966"/>
        <v>13233451.71362518</v>
      </c>
      <c r="R266">
        <f t="shared" si="967"/>
        <v>-588381907.34367275</v>
      </c>
      <c r="S266">
        <f t="shared" si="968"/>
        <v>-5883.8190734367272</v>
      </c>
      <c r="T266">
        <f t="shared" si="969"/>
        <v>-5.8838190734367268</v>
      </c>
    </row>
    <row r="267" spans="1:20" x14ac:dyDescent="0.25">
      <c r="A267" s="5">
        <v>44326</v>
      </c>
      <c r="B267">
        <v>0.50249999999999995</v>
      </c>
      <c r="C267">
        <v>0.56559999999999999</v>
      </c>
      <c r="D267">
        <v>0.4143</v>
      </c>
      <c r="E267">
        <v>0.45100000000000001</v>
      </c>
      <c r="F267">
        <v>60330224.990000002</v>
      </c>
      <c r="G267">
        <v>-10.25</v>
      </c>
      <c r="L267" t="s">
        <v>7</v>
      </c>
      <c r="M267" t="s">
        <v>7</v>
      </c>
      <c r="N267" t="s">
        <v>7</v>
      </c>
      <c r="P267">
        <f t="shared" si="965"/>
        <v>-0.51487111698612009</v>
      </c>
      <c r="Q267">
        <f t="shared" si="966"/>
        <v>-31062290.328625236</v>
      </c>
      <c r="R267">
        <f t="shared" si="967"/>
        <v>-601615359.05729795</v>
      </c>
      <c r="S267">
        <f t="shared" si="968"/>
        <v>-6016.1535905729797</v>
      </c>
      <c r="T267">
        <f t="shared" si="969"/>
        <v>-6.0161535905729799</v>
      </c>
    </row>
    <row r="268" spans="1:20" x14ac:dyDescent="0.25">
      <c r="A268" s="5">
        <v>44325</v>
      </c>
      <c r="B268">
        <v>0.53539999999999999</v>
      </c>
      <c r="C268">
        <v>0.57479999999999998</v>
      </c>
      <c r="D268">
        <v>0.47749999999999998</v>
      </c>
      <c r="E268">
        <v>0.50360000000000005</v>
      </c>
      <c r="F268">
        <v>84066140.989999995</v>
      </c>
      <c r="G268">
        <v>-5.94</v>
      </c>
      <c r="L268" t="s">
        <v>7</v>
      </c>
      <c r="M268" t="s">
        <v>7</v>
      </c>
      <c r="N268" t="s">
        <v>7</v>
      </c>
      <c r="P268">
        <f t="shared" si="965"/>
        <v>-0.46351490236382181</v>
      </c>
      <c r="Q268">
        <f t="shared" si="966"/>
        <v>-38965909.133083127</v>
      </c>
      <c r="R268">
        <f t="shared" si="967"/>
        <v>-570553068.72867274</v>
      </c>
      <c r="S268">
        <f t="shared" si="968"/>
        <v>-5705.5306872867277</v>
      </c>
      <c r="T268">
        <f t="shared" si="969"/>
        <v>-5.7055306872867275</v>
      </c>
    </row>
    <row r="269" spans="1:20" x14ac:dyDescent="0.25">
      <c r="A269" s="5">
        <v>44324</v>
      </c>
      <c r="B269">
        <v>0.51549999999999996</v>
      </c>
      <c r="C269">
        <v>0.69520000000000004</v>
      </c>
      <c r="D269">
        <v>0.49180000000000001</v>
      </c>
      <c r="E269">
        <v>0.5353</v>
      </c>
      <c r="F269">
        <v>386968397.95999998</v>
      </c>
      <c r="G269">
        <v>3.84</v>
      </c>
      <c r="L269" t="s">
        <v>8</v>
      </c>
      <c r="M269" t="s">
        <v>8</v>
      </c>
      <c r="N269" t="s">
        <v>8</v>
      </c>
      <c r="P269">
        <f t="shared" si="965"/>
        <v>-0.57227138643067865</v>
      </c>
      <c r="Q269">
        <f t="shared" si="966"/>
        <v>-221450941.6054278</v>
      </c>
      <c r="R269">
        <f t="shared" si="967"/>
        <v>-531587159.59558964</v>
      </c>
      <c r="S269">
        <f t="shared" si="968"/>
        <v>-5315.8715959558967</v>
      </c>
      <c r="T269">
        <f t="shared" si="969"/>
        <v>-5.3158715959558966</v>
      </c>
    </row>
    <row r="270" spans="1:20" x14ac:dyDescent="0.25">
      <c r="A270" s="5">
        <v>44323</v>
      </c>
      <c r="B270">
        <v>0.36170000000000002</v>
      </c>
      <c r="C270">
        <v>0.65649999999999997</v>
      </c>
      <c r="D270">
        <v>0.34820000000000001</v>
      </c>
      <c r="E270">
        <v>0.51539999999999997</v>
      </c>
      <c r="F270">
        <v>441172495.66000003</v>
      </c>
      <c r="G270">
        <v>42.49</v>
      </c>
      <c r="L270" t="s">
        <v>8</v>
      </c>
      <c r="M270" t="s">
        <v>8</v>
      </c>
      <c r="N270" t="s">
        <v>8</v>
      </c>
      <c r="P270">
        <f t="shared" si="965"/>
        <v>8.4657800843334283E-2</v>
      </c>
      <c r="Q270">
        <f t="shared" si="966"/>
        <v>37348693.275141038</v>
      </c>
      <c r="R270">
        <f t="shared" si="967"/>
        <v>-310136217.99016184</v>
      </c>
      <c r="S270">
        <f t="shared" si="968"/>
        <v>-3101.3621799016182</v>
      </c>
      <c r="T270">
        <f t="shared" si="969"/>
        <v>-3.101362179901618</v>
      </c>
    </row>
    <row r="271" spans="1:20" x14ac:dyDescent="0.25">
      <c r="A271" s="5">
        <v>44322</v>
      </c>
      <c r="B271">
        <v>0.3397</v>
      </c>
      <c r="C271">
        <v>0.36330000000000001</v>
      </c>
      <c r="D271">
        <v>0.32490000000000002</v>
      </c>
      <c r="E271">
        <v>0.36099999999999999</v>
      </c>
      <c r="F271">
        <v>28708946.579999998</v>
      </c>
      <c r="G271">
        <v>6.27</v>
      </c>
      <c r="L271" t="s">
        <v>8</v>
      </c>
      <c r="M271" t="s">
        <v>8</v>
      </c>
      <c r="N271" t="s">
        <v>8</v>
      </c>
      <c r="P271">
        <f t="shared" si="965"/>
        <v>0.88020833333333204</v>
      </c>
      <c r="Q271">
        <f t="shared" si="966"/>
        <v>25269854.020937461</v>
      </c>
      <c r="R271">
        <f t="shared" si="967"/>
        <v>-347484911.2653029</v>
      </c>
      <c r="S271">
        <f t="shared" si="968"/>
        <v>-3474.8491126530289</v>
      </c>
      <c r="T271">
        <f t="shared" si="969"/>
        <v>-3.474849112653029</v>
      </c>
    </row>
    <row r="272" spans="1:20" x14ac:dyDescent="0.25">
      <c r="A272" s="5">
        <v>44321</v>
      </c>
      <c r="B272">
        <v>0.30570000000000003</v>
      </c>
      <c r="C272">
        <v>0.35320000000000001</v>
      </c>
      <c r="D272">
        <v>0.3024</v>
      </c>
      <c r="E272">
        <v>0.3397</v>
      </c>
      <c r="F272">
        <v>20742341.120000001</v>
      </c>
      <c r="G272">
        <v>11.12</v>
      </c>
      <c r="L272" t="s">
        <v>8</v>
      </c>
      <c r="M272" t="s">
        <v>7</v>
      </c>
      <c r="N272" t="s">
        <v>8</v>
      </c>
      <c r="P272">
        <f t="shared" si="965"/>
        <v>0.46850393700787368</v>
      </c>
      <c r="Q272">
        <f t="shared" si="966"/>
        <v>9717868.4774803091</v>
      </c>
      <c r="R272">
        <f t="shared" si="967"/>
        <v>-372754765.28624034</v>
      </c>
      <c r="S272">
        <f t="shared" si="968"/>
        <v>-3727.5476528624035</v>
      </c>
      <c r="T272">
        <f t="shared" si="969"/>
        <v>-3.7275476528624036</v>
      </c>
    </row>
    <row r="273" spans="1:20" x14ac:dyDescent="0.25">
      <c r="A273" s="5">
        <v>44320</v>
      </c>
      <c r="B273">
        <v>0.3569</v>
      </c>
      <c r="C273">
        <v>0.37119999999999997</v>
      </c>
      <c r="D273">
        <v>0.30330000000000001</v>
      </c>
      <c r="E273">
        <v>0.30669999999999997</v>
      </c>
      <c r="F273">
        <v>30704277.120000001</v>
      </c>
      <c r="G273">
        <v>-14.07</v>
      </c>
      <c r="L273" t="s">
        <v>7</v>
      </c>
      <c r="M273" t="s">
        <v>7</v>
      </c>
      <c r="N273" t="s">
        <v>8</v>
      </c>
      <c r="P273">
        <f t="shared" si="965"/>
        <v>-0.89985272459499377</v>
      </c>
      <c r="Q273">
        <f t="shared" si="966"/>
        <v>-27629327.423151728</v>
      </c>
      <c r="R273">
        <f t="shared" si="967"/>
        <v>-382472633.76372063</v>
      </c>
      <c r="S273">
        <f t="shared" si="968"/>
        <v>-3824.7263376372061</v>
      </c>
      <c r="T273">
        <f t="shared" si="969"/>
        <v>-3.8247263376372063</v>
      </c>
    </row>
    <row r="274" spans="1:20" x14ac:dyDescent="0.25">
      <c r="A274" s="5">
        <v>44319</v>
      </c>
      <c r="B274">
        <v>0.34949999999999998</v>
      </c>
      <c r="C274">
        <v>0.37980000000000003</v>
      </c>
      <c r="D274">
        <v>0.34649999999999997</v>
      </c>
      <c r="E274">
        <v>0.35709999999999997</v>
      </c>
      <c r="F274">
        <v>18803850.829999998</v>
      </c>
      <c r="G274">
        <v>2.17</v>
      </c>
      <c r="L274" t="s">
        <v>8</v>
      </c>
      <c r="M274" t="s">
        <v>8</v>
      </c>
      <c r="N274" t="s">
        <v>8</v>
      </c>
      <c r="P274">
        <f t="shared" si="965"/>
        <v>-0.36336336336336444</v>
      </c>
      <c r="Q274">
        <f t="shared" si="966"/>
        <v>-6832630.4817717914</v>
      </c>
      <c r="R274">
        <f t="shared" si="967"/>
        <v>-354843306.3405689</v>
      </c>
      <c r="S274">
        <f t="shared" si="968"/>
        <v>-3548.4330634056892</v>
      </c>
      <c r="T274">
        <f t="shared" si="969"/>
        <v>-3.5484330634056893</v>
      </c>
    </row>
    <row r="275" spans="1:20" x14ac:dyDescent="0.25">
      <c r="A275" s="5">
        <v>44318</v>
      </c>
      <c r="B275">
        <v>0.36099999999999999</v>
      </c>
      <c r="C275">
        <v>0.37</v>
      </c>
      <c r="D275">
        <v>0.33989999999999998</v>
      </c>
      <c r="E275">
        <v>0.35</v>
      </c>
      <c r="F275">
        <v>16178624.92</v>
      </c>
      <c r="G275">
        <v>-3.05</v>
      </c>
      <c r="L275" t="s">
        <v>7</v>
      </c>
      <c r="M275" t="s">
        <v>8</v>
      </c>
      <c r="N275" t="s">
        <v>8</v>
      </c>
      <c r="P275">
        <f t="shared" si="965"/>
        <v>-0.32890365448505032</v>
      </c>
      <c r="Q275">
        <f t="shared" si="966"/>
        <v>-5321208.8607309051</v>
      </c>
      <c r="R275">
        <f t="shared" si="967"/>
        <v>-348010675.85879713</v>
      </c>
      <c r="S275">
        <f t="shared" si="968"/>
        <v>-3480.1067585879714</v>
      </c>
      <c r="T275">
        <f t="shared" si="969"/>
        <v>-3.4801067585879712</v>
      </c>
    </row>
    <row r="276" spans="1:20" x14ac:dyDescent="0.25">
      <c r="A276" s="5">
        <v>44317</v>
      </c>
      <c r="B276">
        <v>0.38140000000000002</v>
      </c>
      <c r="C276">
        <v>0.38729999999999998</v>
      </c>
      <c r="D276">
        <v>0.3523</v>
      </c>
      <c r="E276">
        <v>0.36099999999999999</v>
      </c>
      <c r="F276">
        <v>19117296.510000002</v>
      </c>
      <c r="G276">
        <v>-5.35</v>
      </c>
      <c r="L276" t="s">
        <v>7</v>
      </c>
      <c r="M276" t="s">
        <v>8</v>
      </c>
      <c r="N276" t="s">
        <v>8</v>
      </c>
      <c r="P276">
        <f t="shared" si="965"/>
        <v>-0.50285714285714334</v>
      </c>
      <c r="Q276">
        <f t="shared" si="966"/>
        <v>-9613269.1021714378</v>
      </c>
      <c r="R276">
        <f t="shared" si="967"/>
        <v>-342689466.99806625</v>
      </c>
      <c r="S276">
        <f t="shared" si="968"/>
        <v>-3426.8946699806625</v>
      </c>
      <c r="T276">
        <f t="shared" si="969"/>
        <v>-3.4268946699806624</v>
      </c>
    </row>
    <row r="277" spans="1:20" x14ac:dyDescent="0.25">
      <c r="A277" s="5">
        <v>44316</v>
      </c>
      <c r="B277">
        <v>0.32050000000000001</v>
      </c>
      <c r="C277">
        <v>0.38700000000000001</v>
      </c>
      <c r="D277">
        <v>0.31659999999999999</v>
      </c>
      <c r="E277">
        <v>0.38150000000000001</v>
      </c>
      <c r="F277">
        <v>32932000.59</v>
      </c>
      <c r="G277">
        <v>19.03</v>
      </c>
      <c r="L277" t="s">
        <v>8</v>
      </c>
      <c r="M277" t="s">
        <v>8</v>
      </c>
      <c r="N277" t="s">
        <v>8</v>
      </c>
      <c r="P277">
        <f t="shared" si="965"/>
        <v>0.84374999999999989</v>
      </c>
      <c r="Q277">
        <f t="shared" si="966"/>
        <v>27786375.497812495</v>
      </c>
      <c r="R277">
        <f t="shared" si="967"/>
        <v>-333076197.89589483</v>
      </c>
      <c r="S277">
        <f t="shared" si="968"/>
        <v>-3330.7619789589485</v>
      </c>
      <c r="T277">
        <f t="shared" si="969"/>
        <v>-3.3307619789589484</v>
      </c>
    </row>
    <row r="278" spans="1:20" x14ac:dyDescent="0.25">
      <c r="A278" s="5">
        <v>44315</v>
      </c>
      <c r="B278">
        <v>0.33100000000000002</v>
      </c>
      <c r="C278">
        <v>0.33489999999999998</v>
      </c>
      <c r="D278">
        <v>0.30430000000000001</v>
      </c>
      <c r="E278">
        <v>0.3201</v>
      </c>
      <c r="F278">
        <v>18546125.789999999</v>
      </c>
      <c r="G278">
        <v>-3.29</v>
      </c>
      <c r="L278" t="s">
        <v>8</v>
      </c>
      <c r="M278" t="s">
        <v>8</v>
      </c>
      <c r="N278" t="s">
        <v>8</v>
      </c>
      <c r="P278">
        <f t="shared" si="965"/>
        <v>3.2679738562091575E-2</v>
      </c>
      <c r="Q278">
        <f t="shared" si="966"/>
        <v>606082.54215686407</v>
      </c>
      <c r="R278">
        <f t="shared" si="967"/>
        <v>-360862573.39370733</v>
      </c>
      <c r="S278">
        <f t="shared" si="968"/>
        <v>-3608.6257339370732</v>
      </c>
      <c r="T278">
        <f t="shared" si="969"/>
        <v>-3.6086257339370733</v>
      </c>
    </row>
    <row r="279" spans="1:20" x14ac:dyDescent="0.25">
      <c r="A279" s="5">
        <v>44314</v>
      </c>
      <c r="B279">
        <v>0.34379999999999999</v>
      </c>
      <c r="C279">
        <v>0.35170000000000001</v>
      </c>
      <c r="D279">
        <v>0.29749999999999999</v>
      </c>
      <c r="E279">
        <v>0.33019999999999999</v>
      </c>
      <c r="F279">
        <v>26182146.879999999</v>
      </c>
      <c r="G279">
        <v>-3.96</v>
      </c>
      <c r="L279" t="s">
        <v>7</v>
      </c>
      <c r="M279" t="s">
        <v>8</v>
      </c>
      <c r="N279" t="s">
        <v>8</v>
      </c>
      <c r="P279">
        <f t="shared" si="965"/>
        <v>0.20664206642066388</v>
      </c>
      <c r="Q279">
        <f t="shared" si="966"/>
        <v>5410332.9346125377</v>
      </c>
      <c r="R279">
        <f t="shared" si="967"/>
        <v>-361468655.93586421</v>
      </c>
      <c r="S279">
        <f t="shared" si="968"/>
        <v>-3614.6865593586422</v>
      </c>
      <c r="T279">
        <f t="shared" si="969"/>
        <v>-3.6146865593586424</v>
      </c>
    </row>
    <row r="280" spans="1:20" x14ac:dyDescent="0.25">
      <c r="A280" s="5">
        <v>44313</v>
      </c>
      <c r="B280">
        <v>0.2974</v>
      </c>
      <c r="C280">
        <v>0.35780000000000001</v>
      </c>
      <c r="D280">
        <v>0.28639999999999999</v>
      </c>
      <c r="E280">
        <v>0.34399999999999997</v>
      </c>
      <c r="F280">
        <v>34348374.159999996</v>
      </c>
      <c r="G280">
        <v>15.67</v>
      </c>
      <c r="L280" t="s">
        <v>8</v>
      </c>
      <c r="M280" t="s">
        <v>8</v>
      </c>
      <c r="N280" t="s">
        <v>8</v>
      </c>
      <c r="P280">
        <f t="shared" si="965"/>
        <v>0.61344537815125966</v>
      </c>
      <c r="Q280">
        <f t="shared" si="966"/>
        <v>21070851.375462152</v>
      </c>
      <c r="R280">
        <f t="shared" si="967"/>
        <v>-366878988.87047672</v>
      </c>
      <c r="S280">
        <f t="shared" si="968"/>
        <v>-3668.7898887047672</v>
      </c>
      <c r="T280">
        <f t="shared" si="969"/>
        <v>-3.6687898887047674</v>
      </c>
    </row>
    <row r="281" spans="1:20" x14ac:dyDescent="0.25">
      <c r="A281" s="5">
        <v>44312</v>
      </c>
      <c r="B281">
        <v>0.2392</v>
      </c>
      <c r="C281">
        <v>0.30199999999999999</v>
      </c>
      <c r="D281">
        <v>0.23499999999999999</v>
      </c>
      <c r="E281">
        <v>0.2974</v>
      </c>
      <c r="F281">
        <v>34711233.369999997</v>
      </c>
      <c r="G281">
        <v>24.33</v>
      </c>
      <c r="L281" t="s">
        <v>8</v>
      </c>
      <c r="M281" t="s">
        <v>8</v>
      </c>
      <c r="N281" t="s">
        <v>8</v>
      </c>
      <c r="P281">
        <f t="shared" si="965"/>
        <v>0.86268656716417935</v>
      </c>
      <c r="Q281">
        <f t="shared" si="966"/>
        <v>29944914.758000005</v>
      </c>
      <c r="R281">
        <f t="shared" si="967"/>
        <v>-387949840.2459389</v>
      </c>
      <c r="S281">
        <f t="shared" si="968"/>
        <v>-3879.4984024593891</v>
      </c>
      <c r="T281">
        <f t="shared" si="969"/>
        <v>-3.8794984024593893</v>
      </c>
    </row>
    <row r="282" spans="1:20" x14ac:dyDescent="0.25">
      <c r="A282" s="5">
        <v>44311</v>
      </c>
      <c r="B282">
        <v>0.24399999999999999</v>
      </c>
      <c r="C282">
        <v>0.27500000000000002</v>
      </c>
      <c r="D282">
        <v>0.2185</v>
      </c>
      <c r="E282">
        <v>0.23910000000000001</v>
      </c>
      <c r="F282">
        <v>33025143.489999998</v>
      </c>
      <c r="G282">
        <v>-2.0099999999999998</v>
      </c>
      <c r="L282" t="s">
        <v>8</v>
      </c>
      <c r="M282" t="s">
        <v>7</v>
      </c>
      <c r="N282" t="s">
        <v>7</v>
      </c>
      <c r="P282">
        <f t="shared" si="965"/>
        <v>-0.27079646017699116</v>
      </c>
      <c r="Q282">
        <f t="shared" si="966"/>
        <v>-8943091.9539292026</v>
      </c>
      <c r="R282">
        <f t="shared" si="967"/>
        <v>-417894755.00393891</v>
      </c>
      <c r="S282">
        <f t="shared" si="968"/>
        <v>-4178.9475500393892</v>
      </c>
      <c r="T282">
        <f t="shared" si="969"/>
        <v>-4.1789475500393891</v>
      </c>
    </row>
    <row r="283" spans="1:20" x14ac:dyDescent="0.25">
      <c r="A283" s="5">
        <v>44310</v>
      </c>
      <c r="B283">
        <v>0.26279999999999998</v>
      </c>
      <c r="C283">
        <v>0.26979999999999998</v>
      </c>
      <c r="D283">
        <v>0.2326</v>
      </c>
      <c r="E283">
        <v>0.2437</v>
      </c>
      <c r="F283">
        <v>26610769.75</v>
      </c>
      <c r="G283">
        <v>-7.27</v>
      </c>
      <c r="L283" t="s">
        <v>8</v>
      </c>
      <c r="M283" t="s">
        <v>8</v>
      </c>
      <c r="N283" t="s">
        <v>7</v>
      </c>
      <c r="P283">
        <f t="shared" si="965"/>
        <v>-0.40322580645161271</v>
      </c>
      <c r="Q283">
        <f t="shared" si="966"/>
        <v>-10730149.092741931</v>
      </c>
      <c r="R283">
        <f t="shared" si="967"/>
        <v>-408951663.05000973</v>
      </c>
      <c r="S283">
        <f t="shared" si="968"/>
        <v>-4089.5166305000971</v>
      </c>
      <c r="T283">
        <f t="shared" si="969"/>
        <v>-4.0895166305000972</v>
      </c>
    </row>
    <row r="284" spans="1:20" x14ac:dyDescent="0.25">
      <c r="A284" s="5">
        <v>44309</v>
      </c>
      <c r="B284">
        <v>0.27439999999999998</v>
      </c>
      <c r="C284">
        <v>0.28160000000000002</v>
      </c>
      <c r="D284">
        <v>0.21299999999999999</v>
      </c>
      <c r="E284">
        <v>0.26290000000000002</v>
      </c>
      <c r="F284">
        <v>45358438.700000003</v>
      </c>
      <c r="G284">
        <v>-4.1900000000000004</v>
      </c>
      <c r="L284" t="s">
        <v>7</v>
      </c>
      <c r="M284" t="s">
        <v>7</v>
      </c>
      <c r="N284" t="s">
        <v>7</v>
      </c>
      <c r="P284">
        <f t="shared" si="965"/>
        <v>0.45481049562682252</v>
      </c>
      <c r="Q284">
        <f t="shared" si="966"/>
        <v>20629493.98600585</v>
      </c>
      <c r="R284">
        <f t="shared" si="967"/>
        <v>-398221513.95726782</v>
      </c>
      <c r="S284">
        <f t="shared" si="968"/>
        <v>-3982.2151395726783</v>
      </c>
      <c r="T284">
        <f t="shared" si="969"/>
        <v>-3.9822151395726784</v>
      </c>
    </row>
    <row r="285" spans="1:20" x14ac:dyDescent="0.25">
      <c r="A285" s="5">
        <v>44308</v>
      </c>
      <c r="B285">
        <v>0.307</v>
      </c>
      <c r="C285">
        <v>0.37</v>
      </c>
      <c r="D285">
        <v>0.27450000000000002</v>
      </c>
      <c r="E285">
        <v>0.2747</v>
      </c>
      <c r="F285">
        <v>55282228.909999996</v>
      </c>
      <c r="G285">
        <v>-10.52</v>
      </c>
      <c r="L285" t="s">
        <v>8</v>
      </c>
      <c r="M285" t="s">
        <v>7</v>
      </c>
      <c r="N285" t="s">
        <v>7</v>
      </c>
      <c r="P285">
        <f t="shared" si="965"/>
        <v>-0.99581151832460779</v>
      </c>
      <c r="Q285">
        <f t="shared" si="966"/>
        <v>-55050680.307235621</v>
      </c>
      <c r="R285">
        <f t="shared" si="967"/>
        <v>-418851007.94327366</v>
      </c>
      <c r="S285">
        <f t="shared" si="968"/>
        <v>-4188.5100794327363</v>
      </c>
      <c r="T285">
        <f t="shared" si="969"/>
        <v>-4.1885100794327368</v>
      </c>
    </row>
    <row r="286" spans="1:20" x14ac:dyDescent="0.25">
      <c r="A286" s="5">
        <v>44307</v>
      </c>
      <c r="B286">
        <v>0.3296</v>
      </c>
      <c r="C286">
        <v>0.34</v>
      </c>
      <c r="D286">
        <v>0.30509999999999998</v>
      </c>
      <c r="E286">
        <v>0.307</v>
      </c>
      <c r="F286">
        <v>22249796.030000001</v>
      </c>
      <c r="G286">
        <v>-6.86</v>
      </c>
      <c r="L286" t="s">
        <v>8</v>
      </c>
      <c r="M286" t="s">
        <v>7</v>
      </c>
      <c r="N286" t="s">
        <v>7</v>
      </c>
      <c r="P286">
        <f t="shared" si="965"/>
        <v>-0.89111747851002809</v>
      </c>
      <c r="Q286">
        <f t="shared" si="966"/>
        <v>-19827182.135616034</v>
      </c>
      <c r="R286">
        <f t="shared" si="967"/>
        <v>-363800327.63603806</v>
      </c>
      <c r="S286">
        <f t="shared" si="968"/>
        <v>-3638.0032763603808</v>
      </c>
      <c r="T286">
        <f t="shared" si="969"/>
        <v>-3.6380032763603807</v>
      </c>
    </row>
    <row r="287" spans="1:20" x14ac:dyDescent="0.25">
      <c r="A287" s="5">
        <v>44306</v>
      </c>
      <c r="B287">
        <v>0.31850000000000001</v>
      </c>
      <c r="C287">
        <v>0.3473</v>
      </c>
      <c r="D287">
        <v>0.28220000000000001</v>
      </c>
      <c r="E287">
        <v>0.3296</v>
      </c>
      <c r="F287">
        <v>36940524.469999999</v>
      </c>
      <c r="G287">
        <v>3.49</v>
      </c>
      <c r="L287" t="s">
        <v>7</v>
      </c>
      <c r="M287" t="s">
        <v>7</v>
      </c>
      <c r="N287" t="s">
        <v>7</v>
      </c>
      <c r="P287">
        <f t="shared" si="965"/>
        <v>0.45622119815668216</v>
      </c>
      <c r="Q287">
        <f t="shared" si="966"/>
        <v>16853050.334239636</v>
      </c>
      <c r="R287">
        <f t="shared" si="967"/>
        <v>-343973145.50042206</v>
      </c>
      <c r="S287">
        <f t="shared" si="968"/>
        <v>-3439.7314550042206</v>
      </c>
      <c r="T287">
        <f t="shared" si="969"/>
        <v>-3.4397314550042206</v>
      </c>
    </row>
    <row r="288" spans="1:20" x14ac:dyDescent="0.25">
      <c r="A288" s="5">
        <v>44305</v>
      </c>
      <c r="B288">
        <v>0.3528</v>
      </c>
      <c r="C288">
        <v>0.39689999999999998</v>
      </c>
      <c r="D288">
        <v>0.3125</v>
      </c>
      <c r="E288">
        <v>0.318</v>
      </c>
      <c r="F288">
        <v>28135861.18</v>
      </c>
      <c r="G288">
        <v>-9.86</v>
      </c>
      <c r="L288" t="s">
        <v>8</v>
      </c>
      <c r="M288" t="s">
        <v>8</v>
      </c>
      <c r="N288" t="s">
        <v>7</v>
      </c>
      <c r="P288">
        <f t="shared" si="965"/>
        <v>-0.86966824644549745</v>
      </c>
      <c r="Q288">
        <f t="shared" si="966"/>
        <v>-24468865.054644544</v>
      </c>
      <c r="R288">
        <f t="shared" si="967"/>
        <v>-360826195.83466172</v>
      </c>
      <c r="S288">
        <f t="shared" si="968"/>
        <v>-3608.2619583466171</v>
      </c>
      <c r="T288">
        <f t="shared" si="969"/>
        <v>-3.6082619583466173</v>
      </c>
    </row>
    <row r="289" spans="1:20" x14ac:dyDescent="0.25">
      <c r="A289" s="5">
        <v>44304</v>
      </c>
      <c r="B289">
        <v>0.40560000000000002</v>
      </c>
      <c r="C289">
        <v>0.40899999999999997</v>
      </c>
      <c r="D289">
        <v>0.31669999999999998</v>
      </c>
      <c r="E289">
        <v>0.35210000000000002</v>
      </c>
      <c r="F289">
        <v>27159814.23</v>
      </c>
      <c r="G289">
        <v>-13.19</v>
      </c>
      <c r="L289" t="s">
        <v>7</v>
      </c>
      <c r="M289" t="s">
        <v>7</v>
      </c>
      <c r="N289" t="s">
        <v>7</v>
      </c>
      <c r="P289">
        <f t="shared" si="965"/>
        <v>-0.23293607800649957</v>
      </c>
      <c r="Q289">
        <f t="shared" si="966"/>
        <v>-6326500.6061213175</v>
      </c>
      <c r="R289">
        <f t="shared" si="967"/>
        <v>-336357330.7800172</v>
      </c>
      <c r="S289">
        <f t="shared" si="968"/>
        <v>-3363.5733078001722</v>
      </c>
      <c r="T289">
        <f t="shared" si="969"/>
        <v>-3.3635733078001722</v>
      </c>
    </row>
    <row r="290" spans="1:20" x14ac:dyDescent="0.25">
      <c r="A290" s="5">
        <v>44303</v>
      </c>
      <c r="B290">
        <v>0.40870000000000001</v>
      </c>
      <c r="C290">
        <v>0.4597</v>
      </c>
      <c r="D290">
        <v>0.4017</v>
      </c>
      <c r="E290">
        <v>0.40560000000000002</v>
      </c>
      <c r="F290">
        <v>25393768.780000001</v>
      </c>
      <c r="G290">
        <v>-0.76</v>
      </c>
      <c r="L290" t="s">
        <v>8</v>
      </c>
      <c r="M290" t="s">
        <v>8</v>
      </c>
      <c r="N290" t="s">
        <v>7</v>
      </c>
      <c r="P290">
        <f t="shared" si="965"/>
        <v>-0.86551724137930985</v>
      </c>
      <c r="Q290">
        <f t="shared" si="966"/>
        <v>-21978744.702689644</v>
      </c>
      <c r="R290">
        <f t="shared" si="967"/>
        <v>-330030830.1738959</v>
      </c>
      <c r="S290">
        <f t="shared" si="968"/>
        <v>-3300.308301738959</v>
      </c>
      <c r="T290">
        <f t="shared" si="969"/>
        <v>-3.3003083017389589</v>
      </c>
    </row>
    <row r="291" spans="1:20" x14ac:dyDescent="0.25">
      <c r="A291" s="5">
        <v>44302</v>
      </c>
      <c r="B291">
        <v>0.4355</v>
      </c>
      <c r="C291">
        <v>0.43819999999999998</v>
      </c>
      <c r="D291">
        <v>0.38340000000000002</v>
      </c>
      <c r="E291">
        <v>0.40870000000000001</v>
      </c>
      <c r="F291">
        <v>24508249.399999999</v>
      </c>
      <c r="G291">
        <v>-6.15</v>
      </c>
      <c r="L291" t="s">
        <v>7</v>
      </c>
      <c r="M291" t="s">
        <v>7</v>
      </c>
      <c r="N291" t="s">
        <v>7</v>
      </c>
      <c r="P291">
        <f t="shared" si="965"/>
        <v>-7.664233576642307E-2</v>
      </c>
      <c r="Q291">
        <f t="shared" si="966"/>
        <v>-1878369.4795620367</v>
      </c>
      <c r="R291">
        <f t="shared" si="967"/>
        <v>-308052085.47120625</v>
      </c>
      <c r="S291">
        <f t="shared" si="968"/>
        <v>-3080.5208547120624</v>
      </c>
      <c r="T291">
        <f t="shared" si="969"/>
        <v>-3.0805208547120624</v>
      </c>
    </row>
    <row r="292" spans="1:20" x14ac:dyDescent="0.25">
      <c r="A292" s="5">
        <v>44301</v>
      </c>
      <c r="B292">
        <v>0.42630000000000001</v>
      </c>
      <c r="C292">
        <v>0.47339999999999999</v>
      </c>
      <c r="D292">
        <v>0.41789999999999999</v>
      </c>
      <c r="E292">
        <v>0.43530000000000002</v>
      </c>
      <c r="F292">
        <v>22973277.609999999</v>
      </c>
      <c r="G292">
        <v>2.11</v>
      </c>
      <c r="L292" t="s">
        <v>8</v>
      </c>
      <c r="M292" t="s">
        <v>7</v>
      </c>
      <c r="N292" t="s">
        <v>8</v>
      </c>
      <c r="P292">
        <f t="shared" si="965"/>
        <v>-0.37297297297297194</v>
      </c>
      <c r="Q292">
        <f t="shared" si="966"/>
        <v>-8568411.6491351109</v>
      </c>
      <c r="R292">
        <f t="shared" si="967"/>
        <v>-306173715.9916442</v>
      </c>
      <c r="S292">
        <f t="shared" si="968"/>
        <v>-3061.7371599164421</v>
      </c>
      <c r="T292">
        <f t="shared" si="969"/>
        <v>-3.0617371599164422</v>
      </c>
    </row>
    <row r="293" spans="1:20" x14ac:dyDescent="0.25">
      <c r="A293" s="5">
        <v>44300</v>
      </c>
      <c r="B293">
        <v>0.43780000000000002</v>
      </c>
      <c r="C293">
        <v>0.44579999999999997</v>
      </c>
      <c r="D293">
        <v>0.40079999999999999</v>
      </c>
      <c r="E293">
        <v>0.42599999999999999</v>
      </c>
      <c r="F293">
        <v>23644897.690000001</v>
      </c>
      <c r="G293">
        <v>-2.7</v>
      </c>
      <c r="L293" t="s">
        <v>7</v>
      </c>
      <c r="M293" t="s">
        <v>7</v>
      </c>
      <c r="N293" t="s">
        <v>8</v>
      </c>
      <c r="P293">
        <f t="shared" si="965"/>
        <v>0.1200000000000004</v>
      </c>
      <c r="Q293">
        <f t="shared" si="966"/>
        <v>2837387.7228000094</v>
      </c>
      <c r="R293">
        <f t="shared" si="967"/>
        <v>-297605304.34250909</v>
      </c>
      <c r="S293">
        <f t="shared" si="968"/>
        <v>-2976.0530434250909</v>
      </c>
      <c r="T293">
        <f t="shared" si="969"/>
        <v>-2.9760530434250909</v>
      </c>
    </row>
    <row r="294" spans="1:20" x14ac:dyDescent="0.25">
      <c r="A294" s="5">
        <v>44299</v>
      </c>
      <c r="B294">
        <v>0.46039999999999998</v>
      </c>
      <c r="C294">
        <v>0.4672</v>
      </c>
      <c r="D294">
        <v>0.43</v>
      </c>
      <c r="E294">
        <v>0.43780000000000002</v>
      </c>
      <c r="F294">
        <v>23958974.960000001</v>
      </c>
      <c r="G294">
        <v>-4.91</v>
      </c>
      <c r="L294" t="s">
        <v>7</v>
      </c>
      <c r="M294" t="s">
        <v>7</v>
      </c>
      <c r="N294" t="s">
        <v>8</v>
      </c>
      <c r="P294">
        <f t="shared" si="965"/>
        <v>-0.58064516129032118</v>
      </c>
      <c r="Q294">
        <f t="shared" si="966"/>
        <v>-13911662.879999967</v>
      </c>
      <c r="R294">
        <f t="shared" si="967"/>
        <v>-300442692.06530911</v>
      </c>
      <c r="S294">
        <f t="shared" si="968"/>
        <v>-3004.4269206530912</v>
      </c>
      <c r="T294">
        <f t="shared" si="969"/>
        <v>-3.0044269206530911</v>
      </c>
    </row>
    <row r="295" spans="1:20" x14ac:dyDescent="0.25">
      <c r="A295" s="5">
        <v>44298</v>
      </c>
      <c r="B295">
        <v>0.48770000000000002</v>
      </c>
      <c r="C295">
        <v>0.49890000000000001</v>
      </c>
      <c r="D295">
        <v>0.45029999999999998</v>
      </c>
      <c r="E295">
        <v>0.46039999999999998</v>
      </c>
      <c r="F295">
        <v>24139201.690000001</v>
      </c>
      <c r="G295">
        <v>-5.6</v>
      </c>
      <c r="L295" t="s">
        <v>8</v>
      </c>
      <c r="M295" t="s">
        <v>7</v>
      </c>
      <c r="N295" t="s">
        <v>8</v>
      </c>
      <c r="P295">
        <f t="shared" si="965"/>
        <v>-0.58436213991769581</v>
      </c>
      <c r="Q295">
        <f t="shared" si="966"/>
        <v>-14106035.555473261</v>
      </c>
      <c r="R295">
        <f t="shared" si="967"/>
        <v>-286531029.18530911</v>
      </c>
      <c r="S295">
        <f t="shared" si="968"/>
        <v>-2865.3102918530913</v>
      </c>
      <c r="T295">
        <f t="shared" si="969"/>
        <v>-2.8653102918530911</v>
      </c>
    </row>
    <row r="296" spans="1:20" x14ac:dyDescent="0.25">
      <c r="A296" s="5">
        <v>44297</v>
      </c>
      <c r="B296">
        <v>0.45950000000000002</v>
      </c>
      <c r="C296">
        <v>0.53590000000000004</v>
      </c>
      <c r="D296">
        <v>0.44619999999999999</v>
      </c>
      <c r="E296">
        <v>0.48899999999999999</v>
      </c>
      <c r="F296">
        <v>58503939.340000004</v>
      </c>
      <c r="G296">
        <v>6.42</v>
      </c>
      <c r="L296" t="s">
        <v>7</v>
      </c>
      <c r="M296" t="s">
        <v>7</v>
      </c>
      <c r="N296" t="s">
        <v>8</v>
      </c>
      <c r="P296">
        <f t="shared" si="965"/>
        <v>-4.5707915273133171E-2</v>
      </c>
      <c r="Q296">
        <f t="shared" si="966"/>
        <v>-2674093.1024972429</v>
      </c>
      <c r="R296">
        <f t="shared" si="967"/>
        <v>-272424993.62983584</v>
      </c>
      <c r="S296">
        <f t="shared" si="968"/>
        <v>-2724.2499362983585</v>
      </c>
      <c r="T296">
        <f t="shared" si="969"/>
        <v>-2.7242499362983583</v>
      </c>
    </row>
    <row r="297" spans="1:20" x14ac:dyDescent="0.25">
      <c r="A297" s="5">
        <v>44296</v>
      </c>
      <c r="B297">
        <v>0.44259999999999999</v>
      </c>
      <c r="C297">
        <v>0.55549999999999999</v>
      </c>
      <c r="D297">
        <v>0.43840000000000001</v>
      </c>
      <c r="E297">
        <v>0.45950000000000002</v>
      </c>
      <c r="F297">
        <v>90614955.5</v>
      </c>
      <c r="G297">
        <v>3.82</v>
      </c>
      <c r="L297" t="s">
        <v>8</v>
      </c>
      <c r="M297" t="s">
        <v>8</v>
      </c>
      <c r="N297" t="s">
        <v>8</v>
      </c>
      <c r="P297">
        <f t="shared" si="965"/>
        <v>-0.63962425277540547</v>
      </c>
      <c r="Q297">
        <f t="shared" si="966"/>
        <v>-57959523.201964118</v>
      </c>
      <c r="R297">
        <f t="shared" si="967"/>
        <v>-269750900.52733862</v>
      </c>
      <c r="S297">
        <f t="shared" si="968"/>
        <v>-2697.5090052733863</v>
      </c>
      <c r="T297">
        <f t="shared" si="969"/>
        <v>-2.6975090052733863</v>
      </c>
    </row>
    <row r="298" spans="1:20" x14ac:dyDescent="0.25">
      <c r="A298" s="5">
        <v>44295</v>
      </c>
      <c r="B298">
        <v>0.41099999999999998</v>
      </c>
      <c r="C298">
        <v>0.47</v>
      </c>
      <c r="D298">
        <v>0.3931</v>
      </c>
      <c r="E298">
        <v>0.44259999999999999</v>
      </c>
      <c r="F298">
        <v>40632664</v>
      </c>
      <c r="G298">
        <v>7.69</v>
      </c>
      <c r="L298" t="s">
        <v>8</v>
      </c>
      <c r="M298" t="s">
        <v>8</v>
      </c>
      <c r="N298" t="s">
        <v>8</v>
      </c>
      <c r="P298">
        <f t="shared" si="965"/>
        <v>0.28738621586475965</v>
      </c>
      <c r="Q298">
        <f t="shared" si="966"/>
        <v>11677267.547464248</v>
      </c>
      <c r="R298">
        <f t="shared" si="967"/>
        <v>-211791377.32537448</v>
      </c>
      <c r="S298">
        <f t="shared" si="968"/>
        <v>-2117.9137732537447</v>
      </c>
      <c r="T298">
        <f t="shared" si="969"/>
        <v>-2.1179137732537447</v>
      </c>
    </row>
    <row r="299" spans="1:20" x14ac:dyDescent="0.25">
      <c r="A299" s="5">
        <v>44294</v>
      </c>
      <c r="B299">
        <v>0.37280000000000002</v>
      </c>
      <c r="C299">
        <v>0.43719999999999998</v>
      </c>
      <c r="D299">
        <v>0.37169999999999997</v>
      </c>
      <c r="E299">
        <v>0.41049999999999998</v>
      </c>
      <c r="F299">
        <v>26166410.940000001</v>
      </c>
      <c r="G299">
        <v>10.11</v>
      </c>
      <c r="L299" t="s">
        <v>8</v>
      </c>
      <c r="M299" t="s">
        <v>8</v>
      </c>
      <c r="N299" t="s">
        <v>8</v>
      </c>
      <c r="P299">
        <f t="shared" si="965"/>
        <v>0.1847328244274809</v>
      </c>
      <c r="Q299">
        <f t="shared" si="966"/>
        <v>4833794.9980763355</v>
      </c>
      <c r="R299">
        <f t="shared" si="967"/>
        <v>-223468644.87283874</v>
      </c>
      <c r="S299">
        <f t="shared" si="968"/>
        <v>-2234.6864487283874</v>
      </c>
      <c r="T299">
        <f t="shared" si="969"/>
        <v>-2.2346864487283873</v>
      </c>
    </row>
    <row r="300" spans="1:20" x14ac:dyDescent="0.25">
      <c r="A300" s="5">
        <v>44293</v>
      </c>
      <c r="B300">
        <v>0.42780000000000001</v>
      </c>
      <c r="C300">
        <v>0.48</v>
      </c>
      <c r="D300">
        <v>0.36409999999999998</v>
      </c>
      <c r="E300">
        <v>0.37280000000000002</v>
      </c>
      <c r="F300">
        <v>42209951.549999997</v>
      </c>
      <c r="G300">
        <v>-12.86</v>
      </c>
      <c r="L300" t="s">
        <v>7</v>
      </c>
      <c r="M300" t="s">
        <v>7</v>
      </c>
      <c r="N300" t="s">
        <v>8</v>
      </c>
      <c r="P300">
        <f t="shared" si="965"/>
        <v>-0.84987057808455491</v>
      </c>
      <c r="Q300">
        <f t="shared" si="966"/>
        <v>-35872995.92471955</v>
      </c>
      <c r="R300">
        <f t="shared" si="967"/>
        <v>-228302439.87091509</v>
      </c>
      <c r="S300">
        <f t="shared" si="968"/>
        <v>-2283.0243987091508</v>
      </c>
      <c r="T300">
        <f t="shared" si="969"/>
        <v>-2.2830243987091507</v>
      </c>
    </row>
    <row r="301" spans="1:20" x14ac:dyDescent="0.25">
      <c r="A301" s="5">
        <v>44292</v>
      </c>
      <c r="B301">
        <v>0.42849999999999999</v>
      </c>
      <c r="C301">
        <v>0.47460000000000002</v>
      </c>
      <c r="D301">
        <v>0.42099999999999999</v>
      </c>
      <c r="E301">
        <v>0.42730000000000001</v>
      </c>
      <c r="F301">
        <v>49550185.020000003</v>
      </c>
      <c r="G301">
        <v>-0.28000000000000003</v>
      </c>
      <c r="L301" t="s">
        <v>8</v>
      </c>
      <c r="M301" t="s">
        <v>8</v>
      </c>
      <c r="N301" t="s">
        <v>8</v>
      </c>
      <c r="P301">
        <f t="shared" si="965"/>
        <v>-0.76492537313432751</v>
      </c>
      <c r="Q301">
        <f t="shared" si="966"/>
        <v>-37902193.765298471</v>
      </c>
      <c r="R301">
        <f t="shared" si="967"/>
        <v>-192429443.94619554</v>
      </c>
      <c r="S301">
        <f t="shared" si="968"/>
        <v>-1924.2944394619553</v>
      </c>
      <c r="T301">
        <f t="shared" si="969"/>
        <v>-1.9242944394619554</v>
      </c>
    </row>
    <row r="302" spans="1:20" x14ac:dyDescent="0.25">
      <c r="A302" s="5">
        <v>44291</v>
      </c>
      <c r="B302">
        <v>0.38040000000000002</v>
      </c>
      <c r="C302">
        <v>0.45600000000000002</v>
      </c>
      <c r="D302">
        <v>0.37119999999999997</v>
      </c>
      <c r="E302">
        <v>0.42820000000000003</v>
      </c>
      <c r="F302">
        <v>56688613.329999998</v>
      </c>
      <c r="G302">
        <v>12.57</v>
      </c>
      <c r="L302" t="s">
        <v>8</v>
      </c>
      <c r="M302" t="s">
        <v>8</v>
      </c>
      <c r="N302" t="s">
        <v>8</v>
      </c>
      <c r="P302">
        <f t="shared" si="965"/>
        <v>0.34433962264150997</v>
      </c>
      <c r="Q302">
        <f t="shared" si="966"/>
        <v>19520135.722122673</v>
      </c>
      <c r="R302">
        <f t="shared" si="967"/>
        <v>-154527250.18089706</v>
      </c>
      <c r="S302">
        <f t="shared" si="968"/>
        <v>-1545.2725018089707</v>
      </c>
      <c r="T302">
        <f t="shared" si="969"/>
        <v>-1.5452725018089706</v>
      </c>
    </row>
    <row r="303" spans="1:20" x14ac:dyDescent="0.25">
      <c r="A303" s="5">
        <v>44290</v>
      </c>
      <c r="B303">
        <v>0.33829999999999999</v>
      </c>
      <c r="C303">
        <v>0.4</v>
      </c>
      <c r="D303">
        <v>0.33229999999999998</v>
      </c>
      <c r="E303">
        <v>0.38009999999999999</v>
      </c>
      <c r="F303">
        <v>29785850.550000001</v>
      </c>
      <c r="G303">
        <v>12.36</v>
      </c>
      <c r="L303" t="s">
        <v>7</v>
      </c>
      <c r="M303" t="s">
        <v>8</v>
      </c>
      <c r="N303" t="s">
        <v>8</v>
      </c>
      <c r="P303">
        <f t="shared" si="965"/>
        <v>0.41211225997045736</v>
      </c>
      <c r="Q303">
        <f t="shared" si="966"/>
        <v>12275114.18530279</v>
      </c>
      <c r="R303">
        <f t="shared" si="967"/>
        <v>-174047385.90301973</v>
      </c>
      <c r="S303">
        <f t="shared" si="968"/>
        <v>-1740.4738590301972</v>
      </c>
      <c r="T303">
        <f t="shared" si="969"/>
        <v>-1.7404738590301971</v>
      </c>
    </row>
    <row r="304" spans="1:20" x14ac:dyDescent="0.25">
      <c r="A304" s="5">
        <v>44289</v>
      </c>
      <c r="B304">
        <v>0.38009999999999999</v>
      </c>
      <c r="C304">
        <v>0.38579999999999998</v>
      </c>
      <c r="D304">
        <v>0.33679999999999999</v>
      </c>
      <c r="E304">
        <v>0.33729999999999999</v>
      </c>
      <c r="F304">
        <v>29062463.609999999</v>
      </c>
      <c r="G304">
        <v>-11.26</v>
      </c>
      <c r="L304" t="s">
        <v>7</v>
      </c>
      <c r="M304" t="s">
        <v>7</v>
      </c>
      <c r="N304" t="s">
        <v>8</v>
      </c>
      <c r="P304">
        <f t="shared" si="965"/>
        <v>-0.97959183673469385</v>
      </c>
      <c r="Q304">
        <f t="shared" si="966"/>
        <v>-28469352.107755102</v>
      </c>
      <c r="R304">
        <f t="shared" si="967"/>
        <v>-186322500.08832252</v>
      </c>
      <c r="S304">
        <f t="shared" si="968"/>
        <v>-1863.2250008832252</v>
      </c>
      <c r="T304">
        <f t="shared" si="969"/>
        <v>-1.8632250008832252</v>
      </c>
    </row>
    <row r="305" spans="1:20" x14ac:dyDescent="0.25">
      <c r="A305" s="5">
        <v>44288</v>
      </c>
      <c r="B305">
        <v>0.35949999999999999</v>
      </c>
      <c r="C305">
        <v>0.4143</v>
      </c>
      <c r="D305">
        <v>0.34560000000000002</v>
      </c>
      <c r="E305">
        <v>0.37969999999999998</v>
      </c>
      <c r="F305">
        <v>56333683.770000003</v>
      </c>
      <c r="G305">
        <v>5.62</v>
      </c>
      <c r="L305" t="s">
        <v>8</v>
      </c>
      <c r="M305" t="s">
        <v>8</v>
      </c>
      <c r="N305" t="s">
        <v>8</v>
      </c>
      <c r="P305">
        <f t="shared" si="965"/>
        <v>-7.2780203784578758E-3</v>
      </c>
      <c r="Q305">
        <f t="shared" si="966"/>
        <v>-409997.69847166172</v>
      </c>
      <c r="R305">
        <f t="shared" si="967"/>
        <v>-157853147.98056743</v>
      </c>
      <c r="S305">
        <f t="shared" si="968"/>
        <v>-1578.5314798056743</v>
      </c>
      <c r="T305">
        <f t="shared" si="969"/>
        <v>-1.5785314798056742</v>
      </c>
    </row>
    <row r="306" spans="1:20" x14ac:dyDescent="0.25">
      <c r="A306" s="5">
        <v>44287</v>
      </c>
      <c r="B306">
        <v>0.34350000000000003</v>
      </c>
      <c r="C306">
        <v>0.36649999999999999</v>
      </c>
      <c r="D306">
        <v>0.33529999999999999</v>
      </c>
      <c r="E306">
        <v>0.35930000000000001</v>
      </c>
      <c r="F306">
        <v>29935445.829999998</v>
      </c>
      <c r="G306">
        <v>4.5999999999999996</v>
      </c>
      <c r="L306" t="s">
        <v>8</v>
      </c>
      <c r="M306" t="s">
        <v>8</v>
      </c>
      <c r="N306" t="s">
        <v>8</v>
      </c>
      <c r="P306">
        <f t="shared" si="965"/>
        <v>0.53846153846153955</v>
      </c>
      <c r="Q306">
        <f t="shared" si="966"/>
        <v>16119086.216153877</v>
      </c>
      <c r="R306">
        <f t="shared" si="967"/>
        <v>-157443150.28209576</v>
      </c>
      <c r="S306">
        <f t="shared" si="968"/>
        <v>-1574.4315028209576</v>
      </c>
      <c r="T306">
        <f t="shared" si="969"/>
        <v>-1.5744315028209577</v>
      </c>
    </row>
    <row r="307" spans="1:20" x14ac:dyDescent="0.25">
      <c r="A307" s="5">
        <v>44286</v>
      </c>
      <c r="B307">
        <v>0.33160000000000001</v>
      </c>
      <c r="C307">
        <v>0.3553</v>
      </c>
      <c r="D307">
        <v>0.30769999999999997</v>
      </c>
      <c r="E307">
        <v>0.34350000000000003</v>
      </c>
      <c r="F307">
        <v>41600164.409999996</v>
      </c>
      <c r="G307">
        <v>3.59</v>
      </c>
      <c r="L307" t="s">
        <v>7</v>
      </c>
      <c r="M307" t="s">
        <v>7</v>
      </c>
      <c r="N307" t="s">
        <v>8</v>
      </c>
      <c r="P307">
        <f t="shared" si="965"/>
        <v>0.50420168067227022</v>
      </c>
      <c r="Q307">
        <f t="shared" si="966"/>
        <v>20974872.811764758</v>
      </c>
      <c r="R307">
        <f t="shared" si="967"/>
        <v>-173562236.49824965</v>
      </c>
      <c r="S307">
        <f t="shared" si="968"/>
        <v>-1735.6223649824965</v>
      </c>
      <c r="T307">
        <f t="shared" si="969"/>
        <v>-1.7356223649824964</v>
      </c>
    </row>
    <row r="308" spans="1:20" x14ac:dyDescent="0.25">
      <c r="A308" s="5">
        <v>44285</v>
      </c>
      <c r="B308">
        <v>0.35389999999999999</v>
      </c>
      <c r="C308">
        <v>0.35930000000000001</v>
      </c>
      <c r="D308">
        <v>0.32200000000000001</v>
      </c>
      <c r="E308">
        <v>0.33119999999999999</v>
      </c>
      <c r="F308">
        <v>51079661.369999997</v>
      </c>
      <c r="G308">
        <v>-6.41</v>
      </c>
      <c r="L308" t="s">
        <v>7</v>
      </c>
      <c r="M308" t="s">
        <v>7</v>
      </c>
      <c r="N308" t="s">
        <v>8</v>
      </c>
      <c r="P308">
        <f t="shared" si="965"/>
        <v>-0.50670241286863349</v>
      </c>
      <c r="Q308">
        <f t="shared" si="966"/>
        <v>-25882187.664691728</v>
      </c>
      <c r="R308">
        <f t="shared" si="967"/>
        <v>-194537109.3100144</v>
      </c>
      <c r="S308">
        <f t="shared" si="968"/>
        <v>-1945.371093100144</v>
      </c>
      <c r="T308">
        <f t="shared" si="969"/>
        <v>-1.945371093100144</v>
      </c>
    </row>
    <row r="309" spans="1:20" x14ac:dyDescent="0.25">
      <c r="A309" s="5">
        <v>44284</v>
      </c>
      <c r="B309">
        <v>0.2949</v>
      </c>
      <c r="C309">
        <v>0.38</v>
      </c>
      <c r="D309">
        <v>0.28699999999999998</v>
      </c>
      <c r="E309">
        <v>0.35410000000000003</v>
      </c>
      <c r="F309">
        <v>91883589.450000003</v>
      </c>
      <c r="G309">
        <v>20.07</v>
      </c>
      <c r="L309" t="s">
        <v>8</v>
      </c>
      <c r="M309" t="s">
        <v>8</v>
      </c>
      <c r="N309" t="s">
        <v>8</v>
      </c>
      <c r="P309">
        <f t="shared" si="965"/>
        <v>0.44301075268817269</v>
      </c>
      <c r="Q309">
        <f t="shared" si="966"/>
        <v>40705418.121935546</v>
      </c>
      <c r="R309">
        <f t="shared" si="967"/>
        <v>-168654921.64532268</v>
      </c>
      <c r="S309">
        <f t="shared" si="968"/>
        <v>-1686.5492164532268</v>
      </c>
      <c r="T309">
        <f t="shared" si="969"/>
        <v>-1.6865492164532268</v>
      </c>
    </row>
    <row r="310" spans="1:20" x14ac:dyDescent="0.25">
      <c r="A310" s="5">
        <v>44283</v>
      </c>
      <c r="B310">
        <v>0.27150000000000002</v>
      </c>
      <c r="C310">
        <v>0.29499999999999998</v>
      </c>
      <c r="D310">
        <v>0.27</v>
      </c>
      <c r="E310">
        <v>0.2949</v>
      </c>
      <c r="F310">
        <v>38727026.200000003</v>
      </c>
      <c r="G310">
        <v>8.6199999999999992</v>
      </c>
      <c r="L310" t="s">
        <v>8</v>
      </c>
      <c r="M310" t="s">
        <v>7</v>
      </c>
      <c r="N310" t="s">
        <v>7</v>
      </c>
      <c r="P310">
        <f t="shared" si="965"/>
        <v>0.99200000000000088</v>
      </c>
      <c r="Q310">
        <f t="shared" si="966"/>
        <v>38417209.990400039</v>
      </c>
      <c r="R310">
        <f t="shared" si="967"/>
        <v>-209360339.76725823</v>
      </c>
      <c r="S310">
        <f t="shared" si="968"/>
        <v>-2093.6033976725821</v>
      </c>
      <c r="T310">
        <f t="shared" si="969"/>
        <v>-2.0936033976725823</v>
      </c>
    </row>
    <row r="311" spans="1:20" x14ac:dyDescent="0.25">
      <c r="A311" s="5">
        <v>44282</v>
      </c>
      <c r="B311">
        <v>0.27360000000000001</v>
      </c>
      <c r="C311">
        <v>0.28760000000000002</v>
      </c>
      <c r="D311">
        <v>0.26100000000000001</v>
      </c>
      <c r="E311">
        <v>0.27139999999999997</v>
      </c>
      <c r="F311">
        <v>33923664.409999996</v>
      </c>
      <c r="G311">
        <v>-0.8</v>
      </c>
      <c r="L311" t="s">
        <v>7</v>
      </c>
      <c r="M311" t="s">
        <v>7</v>
      </c>
      <c r="N311" t="s">
        <v>7</v>
      </c>
      <c r="P311">
        <f t="shared" si="965"/>
        <v>-0.2180451127819579</v>
      </c>
      <c r="Q311">
        <f t="shared" si="966"/>
        <v>-7396889.2322557401</v>
      </c>
      <c r="R311">
        <f t="shared" si="967"/>
        <v>-247777549.75765827</v>
      </c>
      <c r="S311">
        <f t="shared" si="968"/>
        <v>-2477.7754975765829</v>
      </c>
      <c r="T311">
        <f t="shared" si="969"/>
        <v>-2.4777754975765829</v>
      </c>
    </row>
    <row r="312" spans="1:20" x14ac:dyDescent="0.25">
      <c r="A312" s="5">
        <v>44281</v>
      </c>
      <c r="B312">
        <v>0.25280000000000002</v>
      </c>
      <c r="C312">
        <v>0.28999999999999998</v>
      </c>
      <c r="D312">
        <v>0.2525</v>
      </c>
      <c r="E312">
        <v>0.27360000000000001</v>
      </c>
      <c r="F312">
        <v>37164157.240000002</v>
      </c>
      <c r="G312">
        <v>8.23</v>
      </c>
      <c r="L312" t="s">
        <v>8</v>
      </c>
      <c r="M312" t="s">
        <v>7</v>
      </c>
      <c r="N312" t="s">
        <v>7</v>
      </c>
      <c r="P312">
        <f t="shared" si="965"/>
        <v>0.12533333333333441</v>
      </c>
      <c r="Q312">
        <f t="shared" si="966"/>
        <v>4657907.7074133735</v>
      </c>
      <c r="R312">
        <f t="shared" si="967"/>
        <v>-240380660.52540255</v>
      </c>
      <c r="S312">
        <f t="shared" si="968"/>
        <v>-2403.8066052540253</v>
      </c>
      <c r="T312">
        <f t="shared" si="969"/>
        <v>-2.4038066052540255</v>
      </c>
    </row>
    <row r="313" spans="1:20" x14ac:dyDescent="0.25">
      <c r="A313" s="5">
        <v>44280</v>
      </c>
      <c r="B313">
        <v>0.26340000000000002</v>
      </c>
      <c r="C313">
        <v>0.30730000000000002</v>
      </c>
      <c r="D313">
        <v>0.25</v>
      </c>
      <c r="E313">
        <v>0.25280000000000002</v>
      </c>
      <c r="F313">
        <v>99636343.799999997</v>
      </c>
      <c r="G313">
        <v>-4.0199999999999996</v>
      </c>
      <c r="L313" t="s">
        <v>7</v>
      </c>
      <c r="M313" t="s">
        <v>7</v>
      </c>
      <c r="N313" t="s">
        <v>7</v>
      </c>
      <c r="P313">
        <f t="shared" si="965"/>
        <v>-0.90226876090750352</v>
      </c>
      <c r="Q313">
        <f t="shared" si="966"/>
        <v>-89898760.461780012</v>
      </c>
      <c r="R313">
        <f t="shared" si="967"/>
        <v>-245038568.23281592</v>
      </c>
      <c r="S313">
        <f t="shared" si="968"/>
        <v>-2450.3856823281594</v>
      </c>
      <c r="T313">
        <f t="shared" si="969"/>
        <v>-2.4503856823281596</v>
      </c>
    </row>
    <row r="314" spans="1:20" x14ac:dyDescent="0.25">
      <c r="A314" s="5">
        <v>44279</v>
      </c>
      <c r="B314">
        <v>0.2389</v>
      </c>
      <c r="C314">
        <v>0.31340000000000001</v>
      </c>
      <c r="D314">
        <v>0.2311</v>
      </c>
      <c r="E314">
        <v>0.26350000000000001</v>
      </c>
      <c r="F314">
        <v>98300646.730000004</v>
      </c>
      <c r="G314">
        <v>10.3</v>
      </c>
      <c r="L314" t="s">
        <v>8</v>
      </c>
      <c r="M314" t="s">
        <v>8</v>
      </c>
      <c r="N314" t="s">
        <v>7</v>
      </c>
      <c r="P314">
        <f t="shared" si="965"/>
        <v>-0.21263669501822582</v>
      </c>
      <c r="Q314">
        <f t="shared" si="966"/>
        <v>-20902324.638821367</v>
      </c>
      <c r="R314">
        <f t="shared" si="967"/>
        <v>-155139807.77103591</v>
      </c>
      <c r="S314">
        <f t="shared" si="968"/>
        <v>-1551.3980777103591</v>
      </c>
      <c r="T314">
        <f t="shared" si="969"/>
        <v>-1.5513980777103591</v>
      </c>
    </row>
    <row r="315" spans="1:20" x14ac:dyDescent="0.25">
      <c r="A315" s="5">
        <v>44278</v>
      </c>
      <c r="B315">
        <v>0.24049999999999999</v>
      </c>
      <c r="C315">
        <v>0.25169999999999998</v>
      </c>
      <c r="D315">
        <v>0.22770000000000001</v>
      </c>
      <c r="E315">
        <v>0.2382</v>
      </c>
      <c r="F315">
        <v>27967283.629999999</v>
      </c>
      <c r="G315">
        <v>-0.96</v>
      </c>
      <c r="L315" t="s">
        <v>7</v>
      </c>
      <c r="M315" t="s">
        <v>7</v>
      </c>
      <c r="N315" t="s">
        <v>7</v>
      </c>
      <c r="P315">
        <f t="shared" si="965"/>
        <v>-0.12500000000000028</v>
      </c>
      <c r="Q315">
        <f t="shared" si="966"/>
        <v>-3495910.4537500078</v>
      </c>
      <c r="R315">
        <f t="shared" si="967"/>
        <v>-134237483.13221455</v>
      </c>
      <c r="S315">
        <f t="shared" si="968"/>
        <v>-1342.3748313221454</v>
      </c>
      <c r="T315">
        <f t="shared" si="969"/>
        <v>-1.3423748313221453</v>
      </c>
    </row>
    <row r="316" spans="1:20" x14ac:dyDescent="0.25">
      <c r="A316" s="5">
        <v>44277</v>
      </c>
      <c r="B316">
        <v>0.25019999999999998</v>
      </c>
      <c r="C316">
        <v>0.27</v>
      </c>
      <c r="D316">
        <v>0.2384</v>
      </c>
      <c r="E316">
        <v>0.24</v>
      </c>
      <c r="F316">
        <v>37672927.240000002</v>
      </c>
      <c r="G316">
        <v>-4.08</v>
      </c>
      <c r="L316" t="s">
        <v>8</v>
      </c>
      <c r="M316" t="s">
        <v>7</v>
      </c>
      <c r="N316" t="s">
        <v>7</v>
      </c>
      <c r="P316">
        <f t="shared" si="965"/>
        <v>-0.89873417721519056</v>
      </c>
      <c r="Q316">
        <f t="shared" si="966"/>
        <v>-33857947.266329139</v>
      </c>
      <c r="R316">
        <f t="shared" si="967"/>
        <v>-130741572.67846453</v>
      </c>
      <c r="S316">
        <f t="shared" si="968"/>
        <v>-1307.4157267846454</v>
      </c>
      <c r="T316">
        <f t="shared" si="969"/>
        <v>-1.3074157267846453</v>
      </c>
    </row>
    <row r="317" spans="1:20" x14ac:dyDescent="0.25">
      <c r="A317" s="5">
        <v>44276</v>
      </c>
      <c r="B317">
        <v>0.25319999999999998</v>
      </c>
      <c r="C317">
        <v>0.26090000000000002</v>
      </c>
      <c r="D317">
        <v>0.2379</v>
      </c>
      <c r="E317">
        <v>0.25069999999999998</v>
      </c>
      <c r="F317">
        <v>32803759.109999999</v>
      </c>
      <c r="G317">
        <v>-0.99</v>
      </c>
      <c r="L317" t="s">
        <v>7</v>
      </c>
      <c r="M317" t="s">
        <v>7</v>
      </c>
      <c r="N317" t="s">
        <v>7</v>
      </c>
      <c r="P317">
        <f t="shared" si="965"/>
        <v>0.11304347826086666</v>
      </c>
      <c r="Q317">
        <f t="shared" si="966"/>
        <v>3708251.029825992</v>
      </c>
      <c r="R317">
        <f t="shared" si="967"/>
        <v>-96883625.412135392</v>
      </c>
      <c r="S317">
        <f t="shared" si="968"/>
        <v>-968.83625412135393</v>
      </c>
      <c r="T317">
        <f t="shared" si="969"/>
        <v>-0.96883625412135388</v>
      </c>
    </row>
    <row r="318" spans="1:20" x14ac:dyDescent="0.25">
      <c r="A318" s="5">
        <v>44275</v>
      </c>
      <c r="B318">
        <v>0.28170000000000001</v>
      </c>
      <c r="C318">
        <v>0.28270000000000001</v>
      </c>
      <c r="D318">
        <v>0.252</v>
      </c>
      <c r="E318">
        <v>0.25319999999999998</v>
      </c>
      <c r="F318">
        <v>32072986.84</v>
      </c>
      <c r="G318">
        <v>-10.119999999999999</v>
      </c>
      <c r="L318" t="s">
        <v>7</v>
      </c>
      <c r="M318" t="s">
        <v>7</v>
      </c>
      <c r="N318" t="s">
        <v>8</v>
      </c>
      <c r="P318">
        <f t="shared" si="965"/>
        <v>-0.9218241042345291</v>
      </c>
      <c r="Q318">
        <f t="shared" si="966"/>
        <v>-29565652.363908838</v>
      </c>
      <c r="R318">
        <f t="shared" si="967"/>
        <v>-100591876.44196138</v>
      </c>
      <c r="S318">
        <f t="shared" si="968"/>
        <v>-1005.9187644196138</v>
      </c>
      <c r="T318">
        <f t="shared" si="969"/>
        <v>-1.0059187644196137</v>
      </c>
    </row>
    <row r="319" spans="1:20" x14ac:dyDescent="0.25">
      <c r="A319" s="5">
        <v>44274</v>
      </c>
      <c r="B319">
        <v>0.25600000000000001</v>
      </c>
      <c r="C319">
        <v>0.28299999999999997</v>
      </c>
      <c r="D319">
        <v>0.2487</v>
      </c>
      <c r="E319">
        <v>0.28239999999999998</v>
      </c>
      <c r="F319">
        <v>35715256.829999998</v>
      </c>
      <c r="G319">
        <v>10.31</v>
      </c>
      <c r="L319" t="s">
        <v>8</v>
      </c>
      <c r="M319" t="s">
        <v>7</v>
      </c>
      <c r="N319" t="s">
        <v>8</v>
      </c>
      <c r="P319">
        <f t="shared" si="965"/>
        <v>0.96501457725947581</v>
      </c>
      <c r="Q319">
        <f t="shared" si="966"/>
        <v>34465743.471516058</v>
      </c>
      <c r="R319">
        <f t="shared" si="967"/>
        <v>-71026224.078052536</v>
      </c>
      <c r="S319">
        <f t="shared" si="968"/>
        <v>-710.2622407805253</v>
      </c>
      <c r="T319">
        <f t="shared" si="969"/>
        <v>-0.71026224078052536</v>
      </c>
    </row>
    <row r="320" spans="1:20" x14ac:dyDescent="0.25">
      <c r="A320" s="5">
        <v>44273</v>
      </c>
      <c r="B320">
        <v>0.27429999999999999</v>
      </c>
      <c r="C320">
        <v>0.27900000000000003</v>
      </c>
      <c r="D320">
        <v>0.25369999999999998</v>
      </c>
      <c r="E320">
        <v>0.25590000000000002</v>
      </c>
      <c r="F320">
        <v>35587024.119999997</v>
      </c>
      <c r="G320">
        <v>-6.71</v>
      </c>
      <c r="L320" t="s">
        <v>8</v>
      </c>
      <c r="M320" t="s">
        <v>7</v>
      </c>
      <c r="N320" t="s">
        <v>8</v>
      </c>
      <c r="P320">
        <f t="shared" si="965"/>
        <v>-0.82608695652173669</v>
      </c>
      <c r="Q320">
        <f t="shared" si="966"/>
        <v>-29397976.446956433</v>
      </c>
      <c r="R320">
        <f t="shared" si="967"/>
        <v>-105491967.54956859</v>
      </c>
      <c r="S320">
        <f t="shared" si="968"/>
        <v>-1054.9196754956859</v>
      </c>
      <c r="T320">
        <f t="shared" si="969"/>
        <v>-1.0549196754956858</v>
      </c>
    </row>
    <row r="321" spans="1:20" x14ac:dyDescent="0.25">
      <c r="A321" s="5">
        <v>44272</v>
      </c>
      <c r="B321">
        <v>0.2676</v>
      </c>
      <c r="C321">
        <v>0.28199999999999997</v>
      </c>
      <c r="D321">
        <v>0.24690000000000001</v>
      </c>
      <c r="E321">
        <v>0.27300000000000002</v>
      </c>
      <c r="F321">
        <v>35211135.280000001</v>
      </c>
      <c r="G321">
        <v>2.02</v>
      </c>
      <c r="L321" t="s">
        <v>7</v>
      </c>
      <c r="M321" t="s">
        <v>7</v>
      </c>
      <c r="N321" t="s">
        <v>8</v>
      </c>
      <c r="P321">
        <f t="shared" si="965"/>
        <v>0.48717948717948939</v>
      </c>
      <c r="Q321">
        <f t="shared" si="966"/>
        <v>17154142.828718029</v>
      </c>
      <c r="R321">
        <f t="shared" si="967"/>
        <v>-76093991.102612168</v>
      </c>
      <c r="S321">
        <f t="shared" si="968"/>
        <v>-760.93991102612165</v>
      </c>
      <c r="T321">
        <f t="shared" si="969"/>
        <v>-0.76093991102612168</v>
      </c>
    </row>
    <row r="322" spans="1:20" x14ac:dyDescent="0.25">
      <c r="A322" s="5">
        <v>44271</v>
      </c>
      <c r="B322">
        <v>0.29459999999999997</v>
      </c>
      <c r="C322">
        <v>0.30409999999999998</v>
      </c>
      <c r="D322">
        <v>0.26300000000000001</v>
      </c>
      <c r="E322">
        <v>0.2676</v>
      </c>
      <c r="F322">
        <v>42844246.409999996</v>
      </c>
      <c r="G322">
        <v>-9.16</v>
      </c>
      <c r="L322" t="s">
        <v>8</v>
      </c>
      <c r="M322" t="s">
        <v>8</v>
      </c>
      <c r="N322" t="s">
        <v>8</v>
      </c>
      <c r="P322">
        <f t="shared" si="965"/>
        <v>-0.77615571776155734</v>
      </c>
      <c r="Q322">
        <f t="shared" si="966"/>
        <v>-33253806.824306574</v>
      </c>
      <c r="R322">
        <f t="shared" si="967"/>
        <v>-93248133.931330204</v>
      </c>
      <c r="S322">
        <f t="shared" si="968"/>
        <v>-932.48133931330199</v>
      </c>
      <c r="T322">
        <f t="shared" si="969"/>
        <v>-0.93248133931330202</v>
      </c>
    </row>
    <row r="323" spans="1:20" x14ac:dyDescent="0.25">
      <c r="A323" s="5">
        <v>44270</v>
      </c>
      <c r="B323">
        <v>0.2838</v>
      </c>
      <c r="C323">
        <v>0.31900000000000001</v>
      </c>
      <c r="D323">
        <v>0.25</v>
      </c>
      <c r="E323">
        <v>0.29430000000000001</v>
      </c>
      <c r="F323">
        <v>85917088.030000001</v>
      </c>
      <c r="G323">
        <v>3.7</v>
      </c>
      <c r="L323" t="s">
        <v>7</v>
      </c>
      <c r="M323" t="s">
        <v>7</v>
      </c>
      <c r="N323" t="s">
        <v>8</v>
      </c>
      <c r="P323">
        <f t="shared" si="965"/>
        <v>0.28405797101449282</v>
      </c>
      <c r="Q323">
        <f t="shared" si="966"/>
        <v>24405433.701275367</v>
      </c>
      <c r="R323">
        <f t="shared" si="967"/>
        <v>-59994327.107023627</v>
      </c>
      <c r="S323">
        <f t="shared" si="968"/>
        <v>-599.94327107023628</v>
      </c>
      <c r="T323">
        <f t="shared" si="969"/>
        <v>-0.59994327107023626</v>
      </c>
    </row>
    <row r="324" spans="1:20" x14ac:dyDescent="0.25">
      <c r="A324" s="5">
        <v>44269</v>
      </c>
      <c r="B324">
        <v>0.249</v>
      </c>
      <c r="C324">
        <v>0.32</v>
      </c>
      <c r="D324">
        <v>0.24310000000000001</v>
      </c>
      <c r="E324">
        <v>0.2838</v>
      </c>
      <c r="F324">
        <v>133194323.51000001</v>
      </c>
      <c r="G324">
        <v>13.98</v>
      </c>
      <c r="L324" t="s">
        <v>8</v>
      </c>
      <c r="M324" t="s">
        <v>8</v>
      </c>
      <c r="N324" t="s">
        <v>8</v>
      </c>
      <c r="P324">
        <f t="shared" si="965"/>
        <v>5.8517555266579667E-2</v>
      </c>
      <c r="Q324">
        <f t="shared" si="966"/>
        <v>7794206.1871911166</v>
      </c>
      <c r="R324">
        <f t="shared" si="967"/>
        <v>-84399760.80829899</v>
      </c>
      <c r="S324">
        <f t="shared" si="968"/>
        <v>-843.99760808298993</v>
      </c>
      <c r="T324">
        <f t="shared" si="969"/>
        <v>-0.84399760808298996</v>
      </c>
    </row>
    <row r="325" spans="1:20" x14ac:dyDescent="0.25">
      <c r="A325" s="5">
        <v>44268</v>
      </c>
      <c r="B325">
        <v>0.21229999999999999</v>
      </c>
      <c r="C325">
        <v>0.26600000000000001</v>
      </c>
      <c r="D325">
        <v>0.19919999999999999</v>
      </c>
      <c r="E325">
        <v>0.2495</v>
      </c>
      <c r="F325">
        <v>72379163</v>
      </c>
      <c r="G325">
        <v>17.52</v>
      </c>
      <c r="L325" t="s">
        <v>8</v>
      </c>
      <c r="M325" t="s">
        <v>8</v>
      </c>
      <c r="N325" t="s">
        <v>8</v>
      </c>
      <c r="P325">
        <f t="shared" si="965"/>
        <v>0.50598802395209552</v>
      </c>
      <c r="Q325">
        <f t="shared" si="966"/>
        <v>36622989.661676623</v>
      </c>
      <c r="R325">
        <f t="shared" si="967"/>
        <v>-92193966.995490104</v>
      </c>
      <c r="S325">
        <f t="shared" si="968"/>
        <v>-921.93966995490109</v>
      </c>
      <c r="T325">
        <f t="shared" si="969"/>
        <v>-0.92193966995490106</v>
      </c>
    </row>
    <row r="326" spans="1:20" x14ac:dyDescent="0.25">
      <c r="A326" s="5">
        <v>44267</v>
      </c>
      <c r="B326">
        <v>0.21329999999999999</v>
      </c>
      <c r="C326">
        <v>0.24959999999999999</v>
      </c>
      <c r="D326">
        <v>0.1986</v>
      </c>
      <c r="E326">
        <v>0.21299999999999999</v>
      </c>
      <c r="F326">
        <v>82456771.219999999</v>
      </c>
      <c r="G326">
        <v>-0.14000000000000001</v>
      </c>
      <c r="L326" t="s">
        <v>8</v>
      </c>
      <c r="M326" t="s">
        <v>8</v>
      </c>
      <c r="N326" t="s">
        <v>8</v>
      </c>
      <c r="P326">
        <f t="shared" ref="P326:P389" si="970">IF(C326=D326,0,((E326-D326)-(C326-E326))/(C326-D326))</f>
        <v>-0.43529411764705889</v>
      </c>
      <c r="Q326">
        <f t="shared" ref="Q326:Q389" si="971">F326*P326</f>
        <v>-35892947.4722353</v>
      </c>
      <c r="R326">
        <f t="shared" ref="R326:R389" si="972">R327+Q326</f>
        <v>-128816956.65716672</v>
      </c>
      <c r="S326">
        <f t="shared" ref="S326:S389" si="973">R326/100000</f>
        <v>-1288.1695665716672</v>
      </c>
      <c r="T326">
        <f t="shared" ref="T326:T389" si="974">S326/1000</f>
        <v>-1.2881695665716673</v>
      </c>
    </row>
    <row r="327" spans="1:20" x14ac:dyDescent="0.25">
      <c r="A327" s="5">
        <v>44266</v>
      </c>
      <c r="B327">
        <v>0.18149999999999999</v>
      </c>
      <c r="C327">
        <v>0.21410000000000001</v>
      </c>
      <c r="D327">
        <v>0.17599999999999999</v>
      </c>
      <c r="E327">
        <v>0.21310000000000001</v>
      </c>
      <c r="F327">
        <v>41618435.119999997</v>
      </c>
      <c r="G327">
        <v>17.41</v>
      </c>
      <c r="L327" t="s">
        <v>8</v>
      </c>
      <c r="M327" t="s">
        <v>7</v>
      </c>
      <c r="N327" t="s">
        <v>7</v>
      </c>
      <c r="P327">
        <f t="shared" si="970"/>
        <v>0.94750656167978997</v>
      </c>
      <c r="Q327">
        <f t="shared" si="971"/>
        <v>39433740.363044612</v>
      </c>
      <c r="R327">
        <f t="shared" si="972"/>
        <v>-92924009.184931427</v>
      </c>
      <c r="S327">
        <f t="shared" si="973"/>
        <v>-929.24009184931424</v>
      </c>
      <c r="T327">
        <f t="shared" si="974"/>
        <v>-0.92924009184931422</v>
      </c>
    </row>
    <row r="328" spans="1:20" x14ac:dyDescent="0.25">
      <c r="A328" s="5">
        <v>44265</v>
      </c>
      <c r="B328">
        <v>0.19470000000000001</v>
      </c>
      <c r="C328">
        <v>0.21329999999999999</v>
      </c>
      <c r="D328">
        <v>0.1757</v>
      </c>
      <c r="E328">
        <v>0.18179999999999999</v>
      </c>
      <c r="F328">
        <v>46365916.960000001</v>
      </c>
      <c r="G328">
        <v>-6.63</v>
      </c>
      <c r="L328" t="s">
        <v>8</v>
      </c>
      <c r="M328" t="s">
        <v>8</v>
      </c>
      <c r="N328" t="s">
        <v>7</v>
      </c>
      <c r="P328">
        <f t="shared" si="970"/>
        <v>-0.6755319148936173</v>
      </c>
      <c r="Q328">
        <f t="shared" si="971"/>
        <v>-31321656.669787247</v>
      </c>
      <c r="R328">
        <f t="shared" si="972"/>
        <v>-132357749.54797605</v>
      </c>
      <c r="S328">
        <f t="shared" si="973"/>
        <v>-1323.5774954797605</v>
      </c>
      <c r="T328">
        <f t="shared" si="974"/>
        <v>-1.3235774954797606</v>
      </c>
    </row>
    <row r="329" spans="1:20" x14ac:dyDescent="0.25">
      <c r="A329" s="5">
        <v>44264</v>
      </c>
      <c r="B329">
        <v>0.1724</v>
      </c>
      <c r="C329">
        <v>0.2001</v>
      </c>
      <c r="D329">
        <v>0.16950000000000001</v>
      </c>
      <c r="E329">
        <v>0.19470000000000001</v>
      </c>
      <c r="F329">
        <v>41646706.18</v>
      </c>
      <c r="G329">
        <v>12.94</v>
      </c>
      <c r="L329" t="s">
        <v>8</v>
      </c>
      <c r="M329" t="s">
        <v>8</v>
      </c>
      <c r="N329" t="s">
        <v>7</v>
      </c>
      <c r="P329">
        <f t="shared" si="970"/>
        <v>0.64705882352941235</v>
      </c>
      <c r="Q329">
        <f t="shared" si="971"/>
        <v>26947868.704705905</v>
      </c>
      <c r="R329">
        <f t="shared" si="972"/>
        <v>-101036092.8781888</v>
      </c>
      <c r="S329">
        <f t="shared" si="973"/>
        <v>-1010.360928781888</v>
      </c>
      <c r="T329">
        <f t="shared" si="974"/>
        <v>-1.010360928781888</v>
      </c>
    </row>
    <row r="330" spans="1:20" x14ac:dyDescent="0.25">
      <c r="A330" s="5">
        <v>44263</v>
      </c>
      <c r="B330">
        <v>0.16569999999999999</v>
      </c>
      <c r="C330">
        <v>0.1794</v>
      </c>
      <c r="D330">
        <v>0.1633</v>
      </c>
      <c r="E330">
        <v>0.17280000000000001</v>
      </c>
      <c r="F330">
        <v>26723760.5</v>
      </c>
      <c r="G330">
        <v>4.28</v>
      </c>
      <c r="L330" t="s">
        <v>8</v>
      </c>
      <c r="M330" t="s">
        <v>7</v>
      </c>
      <c r="N330" t="s">
        <v>7</v>
      </c>
      <c r="P330">
        <f t="shared" si="970"/>
        <v>0.18012422360248528</v>
      </c>
      <c r="Q330">
        <f t="shared" si="971"/>
        <v>4813596.6118012639</v>
      </c>
      <c r="R330">
        <f t="shared" si="972"/>
        <v>-127983961.58289471</v>
      </c>
      <c r="S330">
        <f t="shared" si="973"/>
        <v>-1279.8396158289472</v>
      </c>
      <c r="T330">
        <f t="shared" si="974"/>
        <v>-1.2798396158289471</v>
      </c>
    </row>
    <row r="331" spans="1:20" x14ac:dyDescent="0.25">
      <c r="A331" s="5">
        <v>44262</v>
      </c>
      <c r="B331">
        <v>0.16569999999999999</v>
      </c>
      <c r="C331">
        <v>0.1749</v>
      </c>
      <c r="D331">
        <v>0.16250000000000001</v>
      </c>
      <c r="E331">
        <v>0.1658</v>
      </c>
      <c r="F331">
        <v>21929298.489999998</v>
      </c>
      <c r="G331">
        <v>0.06</v>
      </c>
      <c r="L331" t="s">
        <v>8</v>
      </c>
      <c r="M331" t="s">
        <v>7</v>
      </c>
      <c r="N331" t="s">
        <v>7</v>
      </c>
      <c r="P331">
        <f t="shared" si="970"/>
        <v>-0.46774193548387116</v>
      </c>
      <c r="Q331">
        <f t="shared" si="971"/>
        <v>-10257252.519516133</v>
      </c>
      <c r="R331">
        <f t="shared" si="972"/>
        <v>-132797558.19469598</v>
      </c>
      <c r="S331">
        <f t="shared" si="973"/>
        <v>-1327.9755819469599</v>
      </c>
      <c r="T331">
        <f t="shared" si="974"/>
        <v>-1.3279755819469599</v>
      </c>
    </row>
    <row r="332" spans="1:20" x14ac:dyDescent="0.25">
      <c r="A332" s="5">
        <v>44261</v>
      </c>
      <c r="B332">
        <v>0.16400000000000001</v>
      </c>
      <c r="C332">
        <v>0.16850000000000001</v>
      </c>
      <c r="D332">
        <v>0.15859999999999999</v>
      </c>
      <c r="E332">
        <v>0.16589999999999999</v>
      </c>
      <c r="F332">
        <v>19230168.850000001</v>
      </c>
      <c r="G332">
        <v>1.1599999999999999</v>
      </c>
      <c r="L332" t="s">
        <v>8</v>
      </c>
      <c r="M332" t="s">
        <v>7</v>
      </c>
      <c r="N332" t="s">
        <v>7</v>
      </c>
      <c r="P332">
        <f t="shared" si="970"/>
        <v>0.47474747474747198</v>
      </c>
      <c r="Q332">
        <f t="shared" si="971"/>
        <v>9129474.1005049981</v>
      </c>
      <c r="R332">
        <f t="shared" si="972"/>
        <v>-122540305.67517984</v>
      </c>
      <c r="S332">
        <f t="shared" si="973"/>
        <v>-1225.4030567517984</v>
      </c>
      <c r="T332">
        <f t="shared" si="974"/>
        <v>-1.2254030567517984</v>
      </c>
    </row>
    <row r="333" spans="1:20" x14ac:dyDescent="0.25">
      <c r="A333" s="5">
        <v>44260</v>
      </c>
      <c r="B333">
        <v>0.17080000000000001</v>
      </c>
      <c r="C333">
        <v>0.17499999999999999</v>
      </c>
      <c r="D333">
        <v>0.15790000000000001</v>
      </c>
      <c r="E333">
        <v>0.16400000000000001</v>
      </c>
      <c r="F333">
        <v>30126876.010000002</v>
      </c>
      <c r="G333">
        <v>-3.98</v>
      </c>
      <c r="L333" t="s">
        <v>7</v>
      </c>
      <c r="M333" t="s">
        <v>7</v>
      </c>
      <c r="N333" t="s">
        <v>7</v>
      </c>
      <c r="P333">
        <f t="shared" si="970"/>
        <v>-0.28654970760233883</v>
      </c>
      <c r="Q333">
        <f t="shared" si="971"/>
        <v>-8632847.5116374176</v>
      </c>
      <c r="R333">
        <f t="shared" si="972"/>
        <v>-131669779.77568483</v>
      </c>
      <c r="S333">
        <f t="shared" si="973"/>
        <v>-1316.6977977568483</v>
      </c>
      <c r="T333">
        <f t="shared" si="974"/>
        <v>-1.3166977977568484</v>
      </c>
    </row>
    <row r="334" spans="1:20" x14ac:dyDescent="0.25">
      <c r="A334" s="5">
        <v>44259</v>
      </c>
      <c r="B334">
        <v>0.18579999999999999</v>
      </c>
      <c r="C334">
        <v>0.19389999999999999</v>
      </c>
      <c r="D334">
        <v>0.16600000000000001</v>
      </c>
      <c r="E334">
        <v>0.17080000000000001</v>
      </c>
      <c r="F334">
        <v>37188998.670000002</v>
      </c>
      <c r="G334">
        <v>-8.07</v>
      </c>
      <c r="L334" t="s">
        <v>7</v>
      </c>
      <c r="M334" t="s">
        <v>7</v>
      </c>
      <c r="N334" t="s">
        <v>7</v>
      </c>
      <c r="P334">
        <f t="shared" si="970"/>
        <v>-0.65591397849462352</v>
      </c>
      <c r="Q334">
        <f t="shared" si="971"/>
        <v>-24392784.073870964</v>
      </c>
      <c r="R334">
        <f t="shared" si="972"/>
        <v>-123036932.26404741</v>
      </c>
      <c r="S334">
        <f t="shared" si="973"/>
        <v>-1230.3693226404741</v>
      </c>
      <c r="T334">
        <f t="shared" si="974"/>
        <v>-1.2303693226404742</v>
      </c>
    </row>
    <row r="335" spans="1:20" x14ac:dyDescent="0.25">
      <c r="A335" s="5">
        <v>44258</v>
      </c>
      <c r="B335">
        <v>0.18240000000000001</v>
      </c>
      <c r="C335">
        <v>0.19570000000000001</v>
      </c>
      <c r="D335">
        <v>0.1797</v>
      </c>
      <c r="E335">
        <v>0.18579999999999999</v>
      </c>
      <c r="F335">
        <v>37306970.229999997</v>
      </c>
      <c r="G335">
        <v>1.86</v>
      </c>
      <c r="L335" t="s">
        <v>8</v>
      </c>
      <c r="M335" t="s">
        <v>8</v>
      </c>
      <c r="N335" t="s">
        <v>7</v>
      </c>
      <c r="P335">
        <f t="shared" si="970"/>
        <v>-0.23750000000000138</v>
      </c>
      <c r="Q335">
        <f t="shared" si="971"/>
        <v>-8860405.4296250511</v>
      </c>
      <c r="R335">
        <f t="shared" si="972"/>
        <v>-98644148.190176442</v>
      </c>
      <c r="S335">
        <f t="shared" si="973"/>
        <v>-986.4414819017644</v>
      </c>
      <c r="T335">
        <f t="shared" si="974"/>
        <v>-0.98644148190176439</v>
      </c>
    </row>
    <row r="336" spans="1:20" x14ac:dyDescent="0.25">
      <c r="A336" s="5">
        <v>44257</v>
      </c>
      <c r="B336">
        <v>0.191</v>
      </c>
      <c r="C336">
        <v>0.19900000000000001</v>
      </c>
      <c r="D336">
        <v>0.17519999999999999</v>
      </c>
      <c r="E336">
        <v>0.1825</v>
      </c>
      <c r="F336">
        <v>36053527.439999998</v>
      </c>
      <c r="G336">
        <v>-4.45</v>
      </c>
      <c r="L336" t="s">
        <v>7</v>
      </c>
      <c r="M336" t="s">
        <v>8</v>
      </c>
      <c r="N336" t="s">
        <v>7</v>
      </c>
      <c r="P336">
        <f t="shared" si="970"/>
        <v>-0.38655462184873984</v>
      </c>
      <c r="Q336">
        <f t="shared" si="971"/>
        <v>-13936657.665882364</v>
      </c>
      <c r="R336">
        <f t="shared" si="972"/>
        <v>-89783742.760551393</v>
      </c>
      <c r="S336">
        <f t="shared" si="973"/>
        <v>-897.83742760551388</v>
      </c>
      <c r="T336">
        <f t="shared" si="974"/>
        <v>-0.89783742760551388</v>
      </c>
    </row>
    <row r="337" spans="1:20" x14ac:dyDescent="0.25">
      <c r="A337" s="5">
        <v>44256</v>
      </c>
      <c r="B337">
        <v>0.16919999999999999</v>
      </c>
      <c r="C337">
        <v>0.2</v>
      </c>
      <c r="D337">
        <v>0.16889999999999999</v>
      </c>
      <c r="E337">
        <v>0.1915</v>
      </c>
      <c r="F337">
        <v>44377007.909999996</v>
      </c>
      <c r="G337">
        <v>13.18</v>
      </c>
      <c r="L337" t="s">
        <v>8</v>
      </c>
      <c r="M337" t="s">
        <v>8</v>
      </c>
      <c r="N337" t="s">
        <v>7</v>
      </c>
      <c r="P337">
        <f t="shared" si="970"/>
        <v>0.45337620578778115</v>
      </c>
      <c r="Q337">
        <f t="shared" si="971"/>
        <v>20119479.470450152</v>
      </c>
      <c r="R337">
        <f t="shared" si="972"/>
        <v>-75847085.094669029</v>
      </c>
      <c r="S337">
        <f t="shared" si="973"/>
        <v>-758.47085094669035</v>
      </c>
      <c r="T337">
        <f t="shared" si="974"/>
        <v>-0.75847085094669031</v>
      </c>
    </row>
    <row r="338" spans="1:20" x14ac:dyDescent="0.25">
      <c r="A338" s="5">
        <v>44255</v>
      </c>
      <c r="B338">
        <v>0.182</v>
      </c>
      <c r="C338">
        <v>0.1842</v>
      </c>
      <c r="D338">
        <v>0.1555</v>
      </c>
      <c r="E338">
        <v>0.16869999999999999</v>
      </c>
      <c r="F338">
        <v>43962788.009999998</v>
      </c>
      <c r="G338">
        <v>-7.31</v>
      </c>
      <c r="L338" t="s">
        <v>7</v>
      </c>
      <c r="M338" t="s">
        <v>7</v>
      </c>
      <c r="N338" t="s">
        <v>7</v>
      </c>
      <c r="P338">
        <f t="shared" si="970"/>
        <v>-8.0139372822300492E-2</v>
      </c>
      <c r="Q338">
        <f t="shared" si="971"/>
        <v>-3523150.2586411517</v>
      </c>
      <c r="R338">
        <f t="shared" si="972"/>
        <v>-95966564.565119177</v>
      </c>
      <c r="S338">
        <f t="shared" si="973"/>
        <v>-959.66564565119177</v>
      </c>
      <c r="T338">
        <f t="shared" si="974"/>
        <v>-0.95966564565119172</v>
      </c>
    </row>
    <row r="339" spans="1:20" x14ac:dyDescent="0.25">
      <c r="A339" s="5">
        <v>44254</v>
      </c>
      <c r="B339">
        <v>0.19600000000000001</v>
      </c>
      <c r="C339">
        <v>0.2099</v>
      </c>
      <c r="D339">
        <v>0.1767</v>
      </c>
      <c r="E339">
        <v>0.1822</v>
      </c>
      <c r="F339">
        <v>70767852.980000004</v>
      </c>
      <c r="G339">
        <v>-7.04</v>
      </c>
      <c r="L339" t="s">
        <v>7</v>
      </c>
      <c r="M339" t="s">
        <v>7</v>
      </c>
      <c r="N339" t="s">
        <v>7</v>
      </c>
      <c r="P339">
        <f t="shared" si="970"/>
        <v>-0.66867469879518049</v>
      </c>
      <c r="Q339">
        <f t="shared" si="971"/>
        <v>-47320672.775783122</v>
      </c>
      <c r="R339">
        <f t="shared" si="972"/>
        <v>-92443414.306478024</v>
      </c>
      <c r="S339">
        <f t="shared" si="973"/>
        <v>-924.43414306478019</v>
      </c>
      <c r="T339">
        <f t="shared" si="974"/>
        <v>-0.92443414306478022</v>
      </c>
    </row>
    <row r="340" spans="1:20" x14ac:dyDescent="0.25">
      <c r="A340" s="5">
        <v>44253</v>
      </c>
      <c r="B340">
        <v>0.18729999999999999</v>
      </c>
      <c r="C340">
        <v>0.25</v>
      </c>
      <c r="D340">
        <v>0.17510000000000001</v>
      </c>
      <c r="E340">
        <v>0.19600000000000001</v>
      </c>
      <c r="F340">
        <v>243126963.09</v>
      </c>
      <c r="G340">
        <v>4.6399999999999997</v>
      </c>
      <c r="L340" t="s">
        <v>8</v>
      </c>
      <c r="M340" t="s">
        <v>8</v>
      </c>
      <c r="N340" t="s">
        <v>8</v>
      </c>
      <c r="P340">
        <f t="shared" si="970"/>
        <v>-0.44192256341789043</v>
      </c>
      <c r="Q340">
        <f t="shared" si="971"/>
        <v>-107443290.76473963</v>
      </c>
      <c r="R340">
        <f t="shared" si="972"/>
        <v>-45122741.530694894</v>
      </c>
      <c r="S340">
        <f t="shared" si="973"/>
        <v>-451.22741530694896</v>
      </c>
      <c r="T340">
        <f t="shared" si="974"/>
        <v>-0.45122741530694893</v>
      </c>
    </row>
    <row r="341" spans="1:20" x14ac:dyDescent="0.25">
      <c r="A341" s="5">
        <v>44252</v>
      </c>
      <c r="B341">
        <v>0.16270000000000001</v>
      </c>
      <c r="C341">
        <v>0.20680000000000001</v>
      </c>
      <c r="D341">
        <v>0.15579999999999999</v>
      </c>
      <c r="E341">
        <v>0.1867</v>
      </c>
      <c r="F341">
        <v>91961939.739999995</v>
      </c>
      <c r="G341">
        <v>14.75</v>
      </c>
      <c r="L341" t="s">
        <v>8</v>
      </c>
      <c r="M341" t="s">
        <v>8</v>
      </c>
      <c r="N341" t="s">
        <v>8</v>
      </c>
      <c r="P341">
        <f t="shared" si="970"/>
        <v>0.21176470588235294</v>
      </c>
      <c r="Q341">
        <f t="shared" si="971"/>
        <v>19474293.121411763</v>
      </c>
      <c r="R341">
        <f t="shared" si="972"/>
        <v>62320549.234044738</v>
      </c>
      <c r="S341">
        <f t="shared" si="973"/>
        <v>623.20549234044734</v>
      </c>
      <c r="T341">
        <f t="shared" si="974"/>
        <v>0.62320549234044731</v>
      </c>
    </row>
    <row r="342" spans="1:20" x14ac:dyDescent="0.25">
      <c r="A342" s="5">
        <v>44251</v>
      </c>
      <c r="B342">
        <v>0.16270000000000001</v>
      </c>
      <c r="C342">
        <v>0.19</v>
      </c>
      <c r="D342">
        <v>0.15049999999999999</v>
      </c>
      <c r="E342">
        <v>0.16270000000000001</v>
      </c>
      <c r="F342">
        <v>54609800.990000002</v>
      </c>
      <c r="G342">
        <v>0</v>
      </c>
      <c r="L342" t="s">
        <v>8</v>
      </c>
      <c r="M342" t="s">
        <v>8</v>
      </c>
      <c r="N342" t="s">
        <v>8</v>
      </c>
      <c r="P342">
        <f t="shared" si="970"/>
        <v>-0.38227848101265749</v>
      </c>
      <c r="Q342">
        <f t="shared" si="971"/>
        <v>-20876151.77086072</v>
      </c>
      <c r="R342">
        <f t="shared" si="972"/>
        <v>42846256.112632975</v>
      </c>
      <c r="S342">
        <f t="shared" si="973"/>
        <v>428.46256112632977</v>
      </c>
      <c r="T342">
        <f t="shared" si="974"/>
        <v>0.4284625611263298</v>
      </c>
    </row>
    <row r="343" spans="1:20" x14ac:dyDescent="0.25">
      <c r="A343" s="5">
        <v>44250</v>
      </c>
      <c r="B343">
        <v>0.20250000000000001</v>
      </c>
      <c r="C343">
        <v>0.21279999999999999</v>
      </c>
      <c r="D343">
        <v>0.13400000000000001</v>
      </c>
      <c r="E343">
        <v>0.16259999999999999</v>
      </c>
      <c r="F343">
        <v>78975386.319999993</v>
      </c>
      <c r="G343">
        <v>-19.7</v>
      </c>
      <c r="L343" t="s">
        <v>7</v>
      </c>
      <c r="M343" t="s">
        <v>7</v>
      </c>
      <c r="N343" t="s">
        <v>7</v>
      </c>
      <c r="P343">
        <f t="shared" si="970"/>
        <v>-0.27411167512690371</v>
      </c>
      <c r="Q343">
        <f t="shared" si="971"/>
        <v>-21648075.437969554</v>
      </c>
      <c r="R343">
        <f t="shared" si="972"/>
        <v>63722407.883493692</v>
      </c>
      <c r="S343">
        <f t="shared" si="973"/>
        <v>637.2240788349369</v>
      </c>
      <c r="T343">
        <f t="shared" si="974"/>
        <v>0.63722407883493692</v>
      </c>
    </row>
    <row r="344" spans="1:20" x14ac:dyDescent="0.25">
      <c r="A344" s="5">
        <v>44249</v>
      </c>
      <c r="B344">
        <v>0.21990000000000001</v>
      </c>
      <c r="C344">
        <v>0.26800000000000002</v>
      </c>
      <c r="D344">
        <v>0.17469999999999999</v>
      </c>
      <c r="E344">
        <v>0.2016</v>
      </c>
      <c r="F344">
        <v>152556565.46000001</v>
      </c>
      <c r="G344">
        <v>-8.32</v>
      </c>
      <c r="L344" t="s">
        <v>8</v>
      </c>
      <c r="M344" t="s">
        <v>8</v>
      </c>
      <c r="N344" t="s">
        <v>8</v>
      </c>
      <c r="P344">
        <f t="shared" si="970"/>
        <v>-0.42336548767416932</v>
      </c>
      <c r="Q344">
        <f t="shared" si="971"/>
        <v>-64587184.73386924</v>
      </c>
      <c r="R344">
        <f t="shared" si="972"/>
        <v>85370483.321463242</v>
      </c>
      <c r="S344">
        <f t="shared" si="973"/>
        <v>853.70483321463246</v>
      </c>
      <c r="T344">
        <f t="shared" si="974"/>
        <v>0.85370483321463242</v>
      </c>
    </row>
    <row r="345" spans="1:20" x14ac:dyDescent="0.25">
      <c r="A345" s="5">
        <v>44248</v>
      </c>
      <c r="B345">
        <v>0.16889999999999999</v>
      </c>
      <c r="C345">
        <v>0.23899999999999999</v>
      </c>
      <c r="D345">
        <v>0.15770000000000001</v>
      </c>
      <c r="E345">
        <v>0.22</v>
      </c>
      <c r="F345">
        <v>83244555.060000002</v>
      </c>
      <c r="G345">
        <v>30.25</v>
      </c>
      <c r="L345" t="s">
        <v>8</v>
      </c>
      <c r="M345" t="s">
        <v>8</v>
      </c>
      <c r="N345" t="s">
        <v>8</v>
      </c>
      <c r="P345">
        <f t="shared" si="970"/>
        <v>0.53259532595325976</v>
      </c>
      <c r="Q345">
        <f t="shared" si="971"/>
        <v>44335660.936014779</v>
      </c>
      <c r="R345">
        <f t="shared" si="972"/>
        <v>149957668.05533248</v>
      </c>
      <c r="S345">
        <f t="shared" si="973"/>
        <v>1499.5766805533249</v>
      </c>
      <c r="T345">
        <f t="shared" si="974"/>
        <v>1.4995766805533248</v>
      </c>
    </row>
    <row r="346" spans="1:20" x14ac:dyDescent="0.25">
      <c r="A346" s="5">
        <v>44247</v>
      </c>
      <c r="B346">
        <v>0.1736</v>
      </c>
      <c r="C346">
        <v>0.1867</v>
      </c>
      <c r="D346">
        <v>0.155</v>
      </c>
      <c r="E346">
        <v>0.16819999999999999</v>
      </c>
      <c r="F346">
        <v>38188431.020000003</v>
      </c>
      <c r="G346">
        <v>-3.11</v>
      </c>
      <c r="L346" t="s">
        <v>7</v>
      </c>
      <c r="M346" t="s">
        <v>7</v>
      </c>
      <c r="N346" t="s">
        <v>7</v>
      </c>
      <c r="P346">
        <f t="shared" si="970"/>
        <v>-0.16719242902208284</v>
      </c>
      <c r="Q346">
        <f t="shared" si="971"/>
        <v>-6384816.5427760575</v>
      </c>
      <c r="R346">
        <f t="shared" si="972"/>
        <v>105622007.1193177</v>
      </c>
      <c r="S346">
        <f t="shared" si="973"/>
        <v>1056.2200711931769</v>
      </c>
      <c r="T346">
        <f t="shared" si="974"/>
        <v>1.0562200711931768</v>
      </c>
    </row>
    <row r="347" spans="1:20" x14ac:dyDescent="0.25">
      <c r="A347" s="5">
        <v>44246</v>
      </c>
      <c r="B347">
        <v>0.19120000000000001</v>
      </c>
      <c r="C347">
        <v>0.1978</v>
      </c>
      <c r="D347">
        <v>0.16750000000000001</v>
      </c>
      <c r="E347">
        <v>0.1734</v>
      </c>
      <c r="F347">
        <v>51318578.759999998</v>
      </c>
      <c r="G347">
        <v>-9.31</v>
      </c>
      <c r="L347" t="s">
        <v>7</v>
      </c>
      <c r="M347" t="s">
        <v>7</v>
      </c>
      <c r="N347" t="s">
        <v>8</v>
      </c>
      <c r="P347">
        <f t="shared" si="970"/>
        <v>-0.61056105610561118</v>
      </c>
      <c r="Q347">
        <f t="shared" si="971"/>
        <v>-31333125.645544585</v>
      </c>
      <c r="R347">
        <f t="shared" si="972"/>
        <v>112006823.66209376</v>
      </c>
      <c r="S347">
        <f t="shared" si="973"/>
        <v>1120.0682366209376</v>
      </c>
      <c r="T347">
        <f t="shared" si="974"/>
        <v>1.1200682366209376</v>
      </c>
    </row>
    <row r="348" spans="1:20" x14ac:dyDescent="0.25">
      <c r="A348" s="5">
        <v>44245</v>
      </c>
      <c r="B348">
        <v>0.1336</v>
      </c>
      <c r="C348">
        <v>0.222</v>
      </c>
      <c r="D348">
        <v>0.1328</v>
      </c>
      <c r="E348">
        <v>0.1913</v>
      </c>
      <c r="F348">
        <v>191683974.37</v>
      </c>
      <c r="G348">
        <v>43.19</v>
      </c>
      <c r="L348" t="s">
        <v>8</v>
      </c>
      <c r="M348" t="s">
        <v>8</v>
      </c>
      <c r="N348" t="s">
        <v>8</v>
      </c>
      <c r="P348">
        <f t="shared" si="970"/>
        <v>0.31165919282511201</v>
      </c>
      <c r="Q348">
        <f t="shared" si="971"/>
        <v>59740072.729663663</v>
      </c>
      <c r="R348">
        <f t="shared" si="972"/>
        <v>143339949.30763835</v>
      </c>
      <c r="S348">
        <f t="shared" si="973"/>
        <v>1433.3994930763836</v>
      </c>
      <c r="T348">
        <f t="shared" si="974"/>
        <v>1.4333994930763836</v>
      </c>
    </row>
    <row r="349" spans="1:20" x14ac:dyDescent="0.25">
      <c r="A349" s="5">
        <v>44244</v>
      </c>
      <c r="B349">
        <v>0.13500000000000001</v>
      </c>
      <c r="C349">
        <v>0.1389</v>
      </c>
      <c r="D349">
        <v>0.1235</v>
      </c>
      <c r="E349">
        <v>0.13350000000000001</v>
      </c>
      <c r="F349">
        <v>19874431.600000001</v>
      </c>
      <c r="G349">
        <v>-1.1100000000000001</v>
      </c>
      <c r="L349" t="s">
        <v>7</v>
      </c>
      <c r="M349" t="s">
        <v>8</v>
      </c>
      <c r="N349" t="s">
        <v>8</v>
      </c>
      <c r="P349">
        <f t="shared" si="970"/>
        <v>0.29870129870130013</v>
      </c>
      <c r="Q349">
        <f t="shared" si="971"/>
        <v>5936518.529870159</v>
      </c>
      <c r="R349">
        <f t="shared" si="972"/>
        <v>83599876.577974692</v>
      </c>
      <c r="S349">
        <f t="shared" si="973"/>
        <v>835.99876577974692</v>
      </c>
      <c r="T349">
        <f t="shared" si="974"/>
        <v>0.83599876577974697</v>
      </c>
    </row>
    <row r="350" spans="1:20" x14ac:dyDescent="0.25">
      <c r="A350" s="5">
        <v>44243</v>
      </c>
      <c r="B350">
        <v>0.13020000000000001</v>
      </c>
      <c r="C350">
        <v>0.14699999999999999</v>
      </c>
      <c r="D350">
        <v>0.12609999999999999</v>
      </c>
      <c r="E350">
        <v>0.1348</v>
      </c>
      <c r="F350">
        <v>33043971.969999999</v>
      </c>
      <c r="G350">
        <v>3.53</v>
      </c>
      <c r="L350" t="s">
        <v>8</v>
      </c>
      <c r="M350" t="s">
        <v>8</v>
      </c>
      <c r="N350" t="s">
        <v>8</v>
      </c>
      <c r="P350">
        <f t="shared" si="970"/>
        <v>-0.16746411483253468</v>
      </c>
      <c r="Q350">
        <f t="shared" si="971"/>
        <v>-5533679.5165071366</v>
      </c>
      <c r="R350">
        <f t="shared" si="972"/>
        <v>77663358.04810454</v>
      </c>
      <c r="S350">
        <f t="shared" si="973"/>
        <v>776.63358048104544</v>
      </c>
      <c r="T350">
        <f t="shared" si="974"/>
        <v>0.77663358048104547</v>
      </c>
    </row>
    <row r="351" spans="1:20" x14ac:dyDescent="0.25">
      <c r="A351" s="5">
        <v>44242</v>
      </c>
      <c r="B351">
        <v>0.1358</v>
      </c>
      <c r="C351">
        <v>0.14799999999999999</v>
      </c>
      <c r="D351">
        <v>0.1152</v>
      </c>
      <c r="E351">
        <v>0.13009999999999999</v>
      </c>
      <c r="F351">
        <v>45016407.490000002</v>
      </c>
      <c r="G351">
        <v>-4.2</v>
      </c>
      <c r="L351" t="s">
        <v>7</v>
      </c>
      <c r="M351" t="s">
        <v>7</v>
      </c>
      <c r="N351" t="s">
        <v>8</v>
      </c>
      <c r="P351">
        <f t="shared" si="970"/>
        <v>-9.1463414634146437E-2</v>
      </c>
      <c r="Q351">
        <f t="shared" si="971"/>
        <v>-4117354.3435975653</v>
      </c>
      <c r="R351">
        <f t="shared" si="972"/>
        <v>83197037.564611673</v>
      </c>
      <c r="S351">
        <f t="shared" si="973"/>
        <v>831.97037564611674</v>
      </c>
      <c r="T351">
        <f t="shared" si="974"/>
        <v>0.83197037564611676</v>
      </c>
    </row>
    <row r="352" spans="1:20" x14ac:dyDescent="0.25">
      <c r="A352" s="5">
        <v>44241</v>
      </c>
      <c r="B352">
        <v>0.14499999999999999</v>
      </c>
      <c r="C352">
        <v>0.1484</v>
      </c>
      <c r="D352">
        <v>0.126</v>
      </c>
      <c r="E352">
        <v>0.1353</v>
      </c>
      <c r="F352">
        <v>36622642.359999999</v>
      </c>
      <c r="G352">
        <v>-6.69</v>
      </c>
      <c r="L352" t="s">
        <v>7</v>
      </c>
      <c r="M352" t="s">
        <v>7</v>
      </c>
      <c r="N352" t="s">
        <v>8</v>
      </c>
      <c r="P352">
        <f t="shared" si="970"/>
        <v>-0.16964285714285701</v>
      </c>
      <c r="Q352">
        <f t="shared" si="971"/>
        <v>-6212769.6860714238</v>
      </c>
      <c r="R352">
        <f t="shared" si="972"/>
        <v>87314391.908209234</v>
      </c>
      <c r="S352">
        <f t="shared" si="973"/>
        <v>873.14391908209234</v>
      </c>
      <c r="T352">
        <f t="shared" si="974"/>
        <v>0.87314391908209232</v>
      </c>
    </row>
    <row r="353" spans="1:20" x14ac:dyDescent="0.25">
      <c r="A353" s="5">
        <v>44240</v>
      </c>
      <c r="B353">
        <v>0.1341</v>
      </c>
      <c r="C353">
        <v>0.14940000000000001</v>
      </c>
      <c r="D353">
        <v>0.12509999999999999</v>
      </c>
      <c r="E353">
        <v>0.14499999999999999</v>
      </c>
      <c r="F353">
        <v>55887457.899999999</v>
      </c>
      <c r="G353">
        <v>8.1300000000000008</v>
      </c>
      <c r="L353" t="s">
        <v>8</v>
      </c>
      <c r="M353" t="s">
        <v>8</v>
      </c>
      <c r="N353" t="s">
        <v>8</v>
      </c>
      <c r="P353">
        <f t="shared" si="970"/>
        <v>0.63786008230452573</v>
      </c>
      <c r="Q353">
        <f t="shared" si="971"/>
        <v>35648378.495884717</v>
      </c>
      <c r="R353">
        <f t="shared" si="972"/>
        <v>93527161.59428066</v>
      </c>
      <c r="S353">
        <f t="shared" si="973"/>
        <v>935.27161594280665</v>
      </c>
      <c r="T353">
        <f t="shared" si="974"/>
        <v>0.93527161594280661</v>
      </c>
    </row>
    <row r="354" spans="1:20" x14ac:dyDescent="0.25">
      <c r="A354" s="5">
        <v>44239</v>
      </c>
      <c r="B354">
        <v>0.1212</v>
      </c>
      <c r="C354">
        <v>0.1384</v>
      </c>
      <c r="D354">
        <v>0.1086</v>
      </c>
      <c r="E354">
        <v>0.13400000000000001</v>
      </c>
      <c r="F354">
        <v>45536403.43</v>
      </c>
      <c r="G354">
        <v>10.56</v>
      </c>
      <c r="L354" t="s">
        <v>8</v>
      </c>
      <c r="M354" t="s">
        <v>8</v>
      </c>
      <c r="N354" t="s">
        <v>8</v>
      </c>
      <c r="P354">
        <f t="shared" si="970"/>
        <v>0.70469798657718197</v>
      </c>
      <c r="Q354">
        <f t="shared" si="971"/>
        <v>32089411.813087281</v>
      </c>
      <c r="R354">
        <f t="shared" si="972"/>
        <v>57878783.098395944</v>
      </c>
      <c r="S354">
        <f t="shared" si="973"/>
        <v>578.78783098395945</v>
      </c>
      <c r="T354">
        <f t="shared" si="974"/>
        <v>0.57878783098395947</v>
      </c>
    </row>
    <row r="355" spans="1:20" x14ac:dyDescent="0.25">
      <c r="A355" s="5">
        <v>44238</v>
      </c>
      <c r="B355">
        <v>0.1106</v>
      </c>
      <c r="C355">
        <v>0.1298</v>
      </c>
      <c r="D355">
        <v>0.1057</v>
      </c>
      <c r="E355">
        <v>0.12089999999999999</v>
      </c>
      <c r="F355">
        <v>54112931.329999998</v>
      </c>
      <c r="G355">
        <v>9.31</v>
      </c>
      <c r="L355" t="s">
        <v>8</v>
      </c>
      <c r="M355" t="s">
        <v>8</v>
      </c>
      <c r="N355" t="s">
        <v>8</v>
      </c>
      <c r="P355">
        <f t="shared" si="970"/>
        <v>0.2614107883817422</v>
      </c>
      <c r="Q355">
        <f t="shared" si="971"/>
        <v>14145704.040622378</v>
      </c>
      <c r="R355">
        <f t="shared" si="972"/>
        <v>25789371.285308667</v>
      </c>
      <c r="S355">
        <f t="shared" si="973"/>
        <v>257.89371285308664</v>
      </c>
      <c r="T355">
        <f t="shared" si="974"/>
        <v>0.25789371285308665</v>
      </c>
    </row>
    <row r="356" spans="1:20" x14ac:dyDescent="0.25">
      <c r="A356" s="5">
        <v>44237</v>
      </c>
      <c r="B356">
        <v>9.5600000000000004E-2</v>
      </c>
      <c r="C356">
        <v>0.11509999999999999</v>
      </c>
      <c r="D356">
        <v>9.0499999999999997E-2</v>
      </c>
      <c r="E356">
        <v>0.1106</v>
      </c>
      <c r="F356">
        <v>79303045.439999998</v>
      </c>
      <c r="G356">
        <v>15.69</v>
      </c>
      <c r="L356" t="s">
        <v>8</v>
      </c>
      <c r="M356" t="s">
        <v>8</v>
      </c>
      <c r="N356" t="s">
        <v>8</v>
      </c>
      <c r="P356">
        <f t="shared" si="970"/>
        <v>0.63414634146341542</v>
      </c>
      <c r="Q356">
        <f t="shared" si="971"/>
        <v>50289736.132682987</v>
      </c>
      <c r="R356">
        <f t="shared" si="972"/>
        <v>11643667.244686291</v>
      </c>
      <c r="S356">
        <f t="shared" si="973"/>
        <v>116.4366724468629</v>
      </c>
      <c r="T356">
        <f t="shared" si="974"/>
        <v>0.1164366724468629</v>
      </c>
    </row>
    <row r="357" spans="1:20" x14ac:dyDescent="0.25">
      <c r="A357" s="5">
        <v>44236</v>
      </c>
      <c r="B357">
        <v>8.6099999999999996E-2</v>
      </c>
      <c r="C357">
        <v>9.6000000000000002E-2</v>
      </c>
      <c r="D357">
        <v>8.5500000000000007E-2</v>
      </c>
      <c r="E357">
        <v>9.5600000000000004E-2</v>
      </c>
      <c r="F357">
        <v>44956937.420000002</v>
      </c>
      <c r="G357">
        <v>11.03</v>
      </c>
      <c r="L357" t="s">
        <v>8</v>
      </c>
      <c r="M357" t="s">
        <v>8</v>
      </c>
      <c r="N357" t="s">
        <v>8</v>
      </c>
      <c r="P357">
        <f t="shared" si="970"/>
        <v>0.92380952380952419</v>
      </c>
      <c r="Q357">
        <f t="shared" si="971"/>
        <v>41531646.949904777</v>
      </c>
      <c r="R357">
        <f t="shared" si="972"/>
        <v>-38646068.887996696</v>
      </c>
      <c r="S357">
        <f t="shared" si="973"/>
        <v>-386.46068887996694</v>
      </c>
      <c r="T357">
        <f t="shared" si="974"/>
        <v>-0.38646068887996693</v>
      </c>
    </row>
    <row r="358" spans="1:20" x14ac:dyDescent="0.25">
      <c r="A358" s="5">
        <v>44235</v>
      </c>
      <c r="B358">
        <v>8.1600000000000006E-2</v>
      </c>
      <c r="C358">
        <v>8.7999999999999995E-2</v>
      </c>
      <c r="D358">
        <v>8.0100000000000005E-2</v>
      </c>
      <c r="E358">
        <v>8.5900000000000004E-2</v>
      </c>
      <c r="F358">
        <v>26478856.84</v>
      </c>
      <c r="G358">
        <v>5.27</v>
      </c>
      <c r="L358" t="s">
        <v>8</v>
      </c>
      <c r="M358" t="s">
        <v>8</v>
      </c>
      <c r="N358" t="s">
        <v>7</v>
      </c>
      <c r="P358">
        <f t="shared" si="970"/>
        <v>0.4683544303797485</v>
      </c>
      <c r="Q358">
        <f t="shared" si="971"/>
        <v>12401489.912405107</v>
      </c>
      <c r="R358">
        <f t="shared" si="972"/>
        <v>-80177715.837901473</v>
      </c>
      <c r="S358">
        <f t="shared" si="973"/>
        <v>-801.77715837901474</v>
      </c>
      <c r="T358">
        <f t="shared" si="974"/>
        <v>-0.80177715837901475</v>
      </c>
    </row>
    <row r="359" spans="1:20" x14ac:dyDescent="0.25">
      <c r="A359" s="5">
        <v>44234</v>
      </c>
      <c r="B359">
        <v>8.0799999999999997E-2</v>
      </c>
      <c r="C359">
        <v>8.5300000000000001E-2</v>
      </c>
      <c r="D359">
        <v>7.7600000000000002E-2</v>
      </c>
      <c r="E359">
        <v>8.1299999999999997E-2</v>
      </c>
      <c r="F359">
        <v>20830808.449999999</v>
      </c>
      <c r="G359">
        <v>0.62</v>
      </c>
      <c r="L359" t="s">
        <v>7</v>
      </c>
      <c r="M359" t="s">
        <v>8</v>
      </c>
      <c r="N359" t="s">
        <v>7</v>
      </c>
      <c r="P359">
        <f t="shared" si="970"/>
        <v>-3.8961038961040084E-2</v>
      </c>
      <c r="Q359">
        <f t="shared" si="971"/>
        <v>-811589.93961041293</v>
      </c>
      <c r="R359">
        <f t="shared" si="972"/>
        <v>-92579205.750306576</v>
      </c>
      <c r="S359">
        <f t="shared" si="973"/>
        <v>-925.79205750306573</v>
      </c>
      <c r="T359">
        <f t="shared" si="974"/>
        <v>-0.9257920575030657</v>
      </c>
    </row>
    <row r="360" spans="1:20" x14ac:dyDescent="0.25">
      <c r="A360" s="5">
        <v>44233</v>
      </c>
      <c r="B360">
        <v>8.9099999999999999E-2</v>
      </c>
      <c r="C360">
        <v>8.9899999999999994E-2</v>
      </c>
      <c r="D360">
        <v>8.0100000000000005E-2</v>
      </c>
      <c r="E360">
        <v>8.0799999999999997E-2</v>
      </c>
      <c r="F360">
        <v>23088623.329999998</v>
      </c>
      <c r="G360">
        <v>-9.32</v>
      </c>
      <c r="L360" t="s">
        <v>7</v>
      </c>
      <c r="M360" t="s">
        <v>8</v>
      </c>
      <c r="N360" t="s">
        <v>7</v>
      </c>
      <c r="P360">
        <f t="shared" si="970"/>
        <v>-0.85714285714285854</v>
      </c>
      <c r="Q360">
        <f t="shared" si="971"/>
        <v>-19790248.56857146</v>
      </c>
      <c r="R360">
        <f t="shared" si="972"/>
        <v>-91767615.81069617</v>
      </c>
      <c r="S360">
        <f t="shared" si="973"/>
        <v>-917.67615810696168</v>
      </c>
      <c r="T360">
        <f t="shared" si="974"/>
        <v>-0.91767615810696168</v>
      </c>
    </row>
    <row r="361" spans="1:20" x14ac:dyDescent="0.25">
      <c r="A361" s="5">
        <v>44232</v>
      </c>
      <c r="B361">
        <v>8.5800000000000001E-2</v>
      </c>
      <c r="C361">
        <v>0.09</v>
      </c>
      <c r="D361">
        <v>8.3599999999999994E-2</v>
      </c>
      <c r="E361">
        <v>8.8900000000000007E-2</v>
      </c>
      <c r="F361">
        <v>30875568.550000001</v>
      </c>
      <c r="G361">
        <v>3.61</v>
      </c>
      <c r="L361" t="s">
        <v>8</v>
      </c>
      <c r="M361" t="s">
        <v>8</v>
      </c>
      <c r="N361" t="s">
        <v>7</v>
      </c>
      <c r="P361">
        <f t="shared" si="970"/>
        <v>0.65625000000000333</v>
      </c>
      <c r="Q361">
        <f t="shared" si="971"/>
        <v>20262091.860937603</v>
      </c>
      <c r="R361">
        <f t="shared" si="972"/>
        <v>-71977367.242124707</v>
      </c>
      <c r="S361">
        <f t="shared" si="973"/>
        <v>-719.77367242124706</v>
      </c>
      <c r="T361">
        <f t="shared" si="974"/>
        <v>-0.71977367242124701</v>
      </c>
    </row>
    <row r="362" spans="1:20" x14ac:dyDescent="0.25">
      <c r="A362" s="5">
        <v>44231</v>
      </c>
      <c r="B362">
        <v>8.0699999999999994E-2</v>
      </c>
      <c r="C362">
        <v>8.5999999999999993E-2</v>
      </c>
      <c r="D362">
        <v>7.6200000000000004E-2</v>
      </c>
      <c r="E362">
        <v>8.5800000000000001E-2</v>
      </c>
      <c r="F362">
        <v>32851902.57</v>
      </c>
      <c r="G362">
        <v>6.32</v>
      </c>
      <c r="L362" t="s">
        <v>8</v>
      </c>
      <c r="M362" t="s">
        <v>8</v>
      </c>
      <c r="N362" t="s">
        <v>7</v>
      </c>
      <c r="P362">
        <f t="shared" si="970"/>
        <v>0.95918367346938938</v>
      </c>
      <c r="Q362">
        <f t="shared" si="971"/>
        <v>31511008.587551072</v>
      </c>
      <c r="R362">
        <f t="shared" si="972"/>
        <v>-92239459.103062317</v>
      </c>
      <c r="S362">
        <f t="shared" si="973"/>
        <v>-922.39459103062313</v>
      </c>
      <c r="T362">
        <f t="shared" si="974"/>
        <v>-0.92239459103062316</v>
      </c>
    </row>
    <row r="363" spans="1:20" x14ac:dyDescent="0.25">
      <c r="A363" s="5">
        <v>44230</v>
      </c>
      <c r="B363">
        <v>7.3899999999999993E-2</v>
      </c>
      <c r="C363">
        <v>8.1199999999999994E-2</v>
      </c>
      <c r="D363">
        <v>7.3499999999999996E-2</v>
      </c>
      <c r="E363">
        <v>8.0699999999999994E-2</v>
      </c>
      <c r="F363">
        <v>31735526.699999999</v>
      </c>
      <c r="G363">
        <v>9.1999999999999993</v>
      </c>
      <c r="L363" t="s">
        <v>8</v>
      </c>
      <c r="M363" t="s">
        <v>8</v>
      </c>
      <c r="N363" t="s">
        <v>7</v>
      </c>
      <c r="P363">
        <f t="shared" si="970"/>
        <v>0.87012987012986998</v>
      </c>
      <c r="Q363">
        <f t="shared" si="971"/>
        <v>27614029.72597402</v>
      </c>
      <c r="R363">
        <f t="shared" si="972"/>
        <v>-123750467.69061339</v>
      </c>
      <c r="S363">
        <f t="shared" si="973"/>
        <v>-1237.5046769061339</v>
      </c>
      <c r="T363">
        <f t="shared" si="974"/>
        <v>-1.237504676906134</v>
      </c>
    </row>
    <row r="364" spans="1:20" x14ac:dyDescent="0.25">
      <c r="A364" s="5">
        <v>44229</v>
      </c>
      <c r="B364">
        <v>7.2300000000000003E-2</v>
      </c>
      <c r="C364">
        <v>7.5499999999999998E-2</v>
      </c>
      <c r="D364">
        <v>7.0599999999999996E-2</v>
      </c>
      <c r="E364">
        <v>7.3700000000000002E-2</v>
      </c>
      <c r="F364">
        <v>17577727.25</v>
      </c>
      <c r="G364">
        <v>1.94</v>
      </c>
      <c r="L364" t="s">
        <v>8</v>
      </c>
      <c r="M364" t="s">
        <v>8</v>
      </c>
      <c r="N364" t="s">
        <v>7</v>
      </c>
      <c r="P364">
        <f t="shared" si="970"/>
        <v>0.26530612244898144</v>
      </c>
      <c r="Q364">
        <f t="shared" si="971"/>
        <v>4663478.6581632979</v>
      </c>
      <c r="R364">
        <f t="shared" si="972"/>
        <v>-151364497.41658741</v>
      </c>
      <c r="S364">
        <f t="shared" si="973"/>
        <v>-1513.6449741658741</v>
      </c>
      <c r="T364">
        <f t="shared" si="974"/>
        <v>-1.5136449741658742</v>
      </c>
    </row>
    <row r="365" spans="1:20" x14ac:dyDescent="0.25">
      <c r="A365" s="5">
        <v>44228</v>
      </c>
      <c r="B365">
        <v>7.2099999999999997E-2</v>
      </c>
      <c r="C365">
        <v>7.2700000000000001E-2</v>
      </c>
      <c r="D365">
        <v>7.0199999999999999E-2</v>
      </c>
      <c r="E365">
        <v>7.2400000000000006E-2</v>
      </c>
      <c r="F365">
        <v>17618610.43</v>
      </c>
      <c r="G365">
        <v>0.42</v>
      </c>
      <c r="L365" t="s">
        <v>7</v>
      </c>
      <c r="M365" t="s">
        <v>8</v>
      </c>
      <c r="N365" t="s">
        <v>7</v>
      </c>
      <c r="P365">
        <f t="shared" si="970"/>
        <v>0.76000000000000445</v>
      </c>
      <c r="Q365">
        <f t="shared" si="971"/>
        <v>13390143.926800078</v>
      </c>
      <c r="R365">
        <f t="shared" si="972"/>
        <v>-156027976.07475072</v>
      </c>
      <c r="S365">
        <f t="shared" si="973"/>
        <v>-1560.2797607475072</v>
      </c>
      <c r="T365">
        <f t="shared" si="974"/>
        <v>-1.5602797607475072</v>
      </c>
    </row>
    <row r="366" spans="1:20" x14ac:dyDescent="0.25">
      <c r="A366" s="5">
        <v>44227</v>
      </c>
      <c r="B366">
        <v>7.4700000000000003E-2</v>
      </c>
      <c r="C366">
        <v>7.5499999999999998E-2</v>
      </c>
      <c r="D366">
        <v>7.0900000000000005E-2</v>
      </c>
      <c r="E366">
        <v>7.2300000000000003E-2</v>
      </c>
      <c r="F366">
        <v>17155514.23</v>
      </c>
      <c r="G366">
        <v>-3.21</v>
      </c>
      <c r="L366" t="s">
        <v>8</v>
      </c>
      <c r="M366" t="s">
        <v>8</v>
      </c>
      <c r="N366" t="s">
        <v>7</v>
      </c>
      <c r="P366">
        <f t="shared" si="970"/>
        <v>-0.3913043478260867</v>
      </c>
      <c r="Q366">
        <f t="shared" si="971"/>
        <v>-6713027.3073912999</v>
      </c>
      <c r="R366">
        <f t="shared" si="972"/>
        <v>-169418120.00155079</v>
      </c>
      <c r="S366">
        <f t="shared" si="973"/>
        <v>-1694.181200015508</v>
      </c>
      <c r="T366">
        <f t="shared" si="974"/>
        <v>-1.6941812000155081</v>
      </c>
    </row>
    <row r="367" spans="1:20" x14ac:dyDescent="0.25">
      <c r="A367" s="5">
        <v>44226</v>
      </c>
      <c r="B367">
        <v>7.17E-2</v>
      </c>
      <c r="C367">
        <v>7.5499999999999998E-2</v>
      </c>
      <c r="D367">
        <v>6.9900000000000004E-2</v>
      </c>
      <c r="E367">
        <v>7.4700000000000003E-2</v>
      </c>
      <c r="F367">
        <v>22011704.91</v>
      </c>
      <c r="G367">
        <v>4.18</v>
      </c>
      <c r="L367" t="s">
        <v>8</v>
      </c>
      <c r="M367" t="s">
        <v>8</v>
      </c>
      <c r="N367" t="s">
        <v>7</v>
      </c>
      <c r="P367">
        <f t="shared" si="970"/>
        <v>0.71428571428571574</v>
      </c>
      <c r="Q367">
        <f t="shared" si="971"/>
        <v>15722646.364285747</v>
      </c>
      <c r="R367">
        <f t="shared" si="972"/>
        <v>-162705092.69415951</v>
      </c>
      <c r="S367">
        <f t="shared" si="973"/>
        <v>-1627.050926941595</v>
      </c>
      <c r="T367">
        <f t="shared" si="974"/>
        <v>-1.6270509269415949</v>
      </c>
    </row>
    <row r="368" spans="1:20" x14ac:dyDescent="0.25">
      <c r="A368" s="5">
        <v>44225</v>
      </c>
      <c r="B368">
        <v>7.0499999999999993E-2</v>
      </c>
      <c r="C368">
        <v>7.3800000000000004E-2</v>
      </c>
      <c r="D368">
        <v>6.5500000000000003E-2</v>
      </c>
      <c r="E368">
        <v>7.1599999999999997E-2</v>
      </c>
      <c r="F368">
        <v>30902392.559999999</v>
      </c>
      <c r="G368">
        <v>1.56</v>
      </c>
      <c r="L368" t="s">
        <v>7</v>
      </c>
      <c r="M368" t="s">
        <v>7</v>
      </c>
      <c r="N368" t="s">
        <v>7</v>
      </c>
      <c r="P368">
        <f t="shared" si="970"/>
        <v>0.46987951807228745</v>
      </c>
      <c r="Q368">
        <f t="shared" si="971"/>
        <v>14520401.323373441</v>
      </c>
      <c r="R368">
        <f t="shared" si="972"/>
        <v>-178427739.05844525</v>
      </c>
      <c r="S368">
        <f t="shared" si="973"/>
        <v>-1784.2773905844524</v>
      </c>
      <c r="T368">
        <f t="shared" si="974"/>
        <v>-1.7842773905844524</v>
      </c>
    </row>
    <row r="369" spans="1:20" x14ac:dyDescent="0.25">
      <c r="A369" s="5">
        <v>44224</v>
      </c>
      <c r="B369">
        <v>6.6400000000000001E-2</v>
      </c>
      <c r="C369">
        <v>7.4999999999999997E-2</v>
      </c>
      <c r="D369">
        <v>6.5500000000000003E-2</v>
      </c>
      <c r="E369">
        <v>7.0599999999999996E-2</v>
      </c>
      <c r="F369">
        <v>21443241.899999999</v>
      </c>
      <c r="G369">
        <v>6.33</v>
      </c>
      <c r="L369" t="s">
        <v>8</v>
      </c>
      <c r="M369" t="s">
        <v>7</v>
      </c>
      <c r="N369" t="s">
        <v>7</v>
      </c>
      <c r="P369">
        <f t="shared" si="970"/>
        <v>7.3684210526315019E-2</v>
      </c>
      <c r="Q369">
        <f t="shared" si="971"/>
        <v>1580028.3505262991</v>
      </c>
      <c r="R369">
        <f t="shared" si="972"/>
        <v>-192948140.38181868</v>
      </c>
      <c r="S369">
        <f t="shared" si="973"/>
        <v>-1929.4814038181869</v>
      </c>
      <c r="T369">
        <f t="shared" si="974"/>
        <v>-1.9294814038181869</v>
      </c>
    </row>
    <row r="370" spans="1:20" x14ac:dyDescent="0.25">
      <c r="A370" s="5">
        <v>44223</v>
      </c>
      <c r="B370">
        <v>7.5499999999999998E-2</v>
      </c>
      <c r="C370">
        <v>7.5499999999999998E-2</v>
      </c>
      <c r="D370">
        <v>6.4299999999999996E-2</v>
      </c>
      <c r="E370">
        <v>6.6299999999999998E-2</v>
      </c>
      <c r="F370">
        <v>26121588.280000001</v>
      </c>
      <c r="G370">
        <v>-12.19</v>
      </c>
      <c r="L370" t="s">
        <v>7</v>
      </c>
      <c r="M370" t="s">
        <v>7</v>
      </c>
      <c r="N370" t="s">
        <v>7</v>
      </c>
      <c r="P370">
        <f t="shared" si="970"/>
        <v>-0.64285714285714257</v>
      </c>
      <c r="Q370">
        <f t="shared" si="971"/>
        <v>-16792449.608571421</v>
      </c>
      <c r="R370">
        <f t="shared" si="972"/>
        <v>-194528168.73234499</v>
      </c>
      <c r="S370">
        <f t="shared" si="973"/>
        <v>-1945.2816873234499</v>
      </c>
      <c r="T370">
        <f t="shared" si="974"/>
        <v>-1.94528168732345</v>
      </c>
    </row>
    <row r="371" spans="1:20" x14ac:dyDescent="0.25">
      <c r="A371" s="5">
        <v>44222</v>
      </c>
      <c r="B371">
        <v>7.5899999999999995E-2</v>
      </c>
      <c r="C371">
        <v>7.7600000000000002E-2</v>
      </c>
      <c r="D371">
        <v>7.1099999999999997E-2</v>
      </c>
      <c r="E371">
        <v>7.5399999999999995E-2</v>
      </c>
      <c r="F371">
        <v>13652095.369999999</v>
      </c>
      <c r="G371">
        <v>-0.66</v>
      </c>
      <c r="L371" t="s">
        <v>7</v>
      </c>
      <c r="M371" t="s">
        <v>7</v>
      </c>
      <c r="N371" t="s">
        <v>7</v>
      </c>
      <c r="P371">
        <f t="shared" si="970"/>
        <v>0.32307692307692137</v>
      </c>
      <c r="Q371">
        <f t="shared" si="971"/>
        <v>4410676.9656922845</v>
      </c>
      <c r="R371">
        <f t="shared" si="972"/>
        <v>-177735719.12377357</v>
      </c>
      <c r="S371">
        <f t="shared" si="973"/>
        <v>-1777.3571912377358</v>
      </c>
      <c r="T371">
        <f t="shared" si="974"/>
        <v>-1.7773571912377357</v>
      </c>
    </row>
    <row r="372" spans="1:20" x14ac:dyDescent="0.25">
      <c r="A372" s="5">
        <v>44221</v>
      </c>
      <c r="B372">
        <v>7.9200000000000007E-2</v>
      </c>
      <c r="C372">
        <v>8.2199999999999995E-2</v>
      </c>
      <c r="D372">
        <v>7.5800000000000006E-2</v>
      </c>
      <c r="E372">
        <v>7.6100000000000001E-2</v>
      </c>
      <c r="F372">
        <v>22619833.190000001</v>
      </c>
      <c r="G372">
        <v>-3.91</v>
      </c>
      <c r="L372" t="s">
        <v>8</v>
      </c>
      <c r="M372" t="s">
        <v>7</v>
      </c>
      <c r="N372" t="s">
        <v>7</v>
      </c>
      <c r="P372">
        <f t="shared" si="970"/>
        <v>-0.90625000000000144</v>
      </c>
      <c r="Q372">
        <f t="shared" si="971"/>
        <v>-20499223.828437533</v>
      </c>
      <c r="R372">
        <f t="shared" si="972"/>
        <v>-182146396.08946586</v>
      </c>
      <c r="S372">
        <f t="shared" si="973"/>
        <v>-1821.4639608946586</v>
      </c>
      <c r="T372">
        <f t="shared" si="974"/>
        <v>-1.8214639608946586</v>
      </c>
    </row>
    <row r="373" spans="1:20" x14ac:dyDescent="0.25">
      <c r="A373" s="5">
        <v>44220</v>
      </c>
      <c r="B373">
        <v>8.1100000000000005E-2</v>
      </c>
      <c r="C373">
        <v>8.3199999999999996E-2</v>
      </c>
      <c r="D373">
        <v>7.4899999999999994E-2</v>
      </c>
      <c r="E373">
        <v>7.9100000000000004E-2</v>
      </c>
      <c r="F373">
        <v>33960684.950000003</v>
      </c>
      <c r="G373">
        <v>-2.4700000000000002</v>
      </c>
      <c r="L373" t="s">
        <v>7</v>
      </c>
      <c r="M373" t="s">
        <v>7</v>
      </c>
      <c r="N373" t="s">
        <v>7</v>
      </c>
      <c r="P373">
        <f t="shared" si="970"/>
        <v>1.2048192771086352E-2</v>
      </c>
      <c r="Q373">
        <f t="shared" si="971"/>
        <v>409164.8789157311</v>
      </c>
      <c r="R373">
        <f t="shared" si="972"/>
        <v>-161647172.26102832</v>
      </c>
      <c r="S373">
        <f t="shared" si="973"/>
        <v>-1616.4717226102832</v>
      </c>
      <c r="T373">
        <f t="shared" si="974"/>
        <v>-1.6164717226102832</v>
      </c>
    </row>
    <row r="374" spans="1:20" x14ac:dyDescent="0.25">
      <c r="A374" s="5">
        <v>44219</v>
      </c>
      <c r="B374">
        <v>8.6699999999999999E-2</v>
      </c>
      <c r="C374">
        <v>8.8099999999999998E-2</v>
      </c>
      <c r="D374">
        <v>0.08</v>
      </c>
      <c r="E374">
        <v>8.1199999999999994E-2</v>
      </c>
      <c r="F374">
        <v>30529563.390000001</v>
      </c>
      <c r="G374">
        <v>-6.34</v>
      </c>
      <c r="L374" t="s">
        <v>7</v>
      </c>
      <c r="M374" t="s">
        <v>7</v>
      </c>
      <c r="N374" t="s">
        <v>8</v>
      </c>
      <c r="P374">
        <f t="shared" si="970"/>
        <v>-0.70370370370370539</v>
      </c>
      <c r="Q374">
        <f t="shared" si="971"/>
        <v>-21483766.83000005</v>
      </c>
      <c r="R374">
        <f t="shared" si="972"/>
        <v>-162056337.13994405</v>
      </c>
      <c r="S374">
        <f t="shared" si="973"/>
        <v>-1620.5633713994405</v>
      </c>
      <c r="T374">
        <f t="shared" si="974"/>
        <v>-1.6205633713994405</v>
      </c>
    </row>
    <row r="375" spans="1:20" x14ac:dyDescent="0.25">
      <c r="A375" s="5">
        <v>44218</v>
      </c>
      <c r="B375">
        <v>8.8200000000000001E-2</v>
      </c>
      <c r="C375">
        <v>0.1045</v>
      </c>
      <c r="D375">
        <v>7.7899999999999997E-2</v>
      </c>
      <c r="E375">
        <v>8.72E-2</v>
      </c>
      <c r="F375">
        <v>28268384.649999999</v>
      </c>
      <c r="G375">
        <v>-1.1299999999999999</v>
      </c>
      <c r="L375" t="s">
        <v>8</v>
      </c>
      <c r="M375" t="s">
        <v>7</v>
      </c>
      <c r="N375" t="s">
        <v>8</v>
      </c>
      <c r="P375">
        <f t="shared" si="970"/>
        <v>-0.30075187969924788</v>
      </c>
      <c r="Q375">
        <f t="shared" si="971"/>
        <v>-8501769.8195488658</v>
      </c>
      <c r="R375">
        <f t="shared" si="972"/>
        <v>-140572570.309944</v>
      </c>
      <c r="S375">
        <f t="shared" si="973"/>
        <v>-1405.7257030994401</v>
      </c>
      <c r="T375">
        <f t="shared" si="974"/>
        <v>-1.4057257030994401</v>
      </c>
    </row>
    <row r="376" spans="1:20" x14ac:dyDescent="0.25">
      <c r="A376" s="5">
        <v>44217</v>
      </c>
      <c r="B376">
        <v>9.7199999999999995E-2</v>
      </c>
      <c r="C376">
        <v>0.1024</v>
      </c>
      <c r="D376">
        <v>8.3500000000000005E-2</v>
      </c>
      <c r="E376">
        <v>8.8200000000000001E-2</v>
      </c>
      <c r="F376">
        <v>28157350.98</v>
      </c>
      <c r="G376">
        <v>-9.26</v>
      </c>
      <c r="L376" t="s">
        <v>8</v>
      </c>
      <c r="M376" t="s">
        <v>8</v>
      </c>
      <c r="N376" t="s">
        <v>8</v>
      </c>
      <c r="P376">
        <f t="shared" si="970"/>
        <v>-0.50264550264550312</v>
      </c>
      <c r="Q376">
        <f t="shared" si="971"/>
        <v>-14153165.83650795</v>
      </c>
      <c r="R376">
        <f t="shared" si="972"/>
        <v>-132070800.49039514</v>
      </c>
      <c r="S376">
        <f t="shared" si="973"/>
        <v>-1320.7080049039514</v>
      </c>
      <c r="T376">
        <f t="shared" si="974"/>
        <v>-1.3207080049039515</v>
      </c>
    </row>
    <row r="377" spans="1:20" x14ac:dyDescent="0.25">
      <c r="A377" s="5">
        <v>44216</v>
      </c>
      <c r="B377">
        <v>8.7499999999999994E-2</v>
      </c>
      <c r="C377">
        <v>9.9900000000000003E-2</v>
      </c>
      <c r="D377">
        <v>8.2299999999999998E-2</v>
      </c>
      <c r="E377">
        <v>9.69E-2</v>
      </c>
      <c r="F377">
        <v>20491586.48</v>
      </c>
      <c r="G377">
        <v>10.74</v>
      </c>
      <c r="L377" t="s">
        <v>8</v>
      </c>
      <c r="M377" t="s">
        <v>7</v>
      </c>
      <c r="N377" t="s">
        <v>8</v>
      </c>
      <c r="P377">
        <f t="shared" si="970"/>
        <v>0.65909090909090884</v>
      </c>
      <c r="Q377">
        <f t="shared" si="971"/>
        <v>13505818.361818178</v>
      </c>
      <c r="R377">
        <f t="shared" si="972"/>
        <v>-117917634.6538872</v>
      </c>
      <c r="S377">
        <f t="shared" si="973"/>
        <v>-1179.1763465388719</v>
      </c>
      <c r="T377">
        <f t="shared" si="974"/>
        <v>-1.179176346538872</v>
      </c>
    </row>
    <row r="378" spans="1:20" x14ac:dyDescent="0.25">
      <c r="A378" s="5">
        <v>44215</v>
      </c>
      <c r="B378">
        <v>9.11E-2</v>
      </c>
      <c r="C378">
        <v>9.69E-2</v>
      </c>
      <c r="D378">
        <v>8.72E-2</v>
      </c>
      <c r="E378">
        <v>8.72E-2</v>
      </c>
      <c r="F378">
        <v>10048628.67</v>
      </c>
      <c r="G378">
        <v>-4.28</v>
      </c>
      <c r="L378" t="s">
        <v>8</v>
      </c>
      <c r="M378" t="s">
        <v>8</v>
      </c>
      <c r="N378" t="s">
        <v>8</v>
      </c>
      <c r="P378">
        <f t="shared" si="970"/>
        <v>-1</v>
      </c>
      <c r="Q378">
        <f t="shared" si="971"/>
        <v>-10048628.67</v>
      </c>
      <c r="R378">
        <f t="shared" si="972"/>
        <v>-131423453.01570538</v>
      </c>
      <c r="S378">
        <f t="shared" si="973"/>
        <v>-1314.2345301570538</v>
      </c>
      <c r="T378">
        <f t="shared" si="974"/>
        <v>-1.3142345301570537</v>
      </c>
    </row>
    <row r="379" spans="1:20" x14ac:dyDescent="0.25">
      <c r="A379" s="5">
        <v>44214</v>
      </c>
      <c r="B379">
        <v>8.6400000000000005E-2</v>
      </c>
      <c r="C379">
        <v>9.3200000000000005E-2</v>
      </c>
      <c r="D379">
        <v>8.3699999999999997E-2</v>
      </c>
      <c r="E379">
        <v>9.11E-2</v>
      </c>
      <c r="F379">
        <v>11232685.880000001</v>
      </c>
      <c r="G379">
        <v>5.44</v>
      </c>
      <c r="L379" t="s">
        <v>7</v>
      </c>
      <c r="M379" t="s">
        <v>8</v>
      </c>
      <c r="N379" t="s">
        <v>8</v>
      </c>
      <c r="P379">
        <f t="shared" si="970"/>
        <v>0.55789473684210467</v>
      </c>
      <c r="Q379">
        <f t="shared" si="971"/>
        <v>6266656.3330526249</v>
      </c>
      <c r="R379">
        <f t="shared" si="972"/>
        <v>-121374824.34570538</v>
      </c>
      <c r="S379">
        <f t="shared" si="973"/>
        <v>-1213.7482434570538</v>
      </c>
      <c r="T379">
        <f t="shared" si="974"/>
        <v>-1.2137482434570539</v>
      </c>
    </row>
    <row r="380" spans="1:20" x14ac:dyDescent="0.25">
      <c r="A380" s="5">
        <v>44213</v>
      </c>
      <c r="B380">
        <v>8.0600000000000005E-2</v>
      </c>
      <c r="C380">
        <v>9.4200000000000006E-2</v>
      </c>
      <c r="D380">
        <v>7.9399999999999998E-2</v>
      </c>
      <c r="E380">
        <v>8.6400000000000005E-2</v>
      </c>
      <c r="F380">
        <v>17955418.34</v>
      </c>
      <c r="G380">
        <v>7.2</v>
      </c>
      <c r="L380" t="s">
        <v>8</v>
      </c>
      <c r="M380" t="s">
        <v>8</v>
      </c>
      <c r="N380" t="s">
        <v>8</v>
      </c>
      <c r="P380">
        <f t="shared" si="970"/>
        <v>-5.4054054054053696E-2</v>
      </c>
      <c r="Q380">
        <f t="shared" si="971"/>
        <v>-970563.1535135071</v>
      </c>
      <c r="R380">
        <f t="shared" si="972"/>
        <v>-127641480.678758</v>
      </c>
      <c r="S380">
        <f t="shared" si="973"/>
        <v>-1276.4148067875799</v>
      </c>
      <c r="T380">
        <f t="shared" si="974"/>
        <v>-1.2764148067875798</v>
      </c>
    </row>
    <row r="381" spans="1:20" x14ac:dyDescent="0.25">
      <c r="A381" s="5">
        <v>44212</v>
      </c>
      <c r="B381">
        <v>7.7899999999999997E-2</v>
      </c>
      <c r="C381">
        <v>8.5999999999999993E-2</v>
      </c>
      <c r="D381">
        <v>7.6499999999999999E-2</v>
      </c>
      <c r="E381">
        <v>8.0600000000000005E-2</v>
      </c>
      <c r="F381">
        <v>11431652.07</v>
      </c>
      <c r="G381">
        <v>3.47</v>
      </c>
      <c r="L381" t="s">
        <v>8</v>
      </c>
      <c r="M381" t="s">
        <v>8</v>
      </c>
      <c r="N381" t="s">
        <v>7</v>
      </c>
      <c r="P381">
        <f t="shared" si="970"/>
        <v>-0.13684210526315604</v>
      </c>
      <c r="Q381">
        <f t="shared" si="971"/>
        <v>-1564331.3358947157</v>
      </c>
      <c r="R381">
        <f t="shared" si="972"/>
        <v>-126670917.52524449</v>
      </c>
      <c r="S381">
        <f t="shared" si="973"/>
        <v>-1266.709175252445</v>
      </c>
      <c r="T381">
        <f t="shared" si="974"/>
        <v>-1.2667091752524451</v>
      </c>
    </row>
    <row r="382" spans="1:20" x14ac:dyDescent="0.25">
      <c r="A382" s="5">
        <v>44211</v>
      </c>
      <c r="B382">
        <v>7.6999999999999999E-2</v>
      </c>
      <c r="C382">
        <v>8.2000000000000003E-2</v>
      </c>
      <c r="D382">
        <v>7.0599999999999996E-2</v>
      </c>
      <c r="E382">
        <v>7.7499999999999999E-2</v>
      </c>
      <c r="F382">
        <v>11140074.810000001</v>
      </c>
      <c r="G382">
        <v>0.65</v>
      </c>
      <c r="L382" t="s">
        <v>7</v>
      </c>
      <c r="M382" t="s">
        <v>8</v>
      </c>
      <c r="N382" t="s">
        <v>7</v>
      </c>
      <c r="P382">
        <f t="shared" si="970"/>
        <v>0.21052631578947348</v>
      </c>
      <c r="Q382">
        <f t="shared" si="971"/>
        <v>2345278.9073684188</v>
      </c>
      <c r="R382">
        <f t="shared" si="972"/>
        <v>-125106586.18934977</v>
      </c>
      <c r="S382">
        <f t="shared" si="973"/>
        <v>-1251.0658618934976</v>
      </c>
      <c r="T382">
        <f t="shared" si="974"/>
        <v>-1.2510658618934976</v>
      </c>
    </row>
    <row r="383" spans="1:20" x14ac:dyDescent="0.25">
      <c r="A383" s="5">
        <v>44210</v>
      </c>
      <c r="B383">
        <v>7.6899999999999996E-2</v>
      </c>
      <c r="C383">
        <v>8.0399999999999999E-2</v>
      </c>
      <c r="D383">
        <v>7.3499999999999996E-2</v>
      </c>
      <c r="E383">
        <v>7.6600000000000001E-2</v>
      </c>
      <c r="F383">
        <v>7764894.8499999996</v>
      </c>
      <c r="G383">
        <v>-0.39</v>
      </c>
      <c r="L383" t="s">
        <v>7</v>
      </c>
      <c r="M383" t="s">
        <v>8</v>
      </c>
      <c r="N383" t="s">
        <v>7</v>
      </c>
      <c r="P383">
        <f t="shared" si="970"/>
        <v>-0.10144927536231768</v>
      </c>
      <c r="Q383">
        <f t="shared" si="971"/>
        <v>-787742.95579709241</v>
      </c>
      <c r="R383">
        <f t="shared" si="972"/>
        <v>-127451865.09671819</v>
      </c>
      <c r="S383">
        <f t="shared" si="973"/>
        <v>-1274.5186509671819</v>
      </c>
      <c r="T383">
        <f t="shared" si="974"/>
        <v>-1.274518650967182</v>
      </c>
    </row>
    <row r="384" spans="1:20" x14ac:dyDescent="0.25">
      <c r="A384" s="5">
        <v>44209</v>
      </c>
      <c r="B384">
        <v>7.0999999999999994E-2</v>
      </c>
      <c r="C384">
        <v>8.2100000000000006E-2</v>
      </c>
      <c r="D384">
        <v>6.9699999999999998E-2</v>
      </c>
      <c r="E384">
        <v>7.6899999999999996E-2</v>
      </c>
      <c r="F384">
        <v>10355343.16</v>
      </c>
      <c r="G384">
        <v>8.31</v>
      </c>
      <c r="L384" t="s">
        <v>8</v>
      </c>
      <c r="M384" t="s">
        <v>8</v>
      </c>
      <c r="N384" t="s">
        <v>7</v>
      </c>
      <c r="P384">
        <f t="shared" si="970"/>
        <v>0.16129032258064407</v>
      </c>
      <c r="Q384">
        <f t="shared" si="971"/>
        <v>1670216.6387096662</v>
      </c>
      <c r="R384">
        <f t="shared" si="972"/>
        <v>-126664122.1409211</v>
      </c>
      <c r="S384">
        <f t="shared" si="973"/>
        <v>-1266.6412214092111</v>
      </c>
      <c r="T384">
        <f t="shared" si="974"/>
        <v>-1.2666412214092111</v>
      </c>
    </row>
    <row r="385" spans="1:20" x14ac:dyDescent="0.25">
      <c r="A385" s="5">
        <v>44208</v>
      </c>
      <c r="B385">
        <v>7.3800000000000004E-2</v>
      </c>
      <c r="C385">
        <v>7.6999999999999999E-2</v>
      </c>
      <c r="D385">
        <v>6.8400000000000002E-2</v>
      </c>
      <c r="E385">
        <v>7.1400000000000005E-2</v>
      </c>
      <c r="F385">
        <v>5111023.37</v>
      </c>
      <c r="G385">
        <v>-3.25</v>
      </c>
      <c r="L385" t="s">
        <v>8</v>
      </c>
      <c r="M385" t="s">
        <v>8</v>
      </c>
      <c r="N385" t="s">
        <v>7</v>
      </c>
      <c r="P385">
        <f t="shared" si="970"/>
        <v>-0.30232558139534793</v>
      </c>
      <c r="Q385">
        <f t="shared" si="971"/>
        <v>-1545193.1118604606</v>
      </c>
      <c r="R385">
        <f t="shared" si="972"/>
        <v>-128334338.77963077</v>
      </c>
      <c r="S385">
        <f t="shared" si="973"/>
        <v>-1283.3433877963078</v>
      </c>
      <c r="T385">
        <f t="shared" si="974"/>
        <v>-1.2833433877963079</v>
      </c>
    </row>
    <row r="386" spans="1:20" x14ac:dyDescent="0.25">
      <c r="A386" s="5">
        <v>44207</v>
      </c>
      <c r="B386">
        <v>8.5500000000000007E-2</v>
      </c>
      <c r="C386">
        <v>8.5500000000000007E-2</v>
      </c>
      <c r="D386">
        <v>6.4500000000000002E-2</v>
      </c>
      <c r="E386">
        <v>7.4200000000000002E-2</v>
      </c>
      <c r="F386">
        <v>11193245.560000001</v>
      </c>
      <c r="G386">
        <v>-13.22</v>
      </c>
      <c r="L386" t="s">
        <v>7</v>
      </c>
      <c r="M386" t="s">
        <v>7</v>
      </c>
      <c r="N386" t="s">
        <v>7</v>
      </c>
      <c r="P386">
        <f t="shared" si="970"/>
        <v>-7.6190476190476378E-2</v>
      </c>
      <c r="Q386">
        <f t="shared" si="971"/>
        <v>-852818.70933333552</v>
      </c>
      <c r="R386">
        <f t="shared" si="972"/>
        <v>-126789145.66777031</v>
      </c>
      <c r="S386">
        <f t="shared" si="973"/>
        <v>-1267.8914566777032</v>
      </c>
      <c r="T386">
        <f t="shared" si="974"/>
        <v>-1.2678914566777033</v>
      </c>
    </row>
    <row r="387" spans="1:20" x14ac:dyDescent="0.25">
      <c r="A387" s="5">
        <v>44206</v>
      </c>
      <c r="B387">
        <v>8.8599999999999998E-2</v>
      </c>
      <c r="C387">
        <v>9.5399999999999999E-2</v>
      </c>
      <c r="D387">
        <v>7.5999999999999998E-2</v>
      </c>
      <c r="E387">
        <v>8.5500000000000007E-2</v>
      </c>
      <c r="F387">
        <v>14950802.57</v>
      </c>
      <c r="G387">
        <v>-3.5</v>
      </c>
      <c r="L387" t="s">
        <v>8</v>
      </c>
      <c r="M387" t="s">
        <v>8</v>
      </c>
      <c r="N387" t="s">
        <v>8</v>
      </c>
      <c r="P387">
        <f t="shared" si="970"/>
        <v>-2.0618556701030088E-2</v>
      </c>
      <c r="Q387">
        <f t="shared" si="971"/>
        <v>-308263.97051545139</v>
      </c>
      <c r="R387">
        <f t="shared" si="972"/>
        <v>-125936326.95843698</v>
      </c>
      <c r="S387">
        <f t="shared" si="973"/>
        <v>-1259.3632695843698</v>
      </c>
      <c r="T387">
        <f t="shared" si="974"/>
        <v>-1.2593632695843699</v>
      </c>
    </row>
    <row r="388" spans="1:20" x14ac:dyDescent="0.25">
      <c r="A388" s="5">
        <v>44205</v>
      </c>
      <c r="B388">
        <v>8.1000000000000003E-2</v>
      </c>
      <c r="C388">
        <v>9.0300000000000005E-2</v>
      </c>
      <c r="D388">
        <v>7.9799999999999996E-2</v>
      </c>
      <c r="E388">
        <v>8.9099999999999999E-2</v>
      </c>
      <c r="F388">
        <v>9587155.0199999996</v>
      </c>
      <c r="G388">
        <v>10</v>
      </c>
      <c r="L388" t="s">
        <v>8</v>
      </c>
      <c r="M388" t="s">
        <v>8</v>
      </c>
      <c r="N388" t="s">
        <v>8</v>
      </c>
      <c r="P388">
        <f t="shared" si="970"/>
        <v>0.77142857142857035</v>
      </c>
      <c r="Q388">
        <f t="shared" si="971"/>
        <v>7395805.3011428462</v>
      </c>
      <c r="R388">
        <f t="shared" si="972"/>
        <v>-125628062.98792154</v>
      </c>
      <c r="S388">
        <f t="shared" si="973"/>
        <v>-1256.2806298792154</v>
      </c>
      <c r="T388">
        <f t="shared" si="974"/>
        <v>-1.2562806298792155</v>
      </c>
    </row>
    <row r="389" spans="1:20" x14ac:dyDescent="0.25">
      <c r="A389" s="5">
        <v>44204</v>
      </c>
      <c r="B389">
        <v>8.48E-2</v>
      </c>
      <c r="C389">
        <v>8.5000000000000006E-2</v>
      </c>
      <c r="D389">
        <v>7.2999999999999995E-2</v>
      </c>
      <c r="E389">
        <v>8.0799999999999997E-2</v>
      </c>
      <c r="F389">
        <v>10397272.84</v>
      </c>
      <c r="G389">
        <v>-4.72</v>
      </c>
      <c r="L389" t="s">
        <v>7</v>
      </c>
      <c r="M389" t="s">
        <v>7</v>
      </c>
      <c r="N389" t="s">
        <v>8</v>
      </c>
      <c r="P389">
        <f t="shared" si="970"/>
        <v>0.2999999999999991</v>
      </c>
      <c r="Q389">
        <f t="shared" si="971"/>
        <v>3119181.8519999906</v>
      </c>
      <c r="R389">
        <f t="shared" si="972"/>
        <v>-133023868.28906438</v>
      </c>
      <c r="S389">
        <f t="shared" si="973"/>
        <v>-1330.2386828906438</v>
      </c>
      <c r="T389">
        <f t="shared" si="974"/>
        <v>-1.3302386828906438</v>
      </c>
    </row>
    <row r="390" spans="1:20" x14ac:dyDescent="0.25">
      <c r="A390" s="5">
        <v>44203</v>
      </c>
      <c r="B390">
        <v>7.6499999999999999E-2</v>
      </c>
      <c r="C390">
        <v>9.6299999999999997E-2</v>
      </c>
      <c r="D390">
        <v>7.5600000000000001E-2</v>
      </c>
      <c r="E390">
        <v>8.4699999999999998E-2</v>
      </c>
      <c r="F390">
        <v>27022456.449999999</v>
      </c>
      <c r="G390">
        <v>10.72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-0.12077294685990352</v>
      </c>
      <c r="Q390">
        <f t="shared" ref="Q390:Q453" si="976">F390*P390</f>
        <v>-3263581.6968599069</v>
      </c>
      <c r="R390">
        <f t="shared" ref="R390:R453" si="977">R391+Q390</f>
        <v>-136143050.14106438</v>
      </c>
      <c r="S390">
        <f t="shared" ref="S390:S453" si="978">R390/100000</f>
        <v>-1361.4305014106437</v>
      </c>
      <c r="T390">
        <f t="shared" ref="T390:T453" si="979">S390/1000</f>
        <v>-1.3614305014106438</v>
      </c>
    </row>
    <row r="391" spans="1:20" x14ac:dyDescent="0.25">
      <c r="A391" s="5">
        <v>44202</v>
      </c>
      <c r="B391">
        <v>7.1199999999999999E-2</v>
      </c>
      <c r="C391">
        <v>7.9699999999999993E-2</v>
      </c>
      <c r="D391">
        <v>6.9199999999999998E-2</v>
      </c>
      <c r="E391">
        <v>7.6499999999999999E-2</v>
      </c>
      <c r="F391">
        <v>11623188.08</v>
      </c>
      <c r="G391">
        <v>7.44</v>
      </c>
      <c r="L391" t="s">
        <v>8</v>
      </c>
      <c r="M391" t="s">
        <v>8</v>
      </c>
      <c r="N391" t="s">
        <v>7</v>
      </c>
      <c r="P391">
        <f t="shared" si="975"/>
        <v>0.39047619047619125</v>
      </c>
      <c r="Q391">
        <f t="shared" si="976"/>
        <v>4538578.2026666757</v>
      </c>
      <c r="R391">
        <f t="shared" si="977"/>
        <v>-132879468.44420448</v>
      </c>
      <c r="S391">
        <f t="shared" si="978"/>
        <v>-1328.7946844420449</v>
      </c>
      <c r="T391">
        <f t="shared" si="979"/>
        <v>-1.3287946844420448</v>
      </c>
    </row>
    <row r="392" spans="1:20" x14ac:dyDescent="0.25">
      <c r="A392" s="5">
        <v>44201</v>
      </c>
      <c r="B392">
        <v>7.3200000000000001E-2</v>
      </c>
      <c r="C392">
        <v>7.4499999999999997E-2</v>
      </c>
      <c r="D392">
        <v>6.7100000000000007E-2</v>
      </c>
      <c r="E392">
        <v>7.1199999999999999E-2</v>
      </c>
      <c r="F392">
        <v>7467010.3300000001</v>
      </c>
      <c r="G392">
        <v>-2.73</v>
      </c>
      <c r="L392" t="s">
        <v>7</v>
      </c>
      <c r="M392" t="s">
        <v>8</v>
      </c>
      <c r="N392" t="s">
        <v>7</v>
      </c>
      <c r="P392">
        <f t="shared" si="975"/>
        <v>0.1081081081081076</v>
      </c>
      <c r="Q392">
        <f t="shared" si="976"/>
        <v>807244.35999999626</v>
      </c>
      <c r="R392">
        <f t="shared" si="977"/>
        <v>-137418046.64687115</v>
      </c>
      <c r="S392">
        <f t="shared" si="978"/>
        <v>-1374.1804664687115</v>
      </c>
      <c r="T392">
        <f t="shared" si="979"/>
        <v>-1.3741804664687116</v>
      </c>
    </row>
    <row r="393" spans="1:20" x14ac:dyDescent="0.25">
      <c r="A393" s="5">
        <v>44200</v>
      </c>
      <c r="B393">
        <v>6.6900000000000001E-2</v>
      </c>
      <c r="C393">
        <v>7.6100000000000001E-2</v>
      </c>
      <c r="D393">
        <v>6.3299999999999995E-2</v>
      </c>
      <c r="E393">
        <v>7.3099999999999998E-2</v>
      </c>
      <c r="F393">
        <v>16964320.219999999</v>
      </c>
      <c r="G393">
        <v>9.27</v>
      </c>
      <c r="L393" t="s">
        <v>8</v>
      </c>
      <c r="M393" t="s">
        <v>8</v>
      </c>
      <c r="N393" t="s">
        <v>7</v>
      </c>
      <c r="P393">
        <f t="shared" si="975"/>
        <v>0.53124999999999978</v>
      </c>
      <c r="Q393">
        <f t="shared" si="976"/>
        <v>9012295.1168749947</v>
      </c>
      <c r="R393">
        <f t="shared" si="977"/>
        <v>-138225291.00687113</v>
      </c>
      <c r="S393">
        <f t="shared" si="978"/>
        <v>-1382.2529100687113</v>
      </c>
      <c r="T393">
        <f t="shared" si="979"/>
        <v>-1.3822529100687113</v>
      </c>
    </row>
    <row r="394" spans="1:20" x14ac:dyDescent="0.25">
      <c r="A394" s="5">
        <v>44199</v>
      </c>
      <c r="B394">
        <v>6.4100000000000004E-2</v>
      </c>
      <c r="C394">
        <v>6.9000000000000006E-2</v>
      </c>
      <c r="D394">
        <v>6.3299999999999995E-2</v>
      </c>
      <c r="E394">
        <v>6.6799999999999998E-2</v>
      </c>
      <c r="F394">
        <v>8555303.1099999994</v>
      </c>
      <c r="G394">
        <v>4.21</v>
      </c>
      <c r="L394" t="s">
        <v>8</v>
      </c>
      <c r="M394" t="s">
        <v>7</v>
      </c>
      <c r="N394" t="s">
        <v>7</v>
      </c>
      <c r="P394">
        <f t="shared" si="975"/>
        <v>0.22807017543859529</v>
      </c>
      <c r="Q394">
        <f t="shared" si="976"/>
        <v>1951209.4812280596</v>
      </c>
      <c r="R394">
        <f t="shared" si="977"/>
        <v>-147237586.12374613</v>
      </c>
      <c r="S394">
        <f t="shared" si="978"/>
        <v>-1472.3758612374613</v>
      </c>
      <c r="T394">
        <f t="shared" si="979"/>
        <v>-1.4723758612374613</v>
      </c>
    </row>
    <row r="395" spans="1:20" x14ac:dyDescent="0.25">
      <c r="A395" s="5">
        <v>44198</v>
      </c>
      <c r="B395">
        <v>6.8699999999999997E-2</v>
      </c>
      <c r="C395">
        <v>6.9800000000000001E-2</v>
      </c>
      <c r="D395">
        <v>6.1199999999999997E-2</v>
      </c>
      <c r="E395">
        <v>6.4100000000000004E-2</v>
      </c>
      <c r="F395">
        <v>9807947.9399999995</v>
      </c>
      <c r="G395">
        <v>-6.7</v>
      </c>
      <c r="L395" t="s">
        <v>7</v>
      </c>
      <c r="M395" t="s">
        <v>7</v>
      </c>
      <c r="N395" t="s">
        <v>7</v>
      </c>
      <c r="P395">
        <f t="shared" si="975"/>
        <v>-0.3255813953488359</v>
      </c>
      <c r="Q395">
        <f t="shared" si="976"/>
        <v>-3193285.3758139405</v>
      </c>
      <c r="R395">
        <f t="shared" si="977"/>
        <v>-149188795.60497418</v>
      </c>
      <c r="S395">
        <f t="shared" si="978"/>
        <v>-1491.8879560497419</v>
      </c>
      <c r="T395">
        <f t="shared" si="979"/>
        <v>-1.4918879560497418</v>
      </c>
    </row>
    <row r="396" spans="1:20" x14ac:dyDescent="0.25">
      <c r="A396" s="5">
        <v>44197</v>
      </c>
      <c r="B396">
        <v>6.1600000000000002E-2</v>
      </c>
      <c r="C396">
        <v>6.9800000000000001E-2</v>
      </c>
      <c r="D396">
        <v>6.13E-2</v>
      </c>
      <c r="E396">
        <v>6.8500000000000005E-2</v>
      </c>
      <c r="F396">
        <v>7270632.04</v>
      </c>
      <c r="G396">
        <v>11.2</v>
      </c>
      <c r="L396" t="s">
        <v>8</v>
      </c>
      <c r="M396" t="s">
        <v>7</v>
      </c>
      <c r="N396" t="s">
        <v>7</v>
      </c>
      <c r="P396">
        <f t="shared" si="975"/>
        <v>0.69411764705882462</v>
      </c>
      <c r="Q396">
        <f t="shared" si="976"/>
        <v>5046674.0042353021</v>
      </c>
      <c r="R396">
        <f t="shared" si="977"/>
        <v>-145995510.22916025</v>
      </c>
      <c r="S396">
        <f t="shared" si="978"/>
        <v>-1459.9551022916025</v>
      </c>
      <c r="T396">
        <f t="shared" si="979"/>
        <v>-1.4599551022916026</v>
      </c>
    </row>
    <row r="397" spans="1:20" x14ac:dyDescent="0.25">
      <c r="A397" s="5">
        <v>44196</v>
      </c>
      <c r="B397">
        <v>6.3600000000000004E-2</v>
      </c>
      <c r="C397">
        <v>6.4399999999999999E-2</v>
      </c>
      <c r="D397">
        <v>6.0699999999999997E-2</v>
      </c>
      <c r="E397">
        <v>6.1600000000000002E-2</v>
      </c>
      <c r="F397">
        <v>3105468.92</v>
      </c>
      <c r="G397">
        <v>-3.14</v>
      </c>
      <c r="L397" t="s">
        <v>8</v>
      </c>
      <c r="M397" t="s">
        <v>7</v>
      </c>
      <c r="N397" t="s">
        <v>7</v>
      </c>
      <c r="P397">
        <f t="shared" si="975"/>
        <v>-0.51351351351351104</v>
      </c>
      <c r="Q397">
        <f t="shared" si="976"/>
        <v>-1594700.2562162085</v>
      </c>
      <c r="R397">
        <f t="shared" si="977"/>
        <v>-151042184.23339555</v>
      </c>
      <c r="S397">
        <f t="shared" si="978"/>
        <v>-1510.4218423339555</v>
      </c>
      <c r="T397">
        <f t="shared" si="979"/>
        <v>-1.5104218423339555</v>
      </c>
    </row>
    <row r="398" spans="1:20" x14ac:dyDescent="0.25">
      <c r="A398" s="5">
        <v>44195</v>
      </c>
      <c r="B398">
        <v>6.5199999999999994E-2</v>
      </c>
      <c r="C398">
        <v>6.6900000000000001E-2</v>
      </c>
      <c r="D398">
        <v>5.9400000000000001E-2</v>
      </c>
      <c r="E398">
        <v>6.3399999999999998E-2</v>
      </c>
      <c r="F398">
        <v>7192845.5599999996</v>
      </c>
      <c r="G398">
        <v>-2.76</v>
      </c>
      <c r="L398" t="s">
        <v>7</v>
      </c>
      <c r="M398" t="s">
        <v>7</v>
      </c>
      <c r="N398" t="s">
        <v>7</v>
      </c>
      <c r="P398">
        <f t="shared" si="975"/>
        <v>6.6666666666665805E-2</v>
      </c>
      <c r="Q398">
        <f t="shared" si="976"/>
        <v>479523.03733332711</v>
      </c>
      <c r="R398">
        <f t="shared" si="977"/>
        <v>-149447483.97717935</v>
      </c>
      <c r="S398">
        <f t="shared" si="978"/>
        <v>-1494.4748397717935</v>
      </c>
      <c r="T398">
        <f t="shared" si="979"/>
        <v>-1.4944748397717935</v>
      </c>
    </row>
    <row r="399" spans="1:20" x14ac:dyDescent="0.25">
      <c r="A399" s="5">
        <v>44194</v>
      </c>
      <c r="B399">
        <v>6.7900000000000002E-2</v>
      </c>
      <c r="C399">
        <v>6.8500000000000005E-2</v>
      </c>
      <c r="D399">
        <v>6.0199999999999997E-2</v>
      </c>
      <c r="E399">
        <v>6.5199999999999994E-2</v>
      </c>
      <c r="F399">
        <v>6405971.8399999999</v>
      </c>
      <c r="G399">
        <v>-3.98</v>
      </c>
      <c r="L399" t="s">
        <v>7</v>
      </c>
      <c r="M399" t="s">
        <v>7</v>
      </c>
      <c r="N399" t="s">
        <v>7</v>
      </c>
      <c r="P399">
        <f t="shared" si="975"/>
        <v>0.20481927710843187</v>
      </c>
      <c r="Q399">
        <f t="shared" si="976"/>
        <v>1312066.5214457712</v>
      </c>
      <c r="R399">
        <f t="shared" si="977"/>
        <v>-149927007.01451269</v>
      </c>
      <c r="S399">
        <f t="shared" si="978"/>
        <v>-1499.270070145127</v>
      </c>
      <c r="T399">
        <f t="shared" si="979"/>
        <v>-1.4992700701451269</v>
      </c>
    </row>
    <row r="400" spans="1:20" x14ac:dyDescent="0.25">
      <c r="A400" s="5">
        <v>44193</v>
      </c>
      <c r="B400">
        <v>6.7400000000000002E-2</v>
      </c>
      <c r="C400">
        <v>6.9900000000000004E-2</v>
      </c>
      <c r="D400">
        <v>6.6100000000000006E-2</v>
      </c>
      <c r="E400">
        <v>6.7500000000000004E-2</v>
      </c>
      <c r="F400">
        <v>3595002.1</v>
      </c>
      <c r="G400">
        <v>0.15</v>
      </c>
      <c r="L400" t="s">
        <v>8</v>
      </c>
      <c r="M400" t="s">
        <v>8</v>
      </c>
      <c r="N400" t="s">
        <v>7</v>
      </c>
      <c r="P400">
        <f t="shared" si="975"/>
        <v>-0.26315789473684248</v>
      </c>
      <c r="Q400">
        <f t="shared" si="976"/>
        <v>-946053.18421052769</v>
      </c>
      <c r="R400">
        <f t="shared" si="977"/>
        <v>-151239073.53595847</v>
      </c>
      <c r="S400">
        <f t="shared" si="978"/>
        <v>-1512.3907353595846</v>
      </c>
      <c r="T400">
        <f t="shared" si="979"/>
        <v>-1.5123907353595847</v>
      </c>
    </row>
    <row r="401" spans="1:20" x14ac:dyDescent="0.25">
      <c r="A401" s="5">
        <v>44192</v>
      </c>
      <c r="B401">
        <v>6.8400000000000002E-2</v>
      </c>
      <c r="C401">
        <v>7.0000000000000007E-2</v>
      </c>
      <c r="D401">
        <v>6.5000000000000002E-2</v>
      </c>
      <c r="E401">
        <v>6.7100000000000007E-2</v>
      </c>
      <c r="F401">
        <v>4747286.49</v>
      </c>
      <c r="G401">
        <v>-1.9</v>
      </c>
      <c r="L401" t="s">
        <v>7</v>
      </c>
      <c r="M401" t="s">
        <v>8</v>
      </c>
      <c r="N401" t="s">
        <v>7</v>
      </c>
      <c r="P401">
        <f t="shared" si="975"/>
        <v>-0.15999999999999889</v>
      </c>
      <c r="Q401">
        <f t="shared" si="976"/>
        <v>-759565.83839999477</v>
      </c>
      <c r="R401">
        <f t="shared" si="977"/>
        <v>-150293020.35174793</v>
      </c>
      <c r="S401">
        <f t="shared" si="978"/>
        <v>-1502.9302035174794</v>
      </c>
      <c r="T401">
        <f t="shared" si="979"/>
        <v>-1.5029302035174794</v>
      </c>
    </row>
    <row r="402" spans="1:20" x14ac:dyDescent="0.25">
      <c r="A402" s="5">
        <v>44191</v>
      </c>
      <c r="B402">
        <v>6.7299999999999999E-2</v>
      </c>
      <c r="C402">
        <v>7.0400000000000004E-2</v>
      </c>
      <c r="D402">
        <v>6.5600000000000006E-2</v>
      </c>
      <c r="E402">
        <v>6.7900000000000002E-2</v>
      </c>
      <c r="F402">
        <v>3347768.91</v>
      </c>
      <c r="G402">
        <v>0.89</v>
      </c>
      <c r="L402" t="s">
        <v>7</v>
      </c>
      <c r="M402" t="s">
        <v>8</v>
      </c>
      <c r="N402" t="s">
        <v>7</v>
      </c>
      <c r="P402">
        <f t="shared" si="975"/>
        <v>-4.1666666666667872E-2</v>
      </c>
      <c r="Q402">
        <f t="shared" si="976"/>
        <v>-139490.37125000404</v>
      </c>
      <c r="R402">
        <f t="shared" si="977"/>
        <v>-149533454.51334792</v>
      </c>
      <c r="S402">
        <f t="shared" si="978"/>
        <v>-1495.3345451334792</v>
      </c>
      <c r="T402">
        <f t="shared" si="979"/>
        <v>-1.4953345451334792</v>
      </c>
    </row>
    <row r="403" spans="1:20" x14ac:dyDescent="0.25">
      <c r="A403" s="5">
        <v>44190</v>
      </c>
      <c r="B403">
        <v>6.8900000000000003E-2</v>
      </c>
      <c r="C403">
        <v>7.1800000000000003E-2</v>
      </c>
      <c r="D403">
        <v>6.4500000000000002E-2</v>
      </c>
      <c r="E403">
        <v>6.7799999999999999E-2</v>
      </c>
      <c r="F403">
        <v>3216678.8</v>
      </c>
      <c r="G403">
        <v>-1.6</v>
      </c>
      <c r="L403" t="s">
        <v>8</v>
      </c>
      <c r="M403" t="s">
        <v>8</v>
      </c>
      <c r="N403" t="s">
        <v>7</v>
      </c>
      <c r="P403">
        <f t="shared" si="975"/>
        <v>-9.5890410958904937E-2</v>
      </c>
      <c r="Q403">
        <f t="shared" si="976"/>
        <v>-308448.65205479716</v>
      </c>
      <c r="R403">
        <f t="shared" si="977"/>
        <v>-149393964.14209792</v>
      </c>
      <c r="S403">
        <f t="shared" si="978"/>
        <v>-1493.9396414209791</v>
      </c>
      <c r="T403">
        <f t="shared" si="979"/>
        <v>-1.4939396414209791</v>
      </c>
    </row>
    <row r="404" spans="1:20" x14ac:dyDescent="0.25">
      <c r="A404" s="5">
        <v>44189</v>
      </c>
      <c r="B404">
        <v>6.3399999999999998E-2</v>
      </c>
      <c r="C404">
        <v>7.0199999999999999E-2</v>
      </c>
      <c r="D404">
        <v>6.1100000000000002E-2</v>
      </c>
      <c r="E404">
        <v>6.8900000000000003E-2</v>
      </c>
      <c r="F404">
        <v>4244483.79</v>
      </c>
      <c r="G404">
        <v>8.68</v>
      </c>
      <c r="L404" t="s">
        <v>8</v>
      </c>
      <c r="M404" t="s">
        <v>7</v>
      </c>
      <c r="N404" t="s">
        <v>7</v>
      </c>
      <c r="P404">
        <f t="shared" si="975"/>
        <v>0.71428571428571519</v>
      </c>
      <c r="Q404">
        <f t="shared" si="976"/>
        <v>3031774.1357142897</v>
      </c>
      <c r="R404">
        <f t="shared" si="977"/>
        <v>-149085515.49004313</v>
      </c>
      <c r="S404">
        <f t="shared" si="978"/>
        <v>-1490.8551549004314</v>
      </c>
      <c r="T404">
        <f t="shared" si="979"/>
        <v>-1.4908551549004314</v>
      </c>
    </row>
    <row r="405" spans="1:20" x14ac:dyDescent="0.25">
      <c r="A405" s="5">
        <v>44188</v>
      </c>
      <c r="B405">
        <v>7.5499999999999998E-2</v>
      </c>
      <c r="C405">
        <v>7.5899999999999995E-2</v>
      </c>
      <c r="D405">
        <v>6.0900000000000003E-2</v>
      </c>
      <c r="E405">
        <v>6.3600000000000004E-2</v>
      </c>
      <c r="F405">
        <v>7455073.5199999996</v>
      </c>
      <c r="G405">
        <v>-15.76</v>
      </c>
      <c r="L405" t="s">
        <v>7</v>
      </c>
      <c r="M405" t="s">
        <v>7</v>
      </c>
      <c r="N405" t="s">
        <v>7</v>
      </c>
      <c r="P405">
        <f t="shared" si="975"/>
        <v>-0.63999999999999968</v>
      </c>
      <c r="Q405">
        <f t="shared" si="976"/>
        <v>-4771247.0527999969</v>
      </c>
      <c r="R405">
        <f t="shared" si="977"/>
        <v>-152117289.62575743</v>
      </c>
      <c r="S405">
        <f t="shared" si="978"/>
        <v>-1521.1728962575742</v>
      </c>
      <c r="T405">
        <f t="shared" si="979"/>
        <v>-1.5211728962575741</v>
      </c>
    </row>
    <row r="406" spans="1:20" x14ac:dyDescent="0.25">
      <c r="A406" s="5">
        <v>44187</v>
      </c>
      <c r="B406">
        <v>7.3999999999999996E-2</v>
      </c>
      <c r="C406">
        <v>7.7700000000000005E-2</v>
      </c>
      <c r="D406">
        <v>7.0000000000000007E-2</v>
      </c>
      <c r="E406">
        <v>7.5399999999999995E-2</v>
      </c>
      <c r="F406">
        <v>5347516.5999999996</v>
      </c>
      <c r="G406">
        <v>1.89</v>
      </c>
      <c r="L406" t="s">
        <v>7</v>
      </c>
      <c r="M406" t="s">
        <v>7</v>
      </c>
      <c r="N406" t="s">
        <v>8</v>
      </c>
      <c r="P406">
        <f t="shared" si="975"/>
        <v>0.40259740259739979</v>
      </c>
      <c r="Q406">
        <f t="shared" si="976"/>
        <v>2152896.2935064784</v>
      </c>
      <c r="R406">
        <f t="shared" si="977"/>
        <v>-147346042.57295743</v>
      </c>
      <c r="S406">
        <f t="shared" si="978"/>
        <v>-1473.4604257295744</v>
      </c>
      <c r="T406">
        <f t="shared" si="979"/>
        <v>-1.4734604257295743</v>
      </c>
    </row>
    <row r="407" spans="1:20" x14ac:dyDescent="0.25">
      <c r="A407" s="5">
        <v>44186</v>
      </c>
      <c r="B407">
        <v>7.8200000000000006E-2</v>
      </c>
      <c r="C407">
        <v>7.9200000000000007E-2</v>
      </c>
      <c r="D407">
        <v>7.3200000000000001E-2</v>
      </c>
      <c r="E407">
        <v>7.3800000000000004E-2</v>
      </c>
      <c r="F407">
        <v>3761189.13</v>
      </c>
      <c r="G407">
        <v>-5.63</v>
      </c>
      <c r="L407" t="s">
        <v>7</v>
      </c>
      <c r="M407" t="s">
        <v>7</v>
      </c>
      <c r="N407" t="s">
        <v>8</v>
      </c>
      <c r="P407">
        <f t="shared" si="975"/>
        <v>-0.79999999999999905</v>
      </c>
      <c r="Q407">
        <f t="shared" si="976"/>
        <v>-3008951.3039999963</v>
      </c>
      <c r="R407">
        <f t="shared" si="977"/>
        <v>-149498938.8664639</v>
      </c>
      <c r="S407">
        <f t="shared" si="978"/>
        <v>-1494.9893886646389</v>
      </c>
      <c r="T407">
        <f t="shared" si="979"/>
        <v>-1.4949893886646388</v>
      </c>
    </row>
    <row r="408" spans="1:20" x14ac:dyDescent="0.25">
      <c r="A408" s="5">
        <v>44185</v>
      </c>
      <c r="B408">
        <v>7.9600000000000004E-2</v>
      </c>
      <c r="C408">
        <v>8.1699999999999995E-2</v>
      </c>
      <c r="D408">
        <v>7.6100000000000001E-2</v>
      </c>
      <c r="E408">
        <v>7.85E-2</v>
      </c>
      <c r="F408">
        <v>7393843.6299999999</v>
      </c>
      <c r="G408">
        <v>-1.38</v>
      </c>
      <c r="L408" t="s">
        <v>7</v>
      </c>
      <c r="M408" t="s">
        <v>7</v>
      </c>
      <c r="N408" t="s">
        <v>8</v>
      </c>
      <c r="P408">
        <f t="shared" si="975"/>
        <v>-0.14285714285714216</v>
      </c>
      <c r="Q408">
        <f t="shared" si="976"/>
        <v>-1056263.3757142804</v>
      </c>
      <c r="R408">
        <f t="shared" si="977"/>
        <v>-146489987.56246391</v>
      </c>
      <c r="S408">
        <f t="shared" si="978"/>
        <v>-1464.899875624639</v>
      </c>
      <c r="T408">
        <f t="shared" si="979"/>
        <v>-1.464899875624639</v>
      </c>
    </row>
    <row r="409" spans="1:20" x14ac:dyDescent="0.25">
      <c r="A409" s="5">
        <v>44184</v>
      </c>
      <c r="B409">
        <v>8.09E-2</v>
      </c>
      <c r="C409">
        <v>8.43E-2</v>
      </c>
      <c r="D409">
        <v>7.7899999999999997E-2</v>
      </c>
      <c r="E409">
        <v>0.08</v>
      </c>
      <c r="F409">
        <v>8398747.1300000008</v>
      </c>
      <c r="G409">
        <v>-1.1100000000000001</v>
      </c>
      <c r="L409" t="s">
        <v>7</v>
      </c>
      <c r="M409" t="s">
        <v>7</v>
      </c>
      <c r="N409" t="s">
        <v>8</v>
      </c>
      <c r="P409">
        <f t="shared" si="975"/>
        <v>-0.34374999999999883</v>
      </c>
      <c r="Q409">
        <f t="shared" si="976"/>
        <v>-2887069.3259374904</v>
      </c>
      <c r="R409">
        <f t="shared" si="977"/>
        <v>-145433724.18674964</v>
      </c>
      <c r="S409">
        <f t="shared" si="978"/>
        <v>-1454.3372418674965</v>
      </c>
      <c r="T409">
        <f t="shared" si="979"/>
        <v>-1.4543372418674965</v>
      </c>
    </row>
    <row r="410" spans="1:20" x14ac:dyDescent="0.25">
      <c r="A410" s="5">
        <v>44183</v>
      </c>
      <c r="B410">
        <v>8.3900000000000002E-2</v>
      </c>
      <c r="C410">
        <v>8.5999999999999993E-2</v>
      </c>
      <c r="D410">
        <v>7.7700000000000005E-2</v>
      </c>
      <c r="E410">
        <v>8.0600000000000005E-2</v>
      </c>
      <c r="F410">
        <v>8071585.8300000001</v>
      </c>
      <c r="G410">
        <v>-3.93</v>
      </c>
      <c r="L410" t="s">
        <v>8</v>
      </c>
      <c r="M410" t="s">
        <v>7</v>
      </c>
      <c r="N410" t="s">
        <v>8</v>
      </c>
      <c r="P410">
        <f t="shared" si="975"/>
        <v>-0.30120481927710746</v>
      </c>
      <c r="Q410">
        <f t="shared" si="976"/>
        <v>-2431200.5512048113</v>
      </c>
      <c r="R410">
        <f t="shared" si="977"/>
        <v>-142546654.86081216</v>
      </c>
      <c r="S410">
        <f t="shared" si="978"/>
        <v>-1425.4665486081217</v>
      </c>
      <c r="T410">
        <f t="shared" si="979"/>
        <v>-1.4254665486081217</v>
      </c>
    </row>
    <row r="411" spans="1:20" x14ac:dyDescent="0.25">
      <c r="A411" s="5">
        <v>44182</v>
      </c>
      <c r="B411">
        <v>8.5500000000000007E-2</v>
      </c>
      <c r="C411">
        <v>8.7800000000000003E-2</v>
      </c>
      <c r="D411">
        <v>7.7399999999999997E-2</v>
      </c>
      <c r="E411">
        <v>8.4099999999999994E-2</v>
      </c>
      <c r="F411">
        <v>12971186.67</v>
      </c>
      <c r="G411">
        <v>-1.64</v>
      </c>
      <c r="L411" t="s">
        <v>7</v>
      </c>
      <c r="M411" t="s">
        <v>7</v>
      </c>
      <c r="N411" t="s">
        <v>8</v>
      </c>
      <c r="P411">
        <f t="shared" si="975"/>
        <v>0.28846153846153721</v>
      </c>
      <c r="Q411">
        <f t="shared" si="976"/>
        <v>3741688.4624999836</v>
      </c>
      <c r="R411">
        <f t="shared" si="977"/>
        <v>-140115454.30960736</v>
      </c>
      <c r="S411">
        <f t="shared" si="978"/>
        <v>-1401.1545430960737</v>
      </c>
      <c r="T411">
        <f t="shared" si="979"/>
        <v>-1.4011545430960737</v>
      </c>
    </row>
    <row r="412" spans="1:20" x14ac:dyDescent="0.25">
      <c r="A412" s="5">
        <v>44181</v>
      </c>
      <c r="B412">
        <v>8.8400000000000006E-2</v>
      </c>
      <c r="C412">
        <v>9.2299999999999993E-2</v>
      </c>
      <c r="D412">
        <v>8.2600000000000007E-2</v>
      </c>
      <c r="E412">
        <v>8.5599999999999996E-2</v>
      </c>
      <c r="F412">
        <v>11174385.15</v>
      </c>
      <c r="G412">
        <v>-3.17</v>
      </c>
      <c r="L412" t="s">
        <v>7</v>
      </c>
      <c r="M412" t="s">
        <v>7</v>
      </c>
      <c r="N412" t="s">
        <v>8</v>
      </c>
      <c r="P412">
        <f t="shared" si="975"/>
        <v>-0.38144329896907359</v>
      </c>
      <c r="Q412">
        <f t="shared" si="976"/>
        <v>-4262394.3355670264</v>
      </c>
      <c r="R412">
        <f t="shared" si="977"/>
        <v>-143857142.77210733</v>
      </c>
      <c r="S412">
        <f t="shared" si="978"/>
        <v>-1438.5714277210734</v>
      </c>
      <c r="T412">
        <f t="shared" si="979"/>
        <v>-1.4385714277210735</v>
      </c>
    </row>
    <row r="413" spans="1:20" x14ac:dyDescent="0.25">
      <c r="A413" s="5">
        <v>44180</v>
      </c>
      <c r="B413">
        <v>8.9700000000000002E-2</v>
      </c>
      <c r="C413">
        <v>9.7299999999999998E-2</v>
      </c>
      <c r="D413">
        <v>8.6999999999999994E-2</v>
      </c>
      <c r="E413">
        <v>8.8400000000000006E-2</v>
      </c>
      <c r="F413">
        <v>12024705.119999999</v>
      </c>
      <c r="G413">
        <v>-1.45</v>
      </c>
      <c r="L413" t="s">
        <v>7</v>
      </c>
      <c r="M413" t="s">
        <v>8</v>
      </c>
      <c r="N413" t="s">
        <v>8</v>
      </c>
      <c r="P413">
        <f t="shared" si="975"/>
        <v>-0.72815533980582292</v>
      </c>
      <c r="Q413">
        <f t="shared" si="976"/>
        <v>-8755853.2427184172</v>
      </c>
      <c r="R413">
        <f t="shared" si="977"/>
        <v>-139594748.43654031</v>
      </c>
      <c r="S413">
        <f t="shared" si="978"/>
        <v>-1395.9474843654029</v>
      </c>
      <c r="T413">
        <f t="shared" si="979"/>
        <v>-1.3959474843654029</v>
      </c>
    </row>
    <row r="414" spans="1:20" x14ac:dyDescent="0.25">
      <c r="A414" s="5">
        <v>44179</v>
      </c>
      <c r="B414">
        <v>8.3299999999999999E-2</v>
      </c>
      <c r="C414">
        <v>9.8400000000000001E-2</v>
      </c>
      <c r="D414">
        <v>8.2000000000000003E-2</v>
      </c>
      <c r="E414">
        <v>8.9800000000000005E-2</v>
      </c>
      <c r="F414">
        <v>16544574.210000001</v>
      </c>
      <c r="G414">
        <v>7.8</v>
      </c>
      <c r="L414" t="s">
        <v>8</v>
      </c>
      <c r="M414" t="s">
        <v>8</v>
      </c>
      <c r="N414" t="s">
        <v>8</v>
      </c>
      <c r="P414">
        <f t="shared" si="975"/>
        <v>-4.8780487804877759E-2</v>
      </c>
      <c r="Q414">
        <f t="shared" si="976"/>
        <v>-807052.40048780013</v>
      </c>
      <c r="R414">
        <f t="shared" si="977"/>
        <v>-130838895.19382188</v>
      </c>
      <c r="S414">
        <f t="shared" si="978"/>
        <v>-1308.3889519382187</v>
      </c>
      <c r="T414">
        <f t="shared" si="979"/>
        <v>-1.3083889519382188</v>
      </c>
    </row>
    <row r="415" spans="1:20" x14ac:dyDescent="0.25">
      <c r="A415" s="5">
        <v>44178</v>
      </c>
      <c r="B415">
        <v>8.1900000000000001E-2</v>
      </c>
      <c r="C415">
        <v>8.9300000000000004E-2</v>
      </c>
      <c r="D415">
        <v>7.9200000000000007E-2</v>
      </c>
      <c r="E415">
        <v>8.3599999999999994E-2</v>
      </c>
      <c r="F415">
        <v>13117476.550000001</v>
      </c>
      <c r="G415">
        <v>2.08</v>
      </c>
      <c r="L415" t="s">
        <v>7</v>
      </c>
      <c r="M415" t="s">
        <v>8</v>
      </c>
      <c r="N415" t="s">
        <v>7</v>
      </c>
      <c r="P415">
        <f t="shared" si="975"/>
        <v>-0.12871287128713105</v>
      </c>
      <c r="Q415">
        <f t="shared" si="976"/>
        <v>-1688388.0707921099</v>
      </c>
      <c r="R415">
        <f t="shared" si="977"/>
        <v>-130031842.79333408</v>
      </c>
      <c r="S415">
        <f t="shared" si="978"/>
        <v>-1300.3184279333409</v>
      </c>
      <c r="T415">
        <f t="shared" si="979"/>
        <v>-1.3003184279333408</v>
      </c>
    </row>
    <row r="416" spans="1:20" x14ac:dyDescent="0.25">
      <c r="A416" s="5">
        <v>44177</v>
      </c>
      <c r="B416">
        <v>7.2300000000000003E-2</v>
      </c>
      <c r="C416">
        <v>8.9700000000000002E-2</v>
      </c>
      <c r="D416">
        <v>7.2300000000000003E-2</v>
      </c>
      <c r="E416">
        <v>8.1699999999999995E-2</v>
      </c>
      <c r="F416">
        <v>21027151.890000001</v>
      </c>
      <c r="G416">
        <v>13</v>
      </c>
      <c r="L416" t="s">
        <v>8</v>
      </c>
      <c r="M416" t="s">
        <v>8</v>
      </c>
      <c r="N416" t="s">
        <v>7</v>
      </c>
      <c r="P416">
        <f t="shared" si="975"/>
        <v>8.0459770114941653E-2</v>
      </c>
      <c r="Q416">
        <f t="shared" si="976"/>
        <v>1691839.8072413609</v>
      </c>
      <c r="R416">
        <f t="shared" si="977"/>
        <v>-128343454.72254197</v>
      </c>
      <c r="S416">
        <f t="shared" si="978"/>
        <v>-1283.4345472254197</v>
      </c>
      <c r="T416">
        <f t="shared" si="979"/>
        <v>-1.2834345472254196</v>
      </c>
    </row>
    <row r="417" spans="1:20" x14ac:dyDescent="0.25">
      <c r="A417" s="5">
        <v>44176</v>
      </c>
      <c r="B417">
        <v>7.5999999999999998E-2</v>
      </c>
      <c r="C417">
        <v>7.6100000000000001E-2</v>
      </c>
      <c r="D417">
        <v>7.0800000000000002E-2</v>
      </c>
      <c r="E417">
        <v>7.1999999999999995E-2</v>
      </c>
      <c r="F417">
        <v>4047111.66</v>
      </c>
      <c r="G417">
        <v>-5.26</v>
      </c>
      <c r="L417" t="s">
        <v>7</v>
      </c>
      <c r="M417" t="s">
        <v>7</v>
      </c>
      <c r="N417" t="s">
        <v>7</v>
      </c>
      <c r="P417">
        <f t="shared" si="975"/>
        <v>-0.54716981132075737</v>
      </c>
      <c r="Q417">
        <f t="shared" si="976"/>
        <v>-2214457.3233962371</v>
      </c>
      <c r="R417">
        <f t="shared" si="977"/>
        <v>-130035294.52978334</v>
      </c>
      <c r="S417">
        <f t="shared" si="978"/>
        <v>-1300.3529452978335</v>
      </c>
      <c r="T417">
        <f t="shared" si="979"/>
        <v>-1.3003529452978335</v>
      </c>
    </row>
    <row r="418" spans="1:20" x14ac:dyDescent="0.25">
      <c r="A418" s="5">
        <v>44175</v>
      </c>
      <c r="B418">
        <v>7.8700000000000006E-2</v>
      </c>
      <c r="C418">
        <v>8.1000000000000003E-2</v>
      </c>
      <c r="D418">
        <v>7.4700000000000003E-2</v>
      </c>
      <c r="E418">
        <v>7.6200000000000004E-2</v>
      </c>
      <c r="F418">
        <v>2864436.56</v>
      </c>
      <c r="G418">
        <v>-3.18</v>
      </c>
      <c r="L418" t="s">
        <v>8</v>
      </c>
      <c r="M418" t="s">
        <v>8</v>
      </c>
      <c r="N418" t="s">
        <v>7</v>
      </c>
      <c r="P418">
        <f t="shared" si="975"/>
        <v>-0.52380952380952339</v>
      </c>
      <c r="Q418">
        <f t="shared" si="976"/>
        <v>-1500419.1504761893</v>
      </c>
      <c r="R418">
        <f t="shared" si="977"/>
        <v>-127820837.2063871</v>
      </c>
      <c r="S418">
        <f t="shared" si="978"/>
        <v>-1278.2083720638711</v>
      </c>
      <c r="T418">
        <f t="shared" si="979"/>
        <v>-1.2782083720638711</v>
      </c>
    </row>
    <row r="419" spans="1:20" x14ac:dyDescent="0.25">
      <c r="A419" s="5">
        <v>44174</v>
      </c>
      <c r="B419">
        <v>7.8899999999999998E-2</v>
      </c>
      <c r="C419">
        <v>8.0500000000000002E-2</v>
      </c>
      <c r="D419">
        <v>7.3599999999999999E-2</v>
      </c>
      <c r="E419">
        <v>7.8700000000000006E-2</v>
      </c>
      <c r="F419">
        <v>4212034.88</v>
      </c>
      <c r="G419">
        <v>-0.25</v>
      </c>
      <c r="L419" t="s">
        <v>7</v>
      </c>
      <c r="M419" t="s">
        <v>8</v>
      </c>
      <c r="N419" t="s">
        <v>7</v>
      </c>
      <c r="P419">
        <f t="shared" si="975"/>
        <v>0.47826086956521879</v>
      </c>
      <c r="Q419">
        <f t="shared" si="976"/>
        <v>2014451.4643478319</v>
      </c>
      <c r="R419">
        <f t="shared" si="977"/>
        <v>-126320418.05591092</v>
      </c>
      <c r="S419">
        <f t="shared" si="978"/>
        <v>-1263.2041805591091</v>
      </c>
      <c r="T419">
        <f t="shared" si="979"/>
        <v>-1.263204180559109</v>
      </c>
    </row>
    <row r="420" spans="1:20" x14ac:dyDescent="0.25">
      <c r="A420" s="5">
        <v>44173</v>
      </c>
      <c r="B420">
        <v>8.3699999999999997E-2</v>
      </c>
      <c r="C420">
        <v>8.5999999999999993E-2</v>
      </c>
      <c r="D420">
        <v>7.8100000000000003E-2</v>
      </c>
      <c r="E420">
        <v>7.9000000000000001E-2</v>
      </c>
      <c r="F420">
        <v>6416012.0999999996</v>
      </c>
      <c r="G420">
        <v>-5.62</v>
      </c>
      <c r="L420" t="s">
        <v>7</v>
      </c>
      <c r="M420" t="s">
        <v>8</v>
      </c>
      <c r="N420" t="s">
        <v>7</v>
      </c>
      <c r="P420">
        <f t="shared" si="975"/>
        <v>-0.77215189873417744</v>
      </c>
      <c r="Q420">
        <f t="shared" si="976"/>
        <v>-4954135.9253164567</v>
      </c>
      <c r="R420">
        <f t="shared" si="977"/>
        <v>-128334869.52025874</v>
      </c>
      <c r="S420">
        <f t="shared" si="978"/>
        <v>-1283.3486952025874</v>
      </c>
      <c r="T420">
        <f t="shared" si="979"/>
        <v>-1.2833486952025874</v>
      </c>
    </row>
    <row r="421" spans="1:20" x14ac:dyDescent="0.25">
      <c r="A421" s="5">
        <v>44172</v>
      </c>
      <c r="B421">
        <v>7.9000000000000001E-2</v>
      </c>
      <c r="C421">
        <v>8.5999999999999993E-2</v>
      </c>
      <c r="D421">
        <v>7.8299999999999995E-2</v>
      </c>
      <c r="E421">
        <v>8.3599999999999994E-2</v>
      </c>
      <c r="F421">
        <v>6228574.5599999996</v>
      </c>
      <c r="G421">
        <v>5.82</v>
      </c>
      <c r="L421" t="s">
        <v>8</v>
      </c>
      <c r="M421" t="s">
        <v>8</v>
      </c>
      <c r="N421" t="s">
        <v>7</v>
      </c>
      <c r="P421">
        <f t="shared" si="975"/>
        <v>0.37662337662337669</v>
      </c>
      <c r="Q421">
        <f t="shared" si="976"/>
        <v>2345826.7823376628</v>
      </c>
      <c r="R421">
        <f t="shared" si="977"/>
        <v>-123380733.59494229</v>
      </c>
      <c r="S421">
        <f t="shared" si="978"/>
        <v>-1233.8073359494228</v>
      </c>
      <c r="T421">
        <f t="shared" si="979"/>
        <v>-1.2338073359494228</v>
      </c>
    </row>
    <row r="422" spans="1:20" x14ac:dyDescent="0.25">
      <c r="A422" s="5">
        <v>44171</v>
      </c>
      <c r="B422">
        <v>7.9600000000000004E-2</v>
      </c>
      <c r="C422">
        <v>8.1000000000000003E-2</v>
      </c>
      <c r="D422">
        <v>7.7899999999999997E-2</v>
      </c>
      <c r="E422">
        <v>7.9100000000000004E-2</v>
      </c>
      <c r="F422">
        <v>2104724.86</v>
      </c>
      <c r="G422">
        <v>-0.63</v>
      </c>
      <c r="L422" t="s">
        <v>8</v>
      </c>
      <c r="M422" t="s">
        <v>8</v>
      </c>
      <c r="N422" t="s">
        <v>7</v>
      </c>
      <c r="P422">
        <f t="shared" si="975"/>
        <v>-0.22580645161290033</v>
      </c>
      <c r="Q422">
        <f t="shared" si="976"/>
        <v>-475260.45225805842</v>
      </c>
      <c r="R422">
        <f t="shared" si="977"/>
        <v>-125726560.37727995</v>
      </c>
      <c r="S422">
        <f t="shared" si="978"/>
        <v>-1257.2656037727995</v>
      </c>
      <c r="T422">
        <f t="shared" si="979"/>
        <v>-1.2572656037727996</v>
      </c>
    </row>
    <row r="423" spans="1:20" x14ac:dyDescent="0.25">
      <c r="A423" s="5">
        <v>44170</v>
      </c>
      <c r="B423">
        <v>7.4399999999999994E-2</v>
      </c>
      <c r="C423">
        <v>8.1500000000000003E-2</v>
      </c>
      <c r="D423">
        <v>7.2999999999999995E-2</v>
      </c>
      <c r="E423">
        <v>7.9399999999999998E-2</v>
      </c>
      <c r="F423">
        <v>2433723.7799999998</v>
      </c>
      <c r="G423">
        <v>6.72</v>
      </c>
      <c r="L423" t="s">
        <v>7</v>
      </c>
      <c r="M423" t="s">
        <v>8</v>
      </c>
      <c r="N423" t="s">
        <v>7</v>
      </c>
      <c r="P423">
        <f t="shared" si="975"/>
        <v>0.50588235294117578</v>
      </c>
      <c r="Q423">
        <f t="shared" si="976"/>
        <v>1231177.9122352924</v>
      </c>
      <c r="R423">
        <f t="shared" si="977"/>
        <v>-125251299.92502189</v>
      </c>
      <c r="S423">
        <f t="shared" si="978"/>
        <v>-1252.5129992502189</v>
      </c>
      <c r="T423">
        <f t="shared" si="979"/>
        <v>-1.2525129992502189</v>
      </c>
    </row>
    <row r="424" spans="1:20" x14ac:dyDescent="0.25">
      <c r="A424" s="5">
        <v>44169</v>
      </c>
      <c r="B424">
        <v>7.9500000000000001E-2</v>
      </c>
      <c r="C424">
        <v>8.3299999999999999E-2</v>
      </c>
      <c r="D424">
        <v>7.3099999999999998E-2</v>
      </c>
      <c r="E424">
        <v>7.4300000000000005E-2</v>
      </c>
      <c r="F424">
        <v>6218362.4199999999</v>
      </c>
      <c r="G424">
        <v>-6.54</v>
      </c>
      <c r="L424" t="s">
        <v>8</v>
      </c>
      <c r="M424" t="s">
        <v>8</v>
      </c>
      <c r="N424" t="s">
        <v>7</v>
      </c>
      <c r="P424">
        <f t="shared" si="975"/>
        <v>-0.7647058823529399</v>
      </c>
      <c r="Q424">
        <f t="shared" si="976"/>
        <v>-4755218.3211764628</v>
      </c>
      <c r="R424">
        <f t="shared" si="977"/>
        <v>-126482477.83725718</v>
      </c>
      <c r="S424">
        <f t="shared" si="978"/>
        <v>-1264.8247783725717</v>
      </c>
      <c r="T424">
        <f t="shared" si="979"/>
        <v>-1.2648247783725717</v>
      </c>
    </row>
    <row r="425" spans="1:20" x14ac:dyDescent="0.25">
      <c r="A425" s="5">
        <v>44168</v>
      </c>
      <c r="B425">
        <v>7.6399999999999996E-2</v>
      </c>
      <c r="C425">
        <v>8.14E-2</v>
      </c>
      <c r="D425">
        <v>7.4099999999999999E-2</v>
      </c>
      <c r="E425">
        <v>7.9200000000000007E-2</v>
      </c>
      <c r="F425">
        <v>5177005.4000000004</v>
      </c>
      <c r="G425">
        <v>3.66</v>
      </c>
      <c r="L425" t="s">
        <v>8</v>
      </c>
      <c r="M425" t="s">
        <v>8</v>
      </c>
      <c r="N425" t="s">
        <v>7</v>
      </c>
      <c r="P425">
        <f t="shared" si="975"/>
        <v>0.39726027397260455</v>
      </c>
      <c r="Q425">
        <f t="shared" si="976"/>
        <v>2056618.5835616533</v>
      </c>
      <c r="R425">
        <f t="shared" si="977"/>
        <v>-121727259.51608071</v>
      </c>
      <c r="S425">
        <f t="shared" si="978"/>
        <v>-1217.272595160807</v>
      </c>
      <c r="T425">
        <f t="shared" si="979"/>
        <v>-1.217272595160807</v>
      </c>
    </row>
    <row r="426" spans="1:20" x14ac:dyDescent="0.25">
      <c r="A426" s="5">
        <v>44167</v>
      </c>
      <c r="B426">
        <v>7.2599999999999998E-2</v>
      </c>
      <c r="C426">
        <v>7.7899999999999997E-2</v>
      </c>
      <c r="D426">
        <v>7.1099999999999997E-2</v>
      </c>
      <c r="E426">
        <v>7.6399999999999996E-2</v>
      </c>
      <c r="F426">
        <v>3707087.99</v>
      </c>
      <c r="G426">
        <v>5.23</v>
      </c>
      <c r="L426" t="s">
        <v>8</v>
      </c>
      <c r="M426" t="s">
        <v>8</v>
      </c>
      <c r="N426" t="s">
        <v>7</v>
      </c>
      <c r="P426">
        <f t="shared" si="975"/>
        <v>0.55882352941176439</v>
      </c>
      <c r="Q426">
        <f t="shared" si="976"/>
        <v>2071607.9944117637</v>
      </c>
      <c r="R426">
        <f t="shared" si="977"/>
        <v>-123783878.09964237</v>
      </c>
      <c r="S426">
        <f t="shared" si="978"/>
        <v>-1237.8387809964236</v>
      </c>
      <c r="T426">
        <f t="shared" si="979"/>
        <v>-1.2378387809964235</v>
      </c>
    </row>
    <row r="427" spans="1:20" x14ac:dyDescent="0.25">
      <c r="A427" s="5">
        <v>44166</v>
      </c>
      <c r="B427">
        <v>7.6700000000000004E-2</v>
      </c>
      <c r="C427">
        <v>7.9899999999999999E-2</v>
      </c>
      <c r="D427">
        <v>7.0099999999999996E-2</v>
      </c>
      <c r="E427">
        <v>7.2900000000000006E-2</v>
      </c>
      <c r="F427">
        <v>5715296.54</v>
      </c>
      <c r="G427">
        <v>-4.95</v>
      </c>
      <c r="L427" t="s">
        <v>7</v>
      </c>
      <c r="M427" t="s">
        <v>8</v>
      </c>
      <c r="N427" t="s">
        <v>7</v>
      </c>
      <c r="P427">
        <f t="shared" si="975"/>
        <v>-0.42857142857142655</v>
      </c>
      <c r="Q427">
        <f t="shared" si="976"/>
        <v>-2449412.8028571312</v>
      </c>
      <c r="R427">
        <f t="shared" si="977"/>
        <v>-125855486.09405413</v>
      </c>
      <c r="S427">
        <f t="shared" si="978"/>
        <v>-1258.5548609405414</v>
      </c>
      <c r="T427">
        <f t="shared" si="979"/>
        <v>-1.2585548609405415</v>
      </c>
    </row>
    <row r="428" spans="1:20" x14ac:dyDescent="0.25">
      <c r="A428" s="5">
        <v>44165</v>
      </c>
      <c r="B428">
        <v>7.4399999999999994E-2</v>
      </c>
      <c r="C428">
        <v>7.6899999999999996E-2</v>
      </c>
      <c r="D428">
        <v>7.1800000000000003E-2</v>
      </c>
      <c r="E428">
        <v>7.6399999999999996E-2</v>
      </c>
      <c r="F428">
        <v>5911674.8700000001</v>
      </c>
      <c r="G428">
        <v>2.69</v>
      </c>
      <c r="L428" t="s">
        <v>7</v>
      </c>
      <c r="M428" t="s">
        <v>7</v>
      </c>
      <c r="N428" t="s">
        <v>7</v>
      </c>
      <c r="P428">
        <f t="shared" si="975"/>
        <v>0.80392156862745057</v>
      </c>
      <c r="Q428">
        <f t="shared" si="976"/>
        <v>4752522.9347058795</v>
      </c>
      <c r="R428">
        <f t="shared" si="977"/>
        <v>-123406073.291197</v>
      </c>
      <c r="S428">
        <f t="shared" si="978"/>
        <v>-1234.06073291197</v>
      </c>
      <c r="T428">
        <f t="shared" si="979"/>
        <v>-1.2340607329119699</v>
      </c>
    </row>
    <row r="429" spans="1:20" x14ac:dyDescent="0.25">
      <c r="A429" s="5">
        <v>44164</v>
      </c>
      <c r="B429">
        <v>7.5200000000000003E-2</v>
      </c>
      <c r="C429">
        <v>7.5800000000000006E-2</v>
      </c>
      <c r="D429">
        <v>7.2400000000000006E-2</v>
      </c>
      <c r="E429">
        <v>7.4099999999999999E-2</v>
      </c>
      <c r="F429">
        <v>2193082.37</v>
      </c>
      <c r="G429">
        <v>-1.46</v>
      </c>
      <c r="L429" t="s">
        <v>8</v>
      </c>
      <c r="M429" t="s">
        <v>7</v>
      </c>
      <c r="N429" t="s">
        <v>7</v>
      </c>
      <c r="P429">
        <f t="shared" si="975"/>
        <v>-4.0817022964160168E-15</v>
      </c>
      <c r="Q429">
        <f t="shared" si="976"/>
        <v>-8.9515093458584817E-9</v>
      </c>
      <c r="R429">
        <f t="shared" si="977"/>
        <v>-128158596.22590289</v>
      </c>
      <c r="S429">
        <f t="shared" si="978"/>
        <v>-1281.5859622590287</v>
      </c>
      <c r="T429">
        <f t="shared" si="979"/>
        <v>-1.2815859622590287</v>
      </c>
    </row>
    <row r="430" spans="1:20" x14ac:dyDescent="0.25">
      <c r="A430" s="5">
        <v>44163</v>
      </c>
      <c r="B430">
        <v>7.2800000000000004E-2</v>
      </c>
      <c r="C430">
        <v>7.6899999999999996E-2</v>
      </c>
      <c r="D430">
        <v>7.0000000000000007E-2</v>
      </c>
      <c r="E430">
        <v>7.5200000000000003E-2</v>
      </c>
      <c r="F430">
        <v>4262695.78</v>
      </c>
      <c r="G430">
        <v>3.3</v>
      </c>
      <c r="L430" t="s">
        <v>8</v>
      </c>
      <c r="M430" t="s">
        <v>7</v>
      </c>
      <c r="N430" t="s">
        <v>7</v>
      </c>
      <c r="P430">
        <f t="shared" si="975"/>
        <v>0.50724637681159546</v>
      </c>
      <c r="Q430">
        <f t="shared" si="976"/>
        <v>2162236.989855078</v>
      </c>
      <c r="R430">
        <f t="shared" si="977"/>
        <v>-128158596.22590287</v>
      </c>
      <c r="S430">
        <f t="shared" si="978"/>
        <v>-1281.5859622590287</v>
      </c>
      <c r="T430">
        <f t="shared" si="979"/>
        <v>-1.2815859622590287</v>
      </c>
    </row>
    <row r="431" spans="1:20" x14ac:dyDescent="0.25">
      <c r="A431" s="5">
        <v>44162</v>
      </c>
      <c r="B431">
        <v>7.1900000000000006E-2</v>
      </c>
      <c r="C431">
        <v>7.3800000000000004E-2</v>
      </c>
      <c r="D431">
        <v>6.7699999999999996E-2</v>
      </c>
      <c r="E431">
        <v>7.2700000000000001E-2</v>
      </c>
      <c r="F431">
        <v>6064994.1100000003</v>
      </c>
      <c r="G431">
        <v>1.1100000000000001</v>
      </c>
      <c r="L431" t="s">
        <v>8</v>
      </c>
      <c r="M431" t="s">
        <v>7</v>
      </c>
      <c r="N431" t="s">
        <v>7</v>
      </c>
      <c r="P431">
        <f t="shared" si="975"/>
        <v>0.63934426229508123</v>
      </c>
      <c r="Q431">
        <f t="shared" si="976"/>
        <v>3877619.185081963</v>
      </c>
      <c r="R431">
        <f t="shared" si="977"/>
        <v>-130320833.21575795</v>
      </c>
      <c r="S431">
        <f t="shared" si="978"/>
        <v>-1303.2083321575794</v>
      </c>
      <c r="T431">
        <f t="shared" si="979"/>
        <v>-1.3032083321575794</v>
      </c>
    </row>
    <row r="432" spans="1:20" x14ac:dyDescent="0.25">
      <c r="A432" s="5">
        <v>44161</v>
      </c>
      <c r="B432">
        <v>8.2199999999999995E-2</v>
      </c>
      <c r="C432">
        <v>8.8800000000000004E-2</v>
      </c>
      <c r="D432">
        <v>6.5600000000000006E-2</v>
      </c>
      <c r="E432">
        <v>7.1800000000000003E-2</v>
      </c>
      <c r="F432">
        <v>19206131</v>
      </c>
      <c r="G432">
        <v>-12.65</v>
      </c>
      <c r="L432" t="s">
        <v>7</v>
      </c>
      <c r="M432" t="s">
        <v>7</v>
      </c>
      <c r="N432" t="s">
        <v>7</v>
      </c>
      <c r="P432">
        <f t="shared" si="975"/>
        <v>-0.46551724137931055</v>
      </c>
      <c r="Q432">
        <f t="shared" si="976"/>
        <v>-8940785.1206896584</v>
      </c>
      <c r="R432">
        <f t="shared" si="977"/>
        <v>-134198452.40083991</v>
      </c>
      <c r="S432">
        <f t="shared" si="978"/>
        <v>-1341.9845240083991</v>
      </c>
      <c r="T432">
        <f t="shared" si="979"/>
        <v>-1.3419845240083992</v>
      </c>
    </row>
    <row r="433" spans="1:20" x14ac:dyDescent="0.25">
      <c r="A433" s="5">
        <v>44160</v>
      </c>
      <c r="B433">
        <v>8.7599999999999997E-2</v>
      </c>
      <c r="C433">
        <v>0.10009999999999999</v>
      </c>
      <c r="D433">
        <v>7.7200000000000005E-2</v>
      </c>
      <c r="E433">
        <v>8.2100000000000006E-2</v>
      </c>
      <c r="F433">
        <v>16667559.49</v>
      </c>
      <c r="G433">
        <v>-6.28</v>
      </c>
      <c r="L433" t="s">
        <v>8</v>
      </c>
      <c r="M433" t="s">
        <v>8</v>
      </c>
      <c r="N433" t="s">
        <v>8</v>
      </c>
      <c r="P433">
        <f t="shared" si="975"/>
        <v>-0.57205240174672456</v>
      </c>
      <c r="Q433">
        <f t="shared" si="976"/>
        <v>-9534717.4375109114</v>
      </c>
      <c r="R433">
        <f t="shared" si="977"/>
        <v>-125257667.28015025</v>
      </c>
      <c r="S433">
        <f t="shared" si="978"/>
        <v>-1252.5766728015026</v>
      </c>
      <c r="T433">
        <f t="shared" si="979"/>
        <v>-1.2525766728015026</v>
      </c>
    </row>
    <row r="434" spans="1:20" x14ac:dyDescent="0.25">
      <c r="A434" s="5">
        <v>44159</v>
      </c>
      <c r="B434">
        <v>7.6600000000000001E-2</v>
      </c>
      <c r="C434">
        <v>9.0200000000000002E-2</v>
      </c>
      <c r="D434">
        <v>7.5600000000000001E-2</v>
      </c>
      <c r="E434">
        <v>8.7499999999999994E-2</v>
      </c>
      <c r="F434">
        <v>13529901.5</v>
      </c>
      <c r="G434">
        <v>14.23</v>
      </c>
      <c r="L434" t="s">
        <v>8</v>
      </c>
      <c r="M434" t="s">
        <v>8</v>
      </c>
      <c r="N434" t="s">
        <v>8</v>
      </c>
      <c r="P434">
        <f t="shared" si="975"/>
        <v>0.63013698630136883</v>
      </c>
      <c r="Q434">
        <f t="shared" si="976"/>
        <v>8525691.3561643697</v>
      </c>
      <c r="R434">
        <f t="shared" si="977"/>
        <v>-115722949.84263934</v>
      </c>
      <c r="S434">
        <f t="shared" si="978"/>
        <v>-1157.2294984263933</v>
      </c>
      <c r="T434">
        <f t="shared" si="979"/>
        <v>-1.1572294984263933</v>
      </c>
    </row>
    <row r="435" spans="1:20" x14ac:dyDescent="0.25">
      <c r="A435" s="5">
        <v>44158</v>
      </c>
      <c r="B435">
        <v>6.93E-2</v>
      </c>
      <c r="C435">
        <v>7.7499999999999999E-2</v>
      </c>
      <c r="D435">
        <v>6.7299999999999999E-2</v>
      </c>
      <c r="E435">
        <v>7.6200000000000004E-2</v>
      </c>
      <c r="F435">
        <v>9925473.2599999998</v>
      </c>
      <c r="G435">
        <v>9.9600000000000009</v>
      </c>
      <c r="L435" t="s">
        <v>8</v>
      </c>
      <c r="M435" t="s">
        <v>8</v>
      </c>
      <c r="N435" t="s">
        <v>8</v>
      </c>
      <c r="P435">
        <f t="shared" si="975"/>
        <v>0.74509803921568718</v>
      </c>
      <c r="Q435">
        <f t="shared" si="976"/>
        <v>7395450.6643137345</v>
      </c>
      <c r="R435">
        <f t="shared" si="977"/>
        <v>-124248641.19880371</v>
      </c>
      <c r="S435">
        <f t="shared" si="978"/>
        <v>-1242.4864119880372</v>
      </c>
      <c r="T435">
        <f t="shared" si="979"/>
        <v>-1.2424864119880372</v>
      </c>
    </row>
    <row r="436" spans="1:20" x14ac:dyDescent="0.25">
      <c r="A436" s="5">
        <v>44157</v>
      </c>
      <c r="B436">
        <v>7.2800000000000004E-2</v>
      </c>
      <c r="C436">
        <v>7.2900000000000006E-2</v>
      </c>
      <c r="D436">
        <v>6.5699999999999995E-2</v>
      </c>
      <c r="E436">
        <v>6.9000000000000006E-2</v>
      </c>
      <c r="F436">
        <v>6504008.2999999998</v>
      </c>
      <c r="G436">
        <v>-5.22</v>
      </c>
      <c r="L436" t="s">
        <v>7</v>
      </c>
      <c r="M436" t="s">
        <v>7</v>
      </c>
      <c r="N436" t="s">
        <v>8</v>
      </c>
      <c r="P436">
        <f t="shared" si="975"/>
        <v>-8.3333333333331733E-2</v>
      </c>
      <c r="Q436">
        <f t="shared" si="976"/>
        <v>-542000.69166665629</v>
      </c>
      <c r="R436">
        <f t="shared" si="977"/>
        <v>-131644091.86311744</v>
      </c>
      <c r="S436">
        <f t="shared" si="978"/>
        <v>-1316.4409186311743</v>
      </c>
      <c r="T436">
        <f t="shared" si="979"/>
        <v>-1.3164409186311743</v>
      </c>
    </row>
    <row r="437" spans="1:20" x14ac:dyDescent="0.25">
      <c r="A437" s="5">
        <v>44156</v>
      </c>
      <c r="B437">
        <v>6.8400000000000002E-2</v>
      </c>
      <c r="C437">
        <v>7.3499999999999996E-2</v>
      </c>
      <c r="D437">
        <v>6.4299999999999996E-2</v>
      </c>
      <c r="E437">
        <v>7.2300000000000003E-2</v>
      </c>
      <c r="F437">
        <v>13094141.449999999</v>
      </c>
      <c r="G437">
        <v>5.7</v>
      </c>
      <c r="L437" t="s">
        <v>8</v>
      </c>
      <c r="M437" t="s">
        <v>7</v>
      </c>
      <c r="N437" t="s">
        <v>8</v>
      </c>
      <c r="P437">
        <f t="shared" si="975"/>
        <v>0.73913043478261031</v>
      </c>
      <c r="Q437">
        <f t="shared" si="976"/>
        <v>9678278.4630434997</v>
      </c>
      <c r="R437">
        <f t="shared" si="977"/>
        <v>-131102091.17145078</v>
      </c>
      <c r="S437">
        <f t="shared" si="978"/>
        <v>-1311.0209117145077</v>
      </c>
      <c r="T437">
        <f t="shared" si="979"/>
        <v>-1.3110209117145077</v>
      </c>
    </row>
    <row r="438" spans="1:20" x14ac:dyDescent="0.25">
      <c r="A438" s="5">
        <v>44155</v>
      </c>
      <c r="B438">
        <v>6.7400000000000002E-2</v>
      </c>
      <c r="C438">
        <v>7.0199999999999999E-2</v>
      </c>
      <c r="D438">
        <v>6.7000000000000004E-2</v>
      </c>
      <c r="E438">
        <v>6.8000000000000005E-2</v>
      </c>
      <c r="F438">
        <v>2922468.18</v>
      </c>
      <c r="G438">
        <v>0.89</v>
      </c>
      <c r="L438" t="s">
        <v>8</v>
      </c>
      <c r="M438" t="s">
        <v>7</v>
      </c>
      <c r="N438" t="s">
        <v>8</v>
      </c>
      <c r="P438">
        <f t="shared" si="975"/>
        <v>-0.37499999999999839</v>
      </c>
      <c r="Q438">
        <f t="shared" si="976"/>
        <v>-1095925.5674999955</v>
      </c>
      <c r="R438">
        <f t="shared" si="977"/>
        <v>-140780369.63449427</v>
      </c>
      <c r="S438">
        <f t="shared" si="978"/>
        <v>-1407.8036963449426</v>
      </c>
      <c r="T438">
        <f t="shared" si="979"/>
        <v>-1.4078036963449427</v>
      </c>
    </row>
    <row r="439" spans="1:20" x14ac:dyDescent="0.25">
      <c r="A439" s="5">
        <v>44154</v>
      </c>
      <c r="B439">
        <v>6.88E-2</v>
      </c>
      <c r="C439">
        <v>6.93E-2</v>
      </c>
      <c r="D439">
        <v>6.59E-2</v>
      </c>
      <c r="E439">
        <v>6.7299999999999999E-2</v>
      </c>
      <c r="F439">
        <v>1409063.41</v>
      </c>
      <c r="G439">
        <v>-2.1800000000000002</v>
      </c>
      <c r="L439" t="s">
        <v>8</v>
      </c>
      <c r="M439" t="s">
        <v>7</v>
      </c>
      <c r="N439" t="s">
        <v>8</v>
      </c>
      <c r="P439">
        <f t="shared" si="975"/>
        <v>-0.17647058823529507</v>
      </c>
      <c r="Q439">
        <f t="shared" si="976"/>
        <v>-248658.24882353074</v>
      </c>
      <c r="R439">
        <f t="shared" si="977"/>
        <v>-139684444.06699428</v>
      </c>
      <c r="S439">
        <f t="shared" si="978"/>
        <v>-1396.8444406699427</v>
      </c>
      <c r="T439">
        <f t="shared" si="979"/>
        <v>-1.3968444406699427</v>
      </c>
    </row>
    <row r="440" spans="1:20" x14ac:dyDescent="0.25">
      <c r="A440" s="5">
        <v>44153</v>
      </c>
      <c r="B440">
        <v>7.2999999999999995E-2</v>
      </c>
      <c r="C440">
        <v>7.3099999999999998E-2</v>
      </c>
      <c r="D440">
        <v>6.5000000000000002E-2</v>
      </c>
      <c r="E440">
        <v>6.93E-2</v>
      </c>
      <c r="F440">
        <v>2724772.79</v>
      </c>
      <c r="G440">
        <v>-5.07</v>
      </c>
      <c r="L440" t="s">
        <v>7</v>
      </c>
      <c r="M440" t="s">
        <v>7</v>
      </c>
      <c r="N440" t="s">
        <v>8</v>
      </c>
      <c r="P440">
        <f t="shared" si="975"/>
        <v>6.1728395061728482E-2</v>
      </c>
      <c r="Q440">
        <f t="shared" si="976"/>
        <v>168195.85123456814</v>
      </c>
      <c r="R440">
        <f t="shared" si="977"/>
        <v>-139435785.81817076</v>
      </c>
      <c r="S440">
        <f t="shared" si="978"/>
        <v>-1394.3578581817076</v>
      </c>
      <c r="T440">
        <f t="shared" si="979"/>
        <v>-1.3943578581817075</v>
      </c>
    </row>
    <row r="441" spans="1:20" x14ac:dyDescent="0.25">
      <c r="A441" s="5">
        <v>44152</v>
      </c>
      <c r="B441">
        <v>6.9000000000000006E-2</v>
      </c>
      <c r="C441">
        <v>7.5899999999999995E-2</v>
      </c>
      <c r="D441">
        <v>6.7599999999999993E-2</v>
      </c>
      <c r="E441">
        <v>7.3200000000000001E-2</v>
      </c>
      <c r="F441">
        <v>4645846.17</v>
      </c>
      <c r="G441">
        <v>6.09</v>
      </c>
      <c r="L441" t="s">
        <v>8</v>
      </c>
      <c r="M441" t="s">
        <v>8</v>
      </c>
      <c r="N441" t="s">
        <v>8</v>
      </c>
      <c r="P441">
        <f t="shared" si="975"/>
        <v>0.34939759036144735</v>
      </c>
      <c r="Q441">
        <f t="shared" si="976"/>
        <v>1623247.4569879591</v>
      </c>
      <c r="R441">
        <f t="shared" si="977"/>
        <v>-139603981.66940531</v>
      </c>
      <c r="S441">
        <f t="shared" si="978"/>
        <v>-1396.0398166940531</v>
      </c>
      <c r="T441">
        <f t="shared" si="979"/>
        <v>-1.3960398166940531</v>
      </c>
    </row>
    <row r="442" spans="1:20" x14ac:dyDescent="0.25">
      <c r="A442" s="5">
        <v>44151</v>
      </c>
      <c r="B442">
        <v>6.5500000000000003E-2</v>
      </c>
      <c r="C442">
        <v>6.9800000000000001E-2</v>
      </c>
      <c r="D442">
        <v>6.54E-2</v>
      </c>
      <c r="E442">
        <v>6.8900000000000003E-2</v>
      </c>
      <c r="F442">
        <v>2976058.81</v>
      </c>
      <c r="G442">
        <v>5.19</v>
      </c>
      <c r="L442" t="s">
        <v>8</v>
      </c>
      <c r="M442" t="s">
        <v>7</v>
      </c>
      <c r="N442" t="s">
        <v>8</v>
      </c>
      <c r="P442">
        <f t="shared" si="975"/>
        <v>0.59090909090909194</v>
      </c>
      <c r="Q442">
        <f t="shared" si="976"/>
        <v>1758580.2059090941</v>
      </c>
      <c r="R442">
        <f t="shared" si="977"/>
        <v>-141227229.12639326</v>
      </c>
      <c r="S442">
        <f t="shared" si="978"/>
        <v>-1412.2722912639326</v>
      </c>
      <c r="T442">
        <f t="shared" si="979"/>
        <v>-1.4122722912639327</v>
      </c>
    </row>
    <row r="443" spans="1:20" x14ac:dyDescent="0.25">
      <c r="A443" s="5">
        <v>44150</v>
      </c>
      <c r="B443">
        <v>7.0000000000000007E-2</v>
      </c>
      <c r="C443">
        <v>7.0900000000000005E-2</v>
      </c>
      <c r="D443">
        <v>6.4100000000000004E-2</v>
      </c>
      <c r="E443">
        <v>6.6100000000000006E-2</v>
      </c>
      <c r="F443">
        <v>5585025.4699999997</v>
      </c>
      <c r="G443">
        <v>-5.57</v>
      </c>
      <c r="L443" t="s">
        <v>7</v>
      </c>
      <c r="M443" t="s">
        <v>7</v>
      </c>
      <c r="N443" t="s">
        <v>8</v>
      </c>
      <c r="P443">
        <f t="shared" si="975"/>
        <v>-0.41176470588235248</v>
      </c>
      <c r="Q443">
        <f t="shared" si="976"/>
        <v>-2299716.3699999973</v>
      </c>
      <c r="R443">
        <f t="shared" si="977"/>
        <v>-142985809.33230236</v>
      </c>
      <c r="S443">
        <f t="shared" si="978"/>
        <v>-1429.8580933230237</v>
      </c>
      <c r="T443">
        <f t="shared" si="979"/>
        <v>-1.4298580933230236</v>
      </c>
    </row>
    <row r="444" spans="1:20" x14ac:dyDescent="0.25">
      <c r="A444" s="5">
        <v>44149</v>
      </c>
      <c r="B444">
        <v>7.0800000000000002E-2</v>
      </c>
      <c r="C444">
        <v>7.1599999999999997E-2</v>
      </c>
      <c r="D444">
        <v>6.7199999999999996E-2</v>
      </c>
      <c r="E444">
        <v>7.0000000000000007E-2</v>
      </c>
      <c r="F444">
        <v>2174345.75</v>
      </c>
      <c r="G444">
        <v>-1.1299999999999999</v>
      </c>
      <c r="L444" t="s">
        <v>7</v>
      </c>
      <c r="M444" t="s">
        <v>7</v>
      </c>
      <c r="N444" t="s">
        <v>8</v>
      </c>
      <c r="P444">
        <f t="shared" si="975"/>
        <v>0.27272727272727731</v>
      </c>
      <c r="Q444">
        <f t="shared" si="976"/>
        <v>593003.38636364636</v>
      </c>
      <c r="R444">
        <f t="shared" si="977"/>
        <v>-140686092.96230236</v>
      </c>
      <c r="S444">
        <f t="shared" si="978"/>
        <v>-1406.8609296230236</v>
      </c>
      <c r="T444">
        <f t="shared" si="979"/>
        <v>-1.4068609296230237</v>
      </c>
    </row>
    <row r="445" spans="1:20" x14ac:dyDescent="0.25">
      <c r="A445" s="5">
        <v>44148</v>
      </c>
      <c r="B445">
        <v>7.0400000000000004E-2</v>
      </c>
      <c r="C445">
        <v>7.3300000000000004E-2</v>
      </c>
      <c r="D445">
        <v>6.9500000000000006E-2</v>
      </c>
      <c r="E445">
        <v>7.0800000000000002E-2</v>
      </c>
      <c r="F445">
        <v>2072739.79</v>
      </c>
      <c r="G445">
        <v>0.56999999999999995</v>
      </c>
      <c r="L445" t="s">
        <v>8</v>
      </c>
      <c r="M445" t="s">
        <v>7</v>
      </c>
      <c r="N445" t="s">
        <v>8</v>
      </c>
      <c r="P445">
        <f t="shared" si="975"/>
        <v>-0.31578947368421245</v>
      </c>
      <c r="Q445">
        <f t="shared" si="976"/>
        <v>-654549.40736842505</v>
      </c>
      <c r="R445">
        <f t="shared" si="977"/>
        <v>-141279096.34866601</v>
      </c>
      <c r="S445">
        <f t="shared" si="978"/>
        <v>-1412.7909634866601</v>
      </c>
      <c r="T445">
        <f t="shared" si="979"/>
        <v>-1.41279096348666</v>
      </c>
    </row>
    <row r="446" spans="1:20" x14ac:dyDescent="0.25">
      <c r="A446" s="5">
        <v>44147</v>
      </c>
      <c r="B446">
        <v>7.7200000000000005E-2</v>
      </c>
      <c r="C446">
        <v>7.7799999999999994E-2</v>
      </c>
      <c r="D446">
        <v>6.8099999999999994E-2</v>
      </c>
      <c r="E446">
        <v>7.0199999999999999E-2</v>
      </c>
      <c r="F446">
        <v>6726900.54</v>
      </c>
      <c r="G446">
        <v>-9.07</v>
      </c>
      <c r="L446" t="s">
        <v>7</v>
      </c>
      <c r="M446" t="s">
        <v>7</v>
      </c>
      <c r="N446" t="s">
        <v>8</v>
      </c>
      <c r="P446">
        <f t="shared" si="975"/>
        <v>-0.56701030927834961</v>
      </c>
      <c r="Q446">
        <f t="shared" si="976"/>
        <v>-3814221.9556700969</v>
      </c>
      <c r="R446">
        <f t="shared" si="977"/>
        <v>-140624546.94129759</v>
      </c>
      <c r="S446">
        <f t="shared" si="978"/>
        <v>-1406.2454694129758</v>
      </c>
      <c r="T446">
        <f t="shared" si="979"/>
        <v>-1.4062454694129758</v>
      </c>
    </row>
    <row r="447" spans="1:20" x14ac:dyDescent="0.25">
      <c r="A447" s="5">
        <v>44146</v>
      </c>
      <c r="B447">
        <v>7.6399999999999996E-2</v>
      </c>
      <c r="C447">
        <v>8.3699999999999997E-2</v>
      </c>
      <c r="D447">
        <v>7.4999999999999997E-2</v>
      </c>
      <c r="E447">
        <v>7.7200000000000005E-2</v>
      </c>
      <c r="F447">
        <v>5573834.1399999997</v>
      </c>
      <c r="G447">
        <v>1.05</v>
      </c>
      <c r="L447" t="s">
        <v>8</v>
      </c>
      <c r="M447" t="s">
        <v>8</v>
      </c>
      <c r="N447" t="s">
        <v>8</v>
      </c>
      <c r="P447">
        <f t="shared" si="975"/>
        <v>-0.49425287356321662</v>
      </c>
      <c r="Q447">
        <f t="shared" si="976"/>
        <v>-2754883.54045976</v>
      </c>
      <c r="R447">
        <f t="shared" si="977"/>
        <v>-136810324.9856275</v>
      </c>
      <c r="S447">
        <f t="shared" si="978"/>
        <v>-1368.1032498562749</v>
      </c>
      <c r="T447">
        <f t="shared" si="979"/>
        <v>-1.3681032498562749</v>
      </c>
    </row>
    <row r="448" spans="1:20" x14ac:dyDescent="0.25">
      <c r="A448" s="5">
        <v>44145</v>
      </c>
      <c r="B448">
        <v>6.8400000000000002E-2</v>
      </c>
      <c r="C448">
        <v>7.7299999999999994E-2</v>
      </c>
      <c r="D448">
        <v>6.7199999999999996E-2</v>
      </c>
      <c r="E448">
        <v>7.6600000000000001E-2</v>
      </c>
      <c r="F448">
        <v>7246288.4400000004</v>
      </c>
      <c r="G448">
        <v>11.99</v>
      </c>
      <c r="L448" t="s">
        <v>8</v>
      </c>
      <c r="M448" t="s">
        <v>8</v>
      </c>
      <c r="N448" t="s">
        <v>8</v>
      </c>
      <c r="P448">
        <f t="shared" si="975"/>
        <v>0.86138613861386293</v>
      </c>
      <c r="Q448">
        <f t="shared" si="976"/>
        <v>6241852.4186138725</v>
      </c>
      <c r="R448">
        <f t="shared" si="977"/>
        <v>-134055441.44516774</v>
      </c>
      <c r="S448">
        <f t="shared" si="978"/>
        <v>-1340.5544144516773</v>
      </c>
      <c r="T448">
        <f t="shared" si="979"/>
        <v>-1.3405544144516772</v>
      </c>
    </row>
    <row r="449" spans="1:20" x14ac:dyDescent="0.25">
      <c r="A449" s="5">
        <v>44144</v>
      </c>
      <c r="B449">
        <v>6.7000000000000004E-2</v>
      </c>
      <c r="C449">
        <v>6.9699999999999998E-2</v>
      </c>
      <c r="D449">
        <v>6.1899999999999997E-2</v>
      </c>
      <c r="E449">
        <v>6.8500000000000005E-2</v>
      </c>
      <c r="F449">
        <v>3821615.52</v>
      </c>
      <c r="G449">
        <v>2.2400000000000002</v>
      </c>
      <c r="L449" t="s">
        <v>7</v>
      </c>
      <c r="M449" t="s">
        <v>7</v>
      </c>
      <c r="N449" t="s">
        <v>7</v>
      </c>
      <c r="P449">
        <f t="shared" si="975"/>
        <v>0.69230769230769418</v>
      </c>
      <c r="Q449">
        <f t="shared" si="976"/>
        <v>2645733.8215384688</v>
      </c>
      <c r="R449">
        <f t="shared" si="977"/>
        <v>-140297293.8637816</v>
      </c>
      <c r="S449">
        <f t="shared" si="978"/>
        <v>-1402.972938637816</v>
      </c>
      <c r="T449">
        <f t="shared" si="979"/>
        <v>-1.402972938637816</v>
      </c>
    </row>
    <row r="450" spans="1:20" x14ac:dyDescent="0.25">
      <c r="A450" s="5">
        <v>44143</v>
      </c>
      <c r="B450">
        <v>6.4000000000000001E-2</v>
      </c>
      <c r="C450">
        <v>6.7500000000000004E-2</v>
      </c>
      <c r="D450">
        <v>6.3299999999999995E-2</v>
      </c>
      <c r="E450">
        <v>6.7500000000000004E-2</v>
      </c>
      <c r="F450">
        <v>1773224.5</v>
      </c>
      <c r="G450">
        <v>5.47</v>
      </c>
      <c r="L450" t="s">
        <v>7</v>
      </c>
      <c r="M450" t="s">
        <v>7</v>
      </c>
      <c r="N450" t="s">
        <v>7</v>
      </c>
      <c r="P450">
        <f t="shared" si="975"/>
        <v>1</v>
      </c>
      <c r="Q450">
        <f t="shared" si="976"/>
        <v>1773224.5</v>
      </c>
      <c r="R450">
        <f t="shared" si="977"/>
        <v>-142943027.68532008</v>
      </c>
      <c r="S450">
        <f t="shared" si="978"/>
        <v>-1429.4302768532009</v>
      </c>
      <c r="T450">
        <f t="shared" si="979"/>
        <v>-1.4294302768532008</v>
      </c>
    </row>
    <row r="451" spans="1:20" x14ac:dyDescent="0.25">
      <c r="A451" s="5">
        <v>44142</v>
      </c>
      <c r="B451">
        <v>7.1499999999999994E-2</v>
      </c>
      <c r="C451">
        <v>7.3400000000000007E-2</v>
      </c>
      <c r="D451">
        <v>6.0999999999999999E-2</v>
      </c>
      <c r="E451">
        <v>6.4199999999999993E-2</v>
      </c>
      <c r="F451">
        <v>4401594.82</v>
      </c>
      <c r="G451">
        <v>-10.210000000000001</v>
      </c>
      <c r="L451" t="s">
        <v>8</v>
      </c>
      <c r="M451" t="s">
        <v>7</v>
      </c>
      <c r="N451" t="s">
        <v>7</v>
      </c>
      <c r="P451">
        <f t="shared" si="975"/>
        <v>-0.48387096774193672</v>
      </c>
      <c r="Q451">
        <f t="shared" si="976"/>
        <v>-2129803.9451612961</v>
      </c>
      <c r="R451">
        <f t="shared" si="977"/>
        <v>-144716252.18532008</v>
      </c>
      <c r="S451">
        <f t="shared" si="978"/>
        <v>-1447.1625218532008</v>
      </c>
      <c r="T451">
        <f t="shared" si="979"/>
        <v>-1.4471625218532007</v>
      </c>
    </row>
    <row r="452" spans="1:20" x14ac:dyDescent="0.25">
      <c r="A452" s="5">
        <v>44141</v>
      </c>
      <c r="B452">
        <v>6.2300000000000001E-2</v>
      </c>
      <c r="C452">
        <v>7.1999999999999995E-2</v>
      </c>
      <c r="D452">
        <v>6.2E-2</v>
      </c>
      <c r="E452">
        <v>7.1499999999999994E-2</v>
      </c>
      <c r="F452">
        <v>3586508.26</v>
      </c>
      <c r="G452">
        <v>14.77</v>
      </c>
      <c r="L452" t="s">
        <v>8</v>
      </c>
      <c r="M452" t="s">
        <v>8</v>
      </c>
      <c r="N452" t="s">
        <v>7</v>
      </c>
      <c r="P452">
        <f t="shared" si="975"/>
        <v>0.89999999999999991</v>
      </c>
      <c r="Q452">
        <f t="shared" si="976"/>
        <v>3227857.4339999994</v>
      </c>
      <c r="R452">
        <f t="shared" si="977"/>
        <v>-142586448.2401588</v>
      </c>
      <c r="S452">
        <f t="shared" si="978"/>
        <v>-1425.864482401588</v>
      </c>
      <c r="T452">
        <f t="shared" si="979"/>
        <v>-1.425864482401588</v>
      </c>
    </row>
    <row r="453" spans="1:20" x14ac:dyDescent="0.25">
      <c r="A453" s="5">
        <v>44140</v>
      </c>
      <c r="B453">
        <v>6.0699999999999997E-2</v>
      </c>
      <c r="C453">
        <v>6.3E-2</v>
      </c>
      <c r="D453">
        <v>5.8900000000000001E-2</v>
      </c>
      <c r="E453">
        <v>6.2300000000000001E-2</v>
      </c>
      <c r="F453">
        <v>2214577.86</v>
      </c>
      <c r="G453">
        <v>2.64</v>
      </c>
      <c r="L453" t="s">
        <v>8</v>
      </c>
      <c r="M453" t="s">
        <v>7</v>
      </c>
      <c r="N453" t="s">
        <v>7</v>
      </c>
      <c r="P453">
        <f t="shared" si="975"/>
        <v>0.65853658536585402</v>
      </c>
      <c r="Q453">
        <f t="shared" si="976"/>
        <v>1458380.5419512202</v>
      </c>
      <c r="R453">
        <f t="shared" si="977"/>
        <v>-145814305.67415878</v>
      </c>
      <c r="S453">
        <f t="shared" si="978"/>
        <v>-1458.1430567415878</v>
      </c>
      <c r="T453">
        <f t="shared" si="979"/>
        <v>-1.4581430567415878</v>
      </c>
    </row>
    <row r="454" spans="1:20" x14ac:dyDescent="0.25">
      <c r="A454" s="5">
        <v>44139</v>
      </c>
      <c r="B454">
        <v>5.8599999999999999E-2</v>
      </c>
      <c r="C454">
        <v>6.1499999999999999E-2</v>
      </c>
      <c r="D454">
        <v>5.67E-2</v>
      </c>
      <c r="E454">
        <v>6.0499999999999998E-2</v>
      </c>
      <c r="F454">
        <v>1283475.6000000001</v>
      </c>
      <c r="G454">
        <v>3.24</v>
      </c>
      <c r="L454" t="s">
        <v>8</v>
      </c>
      <c r="M454" t="s">
        <v>7</v>
      </c>
      <c r="N454" t="s">
        <v>7</v>
      </c>
      <c r="P454">
        <f t="shared" ref="P454:P517" si="980">IF(C454=D454,0,((E454-D454)-(C454-E454))/(C454-D454))</f>
        <v>0.58333333333333282</v>
      </c>
      <c r="Q454">
        <f t="shared" ref="Q454:Q517" si="981">F454*P454</f>
        <v>748694.09999999939</v>
      </c>
      <c r="R454">
        <f t="shared" ref="R454:R517" si="982">R455+Q454</f>
        <v>-147272686.21610999</v>
      </c>
      <c r="S454">
        <f t="shared" ref="S454:S517" si="983">R454/100000</f>
        <v>-1472.7268621610999</v>
      </c>
      <c r="T454">
        <f t="shared" ref="T454:T517" si="984">S454/1000</f>
        <v>-1.4727268621610998</v>
      </c>
    </row>
    <row r="455" spans="1:20" x14ac:dyDescent="0.25">
      <c r="A455" s="5">
        <v>44138</v>
      </c>
      <c r="B455">
        <v>6.08E-2</v>
      </c>
      <c r="C455">
        <v>6.08E-2</v>
      </c>
      <c r="D455">
        <v>5.7099999999999998E-2</v>
      </c>
      <c r="E455">
        <v>5.8700000000000002E-2</v>
      </c>
      <c r="F455">
        <v>1524364.88</v>
      </c>
      <c r="G455">
        <v>-3.45</v>
      </c>
      <c r="L455" t="s">
        <v>7</v>
      </c>
      <c r="M455" t="s">
        <v>7</v>
      </c>
      <c r="N455" t="s">
        <v>7</v>
      </c>
      <c r="P455">
        <f t="shared" si="980"/>
        <v>-0.13513513513513331</v>
      </c>
      <c r="Q455">
        <f t="shared" si="981"/>
        <v>-205995.25405405127</v>
      </c>
      <c r="R455">
        <f t="shared" si="982"/>
        <v>-148021380.31610999</v>
      </c>
      <c r="S455">
        <f t="shared" si="983"/>
        <v>-1480.2138031610998</v>
      </c>
      <c r="T455">
        <f t="shared" si="984"/>
        <v>-1.4802138031610999</v>
      </c>
    </row>
    <row r="456" spans="1:20" x14ac:dyDescent="0.25">
      <c r="A456" s="5">
        <v>44137</v>
      </c>
      <c r="B456">
        <v>6.3600000000000004E-2</v>
      </c>
      <c r="C456">
        <v>6.5299999999999997E-2</v>
      </c>
      <c r="D456">
        <v>6.0100000000000001E-2</v>
      </c>
      <c r="E456">
        <v>6.0999999999999999E-2</v>
      </c>
      <c r="F456">
        <v>1720309.58</v>
      </c>
      <c r="G456">
        <v>-4.09</v>
      </c>
      <c r="L456" t="s">
        <v>8</v>
      </c>
      <c r="M456" t="s">
        <v>7</v>
      </c>
      <c r="N456" t="s">
        <v>7</v>
      </c>
      <c r="P456">
        <f t="shared" si="980"/>
        <v>-0.65384615384615441</v>
      </c>
      <c r="Q456">
        <f t="shared" si="981"/>
        <v>-1124817.8023076933</v>
      </c>
      <c r="R456">
        <f t="shared" si="982"/>
        <v>-147815385.06205595</v>
      </c>
      <c r="S456">
        <f t="shared" si="983"/>
        <v>-1478.1538506205595</v>
      </c>
      <c r="T456">
        <f t="shared" si="984"/>
        <v>-1.4781538506205596</v>
      </c>
    </row>
    <row r="457" spans="1:20" x14ac:dyDescent="0.25">
      <c r="A457" s="5">
        <v>44136</v>
      </c>
      <c r="B457">
        <v>6.2399999999999997E-2</v>
      </c>
      <c r="C457">
        <v>6.4799999999999996E-2</v>
      </c>
      <c r="D457">
        <v>6.0699999999999997E-2</v>
      </c>
      <c r="E457">
        <v>6.3899999999999998E-2</v>
      </c>
      <c r="F457">
        <v>1019314.63</v>
      </c>
      <c r="G457">
        <v>2.4</v>
      </c>
      <c r="L457" t="s">
        <v>8</v>
      </c>
      <c r="M457" t="s">
        <v>7</v>
      </c>
      <c r="N457" t="s">
        <v>7</v>
      </c>
      <c r="P457">
        <f t="shared" si="980"/>
        <v>0.5609756097560985</v>
      </c>
      <c r="Q457">
        <f t="shared" si="981"/>
        <v>571810.64609756193</v>
      </c>
      <c r="R457">
        <f t="shared" si="982"/>
        <v>-146690567.25974825</v>
      </c>
      <c r="S457">
        <f t="shared" si="983"/>
        <v>-1466.9056725974824</v>
      </c>
      <c r="T457">
        <f t="shared" si="984"/>
        <v>-1.4669056725974825</v>
      </c>
    </row>
    <row r="458" spans="1:20" x14ac:dyDescent="0.25">
      <c r="A458" s="5">
        <v>44135</v>
      </c>
      <c r="B458">
        <v>5.9700000000000003E-2</v>
      </c>
      <c r="C458">
        <v>6.3899999999999998E-2</v>
      </c>
      <c r="D458">
        <v>5.9299999999999999E-2</v>
      </c>
      <c r="E458">
        <v>6.2600000000000003E-2</v>
      </c>
      <c r="F458">
        <v>1258636.17</v>
      </c>
      <c r="G458">
        <v>4.8600000000000003</v>
      </c>
      <c r="L458" t="s">
        <v>8</v>
      </c>
      <c r="M458" t="s">
        <v>7</v>
      </c>
      <c r="N458" t="s">
        <v>7</v>
      </c>
      <c r="P458">
        <f t="shared" si="980"/>
        <v>0.43478260869565405</v>
      </c>
      <c r="Q458">
        <f t="shared" si="981"/>
        <v>547233.11739130667</v>
      </c>
      <c r="R458">
        <f t="shared" si="982"/>
        <v>-147262377.90584582</v>
      </c>
      <c r="S458">
        <f t="shared" si="983"/>
        <v>-1472.6237790584582</v>
      </c>
      <c r="T458">
        <f t="shared" si="984"/>
        <v>-1.4726237790584582</v>
      </c>
    </row>
    <row r="459" spans="1:20" x14ac:dyDescent="0.25">
      <c r="A459" s="5">
        <v>44134</v>
      </c>
      <c r="B459">
        <v>6.2E-2</v>
      </c>
      <c r="C459">
        <v>6.6299999999999998E-2</v>
      </c>
      <c r="D459">
        <v>5.7700000000000001E-2</v>
      </c>
      <c r="E459">
        <v>5.9700000000000003E-2</v>
      </c>
      <c r="F459">
        <v>2567976.4700000002</v>
      </c>
      <c r="G459">
        <v>-3.71</v>
      </c>
      <c r="L459" t="s">
        <v>7</v>
      </c>
      <c r="M459" t="s">
        <v>7</v>
      </c>
      <c r="N459" t="s">
        <v>7</v>
      </c>
      <c r="P459">
        <f t="shared" si="980"/>
        <v>-0.53488372093023195</v>
      </c>
      <c r="Q459">
        <f t="shared" si="981"/>
        <v>-1373568.8095348822</v>
      </c>
      <c r="R459">
        <f t="shared" si="982"/>
        <v>-147809611.02323714</v>
      </c>
      <c r="S459">
        <f t="shared" si="983"/>
        <v>-1478.0961102323713</v>
      </c>
      <c r="T459">
        <f t="shared" si="984"/>
        <v>-1.4780961102323713</v>
      </c>
    </row>
    <row r="460" spans="1:20" x14ac:dyDescent="0.25">
      <c r="A460" s="5">
        <v>44133</v>
      </c>
      <c r="B460">
        <v>6.1100000000000002E-2</v>
      </c>
      <c r="C460">
        <v>6.6699999999999995E-2</v>
      </c>
      <c r="D460">
        <v>6.1100000000000002E-2</v>
      </c>
      <c r="E460">
        <v>6.2E-2</v>
      </c>
      <c r="F460">
        <v>2231639.6800000002</v>
      </c>
      <c r="G460">
        <v>1.47</v>
      </c>
      <c r="L460" t="s">
        <v>8</v>
      </c>
      <c r="M460" t="s">
        <v>7</v>
      </c>
      <c r="N460" t="s">
        <v>7</v>
      </c>
      <c r="P460">
        <f t="shared" si="980"/>
        <v>-0.67857142857142894</v>
      </c>
      <c r="Q460">
        <f t="shared" si="981"/>
        <v>-1514326.9257142867</v>
      </c>
      <c r="R460">
        <f t="shared" si="982"/>
        <v>-146436042.21370226</v>
      </c>
      <c r="S460">
        <f t="shared" si="983"/>
        <v>-1464.3604221370226</v>
      </c>
      <c r="T460">
        <f t="shared" si="984"/>
        <v>-1.4643604221370226</v>
      </c>
    </row>
    <row r="461" spans="1:20" x14ac:dyDescent="0.25">
      <c r="A461" s="5">
        <v>44132</v>
      </c>
      <c r="B461">
        <v>6.6600000000000006E-2</v>
      </c>
      <c r="C461">
        <v>6.7100000000000007E-2</v>
      </c>
      <c r="D461">
        <v>5.9900000000000002E-2</v>
      </c>
      <c r="E461">
        <v>6.1199999999999997E-2</v>
      </c>
      <c r="F461">
        <v>2548730.63</v>
      </c>
      <c r="G461">
        <v>-8.11</v>
      </c>
      <c r="L461" t="s">
        <v>7</v>
      </c>
      <c r="M461" t="s">
        <v>7</v>
      </c>
      <c r="N461" t="s">
        <v>7</v>
      </c>
      <c r="P461">
        <f t="shared" si="980"/>
        <v>-0.63888888888889039</v>
      </c>
      <c r="Q461">
        <f t="shared" si="981"/>
        <v>-1628355.6802777816</v>
      </c>
      <c r="R461">
        <f t="shared" si="982"/>
        <v>-144921715.28798798</v>
      </c>
      <c r="S461">
        <f t="shared" si="983"/>
        <v>-1449.2171528798797</v>
      </c>
      <c r="T461">
        <f t="shared" si="984"/>
        <v>-1.4492171528798796</v>
      </c>
    </row>
    <row r="462" spans="1:20" x14ac:dyDescent="0.25">
      <c r="A462" s="5">
        <v>44131</v>
      </c>
      <c r="B462">
        <v>6.9699999999999998E-2</v>
      </c>
      <c r="C462">
        <v>7.0499999999999993E-2</v>
      </c>
      <c r="D462">
        <v>6.4899999999999999E-2</v>
      </c>
      <c r="E462">
        <v>6.6299999999999998E-2</v>
      </c>
      <c r="F462">
        <v>3467688.78</v>
      </c>
      <c r="G462">
        <v>-4.88</v>
      </c>
      <c r="L462" t="s">
        <v>7</v>
      </c>
      <c r="M462" t="s">
        <v>7</v>
      </c>
      <c r="N462" t="s">
        <v>7</v>
      </c>
      <c r="P462">
        <f t="shared" si="980"/>
        <v>-0.5</v>
      </c>
      <c r="Q462">
        <f t="shared" si="981"/>
        <v>-1733844.39</v>
      </c>
      <c r="R462">
        <f t="shared" si="982"/>
        <v>-143293359.60771018</v>
      </c>
      <c r="S462">
        <f t="shared" si="983"/>
        <v>-1432.9335960771018</v>
      </c>
      <c r="T462">
        <f t="shared" si="984"/>
        <v>-1.4329335960771019</v>
      </c>
    </row>
    <row r="463" spans="1:20" x14ac:dyDescent="0.25">
      <c r="A463" s="5">
        <v>44130</v>
      </c>
      <c r="B463">
        <v>7.2300000000000003E-2</v>
      </c>
      <c r="C463">
        <v>7.5300000000000006E-2</v>
      </c>
      <c r="D463">
        <v>6.7699999999999996E-2</v>
      </c>
      <c r="E463">
        <v>6.9699999999999998E-2</v>
      </c>
      <c r="F463">
        <v>2977742.6</v>
      </c>
      <c r="G463">
        <v>-3.6</v>
      </c>
      <c r="L463" t="s">
        <v>7</v>
      </c>
      <c r="M463" t="s">
        <v>7</v>
      </c>
      <c r="N463" t="s">
        <v>7</v>
      </c>
      <c r="P463">
        <f t="shared" si="980"/>
        <v>-0.47368421052631599</v>
      </c>
      <c r="Q463">
        <f t="shared" si="981"/>
        <v>-1410509.6526315797</v>
      </c>
      <c r="R463">
        <f t="shared" si="982"/>
        <v>-141559515.2177102</v>
      </c>
      <c r="S463">
        <f t="shared" si="983"/>
        <v>-1415.5951521771019</v>
      </c>
      <c r="T463">
        <f t="shared" si="984"/>
        <v>-1.415595152177102</v>
      </c>
    </row>
    <row r="464" spans="1:20" x14ac:dyDescent="0.25">
      <c r="A464" s="5">
        <v>44129</v>
      </c>
      <c r="B464">
        <v>7.4800000000000005E-2</v>
      </c>
      <c r="C464">
        <v>7.5399999999999995E-2</v>
      </c>
      <c r="D464">
        <v>7.22E-2</v>
      </c>
      <c r="E464">
        <v>7.2300000000000003E-2</v>
      </c>
      <c r="F464">
        <v>2353006.4300000002</v>
      </c>
      <c r="G464">
        <v>-3.34</v>
      </c>
      <c r="L464" t="s">
        <v>7</v>
      </c>
      <c r="M464" t="s">
        <v>7</v>
      </c>
      <c r="N464" t="s">
        <v>7</v>
      </c>
      <c r="P464">
        <f t="shared" si="980"/>
        <v>-0.93749999999999811</v>
      </c>
      <c r="Q464">
        <f t="shared" si="981"/>
        <v>-2205943.5281249955</v>
      </c>
      <c r="R464">
        <f t="shared" si="982"/>
        <v>-140149005.56507862</v>
      </c>
      <c r="S464">
        <f t="shared" si="983"/>
        <v>-1401.4900556507862</v>
      </c>
      <c r="T464">
        <f t="shared" si="984"/>
        <v>-1.4014900556507861</v>
      </c>
    </row>
    <row r="465" spans="1:20" x14ac:dyDescent="0.25">
      <c r="A465" s="5">
        <v>44128</v>
      </c>
      <c r="B465">
        <v>7.4800000000000005E-2</v>
      </c>
      <c r="C465">
        <v>7.5800000000000006E-2</v>
      </c>
      <c r="D465">
        <v>7.3999999999999996E-2</v>
      </c>
      <c r="E465">
        <v>7.4499999999999997E-2</v>
      </c>
      <c r="F465">
        <v>1391565.55</v>
      </c>
      <c r="G465">
        <v>-0.4</v>
      </c>
      <c r="L465" t="s">
        <v>8</v>
      </c>
      <c r="M465" t="s">
        <v>7</v>
      </c>
      <c r="N465" t="s">
        <v>7</v>
      </c>
      <c r="P465">
        <f t="shared" si="980"/>
        <v>-0.44444444444444703</v>
      </c>
      <c r="Q465">
        <f t="shared" si="981"/>
        <v>-618473.57777778141</v>
      </c>
      <c r="R465">
        <f t="shared" si="982"/>
        <v>-137943062.03695363</v>
      </c>
      <c r="S465">
        <f t="shared" si="983"/>
        <v>-1379.4306203695362</v>
      </c>
      <c r="T465">
        <f t="shared" si="984"/>
        <v>-1.3794306203695361</v>
      </c>
    </row>
    <row r="466" spans="1:20" x14ac:dyDescent="0.25">
      <c r="A466" s="5">
        <v>44127</v>
      </c>
      <c r="B466">
        <v>7.6399999999999996E-2</v>
      </c>
      <c r="C466">
        <v>7.9100000000000004E-2</v>
      </c>
      <c r="D466">
        <v>7.4099999999999999E-2</v>
      </c>
      <c r="E466">
        <v>7.51E-2</v>
      </c>
      <c r="F466">
        <v>2024426.97</v>
      </c>
      <c r="G466">
        <v>-1.7</v>
      </c>
      <c r="L466" t="s">
        <v>8</v>
      </c>
      <c r="M466" t="s">
        <v>7</v>
      </c>
      <c r="N466" t="s">
        <v>7</v>
      </c>
      <c r="P466">
        <f t="shared" si="980"/>
        <v>-0.6</v>
      </c>
      <c r="Q466">
        <f t="shared" si="981"/>
        <v>-1214656.182</v>
      </c>
      <c r="R466">
        <f t="shared" si="982"/>
        <v>-137324588.45917585</v>
      </c>
      <c r="S466">
        <f t="shared" si="983"/>
        <v>-1373.2458845917586</v>
      </c>
      <c r="T466">
        <f t="shared" si="984"/>
        <v>-1.3732458845917586</v>
      </c>
    </row>
    <row r="467" spans="1:20" x14ac:dyDescent="0.25">
      <c r="A467" s="5">
        <v>44126</v>
      </c>
      <c r="B467">
        <v>7.2900000000000006E-2</v>
      </c>
      <c r="C467">
        <v>7.8799999999999995E-2</v>
      </c>
      <c r="D467">
        <v>7.2800000000000004E-2</v>
      </c>
      <c r="E467">
        <v>7.6600000000000001E-2</v>
      </c>
      <c r="F467">
        <v>3788800.98</v>
      </c>
      <c r="G467">
        <v>5.08</v>
      </c>
      <c r="L467" t="s">
        <v>8</v>
      </c>
      <c r="M467" t="s">
        <v>7</v>
      </c>
      <c r="N467" t="s">
        <v>7</v>
      </c>
      <c r="P467">
        <f t="shared" si="980"/>
        <v>0.26666666666666777</v>
      </c>
      <c r="Q467">
        <f t="shared" si="981"/>
        <v>1010346.9280000041</v>
      </c>
      <c r="R467">
        <f t="shared" si="982"/>
        <v>-136109932.27717584</v>
      </c>
      <c r="S467">
        <f t="shared" si="983"/>
        <v>-1361.0993227717584</v>
      </c>
      <c r="T467">
        <f t="shared" si="984"/>
        <v>-1.3610993227717583</v>
      </c>
    </row>
    <row r="468" spans="1:20" x14ac:dyDescent="0.25">
      <c r="A468" s="5">
        <v>44125</v>
      </c>
      <c r="B468">
        <v>7.2400000000000006E-2</v>
      </c>
      <c r="C468">
        <v>7.5700000000000003E-2</v>
      </c>
      <c r="D468">
        <v>7.2300000000000003E-2</v>
      </c>
      <c r="E468">
        <v>7.2800000000000004E-2</v>
      </c>
      <c r="F468">
        <v>1313094.8400000001</v>
      </c>
      <c r="G468">
        <v>0.55000000000000004</v>
      </c>
      <c r="L468" t="s">
        <v>7</v>
      </c>
      <c r="M468" t="s">
        <v>7</v>
      </c>
      <c r="N468" t="s">
        <v>7</v>
      </c>
      <c r="P468">
        <f t="shared" si="980"/>
        <v>-0.70588235294117618</v>
      </c>
      <c r="Q468">
        <f t="shared" si="981"/>
        <v>-926890.47529411735</v>
      </c>
      <c r="R468">
        <f t="shared" si="982"/>
        <v>-137120279.20517585</v>
      </c>
      <c r="S468">
        <f t="shared" si="983"/>
        <v>-1371.2027920517585</v>
      </c>
      <c r="T468">
        <f t="shared" si="984"/>
        <v>-1.3712027920517584</v>
      </c>
    </row>
    <row r="469" spans="1:20" x14ac:dyDescent="0.25">
      <c r="A469" s="5">
        <v>44124</v>
      </c>
      <c r="B469">
        <v>7.7299999999999994E-2</v>
      </c>
      <c r="C469">
        <v>7.7399999999999997E-2</v>
      </c>
      <c r="D469">
        <v>7.0999999999999994E-2</v>
      </c>
      <c r="E469">
        <v>7.1999999999999995E-2</v>
      </c>
      <c r="F469">
        <v>2078006.55</v>
      </c>
      <c r="G469">
        <v>-6.86</v>
      </c>
      <c r="L469" t="s">
        <v>7</v>
      </c>
      <c r="M469" t="s">
        <v>7</v>
      </c>
      <c r="N469" t="s">
        <v>7</v>
      </c>
      <c r="P469">
        <f t="shared" si="980"/>
        <v>-0.68749999999999989</v>
      </c>
      <c r="Q469">
        <f t="shared" si="981"/>
        <v>-1428629.5031249998</v>
      </c>
      <c r="R469">
        <f t="shared" si="982"/>
        <v>-136193388.72988173</v>
      </c>
      <c r="S469">
        <f t="shared" si="983"/>
        <v>-1361.9338872988174</v>
      </c>
      <c r="T469">
        <f t="shared" si="984"/>
        <v>-1.3619338872988174</v>
      </c>
    </row>
    <row r="470" spans="1:20" x14ac:dyDescent="0.25">
      <c r="A470" s="5">
        <v>44123</v>
      </c>
      <c r="B470">
        <v>7.85E-2</v>
      </c>
      <c r="C470">
        <v>8.0199999999999994E-2</v>
      </c>
      <c r="D470">
        <v>7.6100000000000001E-2</v>
      </c>
      <c r="E470">
        <v>7.7399999999999997E-2</v>
      </c>
      <c r="F470">
        <v>1371262.22</v>
      </c>
      <c r="G470">
        <v>-1.4</v>
      </c>
      <c r="L470" t="s">
        <v>7</v>
      </c>
      <c r="M470" t="s">
        <v>8</v>
      </c>
      <c r="N470" t="s">
        <v>7</v>
      </c>
      <c r="P470">
        <f t="shared" si="980"/>
        <v>-0.36585365853658636</v>
      </c>
      <c r="Q470">
        <f t="shared" si="981"/>
        <v>-501681.30000000133</v>
      </c>
      <c r="R470">
        <f t="shared" si="982"/>
        <v>-134764759.22675672</v>
      </c>
      <c r="S470">
        <f t="shared" si="983"/>
        <v>-1347.6475922675672</v>
      </c>
      <c r="T470">
        <f t="shared" si="984"/>
        <v>-1.3476475922675673</v>
      </c>
    </row>
    <row r="471" spans="1:20" x14ac:dyDescent="0.25">
      <c r="A471" s="5">
        <v>44122</v>
      </c>
      <c r="B471">
        <v>7.9200000000000007E-2</v>
      </c>
      <c r="C471">
        <v>8.0699999999999994E-2</v>
      </c>
      <c r="D471">
        <v>7.7600000000000002E-2</v>
      </c>
      <c r="E471">
        <v>7.8600000000000003E-2</v>
      </c>
      <c r="F471">
        <v>1207542.45</v>
      </c>
      <c r="G471">
        <v>-0.76</v>
      </c>
      <c r="L471" t="s">
        <v>7</v>
      </c>
      <c r="M471" t="s">
        <v>8</v>
      </c>
      <c r="N471" t="s">
        <v>7</v>
      </c>
      <c r="P471">
        <f t="shared" si="980"/>
        <v>-0.35483870967741704</v>
      </c>
      <c r="Q471">
        <f t="shared" si="981"/>
        <v>-428482.80483870686</v>
      </c>
      <c r="R471">
        <f t="shared" si="982"/>
        <v>-134263077.92675671</v>
      </c>
      <c r="S471">
        <f t="shared" si="983"/>
        <v>-1342.630779267567</v>
      </c>
      <c r="T471">
        <f t="shared" si="984"/>
        <v>-1.3426307792675671</v>
      </c>
    </row>
    <row r="472" spans="1:20" x14ac:dyDescent="0.25">
      <c r="A472" s="5">
        <v>44121</v>
      </c>
      <c r="B472">
        <v>7.7899999999999997E-2</v>
      </c>
      <c r="C472">
        <v>8.0799999999999997E-2</v>
      </c>
      <c r="D472">
        <v>7.6600000000000001E-2</v>
      </c>
      <c r="E472">
        <v>7.9100000000000004E-2</v>
      </c>
      <c r="F472">
        <v>885918.84</v>
      </c>
      <c r="G472">
        <v>1.54</v>
      </c>
      <c r="L472" t="s">
        <v>7</v>
      </c>
      <c r="M472" t="s">
        <v>8</v>
      </c>
      <c r="N472" t="s">
        <v>7</v>
      </c>
      <c r="P472">
        <f t="shared" si="980"/>
        <v>0.19047619047619282</v>
      </c>
      <c r="Q472">
        <f t="shared" si="981"/>
        <v>168746.44571428778</v>
      </c>
      <c r="R472">
        <f t="shared" si="982"/>
        <v>-133834595.12191799</v>
      </c>
      <c r="S472">
        <f t="shared" si="983"/>
        <v>-1338.3459512191798</v>
      </c>
      <c r="T472">
        <f t="shared" si="984"/>
        <v>-1.3383459512191798</v>
      </c>
    </row>
    <row r="473" spans="1:20" x14ac:dyDescent="0.25">
      <c r="A473" s="5">
        <v>44120</v>
      </c>
      <c r="B473">
        <v>8.0399999999999999E-2</v>
      </c>
      <c r="C473">
        <v>8.1900000000000001E-2</v>
      </c>
      <c r="D473">
        <v>7.5800000000000006E-2</v>
      </c>
      <c r="E473">
        <v>7.8399999999999997E-2</v>
      </c>
      <c r="F473">
        <v>1802269.39</v>
      </c>
      <c r="G473">
        <v>-2.4900000000000002</v>
      </c>
      <c r="L473" t="s">
        <v>7</v>
      </c>
      <c r="M473" t="s">
        <v>8</v>
      </c>
      <c r="N473" t="s">
        <v>7</v>
      </c>
      <c r="P473">
        <f t="shared" si="980"/>
        <v>-0.14754098360655946</v>
      </c>
      <c r="Q473">
        <f t="shared" si="981"/>
        <v>-265908.59852459392</v>
      </c>
      <c r="R473">
        <f t="shared" si="982"/>
        <v>-134003341.56763229</v>
      </c>
      <c r="S473">
        <f t="shared" si="983"/>
        <v>-1340.0334156763229</v>
      </c>
      <c r="T473">
        <f t="shared" si="984"/>
        <v>-1.3400334156763229</v>
      </c>
    </row>
    <row r="474" spans="1:20" x14ac:dyDescent="0.25">
      <c r="A474" s="5">
        <v>44119</v>
      </c>
      <c r="B474">
        <v>8.1600000000000006E-2</v>
      </c>
      <c r="C474">
        <v>8.1699999999999995E-2</v>
      </c>
      <c r="D474">
        <v>7.6499999999999999E-2</v>
      </c>
      <c r="E474">
        <v>8.0399999999999999E-2</v>
      </c>
      <c r="F474">
        <v>3132881.12</v>
      </c>
      <c r="G474">
        <v>-1.47</v>
      </c>
      <c r="L474" t="s">
        <v>7</v>
      </c>
      <c r="M474" t="s">
        <v>8</v>
      </c>
      <c r="N474" t="s">
        <v>7</v>
      </c>
      <c r="P474">
        <f t="shared" si="980"/>
        <v>0.50000000000000133</v>
      </c>
      <c r="Q474">
        <f t="shared" si="981"/>
        <v>1566440.5600000042</v>
      </c>
      <c r="R474">
        <f t="shared" si="982"/>
        <v>-133737432.96910769</v>
      </c>
      <c r="S474">
        <f t="shared" si="983"/>
        <v>-1337.3743296910768</v>
      </c>
      <c r="T474">
        <f t="shared" si="984"/>
        <v>-1.3373743296910767</v>
      </c>
    </row>
    <row r="475" spans="1:20" x14ac:dyDescent="0.25">
      <c r="A475" s="5">
        <v>44118</v>
      </c>
      <c r="B475">
        <v>8.5400000000000004E-2</v>
      </c>
      <c r="C475">
        <v>8.8800000000000004E-2</v>
      </c>
      <c r="D475">
        <v>8.0199999999999994E-2</v>
      </c>
      <c r="E475">
        <v>8.14E-2</v>
      </c>
      <c r="F475">
        <v>2706137.92</v>
      </c>
      <c r="G475">
        <v>-4.68</v>
      </c>
      <c r="L475" t="s">
        <v>7</v>
      </c>
      <c r="M475" t="s">
        <v>8</v>
      </c>
      <c r="N475" t="s">
        <v>7</v>
      </c>
      <c r="P475">
        <f t="shared" si="980"/>
        <v>-0.72093023255813837</v>
      </c>
      <c r="Q475">
        <f t="shared" si="981"/>
        <v>-1950936.6399999969</v>
      </c>
      <c r="R475">
        <f t="shared" si="982"/>
        <v>-135303873.52910769</v>
      </c>
      <c r="S475">
        <f t="shared" si="983"/>
        <v>-1353.0387352910768</v>
      </c>
      <c r="T475">
        <f t="shared" si="984"/>
        <v>-1.3530387352910769</v>
      </c>
    </row>
    <row r="476" spans="1:20" x14ac:dyDescent="0.25">
      <c r="A476" s="5">
        <v>44117</v>
      </c>
      <c r="B476">
        <v>8.2799999999999999E-2</v>
      </c>
      <c r="C476">
        <v>8.9800000000000005E-2</v>
      </c>
      <c r="D476">
        <v>8.1900000000000001E-2</v>
      </c>
      <c r="E476">
        <v>8.5999999999999993E-2</v>
      </c>
      <c r="F476">
        <v>5299719.3099999996</v>
      </c>
      <c r="G476">
        <v>3.86</v>
      </c>
      <c r="L476" t="s">
        <v>8</v>
      </c>
      <c r="M476" t="s">
        <v>8</v>
      </c>
      <c r="N476" t="s">
        <v>7</v>
      </c>
      <c r="P476">
        <f t="shared" si="980"/>
        <v>3.7974683544301349E-2</v>
      </c>
      <c r="Q476">
        <f t="shared" si="981"/>
        <v>201255.16367087309</v>
      </c>
      <c r="R476">
        <f t="shared" si="982"/>
        <v>-133352936.8891077</v>
      </c>
      <c r="S476">
        <f t="shared" si="983"/>
        <v>-1333.529368891077</v>
      </c>
      <c r="T476">
        <f t="shared" si="984"/>
        <v>-1.333529368891077</v>
      </c>
    </row>
    <row r="477" spans="1:20" x14ac:dyDescent="0.25">
      <c r="A477" s="5">
        <v>44116</v>
      </c>
      <c r="B477">
        <v>7.9899999999999999E-2</v>
      </c>
      <c r="C477">
        <v>8.8099999999999998E-2</v>
      </c>
      <c r="D477">
        <v>7.9000000000000001E-2</v>
      </c>
      <c r="E477">
        <v>8.3199999999999996E-2</v>
      </c>
      <c r="F477">
        <v>3390278.86</v>
      </c>
      <c r="G477">
        <v>4.13</v>
      </c>
      <c r="L477" t="s">
        <v>8</v>
      </c>
      <c r="M477" t="s">
        <v>8</v>
      </c>
      <c r="N477" t="s">
        <v>7</v>
      </c>
      <c r="P477">
        <f t="shared" si="980"/>
        <v>-7.6923076923077621E-2</v>
      </c>
      <c r="Q477">
        <f t="shared" si="981"/>
        <v>-260790.68153846389</v>
      </c>
      <c r="R477">
        <f t="shared" si="982"/>
        <v>-133554192.05277857</v>
      </c>
      <c r="S477">
        <f t="shared" si="983"/>
        <v>-1335.5419205277858</v>
      </c>
      <c r="T477">
        <f t="shared" si="984"/>
        <v>-1.3355419205277859</v>
      </c>
    </row>
    <row r="478" spans="1:20" x14ac:dyDescent="0.25">
      <c r="A478" s="5">
        <v>44115</v>
      </c>
      <c r="B478">
        <v>7.7200000000000005E-2</v>
      </c>
      <c r="C478">
        <v>8.0699999999999994E-2</v>
      </c>
      <c r="D478">
        <v>7.6899999999999996E-2</v>
      </c>
      <c r="E478">
        <v>7.9899999999999999E-2</v>
      </c>
      <c r="F478">
        <v>1771609.09</v>
      </c>
      <c r="G478">
        <v>3.5</v>
      </c>
      <c r="L478" t="s">
        <v>7</v>
      </c>
      <c r="M478" t="s">
        <v>7</v>
      </c>
      <c r="N478" t="s">
        <v>7</v>
      </c>
      <c r="P478">
        <f t="shared" si="980"/>
        <v>0.57894736842105499</v>
      </c>
      <c r="Q478">
        <f t="shared" si="981"/>
        <v>1025668.42052632</v>
      </c>
      <c r="R478">
        <f t="shared" si="982"/>
        <v>-133293401.37124011</v>
      </c>
      <c r="S478">
        <f t="shared" si="983"/>
        <v>-1332.9340137124011</v>
      </c>
      <c r="T478">
        <f t="shared" si="984"/>
        <v>-1.3329340137124011</v>
      </c>
    </row>
    <row r="479" spans="1:20" x14ac:dyDescent="0.25">
      <c r="A479" s="5">
        <v>44114</v>
      </c>
      <c r="B479">
        <v>8.0399999999999999E-2</v>
      </c>
      <c r="C479">
        <v>8.2799999999999999E-2</v>
      </c>
      <c r="D479">
        <v>7.6799999999999993E-2</v>
      </c>
      <c r="E479">
        <v>7.7600000000000002E-2</v>
      </c>
      <c r="F479">
        <v>2133031.88</v>
      </c>
      <c r="G479">
        <v>-3.48</v>
      </c>
      <c r="L479" t="s">
        <v>8</v>
      </c>
      <c r="M479" t="s">
        <v>7</v>
      </c>
      <c r="N479" t="s">
        <v>7</v>
      </c>
      <c r="P479">
        <f t="shared" si="980"/>
        <v>-0.73333333333333051</v>
      </c>
      <c r="Q479">
        <f t="shared" si="981"/>
        <v>-1564223.3786666605</v>
      </c>
      <c r="R479">
        <f t="shared" si="982"/>
        <v>-134319069.79176643</v>
      </c>
      <c r="S479">
        <f t="shared" si="983"/>
        <v>-1343.1906979176642</v>
      </c>
      <c r="T479">
        <f t="shared" si="984"/>
        <v>-1.3431906979176642</v>
      </c>
    </row>
    <row r="480" spans="1:20" x14ac:dyDescent="0.25">
      <c r="A480" s="5">
        <v>44113</v>
      </c>
      <c r="B480">
        <v>7.6899999999999996E-2</v>
      </c>
      <c r="C480">
        <v>8.0799999999999997E-2</v>
      </c>
      <c r="D480">
        <v>7.4999999999999997E-2</v>
      </c>
      <c r="E480">
        <v>8.0100000000000005E-2</v>
      </c>
      <c r="F480">
        <v>2274375.1800000002</v>
      </c>
      <c r="G480">
        <v>4.16</v>
      </c>
      <c r="L480" t="s">
        <v>8</v>
      </c>
      <c r="M480" t="s">
        <v>7</v>
      </c>
      <c r="N480" t="s">
        <v>7</v>
      </c>
      <c r="P480">
        <f t="shared" si="980"/>
        <v>0.75862068965517504</v>
      </c>
      <c r="Q480">
        <f t="shared" si="981"/>
        <v>1725388.0675862129</v>
      </c>
      <c r="R480">
        <f t="shared" si="982"/>
        <v>-132754846.41309977</v>
      </c>
      <c r="S480">
        <f t="shared" si="983"/>
        <v>-1327.5484641309977</v>
      </c>
      <c r="T480">
        <f t="shared" si="984"/>
        <v>-1.3275484641309976</v>
      </c>
    </row>
    <row r="481" spans="1:20" x14ac:dyDescent="0.25">
      <c r="A481" s="5">
        <v>44112</v>
      </c>
      <c r="B481">
        <v>7.3700000000000002E-2</v>
      </c>
      <c r="C481">
        <v>7.6799999999999993E-2</v>
      </c>
      <c r="D481">
        <v>6.9000000000000006E-2</v>
      </c>
      <c r="E481">
        <v>7.6799999999999993E-2</v>
      </c>
      <c r="F481">
        <v>3049870.2</v>
      </c>
      <c r="G481">
        <v>4.21</v>
      </c>
      <c r="L481" t="s">
        <v>7</v>
      </c>
      <c r="M481" t="s">
        <v>7</v>
      </c>
      <c r="N481" t="s">
        <v>7</v>
      </c>
      <c r="P481">
        <f t="shared" si="980"/>
        <v>1</v>
      </c>
      <c r="Q481">
        <f t="shared" si="981"/>
        <v>3049870.2</v>
      </c>
      <c r="R481">
        <f t="shared" si="982"/>
        <v>-134480234.48068598</v>
      </c>
      <c r="S481">
        <f t="shared" si="983"/>
        <v>-1344.8023448068598</v>
      </c>
      <c r="T481">
        <f t="shared" si="984"/>
        <v>-1.3448023448068598</v>
      </c>
    </row>
    <row r="482" spans="1:20" x14ac:dyDescent="0.25">
      <c r="A482" s="5">
        <v>44111</v>
      </c>
      <c r="B482">
        <v>7.3800000000000004E-2</v>
      </c>
      <c r="C482">
        <v>7.8E-2</v>
      </c>
      <c r="D482">
        <v>7.0000000000000007E-2</v>
      </c>
      <c r="E482">
        <v>7.3800000000000004E-2</v>
      </c>
      <c r="F482">
        <v>3406066.77</v>
      </c>
      <c r="G482">
        <v>0</v>
      </c>
      <c r="L482" t="s">
        <v>7</v>
      </c>
      <c r="M482" t="s">
        <v>7</v>
      </c>
      <c r="N482" t="s">
        <v>7</v>
      </c>
      <c r="P482">
        <f t="shared" si="980"/>
        <v>-4.9999999999999739E-2</v>
      </c>
      <c r="Q482">
        <f t="shared" si="981"/>
        <v>-170303.33849999911</v>
      </c>
      <c r="R482">
        <f t="shared" si="982"/>
        <v>-137530104.68068597</v>
      </c>
      <c r="S482">
        <f t="shared" si="983"/>
        <v>-1375.3010468068596</v>
      </c>
      <c r="T482">
        <f t="shared" si="984"/>
        <v>-1.3753010468068596</v>
      </c>
    </row>
    <row r="483" spans="1:20" x14ac:dyDescent="0.25">
      <c r="A483" s="5">
        <v>44110</v>
      </c>
      <c r="B483">
        <v>7.9799999999999996E-2</v>
      </c>
      <c r="C483">
        <v>8.0299999999999996E-2</v>
      </c>
      <c r="D483">
        <v>7.3599999999999999E-2</v>
      </c>
      <c r="E483">
        <v>7.3899999999999993E-2</v>
      </c>
      <c r="F483">
        <v>2325314.92</v>
      </c>
      <c r="G483">
        <v>-7.39</v>
      </c>
      <c r="L483" t="s">
        <v>7</v>
      </c>
      <c r="M483" t="s">
        <v>7</v>
      </c>
      <c r="N483" t="s">
        <v>7</v>
      </c>
      <c r="P483">
        <f t="shared" si="980"/>
        <v>-0.91044776119403137</v>
      </c>
      <c r="Q483">
        <f t="shared" si="981"/>
        <v>-2117077.7629850782</v>
      </c>
      <c r="R483">
        <f t="shared" si="982"/>
        <v>-137359801.34218597</v>
      </c>
      <c r="S483">
        <f t="shared" si="983"/>
        <v>-1373.5980134218598</v>
      </c>
      <c r="T483">
        <f t="shared" si="984"/>
        <v>-1.3735980134218599</v>
      </c>
    </row>
    <row r="484" spans="1:20" x14ac:dyDescent="0.25">
      <c r="A484" s="5">
        <v>44109</v>
      </c>
      <c r="B484">
        <v>7.9200000000000007E-2</v>
      </c>
      <c r="C484">
        <v>8.0500000000000002E-2</v>
      </c>
      <c r="D484">
        <v>7.6799999999999993E-2</v>
      </c>
      <c r="E484">
        <v>0.08</v>
      </c>
      <c r="F484">
        <v>2032869.64</v>
      </c>
      <c r="G484">
        <v>1.01</v>
      </c>
      <c r="L484" t="s">
        <v>7</v>
      </c>
      <c r="M484" t="s">
        <v>7</v>
      </c>
      <c r="N484" t="s">
        <v>8</v>
      </c>
      <c r="P484">
        <f t="shared" si="980"/>
        <v>0.72972972972973016</v>
      </c>
      <c r="Q484">
        <f t="shared" si="981"/>
        <v>1483445.4129729737</v>
      </c>
      <c r="R484">
        <f t="shared" si="982"/>
        <v>-135242723.57920089</v>
      </c>
      <c r="S484">
        <f t="shared" si="983"/>
        <v>-1352.427235792009</v>
      </c>
      <c r="T484">
        <f t="shared" si="984"/>
        <v>-1.3524272357920091</v>
      </c>
    </row>
    <row r="485" spans="1:20" x14ac:dyDescent="0.25">
      <c r="A485" s="5">
        <v>44108</v>
      </c>
      <c r="B485">
        <v>7.8899999999999998E-2</v>
      </c>
      <c r="C485">
        <v>8.09E-2</v>
      </c>
      <c r="D485">
        <v>7.7700000000000005E-2</v>
      </c>
      <c r="E485">
        <v>7.9299999999999995E-2</v>
      </c>
      <c r="F485">
        <v>1568408.55</v>
      </c>
      <c r="G485">
        <v>0.51</v>
      </c>
      <c r="L485" t="s">
        <v>7</v>
      </c>
      <c r="M485" t="s">
        <v>7</v>
      </c>
      <c r="N485" t="s">
        <v>8</v>
      </c>
      <c r="P485">
        <f t="shared" si="980"/>
        <v>-4.3368086899420248E-15</v>
      </c>
      <c r="Q485">
        <f t="shared" si="981"/>
        <v>-6.8018878290193712E-9</v>
      </c>
      <c r="R485">
        <f t="shared" si="982"/>
        <v>-136726168.99217388</v>
      </c>
      <c r="S485">
        <f t="shared" si="983"/>
        <v>-1367.2616899217387</v>
      </c>
      <c r="T485">
        <f t="shared" si="984"/>
        <v>-1.3672616899217387</v>
      </c>
    </row>
    <row r="486" spans="1:20" x14ac:dyDescent="0.25">
      <c r="A486" s="5">
        <v>44107</v>
      </c>
      <c r="B486">
        <v>7.9200000000000007E-2</v>
      </c>
      <c r="C486">
        <v>8.0199999999999994E-2</v>
      </c>
      <c r="D486">
        <v>7.8200000000000006E-2</v>
      </c>
      <c r="E486">
        <v>7.8700000000000006E-2</v>
      </c>
      <c r="F486">
        <v>1206560.03</v>
      </c>
      <c r="G486">
        <v>-0.63</v>
      </c>
      <c r="L486" t="s">
        <v>7</v>
      </c>
      <c r="M486" t="s">
        <v>7</v>
      </c>
      <c r="N486" t="s">
        <v>8</v>
      </c>
      <c r="P486">
        <f t="shared" si="980"/>
        <v>-0.49999999999999656</v>
      </c>
      <c r="Q486">
        <f t="shared" si="981"/>
        <v>-603280.01499999582</v>
      </c>
      <c r="R486">
        <f t="shared" si="982"/>
        <v>-136726168.99217388</v>
      </c>
      <c r="S486">
        <f t="shared" si="983"/>
        <v>-1367.2616899217387</v>
      </c>
      <c r="T486">
        <f t="shared" si="984"/>
        <v>-1.3672616899217387</v>
      </c>
    </row>
    <row r="487" spans="1:20" x14ac:dyDescent="0.25">
      <c r="A487" s="5">
        <v>44106</v>
      </c>
      <c r="B487">
        <v>8.1900000000000001E-2</v>
      </c>
      <c r="C487">
        <v>8.3199999999999996E-2</v>
      </c>
      <c r="D487">
        <v>7.6600000000000001E-2</v>
      </c>
      <c r="E487">
        <v>7.9100000000000004E-2</v>
      </c>
      <c r="F487">
        <v>2626585.37</v>
      </c>
      <c r="G487">
        <v>-3.42</v>
      </c>
      <c r="L487" t="s">
        <v>7</v>
      </c>
      <c r="M487" t="s">
        <v>7</v>
      </c>
      <c r="N487" t="s">
        <v>8</v>
      </c>
      <c r="P487">
        <f t="shared" si="980"/>
        <v>-0.24242424242424115</v>
      </c>
      <c r="Q487">
        <f t="shared" si="981"/>
        <v>-636747.96848484513</v>
      </c>
      <c r="R487">
        <f t="shared" si="982"/>
        <v>-136122888.97717389</v>
      </c>
      <c r="S487">
        <f t="shared" si="983"/>
        <v>-1361.228889771739</v>
      </c>
      <c r="T487">
        <f t="shared" si="984"/>
        <v>-1.3612288897717391</v>
      </c>
    </row>
    <row r="488" spans="1:20" x14ac:dyDescent="0.25">
      <c r="A488" s="5">
        <v>44105</v>
      </c>
      <c r="B488">
        <v>8.3799999999999999E-2</v>
      </c>
      <c r="C488">
        <v>8.8999999999999996E-2</v>
      </c>
      <c r="D488">
        <v>7.9000000000000001E-2</v>
      </c>
      <c r="E488">
        <v>8.1900000000000001E-2</v>
      </c>
      <c r="F488">
        <v>3445957.22</v>
      </c>
      <c r="G488">
        <v>-2.27</v>
      </c>
      <c r="L488" t="s">
        <v>7</v>
      </c>
      <c r="M488" t="s">
        <v>7</v>
      </c>
      <c r="N488" t="s">
        <v>8</v>
      </c>
      <c r="P488">
        <f t="shared" si="980"/>
        <v>-0.41999999999999976</v>
      </c>
      <c r="Q488">
        <f t="shared" si="981"/>
        <v>-1447302.0323999992</v>
      </c>
      <c r="R488">
        <f t="shared" si="982"/>
        <v>-135486141.00868905</v>
      </c>
      <c r="S488">
        <f t="shared" si="983"/>
        <v>-1354.8614100868904</v>
      </c>
      <c r="T488">
        <f t="shared" si="984"/>
        <v>-1.3548614100868903</v>
      </c>
    </row>
    <row r="489" spans="1:20" x14ac:dyDescent="0.25">
      <c r="A489" s="5">
        <v>44104</v>
      </c>
      <c r="B489">
        <v>8.6499999999999994E-2</v>
      </c>
      <c r="C489">
        <v>8.6699999999999999E-2</v>
      </c>
      <c r="D489">
        <v>8.3000000000000004E-2</v>
      </c>
      <c r="E489">
        <v>8.3599999999999994E-2</v>
      </c>
      <c r="F489">
        <v>2724847.12</v>
      </c>
      <c r="G489">
        <v>-3.35</v>
      </c>
      <c r="L489" t="s">
        <v>7</v>
      </c>
      <c r="M489" t="s">
        <v>7</v>
      </c>
      <c r="N489" t="s">
        <v>8</v>
      </c>
      <c r="P489">
        <f t="shared" si="980"/>
        <v>-0.67567567567568099</v>
      </c>
      <c r="Q489">
        <f t="shared" si="981"/>
        <v>-1841112.9189189335</v>
      </c>
      <c r="R489">
        <f t="shared" si="982"/>
        <v>-134038838.97628903</v>
      </c>
      <c r="S489">
        <f t="shared" si="983"/>
        <v>-1340.3883897628903</v>
      </c>
      <c r="T489">
        <f t="shared" si="984"/>
        <v>-1.3403883897628903</v>
      </c>
    </row>
    <row r="490" spans="1:20" x14ac:dyDescent="0.25">
      <c r="A490" s="5">
        <v>44103</v>
      </c>
      <c r="B490">
        <v>8.6599999999999996E-2</v>
      </c>
      <c r="C490">
        <v>8.9300000000000004E-2</v>
      </c>
      <c r="D490">
        <v>8.48E-2</v>
      </c>
      <c r="E490">
        <v>8.6300000000000002E-2</v>
      </c>
      <c r="F490">
        <v>4146894.68</v>
      </c>
      <c r="G490">
        <v>-0.35</v>
      </c>
      <c r="L490" t="s">
        <v>7</v>
      </c>
      <c r="M490" t="s">
        <v>7</v>
      </c>
      <c r="N490" t="s">
        <v>8</v>
      </c>
      <c r="P490">
        <f t="shared" si="980"/>
        <v>-0.33333333333333331</v>
      </c>
      <c r="Q490">
        <f t="shared" si="981"/>
        <v>-1382298.2266666666</v>
      </c>
      <c r="R490">
        <f t="shared" si="982"/>
        <v>-132197726.0573701</v>
      </c>
      <c r="S490">
        <f t="shared" si="983"/>
        <v>-1321.977260573701</v>
      </c>
      <c r="T490">
        <f t="shared" si="984"/>
        <v>-1.321977260573701</v>
      </c>
    </row>
    <row r="491" spans="1:20" x14ac:dyDescent="0.25">
      <c r="A491" s="5">
        <v>44102</v>
      </c>
      <c r="B491">
        <v>9.8000000000000004E-2</v>
      </c>
      <c r="C491">
        <v>0.10009999999999999</v>
      </c>
      <c r="D491">
        <v>8.6599999999999996E-2</v>
      </c>
      <c r="E491">
        <v>8.6599999999999996E-2</v>
      </c>
      <c r="F491">
        <v>8755138.7300000004</v>
      </c>
      <c r="G491">
        <v>-11.63</v>
      </c>
      <c r="L491" t="s">
        <v>7</v>
      </c>
      <c r="M491" t="s">
        <v>7</v>
      </c>
      <c r="N491" t="s">
        <v>8</v>
      </c>
      <c r="P491">
        <f t="shared" si="980"/>
        <v>-1</v>
      </c>
      <c r="Q491">
        <f t="shared" si="981"/>
        <v>-8755138.7300000004</v>
      </c>
      <c r="R491">
        <f t="shared" si="982"/>
        <v>-130815427.83070344</v>
      </c>
      <c r="S491">
        <f t="shared" si="983"/>
        <v>-1308.1542783070345</v>
      </c>
      <c r="T491">
        <f t="shared" si="984"/>
        <v>-1.3081542783070346</v>
      </c>
    </row>
    <row r="492" spans="1:20" x14ac:dyDescent="0.25">
      <c r="A492" s="5">
        <v>44101</v>
      </c>
      <c r="B492">
        <v>8.2500000000000004E-2</v>
      </c>
      <c r="C492">
        <v>0.1045</v>
      </c>
      <c r="D492">
        <v>7.8200000000000006E-2</v>
      </c>
      <c r="E492">
        <v>9.8000000000000004E-2</v>
      </c>
      <c r="F492">
        <v>21044756.93</v>
      </c>
      <c r="G492">
        <v>18.79</v>
      </c>
      <c r="L492" t="s">
        <v>8</v>
      </c>
      <c r="M492" t="s">
        <v>8</v>
      </c>
      <c r="N492" t="s">
        <v>8</v>
      </c>
      <c r="P492">
        <f t="shared" si="980"/>
        <v>0.50570342205323238</v>
      </c>
      <c r="Q492">
        <f t="shared" si="981"/>
        <v>10642405.595779477</v>
      </c>
      <c r="R492">
        <f t="shared" si="982"/>
        <v>-122060289.10070343</v>
      </c>
      <c r="S492">
        <f t="shared" si="983"/>
        <v>-1220.6028910070343</v>
      </c>
      <c r="T492">
        <f t="shared" si="984"/>
        <v>-1.2206028910070343</v>
      </c>
    </row>
    <row r="493" spans="1:20" x14ac:dyDescent="0.25">
      <c r="A493" s="5">
        <v>44100</v>
      </c>
      <c r="B493">
        <v>8.0699999999999994E-2</v>
      </c>
      <c r="C493">
        <v>8.4400000000000003E-2</v>
      </c>
      <c r="D493">
        <v>7.8799999999999995E-2</v>
      </c>
      <c r="E493">
        <v>8.2299999999999998E-2</v>
      </c>
      <c r="F493">
        <v>3088829.67</v>
      </c>
      <c r="G493">
        <v>1.98</v>
      </c>
      <c r="L493" t="s">
        <v>8</v>
      </c>
      <c r="M493" t="s">
        <v>7</v>
      </c>
      <c r="N493" t="s">
        <v>7</v>
      </c>
      <c r="P493">
        <f t="shared" si="980"/>
        <v>0.24999999999999939</v>
      </c>
      <c r="Q493">
        <f t="shared" si="981"/>
        <v>772207.41749999812</v>
      </c>
      <c r="R493">
        <f t="shared" si="982"/>
        <v>-132702694.69648291</v>
      </c>
      <c r="S493">
        <f t="shared" si="983"/>
        <v>-1327.0269469648292</v>
      </c>
      <c r="T493">
        <f t="shared" si="984"/>
        <v>-1.3270269469648293</v>
      </c>
    </row>
    <row r="494" spans="1:20" x14ac:dyDescent="0.25">
      <c r="A494" s="5">
        <v>44099</v>
      </c>
      <c r="B494">
        <v>7.9399999999999998E-2</v>
      </c>
      <c r="C494">
        <v>8.1799999999999998E-2</v>
      </c>
      <c r="D494">
        <v>7.6200000000000004E-2</v>
      </c>
      <c r="E494">
        <v>8.0699999999999994E-2</v>
      </c>
      <c r="F494">
        <v>3458069</v>
      </c>
      <c r="G494">
        <v>1.64</v>
      </c>
      <c r="L494" t="s">
        <v>8</v>
      </c>
      <c r="M494" t="s">
        <v>7</v>
      </c>
      <c r="N494" t="s">
        <v>7</v>
      </c>
      <c r="P494">
        <f t="shared" si="980"/>
        <v>0.60714285714285532</v>
      </c>
      <c r="Q494">
        <f t="shared" si="981"/>
        <v>2099541.8928571367</v>
      </c>
      <c r="R494">
        <f t="shared" si="982"/>
        <v>-133474902.11398292</v>
      </c>
      <c r="S494">
        <f t="shared" si="983"/>
        <v>-1334.7490211398292</v>
      </c>
      <c r="T494">
        <f t="shared" si="984"/>
        <v>-1.3347490211398292</v>
      </c>
    </row>
    <row r="495" spans="1:20" x14ac:dyDescent="0.25">
      <c r="A495" s="5">
        <v>44098</v>
      </c>
      <c r="B495">
        <v>7.4700000000000003E-2</v>
      </c>
      <c r="C495">
        <v>7.9699999999999993E-2</v>
      </c>
      <c r="D495">
        <v>7.4099999999999999E-2</v>
      </c>
      <c r="E495">
        <v>7.9100000000000004E-2</v>
      </c>
      <c r="F495">
        <v>3613701.76</v>
      </c>
      <c r="G495">
        <v>5.89</v>
      </c>
      <c r="L495" t="s">
        <v>8</v>
      </c>
      <c r="M495" t="s">
        <v>7</v>
      </c>
      <c r="N495" t="s">
        <v>7</v>
      </c>
      <c r="P495">
        <f t="shared" si="980"/>
        <v>0.78571428571428925</v>
      </c>
      <c r="Q495">
        <f t="shared" si="981"/>
        <v>2839337.0971428696</v>
      </c>
      <c r="R495">
        <f t="shared" si="982"/>
        <v>-135574444.00684005</v>
      </c>
      <c r="S495">
        <f t="shared" si="983"/>
        <v>-1355.7444400684005</v>
      </c>
      <c r="T495">
        <f t="shared" si="984"/>
        <v>-1.3557444400684004</v>
      </c>
    </row>
    <row r="496" spans="1:20" x14ac:dyDescent="0.25">
      <c r="A496" s="5">
        <v>44097</v>
      </c>
      <c r="B496">
        <v>8.3500000000000005E-2</v>
      </c>
      <c r="C496">
        <v>8.4000000000000005E-2</v>
      </c>
      <c r="D496">
        <v>7.4499999999999997E-2</v>
      </c>
      <c r="E496">
        <v>7.46E-2</v>
      </c>
      <c r="F496">
        <v>2211855.33</v>
      </c>
      <c r="G496">
        <v>-10.66</v>
      </c>
      <c r="L496" t="s">
        <v>7</v>
      </c>
      <c r="M496" t="s">
        <v>7</v>
      </c>
      <c r="N496" t="s">
        <v>7</v>
      </c>
      <c r="P496">
        <f t="shared" si="980"/>
        <v>-0.97894736842105201</v>
      </c>
      <c r="Q496">
        <f t="shared" si="981"/>
        <v>-2165289.9546315777</v>
      </c>
      <c r="R496">
        <f t="shared" si="982"/>
        <v>-138413781.10398293</v>
      </c>
      <c r="S496">
        <f t="shared" si="983"/>
        <v>-1384.1378110398293</v>
      </c>
      <c r="T496">
        <f t="shared" si="984"/>
        <v>-1.3841378110398292</v>
      </c>
    </row>
    <row r="497" spans="1:20" x14ac:dyDescent="0.25">
      <c r="A497" s="5">
        <v>44096</v>
      </c>
      <c r="B497">
        <v>8.1699999999999995E-2</v>
      </c>
      <c r="C497">
        <v>8.5099999999999995E-2</v>
      </c>
      <c r="D497">
        <v>7.9299999999999995E-2</v>
      </c>
      <c r="E497">
        <v>8.3699999999999997E-2</v>
      </c>
      <c r="F497">
        <v>1971524.65</v>
      </c>
      <c r="G497">
        <v>2.4500000000000002</v>
      </c>
      <c r="L497" t="s">
        <v>8</v>
      </c>
      <c r="M497" t="s">
        <v>7</v>
      </c>
      <c r="N497" t="s">
        <v>7</v>
      </c>
      <c r="P497">
        <f t="shared" si="980"/>
        <v>0.51724137931034531</v>
      </c>
      <c r="Q497">
        <f t="shared" si="981"/>
        <v>1019754.1293103457</v>
      </c>
      <c r="R497">
        <f t="shared" si="982"/>
        <v>-136248491.14935136</v>
      </c>
      <c r="S497">
        <f t="shared" si="983"/>
        <v>-1362.4849114935137</v>
      </c>
      <c r="T497">
        <f t="shared" si="984"/>
        <v>-1.3624849114935136</v>
      </c>
    </row>
    <row r="498" spans="1:20" x14ac:dyDescent="0.25">
      <c r="A498" s="5">
        <v>44095</v>
      </c>
      <c r="B498">
        <v>9.0999999999999998E-2</v>
      </c>
      <c r="C498">
        <v>9.2499999999999999E-2</v>
      </c>
      <c r="D498">
        <v>7.6899999999999996E-2</v>
      </c>
      <c r="E498">
        <v>8.1699999999999995E-2</v>
      </c>
      <c r="F498">
        <v>4136125.27</v>
      </c>
      <c r="G498">
        <v>-10.220000000000001</v>
      </c>
      <c r="L498" t="s">
        <v>7</v>
      </c>
      <c r="M498" t="s">
        <v>7</v>
      </c>
      <c r="N498" t="s">
        <v>7</v>
      </c>
      <c r="P498">
        <f t="shared" si="980"/>
        <v>-0.38461538461538491</v>
      </c>
      <c r="Q498">
        <f t="shared" si="981"/>
        <v>-1590817.4115384629</v>
      </c>
      <c r="R498">
        <f t="shared" si="982"/>
        <v>-137268245.2786617</v>
      </c>
      <c r="S498">
        <f t="shared" si="983"/>
        <v>-1372.682452786617</v>
      </c>
      <c r="T498">
        <f t="shared" si="984"/>
        <v>-1.372682452786617</v>
      </c>
    </row>
    <row r="499" spans="1:20" x14ac:dyDescent="0.25">
      <c r="A499" s="5">
        <v>44094</v>
      </c>
      <c r="B499">
        <v>9.1600000000000001E-2</v>
      </c>
      <c r="C499">
        <v>9.3899999999999997E-2</v>
      </c>
      <c r="D499">
        <v>8.8800000000000004E-2</v>
      </c>
      <c r="E499">
        <v>9.1200000000000003E-2</v>
      </c>
      <c r="F499">
        <v>1697394.11</v>
      </c>
      <c r="G499">
        <v>-0.44</v>
      </c>
      <c r="L499" t="s">
        <v>7</v>
      </c>
      <c r="M499" t="s">
        <v>7</v>
      </c>
      <c r="N499" t="s">
        <v>7</v>
      </c>
      <c r="P499">
        <f t="shared" si="980"/>
        <v>-5.8823529411763747E-2</v>
      </c>
      <c r="Q499">
        <f t="shared" si="981"/>
        <v>-99846.712352939561</v>
      </c>
      <c r="R499">
        <f t="shared" si="982"/>
        <v>-135677427.86712325</v>
      </c>
      <c r="S499">
        <f t="shared" si="983"/>
        <v>-1356.7742786712324</v>
      </c>
      <c r="T499">
        <f t="shared" si="984"/>
        <v>-1.3567742786712325</v>
      </c>
    </row>
    <row r="500" spans="1:20" x14ac:dyDescent="0.25">
      <c r="A500" s="5">
        <v>44093</v>
      </c>
      <c r="B500">
        <v>9.0899999999999995E-2</v>
      </c>
      <c r="C500">
        <v>9.2999999999999999E-2</v>
      </c>
      <c r="D500">
        <v>9.0200000000000002E-2</v>
      </c>
      <c r="E500">
        <v>9.1700000000000004E-2</v>
      </c>
      <c r="F500">
        <v>1549272.93</v>
      </c>
      <c r="G500">
        <v>0.88</v>
      </c>
      <c r="L500" t="s">
        <v>7</v>
      </c>
      <c r="M500" t="s">
        <v>7</v>
      </c>
      <c r="N500" t="s">
        <v>7</v>
      </c>
      <c r="P500">
        <f t="shared" si="980"/>
        <v>7.1428571428573548E-2</v>
      </c>
      <c r="Q500">
        <f t="shared" si="981"/>
        <v>110662.35214286041</v>
      </c>
      <c r="R500">
        <f t="shared" si="982"/>
        <v>-135577581.15477031</v>
      </c>
      <c r="S500">
        <f t="shared" si="983"/>
        <v>-1355.7758115477031</v>
      </c>
      <c r="T500">
        <f t="shared" si="984"/>
        <v>-1.3557758115477032</v>
      </c>
    </row>
    <row r="501" spans="1:20" x14ac:dyDescent="0.25">
      <c r="A501" s="5">
        <v>44092</v>
      </c>
      <c r="B501">
        <v>9.8699999999999996E-2</v>
      </c>
      <c r="C501">
        <v>9.9599999999999994E-2</v>
      </c>
      <c r="D501">
        <v>8.8700000000000001E-2</v>
      </c>
      <c r="E501">
        <v>9.0899999999999995E-2</v>
      </c>
      <c r="F501">
        <v>3267203.57</v>
      </c>
      <c r="G501">
        <v>-7.9</v>
      </c>
      <c r="L501" t="s">
        <v>7</v>
      </c>
      <c r="M501" t="s">
        <v>7</v>
      </c>
      <c r="N501" t="s">
        <v>7</v>
      </c>
      <c r="P501">
        <f t="shared" si="980"/>
        <v>-0.59633027522935866</v>
      </c>
      <c r="Q501">
        <f t="shared" si="981"/>
        <v>-1948332.404128443</v>
      </c>
      <c r="R501">
        <f t="shared" si="982"/>
        <v>-135688243.50691319</v>
      </c>
      <c r="S501">
        <f t="shared" si="983"/>
        <v>-1356.8824350691318</v>
      </c>
      <c r="T501">
        <f t="shared" si="984"/>
        <v>-1.3568824350691318</v>
      </c>
    </row>
    <row r="502" spans="1:20" x14ac:dyDescent="0.25">
      <c r="A502" s="5">
        <v>44091</v>
      </c>
      <c r="B502">
        <v>9.8199999999999996E-2</v>
      </c>
      <c r="C502">
        <v>0.1</v>
      </c>
      <c r="D502">
        <v>9.5000000000000001E-2</v>
      </c>
      <c r="E502">
        <v>9.8500000000000004E-2</v>
      </c>
      <c r="F502">
        <v>2130441.2000000002</v>
      </c>
      <c r="G502">
        <v>0.31</v>
      </c>
      <c r="L502" t="s">
        <v>8</v>
      </c>
      <c r="M502" t="s">
        <v>7</v>
      </c>
      <c r="N502" t="s">
        <v>7</v>
      </c>
      <c r="P502">
        <f t="shared" si="980"/>
        <v>0.4</v>
      </c>
      <c r="Q502">
        <f t="shared" si="981"/>
        <v>852176.4800000001</v>
      </c>
      <c r="R502">
        <f t="shared" si="982"/>
        <v>-133739911.10278474</v>
      </c>
      <c r="S502">
        <f t="shared" si="983"/>
        <v>-1337.3991110278473</v>
      </c>
      <c r="T502">
        <f t="shared" si="984"/>
        <v>-1.3373991110278474</v>
      </c>
    </row>
    <row r="503" spans="1:20" x14ac:dyDescent="0.25">
      <c r="A503" s="5">
        <v>44090</v>
      </c>
      <c r="B503">
        <v>9.7699999999999995E-2</v>
      </c>
      <c r="C503">
        <v>9.9500000000000005E-2</v>
      </c>
      <c r="D503">
        <v>9.2700000000000005E-2</v>
      </c>
      <c r="E503">
        <v>9.8199999999999996E-2</v>
      </c>
      <c r="F503">
        <v>2654466.7599999998</v>
      </c>
      <c r="G503">
        <v>0.51</v>
      </c>
      <c r="L503" t="s">
        <v>7</v>
      </c>
      <c r="M503" t="s">
        <v>7</v>
      </c>
      <c r="N503" t="s">
        <v>7</v>
      </c>
      <c r="P503">
        <f t="shared" si="980"/>
        <v>0.61764705882352666</v>
      </c>
      <c r="Q503">
        <f t="shared" si="981"/>
        <v>1639523.5870588161</v>
      </c>
      <c r="R503">
        <f t="shared" si="982"/>
        <v>-134592087.58278474</v>
      </c>
      <c r="S503">
        <f t="shared" si="983"/>
        <v>-1345.9208758278473</v>
      </c>
      <c r="T503">
        <f t="shared" si="984"/>
        <v>-1.3459208758278474</v>
      </c>
    </row>
    <row r="504" spans="1:20" x14ac:dyDescent="0.25">
      <c r="A504" s="5">
        <v>44089</v>
      </c>
      <c r="B504">
        <v>0.104</v>
      </c>
      <c r="C504">
        <v>0.1183</v>
      </c>
      <c r="D504">
        <v>9.7199999999999995E-2</v>
      </c>
      <c r="E504">
        <v>9.7500000000000003E-2</v>
      </c>
      <c r="F504">
        <v>8053999.8300000001</v>
      </c>
      <c r="G504">
        <v>-6.25</v>
      </c>
      <c r="L504" t="s">
        <v>8</v>
      </c>
      <c r="M504" t="s">
        <v>8</v>
      </c>
      <c r="N504" t="s">
        <v>7</v>
      </c>
      <c r="P504">
        <f t="shared" si="980"/>
        <v>-0.97156398104265318</v>
      </c>
      <c r="Q504">
        <f t="shared" si="981"/>
        <v>-7824976.1381516522</v>
      </c>
      <c r="R504">
        <f t="shared" si="982"/>
        <v>-136231611.16984355</v>
      </c>
      <c r="S504">
        <f t="shared" si="983"/>
        <v>-1362.3161116984356</v>
      </c>
      <c r="T504">
        <f t="shared" si="984"/>
        <v>-1.3623161116984357</v>
      </c>
    </row>
    <row r="505" spans="1:20" x14ac:dyDescent="0.25">
      <c r="A505" s="5">
        <v>44088</v>
      </c>
      <c r="B505">
        <v>0.10340000000000001</v>
      </c>
      <c r="C505">
        <v>0.108</v>
      </c>
      <c r="D505">
        <v>0.10100000000000001</v>
      </c>
      <c r="E505">
        <v>0.1038</v>
      </c>
      <c r="F505">
        <v>1977421.52</v>
      </c>
      <c r="G505">
        <v>0.39</v>
      </c>
      <c r="L505" t="s">
        <v>8</v>
      </c>
      <c r="M505" t="s">
        <v>8</v>
      </c>
      <c r="N505" t="s">
        <v>7</v>
      </c>
      <c r="P505">
        <f t="shared" si="980"/>
        <v>-0.2</v>
      </c>
      <c r="Q505">
        <f t="shared" si="981"/>
        <v>-395484.304</v>
      </c>
      <c r="R505">
        <f t="shared" si="982"/>
        <v>-128406635.03169189</v>
      </c>
      <c r="S505">
        <f t="shared" si="983"/>
        <v>-1284.0663503169189</v>
      </c>
      <c r="T505">
        <f t="shared" si="984"/>
        <v>-1.284066350316919</v>
      </c>
    </row>
    <row r="506" spans="1:20" x14ac:dyDescent="0.25">
      <c r="A506" s="5">
        <v>44087</v>
      </c>
      <c r="B506">
        <v>0.1095</v>
      </c>
      <c r="C506">
        <v>0.114</v>
      </c>
      <c r="D506">
        <v>9.8000000000000004E-2</v>
      </c>
      <c r="E506">
        <v>0.10340000000000001</v>
      </c>
      <c r="F506">
        <v>4266404.51</v>
      </c>
      <c r="G506">
        <v>-5.57</v>
      </c>
      <c r="L506" t="s">
        <v>7</v>
      </c>
      <c r="M506" t="s">
        <v>8</v>
      </c>
      <c r="N506" t="s">
        <v>7</v>
      </c>
      <c r="P506">
        <f t="shared" si="980"/>
        <v>-0.32499999999999979</v>
      </c>
      <c r="Q506">
        <f t="shared" si="981"/>
        <v>-1386581.465749999</v>
      </c>
      <c r="R506">
        <f t="shared" si="982"/>
        <v>-128011150.72769189</v>
      </c>
      <c r="S506">
        <f t="shared" si="983"/>
        <v>-1280.1115072769189</v>
      </c>
      <c r="T506">
        <f t="shared" si="984"/>
        <v>-1.2801115072769189</v>
      </c>
    </row>
    <row r="507" spans="1:20" x14ac:dyDescent="0.25">
      <c r="A507" s="5">
        <v>44086</v>
      </c>
      <c r="B507">
        <v>0.11169999999999999</v>
      </c>
      <c r="C507">
        <v>0.1157</v>
      </c>
      <c r="D507">
        <v>0.1084</v>
      </c>
      <c r="E507">
        <v>0.1095</v>
      </c>
      <c r="F507">
        <v>3355103.13</v>
      </c>
      <c r="G507">
        <v>-1.97</v>
      </c>
      <c r="L507" t="s">
        <v>7</v>
      </c>
      <c r="M507" t="s">
        <v>8</v>
      </c>
      <c r="N507" t="s">
        <v>7</v>
      </c>
      <c r="P507">
        <f t="shared" si="980"/>
        <v>-0.69863013698630039</v>
      </c>
      <c r="Q507">
        <f t="shared" si="981"/>
        <v>-2343976.159315065</v>
      </c>
      <c r="R507">
        <f t="shared" si="982"/>
        <v>-126624569.26194189</v>
      </c>
      <c r="S507">
        <f t="shared" si="983"/>
        <v>-1266.2456926194191</v>
      </c>
      <c r="T507">
        <f t="shared" si="984"/>
        <v>-1.266245692619419</v>
      </c>
    </row>
    <row r="508" spans="1:20" x14ac:dyDescent="0.25">
      <c r="A508" s="5">
        <v>44085</v>
      </c>
      <c r="B508">
        <v>0.11070000000000001</v>
      </c>
      <c r="C508">
        <v>0.1159</v>
      </c>
      <c r="D508">
        <v>0.10249999999999999</v>
      </c>
      <c r="E508">
        <v>0.11210000000000001</v>
      </c>
      <c r="F508">
        <v>6447056.0700000003</v>
      </c>
      <c r="G508">
        <v>1.26</v>
      </c>
      <c r="L508" t="s">
        <v>8</v>
      </c>
      <c r="M508" t="s">
        <v>8</v>
      </c>
      <c r="N508" t="s">
        <v>7</v>
      </c>
      <c r="P508">
        <f t="shared" si="980"/>
        <v>0.43283582089552308</v>
      </c>
      <c r="Q508">
        <f t="shared" si="981"/>
        <v>2790516.806417915</v>
      </c>
      <c r="R508">
        <f t="shared" si="982"/>
        <v>-124280593.10262683</v>
      </c>
      <c r="S508">
        <f t="shared" si="983"/>
        <v>-1242.8059310262684</v>
      </c>
      <c r="T508">
        <f t="shared" si="984"/>
        <v>-1.2428059310262685</v>
      </c>
    </row>
    <row r="509" spans="1:20" x14ac:dyDescent="0.25">
      <c r="A509" s="5">
        <v>44084</v>
      </c>
      <c r="B509">
        <v>9.5899999999999999E-2</v>
      </c>
      <c r="C509">
        <v>0.1139</v>
      </c>
      <c r="D509">
        <v>9.5899999999999999E-2</v>
      </c>
      <c r="E509">
        <v>0.1099</v>
      </c>
      <c r="F509">
        <v>9100477.1500000004</v>
      </c>
      <c r="G509">
        <v>14.6</v>
      </c>
      <c r="L509" t="s">
        <v>8</v>
      </c>
      <c r="M509" t="s">
        <v>8</v>
      </c>
      <c r="N509" t="s">
        <v>7</v>
      </c>
      <c r="P509">
        <f t="shared" si="980"/>
        <v>0.55555555555555525</v>
      </c>
      <c r="Q509">
        <f t="shared" si="981"/>
        <v>5055820.6388888862</v>
      </c>
      <c r="R509">
        <f t="shared" si="982"/>
        <v>-127071109.90904474</v>
      </c>
      <c r="S509">
        <f t="shared" si="983"/>
        <v>-1270.7110990904475</v>
      </c>
      <c r="T509">
        <f t="shared" si="984"/>
        <v>-1.2707110990904475</v>
      </c>
    </row>
    <row r="510" spans="1:20" x14ac:dyDescent="0.25">
      <c r="A510" s="5">
        <v>44083</v>
      </c>
      <c r="B510">
        <v>9.1700000000000004E-2</v>
      </c>
      <c r="C510">
        <v>0.1</v>
      </c>
      <c r="D510">
        <v>9.0399999999999994E-2</v>
      </c>
      <c r="E510">
        <v>9.5699999999999993E-2</v>
      </c>
      <c r="F510">
        <v>3134284.65</v>
      </c>
      <c r="G510">
        <v>4.3600000000000003</v>
      </c>
      <c r="L510" t="s">
        <v>8</v>
      </c>
      <c r="M510" t="s">
        <v>7</v>
      </c>
      <c r="N510" t="s">
        <v>7</v>
      </c>
      <c r="P510">
        <f t="shared" si="980"/>
        <v>0.10416666666666519</v>
      </c>
      <c r="Q510">
        <f t="shared" si="981"/>
        <v>326487.98437499534</v>
      </c>
      <c r="R510">
        <f t="shared" si="982"/>
        <v>-132126930.54793362</v>
      </c>
      <c r="S510">
        <f t="shared" si="983"/>
        <v>-1321.2693054793363</v>
      </c>
      <c r="T510">
        <f t="shared" si="984"/>
        <v>-1.3212693054793363</v>
      </c>
    </row>
    <row r="511" spans="1:20" x14ac:dyDescent="0.25">
      <c r="A511" s="5">
        <v>44082</v>
      </c>
      <c r="B511">
        <v>9.4E-2</v>
      </c>
      <c r="C511">
        <v>9.5500000000000002E-2</v>
      </c>
      <c r="D511">
        <v>8.9300000000000004E-2</v>
      </c>
      <c r="E511">
        <v>9.1899999999999996E-2</v>
      </c>
      <c r="F511">
        <v>2083747.58</v>
      </c>
      <c r="G511">
        <v>-2.23</v>
      </c>
      <c r="L511" t="s">
        <v>8</v>
      </c>
      <c r="M511" t="s">
        <v>7</v>
      </c>
      <c r="N511" t="s">
        <v>7</v>
      </c>
      <c r="P511">
        <f t="shared" si="980"/>
        <v>-0.16129032258064763</v>
      </c>
      <c r="Q511">
        <f t="shared" si="981"/>
        <v>-336088.31935484387</v>
      </c>
      <c r="R511">
        <f t="shared" si="982"/>
        <v>-132453418.53230862</v>
      </c>
      <c r="S511">
        <f t="shared" si="983"/>
        <v>-1324.5341853230861</v>
      </c>
      <c r="T511">
        <f t="shared" si="984"/>
        <v>-1.3245341853230861</v>
      </c>
    </row>
    <row r="512" spans="1:20" x14ac:dyDescent="0.25">
      <c r="A512" s="5">
        <v>44081</v>
      </c>
      <c r="B512">
        <v>9.5600000000000004E-2</v>
      </c>
      <c r="C512">
        <v>9.6699999999999994E-2</v>
      </c>
      <c r="D512">
        <v>8.7099999999999997E-2</v>
      </c>
      <c r="E512">
        <v>9.3700000000000006E-2</v>
      </c>
      <c r="F512">
        <v>3136219.17</v>
      </c>
      <c r="G512">
        <v>-1.99</v>
      </c>
      <c r="L512" t="s">
        <v>7</v>
      </c>
      <c r="M512" t="s">
        <v>7</v>
      </c>
      <c r="N512" t="s">
        <v>7</v>
      </c>
      <c r="P512">
        <f t="shared" si="980"/>
        <v>0.37500000000000216</v>
      </c>
      <c r="Q512">
        <f t="shared" si="981"/>
        <v>1176082.1887500067</v>
      </c>
      <c r="R512">
        <f t="shared" si="982"/>
        <v>-132117330.21295378</v>
      </c>
      <c r="S512">
        <f t="shared" si="983"/>
        <v>-1321.1733021295377</v>
      </c>
      <c r="T512">
        <f t="shared" si="984"/>
        <v>-1.3211733021295378</v>
      </c>
    </row>
    <row r="513" spans="1:20" x14ac:dyDescent="0.25">
      <c r="A513" s="5">
        <v>44080</v>
      </c>
      <c r="B513">
        <v>9.0499999999999997E-2</v>
      </c>
      <c r="C513">
        <v>9.74E-2</v>
      </c>
      <c r="D513">
        <v>8.6300000000000002E-2</v>
      </c>
      <c r="E513">
        <v>9.5399999999999999E-2</v>
      </c>
      <c r="F513">
        <v>3258280.48</v>
      </c>
      <c r="G513">
        <v>5.41</v>
      </c>
      <c r="L513" t="s">
        <v>8</v>
      </c>
      <c r="M513" t="s">
        <v>7</v>
      </c>
      <c r="N513" t="s">
        <v>7</v>
      </c>
      <c r="P513">
        <f t="shared" si="980"/>
        <v>0.63963963963963932</v>
      </c>
      <c r="Q513">
        <f t="shared" si="981"/>
        <v>2084125.3520720711</v>
      </c>
      <c r="R513">
        <f t="shared" si="982"/>
        <v>-133293412.40170379</v>
      </c>
      <c r="S513">
        <f t="shared" si="983"/>
        <v>-1332.9341240170379</v>
      </c>
      <c r="T513">
        <f t="shared" si="984"/>
        <v>-1.3329341240170378</v>
      </c>
    </row>
    <row r="514" spans="1:20" x14ac:dyDescent="0.25">
      <c r="A514" s="5">
        <v>44079</v>
      </c>
      <c r="B514">
        <v>0.1028</v>
      </c>
      <c r="C514">
        <v>0.1055</v>
      </c>
      <c r="D514">
        <v>8.7499999999999994E-2</v>
      </c>
      <c r="E514">
        <v>9.0800000000000006E-2</v>
      </c>
      <c r="F514">
        <v>5981017.1900000004</v>
      </c>
      <c r="G514">
        <v>-11.67</v>
      </c>
      <c r="L514" t="s">
        <v>7</v>
      </c>
      <c r="M514" t="s">
        <v>7</v>
      </c>
      <c r="N514" t="s">
        <v>7</v>
      </c>
      <c r="P514">
        <f t="shared" si="980"/>
        <v>-0.63333333333333208</v>
      </c>
      <c r="Q514">
        <f t="shared" si="981"/>
        <v>-3787977.5536666596</v>
      </c>
      <c r="R514">
        <f t="shared" si="982"/>
        <v>-135377537.75377586</v>
      </c>
      <c r="S514">
        <f t="shared" si="983"/>
        <v>-1353.7753775377587</v>
      </c>
      <c r="T514">
        <f t="shared" si="984"/>
        <v>-1.3537753775377588</v>
      </c>
    </row>
    <row r="515" spans="1:20" x14ac:dyDescent="0.25">
      <c r="A515" s="5">
        <v>44078</v>
      </c>
      <c r="B515">
        <v>9.8299999999999998E-2</v>
      </c>
      <c r="C515">
        <v>0.10730000000000001</v>
      </c>
      <c r="D515">
        <v>9.6799999999999997E-2</v>
      </c>
      <c r="E515">
        <v>0.10290000000000001</v>
      </c>
      <c r="F515">
        <v>4755083.18</v>
      </c>
      <c r="G515">
        <v>4.68</v>
      </c>
      <c r="L515" t="s">
        <v>8</v>
      </c>
      <c r="M515" t="s">
        <v>7</v>
      </c>
      <c r="N515" t="s">
        <v>7</v>
      </c>
      <c r="P515">
        <f t="shared" si="980"/>
        <v>0.16190476190476244</v>
      </c>
      <c r="Q515">
        <f t="shared" si="981"/>
        <v>769870.61009524064</v>
      </c>
      <c r="R515">
        <f t="shared" si="982"/>
        <v>-131589560.2001092</v>
      </c>
      <c r="S515">
        <f t="shared" si="983"/>
        <v>-1315.8956020010919</v>
      </c>
      <c r="T515">
        <f t="shared" si="984"/>
        <v>-1.3158956020010919</v>
      </c>
    </row>
    <row r="516" spans="1:20" x14ac:dyDescent="0.25">
      <c r="A516" s="5">
        <v>44077</v>
      </c>
      <c r="B516">
        <v>0.12920000000000001</v>
      </c>
      <c r="C516">
        <v>0.13059999999999999</v>
      </c>
      <c r="D516">
        <v>9.5399999999999999E-2</v>
      </c>
      <c r="E516">
        <v>9.8100000000000007E-2</v>
      </c>
      <c r="F516">
        <v>7791069.1200000001</v>
      </c>
      <c r="G516">
        <v>-24.07</v>
      </c>
      <c r="L516" t="s">
        <v>7</v>
      </c>
      <c r="M516" t="s">
        <v>7</v>
      </c>
      <c r="N516" t="s">
        <v>7</v>
      </c>
      <c r="P516">
        <f t="shared" si="980"/>
        <v>-0.84659090909090862</v>
      </c>
      <c r="Q516">
        <f t="shared" si="981"/>
        <v>-6595848.2890909053</v>
      </c>
      <c r="R516">
        <f t="shared" si="982"/>
        <v>-132359430.81020445</v>
      </c>
      <c r="S516">
        <f t="shared" si="983"/>
        <v>-1323.5943081020444</v>
      </c>
      <c r="T516">
        <f t="shared" si="984"/>
        <v>-1.3235943081020443</v>
      </c>
    </row>
    <row r="517" spans="1:20" x14ac:dyDescent="0.25">
      <c r="A517" s="5">
        <v>44076</v>
      </c>
      <c r="B517">
        <v>0.13819999999999999</v>
      </c>
      <c r="C517">
        <v>0.1477</v>
      </c>
      <c r="D517">
        <v>0.125</v>
      </c>
      <c r="E517">
        <v>0.1293</v>
      </c>
      <c r="F517">
        <v>5090166.6500000004</v>
      </c>
      <c r="G517">
        <v>-6.44</v>
      </c>
      <c r="L517" t="s">
        <v>7</v>
      </c>
      <c r="M517" t="s">
        <v>7</v>
      </c>
      <c r="N517" t="s">
        <v>8</v>
      </c>
      <c r="P517">
        <f t="shared" si="980"/>
        <v>-0.62114537444933937</v>
      </c>
      <c r="Q517">
        <f t="shared" si="981"/>
        <v>-3161733.4698237898</v>
      </c>
      <c r="R517">
        <f t="shared" si="982"/>
        <v>-125763582.52111354</v>
      </c>
      <c r="S517">
        <f t="shared" si="983"/>
        <v>-1257.6358252111354</v>
      </c>
      <c r="T517">
        <f t="shared" si="984"/>
        <v>-1.2576358252111355</v>
      </c>
    </row>
    <row r="518" spans="1:20" x14ac:dyDescent="0.25">
      <c r="A518" s="5">
        <v>44075</v>
      </c>
      <c r="B518">
        <v>0.1348</v>
      </c>
      <c r="C518">
        <v>0.14949999999999999</v>
      </c>
      <c r="D518">
        <v>0.1308</v>
      </c>
      <c r="E518">
        <v>0.13850000000000001</v>
      </c>
      <c r="F518">
        <v>11325130.73</v>
      </c>
      <c r="G518">
        <v>2.74</v>
      </c>
      <c r="L518" t="s">
        <v>8</v>
      </c>
      <c r="M518" t="s">
        <v>8</v>
      </c>
      <c r="N518" t="s">
        <v>8</v>
      </c>
      <c r="P518">
        <f t="shared" ref="P518:P581" si="985">IF(C518=D518,0,((E518-D518)-(C518-E518))/(C518-D518))</f>
        <v>-0.17647058823529255</v>
      </c>
      <c r="Q518">
        <f t="shared" ref="Q518:Q581" si="986">F518*P518</f>
        <v>-1998552.4817646882</v>
      </c>
      <c r="R518">
        <f t="shared" ref="R518:R581" si="987">R519+Q518</f>
        <v>-122601849.05128975</v>
      </c>
      <c r="S518">
        <f t="shared" ref="S518:S581" si="988">R518/100000</f>
        <v>-1226.0184905128974</v>
      </c>
      <c r="T518">
        <f t="shared" ref="T518:T581" si="989">S518/1000</f>
        <v>-1.2260184905128975</v>
      </c>
    </row>
    <row r="519" spans="1:20" x14ac:dyDescent="0.25">
      <c r="A519" s="5">
        <v>44074</v>
      </c>
      <c r="B519">
        <v>0.13769999999999999</v>
      </c>
      <c r="C519">
        <v>0.14299999999999999</v>
      </c>
      <c r="D519">
        <v>0.1303</v>
      </c>
      <c r="E519">
        <v>0.13469999999999999</v>
      </c>
      <c r="F519">
        <v>4603125.54</v>
      </c>
      <c r="G519">
        <v>-2.1800000000000002</v>
      </c>
      <c r="L519" t="s">
        <v>7</v>
      </c>
      <c r="M519" t="s">
        <v>8</v>
      </c>
      <c r="N519" t="s">
        <v>8</v>
      </c>
      <c r="P519">
        <f t="shared" si="985"/>
        <v>-0.30708661417322974</v>
      </c>
      <c r="Q519">
        <f t="shared" si="986"/>
        <v>-1413558.2366929199</v>
      </c>
      <c r="R519">
        <f t="shared" si="987"/>
        <v>-120603296.56952506</v>
      </c>
      <c r="S519">
        <f t="shared" si="988"/>
        <v>-1206.0329656952506</v>
      </c>
      <c r="T519">
        <f t="shared" si="989"/>
        <v>-1.2060329656952506</v>
      </c>
    </row>
    <row r="520" spans="1:20" x14ac:dyDescent="0.25">
      <c r="A520" s="5">
        <v>44073</v>
      </c>
      <c r="B520">
        <v>0.129</v>
      </c>
      <c r="C520">
        <v>0.1469</v>
      </c>
      <c r="D520">
        <v>0.128</v>
      </c>
      <c r="E520">
        <v>0.13780000000000001</v>
      </c>
      <c r="F520">
        <v>11859304.33</v>
      </c>
      <c r="G520">
        <v>6.82</v>
      </c>
      <c r="L520" t="s">
        <v>8</v>
      </c>
      <c r="M520" t="s">
        <v>8</v>
      </c>
      <c r="N520" t="s">
        <v>8</v>
      </c>
      <c r="P520">
        <f t="shared" si="985"/>
        <v>3.7037037037037361E-2</v>
      </c>
      <c r="Q520">
        <f t="shared" si="986"/>
        <v>439233.49370370753</v>
      </c>
      <c r="R520">
        <f t="shared" si="987"/>
        <v>-119189738.33283214</v>
      </c>
      <c r="S520">
        <f t="shared" si="988"/>
        <v>-1191.8973833283214</v>
      </c>
      <c r="T520">
        <f t="shared" si="989"/>
        <v>-1.1918973833283215</v>
      </c>
    </row>
    <row r="521" spans="1:20" x14ac:dyDescent="0.25">
      <c r="A521" s="5">
        <v>44072</v>
      </c>
      <c r="B521">
        <v>0.12640000000000001</v>
      </c>
      <c r="C521">
        <v>0.13089999999999999</v>
      </c>
      <c r="D521">
        <v>0.125</v>
      </c>
      <c r="E521">
        <v>0.129</v>
      </c>
      <c r="F521">
        <v>3916767.81</v>
      </c>
      <c r="G521">
        <v>2.06</v>
      </c>
      <c r="L521" t="s">
        <v>8</v>
      </c>
      <c r="M521" t="s">
        <v>7</v>
      </c>
      <c r="N521" t="s">
        <v>8</v>
      </c>
      <c r="P521">
        <f t="shared" si="985"/>
        <v>0.35593220338983433</v>
      </c>
      <c r="Q521">
        <f t="shared" si="986"/>
        <v>1394103.7967796761</v>
      </c>
      <c r="R521">
        <f t="shared" si="987"/>
        <v>-119628971.82653585</v>
      </c>
      <c r="S521">
        <f t="shared" si="988"/>
        <v>-1196.2897182653585</v>
      </c>
      <c r="T521">
        <f t="shared" si="989"/>
        <v>-1.1962897182653585</v>
      </c>
    </row>
    <row r="522" spans="1:20" x14ac:dyDescent="0.25">
      <c r="A522" s="5">
        <v>44071</v>
      </c>
      <c r="B522">
        <v>0.12379999999999999</v>
      </c>
      <c r="C522">
        <v>0.13139999999999999</v>
      </c>
      <c r="D522">
        <v>0.1202</v>
      </c>
      <c r="E522">
        <v>0.12640000000000001</v>
      </c>
      <c r="F522">
        <v>3877372.44</v>
      </c>
      <c r="G522">
        <v>2.1</v>
      </c>
      <c r="L522" t="s">
        <v>8</v>
      </c>
      <c r="M522" t="s">
        <v>7</v>
      </c>
      <c r="N522" t="s">
        <v>8</v>
      </c>
      <c r="P522">
        <f t="shared" si="985"/>
        <v>0.10714285714286033</v>
      </c>
      <c r="Q522">
        <f t="shared" si="986"/>
        <v>415432.76142858376</v>
      </c>
      <c r="R522">
        <f t="shared" si="987"/>
        <v>-121023075.62331553</v>
      </c>
      <c r="S522">
        <f t="shared" si="988"/>
        <v>-1210.2307562331553</v>
      </c>
      <c r="T522">
        <f t="shared" si="989"/>
        <v>-1.2102307562331553</v>
      </c>
    </row>
    <row r="523" spans="1:20" x14ac:dyDescent="0.25">
      <c r="A523" s="5">
        <v>44070</v>
      </c>
      <c r="B523">
        <v>0.13370000000000001</v>
      </c>
      <c r="C523">
        <v>0.1356</v>
      </c>
      <c r="D523">
        <v>0.11899999999999999</v>
      </c>
      <c r="E523">
        <v>0.1236</v>
      </c>
      <c r="F523">
        <v>6951769.7199999997</v>
      </c>
      <c r="G523">
        <v>-7.55</v>
      </c>
      <c r="L523" t="s">
        <v>7</v>
      </c>
      <c r="M523" t="s">
        <v>7</v>
      </c>
      <c r="N523" t="s">
        <v>8</v>
      </c>
      <c r="P523">
        <f t="shared" si="985"/>
        <v>-0.44578313253011975</v>
      </c>
      <c r="Q523">
        <f t="shared" si="986"/>
        <v>-3098981.6824096334</v>
      </c>
      <c r="R523">
        <f t="shared" si="987"/>
        <v>-121438508.38474411</v>
      </c>
      <c r="S523">
        <f t="shared" si="988"/>
        <v>-1214.3850838474411</v>
      </c>
      <c r="T523">
        <f t="shared" si="989"/>
        <v>-1.214385083847441</v>
      </c>
    </row>
    <row r="524" spans="1:20" x14ac:dyDescent="0.25">
      <c r="A524" s="5">
        <v>44069</v>
      </c>
      <c r="B524">
        <v>0.13389999999999999</v>
      </c>
      <c r="C524">
        <v>0.1429</v>
      </c>
      <c r="D524">
        <v>0.1298</v>
      </c>
      <c r="E524">
        <v>0.13370000000000001</v>
      </c>
      <c r="F524">
        <v>7638448.5599999996</v>
      </c>
      <c r="G524">
        <v>-0.15</v>
      </c>
      <c r="L524" t="s">
        <v>8</v>
      </c>
      <c r="M524" t="s">
        <v>7</v>
      </c>
      <c r="N524" t="s">
        <v>8</v>
      </c>
      <c r="P524">
        <f t="shared" si="985"/>
        <v>-0.40458015267175351</v>
      </c>
      <c r="Q524">
        <f t="shared" si="986"/>
        <v>-3090364.6845801356</v>
      </c>
      <c r="R524">
        <f t="shared" si="987"/>
        <v>-118339526.70233448</v>
      </c>
      <c r="S524">
        <f t="shared" si="988"/>
        <v>-1183.3952670233448</v>
      </c>
      <c r="T524">
        <f t="shared" si="989"/>
        <v>-1.1833952670233447</v>
      </c>
    </row>
    <row r="525" spans="1:20" x14ac:dyDescent="0.25">
      <c r="A525" s="5">
        <v>44068</v>
      </c>
      <c r="B525">
        <v>0.1517</v>
      </c>
      <c r="C525">
        <v>0.15359999999999999</v>
      </c>
      <c r="D525">
        <v>0.12909999999999999</v>
      </c>
      <c r="E525">
        <v>0.13400000000000001</v>
      </c>
      <c r="F525">
        <v>10362816.970000001</v>
      </c>
      <c r="G525">
        <v>-11.67</v>
      </c>
      <c r="L525" t="s">
        <v>7</v>
      </c>
      <c r="M525" t="s">
        <v>7</v>
      </c>
      <c r="N525" t="s">
        <v>8</v>
      </c>
      <c r="P525">
        <f t="shared" si="985"/>
        <v>-0.59999999999999865</v>
      </c>
      <c r="Q525">
        <f t="shared" si="986"/>
        <v>-6217690.1819999861</v>
      </c>
      <c r="R525">
        <f t="shared" si="987"/>
        <v>-115249162.01775435</v>
      </c>
      <c r="S525">
        <f t="shared" si="988"/>
        <v>-1152.4916201775434</v>
      </c>
      <c r="T525">
        <f t="shared" si="989"/>
        <v>-1.1524916201775435</v>
      </c>
    </row>
    <row r="526" spans="1:20" x14ac:dyDescent="0.25">
      <c r="A526" s="5">
        <v>44067</v>
      </c>
      <c r="B526">
        <v>0.1411</v>
      </c>
      <c r="C526">
        <v>0.16</v>
      </c>
      <c r="D526">
        <v>0.13930000000000001</v>
      </c>
      <c r="E526">
        <v>0.151</v>
      </c>
      <c r="F526">
        <v>13495088.869999999</v>
      </c>
      <c r="G526">
        <v>7.02</v>
      </c>
      <c r="L526" t="s">
        <v>8</v>
      </c>
      <c r="M526" t="s">
        <v>8</v>
      </c>
      <c r="N526" t="s">
        <v>8</v>
      </c>
      <c r="P526">
        <f t="shared" si="985"/>
        <v>0.13043478260869473</v>
      </c>
      <c r="Q526">
        <f t="shared" si="986"/>
        <v>1760228.9830434658</v>
      </c>
      <c r="R526">
        <f t="shared" si="987"/>
        <v>-109031471.83575436</v>
      </c>
      <c r="S526">
        <f t="shared" si="988"/>
        <v>-1090.3147183575436</v>
      </c>
      <c r="T526">
        <f t="shared" si="989"/>
        <v>-1.0903147183575437</v>
      </c>
    </row>
    <row r="527" spans="1:20" x14ac:dyDescent="0.25">
      <c r="A527" s="5">
        <v>44066</v>
      </c>
      <c r="B527">
        <v>0.1482</v>
      </c>
      <c r="C527">
        <v>0.1489</v>
      </c>
      <c r="D527">
        <v>0.13869999999999999</v>
      </c>
      <c r="E527">
        <v>0.1411</v>
      </c>
      <c r="F527">
        <v>9447896.8300000001</v>
      </c>
      <c r="G527">
        <v>-4.79</v>
      </c>
      <c r="L527" t="s">
        <v>7</v>
      </c>
      <c r="M527" t="s">
        <v>8</v>
      </c>
      <c r="N527" t="s">
        <v>8</v>
      </c>
      <c r="P527">
        <f t="shared" si="985"/>
        <v>-0.52941176470588047</v>
      </c>
      <c r="Q527">
        <f t="shared" si="986"/>
        <v>-5001827.7335293945</v>
      </c>
      <c r="R527">
        <f t="shared" si="987"/>
        <v>-110791700.81879783</v>
      </c>
      <c r="S527">
        <f t="shared" si="988"/>
        <v>-1107.9170081879784</v>
      </c>
      <c r="T527">
        <f t="shared" si="989"/>
        <v>-1.1079170081879783</v>
      </c>
    </row>
    <row r="528" spans="1:20" x14ac:dyDescent="0.25">
      <c r="A528" s="5">
        <v>44065</v>
      </c>
      <c r="B528">
        <v>0.1421</v>
      </c>
      <c r="C528">
        <v>0.1615</v>
      </c>
      <c r="D528">
        <v>0.13250000000000001</v>
      </c>
      <c r="E528">
        <v>0.14879999999999999</v>
      </c>
      <c r="F528">
        <v>21793515.379999999</v>
      </c>
      <c r="G528">
        <v>4.71</v>
      </c>
      <c r="L528" t="s">
        <v>8</v>
      </c>
      <c r="M528" t="s">
        <v>8</v>
      </c>
      <c r="N528" t="s">
        <v>8</v>
      </c>
      <c r="P528">
        <f t="shared" si="985"/>
        <v>0.12413793103448154</v>
      </c>
      <c r="Q528">
        <f t="shared" si="986"/>
        <v>2705401.9092413527</v>
      </c>
      <c r="R528">
        <f t="shared" si="987"/>
        <v>-105789873.08526844</v>
      </c>
      <c r="S528">
        <f t="shared" si="988"/>
        <v>-1057.8987308526844</v>
      </c>
      <c r="T528">
        <f t="shared" si="989"/>
        <v>-1.0578987308526844</v>
      </c>
    </row>
    <row r="529" spans="1:20" x14ac:dyDescent="0.25">
      <c r="A529" s="5">
        <v>44064</v>
      </c>
      <c r="B529">
        <v>0.12989999999999999</v>
      </c>
      <c r="C529">
        <v>0.1489</v>
      </c>
      <c r="D529">
        <v>0.129</v>
      </c>
      <c r="E529">
        <v>0.14199999999999999</v>
      </c>
      <c r="F529">
        <v>18473680.170000002</v>
      </c>
      <c r="G529">
        <v>9.31</v>
      </c>
      <c r="L529" t="s">
        <v>8</v>
      </c>
      <c r="M529" t="s">
        <v>8</v>
      </c>
      <c r="N529" t="s">
        <v>8</v>
      </c>
      <c r="P529">
        <f t="shared" si="985"/>
        <v>0.30653266331658124</v>
      </c>
      <c r="Q529">
        <f t="shared" si="986"/>
        <v>5662786.3837688137</v>
      </c>
      <c r="R529">
        <f t="shared" si="987"/>
        <v>-108495274.99450979</v>
      </c>
      <c r="S529">
        <f t="shared" si="988"/>
        <v>-1084.9527499450978</v>
      </c>
      <c r="T529">
        <f t="shared" si="989"/>
        <v>-1.0849527499450977</v>
      </c>
    </row>
    <row r="530" spans="1:20" x14ac:dyDescent="0.25">
      <c r="A530" s="5">
        <v>44063</v>
      </c>
      <c r="B530">
        <v>0.1265</v>
      </c>
      <c r="C530">
        <v>0.13350000000000001</v>
      </c>
      <c r="D530">
        <v>0.12640000000000001</v>
      </c>
      <c r="E530">
        <v>0.1303</v>
      </c>
      <c r="F530">
        <v>5134986.53</v>
      </c>
      <c r="G530">
        <v>3</v>
      </c>
      <c r="L530" t="s">
        <v>8</v>
      </c>
      <c r="M530" t="s">
        <v>8</v>
      </c>
      <c r="N530" t="s">
        <v>8</v>
      </c>
      <c r="P530">
        <f t="shared" si="985"/>
        <v>9.8591549295771672E-2</v>
      </c>
      <c r="Q530">
        <f t="shared" si="986"/>
        <v>506266.27760561852</v>
      </c>
      <c r="R530">
        <f t="shared" si="987"/>
        <v>-114158061.3782786</v>
      </c>
      <c r="S530">
        <f t="shared" si="988"/>
        <v>-1141.580613782786</v>
      </c>
      <c r="T530">
        <f t="shared" si="989"/>
        <v>-1.141580613782786</v>
      </c>
    </row>
    <row r="531" spans="1:20" x14ac:dyDescent="0.25">
      <c r="A531" s="5">
        <v>44062</v>
      </c>
      <c r="B531">
        <v>0.1368</v>
      </c>
      <c r="C531">
        <v>0.13830000000000001</v>
      </c>
      <c r="D531">
        <v>0.121</v>
      </c>
      <c r="E531">
        <v>0.12620000000000001</v>
      </c>
      <c r="F531">
        <v>11116583.23</v>
      </c>
      <c r="G531">
        <v>-7.75</v>
      </c>
      <c r="L531" t="s">
        <v>7</v>
      </c>
      <c r="M531" t="s">
        <v>8</v>
      </c>
      <c r="N531" t="s">
        <v>8</v>
      </c>
      <c r="P531">
        <f t="shared" si="985"/>
        <v>-0.39884393063583734</v>
      </c>
      <c r="Q531">
        <f t="shared" si="986"/>
        <v>-4433781.7506936332</v>
      </c>
      <c r="R531">
        <f t="shared" si="987"/>
        <v>-114664327.65588422</v>
      </c>
      <c r="S531">
        <f t="shared" si="988"/>
        <v>-1146.6432765588422</v>
      </c>
      <c r="T531">
        <f t="shared" si="989"/>
        <v>-1.1466432765588421</v>
      </c>
    </row>
    <row r="532" spans="1:20" x14ac:dyDescent="0.25">
      <c r="A532" s="5">
        <v>44061</v>
      </c>
      <c r="B532">
        <v>0.12620000000000001</v>
      </c>
      <c r="C532">
        <v>0.1419</v>
      </c>
      <c r="D532">
        <v>0.12</v>
      </c>
      <c r="E532">
        <v>0.13669999999999999</v>
      </c>
      <c r="F532">
        <v>15016001.51</v>
      </c>
      <c r="G532">
        <v>8.32</v>
      </c>
      <c r="L532" t="s">
        <v>8</v>
      </c>
      <c r="M532" t="s">
        <v>8</v>
      </c>
      <c r="N532" t="s">
        <v>8</v>
      </c>
      <c r="P532">
        <f t="shared" si="985"/>
        <v>0.52511415525114069</v>
      </c>
      <c r="Q532">
        <f t="shared" si="986"/>
        <v>7885114.9481735025</v>
      </c>
      <c r="R532">
        <f t="shared" si="987"/>
        <v>-110230545.90519059</v>
      </c>
      <c r="S532">
        <f t="shared" si="988"/>
        <v>-1102.3054590519059</v>
      </c>
      <c r="T532">
        <f t="shared" si="989"/>
        <v>-1.1023054590519059</v>
      </c>
    </row>
    <row r="533" spans="1:20" x14ac:dyDescent="0.25">
      <c r="A533" s="5">
        <v>44060</v>
      </c>
      <c r="B533">
        <v>0.1245</v>
      </c>
      <c r="C533">
        <v>0.13450000000000001</v>
      </c>
      <c r="D533">
        <v>0.1222</v>
      </c>
      <c r="E533">
        <v>0.12620000000000001</v>
      </c>
      <c r="F533">
        <v>12780321.050000001</v>
      </c>
      <c r="G533">
        <v>1.37</v>
      </c>
      <c r="L533" t="s">
        <v>8</v>
      </c>
      <c r="M533" t="s">
        <v>8</v>
      </c>
      <c r="N533" t="s">
        <v>8</v>
      </c>
      <c r="P533">
        <f t="shared" si="985"/>
        <v>-0.34959349593495903</v>
      </c>
      <c r="Q533">
        <f t="shared" si="986"/>
        <v>-4467917.1150406469</v>
      </c>
      <c r="R533">
        <f t="shared" si="987"/>
        <v>-118115660.8533641</v>
      </c>
      <c r="S533">
        <f t="shared" si="988"/>
        <v>-1181.156608533641</v>
      </c>
      <c r="T533">
        <f t="shared" si="989"/>
        <v>-1.1811566085336411</v>
      </c>
    </row>
    <row r="534" spans="1:20" x14ac:dyDescent="0.25">
      <c r="A534" s="5">
        <v>44059</v>
      </c>
      <c r="B534">
        <v>0.1225</v>
      </c>
      <c r="C534">
        <v>0.126</v>
      </c>
      <c r="D534">
        <v>0.11849999999999999</v>
      </c>
      <c r="E534">
        <v>0.1242</v>
      </c>
      <c r="F534">
        <v>4715337.72</v>
      </c>
      <c r="G534">
        <v>1.39</v>
      </c>
      <c r="L534" t="s">
        <v>7</v>
      </c>
      <c r="M534" t="s">
        <v>8</v>
      </c>
      <c r="N534" t="s">
        <v>8</v>
      </c>
      <c r="P534">
        <f t="shared" si="985"/>
        <v>0.52000000000000146</v>
      </c>
      <c r="Q534">
        <f t="shared" si="986"/>
        <v>2451975.6144000068</v>
      </c>
      <c r="R534">
        <f t="shared" si="987"/>
        <v>-113647743.73832345</v>
      </c>
      <c r="S534">
        <f t="shared" si="988"/>
        <v>-1136.4774373832345</v>
      </c>
      <c r="T534">
        <f t="shared" si="989"/>
        <v>-1.1364774373832345</v>
      </c>
    </row>
    <row r="535" spans="1:20" x14ac:dyDescent="0.25">
      <c r="A535" s="5">
        <v>44058</v>
      </c>
      <c r="B535">
        <v>0.12759999999999999</v>
      </c>
      <c r="C535">
        <v>0.12970000000000001</v>
      </c>
      <c r="D535">
        <v>0.11990000000000001</v>
      </c>
      <c r="E535">
        <v>0.1226</v>
      </c>
      <c r="F535">
        <v>4491355.88</v>
      </c>
      <c r="G535">
        <v>-3.92</v>
      </c>
      <c r="L535" t="s">
        <v>7</v>
      </c>
      <c r="M535" t="s">
        <v>8</v>
      </c>
      <c r="N535" t="s">
        <v>8</v>
      </c>
      <c r="P535">
        <f t="shared" si="985"/>
        <v>-0.44897959183673608</v>
      </c>
      <c r="Q535">
        <f t="shared" si="986"/>
        <v>-2016527.1297959245</v>
      </c>
      <c r="R535">
        <f t="shared" si="987"/>
        <v>-116099719.35272346</v>
      </c>
      <c r="S535">
        <f t="shared" si="988"/>
        <v>-1160.9971935272347</v>
      </c>
      <c r="T535">
        <f t="shared" si="989"/>
        <v>-1.1609971935272347</v>
      </c>
    </row>
    <row r="536" spans="1:20" x14ac:dyDescent="0.25">
      <c r="A536" s="5">
        <v>44057</v>
      </c>
      <c r="B536">
        <v>0.12330000000000001</v>
      </c>
      <c r="C536">
        <v>0.13100000000000001</v>
      </c>
      <c r="D536">
        <v>0.1202</v>
      </c>
      <c r="E536">
        <v>0.1275</v>
      </c>
      <c r="F536">
        <v>6692217.1200000001</v>
      </c>
      <c r="G536">
        <v>3.41</v>
      </c>
      <c r="L536" t="s">
        <v>8</v>
      </c>
      <c r="M536" t="s">
        <v>8</v>
      </c>
      <c r="N536" t="s">
        <v>8</v>
      </c>
      <c r="P536">
        <f t="shared" si="985"/>
        <v>0.35185185185185153</v>
      </c>
      <c r="Q536">
        <f t="shared" si="986"/>
        <v>2354668.9866666645</v>
      </c>
      <c r="R536">
        <f t="shared" si="987"/>
        <v>-114083192.22292754</v>
      </c>
      <c r="S536">
        <f t="shared" si="988"/>
        <v>-1140.8319222292755</v>
      </c>
      <c r="T536">
        <f t="shared" si="989"/>
        <v>-1.1408319222292755</v>
      </c>
    </row>
    <row r="537" spans="1:20" x14ac:dyDescent="0.25">
      <c r="A537" s="5">
        <v>44056</v>
      </c>
      <c r="B537">
        <v>0.1207</v>
      </c>
      <c r="C537">
        <v>0.1293</v>
      </c>
      <c r="D537">
        <v>0.11600000000000001</v>
      </c>
      <c r="E537">
        <v>0.1231</v>
      </c>
      <c r="F537">
        <v>10671111.050000001</v>
      </c>
      <c r="G537">
        <v>1.99</v>
      </c>
      <c r="L537" t="s">
        <v>8</v>
      </c>
      <c r="M537" t="s">
        <v>8</v>
      </c>
      <c r="N537" t="s">
        <v>8</v>
      </c>
      <c r="P537">
        <f t="shared" si="985"/>
        <v>6.7669172932330712E-2</v>
      </c>
      <c r="Q537">
        <f t="shared" si="986"/>
        <v>722105.2590225552</v>
      </c>
      <c r="R537">
        <f t="shared" si="987"/>
        <v>-116437861.20959421</v>
      </c>
      <c r="S537">
        <f t="shared" si="988"/>
        <v>-1164.3786120959421</v>
      </c>
      <c r="T537">
        <f t="shared" si="989"/>
        <v>-1.1643786120959421</v>
      </c>
    </row>
    <row r="538" spans="1:20" x14ac:dyDescent="0.25">
      <c r="A538" s="5">
        <v>44055</v>
      </c>
      <c r="B538">
        <v>0.1162</v>
      </c>
      <c r="C538">
        <v>0.12609999999999999</v>
      </c>
      <c r="D538">
        <v>0.1113</v>
      </c>
      <c r="E538">
        <v>0.1207</v>
      </c>
      <c r="F538">
        <v>10171073.18</v>
      </c>
      <c r="G538">
        <v>3.87</v>
      </c>
      <c r="L538" t="s">
        <v>8</v>
      </c>
      <c r="M538" t="s">
        <v>8</v>
      </c>
      <c r="N538" t="s">
        <v>8</v>
      </c>
      <c r="P538">
        <f t="shared" si="985"/>
        <v>0.27027027027027156</v>
      </c>
      <c r="Q538">
        <f t="shared" si="986"/>
        <v>2748938.6972973105</v>
      </c>
      <c r="R538">
        <f t="shared" si="987"/>
        <v>-117159966.46861675</v>
      </c>
      <c r="S538">
        <f t="shared" si="988"/>
        <v>-1171.5996646861674</v>
      </c>
      <c r="T538">
        <f t="shared" si="989"/>
        <v>-1.1715996646861675</v>
      </c>
    </row>
    <row r="539" spans="1:20" x14ac:dyDescent="0.25">
      <c r="A539" s="5">
        <v>44054</v>
      </c>
      <c r="B539">
        <v>0.1268</v>
      </c>
      <c r="C539">
        <v>0.12709999999999999</v>
      </c>
      <c r="D539">
        <v>0.1118</v>
      </c>
      <c r="E539">
        <v>0.1162</v>
      </c>
      <c r="F539">
        <v>10110613.609999999</v>
      </c>
      <c r="G539">
        <v>-8.36</v>
      </c>
      <c r="L539" t="s">
        <v>7</v>
      </c>
      <c r="M539" t="s">
        <v>8</v>
      </c>
      <c r="N539" t="s">
        <v>8</v>
      </c>
      <c r="P539">
        <f t="shared" si="985"/>
        <v>-0.4248366013071892</v>
      </c>
      <c r="Q539">
        <f t="shared" si="986"/>
        <v>-4295358.7232026104</v>
      </c>
      <c r="R539">
        <f t="shared" si="987"/>
        <v>-119908905.16591406</v>
      </c>
      <c r="S539">
        <f t="shared" si="988"/>
        <v>-1199.0890516591405</v>
      </c>
      <c r="T539">
        <f t="shared" si="989"/>
        <v>-1.1990890516591406</v>
      </c>
    </row>
    <row r="540" spans="1:20" x14ac:dyDescent="0.25">
      <c r="A540" s="5">
        <v>44053</v>
      </c>
      <c r="B540">
        <v>0.1225</v>
      </c>
      <c r="C540">
        <v>0.13469999999999999</v>
      </c>
      <c r="D540">
        <v>0.1125</v>
      </c>
      <c r="E540">
        <v>0.1268</v>
      </c>
      <c r="F540">
        <v>18335805.219999999</v>
      </c>
      <c r="G540">
        <v>3.51</v>
      </c>
      <c r="L540" t="s">
        <v>8</v>
      </c>
      <c r="M540" t="s">
        <v>8</v>
      </c>
      <c r="N540" t="s">
        <v>8</v>
      </c>
      <c r="P540">
        <f t="shared" si="985"/>
        <v>0.28828828828828862</v>
      </c>
      <c r="Q540">
        <f t="shared" si="986"/>
        <v>5285997.9012612673</v>
      </c>
      <c r="R540">
        <f t="shared" si="987"/>
        <v>-115613546.44271144</v>
      </c>
      <c r="S540">
        <f t="shared" si="988"/>
        <v>-1156.1354644271144</v>
      </c>
      <c r="T540">
        <f t="shared" si="989"/>
        <v>-1.1561354644271145</v>
      </c>
    </row>
    <row r="541" spans="1:20" x14ac:dyDescent="0.25">
      <c r="A541" s="5">
        <v>44052</v>
      </c>
      <c r="B541">
        <v>0.11310000000000001</v>
      </c>
      <c r="C541">
        <v>0.123</v>
      </c>
      <c r="D541">
        <v>0.11260000000000001</v>
      </c>
      <c r="E541">
        <v>0.1225</v>
      </c>
      <c r="F541">
        <v>9688532.4199999999</v>
      </c>
      <c r="G541">
        <v>8.31</v>
      </c>
      <c r="L541" t="s">
        <v>8</v>
      </c>
      <c r="M541" t="s">
        <v>8</v>
      </c>
      <c r="N541" t="s">
        <v>8</v>
      </c>
      <c r="P541">
        <f t="shared" si="985"/>
        <v>0.90384615384615374</v>
      </c>
      <c r="Q541">
        <f t="shared" si="986"/>
        <v>8756942.7642307673</v>
      </c>
      <c r="R541">
        <f t="shared" si="987"/>
        <v>-120899544.34397271</v>
      </c>
      <c r="S541">
        <f t="shared" si="988"/>
        <v>-1208.9954434397271</v>
      </c>
      <c r="T541">
        <f t="shared" si="989"/>
        <v>-1.208995443439727</v>
      </c>
    </row>
    <row r="542" spans="1:20" x14ac:dyDescent="0.25">
      <c r="A542" s="5">
        <v>44051</v>
      </c>
      <c r="B542">
        <v>0.1148</v>
      </c>
      <c r="C542">
        <v>0.1182</v>
      </c>
      <c r="D542">
        <v>0.11169999999999999</v>
      </c>
      <c r="E542">
        <v>0.113</v>
      </c>
      <c r="F542">
        <v>7821872.54</v>
      </c>
      <c r="G542">
        <v>-1.57</v>
      </c>
      <c r="L542" t="s">
        <v>8</v>
      </c>
      <c r="M542" t="s">
        <v>8</v>
      </c>
      <c r="N542" t="s">
        <v>8</v>
      </c>
      <c r="P542">
        <f t="shared" si="985"/>
        <v>-0.59999999999999742</v>
      </c>
      <c r="Q542">
        <f t="shared" si="986"/>
        <v>-4693123.5239999797</v>
      </c>
      <c r="R542">
        <f t="shared" si="987"/>
        <v>-129656487.10820349</v>
      </c>
      <c r="S542">
        <f t="shared" si="988"/>
        <v>-1296.5648710820349</v>
      </c>
      <c r="T542">
        <f t="shared" si="989"/>
        <v>-1.2965648710820348</v>
      </c>
    </row>
    <row r="543" spans="1:20" x14ac:dyDescent="0.25">
      <c r="A543" s="5">
        <v>44050</v>
      </c>
      <c r="B543">
        <v>0.1056</v>
      </c>
      <c r="C543">
        <v>0.1169</v>
      </c>
      <c r="D543">
        <v>0.1045</v>
      </c>
      <c r="E543">
        <v>0.115</v>
      </c>
      <c r="F543">
        <v>10799314.470000001</v>
      </c>
      <c r="G543">
        <v>8.9</v>
      </c>
      <c r="L543" t="s">
        <v>8</v>
      </c>
      <c r="M543" t="s">
        <v>8</v>
      </c>
      <c r="N543" t="s">
        <v>8</v>
      </c>
      <c r="P543">
        <f t="shared" si="985"/>
        <v>0.69354838709677458</v>
      </c>
      <c r="Q543">
        <f t="shared" si="986"/>
        <v>7489847.1324193599</v>
      </c>
      <c r="R543">
        <f t="shared" si="987"/>
        <v>-124963363.58420351</v>
      </c>
      <c r="S543">
        <f t="shared" si="988"/>
        <v>-1249.6336358420351</v>
      </c>
      <c r="T543">
        <f t="shared" si="989"/>
        <v>-1.249633635842035</v>
      </c>
    </row>
    <row r="544" spans="1:20" x14ac:dyDescent="0.25">
      <c r="A544" s="5">
        <v>44049</v>
      </c>
      <c r="B544">
        <v>0.105</v>
      </c>
      <c r="C544">
        <v>0.10639999999999999</v>
      </c>
      <c r="D544">
        <v>0.1021</v>
      </c>
      <c r="E544">
        <v>0.1056</v>
      </c>
      <c r="F544">
        <v>6612983.5300000003</v>
      </c>
      <c r="G544">
        <v>0.56999999999999995</v>
      </c>
      <c r="L544" t="s">
        <v>8</v>
      </c>
      <c r="M544" t="s">
        <v>7</v>
      </c>
      <c r="N544" t="s">
        <v>8</v>
      </c>
      <c r="P544">
        <f t="shared" si="985"/>
        <v>0.62790697674418816</v>
      </c>
      <c r="Q544">
        <f t="shared" si="986"/>
        <v>4152338.4955814094</v>
      </c>
      <c r="R544">
        <f t="shared" si="987"/>
        <v>-132453210.71662287</v>
      </c>
      <c r="S544">
        <f t="shared" si="988"/>
        <v>-1324.5321071662288</v>
      </c>
      <c r="T544">
        <f t="shared" si="989"/>
        <v>-1.3245321071662288</v>
      </c>
    </row>
    <row r="545" spans="1:20" x14ac:dyDescent="0.25">
      <c r="A545" s="5">
        <v>44048</v>
      </c>
      <c r="B545">
        <v>0.1042</v>
      </c>
      <c r="C545">
        <v>0.10639999999999999</v>
      </c>
      <c r="D545">
        <v>0.1027</v>
      </c>
      <c r="E545">
        <v>0.105</v>
      </c>
      <c r="F545">
        <v>6611058.4299999997</v>
      </c>
      <c r="G545">
        <v>0.77</v>
      </c>
      <c r="L545" t="s">
        <v>8</v>
      </c>
      <c r="M545" t="s">
        <v>7</v>
      </c>
      <c r="N545" t="s">
        <v>8</v>
      </c>
      <c r="P545">
        <f t="shared" si="985"/>
        <v>0.24324324324324303</v>
      </c>
      <c r="Q545">
        <f t="shared" si="986"/>
        <v>1608095.2937837823</v>
      </c>
      <c r="R545">
        <f t="shared" si="987"/>
        <v>-136605549.21220428</v>
      </c>
      <c r="S545">
        <f t="shared" si="988"/>
        <v>-1366.0554921220428</v>
      </c>
      <c r="T545">
        <f t="shared" si="989"/>
        <v>-1.3660554921220427</v>
      </c>
    </row>
    <row r="546" spans="1:20" x14ac:dyDescent="0.25">
      <c r="A546" s="5">
        <v>44047</v>
      </c>
      <c r="B546">
        <v>0.1031</v>
      </c>
      <c r="C546">
        <v>0.1045</v>
      </c>
      <c r="D546">
        <v>0.1016</v>
      </c>
      <c r="E546">
        <v>0.1042</v>
      </c>
      <c r="F546">
        <v>5072288.97</v>
      </c>
      <c r="G546">
        <v>1.07</v>
      </c>
      <c r="L546" t="s">
        <v>8</v>
      </c>
      <c r="M546" t="s">
        <v>7</v>
      </c>
      <c r="N546" t="s">
        <v>8</v>
      </c>
      <c r="P546">
        <f t="shared" si="985"/>
        <v>0.79310344827586565</v>
      </c>
      <c r="Q546">
        <f t="shared" si="986"/>
        <v>4022849.8727586386</v>
      </c>
      <c r="R546">
        <f t="shared" si="987"/>
        <v>-138213644.50598806</v>
      </c>
      <c r="S546">
        <f t="shared" si="988"/>
        <v>-1382.1364450598805</v>
      </c>
      <c r="T546">
        <f t="shared" si="989"/>
        <v>-1.3821364450598805</v>
      </c>
    </row>
    <row r="547" spans="1:20" x14ac:dyDescent="0.25">
      <c r="A547" s="5">
        <v>44046</v>
      </c>
      <c r="B547">
        <v>0.1026</v>
      </c>
      <c r="C547">
        <v>0.1053</v>
      </c>
      <c r="D547">
        <v>0.1011</v>
      </c>
      <c r="E547">
        <v>0.10299999999999999</v>
      </c>
      <c r="F547">
        <v>6175955.79</v>
      </c>
      <c r="G547">
        <v>0.39</v>
      </c>
      <c r="L547" t="s">
        <v>8</v>
      </c>
      <c r="M547" t="s">
        <v>7</v>
      </c>
      <c r="N547" t="s">
        <v>8</v>
      </c>
      <c r="P547">
        <f t="shared" si="985"/>
        <v>-9.5238095238097759E-2</v>
      </c>
      <c r="Q547">
        <f t="shared" si="986"/>
        <v>-588186.26571430126</v>
      </c>
      <c r="R547">
        <f t="shared" si="987"/>
        <v>-142236494.37874669</v>
      </c>
      <c r="S547">
        <f t="shared" si="988"/>
        <v>-1422.3649437874669</v>
      </c>
      <c r="T547">
        <f t="shared" si="989"/>
        <v>-1.422364943787467</v>
      </c>
    </row>
    <row r="548" spans="1:20" x14ac:dyDescent="0.25">
      <c r="A548" s="5">
        <v>44045</v>
      </c>
      <c r="B548">
        <v>0.1026</v>
      </c>
      <c r="C548">
        <v>0.10539999999999999</v>
      </c>
      <c r="D548">
        <v>9.3799999999999994E-2</v>
      </c>
      <c r="E548">
        <v>0.10249999999999999</v>
      </c>
      <c r="F548">
        <v>7602892.6799999997</v>
      </c>
      <c r="G548">
        <v>-0.1</v>
      </c>
      <c r="L548" t="s">
        <v>7</v>
      </c>
      <c r="M548" t="s">
        <v>7</v>
      </c>
      <c r="N548" t="s">
        <v>8</v>
      </c>
      <c r="P548">
        <f t="shared" si="985"/>
        <v>0.5</v>
      </c>
      <c r="Q548">
        <f t="shared" si="986"/>
        <v>3801446.34</v>
      </c>
      <c r="R548">
        <f t="shared" si="987"/>
        <v>-141648308.1130324</v>
      </c>
      <c r="S548">
        <f t="shared" si="988"/>
        <v>-1416.4830811303241</v>
      </c>
      <c r="T548">
        <f t="shared" si="989"/>
        <v>-1.4164830811303242</v>
      </c>
    </row>
    <row r="549" spans="1:20" x14ac:dyDescent="0.25">
      <c r="A549" s="5">
        <v>44044</v>
      </c>
      <c r="B549">
        <v>0.10199999999999999</v>
      </c>
      <c r="C549">
        <v>0.1041</v>
      </c>
      <c r="D549">
        <v>0.1</v>
      </c>
      <c r="E549">
        <v>0.1028</v>
      </c>
      <c r="F549">
        <v>5479842.8099999996</v>
      </c>
      <c r="G549">
        <v>0.78</v>
      </c>
      <c r="L549" t="s">
        <v>7</v>
      </c>
      <c r="M549" t="s">
        <v>7</v>
      </c>
      <c r="N549" t="s">
        <v>8</v>
      </c>
      <c r="P549">
        <f t="shared" si="985"/>
        <v>0.36585365853658636</v>
      </c>
      <c r="Q549">
        <f t="shared" si="986"/>
        <v>2004820.5402439078</v>
      </c>
      <c r="R549">
        <f t="shared" si="987"/>
        <v>-145449754.4530324</v>
      </c>
      <c r="S549">
        <f t="shared" si="988"/>
        <v>-1454.4975445303241</v>
      </c>
      <c r="T549">
        <f t="shared" si="989"/>
        <v>-1.4544975445303241</v>
      </c>
    </row>
    <row r="550" spans="1:20" x14ac:dyDescent="0.25">
      <c r="A550" s="5">
        <v>44043</v>
      </c>
      <c r="B550">
        <v>0.10680000000000001</v>
      </c>
      <c r="C550">
        <v>0.1071</v>
      </c>
      <c r="D550">
        <v>0.1008</v>
      </c>
      <c r="E550">
        <v>0.1022</v>
      </c>
      <c r="F550">
        <v>6711618.2999999998</v>
      </c>
      <c r="G550">
        <v>-4.3099999999999996</v>
      </c>
      <c r="L550" t="s">
        <v>8</v>
      </c>
      <c r="M550" t="s">
        <v>7</v>
      </c>
      <c r="N550" t="s">
        <v>8</v>
      </c>
      <c r="P550">
        <f t="shared" si="985"/>
        <v>-0.55555555555555602</v>
      </c>
      <c r="Q550">
        <f t="shared" si="986"/>
        <v>-3728676.8333333363</v>
      </c>
      <c r="R550">
        <f t="shared" si="987"/>
        <v>-147454574.9932763</v>
      </c>
      <c r="S550">
        <f t="shared" si="988"/>
        <v>-1474.5457499327629</v>
      </c>
      <c r="T550">
        <f t="shared" si="989"/>
        <v>-1.4745457499327628</v>
      </c>
    </row>
    <row r="551" spans="1:20" x14ac:dyDescent="0.25">
      <c r="A551" s="5">
        <v>44042</v>
      </c>
      <c r="B551">
        <v>0.1014</v>
      </c>
      <c r="C551">
        <v>0.107</v>
      </c>
      <c r="D551">
        <v>0.1013</v>
      </c>
      <c r="E551">
        <v>0.1067</v>
      </c>
      <c r="F551">
        <v>4924207.5</v>
      </c>
      <c r="G551">
        <v>5.23</v>
      </c>
      <c r="L551" t="s">
        <v>8</v>
      </c>
      <c r="M551" t="s">
        <v>7</v>
      </c>
      <c r="N551" t="s">
        <v>8</v>
      </c>
      <c r="P551">
        <f t="shared" si="985"/>
        <v>0.89473684210526494</v>
      </c>
      <c r="Q551">
        <f t="shared" si="986"/>
        <v>4405869.868421061</v>
      </c>
      <c r="R551">
        <f t="shared" si="987"/>
        <v>-143725898.15994295</v>
      </c>
      <c r="S551">
        <f t="shared" si="988"/>
        <v>-1437.2589815994295</v>
      </c>
      <c r="T551">
        <f t="shared" si="989"/>
        <v>-1.4372589815994294</v>
      </c>
    </row>
    <row r="552" spans="1:20" x14ac:dyDescent="0.25">
      <c r="A552" s="5">
        <v>44041</v>
      </c>
      <c r="B552">
        <v>0.1056</v>
      </c>
      <c r="C552">
        <v>0.1075</v>
      </c>
      <c r="D552">
        <v>0.1007</v>
      </c>
      <c r="E552">
        <v>0.1013</v>
      </c>
      <c r="F552">
        <v>6422571.8300000001</v>
      </c>
      <c r="G552">
        <v>-4.07</v>
      </c>
      <c r="L552" t="s">
        <v>8</v>
      </c>
      <c r="M552" t="s">
        <v>7</v>
      </c>
      <c r="N552" t="s">
        <v>8</v>
      </c>
      <c r="P552">
        <f t="shared" si="985"/>
        <v>-0.82352941176470495</v>
      </c>
      <c r="Q552">
        <f t="shared" si="986"/>
        <v>-5289176.8011764651</v>
      </c>
      <c r="R552">
        <f t="shared" si="987"/>
        <v>-148131768.028364</v>
      </c>
      <c r="S552">
        <f t="shared" si="988"/>
        <v>-1481.3176802836401</v>
      </c>
      <c r="T552">
        <f t="shared" si="989"/>
        <v>-1.4813176802836401</v>
      </c>
    </row>
    <row r="553" spans="1:20" x14ac:dyDescent="0.25">
      <c r="A553" s="5">
        <v>44040</v>
      </c>
      <c r="B553">
        <v>9.7500000000000003E-2</v>
      </c>
      <c r="C553">
        <v>0.10580000000000001</v>
      </c>
      <c r="D553">
        <v>9.7199999999999995E-2</v>
      </c>
      <c r="E553">
        <v>0.1057</v>
      </c>
      <c r="F553">
        <v>8014564.5899999999</v>
      </c>
      <c r="G553">
        <v>8.41</v>
      </c>
      <c r="L553" t="s">
        <v>8</v>
      </c>
      <c r="M553" t="s">
        <v>7</v>
      </c>
      <c r="N553" t="s">
        <v>8</v>
      </c>
      <c r="P553">
        <f t="shared" si="985"/>
        <v>0.97674418604651103</v>
      </c>
      <c r="Q553">
        <f t="shared" si="986"/>
        <v>7828179.3669767389</v>
      </c>
      <c r="R553">
        <f t="shared" si="987"/>
        <v>-142842591.22718754</v>
      </c>
      <c r="S553">
        <f t="shared" si="988"/>
        <v>-1428.4259122718754</v>
      </c>
      <c r="T553">
        <f t="shared" si="989"/>
        <v>-1.4284259122718754</v>
      </c>
    </row>
    <row r="554" spans="1:20" x14ac:dyDescent="0.25">
      <c r="A554" s="5">
        <v>44039</v>
      </c>
      <c r="B554">
        <v>0.1085</v>
      </c>
      <c r="C554">
        <v>0.1096</v>
      </c>
      <c r="D554">
        <v>9.5600000000000004E-2</v>
      </c>
      <c r="E554">
        <v>9.7500000000000003E-2</v>
      </c>
      <c r="F554">
        <v>9274951.5299999993</v>
      </c>
      <c r="G554">
        <v>-10.14</v>
      </c>
      <c r="L554" t="s">
        <v>7</v>
      </c>
      <c r="M554" t="s">
        <v>7</v>
      </c>
      <c r="N554" t="s">
        <v>8</v>
      </c>
      <c r="P554">
        <f t="shared" si="985"/>
        <v>-0.72857142857142865</v>
      </c>
      <c r="Q554">
        <f t="shared" si="986"/>
        <v>-6757464.6861428572</v>
      </c>
      <c r="R554">
        <f t="shared" si="987"/>
        <v>-150670770.59416428</v>
      </c>
      <c r="S554">
        <f t="shared" si="988"/>
        <v>-1506.7077059416429</v>
      </c>
      <c r="T554">
        <f t="shared" si="989"/>
        <v>-1.5067077059416429</v>
      </c>
    </row>
    <row r="555" spans="1:20" x14ac:dyDescent="0.25">
      <c r="A555" s="5">
        <v>44038</v>
      </c>
      <c r="B555">
        <v>0.11310000000000001</v>
      </c>
      <c r="C555">
        <v>0.11509999999999999</v>
      </c>
      <c r="D555">
        <v>0.10340000000000001</v>
      </c>
      <c r="E555">
        <v>0.10879999999999999</v>
      </c>
      <c r="F555">
        <v>7962229.5899999999</v>
      </c>
      <c r="G555">
        <v>-3.8</v>
      </c>
      <c r="L555" t="s">
        <v>7</v>
      </c>
      <c r="M555" t="s">
        <v>7</v>
      </c>
      <c r="N555" t="s">
        <v>8</v>
      </c>
      <c r="P555">
        <f t="shared" si="985"/>
        <v>-7.6923076923078024E-2</v>
      </c>
      <c r="Q555">
        <f t="shared" si="986"/>
        <v>-612479.19923077803</v>
      </c>
      <c r="R555">
        <f t="shared" si="987"/>
        <v>-143913305.90802142</v>
      </c>
      <c r="S555">
        <f t="shared" si="988"/>
        <v>-1439.1330590802143</v>
      </c>
      <c r="T555">
        <f t="shared" si="989"/>
        <v>-1.4391330590802143</v>
      </c>
    </row>
    <row r="556" spans="1:20" x14ac:dyDescent="0.25">
      <c r="A556" s="5">
        <v>44037</v>
      </c>
      <c r="B556">
        <v>0.1158</v>
      </c>
      <c r="C556">
        <v>0.12089999999999999</v>
      </c>
      <c r="D556">
        <v>0.11269999999999999</v>
      </c>
      <c r="E556">
        <v>0.1132</v>
      </c>
      <c r="F556">
        <v>5994551.9299999997</v>
      </c>
      <c r="G556">
        <v>-2.25</v>
      </c>
      <c r="L556" t="s">
        <v>7</v>
      </c>
      <c r="M556" t="s">
        <v>8</v>
      </c>
      <c r="N556" t="s">
        <v>8</v>
      </c>
      <c r="P556">
        <f t="shared" si="985"/>
        <v>-0.87804878048780477</v>
      </c>
      <c r="Q556">
        <f t="shared" si="986"/>
        <v>-5263509.0117073162</v>
      </c>
      <c r="R556">
        <f t="shared" si="987"/>
        <v>-143300826.70879063</v>
      </c>
      <c r="S556">
        <f t="shared" si="988"/>
        <v>-1433.0082670879062</v>
      </c>
      <c r="T556">
        <f t="shared" si="989"/>
        <v>-1.4330082670879063</v>
      </c>
    </row>
    <row r="557" spans="1:20" x14ac:dyDescent="0.25">
      <c r="A557" s="5">
        <v>44036</v>
      </c>
      <c r="B557">
        <v>0.1177</v>
      </c>
      <c r="C557">
        <v>0.1198</v>
      </c>
      <c r="D557">
        <v>0.1135</v>
      </c>
      <c r="E557">
        <v>0.1158</v>
      </c>
      <c r="F557">
        <v>7168356.5899999999</v>
      </c>
      <c r="G557">
        <v>-1.61</v>
      </c>
      <c r="L557" t="s">
        <v>7</v>
      </c>
      <c r="M557" t="s">
        <v>8</v>
      </c>
      <c r="N557" t="s">
        <v>8</v>
      </c>
      <c r="P557">
        <f t="shared" si="985"/>
        <v>-0.26984126984127094</v>
      </c>
      <c r="Q557">
        <f t="shared" si="986"/>
        <v>-1934318.4449206428</v>
      </c>
      <c r="R557">
        <f t="shared" si="987"/>
        <v>-138037317.69708332</v>
      </c>
      <c r="S557">
        <f t="shared" si="988"/>
        <v>-1380.3731769708331</v>
      </c>
      <c r="T557">
        <f t="shared" si="989"/>
        <v>-1.3803731769708332</v>
      </c>
    </row>
    <row r="558" spans="1:20" x14ac:dyDescent="0.25">
      <c r="A558" s="5">
        <v>44035</v>
      </c>
      <c r="B558">
        <v>0.11849999999999999</v>
      </c>
      <c r="C558">
        <v>0.122</v>
      </c>
      <c r="D558">
        <v>0.1137</v>
      </c>
      <c r="E558">
        <v>0.1178</v>
      </c>
      <c r="F558">
        <v>8361021.3399999999</v>
      </c>
      <c r="G558">
        <v>-0.59</v>
      </c>
      <c r="L558" t="s">
        <v>7</v>
      </c>
      <c r="M558" t="s">
        <v>8</v>
      </c>
      <c r="N558" t="s">
        <v>8</v>
      </c>
      <c r="P558">
        <f t="shared" si="985"/>
        <v>-1.2048192771083007E-2</v>
      </c>
      <c r="Q558">
        <f t="shared" si="986"/>
        <v>-100735.19686745876</v>
      </c>
      <c r="R558">
        <f t="shared" si="987"/>
        <v>-136102999.25216269</v>
      </c>
      <c r="S558">
        <f t="shared" si="988"/>
        <v>-1361.029992521627</v>
      </c>
      <c r="T558">
        <f t="shared" si="989"/>
        <v>-1.3610299925216269</v>
      </c>
    </row>
    <row r="559" spans="1:20" x14ac:dyDescent="0.25">
      <c r="A559" s="5">
        <v>44034</v>
      </c>
      <c r="B559">
        <v>0.1169</v>
      </c>
      <c r="C559">
        <v>0.1242</v>
      </c>
      <c r="D559">
        <v>0.11559999999999999</v>
      </c>
      <c r="E559">
        <v>0.11849999999999999</v>
      </c>
      <c r="F559">
        <v>9702750.9700000007</v>
      </c>
      <c r="G559">
        <v>1.37</v>
      </c>
      <c r="L559" t="s">
        <v>8</v>
      </c>
      <c r="M559" t="s">
        <v>8</v>
      </c>
      <c r="N559" t="s">
        <v>8</v>
      </c>
      <c r="P559">
        <f t="shared" si="985"/>
        <v>-0.32558139534883807</v>
      </c>
      <c r="Q559">
        <f t="shared" si="986"/>
        <v>-3159035.1995348921</v>
      </c>
      <c r="R559">
        <f t="shared" si="987"/>
        <v>-136002264.05529523</v>
      </c>
      <c r="S559">
        <f t="shared" si="988"/>
        <v>-1360.0226405529522</v>
      </c>
      <c r="T559">
        <f t="shared" si="989"/>
        <v>-1.3600226405529523</v>
      </c>
    </row>
    <row r="560" spans="1:20" x14ac:dyDescent="0.25">
      <c r="A560" s="5">
        <v>44033</v>
      </c>
      <c r="B560">
        <v>0.1139</v>
      </c>
      <c r="C560">
        <v>0.1225</v>
      </c>
      <c r="D560">
        <v>0.1128</v>
      </c>
      <c r="E560">
        <v>0.1171</v>
      </c>
      <c r="F560">
        <v>8857647.6199999992</v>
      </c>
      <c r="G560">
        <v>2.81</v>
      </c>
      <c r="L560" t="s">
        <v>7</v>
      </c>
      <c r="M560" t="s">
        <v>8</v>
      </c>
      <c r="N560" t="s">
        <v>8</v>
      </c>
      <c r="P560">
        <f t="shared" si="985"/>
        <v>-0.11340206185567049</v>
      </c>
      <c r="Q560">
        <f t="shared" si="986"/>
        <v>-1004475.5032989724</v>
      </c>
      <c r="R560">
        <f t="shared" si="987"/>
        <v>-132843228.85576034</v>
      </c>
      <c r="S560">
        <f t="shared" si="988"/>
        <v>-1328.4322885576034</v>
      </c>
      <c r="T560">
        <f t="shared" si="989"/>
        <v>-1.3284322885576034</v>
      </c>
    </row>
    <row r="561" spans="1:104" x14ac:dyDescent="0.25">
      <c r="A561" s="5">
        <v>44032</v>
      </c>
      <c r="B561">
        <v>0.1188</v>
      </c>
      <c r="C561">
        <v>0.1288</v>
      </c>
      <c r="D561">
        <v>0.11210000000000001</v>
      </c>
      <c r="E561">
        <v>0.1139</v>
      </c>
      <c r="F561">
        <v>16292612.890000001</v>
      </c>
      <c r="G561">
        <v>-4.12</v>
      </c>
      <c r="L561" t="s">
        <v>8</v>
      </c>
      <c r="M561" t="s">
        <v>8</v>
      </c>
      <c r="N561" t="s">
        <v>8</v>
      </c>
      <c r="P561">
        <f t="shared" si="985"/>
        <v>-0.78443113772455131</v>
      </c>
      <c r="Q561">
        <f t="shared" si="986"/>
        <v>-12780432.86580839</v>
      </c>
      <c r="R561">
        <f t="shared" si="987"/>
        <v>-131838753.35246137</v>
      </c>
      <c r="S561">
        <f t="shared" si="988"/>
        <v>-1318.3875335246137</v>
      </c>
      <c r="T561">
        <f t="shared" si="989"/>
        <v>-1.3183875335246136</v>
      </c>
      <c r="CZ561" t="s">
        <v>7</v>
      </c>
    </row>
    <row r="562" spans="1:104" x14ac:dyDescent="0.25">
      <c r="A562" s="5">
        <v>44031</v>
      </c>
      <c r="B562">
        <v>0.11020000000000001</v>
      </c>
      <c r="C562">
        <v>0.12230000000000001</v>
      </c>
      <c r="D562">
        <v>0.10920000000000001</v>
      </c>
      <c r="E562">
        <v>0.1192</v>
      </c>
      <c r="F562">
        <v>15193189.880000001</v>
      </c>
      <c r="G562">
        <v>8.17</v>
      </c>
      <c r="L562" t="s">
        <v>8</v>
      </c>
      <c r="M562" t="s">
        <v>8</v>
      </c>
      <c r="N562" t="s">
        <v>7</v>
      </c>
      <c r="P562">
        <f t="shared" si="985"/>
        <v>0.52671755725190761</v>
      </c>
      <c r="Q562">
        <f t="shared" si="986"/>
        <v>8002519.8604580034</v>
      </c>
      <c r="R562">
        <f t="shared" si="987"/>
        <v>-119058320.48665299</v>
      </c>
      <c r="S562">
        <f t="shared" si="988"/>
        <v>-1190.5832048665297</v>
      </c>
      <c r="T562">
        <f t="shared" si="989"/>
        <v>-1.1905832048665297</v>
      </c>
      <c r="CZ562" t="s">
        <v>7</v>
      </c>
    </row>
    <row r="563" spans="1:104" x14ac:dyDescent="0.25">
      <c r="A563" s="5">
        <v>44030</v>
      </c>
      <c r="B563">
        <v>0.1094</v>
      </c>
      <c r="C563">
        <v>0.1109</v>
      </c>
      <c r="D563">
        <v>0.107</v>
      </c>
      <c r="E563">
        <v>0.11020000000000001</v>
      </c>
      <c r="F563">
        <v>6229120.8700000001</v>
      </c>
      <c r="G563">
        <v>0.73</v>
      </c>
      <c r="L563" t="s">
        <v>8</v>
      </c>
      <c r="M563" t="s">
        <v>8</v>
      </c>
      <c r="N563" t="s">
        <v>7</v>
      </c>
      <c r="P563">
        <f t="shared" si="985"/>
        <v>0.64102564102564508</v>
      </c>
      <c r="Q563">
        <f t="shared" si="986"/>
        <v>3993026.1987179741</v>
      </c>
      <c r="R563">
        <f t="shared" si="987"/>
        <v>-127060840.34711099</v>
      </c>
      <c r="S563">
        <f t="shared" si="988"/>
        <v>-1270.6084034711098</v>
      </c>
      <c r="T563">
        <f t="shared" si="989"/>
        <v>-1.2706084034711098</v>
      </c>
      <c r="CZ563" t="s">
        <v>7</v>
      </c>
    </row>
    <row r="564" spans="1:104" x14ac:dyDescent="0.25">
      <c r="A564" s="5">
        <v>44029</v>
      </c>
      <c r="B564">
        <v>0.1082</v>
      </c>
      <c r="C564">
        <v>0.1114</v>
      </c>
      <c r="D564">
        <v>0.1069</v>
      </c>
      <c r="E564">
        <v>0.1094</v>
      </c>
      <c r="F564">
        <v>7178258.8300000001</v>
      </c>
      <c r="G564">
        <v>1.1100000000000001</v>
      </c>
      <c r="L564" t="s">
        <v>8</v>
      </c>
      <c r="M564" t="s">
        <v>8</v>
      </c>
      <c r="N564" t="s">
        <v>7</v>
      </c>
      <c r="P564">
        <f t="shared" si="985"/>
        <v>0.1111111111111111</v>
      </c>
      <c r="Q564">
        <f t="shared" si="986"/>
        <v>797584.31444444438</v>
      </c>
      <c r="R564">
        <f t="shared" si="987"/>
        <v>-131053866.54582895</v>
      </c>
      <c r="S564">
        <f t="shared" si="988"/>
        <v>-1310.5386654582896</v>
      </c>
      <c r="T564">
        <f t="shared" si="989"/>
        <v>-1.3105386654582896</v>
      </c>
    </row>
    <row r="565" spans="1:104" x14ac:dyDescent="0.25">
      <c r="A565" s="5">
        <v>44028</v>
      </c>
      <c r="B565">
        <v>0.11459999999999999</v>
      </c>
      <c r="C565">
        <v>0.11600000000000001</v>
      </c>
      <c r="D565">
        <v>0.10299999999999999</v>
      </c>
      <c r="E565">
        <v>0.1084</v>
      </c>
      <c r="F565">
        <v>9477971.5399999991</v>
      </c>
      <c r="G565">
        <v>-5.41</v>
      </c>
      <c r="L565" t="s">
        <v>7</v>
      </c>
      <c r="M565" t="s">
        <v>8</v>
      </c>
      <c r="N565" t="s">
        <v>7</v>
      </c>
      <c r="P565">
        <f t="shared" si="985"/>
        <v>-0.16923076923076966</v>
      </c>
      <c r="Q565">
        <f t="shared" si="986"/>
        <v>-1603964.4144615424</v>
      </c>
      <c r="R565">
        <f t="shared" si="987"/>
        <v>-131851450.86027339</v>
      </c>
      <c r="S565">
        <f t="shared" si="988"/>
        <v>-1318.5145086027339</v>
      </c>
      <c r="T565">
        <f t="shared" si="989"/>
        <v>-1.3185145086027339</v>
      </c>
    </row>
    <row r="566" spans="1:104" x14ac:dyDescent="0.25">
      <c r="A566" s="5">
        <v>44027</v>
      </c>
      <c r="B566">
        <v>0.1125</v>
      </c>
      <c r="C566">
        <v>0.1174</v>
      </c>
      <c r="D566">
        <v>0.1113</v>
      </c>
      <c r="E566">
        <v>0.11459999999999999</v>
      </c>
      <c r="F566">
        <v>10016731.74</v>
      </c>
      <c r="G566">
        <v>1.87</v>
      </c>
      <c r="L566" t="s">
        <v>8</v>
      </c>
      <c r="M566" t="s">
        <v>8</v>
      </c>
      <c r="N566" t="s">
        <v>7</v>
      </c>
      <c r="P566">
        <f t="shared" si="985"/>
        <v>8.1967213114751789E-2</v>
      </c>
      <c r="Q566">
        <f t="shared" si="986"/>
        <v>821043.58524587855</v>
      </c>
      <c r="R566">
        <f t="shared" si="987"/>
        <v>-130247486.44581185</v>
      </c>
      <c r="S566">
        <f t="shared" si="988"/>
        <v>-1302.4748644581184</v>
      </c>
      <c r="T566">
        <f t="shared" si="989"/>
        <v>-1.3024748644581183</v>
      </c>
    </row>
    <row r="567" spans="1:104" x14ac:dyDescent="0.25">
      <c r="A567" s="5">
        <v>44026</v>
      </c>
      <c r="B567">
        <v>0.10979999999999999</v>
      </c>
      <c r="C567">
        <v>0.114</v>
      </c>
      <c r="D567">
        <v>0.1057</v>
      </c>
      <c r="E567">
        <v>0.1125</v>
      </c>
      <c r="F567">
        <v>8783036.4100000001</v>
      </c>
      <c r="G567">
        <v>2.46</v>
      </c>
      <c r="L567" t="s">
        <v>7</v>
      </c>
      <c r="M567" t="s">
        <v>8</v>
      </c>
      <c r="N567" t="s">
        <v>7</v>
      </c>
      <c r="P567">
        <f t="shared" si="985"/>
        <v>0.6385542168674696</v>
      </c>
      <c r="Q567">
        <f t="shared" si="986"/>
        <v>5608444.9365060218</v>
      </c>
      <c r="R567">
        <f t="shared" si="987"/>
        <v>-131068530.03105773</v>
      </c>
      <c r="S567">
        <f t="shared" si="988"/>
        <v>-1310.6853003105773</v>
      </c>
      <c r="T567">
        <f t="shared" si="989"/>
        <v>-1.3106853003105774</v>
      </c>
    </row>
    <row r="568" spans="1:104" x14ac:dyDescent="0.25">
      <c r="A568" s="5">
        <v>44025</v>
      </c>
      <c r="B568">
        <v>0.11459999999999999</v>
      </c>
      <c r="C568">
        <v>0.11849999999999999</v>
      </c>
      <c r="D568">
        <v>0.10879999999999999</v>
      </c>
      <c r="E568">
        <v>0.10979999999999999</v>
      </c>
      <c r="F568">
        <v>10658339.25</v>
      </c>
      <c r="G568">
        <v>-4.1900000000000004</v>
      </c>
      <c r="L568" t="s">
        <v>7</v>
      </c>
      <c r="M568" t="s">
        <v>8</v>
      </c>
      <c r="N568" t="s">
        <v>7</v>
      </c>
      <c r="P568">
        <f t="shared" si="985"/>
        <v>-0.79381443298969057</v>
      </c>
      <c r="Q568">
        <f t="shared" si="986"/>
        <v>-8460743.5283505134</v>
      </c>
      <c r="R568">
        <f t="shared" si="987"/>
        <v>-136676974.96756375</v>
      </c>
      <c r="S568">
        <f t="shared" si="988"/>
        <v>-1366.7697496756375</v>
      </c>
      <c r="T568">
        <f t="shared" si="989"/>
        <v>-1.3667697496756375</v>
      </c>
    </row>
    <row r="569" spans="1:104" x14ac:dyDescent="0.25">
      <c r="A569" s="5">
        <v>44024</v>
      </c>
      <c r="B569">
        <v>0.1193</v>
      </c>
      <c r="C569">
        <v>0.12089999999999999</v>
      </c>
      <c r="D569">
        <v>0.1113</v>
      </c>
      <c r="E569">
        <v>0.11459999999999999</v>
      </c>
      <c r="F569">
        <v>10167841.99</v>
      </c>
      <c r="G569">
        <v>-3.94</v>
      </c>
      <c r="L569" t="s">
        <v>7</v>
      </c>
      <c r="M569" t="s">
        <v>8</v>
      </c>
      <c r="N569" t="s">
        <v>7</v>
      </c>
      <c r="P569">
        <f t="shared" si="985"/>
        <v>-0.31250000000000039</v>
      </c>
      <c r="Q569">
        <f t="shared" si="986"/>
        <v>-3177450.6218750039</v>
      </c>
      <c r="R569">
        <f t="shared" si="987"/>
        <v>-128216231.43921325</v>
      </c>
      <c r="S569">
        <f t="shared" si="988"/>
        <v>-1282.1623143921324</v>
      </c>
      <c r="T569">
        <f t="shared" si="989"/>
        <v>-1.2821623143921324</v>
      </c>
    </row>
    <row r="570" spans="1:104" x14ac:dyDescent="0.25">
      <c r="A570" s="5">
        <v>44023</v>
      </c>
      <c r="B570">
        <v>0.112</v>
      </c>
      <c r="C570">
        <v>0.1221</v>
      </c>
      <c r="D570">
        <v>0.11070000000000001</v>
      </c>
      <c r="E570">
        <v>0.1192</v>
      </c>
      <c r="F570">
        <v>11098356.970000001</v>
      </c>
      <c r="G570">
        <v>6.43</v>
      </c>
      <c r="L570" t="s">
        <v>8</v>
      </c>
      <c r="M570" t="s">
        <v>8</v>
      </c>
      <c r="N570" t="s">
        <v>7</v>
      </c>
      <c r="P570">
        <f t="shared" si="985"/>
        <v>0.49122807017543835</v>
      </c>
      <c r="Q570">
        <f t="shared" si="986"/>
        <v>5451824.4764912259</v>
      </c>
      <c r="R570">
        <f t="shared" si="987"/>
        <v>-125038780.81733824</v>
      </c>
      <c r="S570">
        <f t="shared" si="988"/>
        <v>-1250.3878081733824</v>
      </c>
      <c r="T570">
        <f t="shared" si="989"/>
        <v>-1.2503878081733824</v>
      </c>
    </row>
    <row r="571" spans="1:104" x14ac:dyDescent="0.25">
      <c r="A571" s="5">
        <v>44022</v>
      </c>
      <c r="B571">
        <v>0.1053</v>
      </c>
      <c r="C571">
        <v>0.11550000000000001</v>
      </c>
      <c r="D571">
        <v>0.1019</v>
      </c>
      <c r="E571">
        <v>0.112</v>
      </c>
      <c r="F571">
        <v>9959010.3100000005</v>
      </c>
      <c r="G571">
        <v>6.36</v>
      </c>
      <c r="L571" t="s">
        <v>8</v>
      </c>
      <c r="M571" t="s">
        <v>8</v>
      </c>
      <c r="N571" t="s">
        <v>7</v>
      </c>
      <c r="P571">
        <f t="shared" si="985"/>
        <v>0.48529411764705838</v>
      </c>
      <c r="Q571">
        <f t="shared" si="986"/>
        <v>4833049.1210294077</v>
      </c>
      <c r="R571">
        <f t="shared" si="987"/>
        <v>-130490605.29382947</v>
      </c>
      <c r="S571">
        <f t="shared" si="988"/>
        <v>-1304.9060529382948</v>
      </c>
      <c r="T571">
        <f t="shared" si="989"/>
        <v>-1.3049060529382948</v>
      </c>
    </row>
    <row r="572" spans="1:104" x14ac:dyDescent="0.25">
      <c r="A572" s="5">
        <v>44021</v>
      </c>
      <c r="B572">
        <v>0.11169999999999999</v>
      </c>
      <c r="C572">
        <v>0.113</v>
      </c>
      <c r="D572">
        <v>0.1003</v>
      </c>
      <c r="E572">
        <v>0.10489999999999999</v>
      </c>
      <c r="F572">
        <v>7327924.4400000004</v>
      </c>
      <c r="G572">
        <v>-6.09</v>
      </c>
      <c r="L572" t="s">
        <v>7</v>
      </c>
      <c r="M572" t="s">
        <v>8</v>
      </c>
      <c r="N572" t="s">
        <v>7</v>
      </c>
      <c r="P572">
        <f t="shared" si="985"/>
        <v>-0.27559055118110365</v>
      </c>
      <c r="Q572">
        <f t="shared" si="986"/>
        <v>-2019506.7354330805</v>
      </c>
      <c r="R572">
        <f t="shared" si="987"/>
        <v>-135323654.41485888</v>
      </c>
      <c r="S572">
        <f t="shared" si="988"/>
        <v>-1353.2365441485888</v>
      </c>
      <c r="T572">
        <f t="shared" si="989"/>
        <v>-1.3532365441485887</v>
      </c>
    </row>
    <row r="573" spans="1:104" x14ac:dyDescent="0.25">
      <c r="A573" s="5">
        <v>44020</v>
      </c>
      <c r="B573">
        <v>0.1072</v>
      </c>
      <c r="C573">
        <v>0.1142</v>
      </c>
      <c r="D573">
        <v>0.10589999999999999</v>
      </c>
      <c r="E573">
        <v>0.11169999999999999</v>
      </c>
      <c r="F573">
        <v>7136431.9800000004</v>
      </c>
      <c r="G573">
        <v>4.2</v>
      </c>
      <c r="L573" t="s">
        <v>8</v>
      </c>
      <c r="M573" t="s">
        <v>8</v>
      </c>
      <c r="N573" t="s">
        <v>7</v>
      </c>
      <c r="P573">
        <f t="shared" si="985"/>
        <v>0.39759036144578275</v>
      </c>
      <c r="Q573">
        <f t="shared" si="986"/>
        <v>2837376.5703614433</v>
      </c>
      <c r="R573">
        <f t="shared" si="987"/>
        <v>-133304147.67942579</v>
      </c>
      <c r="S573">
        <f t="shared" si="988"/>
        <v>-1333.041476794258</v>
      </c>
      <c r="T573">
        <f t="shared" si="989"/>
        <v>-1.333041476794258</v>
      </c>
    </row>
    <row r="574" spans="1:104" x14ac:dyDescent="0.25">
      <c r="A574" s="5">
        <v>44019</v>
      </c>
      <c r="B574">
        <v>0.10150000000000001</v>
      </c>
      <c r="C574">
        <v>0.1077</v>
      </c>
      <c r="D574">
        <v>9.98E-2</v>
      </c>
      <c r="E574">
        <v>0.1071</v>
      </c>
      <c r="F574">
        <v>6173073.1799999997</v>
      </c>
      <c r="G574">
        <v>5.52</v>
      </c>
      <c r="L574" t="s">
        <v>8</v>
      </c>
      <c r="M574" t="s">
        <v>8</v>
      </c>
      <c r="N574" t="s">
        <v>7</v>
      </c>
      <c r="P574">
        <f t="shared" si="985"/>
        <v>0.848101265822784</v>
      </c>
      <c r="Q574">
        <f t="shared" si="986"/>
        <v>5235391.1779746786</v>
      </c>
      <c r="R574">
        <f t="shared" si="987"/>
        <v>-136141524.24978724</v>
      </c>
      <c r="S574">
        <f t="shared" si="988"/>
        <v>-1361.4152424978724</v>
      </c>
      <c r="T574">
        <f t="shared" si="989"/>
        <v>-1.3614152424978725</v>
      </c>
    </row>
    <row r="575" spans="1:104" x14ac:dyDescent="0.25">
      <c r="A575" s="5">
        <v>44018</v>
      </c>
      <c r="B575">
        <v>9.8100000000000007E-2</v>
      </c>
      <c r="C575">
        <v>0.10390000000000001</v>
      </c>
      <c r="D575">
        <v>9.8100000000000007E-2</v>
      </c>
      <c r="E575">
        <v>0.1012</v>
      </c>
      <c r="F575">
        <v>4861662.43</v>
      </c>
      <c r="G575">
        <v>3.16</v>
      </c>
      <c r="L575" t="s">
        <v>8</v>
      </c>
      <c r="M575" t="s">
        <v>7</v>
      </c>
      <c r="N575" t="s">
        <v>7</v>
      </c>
      <c r="P575">
        <f t="shared" si="985"/>
        <v>6.8965517241376506E-2</v>
      </c>
      <c r="Q575">
        <f t="shared" si="986"/>
        <v>335287.06413791736</v>
      </c>
      <c r="R575">
        <f t="shared" si="987"/>
        <v>-141376915.42776191</v>
      </c>
      <c r="S575">
        <f t="shared" si="988"/>
        <v>-1413.7691542776192</v>
      </c>
      <c r="T575">
        <f t="shared" si="989"/>
        <v>-1.4137691542776192</v>
      </c>
    </row>
    <row r="576" spans="1:104" x14ac:dyDescent="0.25">
      <c r="A576" s="5">
        <v>44017</v>
      </c>
      <c r="B576">
        <v>9.9699999999999997E-2</v>
      </c>
      <c r="C576">
        <v>0.10299999999999999</v>
      </c>
      <c r="D576">
        <v>9.5299999999999996E-2</v>
      </c>
      <c r="E576">
        <v>9.8100000000000007E-2</v>
      </c>
      <c r="F576">
        <v>3614807.78</v>
      </c>
      <c r="G576">
        <v>-1.6</v>
      </c>
      <c r="L576" t="s">
        <v>7</v>
      </c>
      <c r="M576" t="s">
        <v>7</v>
      </c>
      <c r="N576" t="s">
        <v>7</v>
      </c>
      <c r="P576">
        <f t="shared" si="985"/>
        <v>-0.27272727272726976</v>
      </c>
      <c r="Q576">
        <f t="shared" si="986"/>
        <v>-985856.66727271653</v>
      </c>
      <c r="R576">
        <f t="shared" si="987"/>
        <v>-141712202.49189982</v>
      </c>
      <c r="S576">
        <f t="shared" si="988"/>
        <v>-1417.1220249189982</v>
      </c>
      <c r="T576">
        <f t="shared" si="989"/>
        <v>-1.4171220249189982</v>
      </c>
    </row>
    <row r="577" spans="1:20" x14ac:dyDescent="0.25">
      <c r="A577" s="5">
        <v>44016</v>
      </c>
      <c r="B577">
        <v>9.8199999999999996E-2</v>
      </c>
      <c r="C577">
        <v>0.1043</v>
      </c>
      <c r="D577">
        <v>9.7000000000000003E-2</v>
      </c>
      <c r="E577">
        <v>9.9400000000000002E-2</v>
      </c>
      <c r="F577">
        <v>4611055.59</v>
      </c>
      <c r="G577">
        <v>1.22</v>
      </c>
      <c r="L577" t="s">
        <v>8</v>
      </c>
      <c r="M577" t="s">
        <v>7</v>
      </c>
      <c r="N577" t="s">
        <v>7</v>
      </c>
      <c r="P577">
        <f t="shared" si="985"/>
        <v>-0.34246575342465779</v>
      </c>
      <c r="Q577">
        <f t="shared" si="986"/>
        <v>-1579128.6267123299</v>
      </c>
      <c r="R577">
        <f t="shared" si="987"/>
        <v>-140726345.8246271</v>
      </c>
      <c r="S577">
        <f t="shared" si="988"/>
        <v>-1407.2634582462711</v>
      </c>
      <c r="T577">
        <f t="shared" si="989"/>
        <v>-1.4072634582462711</v>
      </c>
    </row>
    <row r="578" spans="1:20" x14ac:dyDescent="0.25">
      <c r="A578" s="5">
        <v>44015</v>
      </c>
      <c r="B578">
        <v>9.4100000000000003E-2</v>
      </c>
      <c r="C578">
        <v>0.10100000000000001</v>
      </c>
      <c r="D578">
        <v>9.3700000000000006E-2</v>
      </c>
      <c r="E578">
        <v>9.8100000000000007E-2</v>
      </c>
      <c r="F578">
        <v>4493412.29</v>
      </c>
      <c r="G578">
        <v>4.25</v>
      </c>
      <c r="L578" t="s">
        <v>8</v>
      </c>
      <c r="M578" t="s">
        <v>7</v>
      </c>
      <c r="N578" t="s">
        <v>7</v>
      </c>
      <c r="P578">
        <f t="shared" si="985"/>
        <v>0.20547945205479468</v>
      </c>
      <c r="Q578">
        <f t="shared" si="986"/>
        <v>923303.89520548016</v>
      </c>
      <c r="R578">
        <f t="shared" si="987"/>
        <v>-139147217.19791478</v>
      </c>
      <c r="S578">
        <f t="shared" si="988"/>
        <v>-1391.4721719791478</v>
      </c>
      <c r="T578">
        <f t="shared" si="989"/>
        <v>-1.3914721719791479</v>
      </c>
    </row>
    <row r="579" spans="1:20" x14ac:dyDescent="0.25">
      <c r="A579" s="5">
        <v>44014</v>
      </c>
      <c r="B579">
        <v>9.6100000000000005E-2</v>
      </c>
      <c r="C579">
        <v>9.9299999999999999E-2</v>
      </c>
      <c r="D579">
        <v>9.2600000000000002E-2</v>
      </c>
      <c r="E579">
        <v>9.4100000000000003E-2</v>
      </c>
      <c r="F579">
        <v>3086485.67</v>
      </c>
      <c r="G579">
        <v>-2.08</v>
      </c>
      <c r="L579" t="s">
        <v>7</v>
      </c>
      <c r="M579" t="s">
        <v>7</v>
      </c>
      <c r="N579" t="s">
        <v>7</v>
      </c>
      <c r="P579">
        <f t="shared" si="985"/>
        <v>-0.55223880597014874</v>
      </c>
      <c r="Q579">
        <f t="shared" si="986"/>
        <v>-1704477.1610447746</v>
      </c>
      <c r="R579">
        <f t="shared" si="987"/>
        <v>-140070521.09312025</v>
      </c>
      <c r="S579">
        <f t="shared" si="988"/>
        <v>-1400.7052109312024</v>
      </c>
      <c r="T579">
        <f t="shared" si="989"/>
        <v>-1.4007052109312024</v>
      </c>
    </row>
    <row r="580" spans="1:20" x14ac:dyDescent="0.25">
      <c r="A580" s="5">
        <v>44013</v>
      </c>
      <c r="B580">
        <v>9.69E-2</v>
      </c>
      <c r="C580">
        <v>9.8299999999999998E-2</v>
      </c>
      <c r="D580">
        <v>9.4500000000000001E-2</v>
      </c>
      <c r="E580">
        <v>9.6100000000000005E-2</v>
      </c>
      <c r="F580">
        <v>3914859.59</v>
      </c>
      <c r="G580">
        <v>-0.83</v>
      </c>
      <c r="L580" t="s">
        <v>7</v>
      </c>
      <c r="M580" t="s">
        <v>7</v>
      </c>
      <c r="N580" t="s">
        <v>7</v>
      </c>
      <c r="P580">
        <f t="shared" si="985"/>
        <v>-0.15789473684210256</v>
      </c>
      <c r="Q580">
        <f t="shared" si="986"/>
        <v>-618135.7247368315</v>
      </c>
      <c r="R580">
        <f t="shared" si="987"/>
        <v>-138366043.93207547</v>
      </c>
      <c r="S580">
        <f t="shared" si="988"/>
        <v>-1383.6604393207547</v>
      </c>
      <c r="T580">
        <f t="shared" si="989"/>
        <v>-1.3836604393207548</v>
      </c>
    </row>
    <row r="581" spans="1:20" x14ac:dyDescent="0.25">
      <c r="A581" s="5">
        <v>44012</v>
      </c>
      <c r="B581">
        <v>9.3200000000000005E-2</v>
      </c>
      <c r="C581">
        <v>0.10150000000000001</v>
      </c>
      <c r="D581">
        <v>9.1899999999999996E-2</v>
      </c>
      <c r="E581">
        <v>9.6600000000000005E-2</v>
      </c>
      <c r="F581">
        <v>8404113</v>
      </c>
      <c r="G581">
        <v>3.65</v>
      </c>
      <c r="L581" t="s">
        <v>8</v>
      </c>
      <c r="M581" t="s">
        <v>7</v>
      </c>
      <c r="N581" t="s">
        <v>7</v>
      </c>
      <c r="P581">
        <f t="shared" si="985"/>
        <v>-2.0833333333332461E-2</v>
      </c>
      <c r="Q581">
        <f t="shared" si="986"/>
        <v>-175085.68749999267</v>
      </c>
      <c r="R581">
        <f t="shared" si="987"/>
        <v>-137747908.20733863</v>
      </c>
      <c r="S581">
        <f t="shared" si="988"/>
        <v>-1377.4790820733863</v>
      </c>
      <c r="T581">
        <f t="shared" si="989"/>
        <v>-1.3774790820733862</v>
      </c>
    </row>
    <row r="582" spans="1:20" x14ac:dyDescent="0.25">
      <c r="A582" s="5">
        <v>44011</v>
      </c>
      <c r="B582">
        <v>9.2600000000000002E-2</v>
      </c>
      <c r="C582">
        <v>9.4600000000000004E-2</v>
      </c>
      <c r="D582">
        <v>8.9499999999999996E-2</v>
      </c>
      <c r="E582">
        <v>9.3200000000000005E-2</v>
      </c>
      <c r="F582">
        <v>6326820.25</v>
      </c>
      <c r="G582">
        <v>0.65</v>
      </c>
      <c r="L582" t="s">
        <v>8</v>
      </c>
      <c r="M582" t="s">
        <v>7</v>
      </c>
      <c r="N582" t="s">
        <v>7</v>
      </c>
      <c r="P582">
        <f t="shared" ref="P582:P645" si="990">IF(C582=D582,0,((E582-D582)-(C582-E582))/(C582-D582))</f>
        <v>0.45098039215686414</v>
      </c>
      <c r="Q582">
        <f t="shared" ref="Q582:Q645" si="991">F582*P582</f>
        <v>2853271.8774509891</v>
      </c>
      <c r="R582">
        <f t="shared" ref="R582:R645" si="992">R583+Q582</f>
        <v>-137572822.51983863</v>
      </c>
      <c r="S582">
        <f t="shared" ref="S582:S645" si="993">R582/100000</f>
        <v>-1375.7282251983863</v>
      </c>
      <c r="T582">
        <f t="shared" ref="T582:T645" si="994">S582/1000</f>
        <v>-1.3757282251983862</v>
      </c>
    </row>
    <row r="583" spans="1:20" x14ac:dyDescent="0.25">
      <c r="A583" s="5">
        <v>44010</v>
      </c>
      <c r="B583">
        <v>9.0300000000000005E-2</v>
      </c>
      <c r="C583">
        <v>9.5600000000000004E-2</v>
      </c>
      <c r="D583">
        <v>8.8499999999999995E-2</v>
      </c>
      <c r="E583">
        <v>9.2700000000000005E-2</v>
      </c>
      <c r="F583">
        <v>5478928.5700000003</v>
      </c>
      <c r="G583">
        <v>2.66</v>
      </c>
      <c r="L583" t="s">
        <v>8</v>
      </c>
      <c r="M583" t="s">
        <v>7</v>
      </c>
      <c r="N583" t="s">
        <v>7</v>
      </c>
      <c r="P583">
        <f t="shared" si="990"/>
        <v>0.18309859154929686</v>
      </c>
      <c r="Q583">
        <f t="shared" si="991"/>
        <v>1003184.1043662032</v>
      </c>
      <c r="R583">
        <f t="shared" si="992"/>
        <v>-140426094.39728963</v>
      </c>
      <c r="S583">
        <f t="shared" si="993"/>
        <v>-1404.2609439728963</v>
      </c>
      <c r="T583">
        <f t="shared" si="994"/>
        <v>-1.4042609439728964</v>
      </c>
    </row>
    <row r="584" spans="1:20" x14ac:dyDescent="0.25">
      <c r="A584" s="5">
        <v>44009</v>
      </c>
      <c r="B584">
        <v>9.7100000000000006E-2</v>
      </c>
      <c r="C584">
        <v>0.10440000000000001</v>
      </c>
      <c r="D584">
        <v>8.8900000000000007E-2</v>
      </c>
      <c r="E584">
        <v>9.0300000000000005E-2</v>
      </c>
      <c r="F584">
        <v>7231893.6100000003</v>
      </c>
      <c r="G584">
        <v>-7</v>
      </c>
      <c r="L584" t="s">
        <v>7</v>
      </c>
      <c r="M584" t="s">
        <v>7</v>
      </c>
      <c r="N584" t="s">
        <v>7</v>
      </c>
      <c r="P584">
        <f t="shared" si="990"/>
        <v>-0.81935483870967762</v>
      </c>
      <c r="Q584">
        <f t="shared" si="991"/>
        <v>-5925487.0223870985</v>
      </c>
      <c r="R584">
        <f t="shared" si="992"/>
        <v>-141429278.50165585</v>
      </c>
      <c r="S584">
        <f t="shared" si="993"/>
        <v>-1414.2927850165584</v>
      </c>
      <c r="T584">
        <f t="shared" si="994"/>
        <v>-1.4142927850165583</v>
      </c>
    </row>
    <row r="585" spans="1:20" x14ac:dyDescent="0.25">
      <c r="A585" s="5">
        <v>44008</v>
      </c>
      <c r="B585">
        <v>0.1007</v>
      </c>
      <c r="C585">
        <v>0.1018</v>
      </c>
      <c r="D585">
        <v>9.5299999999999996E-2</v>
      </c>
      <c r="E585">
        <v>9.7100000000000006E-2</v>
      </c>
      <c r="F585">
        <v>5174687.08</v>
      </c>
      <c r="G585">
        <v>-3.57</v>
      </c>
      <c r="L585" t="s">
        <v>7</v>
      </c>
      <c r="M585" t="s">
        <v>7</v>
      </c>
      <c r="N585" t="s">
        <v>8</v>
      </c>
      <c r="P585">
        <f t="shared" si="990"/>
        <v>-0.44615384615384357</v>
      </c>
      <c r="Q585">
        <f t="shared" si="991"/>
        <v>-2308706.5433846018</v>
      </c>
      <c r="R585">
        <f t="shared" si="992"/>
        <v>-135503791.47926876</v>
      </c>
      <c r="S585">
        <f t="shared" si="993"/>
        <v>-1355.0379147926876</v>
      </c>
      <c r="T585">
        <f t="shared" si="994"/>
        <v>-1.3550379147926876</v>
      </c>
    </row>
    <row r="586" spans="1:20" x14ac:dyDescent="0.25">
      <c r="A586" s="5">
        <v>44007</v>
      </c>
      <c r="B586">
        <v>0.1041</v>
      </c>
      <c r="C586">
        <v>0.1048</v>
      </c>
      <c r="D586">
        <v>9.7799999999999998E-2</v>
      </c>
      <c r="E586">
        <v>0.10059999999999999</v>
      </c>
      <c r="F586">
        <v>7182757.0599999996</v>
      </c>
      <c r="G586">
        <v>-3.36</v>
      </c>
      <c r="L586" t="s">
        <v>7</v>
      </c>
      <c r="M586" t="s">
        <v>7</v>
      </c>
      <c r="N586" t="s">
        <v>8</v>
      </c>
      <c r="P586">
        <f t="shared" si="990"/>
        <v>-0.20000000000000159</v>
      </c>
      <c r="Q586">
        <f t="shared" si="991"/>
        <v>-1436551.4120000114</v>
      </c>
      <c r="R586">
        <f t="shared" si="992"/>
        <v>-133195084.93588415</v>
      </c>
      <c r="S586">
        <f t="shared" si="993"/>
        <v>-1331.9508493588414</v>
      </c>
      <c r="T586">
        <f t="shared" si="994"/>
        <v>-1.3319508493588414</v>
      </c>
    </row>
    <row r="587" spans="1:20" x14ac:dyDescent="0.25">
      <c r="A587" s="5">
        <v>44006</v>
      </c>
      <c r="B587">
        <v>0.10879999999999999</v>
      </c>
      <c r="C587">
        <v>0.1105</v>
      </c>
      <c r="D587">
        <v>0.10290000000000001</v>
      </c>
      <c r="E587">
        <v>0.1041</v>
      </c>
      <c r="F587">
        <v>6440909.5</v>
      </c>
      <c r="G587">
        <v>-4.32</v>
      </c>
      <c r="L587" t="s">
        <v>7</v>
      </c>
      <c r="M587" t="s">
        <v>7</v>
      </c>
      <c r="N587" t="s">
        <v>8</v>
      </c>
      <c r="P587">
        <f t="shared" si="990"/>
        <v>-0.68421052631579116</v>
      </c>
      <c r="Q587">
        <f t="shared" si="991"/>
        <v>-4406938.0789473793</v>
      </c>
      <c r="R587">
        <f t="shared" si="992"/>
        <v>-131758533.52388413</v>
      </c>
      <c r="S587">
        <f t="shared" si="993"/>
        <v>-1317.5853352388413</v>
      </c>
      <c r="T587">
        <f t="shared" si="994"/>
        <v>-1.3175853352388414</v>
      </c>
    </row>
    <row r="588" spans="1:20" x14ac:dyDescent="0.25">
      <c r="A588" s="5">
        <v>44005</v>
      </c>
      <c r="B588">
        <v>0.1091</v>
      </c>
      <c r="C588">
        <v>0.11210000000000001</v>
      </c>
      <c r="D588">
        <v>0.1075</v>
      </c>
      <c r="E588">
        <v>0.10879999999999999</v>
      </c>
      <c r="F588">
        <v>5189592.4400000004</v>
      </c>
      <c r="G588">
        <v>-0.27</v>
      </c>
      <c r="L588" t="s">
        <v>7</v>
      </c>
      <c r="M588" t="s">
        <v>8</v>
      </c>
      <c r="N588" t="s">
        <v>8</v>
      </c>
      <c r="P588">
        <f t="shared" si="990"/>
        <v>-0.43478260869565494</v>
      </c>
      <c r="Q588">
        <f t="shared" si="991"/>
        <v>-2256344.5391304493</v>
      </c>
      <c r="R588">
        <f t="shared" si="992"/>
        <v>-127351595.44493675</v>
      </c>
      <c r="S588">
        <f t="shared" si="993"/>
        <v>-1273.5159544493674</v>
      </c>
      <c r="T588">
        <f t="shared" si="994"/>
        <v>-1.2735159544493675</v>
      </c>
    </row>
    <row r="589" spans="1:20" x14ac:dyDescent="0.25">
      <c r="A589" s="5">
        <v>44004</v>
      </c>
      <c r="B589">
        <v>0.1079</v>
      </c>
      <c r="C589">
        <v>0.112</v>
      </c>
      <c r="D589">
        <v>0.1072</v>
      </c>
      <c r="E589">
        <v>0.10920000000000001</v>
      </c>
      <c r="F589">
        <v>5228813</v>
      </c>
      <c r="G589">
        <v>1.2</v>
      </c>
      <c r="L589" t="s">
        <v>7</v>
      </c>
      <c r="M589" t="s">
        <v>8</v>
      </c>
      <c r="N589" t="s">
        <v>8</v>
      </c>
      <c r="P589">
        <f t="shared" si="990"/>
        <v>-0.16666666666666571</v>
      </c>
      <c r="Q589">
        <f t="shared" si="991"/>
        <v>-871468.83333332837</v>
      </c>
      <c r="R589">
        <f t="shared" si="992"/>
        <v>-125095250.9058063</v>
      </c>
      <c r="S589">
        <f t="shared" si="993"/>
        <v>-1250.952509058063</v>
      </c>
      <c r="T589">
        <f t="shared" si="994"/>
        <v>-1.2509525090580631</v>
      </c>
    </row>
    <row r="590" spans="1:20" x14ac:dyDescent="0.25">
      <c r="A590" s="5">
        <v>44003</v>
      </c>
      <c r="B590">
        <v>0.1086</v>
      </c>
      <c r="C590">
        <v>0.1128</v>
      </c>
      <c r="D590">
        <v>0.1075</v>
      </c>
      <c r="E590">
        <v>0.10780000000000001</v>
      </c>
      <c r="F590">
        <v>4525203.34</v>
      </c>
      <c r="G590">
        <v>-0.74</v>
      </c>
      <c r="L590" t="s">
        <v>7</v>
      </c>
      <c r="M590" t="s">
        <v>8</v>
      </c>
      <c r="N590" t="s">
        <v>8</v>
      </c>
      <c r="P590">
        <f t="shared" si="990"/>
        <v>-0.88679245283018537</v>
      </c>
      <c r="Q590">
        <f t="shared" si="991"/>
        <v>-4012916.1694339472</v>
      </c>
      <c r="R590">
        <f t="shared" si="992"/>
        <v>-124223782.07247297</v>
      </c>
      <c r="S590">
        <f t="shared" si="993"/>
        <v>-1242.2378207247298</v>
      </c>
      <c r="T590">
        <f t="shared" si="994"/>
        <v>-1.2422378207247298</v>
      </c>
    </row>
    <row r="591" spans="1:20" x14ac:dyDescent="0.25">
      <c r="A591" s="5">
        <v>44002</v>
      </c>
      <c r="B591">
        <v>0.1106</v>
      </c>
      <c r="C591">
        <v>0.11119999999999999</v>
      </c>
      <c r="D591">
        <v>0.10680000000000001</v>
      </c>
      <c r="E591">
        <v>0.1086</v>
      </c>
      <c r="F591">
        <v>4199327.49</v>
      </c>
      <c r="G591">
        <v>-1.81</v>
      </c>
      <c r="L591" t="s">
        <v>7</v>
      </c>
      <c r="M591" t="s">
        <v>8</v>
      </c>
      <c r="N591" t="s">
        <v>8</v>
      </c>
      <c r="P591">
        <f t="shared" si="990"/>
        <v>-0.18181818181818124</v>
      </c>
      <c r="Q591">
        <f t="shared" si="991"/>
        <v>-763514.08909090667</v>
      </c>
      <c r="R591">
        <f t="shared" si="992"/>
        <v>-120210865.90303902</v>
      </c>
      <c r="S591">
        <f t="shared" si="993"/>
        <v>-1202.1086590303903</v>
      </c>
      <c r="T591">
        <f t="shared" si="994"/>
        <v>-1.2021086590303902</v>
      </c>
    </row>
    <row r="592" spans="1:20" x14ac:dyDescent="0.25">
      <c r="A592" s="5">
        <v>44001</v>
      </c>
      <c r="B592">
        <v>0.112</v>
      </c>
      <c r="C592">
        <v>0.1157</v>
      </c>
      <c r="D592">
        <v>0.1067</v>
      </c>
      <c r="E592">
        <v>0.11070000000000001</v>
      </c>
      <c r="F592">
        <v>5290141.6399999997</v>
      </c>
      <c r="G592">
        <v>-1.1599999999999999</v>
      </c>
      <c r="L592" t="s">
        <v>7</v>
      </c>
      <c r="M592" t="s">
        <v>8</v>
      </c>
      <c r="N592" t="s">
        <v>8</v>
      </c>
      <c r="P592">
        <f t="shared" si="990"/>
        <v>-0.11111111111110974</v>
      </c>
      <c r="Q592">
        <f t="shared" si="991"/>
        <v>-587793.51555554825</v>
      </c>
      <c r="R592">
        <f t="shared" si="992"/>
        <v>-119447351.81394811</v>
      </c>
      <c r="S592">
        <f t="shared" si="993"/>
        <v>-1194.473518139481</v>
      </c>
      <c r="T592">
        <f t="shared" si="994"/>
        <v>-1.194473518139481</v>
      </c>
    </row>
    <row r="593" spans="1:20" x14ac:dyDescent="0.25">
      <c r="A593" s="5">
        <v>44000</v>
      </c>
      <c r="B593">
        <v>0.1135</v>
      </c>
      <c r="C593">
        <v>0.1234</v>
      </c>
      <c r="D593">
        <v>0.1104</v>
      </c>
      <c r="E593">
        <v>0.1119</v>
      </c>
      <c r="F593">
        <v>7859046.1299999999</v>
      </c>
      <c r="G593">
        <v>-1.41</v>
      </c>
      <c r="L593" t="s">
        <v>8</v>
      </c>
      <c r="M593" t="s">
        <v>8</v>
      </c>
      <c r="N593" t="s">
        <v>8</v>
      </c>
      <c r="P593">
        <f t="shared" si="990"/>
        <v>-0.76923076923076894</v>
      </c>
      <c r="Q593">
        <f t="shared" si="991"/>
        <v>-6045420.0999999978</v>
      </c>
      <c r="R593">
        <f t="shared" si="992"/>
        <v>-118859558.29839256</v>
      </c>
      <c r="S593">
        <f t="shared" si="993"/>
        <v>-1188.5955829839256</v>
      </c>
      <c r="T593">
        <f t="shared" si="994"/>
        <v>-1.1885955829839256</v>
      </c>
    </row>
    <row r="594" spans="1:20" x14ac:dyDescent="0.25">
      <c r="A594" s="5">
        <v>43999</v>
      </c>
      <c r="B594">
        <v>0.1104</v>
      </c>
      <c r="C594">
        <v>0.11749999999999999</v>
      </c>
      <c r="D594">
        <v>0.10879999999999999</v>
      </c>
      <c r="E594">
        <v>0.1134</v>
      </c>
      <c r="F594">
        <v>6485621.4800000004</v>
      </c>
      <c r="G594">
        <v>2.72</v>
      </c>
      <c r="L594" t="s">
        <v>8</v>
      </c>
      <c r="M594" t="s">
        <v>8</v>
      </c>
      <c r="N594" t="s">
        <v>8</v>
      </c>
      <c r="P594">
        <f t="shared" si="990"/>
        <v>5.7471264367817743E-2</v>
      </c>
      <c r="Q594">
        <f t="shared" si="991"/>
        <v>372736.86666667741</v>
      </c>
      <c r="R594">
        <f t="shared" si="992"/>
        <v>-112814138.19839257</v>
      </c>
      <c r="S594">
        <f t="shared" si="993"/>
        <v>-1128.1413819839256</v>
      </c>
      <c r="T594">
        <f t="shared" si="994"/>
        <v>-1.1281413819839257</v>
      </c>
    </row>
    <row r="595" spans="1:20" x14ac:dyDescent="0.25">
      <c r="A595" s="5">
        <v>43998</v>
      </c>
      <c r="B595">
        <v>0.1095</v>
      </c>
      <c r="C595">
        <v>0.1109</v>
      </c>
      <c r="D595">
        <v>0.106</v>
      </c>
      <c r="E595">
        <v>0.1104</v>
      </c>
      <c r="F595">
        <v>4937096.3899999997</v>
      </c>
      <c r="G595">
        <v>0.82</v>
      </c>
      <c r="L595" t="s">
        <v>8</v>
      </c>
      <c r="M595" t="s">
        <v>7</v>
      </c>
      <c r="N595" t="s">
        <v>8</v>
      </c>
      <c r="P595">
        <f t="shared" si="990"/>
        <v>0.79591836734693866</v>
      </c>
      <c r="Q595">
        <f t="shared" si="991"/>
        <v>3929525.6981632644</v>
      </c>
      <c r="R595">
        <f t="shared" si="992"/>
        <v>-113186875.06505924</v>
      </c>
      <c r="S595">
        <f t="shared" si="993"/>
        <v>-1131.8687506505923</v>
      </c>
      <c r="T595">
        <f t="shared" si="994"/>
        <v>-1.1318687506505924</v>
      </c>
    </row>
    <row r="596" spans="1:20" x14ac:dyDescent="0.25">
      <c r="A596" s="5">
        <v>43997</v>
      </c>
      <c r="B596">
        <v>0.1144</v>
      </c>
      <c r="C596">
        <v>0.11550000000000001</v>
      </c>
      <c r="D596">
        <v>9.7199999999999995E-2</v>
      </c>
      <c r="E596">
        <v>0.1095</v>
      </c>
      <c r="F596">
        <v>6769401.4100000001</v>
      </c>
      <c r="G596">
        <v>-4.28</v>
      </c>
      <c r="L596" t="s">
        <v>7</v>
      </c>
      <c r="M596" t="s">
        <v>7</v>
      </c>
      <c r="N596" t="s">
        <v>8</v>
      </c>
      <c r="P596">
        <f t="shared" si="990"/>
        <v>0.34426229508196704</v>
      </c>
      <c r="Q596">
        <f t="shared" si="991"/>
        <v>2330449.6657377039</v>
      </c>
      <c r="R596">
        <f t="shared" si="992"/>
        <v>-117116400.76322252</v>
      </c>
      <c r="S596">
        <f t="shared" si="993"/>
        <v>-1171.1640076322251</v>
      </c>
      <c r="T596">
        <f t="shared" si="994"/>
        <v>-1.1711640076322252</v>
      </c>
    </row>
    <row r="597" spans="1:20" x14ac:dyDescent="0.25">
      <c r="A597" s="5">
        <v>43996</v>
      </c>
      <c r="B597">
        <v>0.1144</v>
      </c>
      <c r="C597">
        <v>0.1215</v>
      </c>
      <c r="D597">
        <v>0.112</v>
      </c>
      <c r="E597">
        <v>0.1145</v>
      </c>
      <c r="F597">
        <v>3638541.58</v>
      </c>
      <c r="G597">
        <v>0.09</v>
      </c>
      <c r="L597" t="s">
        <v>8</v>
      </c>
      <c r="M597" t="s">
        <v>7</v>
      </c>
      <c r="N597" t="s">
        <v>8</v>
      </c>
      <c r="P597">
        <f t="shared" si="990"/>
        <v>-0.47368421052631504</v>
      </c>
      <c r="Q597">
        <f t="shared" si="991"/>
        <v>-1723519.695789471</v>
      </c>
      <c r="R597">
        <f t="shared" si="992"/>
        <v>-119446850.42896022</v>
      </c>
      <c r="S597">
        <f t="shared" si="993"/>
        <v>-1194.4685042896022</v>
      </c>
      <c r="T597">
        <f t="shared" si="994"/>
        <v>-1.1944685042896022</v>
      </c>
    </row>
    <row r="598" spans="1:20" x14ac:dyDescent="0.25">
      <c r="A598" s="5">
        <v>43995</v>
      </c>
      <c r="B598">
        <v>0.1171</v>
      </c>
      <c r="C598">
        <v>0.1177</v>
      </c>
      <c r="D598">
        <v>0.11169999999999999</v>
      </c>
      <c r="E598">
        <v>0.1142</v>
      </c>
      <c r="F598">
        <v>2457108.41</v>
      </c>
      <c r="G598">
        <v>-2.48</v>
      </c>
      <c r="L598" t="s">
        <v>8</v>
      </c>
      <c r="M598" t="s">
        <v>7</v>
      </c>
      <c r="N598" t="s">
        <v>8</v>
      </c>
      <c r="P598">
        <f t="shared" si="990"/>
        <v>-0.16666666666666666</v>
      </c>
      <c r="Q598">
        <f t="shared" si="991"/>
        <v>-409518.06833333336</v>
      </c>
      <c r="R598">
        <f t="shared" si="992"/>
        <v>-117723330.73317075</v>
      </c>
      <c r="S598">
        <f t="shared" si="993"/>
        <v>-1177.2333073317075</v>
      </c>
      <c r="T598">
        <f t="shared" si="994"/>
        <v>-1.1772333073317074</v>
      </c>
    </row>
    <row r="599" spans="1:20" x14ac:dyDescent="0.25">
      <c r="A599" s="5">
        <v>43994</v>
      </c>
      <c r="B599">
        <v>0.1081</v>
      </c>
      <c r="C599">
        <v>0.1182</v>
      </c>
      <c r="D599">
        <v>0.1062</v>
      </c>
      <c r="E599">
        <v>0.1172</v>
      </c>
      <c r="F599">
        <v>3492674.18</v>
      </c>
      <c r="G599">
        <v>8.42</v>
      </c>
      <c r="L599" t="s">
        <v>8</v>
      </c>
      <c r="M599" t="s">
        <v>7</v>
      </c>
      <c r="N599" t="s">
        <v>8</v>
      </c>
      <c r="P599">
        <f t="shared" si="990"/>
        <v>0.83333333333333315</v>
      </c>
      <c r="Q599">
        <f t="shared" si="991"/>
        <v>2910561.816666666</v>
      </c>
      <c r="R599">
        <f t="shared" si="992"/>
        <v>-117313812.66483742</v>
      </c>
      <c r="S599">
        <f t="shared" si="993"/>
        <v>-1173.1381266483743</v>
      </c>
      <c r="T599">
        <f t="shared" si="994"/>
        <v>-1.1731381266483742</v>
      </c>
    </row>
    <row r="600" spans="1:20" x14ac:dyDescent="0.25">
      <c r="A600" s="5">
        <v>43993</v>
      </c>
      <c r="B600">
        <v>0.1237</v>
      </c>
      <c r="C600">
        <v>0.12939999999999999</v>
      </c>
      <c r="D600">
        <v>0.1067</v>
      </c>
      <c r="E600">
        <v>0.1081</v>
      </c>
      <c r="F600">
        <v>7235106.2199999997</v>
      </c>
      <c r="G600">
        <v>-12.61</v>
      </c>
      <c r="L600" t="s">
        <v>7</v>
      </c>
      <c r="M600" t="s">
        <v>7</v>
      </c>
      <c r="N600" t="s">
        <v>8</v>
      </c>
      <c r="P600">
        <f t="shared" si="990"/>
        <v>-0.87665198237885467</v>
      </c>
      <c r="Q600">
        <f t="shared" si="991"/>
        <v>-6342670.210484582</v>
      </c>
      <c r="R600">
        <f t="shared" si="992"/>
        <v>-120224374.48150408</v>
      </c>
      <c r="S600">
        <f t="shared" si="993"/>
        <v>-1202.2437448150408</v>
      </c>
      <c r="T600">
        <f t="shared" si="994"/>
        <v>-1.2022437448150409</v>
      </c>
    </row>
    <row r="601" spans="1:20" x14ac:dyDescent="0.25">
      <c r="A601" s="5">
        <v>43992</v>
      </c>
      <c r="B601">
        <v>0.12470000000000001</v>
      </c>
      <c r="C601">
        <v>0.13389999999999999</v>
      </c>
      <c r="D601">
        <v>0.12</v>
      </c>
      <c r="E601">
        <v>0.1242</v>
      </c>
      <c r="F601">
        <v>5413484.0999999996</v>
      </c>
      <c r="G601">
        <v>-0.4</v>
      </c>
      <c r="L601" t="s">
        <v>8</v>
      </c>
      <c r="M601" t="s">
        <v>8</v>
      </c>
      <c r="N601" t="s">
        <v>8</v>
      </c>
      <c r="P601">
        <f t="shared" si="990"/>
        <v>-0.39568345323740856</v>
      </c>
      <c r="Q601">
        <f t="shared" si="991"/>
        <v>-2142026.0827338048</v>
      </c>
      <c r="R601">
        <f t="shared" si="992"/>
        <v>-113881704.2710195</v>
      </c>
      <c r="S601">
        <f t="shared" si="993"/>
        <v>-1138.817042710195</v>
      </c>
      <c r="T601">
        <f t="shared" si="994"/>
        <v>-1.1388170427101949</v>
      </c>
    </row>
    <row r="602" spans="1:20" x14ac:dyDescent="0.25">
      <c r="A602" s="5">
        <v>43991</v>
      </c>
      <c r="B602">
        <v>0.1245</v>
      </c>
      <c r="C602">
        <v>0.13100000000000001</v>
      </c>
      <c r="D602">
        <v>0.12</v>
      </c>
      <c r="E602">
        <v>0.12479999999999999</v>
      </c>
      <c r="F602">
        <v>5847820.4699999997</v>
      </c>
      <c r="G602">
        <v>0.24</v>
      </c>
      <c r="L602" t="s">
        <v>7</v>
      </c>
      <c r="M602" t="s">
        <v>8</v>
      </c>
      <c r="N602" t="s">
        <v>8</v>
      </c>
      <c r="P602">
        <f t="shared" si="990"/>
        <v>-0.12727272727272829</v>
      </c>
      <c r="Q602">
        <f t="shared" si="991"/>
        <v>-744268.05981818773</v>
      </c>
      <c r="R602">
        <f t="shared" si="992"/>
        <v>-111739678.18828569</v>
      </c>
      <c r="S602">
        <f t="shared" si="993"/>
        <v>-1117.3967818828569</v>
      </c>
      <c r="T602">
        <f t="shared" si="994"/>
        <v>-1.117396781882857</v>
      </c>
    </row>
    <row r="603" spans="1:20" x14ac:dyDescent="0.25">
      <c r="A603" s="5">
        <v>43990</v>
      </c>
      <c r="B603">
        <v>0.1249</v>
      </c>
      <c r="C603">
        <v>0.1338</v>
      </c>
      <c r="D603">
        <v>0.1187</v>
      </c>
      <c r="E603">
        <v>0.1244</v>
      </c>
      <c r="F603">
        <v>12373972.699999999</v>
      </c>
      <c r="G603">
        <v>-0.4</v>
      </c>
      <c r="L603" t="s">
        <v>8</v>
      </c>
      <c r="M603" t="s">
        <v>8</v>
      </c>
      <c r="N603" t="s">
        <v>8</v>
      </c>
      <c r="P603">
        <f t="shared" si="990"/>
        <v>-0.24503311258278201</v>
      </c>
      <c r="Q603">
        <f t="shared" si="991"/>
        <v>-3032033.045695371</v>
      </c>
      <c r="R603">
        <f t="shared" si="992"/>
        <v>-110995410.1284675</v>
      </c>
      <c r="S603">
        <f t="shared" si="993"/>
        <v>-1109.9541012846751</v>
      </c>
      <c r="T603">
        <f t="shared" si="994"/>
        <v>-1.109954101284675</v>
      </c>
    </row>
    <row r="604" spans="1:20" x14ac:dyDescent="0.25">
      <c r="A604" s="5">
        <v>43989</v>
      </c>
      <c r="B604">
        <v>0.11020000000000001</v>
      </c>
      <c r="C604">
        <v>0.129</v>
      </c>
      <c r="D604">
        <v>0.1089</v>
      </c>
      <c r="E604">
        <v>0.1249</v>
      </c>
      <c r="F604">
        <v>17151639.710000001</v>
      </c>
      <c r="G604">
        <v>13.34</v>
      </c>
      <c r="L604" t="s">
        <v>8</v>
      </c>
      <c r="M604" t="s">
        <v>8</v>
      </c>
      <c r="N604" t="s">
        <v>8</v>
      </c>
      <c r="P604">
        <f t="shared" si="990"/>
        <v>0.5920398009950244</v>
      </c>
      <c r="Q604">
        <f t="shared" si="991"/>
        <v>10154453.360646758</v>
      </c>
      <c r="R604">
        <f t="shared" si="992"/>
        <v>-107963377.08277214</v>
      </c>
      <c r="S604">
        <f t="shared" si="993"/>
        <v>-1079.6337708277213</v>
      </c>
      <c r="T604">
        <f t="shared" si="994"/>
        <v>-1.0796337708277213</v>
      </c>
    </row>
    <row r="605" spans="1:20" x14ac:dyDescent="0.25">
      <c r="A605" s="5">
        <v>43988</v>
      </c>
      <c r="B605">
        <v>0.1118</v>
      </c>
      <c r="C605">
        <v>0.11459999999999999</v>
      </c>
      <c r="D605">
        <v>0.10879999999999999</v>
      </c>
      <c r="E605">
        <v>0.1104</v>
      </c>
      <c r="F605">
        <v>6744429.29</v>
      </c>
      <c r="G605">
        <v>-1.25</v>
      </c>
      <c r="L605" t="s">
        <v>7</v>
      </c>
      <c r="M605" t="s">
        <v>8</v>
      </c>
      <c r="N605" t="s">
        <v>8</v>
      </c>
      <c r="P605">
        <f t="shared" si="990"/>
        <v>-0.44827586206896403</v>
      </c>
      <c r="Q605">
        <f t="shared" si="991"/>
        <v>-3023364.8541379208</v>
      </c>
      <c r="R605">
        <f t="shared" si="992"/>
        <v>-118117830.44341889</v>
      </c>
      <c r="S605">
        <f t="shared" si="993"/>
        <v>-1181.1783044341889</v>
      </c>
      <c r="T605">
        <f t="shared" si="994"/>
        <v>-1.181178304434189</v>
      </c>
    </row>
    <row r="606" spans="1:20" x14ac:dyDescent="0.25">
      <c r="A606" s="5">
        <v>43987</v>
      </c>
      <c r="B606">
        <v>0.1134</v>
      </c>
      <c r="C606">
        <v>0.12429999999999999</v>
      </c>
      <c r="D606">
        <v>0.11119999999999999</v>
      </c>
      <c r="E606">
        <v>0.1119</v>
      </c>
      <c r="F606">
        <v>10789667.65</v>
      </c>
      <c r="G606">
        <v>-1.32</v>
      </c>
      <c r="L606" t="s">
        <v>8</v>
      </c>
      <c r="M606" t="s">
        <v>8</v>
      </c>
      <c r="N606" t="s">
        <v>8</v>
      </c>
      <c r="P606">
        <f t="shared" si="990"/>
        <v>-0.89312977099236546</v>
      </c>
      <c r="Q606">
        <f t="shared" si="991"/>
        <v>-9636573.3973282352</v>
      </c>
      <c r="R606">
        <f t="shared" si="992"/>
        <v>-115094465.58928096</v>
      </c>
      <c r="S606">
        <f t="shared" si="993"/>
        <v>-1150.9446558928096</v>
      </c>
      <c r="T606">
        <f t="shared" si="994"/>
        <v>-1.1509446558928096</v>
      </c>
    </row>
    <row r="607" spans="1:20" x14ac:dyDescent="0.25">
      <c r="A607" s="5">
        <v>43986</v>
      </c>
      <c r="B607">
        <v>0.1101</v>
      </c>
      <c r="C607">
        <v>0.1158</v>
      </c>
      <c r="D607">
        <v>0.1053</v>
      </c>
      <c r="E607">
        <v>0.113</v>
      </c>
      <c r="F607">
        <v>10171374.43</v>
      </c>
      <c r="G607">
        <v>2.63</v>
      </c>
      <c r="L607" t="s">
        <v>8</v>
      </c>
      <c r="M607" t="s">
        <v>8</v>
      </c>
      <c r="N607" t="s">
        <v>8</v>
      </c>
      <c r="P607">
        <f t="shared" si="990"/>
        <v>0.46666666666666701</v>
      </c>
      <c r="Q607">
        <f t="shared" si="991"/>
        <v>4746641.4006666699</v>
      </c>
      <c r="R607">
        <f t="shared" si="992"/>
        <v>-105457892.19195272</v>
      </c>
      <c r="S607">
        <f t="shared" si="993"/>
        <v>-1054.5789219195271</v>
      </c>
      <c r="T607">
        <f t="shared" si="994"/>
        <v>-1.0545789219195272</v>
      </c>
    </row>
    <row r="608" spans="1:20" x14ac:dyDescent="0.25">
      <c r="A608" s="5">
        <v>43985</v>
      </c>
      <c r="B608">
        <v>0.1072</v>
      </c>
      <c r="C608">
        <v>0.1182</v>
      </c>
      <c r="D608">
        <v>0.10589999999999999</v>
      </c>
      <c r="E608">
        <v>0.1101</v>
      </c>
      <c r="F608">
        <v>14113694.51</v>
      </c>
      <c r="G608">
        <v>2.71</v>
      </c>
      <c r="L608" t="s">
        <v>7</v>
      </c>
      <c r="M608" t="s">
        <v>8</v>
      </c>
      <c r="N608" t="s">
        <v>8</v>
      </c>
      <c r="P608">
        <f t="shared" si="990"/>
        <v>-0.3170731707317061</v>
      </c>
      <c r="Q608">
        <f t="shared" si="991"/>
        <v>-4475073.8690243727</v>
      </c>
      <c r="R608">
        <f t="shared" si="992"/>
        <v>-110204533.59261939</v>
      </c>
      <c r="S608">
        <f t="shared" si="993"/>
        <v>-1102.045335926194</v>
      </c>
      <c r="T608">
        <f t="shared" si="994"/>
        <v>-1.1020453359261939</v>
      </c>
    </row>
    <row r="609" spans="1:20" x14ac:dyDescent="0.25">
      <c r="A609" s="5">
        <v>43984</v>
      </c>
      <c r="B609">
        <v>0.10199999999999999</v>
      </c>
      <c r="C609">
        <v>0.1188</v>
      </c>
      <c r="D609">
        <v>9.3600000000000003E-2</v>
      </c>
      <c r="E609">
        <v>0.1072</v>
      </c>
      <c r="F609">
        <v>17616194.210000001</v>
      </c>
      <c r="G609">
        <v>5.0999999999999996</v>
      </c>
      <c r="L609" t="s">
        <v>8</v>
      </c>
      <c r="M609" t="s">
        <v>8</v>
      </c>
      <c r="N609" t="s">
        <v>8</v>
      </c>
      <c r="P609">
        <f t="shared" si="990"/>
        <v>7.936507936507943E-2</v>
      </c>
      <c r="Q609">
        <f t="shared" si="991"/>
        <v>1398110.6515873028</v>
      </c>
      <c r="R609">
        <f t="shared" si="992"/>
        <v>-105729459.72359502</v>
      </c>
      <c r="S609">
        <f t="shared" si="993"/>
        <v>-1057.2945972359503</v>
      </c>
      <c r="T609">
        <f t="shared" si="994"/>
        <v>-1.0572945972359502</v>
      </c>
    </row>
    <row r="610" spans="1:20" x14ac:dyDescent="0.25">
      <c r="A610" s="5">
        <v>43983</v>
      </c>
      <c r="B610">
        <v>9.7799999999999998E-2</v>
      </c>
      <c r="C610">
        <v>0.10580000000000001</v>
      </c>
      <c r="D610">
        <v>0.09</v>
      </c>
      <c r="E610">
        <v>0.1021</v>
      </c>
      <c r="F610">
        <v>10594903.390000001</v>
      </c>
      <c r="G610">
        <v>4.4000000000000004</v>
      </c>
      <c r="L610" t="s">
        <v>7</v>
      </c>
      <c r="M610" t="s">
        <v>7</v>
      </c>
      <c r="N610" t="s">
        <v>8</v>
      </c>
      <c r="P610">
        <f t="shared" si="990"/>
        <v>0.53164556962025233</v>
      </c>
      <c r="Q610">
        <f t="shared" si="991"/>
        <v>5632733.4478480928</v>
      </c>
      <c r="R610">
        <f t="shared" si="992"/>
        <v>-107127570.37518233</v>
      </c>
      <c r="S610">
        <f t="shared" si="993"/>
        <v>-1071.2757037518234</v>
      </c>
      <c r="T610">
        <f t="shared" si="994"/>
        <v>-1.0712757037518235</v>
      </c>
    </row>
    <row r="611" spans="1:20" x14ac:dyDescent="0.25">
      <c r="A611" s="5">
        <v>43982</v>
      </c>
      <c r="B611">
        <v>0.10009999999999999</v>
      </c>
      <c r="C611">
        <v>0.107</v>
      </c>
      <c r="D611">
        <v>9.64E-2</v>
      </c>
      <c r="E611">
        <v>9.7900000000000001E-2</v>
      </c>
      <c r="F611">
        <v>12332013.869999999</v>
      </c>
      <c r="G611">
        <v>-2.2000000000000002</v>
      </c>
      <c r="L611" t="s">
        <v>8</v>
      </c>
      <c r="M611" t="s">
        <v>8</v>
      </c>
      <c r="N611" t="s">
        <v>8</v>
      </c>
      <c r="P611">
        <f t="shared" si="990"/>
        <v>-0.71698113207547143</v>
      </c>
      <c r="Q611">
        <f t="shared" si="991"/>
        <v>-8841821.2652830146</v>
      </c>
      <c r="R611">
        <f t="shared" si="992"/>
        <v>-112760303.82303043</v>
      </c>
      <c r="S611">
        <f t="shared" si="993"/>
        <v>-1127.6030382303043</v>
      </c>
      <c r="T611">
        <f t="shared" si="994"/>
        <v>-1.1276030382303042</v>
      </c>
    </row>
    <row r="612" spans="1:20" x14ac:dyDescent="0.25">
      <c r="A612" s="5">
        <v>43981</v>
      </c>
      <c r="B612">
        <v>9.6500000000000002E-2</v>
      </c>
      <c r="C612">
        <v>0.1009</v>
      </c>
      <c r="D612">
        <v>9.5500000000000002E-2</v>
      </c>
      <c r="E612">
        <v>0.1002</v>
      </c>
      <c r="F612">
        <v>8565131.3599999994</v>
      </c>
      <c r="G612">
        <v>3.83</v>
      </c>
      <c r="L612" t="s">
        <v>8</v>
      </c>
      <c r="M612" t="s">
        <v>7</v>
      </c>
      <c r="N612" t="s">
        <v>8</v>
      </c>
      <c r="P612">
        <f t="shared" si="990"/>
        <v>0.74074074074073859</v>
      </c>
      <c r="Q612">
        <f t="shared" si="991"/>
        <v>6344541.7481481293</v>
      </c>
      <c r="R612">
        <f t="shared" si="992"/>
        <v>-103918482.55774741</v>
      </c>
      <c r="S612">
        <f t="shared" si="993"/>
        <v>-1039.1848255774742</v>
      </c>
      <c r="T612">
        <f t="shared" si="994"/>
        <v>-1.039184825577474</v>
      </c>
    </row>
    <row r="613" spans="1:20" x14ac:dyDescent="0.25">
      <c r="A613" s="5">
        <v>43980</v>
      </c>
      <c r="B613">
        <v>9.4200000000000006E-2</v>
      </c>
      <c r="C613">
        <v>9.8599999999999993E-2</v>
      </c>
      <c r="D613">
        <v>9.3700000000000006E-2</v>
      </c>
      <c r="E613">
        <v>9.6600000000000005E-2</v>
      </c>
      <c r="F613">
        <v>7506668.9500000002</v>
      </c>
      <c r="G613">
        <v>2.5499999999999998</v>
      </c>
      <c r="L613" t="s">
        <v>8</v>
      </c>
      <c r="M613" t="s">
        <v>7</v>
      </c>
      <c r="N613" t="s">
        <v>8</v>
      </c>
      <c r="P613">
        <f t="shared" si="990"/>
        <v>0.183673469387758</v>
      </c>
      <c r="Q613">
        <f t="shared" si="991"/>
        <v>1378775.9295918585</v>
      </c>
      <c r="R613">
        <f t="shared" si="992"/>
        <v>-110263024.30589554</v>
      </c>
      <c r="S613">
        <f t="shared" si="993"/>
        <v>-1102.6302430589553</v>
      </c>
      <c r="T613">
        <f t="shared" si="994"/>
        <v>-1.1026302430589554</v>
      </c>
    </row>
    <row r="614" spans="1:20" x14ac:dyDescent="0.25">
      <c r="A614" s="5">
        <v>43979</v>
      </c>
      <c r="B614">
        <v>9.3899999999999997E-2</v>
      </c>
      <c r="C614">
        <v>9.69E-2</v>
      </c>
      <c r="D614">
        <v>9.1999999999999998E-2</v>
      </c>
      <c r="E614">
        <v>9.4100000000000003E-2</v>
      </c>
      <c r="F614">
        <v>7352636.3799999999</v>
      </c>
      <c r="G614">
        <v>0.21</v>
      </c>
      <c r="L614" t="s">
        <v>7</v>
      </c>
      <c r="M614" t="s">
        <v>7</v>
      </c>
      <c r="N614" t="s">
        <v>8</v>
      </c>
      <c r="P614">
        <f t="shared" si="990"/>
        <v>-0.14285714285714124</v>
      </c>
      <c r="Q614">
        <f t="shared" si="991"/>
        <v>-1050376.6257142739</v>
      </c>
      <c r="R614">
        <f t="shared" si="992"/>
        <v>-111641800.2354874</v>
      </c>
      <c r="S614">
        <f t="shared" si="993"/>
        <v>-1116.418002354874</v>
      </c>
      <c r="T614">
        <f t="shared" si="994"/>
        <v>-1.116418002354874</v>
      </c>
    </row>
    <row r="615" spans="1:20" x14ac:dyDescent="0.25">
      <c r="A615" s="5">
        <v>43978</v>
      </c>
      <c r="B615">
        <v>9.5600000000000004E-2</v>
      </c>
      <c r="C615">
        <v>0.1013</v>
      </c>
      <c r="D615">
        <v>9.2999999999999999E-2</v>
      </c>
      <c r="E615">
        <v>9.3899999999999997E-2</v>
      </c>
      <c r="F615">
        <v>9401681.3499999996</v>
      </c>
      <c r="G615">
        <v>-1.78</v>
      </c>
      <c r="L615" t="s">
        <v>8</v>
      </c>
      <c r="M615" t="s">
        <v>7</v>
      </c>
      <c r="N615" t="s">
        <v>8</v>
      </c>
      <c r="P615">
        <f t="shared" si="990"/>
        <v>-0.78313253012048245</v>
      </c>
      <c r="Q615">
        <f t="shared" si="991"/>
        <v>-7362762.5030120527</v>
      </c>
      <c r="R615">
        <f t="shared" si="992"/>
        <v>-110591423.60977313</v>
      </c>
      <c r="S615">
        <f t="shared" si="993"/>
        <v>-1105.9142360977312</v>
      </c>
      <c r="T615">
        <f t="shared" si="994"/>
        <v>-1.1059142360977312</v>
      </c>
    </row>
    <row r="616" spans="1:20" x14ac:dyDescent="0.25">
      <c r="A616" s="5">
        <v>43977</v>
      </c>
      <c r="B616">
        <v>0.10009999999999999</v>
      </c>
      <c r="C616">
        <v>0.1013</v>
      </c>
      <c r="D616">
        <v>9.1700000000000004E-2</v>
      </c>
      <c r="E616">
        <v>9.5699999999999993E-2</v>
      </c>
      <c r="F616">
        <v>9083536.5</v>
      </c>
      <c r="G616">
        <v>-4.4000000000000004</v>
      </c>
      <c r="L616" t="s">
        <v>7</v>
      </c>
      <c r="M616" t="s">
        <v>7</v>
      </c>
      <c r="N616" t="s">
        <v>8</v>
      </c>
      <c r="P616">
        <f t="shared" si="990"/>
        <v>-0.1666666666666686</v>
      </c>
      <c r="Q616">
        <f t="shared" si="991"/>
        <v>-1513922.7500000175</v>
      </c>
      <c r="R616">
        <f t="shared" si="992"/>
        <v>-103228661.10676108</v>
      </c>
      <c r="S616">
        <f t="shared" si="993"/>
        <v>-1032.2866110676109</v>
      </c>
      <c r="T616">
        <f t="shared" si="994"/>
        <v>-1.032286611067611</v>
      </c>
    </row>
    <row r="617" spans="1:20" x14ac:dyDescent="0.25">
      <c r="A617" s="5">
        <v>43976</v>
      </c>
      <c r="B617">
        <v>0.09</v>
      </c>
      <c r="C617">
        <v>0.10249999999999999</v>
      </c>
      <c r="D617">
        <v>8.7900000000000006E-2</v>
      </c>
      <c r="E617">
        <v>0.1003</v>
      </c>
      <c r="F617">
        <v>11657261.33</v>
      </c>
      <c r="G617">
        <v>11.44</v>
      </c>
      <c r="L617" t="s">
        <v>8</v>
      </c>
      <c r="M617" t="s">
        <v>7</v>
      </c>
      <c r="N617" t="s">
        <v>8</v>
      </c>
      <c r="P617">
        <f t="shared" si="990"/>
        <v>0.69863013698630194</v>
      </c>
      <c r="Q617">
        <f t="shared" si="991"/>
        <v>8144114.0798630202</v>
      </c>
      <c r="R617">
        <f t="shared" si="992"/>
        <v>-101714738.35676107</v>
      </c>
      <c r="S617">
        <f t="shared" si="993"/>
        <v>-1017.1473835676106</v>
      </c>
      <c r="T617">
        <f t="shared" si="994"/>
        <v>-1.0171473835676106</v>
      </c>
    </row>
    <row r="618" spans="1:20" x14ac:dyDescent="0.25">
      <c r="A618" s="5">
        <v>43975</v>
      </c>
      <c r="B618">
        <v>9.3299999999999994E-2</v>
      </c>
      <c r="C618">
        <v>9.9000000000000005E-2</v>
      </c>
      <c r="D618">
        <v>8.9700000000000002E-2</v>
      </c>
      <c r="E618">
        <v>0.09</v>
      </c>
      <c r="F618">
        <v>12134434.130000001</v>
      </c>
      <c r="G618">
        <v>-3.54</v>
      </c>
      <c r="L618" t="s">
        <v>8</v>
      </c>
      <c r="M618" t="s">
        <v>7</v>
      </c>
      <c r="N618" t="s">
        <v>8</v>
      </c>
      <c r="P618">
        <f t="shared" si="990"/>
        <v>-0.9354838709677431</v>
      </c>
      <c r="Q618">
        <f t="shared" si="991"/>
        <v>-11351567.411935499</v>
      </c>
      <c r="R618">
        <f t="shared" si="992"/>
        <v>-109858852.43662409</v>
      </c>
      <c r="S618">
        <f t="shared" si="993"/>
        <v>-1098.588524366241</v>
      </c>
      <c r="T618">
        <f t="shared" si="994"/>
        <v>-1.098588524366241</v>
      </c>
    </row>
    <row r="619" spans="1:20" x14ac:dyDescent="0.25">
      <c r="A619" s="5">
        <v>43974</v>
      </c>
      <c r="B619">
        <v>9.4299999999999995E-2</v>
      </c>
      <c r="C619">
        <v>9.74E-2</v>
      </c>
      <c r="D619">
        <v>9.2299999999999993E-2</v>
      </c>
      <c r="E619">
        <v>9.3299999999999994E-2</v>
      </c>
      <c r="F619">
        <v>10325564.57</v>
      </c>
      <c r="G619">
        <v>-1.06</v>
      </c>
      <c r="L619" t="s">
        <v>8</v>
      </c>
      <c r="M619" t="s">
        <v>7</v>
      </c>
      <c r="N619" t="s">
        <v>8</v>
      </c>
      <c r="P619">
        <f t="shared" si="990"/>
        <v>-0.60784313725490213</v>
      </c>
      <c r="Q619">
        <f t="shared" si="991"/>
        <v>-6276323.5621568644</v>
      </c>
      <c r="R619">
        <f t="shared" si="992"/>
        <v>-98507285.024688601</v>
      </c>
      <c r="S619">
        <f t="shared" si="993"/>
        <v>-985.07285024688599</v>
      </c>
      <c r="T619">
        <f t="shared" si="994"/>
        <v>-0.98507285024688596</v>
      </c>
    </row>
    <row r="620" spans="1:20" x14ac:dyDescent="0.25">
      <c r="A620" s="5">
        <v>43973</v>
      </c>
      <c r="B620">
        <v>9.1899999999999996E-2</v>
      </c>
      <c r="C620">
        <v>0.104</v>
      </c>
      <c r="D620">
        <v>9.0499999999999997E-2</v>
      </c>
      <c r="E620">
        <v>9.4700000000000006E-2</v>
      </c>
      <c r="F620">
        <v>22417721.789999999</v>
      </c>
      <c r="G620">
        <v>3.05</v>
      </c>
      <c r="L620" t="s">
        <v>7</v>
      </c>
      <c r="M620" t="s">
        <v>7</v>
      </c>
      <c r="N620" t="s">
        <v>8</v>
      </c>
      <c r="P620">
        <f t="shared" si="990"/>
        <v>-0.37777777777777632</v>
      </c>
      <c r="Q620">
        <f t="shared" si="991"/>
        <v>-8468917.1206666343</v>
      </c>
      <c r="R620">
        <f t="shared" si="992"/>
        <v>-92230961.462531731</v>
      </c>
      <c r="S620">
        <f t="shared" si="993"/>
        <v>-922.30961462531729</v>
      </c>
      <c r="T620">
        <f t="shared" si="994"/>
        <v>-0.92230961462531724</v>
      </c>
    </row>
    <row r="621" spans="1:20" x14ac:dyDescent="0.25">
      <c r="A621" s="5">
        <v>43972</v>
      </c>
      <c r="B621">
        <v>8.48E-2</v>
      </c>
      <c r="C621">
        <v>0.108</v>
      </c>
      <c r="D621">
        <v>7.8799999999999995E-2</v>
      </c>
      <c r="E621">
        <v>9.2200000000000004E-2</v>
      </c>
      <c r="F621">
        <v>39741605.799999997</v>
      </c>
      <c r="G621">
        <v>8.73</v>
      </c>
      <c r="L621" t="s">
        <v>8</v>
      </c>
      <c r="M621" t="s">
        <v>8</v>
      </c>
      <c r="N621" t="s">
        <v>8</v>
      </c>
      <c r="P621">
        <f t="shared" si="990"/>
        <v>-8.2191780821917304E-2</v>
      </c>
      <c r="Q621">
        <f t="shared" si="991"/>
        <v>-3266433.3534246371</v>
      </c>
      <c r="R621">
        <f t="shared" si="992"/>
        <v>-83762044.341865093</v>
      </c>
      <c r="S621">
        <f t="shared" si="993"/>
        <v>-837.62044341865089</v>
      </c>
      <c r="T621">
        <f t="shared" si="994"/>
        <v>-0.83762044341865094</v>
      </c>
    </row>
    <row r="622" spans="1:20" x14ac:dyDescent="0.25">
      <c r="A622" s="5">
        <v>43971</v>
      </c>
      <c r="B622">
        <v>8.72E-2</v>
      </c>
      <c r="C622">
        <v>9.0399999999999994E-2</v>
      </c>
      <c r="D622">
        <v>8.3500000000000005E-2</v>
      </c>
      <c r="E622">
        <v>8.48E-2</v>
      </c>
      <c r="F622">
        <v>10659949.710000001</v>
      </c>
      <c r="G622">
        <v>-2.75</v>
      </c>
      <c r="L622" t="s">
        <v>8</v>
      </c>
      <c r="M622" t="s">
        <v>8</v>
      </c>
      <c r="N622" t="s">
        <v>7</v>
      </c>
      <c r="P622">
        <f t="shared" si="990"/>
        <v>-0.62318840579710211</v>
      </c>
      <c r="Q622">
        <f t="shared" si="991"/>
        <v>-6643157.0656521814</v>
      </c>
      <c r="R622">
        <f t="shared" si="992"/>
        <v>-80495610.988440454</v>
      </c>
      <c r="S622">
        <f t="shared" si="993"/>
        <v>-804.95610988440455</v>
      </c>
      <c r="T622">
        <f t="shared" si="994"/>
        <v>-0.80495610988440458</v>
      </c>
    </row>
    <row r="623" spans="1:20" x14ac:dyDescent="0.25">
      <c r="A623" s="5">
        <v>43970</v>
      </c>
      <c r="B623">
        <v>8.4099999999999994E-2</v>
      </c>
      <c r="C623">
        <v>8.8999999999999996E-2</v>
      </c>
      <c r="D623">
        <v>8.3299999999999999E-2</v>
      </c>
      <c r="E623">
        <v>8.6999999999999994E-2</v>
      </c>
      <c r="F623">
        <v>9004063.1400000006</v>
      </c>
      <c r="G623">
        <v>3.45</v>
      </c>
      <c r="L623" t="s">
        <v>8</v>
      </c>
      <c r="M623" t="s">
        <v>8</v>
      </c>
      <c r="N623" t="s">
        <v>7</v>
      </c>
      <c r="P623">
        <f t="shared" si="990"/>
        <v>0.2982456140350867</v>
      </c>
      <c r="Q623">
        <f t="shared" si="991"/>
        <v>2685422.339999991</v>
      </c>
      <c r="R623">
        <f t="shared" si="992"/>
        <v>-73852453.922788277</v>
      </c>
      <c r="S623">
        <f t="shared" si="993"/>
        <v>-738.52453922788277</v>
      </c>
      <c r="T623">
        <f t="shared" si="994"/>
        <v>-0.73852453922788275</v>
      </c>
    </row>
    <row r="624" spans="1:20" x14ac:dyDescent="0.25">
      <c r="A624" s="5">
        <v>43969</v>
      </c>
      <c r="B624">
        <v>8.3299999999999999E-2</v>
      </c>
      <c r="C624">
        <v>8.5199999999999998E-2</v>
      </c>
      <c r="D624">
        <v>8.2500000000000004E-2</v>
      </c>
      <c r="E624">
        <v>8.4099999999999994E-2</v>
      </c>
      <c r="F624">
        <v>6424954.4500000002</v>
      </c>
      <c r="G624">
        <v>0.96</v>
      </c>
      <c r="L624" t="s">
        <v>8</v>
      </c>
      <c r="M624" t="s">
        <v>8</v>
      </c>
      <c r="N624" t="s">
        <v>7</v>
      </c>
      <c r="P624">
        <f t="shared" si="990"/>
        <v>0.18518518518518062</v>
      </c>
      <c r="Q624">
        <f t="shared" si="991"/>
        <v>1189806.3796296003</v>
      </c>
      <c r="R624">
        <f t="shared" si="992"/>
        <v>-76537876.262788266</v>
      </c>
      <c r="S624">
        <f t="shared" si="993"/>
        <v>-765.37876262788268</v>
      </c>
      <c r="T624">
        <f t="shared" si="994"/>
        <v>-0.76537876262788263</v>
      </c>
    </row>
    <row r="625" spans="1:20" x14ac:dyDescent="0.25">
      <c r="A625" s="5">
        <v>43968</v>
      </c>
      <c r="B625">
        <v>8.6099999999999996E-2</v>
      </c>
      <c r="C625">
        <v>8.6300000000000002E-2</v>
      </c>
      <c r="D625">
        <v>8.3099999999999993E-2</v>
      </c>
      <c r="E625">
        <v>8.3299999999999999E-2</v>
      </c>
      <c r="F625">
        <v>9246012.5099999998</v>
      </c>
      <c r="G625">
        <v>-3.25</v>
      </c>
      <c r="L625" t="s">
        <v>8</v>
      </c>
      <c r="M625" t="s">
        <v>8</v>
      </c>
      <c r="N625" t="s">
        <v>7</v>
      </c>
      <c r="P625">
        <f t="shared" si="990"/>
        <v>-0.87499999999999678</v>
      </c>
      <c r="Q625">
        <f t="shared" si="991"/>
        <v>-8090260.9462499702</v>
      </c>
      <c r="R625">
        <f t="shared" si="992"/>
        <v>-77727682.642417863</v>
      </c>
      <c r="S625">
        <f t="shared" si="993"/>
        <v>-777.27682642417858</v>
      </c>
      <c r="T625">
        <f t="shared" si="994"/>
        <v>-0.77727682642417861</v>
      </c>
    </row>
    <row r="626" spans="1:20" x14ac:dyDescent="0.25">
      <c r="A626" s="5">
        <v>43967</v>
      </c>
      <c r="B626">
        <v>8.1000000000000003E-2</v>
      </c>
      <c r="C626">
        <v>8.6999999999999994E-2</v>
      </c>
      <c r="D626">
        <v>8.0399999999999999E-2</v>
      </c>
      <c r="E626">
        <v>8.6199999999999999E-2</v>
      </c>
      <c r="F626">
        <v>7855927.3300000001</v>
      </c>
      <c r="G626">
        <v>6.42</v>
      </c>
      <c r="L626" t="s">
        <v>7</v>
      </c>
      <c r="M626" t="s">
        <v>8</v>
      </c>
      <c r="N626" t="s">
        <v>7</v>
      </c>
      <c r="P626">
        <f t="shared" si="990"/>
        <v>0.7575757575757589</v>
      </c>
      <c r="Q626">
        <f t="shared" si="991"/>
        <v>5951460.0984848589</v>
      </c>
      <c r="R626">
        <f t="shared" si="992"/>
        <v>-69637421.696167886</v>
      </c>
      <c r="S626">
        <f t="shared" si="993"/>
        <v>-696.37421696167883</v>
      </c>
      <c r="T626">
        <f t="shared" si="994"/>
        <v>-0.69637421696167878</v>
      </c>
    </row>
    <row r="627" spans="1:20" x14ac:dyDescent="0.25">
      <c r="A627" s="5">
        <v>43966</v>
      </c>
      <c r="B627">
        <v>8.2100000000000006E-2</v>
      </c>
      <c r="C627">
        <v>8.5900000000000004E-2</v>
      </c>
      <c r="D627">
        <v>0.08</v>
      </c>
      <c r="E627">
        <v>8.1000000000000003E-2</v>
      </c>
      <c r="F627">
        <v>9102193.8300000001</v>
      </c>
      <c r="G627">
        <v>-1.34</v>
      </c>
      <c r="L627" t="s">
        <v>8</v>
      </c>
      <c r="M627" t="s">
        <v>8</v>
      </c>
      <c r="N627" t="s">
        <v>7</v>
      </c>
      <c r="P627">
        <f t="shared" si="990"/>
        <v>-0.66101694915254217</v>
      </c>
      <c r="Q627">
        <f t="shared" si="991"/>
        <v>-6016704.3961016927</v>
      </c>
      <c r="R627">
        <f t="shared" si="992"/>
        <v>-75588881.794652745</v>
      </c>
      <c r="S627">
        <f t="shared" si="993"/>
        <v>-755.88881794652741</v>
      </c>
      <c r="T627">
        <f t="shared" si="994"/>
        <v>-0.7558888179465274</v>
      </c>
    </row>
    <row r="628" spans="1:20" x14ac:dyDescent="0.25">
      <c r="A628" s="5">
        <v>43965</v>
      </c>
      <c r="B628">
        <v>8.5300000000000001E-2</v>
      </c>
      <c r="C628">
        <v>8.6499999999999994E-2</v>
      </c>
      <c r="D628">
        <v>7.9899999999999999E-2</v>
      </c>
      <c r="E628">
        <v>8.2000000000000003E-2</v>
      </c>
      <c r="F628">
        <v>8407004.4600000009</v>
      </c>
      <c r="G628">
        <v>-3.87</v>
      </c>
      <c r="L628" t="s">
        <v>7</v>
      </c>
      <c r="M628" t="s">
        <v>8</v>
      </c>
      <c r="N628" t="s">
        <v>7</v>
      </c>
      <c r="P628">
        <f t="shared" si="990"/>
        <v>-0.3636363636363617</v>
      </c>
      <c r="Q628">
        <f t="shared" si="991"/>
        <v>-3057092.5309090749</v>
      </c>
      <c r="R628">
        <f t="shared" si="992"/>
        <v>-69572177.398551047</v>
      </c>
      <c r="S628">
        <f t="shared" si="993"/>
        <v>-695.72177398551048</v>
      </c>
      <c r="T628">
        <f t="shared" si="994"/>
        <v>-0.69572177398551049</v>
      </c>
    </row>
    <row r="629" spans="1:20" x14ac:dyDescent="0.25">
      <c r="A629" s="5">
        <v>43964</v>
      </c>
      <c r="B629">
        <v>8.1500000000000003E-2</v>
      </c>
      <c r="C629">
        <v>8.6300000000000002E-2</v>
      </c>
      <c r="D629">
        <v>7.9600000000000004E-2</v>
      </c>
      <c r="E629">
        <v>8.5199999999999998E-2</v>
      </c>
      <c r="F629">
        <v>9442030.3100000005</v>
      </c>
      <c r="G629">
        <v>4.54</v>
      </c>
      <c r="L629" t="s">
        <v>8</v>
      </c>
      <c r="M629" t="s">
        <v>8</v>
      </c>
      <c r="N629" t="s">
        <v>7</v>
      </c>
      <c r="P629">
        <f t="shared" si="990"/>
        <v>0.67164179104477484</v>
      </c>
      <c r="Q629">
        <f t="shared" si="991"/>
        <v>6341662.1485074507</v>
      </c>
      <c r="R629">
        <f t="shared" si="992"/>
        <v>-66515084.867641978</v>
      </c>
      <c r="S629">
        <f t="shared" si="993"/>
        <v>-665.15084867641974</v>
      </c>
      <c r="T629">
        <f t="shared" si="994"/>
        <v>-0.66515084867641971</v>
      </c>
    </row>
    <row r="630" spans="1:20" x14ac:dyDescent="0.25">
      <c r="A630" s="5">
        <v>43963</v>
      </c>
      <c r="B630">
        <v>7.5600000000000001E-2</v>
      </c>
      <c r="C630">
        <v>8.2600000000000007E-2</v>
      </c>
      <c r="D630">
        <v>7.5600000000000001E-2</v>
      </c>
      <c r="E630">
        <v>8.14E-2</v>
      </c>
      <c r="F630">
        <v>8573178.3800000008</v>
      </c>
      <c r="G630">
        <v>7.67</v>
      </c>
      <c r="L630" t="s">
        <v>8</v>
      </c>
      <c r="M630" t="s">
        <v>7</v>
      </c>
      <c r="N630" t="s">
        <v>7</v>
      </c>
      <c r="P630">
        <f t="shared" si="990"/>
        <v>0.65714285714285559</v>
      </c>
      <c r="Q630">
        <f t="shared" si="991"/>
        <v>5633802.9354285588</v>
      </c>
      <c r="R630">
        <f t="shared" si="992"/>
        <v>-72856747.016149431</v>
      </c>
      <c r="S630">
        <f t="shared" si="993"/>
        <v>-728.56747016149427</v>
      </c>
      <c r="T630">
        <f t="shared" si="994"/>
        <v>-0.72856747016149426</v>
      </c>
    </row>
    <row r="631" spans="1:20" x14ac:dyDescent="0.25">
      <c r="A631" s="5">
        <v>43962</v>
      </c>
      <c r="B631">
        <v>7.7799999999999994E-2</v>
      </c>
      <c r="C631">
        <v>7.9399999999999998E-2</v>
      </c>
      <c r="D631">
        <v>7.1099999999999997E-2</v>
      </c>
      <c r="E631">
        <v>7.5700000000000003E-2</v>
      </c>
      <c r="F631">
        <v>9668466.2100000009</v>
      </c>
      <c r="G631">
        <v>-2.7</v>
      </c>
      <c r="L631" t="s">
        <v>7</v>
      </c>
      <c r="M631" t="s">
        <v>7</v>
      </c>
      <c r="N631" t="s">
        <v>7</v>
      </c>
      <c r="P631">
        <f t="shared" si="990"/>
        <v>0.10843373493976044</v>
      </c>
      <c r="Q631">
        <f t="shared" si="991"/>
        <v>1048387.9022891703</v>
      </c>
      <c r="R631">
        <f t="shared" si="992"/>
        <v>-78490549.951577991</v>
      </c>
      <c r="S631">
        <f t="shared" si="993"/>
        <v>-784.90549951577987</v>
      </c>
      <c r="T631">
        <f t="shared" si="994"/>
        <v>-0.78490549951577981</v>
      </c>
    </row>
    <row r="632" spans="1:20" x14ac:dyDescent="0.25">
      <c r="A632" s="5">
        <v>43961</v>
      </c>
      <c r="B632">
        <v>8.9499999999999996E-2</v>
      </c>
      <c r="C632">
        <v>8.9499999999999996E-2</v>
      </c>
      <c r="D632">
        <v>7.3599999999999999E-2</v>
      </c>
      <c r="E632">
        <v>7.7799999999999994E-2</v>
      </c>
      <c r="F632">
        <v>12090727.029999999</v>
      </c>
      <c r="G632">
        <v>-13.07</v>
      </c>
      <c r="L632" t="s">
        <v>7</v>
      </c>
      <c r="M632" t="s">
        <v>7</v>
      </c>
      <c r="N632" t="s">
        <v>7</v>
      </c>
      <c r="P632">
        <f t="shared" si="990"/>
        <v>-0.47169811320754768</v>
      </c>
      <c r="Q632">
        <f t="shared" si="991"/>
        <v>-5703173.1273584962</v>
      </c>
      <c r="R632">
        <f t="shared" si="992"/>
        <v>-79538937.853867158</v>
      </c>
      <c r="S632">
        <f t="shared" si="993"/>
        <v>-795.38937853867162</v>
      </c>
      <c r="T632">
        <f t="shared" si="994"/>
        <v>-0.79538937853867164</v>
      </c>
    </row>
    <row r="633" spans="1:20" x14ac:dyDescent="0.25">
      <c r="A633" s="5">
        <v>43960</v>
      </c>
      <c r="B633">
        <v>9.2200000000000004E-2</v>
      </c>
      <c r="C633">
        <v>9.3600000000000003E-2</v>
      </c>
      <c r="D633">
        <v>8.8800000000000004E-2</v>
      </c>
      <c r="E633">
        <v>8.9399999999999993E-2</v>
      </c>
      <c r="F633">
        <v>10397496.560000001</v>
      </c>
      <c r="G633">
        <v>-3.04</v>
      </c>
      <c r="L633" t="s">
        <v>7</v>
      </c>
      <c r="M633" t="s">
        <v>8</v>
      </c>
      <c r="N633" t="s">
        <v>8</v>
      </c>
      <c r="P633">
        <f t="shared" si="990"/>
        <v>-0.75000000000000433</v>
      </c>
      <c r="Q633">
        <f t="shared" si="991"/>
        <v>-7798122.4200000456</v>
      </c>
      <c r="R633">
        <f t="shared" si="992"/>
        <v>-73835764.726508662</v>
      </c>
      <c r="S633">
        <f t="shared" si="993"/>
        <v>-738.3576472650866</v>
      </c>
      <c r="T633">
        <f t="shared" si="994"/>
        <v>-0.73835764726508657</v>
      </c>
    </row>
    <row r="634" spans="1:20" x14ac:dyDescent="0.25">
      <c r="A634" s="5">
        <v>43959</v>
      </c>
      <c r="B634">
        <v>8.5599999999999996E-2</v>
      </c>
      <c r="C634">
        <v>9.5100000000000004E-2</v>
      </c>
      <c r="D634">
        <v>8.5500000000000007E-2</v>
      </c>
      <c r="E634">
        <v>9.2299999999999993E-2</v>
      </c>
      <c r="F634">
        <v>12602065</v>
      </c>
      <c r="G634">
        <v>7.83</v>
      </c>
      <c r="L634" t="s">
        <v>8</v>
      </c>
      <c r="M634" t="s">
        <v>8</v>
      </c>
      <c r="N634" t="s">
        <v>8</v>
      </c>
      <c r="P634">
        <f t="shared" si="990"/>
        <v>0.41666666666666424</v>
      </c>
      <c r="Q634">
        <f t="shared" si="991"/>
        <v>5250860.4166666362</v>
      </c>
      <c r="R634">
        <f t="shared" si="992"/>
        <v>-66037642.306508623</v>
      </c>
      <c r="S634">
        <f t="shared" si="993"/>
        <v>-660.37642306508621</v>
      </c>
      <c r="T634">
        <f t="shared" si="994"/>
        <v>-0.66037642306508626</v>
      </c>
    </row>
    <row r="635" spans="1:20" x14ac:dyDescent="0.25">
      <c r="A635" s="5">
        <v>43958</v>
      </c>
      <c r="B635">
        <v>8.5500000000000007E-2</v>
      </c>
      <c r="C635">
        <v>8.8599999999999998E-2</v>
      </c>
      <c r="D635">
        <v>8.43E-2</v>
      </c>
      <c r="E635">
        <v>8.5699999999999998E-2</v>
      </c>
      <c r="F635">
        <v>10004755.699999999</v>
      </c>
      <c r="G635">
        <v>0.23</v>
      </c>
      <c r="L635" t="s">
        <v>7</v>
      </c>
      <c r="M635" t="s">
        <v>8</v>
      </c>
      <c r="N635" t="s">
        <v>8</v>
      </c>
      <c r="P635">
        <f t="shared" si="990"/>
        <v>-0.34883720930232603</v>
      </c>
      <c r="Q635">
        <f t="shared" si="991"/>
        <v>-3490031.0581395393</v>
      </c>
      <c r="R635">
        <f t="shared" si="992"/>
        <v>-71288502.723175257</v>
      </c>
      <c r="S635">
        <f t="shared" si="993"/>
        <v>-712.88502723175259</v>
      </c>
      <c r="T635">
        <f t="shared" si="994"/>
        <v>-0.71288502723175262</v>
      </c>
    </row>
    <row r="636" spans="1:20" x14ac:dyDescent="0.25">
      <c r="A636" s="5">
        <v>43957</v>
      </c>
      <c r="B636">
        <v>8.9899999999999994E-2</v>
      </c>
      <c r="C636">
        <v>9.1399999999999995E-2</v>
      </c>
      <c r="D636">
        <v>8.5199999999999998E-2</v>
      </c>
      <c r="E636">
        <v>8.5500000000000007E-2</v>
      </c>
      <c r="F636">
        <v>11709051.32</v>
      </c>
      <c r="G636">
        <v>-4.8899999999999997</v>
      </c>
      <c r="L636" t="s">
        <v>7</v>
      </c>
      <c r="M636" t="s">
        <v>8</v>
      </c>
      <c r="N636" t="s">
        <v>8</v>
      </c>
      <c r="P636">
        <f t="shared" si="990"/>
        <v>-0.9032258064516101</v>
      </c>
      <c r="Q636">
        <f t="shared" si="991"/>
        <v>-10575917.32129029</v>
      </c>
      <c r="R636">
        <f t="shared" si="992"/>
        <v>-67798471.665035725</v>
      </c>
      <c r="S636">
        <f t="shared" si="993"/>
        <v>-677.9847166503572</v>
      </c>
      <c r="T636">
        <f t="shared" si="994"/>
        <v>-0.6779847166503572</v>
      </c>
    </row>
    <row r="637" spans="1:20" x14ac:dyDescent="0.25">
      <c r="A637" s="5">
        <v>43956</v>
      </c>
      <c r="B637">
        <v>9.4100000000000003E-2</v>
      </c>
      <c r="C637">
        <v>9.7000000000000003E-2</v>
      </c>
      <c r="D637">
        <v>8.7999999999999995E-2</v>
      </c>
      <c r="E637">
        <v>9.01E-2</v>
      </c>
      <c r="F637">
        <v>11810962.58</v>
      </c>
      <c r="G637">
        <v>-4.25</v>
      </c>
      <c r="L637" t="s">
        <v>8</v>
      </c>
      <c r="M637" t="s">
        <v>8</v>
      </c>
      <c r="N637" t="s">
        <v>8</v>
      </c>
      <c r="P637">
        <f t="shared" si="990"/>
        <v>-0.53333333333333277</v>
      </c>
      <c r="Q637">
        <f t="shared" si="991"/>
        <v>-6299180.0426666597</v>
      </c>
      <c r="R637">
        <f t="shared" si="992"/>
        <v>-57222554.343745433</v>
      </c>
      <c r="S637">
        <f t="shared" si="993"/>
        <v>-572.22554343745435</v>
      </c>
      <c r="T637">
        <f t="shared" si="994"/>
        <v>-0.57222554343745435</v>
      </c>
    </row>
    <row r="638" spans="1:20" x14ac:dyDescent="0.25">
      <c r="A638" s="5">
        <v>43955</v>
      </c>
      <c r="B638">
        <v>8.6800000000000002E-2</v>
      </c>
      <c r="C638">
        <v>9.6500000000000002E-2</v>
      </c>
      <c r="D638">
        <v>8.1000000000000003E-2</v>
      </c>
      <c r="E638">
        <v>9.4100000000000003E-2</v>
      </c>
      <c r="F638">
        <v>17016075.870000001</v>
      </c>
      <c r="G638">
        <v>8.41</v>
      </c>
      <c r="L638" t="s">
        <v>7</v>
      </c>
      <c r="M638" t="s">
        <v>7</v>
      </c>
      <c r="N638" t="s">
        <v>8</v>
      </c>
      <c r="P638">
        <f t="shared" si="990"/>
        <v>0.69032258064516139</v>
      </c>
      <c r="Q638">
        <f t="shared" si="991"/>
        <v>11746581.407032261</v>
      </c>
      <c r="R638">
        <f t="shared" si="992"/>
        <v>-50923374.301078774</v>
      </c>
      <c r="S638">
        <f t="shared" si="993"/>
        <v>-509.23374301078775</v>
      </c>
      <c r="T638">
        <f t="shared" si="994"/>
        <v>-0.50923374301078772</v>
      </c>
    </row>
    <row r="639" spans="1:20" x14ac:dyDescent="0.25">
      <c r="A639" s="5">
        <v>43954</v>
      </c>
      <c r="B639">
        <v>9.2100000000000001E-2</v>
      </c>
      <c r="C639">
        <v>9.2499999999999999E-2</v>
      </c>
      <c r="D639">
        <v>8.5900000000000004E-2</v>
      </c>
      <c r="E639">
        <v>8.6699999999999999E-2</v>
      </c>
      <c r="F639">
        <v>13158379.949999999</v>
      </c>
      <c r="G639">
        <v>-5.86</v>
      </c>
      <c r="L639" t="s">
        <v>7</v>
      </c>
      <c r="M639" t="s">
        <v>8</v>
      </c>
      <c r="N639" t="s">
        <v>8</v>
      </c>
      <c r="P639">
        <f t="shared" si="990"/>
        <v>-0.7575757575757589</v>
      </c>
      <c r="Q639">
        <f t="shared" si="991"/>
        <v>-9968469.6590909269</v>
      </c>
      <c r="R639">
        <f t="shared" si="992"/>
        <v>-62669955.708111033</v>
      </c>
      <c r="S639">
        <f t="shared" si="993"/>
        <v>-626.69955708111036</v>
      </c>
      <c r="T639">
        <f t="shared" si="994"/>
        <v>-0.62669955708111036</v>
      </c>
    </row>
    <row r="640" spans="1:20" x14ac:dyDescent="0.25">
      <c r="A640" s="5">
        <v>43953</v>
      </c>
      <c r="B640">
        <v>9.3100000000000002E-2</v>
      </c>
      <c r="C640">
        <v>9.3600000000000003E-2</v>
      </c>
      <c r="D640">
        <v>8.7999999999999995E-2</v>
      </c>
      <c r="E640">
        <v>9.2200000000000004E-2</v>
      </c>
      <c r="F640">
        <v>11275786.25</v>
      </c>
      <c r="G640">
        <v>-0.97</v>
      </c>
      <c r="L640" t="s">
        <v>7</v>
      </c>
      <c r="M640" t="s">
        <v>8</v>
      </c>
      <c r="N640" t="s">
        <v>8</v>
      </c>
      <c r="P640">
        <f t="shared" si="990"/>
        <v>0.50000000000000122</v>
      </c>
      <c r="Q640">
        <f t="shared" si="991"/>
        <v>5637893.125000014</v>
      </c>
      <c r="R640">
        <f t="shared" si="992"/>
        <v>-52701486.049020104</v>
      </c>
      <c r="S640">
        <f t="shared" si="993"/>
        <v>-527.01486049020104</v>
      </c>
      <c r="T640">
        <f t="shared" si="994"/>
        <v>-0.52701486049020108</v>
      </c>
    </row>
    <row r="641" spans="1:20" x14ac:dyDescent="0.25">
      <c r="A641" s="5">
        <v>43952</v>
      </c>
      <c r="B641">
        <v>8.1900000000000001E-2</v>
      </c>
      <c r="C641">
        <v>9.9900000000000003E-2</v>
      </c>
      <c r="D641">
        <v>8.1600000000000006E-2</v>
      </c>
      <c r="E641">
        <v>9.35E-2</v>
      </c>
      <c r="F641">
        <v>23166951.109999999</v>
      </c>
      <c r="G641">
        <v>14.16</v>
      </c>
      <c r="L641" t="s">
        <v>8</v>
      </c>
      <c r="M641" t="s">
        <v>8</v>
      </c>
      <c r="N641" t="s">
        <v>8</v>
      </c>
      <c r="P641">
        <f t="shared" si="990"/>
        <v>0.30054644808743125</v>
      </c>
      <c r="Q641">
        <f t="shared" si="991"/>
        <v>6962744.8691256726</v>
      </c>
      <c r="R641">
        <f t="shared" si="992"/>
        <v>-58339379.174020119</v>
      </c>
      <c r="S641">
        <f t="shared" si="993"/>
        <v>-583.39379174020121</v>
      </c>
      <c r="T641">
        <f t="shared" si="994"/>
        <v>-0.58339379174020123</v>
      </c>
    </row>
    <row r="642" spans="1:20" x14ac:dyDescent="0.25">
      <c r="A642" s="5">
        <v>43951</v>
      </c>
      <c r="B642">
        <v>8.5900000000000004E-2</v>
      </c>
      <c r="C642">
        <v>8.8999999999999996E-2</v>
      </c>
      <c r="D642">
        <v>7.9000000000000001E-2</v>
      </c>
      <c r="E642">
        <v>8.1699999999999995E-2</v>
      </c>
      <c r="F642">
        <v>12481226.640000001</v>
      </c>
      <c r="G642">
        <v>-4.8899999999999997</v>
      </c>
      <c r="L642" t="s">
        <v>7</v>
      </c>
      <c r="M642" t="s">
        <v>7</v>
      </c>
      <c r="N642" t="s">
        <v>8</v>
      </c>
      <c r="P642">
        <f t="shared" si="990"/>
        <v>-0.46000000000000091</v>
      </c>
      <c r="Q642">
        <f t="shared" si="991"/>
        <v>-5741364.2544000112</v>
      </c>
      <c r="R642">
        <f t="shared" si="992"/>
        <v>-65302124.043145791</v>
      </c>
      <c r="S642">
        <f t="shared" si="993"/>
        <v>-653.02124043145795</v>
      </c>
      <c r="T642">
        <f t="shared" si="994"/>
        <v>-0.65302124043145793</v>
      </c>
    </row>
    <row r="643" spans="1:20" x14ac:dyDescent="0.25">
      <c r="A643" s="5">
        <v>43950</v>
      </c>
      <c r="B643">
        <v>8.2600000000000007E-2</v>
      </c>
      <c r="C643">
        <v>8.9800000000000005E-2</v>
      </c>
      <c r="D643">
        <v>8.1900000000000001E-2</v>
      </c>
      <c r="E643">
        <v>8.5900000000000004E-2</v>
      </c>
      <c r="F643">
        <v>13730385.5</v>
      </c>
      <c r="G643">
        <v>4</v>
      </c>
      <c r="L643" t="s">
        <v>8</v>
      </c>
      <c r="M643" t="s">
        <v>7</v>
      </c>
      <c r="N643" t="s">
        <v>8</v>
      </c>
      <c r="P643">
        <f t="shared" si="990"/>
        <v>1.2658227848101621E-2</v>
      </c>
      <c r="Q643">
        <f t="shared" si="991"/>
        <v>173802.34810127071</v>
      </c>
      <c r="R643">
        <f t="shared" si="992"/>
        <v>-59560759.788745783</v>
      </c>
      <c r="S643">
        <f t="shared" si="993"/>
        <v>-595.60759788745781</v>
      </c>
      <c r="T643">
        <f t="shared" si="994"/>
        <v>-0.59560759788745776</v>
      </c>
    </row>
    <row r="644" spans="1:20" x14ac:dyDescent="0.25">
      <c r="A644" s="5">
        <v>43949</v>
      </c>
      <c r="B644">
        <v>8.5599999999999996E-2</v>
      </c>
      <c r="C644">
        <v>8.72E-2</v>
      </c>
      <c r="D644">
        <v>8.1500000000000003E-2</v>
      </c>
      <c r="E644">
        <v>8.2199999999999995E-2</v>
      </c>
      <c r="F644">
        <v>12821591.82</v>
      </c>
      <c r="G644">
        <v>-3.97</v>
      </c>
      <c r="L644" t="s">
        <v>8</v>
      </c>
      <c r="M644" t="s">
        <v>7</v>
      </c>
      <c r="N644" t="s">
        <v>8</v>
      </c>
      <c r="P644">
        <f t="shared" si="990"/>
        <v>-0.75438596491228327</v>
      </c>
      <c r="Q644">
        <f t="shared" si="991"/>
        <v>-9672428.9168421384</v>
      </c>
      <c r="R644">
        <f t="shared" si="992"/>
        <v>-59734562.136847056</v>
      </c>
      <c r="S644">
        <f t="shared" si="993"/>
        <v>-597.34562136847057</v>
      </c>
      <c r="T644">
        <f t="shared" si="994"/>
        <v>-0.59734562136847058</v>
      </c>
    </row>
    <row r="645" spans="1:20" x14ac:dyDescent="0.25">
      <c r="A645" s="5">
        <v>43948</v>
      </c>
      <c r="B645">
        <v>8.1900000000000001E-2</v>
      </c>
      <c r="C645">
        <v>8.5900000000000004E-2</v>
      </c>
      <c r="D645">
        <v>7.6799999999999993E-2</v>
      </c>
      <c r="E645">
        <v>8.5300000000000001E-2</v>
      </c>
      <c r="F645">
        <v>11240386.810000001</v>
      </c>
      <c r="G645">
        <v>4.1500000000000004</v>
      </c>
      <c r="L645" t="s">
        <v>7</v>
      </c>
      <c r="M645" t="s">
        <v>7</v>
      </c>
      <c r="N645" t="s">
        <v>8</v>
      </c>
      <c r="P645">
        <f t="shared" si="990"/>
        <v>0.8681318681318676</v>
      </c>
      <c r="Q645">
        <f t="shared" si="991"/>
        <v>9758137.9998901039</v>
      </c>
      <c r="R645">
        <f t="shared" si="992"/>
        <v>-50062133.220004916</v>
      </c>
      <c r="S645">
        <f t="shared" si="993"/>
        <v>-500.62133220004915</v>
      </c>
      <c r="T645">
        <f t="shared" si="994"/>
        <v>-0.50062133220004912</v>
      </c>
    </row>
    <row r="646" spans="1:20" x14ac:dyDescent="0.25">
      <c r="A646" s="5">
        <v>43947</v>
      </c>
      <c r="B646">
        <v>8.2299999999999998E-2</v>
      </c>
      <c r="C646">
        <v>8.6499999999999994E-2</v>
      </c>
      <c r="D646">
        <v>8.0600000000000005E-2</v>
      </c>
      <c r="E646">
        <v>8.1799999999999998E-2</v>
      </c>
      <c r="F646">
        <v>12276548.560000001</v>
      </c>
      <c r="G646">
        <v>-0.61</v>
      </c>
      <c r="L646" t="s">
        <v>7</v>
      </c>
      <c r="M646" t="s">
        <v>7</v>
      </c>
      <c r="N646" t="s">
        <v>8</v>
      </c>
      <c r="P646">
        <f t="shared" ref="P646:P709" si="995">IF(C646=D646,0,((E646-D646)-(C646-E646))/(C646-D646))</f>
        <v>-0.59322033898305249</v>
      </c>
      <c r="Q646">
        <f t="shared" ref="Q646:Q709" si="996">F646*P646</f>
        <v>-7282698.2983051054</v>
      </c>
      <c r="R646">
        <f t="shared" ref="R646:R709" si="997">R647+Q646</f>
        <v>-59820271.21989502</v>
      </c>
      <c r="S646">
        <f t="shared" ref="S646:S709" si="998">R646/100000</f>
        <v>-598.20271219895017</v>
      </c>
      <c r="T646">
        <f t="shared" ref="T646:T709" si="999">S646/1000</f>
        <v>-0.59820271219895016</v>
      </c>
    </row>
    <row r="647" spans="1:20" x14ac:dyDescent="0.25">
      <c r="A647" s="5">
        <v>43946</v>
      </c>
      <c r="B647">
        <v>8.5599999999999996E-2</v>
      </c>
      <c r="C647">
        <v>9.3100000000000002E-2</v>
      </c>
      <c r="D647">
        <v>8.09E-2</v>
      </c>
      <c r="E647">
        <v>8.2400000000000001E-2</v>
      </c>
      <c r="F647">
        <v>20036955.25</v>
      </c>
      <c r="G647">
        <v>-3.74</v>
      </c>
      <c r="L647" t="s">
        <v>7</v>
      </c>
      <c r="M647" t="s">
        <v>7</v>
      </c>
      <c r="N647" t="s">
        <v>8</v>
      </c>
      <c r="P647">
        <f t="shared" si="995"/>
        <v>-0.75409836065573754</v>
      </c>
      <c r="Q647">
        <f t="shared" si="996"/>
        <v>-15109835.106557373</v>
      </c>
      <c r="R647">
        <f t="shared" si="997"/>
        <v>-52537572.921589911</v>
      </c>
      <c r="S647">
        <f t="shared" si="998"/>
        <v>-525.37572921589913</v>
      </c>
      <c r="T647">
        <f t="shared" si="999"/>
        <v>-0.52537572921589915</v>
      </c>
    </row>
    <row r="648" spans="1:20" x14ac:dyDescent="0.25">
      <c r="A648" s="5">
        <v>43945</v>
      </c>
      <c r="B648">
        <v>7.0800000000000002E-2</v>
      </c>
      <c r="C648">
        <v>0.109</v>
      </c>
      <c r="D648">
        <v>7.0800000000000002E-2</v>
      </c>
      <c r="E648">
        <v>8.5599999999999996E-2</v>
      </c>
      <c r="F648">
        <v>48971537.899999999</v>
      </c>
      <c r="G648">
        <v>20.9</v>
      </c>
      <c r="L648" t="s">
        <v>8</v>
      </c>
      <c r="M648" t="s">
        <v>8</v>
      </c>
      <c r="N648" t="s">
        <v>8</v>
      </c>
      <c r="P648">
        <f t="shared" si="995"/>
        <v>-0.22513089005235631</v>
      </c>
      <c r="Q648">
        <f t="shared" si="996"/>
        <v>-11025005.914659699</v>
      </c>
      <c r="R648">
        <f t="shared" si="997"/>
        <v>-37427737.815032542</v>
      </c>
      <c r="S648">
        <f t="shared" si="998"/>
        <v>-374.27737815032543</v>
      </c>
      <c r="T648">
        <f t="shared" si="999"/>
        <v>-0.37427737815032541</v>
      </c>
    </row>
    <row r="649" spans="1:20" x14ac:dyDescent="0.25">
      <c r="A649" s="5">
        <v>43944</v>
      </c>
      <c r="B649">
        <v>6.6400000000000001E-2</v>
      </c>
      <c r="C649">
        <v>7.3400000000000007E-2</v>
      </c>
      <c r="D649">
        <v>6.4699999999999994E-2</v>
      </c>
      <c r="E649">
        <v>7.0900000000000005E-2</v>
      </c>
      <c r="F649">
        <v>10601342.880000001</v>
      </c>
      <c r="G649">
        <v>6.78</v>
      </c>
      <c r="L649" t="s">
        <v>8</v>
      </c>
      <c r="M649" t="s">
        <v>8</v>
      </c>
      <c r="N649" t="s">
        <v>8</v>
      </c>
      <c r="P649">
        <f t="shared" si="995"/>
        <v>0.42528735632183945</v>
      </c>
      <c r="Q649">
        <f t="shared" si="996"/>
        <v>4508617.0868965564</v>
      </c>
      <c r="R649">
        <f t="shared" si="997"/>
        <v>-26402731.900372844</v>
      </c>
      <c r="S649">
        <f t="shared" si="998"/>
        <v>-264.02731900372845</v>
      </c>
      <c r="T649">
        <f t="shared" si="999"/>
        <v>-0.26402731900372844</v>
      </c>
    </row>
    <row r="650" spans="1:20" x14ac:dyDescent="0.25">
      <c r="A650" s="5">
        <v>43943</v>
      </c>
      <c r="B650">
        <v>5.9700000000000003E-2</v>
      </c>
      <c r="C650">
        <v>6.6799999999999998E-2</v>
      </c>
      <c r="D650">
        <v>5.9200000000000003E-2</v>
      </c>
      <c r="E650">
        <v>6.6400000000000001E-2</v>
      </c>
      <c r="F650">
        <v>7478474.2300000004</v>
      </c>
      <c r="G650">
        <v>11.22</v>
      </c>
      <c r="L650" t="s">
        <v>8</v>
      </c>
      <c r="M650" t="s">
        <v>7</v>
      </c>
      <c r="N650" t="s">
        <v>8</v>
      </c>
      <c r="P650">
        <f t="shared" si="995"/>
        <v>0.89473684210526372</v>
      </c>
      <c r="Q650">
        <f t="shared" si="996"/>
        <v>6691266.416315794</v>
      </c>
      <c r="R650">
        <f t="shared" si="997"/>
        <v>-30911348.987269402</v>
      </c>
      <c r="S650">
        <f t="shared" si="998"/>
        <v>-309.113489872694</v>
      </c>
      <c r="T650">
        <f t="shared" si="999"/>
        <v>-0.30911348987269399</v>
      </c>
    </row>
    <row r="651" spans="1:20" x14ac:dyDescent="0.25">
      <c r="A651" s="5">
        <v>43942</v>
      </c>
      <c r="B651">
        <v>5.9900000000000002E-2</v>
      </c>
      <c r="C651">
        <v>6.1899999999999997E-2</v>
      </c>
      <c r="D651">
        <v>5.8799999999999998E-2</v>
      </c>
      <c r="E651">
        <v>5.9700000000000003E-2</v>
      </c>
      <c r="F651">
        <v>5245724.08</v>
      </c>
      <c r="G651">
        <v>-0.33</v>
      </c>
      <c r="L651" t="s">
        <v>7</v>
      </c>
      <c r="M651" t="s">
        <v>7</v>
      </c>
      <c r="N651" t="s">
        <v>8</v>
      </c>
      <c r="P651">
        <f t="shared" si="995"/>
        <v>-0.41935483870967394</v>
      </c>
      <c r="Q651">
        <f t="shared" si="996"/>
        <v>-2199819.7754838527</v>
      </c>
      <c r="R651">
        <f t="shared" si="997"/>
        <v>-37602615.403585196</v>
      </c>
      <c r="S651">
        <f t="shared" si="998"/>
        <v>-376.02615403585196</v>
      </c>
      <c r="T651">
        <f t="shared" si="999"/>
        <v>-0.37602615403585193</v>
      </c>
    </row>
    <row r="652" spans="1:20" x14ac:dyDescent="0.25">
      <c r="A652" s="5">
        <v>43941</v>
      </c>
      <c r="B652">
        <v>6.4100000000000004E-2</v>
      </c>
      <c r="C652">
        <v>6.5799999999999997E-2</v>
      </c>
      <c r="D652">
        <v>5.9499999999999997E-2</v>
      </c>
      <c r="E652">
        <v>5.9900000000000002E-2</v>
      </c>
      <c r="F652">
        <v>6146785.4900000002</v>
      </c>
      <c r="G652">
        <v>-6.55</v>
      </c>
      <c r="L652" t="s">
        <v>7</v>
      </c>
      <c r="M652" t="s">
        <v>8</v>
      </c>
      <c r="N652" t="s">
        <v>8</v>
      </c>
      <c r="P652">
        <f t="shared" si="995"/>
        <v>-0.87301587301587158</v>
      </c>
      <c r="Q652">
        <f t="shared" si="996"/>
        <v>-5366241.3007936422</v>
      </c>
      <c r="R652">
        <f t="shared" si="997"/>
        <v>-35402795.628101341</v>
      </c>
      <c r="S652">
        <f t="shared" si="998"/>
        <v>-354.02795628101342</v>
      </c>
      <c r="T652">
        <f t="shared" si="999"/>
        <v>-0.35402795628101341</v>
      </c>
    </row>
    <row r="653" spans="1:20" x14ac:dyDescent="0.25">
      <c r="A653" s="5">
        <v>43940</v>
      </c>
      <c r="B653">
        <v>6.6600000000000006E-2</v>
      </c>
      <c r="C653">
        <v>6.6600000000000006E-2</v>
      </c>
      <c r="D653">
        <v>6.3500000000000001E-2</v>
      </c>
      <c r="E653">
        <v>6.4199999999999993E-2</v>
      </c>
      <c r="F653">
        <v>5872528.7300000004</v>
      </c>
      <c r="G653">
        <v>-3.6</v>
      </c>
      <c r="L653" t="s">
        <v>7</v>
      </c>
      <c r="M653" t="s">
        <v>8</v>
      </c>
      <c r="N653" t="s">
        <v>8</v>
      </c>
      <c r="P653">
        <f t="shared" si="995"/>
        <v>-0.54838709677419928</v>
      </c>
      <c r="Q653">
        <f t="shared" si="996"/>
        <v>-3220418.9809677759</v>
      </c>
      <c r="R653">
        <f t="shared" si="997"/>
        <v>-30036554.327307697</v>
      </c>
      <c r="S653">
        <f t="shared" si="998"/>
        <v>-300.36554327307698</v>
      </c>
      <c r="T653">
        <f t="shared" si="999"/>
        <v>-0.30036554327307696</v>
      </c>
    </row>
    <row r="654" spans="1:20" x14ac:dyDescent="0.25">
      <c r="A654" s="5">
        <v>43939</v>
      </c>
      <c r="B654">
        <v>6.4000000000000001E-2</v>
      </c>
      <c r="C654">
        <v>7.0400000000000004E-2</v>
      </c>
      <c r="D654">
        <v>6.4000000000000001E-2</v>
      </c>
      <c r="E654">
        <v>6.6699999999999995E-2</v>
      </c>
      <c r="F654">
        <v>8232331.7000000002</v>
      </c>
      <c r="G654">
        <v>4.22</v>
      </c>
      <c r="L654" t="s">
        <v>8</v>
      </c>
      <c r="M654" t="s">
        <v>8</v>
      </c>
      <c r="N654" t="s">
        <v>8</v>
      </c>
      <c r="P654">
        <f t="shared" si="995"/>
        <v>-0.15625000000000225</v>
      </c>
      <c r="Q654">
        <f t="shared" si="996"/>
        <v>-1286301.8281250186</v>
      </c>
      <c r="R654">
        <f t="shared" si="997"/>
        <v>-26816135.346339922</v>
      </c>
      <c r="S654">
        <f t="shared" si="998"/>
        <v>-268.16135346339922</v>
      </c>
      <c r="T654">
        <f t="shared" si="999"/>
        <v>-0.2681613534633992</v>
      </c>
    </row>
    <row r="655" spans="1:20" x14ac:dyDescent="0.25">
      <c r="A655" s="5">
        <v>43938</v>
      </c>
      <c r="B655">
        <v>6.4100000000000004E-2</v>
      </c>
      <c r="C655">
        <v>6.54E-2</v>
      </c>
      <c r="D655">
        <v>6.25E-2</v>
      </c>
      <c r="E655">
        <v>6.4100000000000004E-2</v>
      </c>
      <c r="F655">
        <v>4857352.4000000004</v>
      </c>
      <c r="G655">
        <v>0</v>
      </c>
      <c r="L655" t="s">
        <v>8</v>
      </c>
      <c r="M655" t="s">
        <v>7</v>
      </c>
      <c r="N655" t="s">
        <v>8</v>
      </c>
      <c r="P655">
        <f t="shared" si="995"/>
        <v>0.10344827586207193</v>
      </c>
      <c r="Q655">
        <f t="shared" si="996"/>
        <v>502484.73103449721</v>
      </c>
      <c r="R655">
        <f t="shared" si="997"/>
        <v>-25529833.518214904</v>
      </c>
      <c r="S655">
        <f t="shared" si="998"/>
        <v>-255.29833518214903</v>
      </c>
      <c r="T655">
        <f t="shared" si="999"/>
        <v>-0.25529833518214901</v>
      </c>
    </row>
    <row r="656" spans="1:20" x14ac:dyDescent="0.25">
      <c r="A656" s="5">
        <v>43937</v>
      </c>
      <c r="B656">
        <v>6.0699999999999997E-2</v>
      </c>
      <c r="C656">
        <v>6.5000000000000002E-2</v>
      </c>
      <c r="D656">
        <v>5.8599999999999999E-2</v>
      </c>
      <c r="E656">
        <v>6.4100000000000004E-2</v>
      </c>
      <c r="F656">
        <v>6348587.5999999996</v>
      </c>
      <c r="G656">
        <v>5.6</v>
      </c>
      <c r="L656" t="s">
        <v>7</v>
      </c>
      <c r="M656" t="s">
        <v>7</v>
      </c>
      <c r="N656" t="s">
        <v>8</v>
      </c>
      <c r="P656">
        <f t="shared" si="995"/>
        <v>0.71875000000000078</v>
      </c>
      <c r="Q656">
        <f t="shared" si="996"/>
        <v>4563047.337500005</v>
      </c>
      <c r="R656">
        <f t="shared" si="997"/>
        <v>-26032318.249249402</v>
      </c>
      <c r="S656">
        <f t="shared" si="998"/>
        <v>-260.32318249249403</v>
      </c>
      <c r="T656">
        <f t="shared" si="999"/>
        <v>-0.26032318249249403</v>
      </c>
    </row>
    <row r="657" spans="1:20" x14ac:dyDescent="0.25">
      <c r="A657" s="5">
        <v>43936</v>
      </c>
      <c r="B657">
        <v>6.3299999999999995E-2</v>
      </c>
      <c r="C657">
        <v>6.4000000000000001E-2</v>
      </c>
      <c r="D657">
        <v>6.0400000000000002E-2</v>
      </c>
      <c r="E657">
        <v>6.0999999999999999E-2</v>
      </c>
      <c r="F657">
        <v>7351679.9699999997</v>
      </c>
      <c r="G657">
        <v>-3.63</v>
      </c>
      <c r="L657" t="s">
        <v>7</v>
      </c>
      <c r="M657" t="s">
        <v>7</v>
      </c>
      <c r="N657" t="s">
        <v>8</v>
      </c>
      <c r="P657">
        <f t="shared" si="995"/>
        <v>-0.66666666666666863</v>
      </c>
      <c r="Q657">
        <f t="shared" si="996"/>
        <v>-4901119.9800000144</v>
      </c>
      <c r="R657">
        <f t="shared" si="997"/>
        <v>-30595365.586749408</v>
      </c>
      <c r="S657">
        <f t="shared" si="998"/>
        <v>-305.95365586749409</v>
      </c>
      <c r="T657">
        <f t="shared" si="999"/>
        <v>-0.30595365586749407</v>
      </c>
    </row>
    <row r="658" spans="1:20" x14ac:dyDescent="0.25">
      <c r="A658" s="5">
        <v>43935</v>
      </c>
      <c r="B658">
        <v>6.4399999999999999E-2</v>
      </c>
      <c r="C658">
        <v>6.4699999999999994E-2</v>
      </c>
      <c r="D658">
        <v>6.2199999999999998E-2</v>
      </c>
      <c r="E658">
        <v>6.3399999999999998E-2</v>
      </c>
      <c r="F658">
        <v>4891262.8099999996</v>
      </c>
      <c r="G658">
        <v>-1.55</v>
      </c>
      <c r="L658" t="s">
        <v>7</v>
      </c>
      <c r="M658" t="s">
        <v>7</v>
      </c>
      <c r="N658" t="s">
        <v>8</v>
      </c>
      <c r="P658">
        <f t="shared" si="995"/>
        <v>-3.9999999999998447E-2</v>
      </c>
      <c r="Q658">
        <f t="shared" si="996"/>
        <v>-195650.51239999238</v>
      </c>
      <c r="R658">
        <f t="shared" si="997"/>
        <v>-25694245.606749393</v>
      </c>
      <c r="S658">
        <f t="shared" si="998"/>
        <v>-256.94245606749394</v>
      </c>
      <c r="T658">
        <f t="shared" si="999"/>
        <v>-0.25694245606749394</v>
      </c>
    </row>
    <row r="659" spans="1:20" x14ac:dyDescent="0.25">
      <c r="A659" s="5">
        <v>43934</v>
      </c>
      <c r="B659">
        <v>6.4100000000000004E-2</v>
      </c>
      <c r="C659">
        <v>6.4399999999999999E-2</v>
      </c>
      <c r="D659">
        <v>6.0699999999999997E-2</v>
      </c>
      <c r="E659">
        <v>6.4000000000000001E-2</v>
      </c>
      <c r="F659">
        <v>5855497.1399999997</v>
      </c>
      <c r="G659">
        <v>-0.16</v>
      </c>
      <c r="L659" t="s">
        <v>7</v>
      </c>
      <c r="M659" t="s">
        <v>7</v>
      </c>
      <c r="N659" t="s">
        <v>8</v>
      </c>
      <c r="P659">
        <f t="shared" si="995"/>
        <v>0.78378378378378522</v>
      </c>
      <c r="Q659">
        <f t="shared" si="996"/>
        <v>4589443.7043243321</v>
      </c>
      <c r="R659">
        <f t="shared" si="997"/>
        <v>-25498595.094349399</v>
      </c>
      <c r="S659">
        <f t="shared" si="998"/>
        <v>-254.985950943494</v>
      </c>
      <c r="T659">
        <f t="shared" si="999"/>
        <v>-0.25498595094349402</v>
      </c>
    </row>
    <row r="660" spans="1:20" x14ac:dyDescent="0.25">
      <c r="A660" s="5">
        <v>43933</v>
      </c>
      <c r="B660">
        <v>6.4299999999999996E-2</v>
      </c>
      <c r="C660">
        <v>6.8000000000000005E-2</v>
      </c>
      <c r="D660">
        <v>6.2700000000000006E-2</v>
      </c>
      <c r="E660">
        <v>6.4000000000000001E-2</v>
      </c>
      <c r="F660">
        <v>6489580.8200000003</v>
      </c>
      <c r="G660">
        <v>-0.47</v>
      </c>
      <c r="L660" t="s">
        <v>8</v>
      </c>
      <c r="M660" t="s">
        <v>7</v>
      </c>
      <c r="N660" t="s">
        <v>8</v>
      </c>
      <c r="P660">
        <f t="shared" si="995"/>
        <v>-0.5094339622641525</v>
      </c>
      <c r="Q660">
        <f t="shared" si="996"/>
        <v>-3306012.8705660477</v>
      </c>
      <c r="R660">
        <f t="shared" si="997"/>
        <v>-30088038.79867373</v>
      </c>
      <c r="S660">
        <f t="shared" si="998"/>
        <v>-300.88038798673728</v>
      </c>
      <c r="T660">
        <f t="shared" si="999"/>
        <v>-0.30088038798673727</v>
      </c>
    </row>
    <row r="661" spans="1:20" x14ac:dyDescent="0.25">
      <c r="A661" s="5">
        <v>43932</v>
      </c>
      <c r="B661">
        <v>6.4799999999999996E-2</v>
      </c>
      <c r="C661">
        <v>6.8099999999999994E-2</v>
      </c>
      <c r="D661">
        <v>6.3E-2</v>
      </c>
      <c r="E661">
        <v>6.4299999999999996E-2</v>
      </c>
      <c r="F661">
        <v>5124486.16</v>
      </c>
      <c r="G661">
        <v>-0.77</v>
      </c>
      <c r="L661" t="s">
        <v>7</v>
      </c>
      <c r="M661" t="s">
        <v>7</v>
      </c>
      <c r="N661" t="s">
        <v>8</v>
      </c>
      <c r="P661">
        <f t="shared" si="995"/>
        <v>-0.49019607843137364</v>
      </c>
      <c r="Q661">
        <f t="shared" si="996"/>
        <v>-2512003.019607849</v>
      </c>
      <c r="R661">
        <f t="shared" si="997"/>
        <v>-26782025.928107683</v>
      </c>
      <c r="S661">
        <f t="shared" si="998"/>
        <v>-267.8202592810768</v>
      </c>
      <c r="T661">
        <f t="shared" si="999"/>
        <v>-0.26782025928107678</v>
      </c>
    </row>
    <row r="662" spans="1:20" x14ac:dyDescent="0.25">
      <c r="A662" s="5">
        <v>43931</v>
      </c>
      <c r="B662">
        <v>7.1999999999999995E-2</v>
      </c>
      <c r="C662">
        <v>8.0299999999999996E-2</v>
      </c>
      <c r="D662">
        <v>0.06</v>
      </c>
      <c r="E662">
        <v>6.4699999999999994E-2</v>
      </c>
      <c r="F662">
        <v>12934216.289999999</v>
      </c>
      <c r="G662">
        <v>-10.14</v>
      </c>
      <c r="L662" t="s">
        <v>8</v>
      </c>
      <c r="M662" t="s">
        <v>8</v>
      </c>
      <c r="N662" t="s">
        <v>8</v>
      </c>
      <c r="P662">
        <f t="shared" si="995"/>
        <v>-0.53694581280788212</v>
      </c>
      <c r="Q662">
        <f t="shared" si="996"/>
        <v>-6944973.2788669989</v>
      </c>
      <c r="R662">
        <f t="shared" si="997"/>
        <v>-24270022.908499833</v>
      </c>
      <c r="S662">
        <f t="shared" si="998"/>
        <v>-242.70022908499834</v>
      </c>
      <c r="T662">
        <f t="shared" si="999"/>
        <v>-0.24270022908499833</v>
      </c>
    </row>
    <row r="663" spans="1:20" x14ac:dyDescent="0.25">
      <c r="A663" s="5">
        <v>43930</v>
      </c>
      <c r="B663">
        <v>6.9800000000000001E-2</v>
      </c>
      <c r="C663">
        <v>7.3700000000000002E-2</v>
      </c>
      <c r="D663">
        <v>6.6199999999999995E-2</v>
      </c>
      <c r="E663">
        <v>7.1999999999999995E-2</v>
      </c>
      <c r="F663">
        <v>9026384.5999999996</v>
      </c>
      <c r="G663">
        <v>3.15</v>
      </c>
      <c r="L663" t="s">
        <v>8</v>
      </c>
      <c r="M663" t="s">
        <v>8</v>
      </c>
      <c r="N663" t="s">
        <v>8</v>
      </c>
      <c r="P663">
        <f t="shared" si="995"/>
        <v>0.54666666666666519</v>
      </c>
      <c r="Q663">
        <f t="shared" si="996"/>
        <v>4934423.5813333197</v>
      </c>
      <c r="R663">
        <f t="shared" si="997"/>
        <v>-17325049.629632834</v>
      </c>
      <c r="S663">
        <f t="shared" si="998"/>
        <v>-173.25049629632835</v>
      </c>
      <c r="T663">
        <f t="shared" si="999"/>
        <v>-0.17325049629632835</v>
      </c>
    </row>
    <row r="664" spans="1:20" x14ac:dyDescent="0.25">
      <c r="A664" s="5">
        <v>43929</v>
      </c>
      <c r="B664">
        <v>6.6699999999999995E-2</v>
      </c>
      <c r="C664">
        <v>6.9900000000000004E-2</v>
      </c>
      <c r="D664">
        <v>6.5799999999999997E-2</v>
      </c>
      <c r="E664">
        <v>6.9800000000000001E-2</v>
      </c>
      <c r="F664">
        <v>6092002.6200000001</v>
      </c>
      <c r="G664">
        <v>4.6500000000000004</v>
      </c>
      <c r="L664" t="s">
        <v>7</v>
      </c>
      <c r="M664" t="s">
        <v>8</v>
      </c>
      <c r="N664" t="s">
        <v>8</v>
      </c>
      <c r="P664">
        <f t="shared" si="995"/>
        <v>0.95121951219512058</v>
      </c>
      <c r="Q664">
        <f t="shared" si="996"/>
        <v>5794831.7604877967</v>
      </c>
      <c r="R664">
        <f t="shared" si="997"/>
        <v>-22259473.210966155</v>
      </c>
      <c r="S664">
        <f t="shared" si="998"/>
        <v>-222.59473210966155</v>
      </c>
      <c r="T664">
        <f t="shared" si="999"/>
        <v>-0.22259473210966155</v>
      </c>
    </row>
    <row r="665" spans="1:20" x14ac:dyDescent="0.25">
      <c r="A665" s="5">
        <v>43928</v>
      </c>
      <c r="B665">
        <v>6.8500000000000005E-2</v>
      </c>
      <c r="C665">
        <v>7.0999999999999994E-2</v>
      </c>
      <c r="D665">
        <v>6.5199999999999994E-2</v>
      </c>
      <c r="E665">
        <v>6.6799999999999998E-2</v>
      </c>
      <c r="F665">
        <v>7954483.6100000003</v>
      </c>
      <c r="G665">
        <v>-2.48</v>
      </c>
      <c r="L665" t="s">
        <v>8</v>
      </c>
      <c r="M665" t="s">
        <v>8</v>
      </c>
      <c r="N665" t="s">
        <v>8</v>
      </c>
      <c r="P665">
        <f t="shared" si="995"/>
        <v>-0.44827586206896403</v>
      </c>
      <c r="Q665">
        <f t="shared" si="996"/>
        <v>-3565802.9975861954</v>
      </c>
      <c r="R665">
        <f t="shared" si="997"/>
        <v>-28054304.97145395</v>
      </c>
      <c r="S665">
        <f t="shared" si="998"/>
        <v>-280.54304971453951</v>
      </c>
      <c r="T665">
        <f t="shared" si="999"/>
        <v>-0.28054304971453953</v>
      </c>
    </row>
    <row r="666" spans="1:20" x14ac:dyDescent="0.25">
      <c r="A666" s="5">
        <v>43927</v>
      </c>
      <c r="B666">
        <v>6.2799999999999995E-2</v>
      </c>
      <c r="C666">
        <v>6.88E-2</v>
      </c>
      <c r="D666">
        <v>6.2700000000000006E-2</v>
      </c>
      <c r="E666">
        <v>6.8500000000000005E-2</v>
      </c>
      <c r="F666">
        <v>8090854.4500000002</v>
      </c>
      <c r="G666">
        <v>9.08</v>
      </c>
      <c r="L666" t="s">
        <v>8</v>
      </c>
      <c r="M666" t="s">
        <v>8</v>
      </c>
      <c r="N666" t="s">
        <v>8</v>
      </c>
      <c r="P666">
        <f t="shared" si="995"/>
        <v>0.90163934426229675</v>
      </c>
      <c r="Q666">
        <f t="shared" si="996"/>
        <v>7295032.7008196861</v>
      </c>
      <c r="R666">
        <f t="shared" si="997"/>
        <v>-24488501.973867755</v>
      </c>
      <c r="S666">
        <f t="shared" si="998"/>
        <v>-244.88501973867756</v>
      </c>
      <c r="T666">
        <f t="shared" si="999"/>
        <v>-0.24488501973867755</v>
      </c>
    </row>
    <row r="667" spans="1:20" x14ac:dyDescent="0.25">
      <c r="A667" s="5">
        <v>43926</v>
      </c>
      <c r="B667">
        <v>6.4399999999999999E-2</v>
      </c>
      <c r="C667">
        <v>6.54E-2</v>
      </c>
      <c r="D667">
        <v>6.1600000000000002E-2</v>
      </c>
      <c r="E667">
        <v>6.2700000000000006E-2</v>
      </c>
      <c r="F667">
        <v>5773321.5499999998</v>
      </c>
      <c r="G667">
        <v>-2.64</v>
      </c>
      <c r="L667" t="s">
        <v>7</v>
      </c>
      <c r="M667" t="s">
        <v>8</v>
      </c>
      <c r="N667" t="s">
        <v>8</v>
      </c>
      <c r="P667">
        <f t="shared" si="995"/>
        <v>-0.42105263157894507</v>
      </c>
      <c r="Q667">
        <f t="shared" si="996"/>
        <v>-2430872.231578934</v>
      </c>
      <c r="R667">
        <f t="shared" si="997"/>
        <v>-31783534.674687441</v>
      </c>
      <c r="S667">
        <f t="shared" si="998"/>
        <v>-317.83534674687439</v>
      </c>
      <c r="T667">
        <f t="shared" si="999"/>
        <v>-0.31783534674687441</v>
      </c>
    </row>
    <row r="668" spans="1:20" x14ac:dyDescent="0.25">
      <c r="A668" s="5">
        <v>43925</v>
      </c>
      <c r="B668">
        <v>6.5299999999999997E-2</v>
      </c>
      <c r="C668">
        <v>6.6299999999999998E-2</v>
      </c>
      <c r="D668">
        <v>6.3200000000000006E-2</v>
      </c>
      <c r="E668">
        <v>6.4399999999999999E-2</v>
      </c>
      <c r="F668">
        <v>5949196.8799999999</v>
      </c>
      <c r="G668">
        <v>-1.38</v>
      </c>
      <c r="L668" t="s">
        <v>7</v>
      </c>
      <c r="M668" t="s">
        <v>8</v>
      </c>
      <c r="N668" t="s">
        <v>8</v>
      </c>
      <c r="P668">
        <f t="shared" si="995"/>
        <v>-0.22580645161290583</v>
      </c>
      <c r="Q668">
        <f t="shared" si="996"/>
        <v>-1343367.0374193704</v>
      </c>
      <c r="R668">
        <f t="shared" si="997"/>
        <v>-29352662.443108507</v>
      </c>
      <c r="S668">
        <f t="shared" si="998"/>
        <v>-293.52662443108505</v>
      </c>
      <c r="T668">
        <f t="shared" si="999"/>
        <v>-0.29352662443108507</v>
      </c>
    </row>
    <row r="669" spans="1:20" x14ac:dyDescent="0.25">
      <c r="A669" s="5">
        <v>43924</v>
      </c>
      <c r="B669">
        <v>6.4799999999999996E-2</v>
      </c>
      <c r="C669">
        <v>6.7900000000000002E-2</v>
      </c>
      <c r="D669">
        <v>6.25E-2</v>
      </c>
      <c r="E669">
        <v>6.5199999999999994E-2</v>
      </c>
      <c r="F669">
        <v>8843671.4000000004</v>
      </c>
      <c r="G669">
        <v>0.62</v>
      </c>
      <c r="L669" t="s">
        <v>7</v>
      </c>
      <c r="M669" t="s">
        <v>8</v>
      </c>
      <c r="N669" t="s">
        <v>8</v>
      </c>
      <c r="P669">
        <f t="shared" si="995"/>
        <v>-2.5699607051508242E-15</v>
      </c>
      <c r="Q669">
        <f t="shared" si="996"/>
        <v>-2.2727887987266177E-8</v>
      </c>
      <c r="R669">
        <f t="shared" si="997"/>
        <v>-28009295.405689135</v>
      </c>
      <c r="S669">
        <f t="shared" si="998"/>
        <v>-280.09295405689136</v>
      </c>
      <c r="T669">
        <f t="shared" si="999"/>
        <v>-0.28009295405689139</v>
      </c>
    </row>
    <row r="670" spans="1:20" x14ac:dyDescent="0.25">
      <c r="A670" s="5">
        <v>43923</v>
      </c>
      <c r="B670">
        <v>6.54E-2</v>
      </c>
      <c r="C670">
        <v>6.9800000000000001E-2</v>
      </c>
      <c r="D670">
        <v>6.4100000000000004E-2</v>
      </c>
      <c r="E670">
        <v>6.54E-2</v>
      </c>
      <c r="F670">
        <v>11569576.83</v>
      </c>
      <c r="G670">
        <v>0</v>
      </c>
      <c r="L670" t="s">
        <v>8</v>
      </c>
      <c r="M670" t="s">
        <v>8</v>
      </c>
      <c r="N670" t="s">
        <v>8</v>
      </c>
      <c r="P670">
        <f t="shared" si="995"/>
        <v>-0.54385964912280826</v>
      </c>
      <c r="Q670">
        <f t="shared" si="996"/>
        <v>-6292225.9952631723</v>
      </c>
      <c r="R670">
        <f t="shared" si="997"/>
        <v>-28009295.405689113</v>
      </c>
      <c r="S670">
        <f t="shared" si="998"/>
        <v>-280.09295405689113</v>
      </c>
      <c r="T670">
        <f t="shared" si="999"/>
        <v>-0.28009295405689111</v>
      </c>
    </row>
    <row r="671" spans="1:20" x14ac:dyDescent="0.25">
      <c r="A671" s="5">
        <v>43922</v>
      </c>
      <c r="B671">
        <v>5.8900000000000001E-2</v>
      </c>
      <c r="C671">
        <v>6.8000000000000005E-2</v>
      </c>
      <c r="D671">
        <v>5.6800000000000003E-2</v>
      </c>
      <c r="E671">
        <v>6.54E-2</v>
      </c>
      <c r="F671">
        <v>15454574.470000001</v>
      </c>
      <c r="G671">
        <v>11.04</v>
      </c>
      <c r="L671" t="s">
        <v>8</v>
      </c>
      <c r="M671" t="s">
        <v>8</v>
      </c>
      <c r="N671" t="s">
        <v>8</v>
      </c>
      <c r="P671">
        <f t="shared" si="995"/>
        <v>0.53571428571428492</v>
      </c>
      <c r="Q671">
        <f t="shared" si="996"/>
        <v>8279236.3232142739</v>
      </c>
      <c r="R671">
        <f t="shared" si="997"/>
        <v>-21717069.410425942</v>
      </c>
      <c r="S671">
        <f t="shared" si="998"/>
        <v>-217.17069410425941</v>
      </c>
      <c r="T671">
        <f t="shared" si="999"/>
        <v>-0.2171706941042594</v>
      </c>
    </row>
    <row r="672" spans="1:20" x14ac:dyDescent="0.25">
      <c r="A672" s="5">
        <v>43921</v>
      </c>
      <c r="B672">
        <v>5.8000000000000003E-2</v>
      </c>
      <c r="C672">
        <v>6.0199999999999997E-2</v>
      </c>
      <c r="D672">
        <v>5.6800000000000003E-2</v>
      </c>
      <c r="E672">
        <v>5.8999999999999997E-2</v>
      </c>
      <c r="F672">
        <v>6015517.1100000003</v>
      </c>
      <c r="G672">
        <v>1.72</v>
      </c>
      <c r="L672" t="s">
        <v>7</v>
      </c>
      <c r="M672" t="s">
        <v>7</v>
      </c>
      <c r="N672" t="s">
        <v>8</v>
      </c>
      <c r="P672">
        <f t="shared" si="995"/>
        <v>0.29411764705882232</v>
      </c>
      <c r="Q672">
        <f t="shared" si="996"/>
        <v>1769269.7382352869</v>
      </c>
      <c r="R672">
        <f t="shared" si="997"/>
        <v>-29996305.733640216</v>
      </c>
      <c r="S672">
        <f t="shared" si="998"/>
        <v>-299.96305733640219</v>
      </c>
      <c r="T672">
        <f t="shared" si="999"/>
        <v>-0.29996305733640216</v>
      </c>
    </row>
    <row r="673" spans="1:20" x14ac:dyDescent="0.25">
      <c r="A673" s="5">
        <v>43920</v>
      </c>
      <c r="B673">
        <v>5.3800000000000001E-2</v>
      </c>
      <c r="C673">
        <v>6.1400000000000003E-2</v>
      </c>
      <c r="D673">
        <v>5.33E-2</v>
      </c>
      <c r="E673">
        <v>5.8299999999999998E-2</v>
      </c>
      <c r="F673">
        <v>7968291.1299999999</v>
      </c>
      <c r="G673">
        <v>8.36</v>
      </c>
      <c r="L673" t="s">
        <v>8</v>
      </c>
      <c r="M673" t="s">
        <v>7</v>
      </c>
      <c r="N673" t="s">
        <v>8</v>
      </c>
      <c r="P673">
        <f t="shared" si="995"/>
        <v>0.23456790123456683</v>
      </c>
      <c r="Q673">
        <f t="shared" si="996"/>
        <v>1869105.3267901149</v>
      </c>
      <c r="R673">
        <f t="shared" si="997"/>
        <v>-31765575.471875504</v>
      </c>
      <c r="S673">
        <f t="shared" si="998"/>
        <v>-317.65575471875502</v>
      </c>
      <c r="T673">
        <f t="shared" si="999"/>
        <v>-0.31765575471875501</v>
      </c>
    </row>
    <row r="674" spans="1:20" x14ac:dyDescent="0.25">
      <c r="A674" s="5">
        <v>43919</v>
      </c>
      <c r="B674">
        <v>5.8200000000000002E-2</v>
      </c>
      <c r="C674">
        <v>5.8299999999999998E-2</v>
      </c>
      <c r="D674">
        <v>5.2600000000000001E-2</v>
      </c>
      <c r="E674">
        <v>5.3699999999999998E-2</v>
      </c>
      <c r="F674">
        <v>6605792.8799999999</v>
      </c>
      <c r="G674">
        <v>-7.73</v>
      </c>
      <c r="L674" t="s">
        <v>7</v>
      </c>
      <c r="M674" t="s">
        <v>7</v>
      </c>
      <c r="N674" t="s">
        <v>8</v>
      </c>
      <c r="P674">
        <f t="shared" si="995"/>
        <v>-0.61403508771929916</v>
      </c>
      <c r="Q674">
        <f t="shared" si="996"/>
        <v>-4056188.6105263219</v>
      </c>
      <c r="R674">
        <f t="shared" si="997"/>
        <v>-33634680.79866562</v>
      </c>
      <c r="S674">
        <f t="shared" si="998"/>
        <v>-336.34680798665619</v>
      </c>
      <c r="T674">
        <f t="shared" si="999"/>
        <v>-0.33634680798665617</v>
      </c>
    </row>
    <row r="675" spans="1:20" x14ac:dyDescent="0.25">
      <c r="A675" s="5">
        <v>43918</v>
      </c>
      <c r="B675">
        <v>5.7700000000000001E-2</v>
      </c>
      <c r="C675">
        <v>5.8799999999999998E-2</v>
      </c>
      <c r="D675">
        <v>5.5500000000000001E-2</v>
      </c>
      <c r="E675">
        <v>5.8299999999999998E-2</v>
      </c>
      <c r="F675">
        <v>7929734.4000000004</v>
      </c>
      <c r="G675">
        <v>1.04</v>
      </c>
      <c r="L675" t="s">
        <v>7</v>
      </c>
      <c r="M675" t="s">
        <v>7</v>
      </c>
      <c r="N675" t="s">
        <v>8</v>
      </c>
      <c r="P675">
        <f t="shared" si="995"/>
        <v>0.69696969696969646</v>
      </c>
      <c r="Q675">
        <f t="shared" si="996"/>
        <v>5526784.5818181783</v>
      </c>
      <c r="R675">
        <f t="shared" si="997"/>
        <v>-29578492.188139297</v>
      </c>
      <c r="S675">
        <f t="shared" si="998"/>
        <v>-295.78492188139296</v>
      </c>
      <c r="T675">
        <f t="shared" si="999"/>
        <v>-0.29578492188139294</v>
      </c>
    </row>
    <row r="676" spans="1:20" x14ac:dyDescent="0.25">
      <c r="A676" s="5">
        <v>43917</v>
      </c>
      <c r="B676">
        <v>6.1600000000000002E-2</v>
      </c>
      <c r="C676">
        <v>6.6199999999999995E-2</v>
      </c>
      <c r="D676">
        <v>5.7299999999999997E-2</v>
      </c>
      <c r="E676">
        <v>5.8099999999999999E-2</v>
      </c>
      <c r="F676">
        <v>6690463.6100000003</v>
      </c>
      <c r="G676">
        <v>-5.68</v>
      </c>
      <c r="L676" t="s">
        <v>8</v>
      </c>
      <c r="M676" t="s">
        <v>8</v>
      </c>
      <c r="N676" t="s">
        <v>8</v>
      </c>
      <c r="P676">
        <f t="shared" si="995"/>
        <v>-0.82022471910112305</v>
      </c>
      <c r="Q676">
        <f t="shared" si="996"/>
        <v>-5487683.6351685356</v>
      </c>
      <c r="R676">
        <f t="shared" si="997"/>
        <v>-35105276.769957475</v>
      </c>
      <c r="S676">
        <f t="shared" si="998"/>
        <v>-351.05276769957476</v>
      </c>
      <c r="T676">
        <f t="shared" si="999"/>
        <v>-0.35105276769957477</v>
      </c>
    </row>
    <row r="677" spans="1:20" x14ac:dyDescent="0.25">
      <c r="A677" s="5">
        <v>43916</v>
      </c>
      <c r="B677">
        <v>5.9799999999999999E-2</v>
      </c>
      <c r="C677">
        <v>6.1499999999999999E-2</v>
      </c>
      <c r="D677">
        <v>5.7599999999999998E-2</v>
      </c>
      <c r="E677">
        <v>6.1499999999999999E-2</v>
      </c>
      <c r="F677">
        <v>4733319.82</v>
      </c>
      <c r="G677">
        <v>2.84</v>
      </c>
      <c r="L677" t="s">
        <v>8</v>
      </c>
      <c r="M677" t="s">
        <v>7</v>
      </c>
      <c r="N677" t="s">
        <v>8</v>
      </c>
      <c r="P677">
        <f t="shared" si="995"/>
        <v>1</v>
      </c>
      <c r="Q677">
        <f t="shared" si="996"/>
        <v>4733319.82</v>
      </c>
      <c r="R677">
        <f t="shared" si="997"/>
        <v>-29617593.134788938</v>
      </c>
      <c r="S677">
        <f t="shared" si="998"/>
        <v>-296.17593134788939</v>
      </c>
      <c r="T677">
        <f t="shared" si="999"/>
        <v>-0.29617593134788939</v>
      </c>
    </row>
    <row r="678" spans="1:20" x14ac:dyDescent="0.25">
      <c r="A678" s="5">
        <v>43915</v>
      </c>
      <c r="B678">
        <v>5.8999999999999997E-2</v>
      </c>
      <c r="C678">
        <v>6.0100000000000001E-2</v>
      </c>
      <c r="D678">
        <v>5.5300000000000002E-2</v>
      </c>
      <c r="E678">
        <v>5.9400000000000001E-2</v>
      </c>
      <c r="F678">
        <v>7860833.2699999996</v>
      </c>
      <c r="G678">
        <v>0.68</v>
      </c>
      <c r="L678" t="s">
        <v>7</v>
      </c>
      <c r="M678" t="s">
        <v>7</v>
      </c>
      <c r="N678" t="s">
        <v>8</v>
      </c>
      <c r="P678">
        <f t="shared" si="995"/>
        <v>0.70833333333333359</v>
      </c>
      <c r="Q678">
        <f t="shared" si="996"/>
        <v>5568090.2329166681</v>
      </c>
      <c r="R678">
        <f t="shared" si="997"/>
        <v>-34350912.954788938</v>
      </c>
      <c r="S678">
        <f t="shared" si="998"/>
        <v>-343.50912954788936</v>
      </c>
      <c r="T678">
        <f t="shared" si="999"/>
        <v>-0.34350912954788937</v>
      </c>
    </row>
    <row r="679" spans="1:20" x14ac:dyDescent="0.25">
      <c r="A679" s="5">
        <v>43914</v>
      </c>
      <c r="B679">
        <v>5.9400000000000001E-2</v>
      </c>
      <c r="C679">
        <v>6.0299999999999999E-2</v>
      </c>
      <c r="D679">
        <v>5.6500000000000002E-2</v>
      </c>
      <c r="E679">
        <v>5.8999999999999997E-2</v>
      </c>
      <c r="F679">
        <v>11503051.01</v>
      </c>
      <c r="G679">
        <v>-0.67</v>
      </c>
      <c r="L679" t="s">
        <v>8</v>
      </c>
      <c r="M679" t="s">
        <v>7</v>
      </c>
      <c r="N679" t="s">
        <v>8</v>
      </c>
      <c r="P679">
        <f t="shared" si="995"/>
        <v>0.31578947368420879</v>
      </c>
      <c r="Q679">
        <f t="shared" si="996"/>
        <v>3632542.424210506</v>
      </c>
      <c r="R679">
        <f t="shared" si="997"/>
        <v>-39919003.187705606</v>
      </c>
      <c r="S679">
        <f t="shared" si="998"/>
        <v>-399.19003187705607</v>
      </c>
      <c r="T679">
        <f t="shared" si="999"/>
        <v>-0.3991900318770561</v>
      </c>
    </row>
    <row r="680" spans="1:20" x14ac:dyDescent="0.25">
      <c r="A680" s="5">
        <v>43913</v>
      </c>
      <c r="B680">
        <v>5.5500000000000001E-2</v>
      </c>
      <c r="C680">
        <v>0.06</v>
      </c>
      <c r="D680">
        <v>5.2999999999999999E-2</v>
      </c>
      <c r="E680">
        <v>5.9200000000000003E-2</v>
      </c>
      <c r="F680">
        <v>11255091.890000001</v>
      </c>
      <c r="G680">
        <v>6.67</v>
      </c>
      <c r="L680" t="s">
        <v>7</v>
      </c>
      <c r="M680" t="s">
        <v>7</v>
      </c>
      <c r="N680" t="s">
        <v>8</v>
      </c>
      <c r="P680">
        <f t="shared" si="995"/>
        <v>0.7714285714285728</v>
      </c>
      <c r="Q680">
        <f t="shared" si="996"/>
        <v>8682499.4580000155</v>
      </c>
      <c r="R680">
        <f t="shared" si="997"/>
        <v>-43551545.61191611</v>
      </c>
      <c r="S680">
        <f t="shared" si="998"/>
        <v>-435.51545611916112</v>
      </c>
      <c r="T680">
        <f t="shared" si="999"/>
        <v>-0.43551545611916109</v>
      </c>
    </row>
    <row r="681" spans="1:20" x14ac:dyDescent="0.25">
      <c r="A681" s="5">
        <v>43912</v>
      </c>
      <c r="B681">
        <v>6.2399999999999997E-2</v>
      </c>
      <c r="C681">
        <v>6.5500000000000003E-2</v>
      </c>
      <c r="D681">
        <v>5.5599999999999997E-2</v>
      </c>
      <c r="E681">
        <v>5.6099999999999997E-2</v>
      </c>
      <c r="F681">
        <v>11438771.65</v>
      </c>
      <c r="G681">
        <v>-10.1</v>
      </c>
      <c r="L681" t="s">
        <v>7</v>
      </c>
      <c r="M681" t="s">
        <v>7</v>
      </c>
      <c r="N681" t="s">
        <v>8</v>
      </c>
      <c r="P681">
        <f t="shared" si="995"/>
        <v>-0.89898989898989901</v>
      </c>
      <c r="Q681">
        <f t="shared" si="996"/>
        <v>-10283340.170202021</v>
      </c>
      <c r="R681">
        <f t="shared" si="997"/>
        <v>-52234045.069916129</v>
      </c>
      <c r="S681">
        <f t="shared" si="998"/>
        <v>-522.34045069916124</v>
      </c>
      <c r="T681">
        <f t="shared" si="999"/>
        <v>-0.52234045069916124</v>
      </c>
    </row>
    <row r="682" spans="1:20" x14ac:dyDescent="0.25">
      <c r="A682" s="5">
        <v>43911</v>
      </c>
      <c r="B682">
        <v>6.1699999999999998E-2</v>
      </c>
      <c r="C682">
        <v>6.5799999999999997E-2</v>
      </c>
      <c r="D682">
        <v>5.7500000000000002E-2</v>
      </c>
      <c r="E682">
        <v>6.2300000000000001E-2</v>
      </c>
      <c r="F682">
        <v>13149176.16</v>
      </c>
      <c r="G682">
        <v>0.97</v>
      </c>
      <c r="L682" t="s">
        <v>7</v>
      </c>
      <c r="M682" t="s">
        <v>7</v>
      </c>
      <c r="N682" t="s">
        <v>8</v>
      </c>
      <c r="P682">
        <f t="shared" si="995"/>
        <v>0.15662650602409678</v>
      </c>
      <c r="Q682">
        <f t="shared" si="996"/>
        <v>2059509.5190361498</v>
      </c>
      <c r="R682">
        <f t="shared" si="997"/>
        <v>-41950704.899714112</v>
      </c>
      <c r="S682">
        <f t="shared" si="998"/>
        <v>-419.50704899714111</v>
      </c>
      <c r="T682">
        <f t="shared" si="999"/>
        <v>-0.41950704899714109</v>
      </c>
    </row>
    <row r="683" spans="1:20" x14ac:dyDescent="0.25">
      <c r="A683" s="5">
        <v>43910</v>
      </c>
      <c r="B683">
        <v>6.4899999999999999E-2</v>
      </c>
      <c r="C683">
        <v>7.1599999999999997E-2</v>
      </c>
      <c r="D683">
        <v>5.5500000000000001E-2</v>
      </c>
      <c r="E683">
        <v>6.1600000000000002E-2</v>
      </c>
      <c r="F683">
        <v>14272436.76</v>
      </c>
      <c r="G683">
        <v>-5.08</v>
      </c>
      <c r="L683" t="s">
        <v>8</v>
      </c>
      <c r="M683" t="s">
        <v>8</v>
      </c>
      <c r="N683" t="s">
        <v>8</v>
      </c>
      <c r="P683">
        <f t="shared" si="995"/>
        <v>-0.24223602484472018</v>
      </c>
      <c r="Q683">
        <f t="shared" si="996"/>
        <v>-3457298.3455900573</v>
      </c>
      <c r="R683">
        <f t="shared" si="997"/>
        <v>-44010214.418750264</v>
      </c>
      <c r="S683">
        <f t="shared" si="998"/>
        <v>-440.10214418750263</v>
      </c>
      <c r="T683">
        <f t="shared" si="999"/>
        <v>-0.44010214418750265</v>
      </c>
    </row>
    <row r="684" spans="1:20" x14ac:dyDescent="0.25">
      <c r="A684" s="5">
        <v>43909</v>
      </c>
      <c r="B684">
        <v>5.3600000000000002E-2</v>
      </c>
      <c r="C684">
        <v>6.7900000000000002E-2</v>
      </c>
      <c r="D684">
        <v>5.3400000000000003E-2</v>
      </c>
      <c r="E684">
        <v>6.4699999999999994E-2</v>
      </c>
      <c r="F684">
        <v>16617486.199999999</v>
      </c>
      <c r="G684">
        <v>20.71</v>
      </c>
      <c r="L684" t="s">
        <v>8</v>
      </c>
      <c r="M684" t="s">
        <v>8</v>
      </c>
      <c r="N684" t="s">
        <v>8</v>
      </c>
      <c r="P684">
        <f t="shared" si="995"/>
        <v>0.5586206896551712</v>
      </c>
      <c r="Q684">
        <f t="shared" si="996"/>
        <v>9282871.6013792902</v>
      </c>
      <c r="R684">
        <f t="shared" si="997"/>
        <v>-40552916.073160209</v>
      </c>
      <c r="S684">
        <f t="shared" si="998"/>
        <v>-405.52916073160208</v>
      </c>
      <c r="T684">
        <f t="shared" si="999"/>
        <v>-0.40552916073160206</v>
      </c>
    </row>
    <row r="685" spans="1:20" x14ac:dyDescent="0.25">
      <c r="A685" s="5">
        <v>43908</v>
      </c>
      <c r="B685">
        <v>5.3699999999999998E-2</v>
      </c>
      <c r="C685">
        <v>5.5899999999999998E-2</v>
      </c>
      <c r="D685">
        <v>4.8899999999999999E-2</v>
      </c>
      <c r="E685">
        <v>5.3400000000000003E-2</v>
      </c>
      <c r="F685">
        <v>10177003.300000001</v>
      </c>
      <c r="G685">
        <v>-0.56000000000000005</v>
      </c>
      <c r="L685" t="s">
        <v>7</v>
      </c>
      <c r="M685" t="s">
        <v>8</v>
      </c>
      <c r="N685" t="s">
        <v>7</v>
      </c>
      <c r="P685">
        <f t="shared" si="995"/>
        <v>0.28571428571428698</v>
      </c>
      <c r="Q685">
        <f t="shared" si="996"/>
        <v>2907715.2285714415</v>
      </c>
      <c r="R685">
        <f t="shared" si="997"/>
        <v>-49835787.674539499</v>
      </c>
      <c r="S685">
        <f t="shared" si="998"/>
        <v>-498.357876745395</v>
      </c>
      <c r="T685">
        <f t="shared" si="999"/>
        <v>-0.498357876745395</v>
      </c>
    </row>
    <row r="686" spans="1:20" x14ac:dyDescent="0.25">
      <c r="A686" s="5">
        <v>43907</v>
      </c>
      <c r="B686">
        <v>4.9500000000000002E-2</v>
      </c>
      <c r="C686">
        <v>5.6399999999999999E-2</v>
      </c>
      <c r="D686">
        <v>4.8800000000000003E-2</v>
      </c>
      <c r="E686">
        <v>5.3600000000000002E-2</v>
      </c>
      <c r="F686">
        <v>3517789.55</v>
      </c>
      <c r="G686">
        <v>8.2799999999999994</v>
      </c>
      <c r="L686" t="s">
        <v>8</v>
      </c>
      <c r="M686" t="s">
        <v>8</v>
      </c>
      <c r="N686" t="s">
        <v>7</v>
      </c>
      <c r="P686">
        <f t="shared" si="995"/>
        <v>0.26315789473684248</v>
      </c>
      <c r="Q686">
        <f t="shared" si="996"/>
        <v>925734.09210526443</v>
      </c>
      <c r="R686">
        <f t="shared" si="997"/>
        <v>-52743502.903110944</v>
      </c>
      <c r="S686">
        <f t="shared" si="998"/>
        <v>-527.43502903110948</v>
      </c>
      <c r="T686">
        <f t="shared" si="999"/>
        <v>-0.5274350290311095</v>
      </c>
    </row>
    <row r="687" spans="1:20" x14ac:dyDescent="0.25">
      <c r="A687" s="5">
        <v>43906</v>
      </c>
      <c r="B687">
        <v>5.7799999999999997E-2</v>
      </c>
      <c r="C687">
        <v>5.79E-2</v>
      </c>
      <c r="D687">
        <v>4.36E-2</v>
      </c>
      <c r="E687">
        <v>4.8500000000000001E-2</v>
      </c>
      <c r="F687">
        <v>8902421.3200000003</v>
      </c>
      <c r="G687">
        <v>-16.09</v>
      </c>
      <c r="L687" t="s">
        <v>7</v>
      </c>
      <c r="M687" t="s">
        <v>7</v>
      </c>
      <c r="N687" t="s">
        <v>7</v>
      </c>
      <c r="P687">
        <f t="shared" si="995"/>
        <v>-0.31468531468531447</v>
      </c>
      <c r="Q687">
        <f t="shared" si="996"/>
        <v>-2801461.2545454525</v>
      </c>
      <c r="R687">
        <f t="shared" si="997"/>
        <v>-53669236.995216206</v>
      </c>
      <c r="S687">
        <f t="shared" si="998"/>
        <v>-536.69236995216204</v>
      </c>
      <c r="T687">
        <f t="shared" si="999"/>
        <v>-0.53669236995216207</v>
      </c>
    </row>
    <row r="688" spans="1:20" x14ac:dyDescent="0.25">
      <c r="A688" s="5">
        <v>43905</v>
      </c>
      <c r="B688">
        <v>5.7799999999999997E-2</v>
      </c>
      <c r="C688">
        <v>6.2300000000000001E-2</v>
      </c>
      <c r="D688">
        <v>5.5399999999999998E-2</v>
      </c>
      <c r="E688">
        <v>5.7799999999999997E-2</v>
      </c>
      <c r="F688">
        <v>13801608.220000001</v>
      </c>
      <c r="G688">
        <v>0</v>
      </c>
      <c r="L688" t="s">
        <v>7</v>
      </c>
      <c r="M688" t="s">
        <v>7</v>
      </c>
      <c r="N688" t="s">
        <v>8</v>
      </c>
      <c r="P688">
        <f t="shared" si="995"/>
        <v>-0.30434782608695704</v>
      </c>
      <c r="Q688">
        <f t="shared" si="996"/>
        <v>-4200489.4582608771</v>
      </c>
      <c r="R688">
        <f t="shared" si="997"/>
        <v>-50867775.740670756</v>
      </c>
      <c r="S688">
        <f t="shared" si="998"/>
        <v>-508.67775740670754</v>
      </c>
      <c r="T688">
        <f t="shared" si="999"/>
        <v>-0.50867775740670751</v>
      </c>
    </row>
    <row r="689" spans="1:20" x14ac:dyDescent="0.25">
      <c r="A689" s="5">
        <v>43904</v>
      </c>
      <c r="B689">
        <v>6.3500000000000001E-2</v>
      </c>
      <c r="C689">
        <v>6.54E-2</v>
      </c>
      <c r="D689">
        <v>5.6099999999999997E-2</v>
      </c>
      <c r="E689">
        <v>5.7799999999999997E-2</v>
      </c>
      <c r="F689">
        <v>12730345.560000001</v>
      </c>
      <c r="G689">
        <v>-8.98</v>
      </c>
      <c r="L689" t="s">
        <v>8</v>
      </c>
      <c r="M689" t="s">
        <v>8</v>
      </c>
      <c r="N689" t="s">
        <v>8</v>
      </c>
      <c r="P689">
        <f t="shared" si="995"/>
        <v>-0.63440860215053774</v>
      </c>
      <c r="Q689">
        <f t="shared" si="996"/>
        <v>-8076240.7316129049</v>
      </c>
      <c r="R689">
        <f t="shared" si="997"/>
        <v>-46667286.282409877</v>
      </c>
      <c r="S689">
        <f t="shared" si="998"/>
        <v>-466.67286282409879</v>
      </c>
      <c r="T689">
        <f t="shared" si="999"/>
        <v>-0.46667286282409881</v>
      </c>
    </row>
    <row r="690" spans="1:20" x14ac:dyDescent="0.25">
      <c r="A690" s="5">
        <v>43903</v>
      </c>
      <c r="B690">
        <v>5.1799999999999999E-2</v>
      </c>
      <c r="C690">
        <v>7.4099999999999999E-2</v>
      </c>
      <c r="D690">
        <v>3.73E-2</v>
      </c>
      <c r="E690">
        <v>6.2399999999999997E-2</v>
      </c>
      <c r="F690">
        <v>12286265.51</v>
      </c>
      <c r="G690">
        <v>20.46</v>
      </c>
      <c r="L690" t="s">
        <v>7</v>
      </c>
      <c r="M690" t="s">
        <v>7</v>
      </c>
      <c r="N690" t="s">
        <v>7</v>
      </c>
      <c r="P690">
        <f t="shared" si="995"/>
        <v>0.36413043478260859</v>
      </c>
      <c r="Q690">
        <f t="shared" si="996"/>
        <v>4473803.2020108681</v>
      </c>
      <c r="R690">
        <f t="shared" si="997"/>
        <v>-38591045.550796971</v>
      </c>
      <c r="S690">
        <f t="shared" si="998"/>
        <v>-385.91045550796969</v>
      </c>
      <c r="T690">
        <f t="shared" si="999"/>
        <v>-0.38591045550796971</v>
      </c>
    </row>
    <row r="691" spans="1:20" x14ac:dyDescent="0.25">
      <c r="A691" s="5">
        <v>43902</v>
      </c>
      <c r="B691">
        <v>0.10929999999999999</v>
      </c>
      <c r="C691">
        <v>0.1104</v>
      </c>
      <c r="D691">
        <v>5.0099999999999999E-2</v>
      </c>
      <c r="E691">
        <v>5.1400000000000001E-2</v>
      </c>
      <c r="F691">
        <v>19470870.09</v>
      </c>
      <c r="G691">
        <v>-52.97</v>
      </c>
      <c r="L691" t="s">
        <v>7</v>
      </c>
      <c r="M691" t="s">
        <v>7</v>
      </c>
      <c r="N691" t="s">
        <v>7</v>
      </c>
      <c r="P691">
        <f t="shared" si="995"/>
        <v>-0.95688225538971794</v>
      </c>
      <c r="Q691">
        <f t="shared" si="996"/>
        <v>-18631330.086119398</v>
      </c>
      <c r="R691">
        <f t="shared" si="997"/>
        <v>-43064848.752807841</v>
      </c>
      <c r="S691">
        <f t="shared" si="998"/>
        <v>-430.64848752807842</v>
      </c>
      <c r="T691">
        <f t="shared" si="999"/>
        <v>-0.43064848752807844</v>
      </c>
    </row>
    <row r="692" spans="1:20" x14ac:dyDescent="0.25">
      <c r="A692" s="5">
        <v>43901</v>
      </c>
      <c r="B692">
        <v>0.1192</v>
      </c>
      <c r="C692">
        <v>0.12089999999999999</v>
      </c>
      <c r="D692">
        <v>0.1033</v>
      </c>
      <c r="E692">
        <v>0.10920000000000001</v>
      </c>
      <c r="F692">
        <v>12256472.51</v>
      </c>
      <c r="G692">
        <v>-8.39</v>
      </c>
      <c r="L692" t="s">
        <v>7</v>
      </c>
      <c r="M692" t="s">
        <v>7</v>
      </c>
      <c r="N692" t="s">
        <v>7</v>
      </c>
      <c r="P692">
        <f t="shared" si="995"/>
        <v>-0.32954545454545392</v>
      </c>
      <c r="Q692">
        <f t="shared" si="996"/>
        <v>-4039064.8044318105</v>
      </c>
      <c r="R692">
        <f t="shared" si="997"/>
        <v>-24433518.666688439</v>
      </c>
      <c r="S692">
        <f t="shared" si="998"/>
        <v>-244.3351866668844</v>
      </c>
      <c r="T692">
        <f t="shared" si="999"/>
        <v>-0.24433518666688439</v>
      </c>
    </row>
    <row r="693" spans="1:20" x14ac:dyDescent="0.25">
      <c r="A693" s="5">
        <v>43900</v>
      </c>
      <c r="B693">
        <v>0.11550000000000001</v>
      </c>
      <c r="C693">
        <v>0.127</v>
      </c>
      <c r="D693">
        <v>0.1138</v>
      </c>
      <c r="E693">
        <v>0.1192</v>
      </c>
      <c r="F693">
        <v>11158156.52</v>
      </c>
      <c r="G693">
        <v>3.2</v>
      </c>
      <c r="L693" t="s">
        <v>8</v>
      </c>
      <c r="M693" t="s">
        <v>7</v>
      </c>
      <c r="N693" t="s">
        <v>7</v>
      </c>
      <c r="P693">
        <f t="shared" si="995"/>
        <v>-0.18181818181818171</v>
      </c>
      <c r="Q693">
        <f t="shared" si="996"/>
        <v>-2028755.7309090896</v>
      </c>
      <c r="R693">
        <f t="shared" si="997"/>
        <v>-20394453.862256628</v>
      </c>
      <c r="S693">
        <f t="shared" si="998"/>
        <v>-203.94453862256628</v>
      </c>
      <c r="T693">
        <f t="shared" si="999"/>
        <v>-0.20394453862256628</v>
      </c>
    </row>
    <row r="694" spans="1:20" x14ac:dyDescent="0.25">
      <c r="A694" s="5">
        <v>43899</v>
      </c>
      <c r="B694">
        <v>0.11650000000000001</v>
      </c>
      <c r="C694">
        <v>0.1239</v>
      </c>
      <c r="D694">
        <v>0.1061</v>
      </c>
      <c r="E694">
        <v>0.1159</v>
      </c>
      <c r="F694">
        <v>8421366.2799999993</v>
      </c>
      <c r="G694">
        <v>-0.52</v>
      </c>
      <c r="L694" t="s">
        <v>7</v>
      </c>
      <c r="M694" t="s">
        <v>7</v>
      </c>
      <c r="N694" t="s">
        <v>7</v>
      </c>
      <c r="P694">
        <f t="shared" si="995"/>
        <v>0.10112359550561856</v>
      </c>
      <c r="Q694">
        <f t="shared" si="996"/>
        <v>851598.83730337559</v>
      </c>
      <c r="R694">
        <f t="shared" si="997"/>
        <v>-18365698.131347537</v>
      </c>
      <c r="S694">
        <f t="shared" si="998"/>
        <v>-183.65698131347537</v>
      </c>
      <c r="T694">
        <f t="shared" si="999"/>
        <v>-0.18365698131347538</v>
      </c>
    </row>
    <row r="695" spans="1:20" x14ac:dyDescent="0.25">
      <c r="A695" s="5">
        <v>43898</v>
      </c>
      <c r="B695">
        <v>0.14430000000000001</v>
      </c>
      <c r="C695">
        <v>0.14430000000000001</v>
      </c>
      <c r="D695">
        <v>0.11600000000000001</v>
      </c>
      <c r="E695">
        <v>0.1173</v>
      </c>
      <c r="F695">
        <v>9841729.4900000002</v>
      </c>
      <c r="G695">
        <v>-18.71</v>
      </c>
      <c r="L695" t="s">
        <v>7</v>
      </c>
      <c r="M695" t="s">
        <v>7</v>
      </c>
      <c r="N695" t="s">
        <v>7</v>
      </c>
      <c r="P695">
        <f t="shared" si="995"/>
        <v>-0.90812720848056572</v>
      </c>
      <c r="Q695">
        <f t="shared" si="996"/>
        <v>-8937542.3283745628</v>
      </c>
      <c r="R695">
        <f t="shared" si="997"/>
        <v>-19217296.968650911</v>
      </c>
      <c r="S695">
        <f t="shared" si="998"/>
        <v>-192.17296968650911</v>
      </c>
      <c r="T695">
        <f t="shared" si="999"/>
        <v>-0.1921729696865091</v>
      </c>
    </row>
    <row r="696" spans="1:20" x14ac:dyDescent="0.25">
      <c r="A696" s="5">
        <v>43897</v>
      </c>
      <c r="B696">
        <v>0.15090000000000001</v>
      </c>
      <c r="C696">
        <v>0.16900000000000001</v>
      </c>
      <c r="D696">
        <v>0.13969999999999999</v>
      </c>
      <c r="E696">
        <v>0.14499999999999999</v>
      </c>
      <c r="F696">
        <v>16241346.359999999</v>
      </c>
      <c r="G696">
        <v>-3.91</v>
      </c>
      <c r="L696" t="s">
        <v>7</v>
      </c>
      <c r="M696" t="s">
        <v>8</v>
      </c>
      <c r="N696" t="s">
        <v>7</v>
      </c>
      <c r="P696">
        <f t="shared" si="995"/>
        <v>-0.63822525597269653</v>
      </c>
      <c r="Q696">
        <f t="shared" si="996"/>
        <v>-10365637.437952222</v>
      </c>
      <c r="R696">
        <f t="shared" si="997"/>
        <v>-10279754.640276348</v>
      </c>
      <c r="S696">
        <f t="shared" si="998"/>
        <v>-102.79754640276349</v>
      </c>
      <c r="T696">
        <f t="shared" si="999"/>
        <v>-0.10279754640276349</v>
      </c>
    </row>
    <row r="697" spans="1:20" x14ac:dyDescent="0.25">
      <c r="A697" s="5">
        <v>43896</v>
      </c>
      <c r="B697">
        <v>0.14480000000000001</v>
      </c>
      <c r="C697">
        <v>0.1537</v>
      </c>
      <c r="D697">
        <v>0.14169999999999999</v>
      </c>
      <c r="E697">
        <v>0.15079999999999999</v>
      </c>
      <c r="F697">
        <v>10130033.529999999</v>
      </c>
      <c r="G697">
        <v>4.1399999999999997</v>
      </c>
      <c r="L697" t="s">
        <v>7</v>
      </c>
      <c r="M697" t="s">
        <v>7</v>
      </c>
      <c r="N697" t="s">
        <v>7</v>
      </c>
      <c r="P697">
        <f t="shared" si="995"/>
        <v>0.51666666666666483</v>
      </c>
      <c r="Q697">
        <f t="shared" si="996"/>
        <v>5233850.6571666477</v>
      </c>
      <c r="R697">
        <f t="shared" si="997"/>
        <v>85882.797675874084</v>
      </c>
      <c r="S697">
        <f t="shared" si="998"/>
        <v>0.8588279767587409</v>
      </c>
      <c r="T697">
        <f t="shared" si="999"/>
        <v>8.5882797675874089E-4</v>
      </c>
    </row>
    <row r="698" spans="1:20" x14ac:dyDescent="0.25">
      <c r="A698" s="5">
        <v>43895</v>
      </c>
      <c r="B698">
        <v>0.13919999999999999</v>
      </c>
      <c r="C698">
        <v>0.1545</v>
      </c>
      <c r="D698">
        <v>0.13639999999999999</v>
      </c>
      <c r="E698">
        <v>0.14560000000000001</v>
      </c>
      <c r="F698">
        <v>13431669.93</v>
      </c>
      <c r="G698">
        <v>4.5999999999999996</v>
      </c>
      <c r="L698" t="s">
        <v>8</v>
      </c>
      <c r="M698" t="s">
        <v>7</v>
      </c>
      <c r="N698" t="s">
        <v>7</v>
      </c>
      <c r="P698">
        <f t="shared" si="995"/>
        <v>1.6574585635360354E-2</v>
      </c>
      <c r="Q698">
        <f t="shared" si="996"/>
        <v>222624.3634806796</v>
      </c>
      <c r="R698">
        <f t="shared" si="997"/>
        <v>-5147967.8594907736</v>
      </c>
      <c r="S698">
        <f t="shared" si="998"/>
        <v>-51.479678594907739</v>
      </c>
      <c r="T698">
        <f t="shared" si="999"/>
        <v>-5.1479678594907742E-2</v>
      </c>
    </row>
    <row r="699" spans="1:20" x14ac:dyDescent="0.25">
      <c r="A699" s="5">
        <v>43894</v>
      </c>
      <c r="B699">
        <v>0.1447</v>
      </c>
      <c r="C699">
        <v>0.14549999999999999</v>
      </c>
      <c r="D699">
        <v>0.1346</v>
      </c>
      <c r="E699">
        <v>0.13980000000000001</v>
      </c>
      <c r="F699">
        <v>4183926.65</v>
      </c>
      <c r="G699">
        <v>-3.39</v>
      </c>
      <c r="L699" t="s">
        <v>7</v>
      </c>
      <c r="M699" t="s">
        <v>7</v>
      </c>
      <c r="N699" t="s">
        <v>7</v>
      </c>
      <c r="P699">
        <f t="shared" si="995"/>
        <v>-4.5871559633025048E-2</v>
      </c>
      <c r="Q699">
        <f t="shared" si="996"/>
        <v>-191923.24082567773</v>
      </c>
      <c r="R699">
        <f t="shared" si="997"/>
        <v>-5370592.2229714533</v>
      </c>
      <c r="S699">
        <f t="shared" si="998"/>
        <v>-53.705922229714531</v>
      </c>
      <c r="T699">
        <f t="shared" si="999"/>
        <v>-5.3705922229714528E-2</v>
      </c>
    </row>
    <row r="700" spans="1:20" x14ac:dyDescent="0.25">
      <c r="A700" s="5">
        <v>43893</v>
      </c>
      <c r="B700">
        <v>0.14760000000000001</v>
      </c>
      <c r="C700">
        <v>0.1525</v>
      </c>
      <c r="D700">
        <v>0.14000000000000001</v>
      </c>
      <c r="E700">
        <v>0.1459</v>
      </c>
      <c r="F700">
        <v>5086735.8</v>
      </c>
      <c r="G700">
        <v>-1.1499999999999999</v>
      </c>
      <c r="L700" t="s">
        <v>7</v>
      </c>
      <c r="M700" t="s">
        <v>8</v>
      </c>
      <c r="N700" t="s">
        <v>7</v>
      </c>
      <c r="P700">
        <f t="shared" si="995"/>
        <v>-5.600000000000057E-2</v>
      </c>
      <c r="Q700">
        <f t="shared" si="996"/>
        <v>-284857.20480000292</v>
      </c>
      <c r="R700">
        <f t="shared" si="997"/>
        <v>-5178668.982145776</v>
      </c>
      <c r="S700">
        <f t="shared" si="998"/>
        <v>-51.786689821457763</v>
      </c>
      <c r="T700">
        <f t="shared" si="999"/>
        <v>-5.178668982145776E-2</v>
      </c>
    </row>
    <row r="701" spans="1:20" x14ac:dyDescent="0.25">
      <c r="A701" s="5">
        <v>43892</v>
      </c>
      <c r="B701">
        <v>0.1338</v>
      </c>
      <c r="C701">
        <v>0.1638</v>
      </c>
      <c r="D701">
        <v>0.13020000000000001</v>
      </c>
      <c r="E701">
        <v>0.14760000000000001</v>
      </c>
      <c r="F701">
        <v>9554724.1999999993</v>
      </c>
      <c r="G701">
        <v>10.31</v>
      </c>
      <c r="L701" t="s">
        <v>8</v>
      </c>
      <c r="M701" t="s">
        <v>8</v>
      </c>
      <c r="N701" t="s">
        <v>7</v>
      </c>
      <c r="P701">
        <f t="shared" si="995"/>
        <v>3.571428571428592E-2</v>
      </c>
      <c r="Q701">
        <f t="shared" si="996"/>
        <v>341240.15000000194</v>
      </c>
      <c r="R701">
        <f t="shared" si="997"/>
        <v>-4893811.7773457728</v>
      </c>
      <c r="S701">
        <f t="shared" si="998"/>
        <v>-48.938117773457726</v>
      </c>
      <c r="T701">
        <f t="shared" si="999"/>
        <v>-4.8938117773457725E-2</v>
      </c>
    </row>
    <row r="702" spans="1:20" x14ac:dyDescent="0.25">
      <c r="A702" s="5">
        <v>43891</v>
      </c>
      <c r="B702">
        <v>0.1439</v>
      </c>
      <c r="C702">
        <v>0.1469</v>
      </c>
      <c r="D702">
        <v>0.12920000000000001</v>
      </c>
      <c r="E702">
        <v>0.13339999999999999</v>
      </c>
      <c r="F702">
        <v>4073775.09</v>
      </c>
      <c r="G702">
        <v>-7.3</v>
      </c>
      <c r="L702" t="s">
        <v>7</v>
      </c>
      <c r="M702" t="s">
        <v>7</v>
      </c>
      <c r="N702" t="s">
        <v>7</v>
      </c>
      <c r="P702">
        <f t="shared" si="995"/>
        <v>-0.52542372881356125</v>
      </c>
      <c r="Q702">
        <f t="shared" si="996"/>
        <v>-2140458.0981356008</v>
      </c>
      <c r="R702">
        <f t="shared" si="997"/>
        <v>-5235051.9273457751</v>
      </c>
      <c r="S702">
        <f t="shared" si="998"/>
        <v>-52.350519273457749</v>
      </c>
      <c r="T702">
        <f t="shared" si="999"/>
        <v>-5.2350519273457748E-2</v>
      </c>
    </row>
    <row r="703" spans="1:20" x14ac:dyDescent="0.25">
      <c r="A703" s="5">
        <v>43890</v>
      </c>
      <c r="B703">
        <v>0.14810000000000001</v>
      </c>
      <c r="C703">
        <v>0.153</v>
      </c>
      <c r="D703">
        <v>0.1376</v>
      </c>
      <c r="E703">
        <v>0.14399999999999999</v>
      </c>
      <c r="F703">
        <v>5677786.6200000001</v>
      </c>
      <c r="G703">
        <v>-2.77</v>
      </c>
      <c r="L703" t="s">
        <v>7</v>
      </c>
      <c r="M703" t="s">
        <v>7</v>
      </c>
      <c r="N703" t="s">
        <v>8</v>
      </c>
      <c r="P703">
        <f t="shared" si="995"/>
        <v>-0.16883116883117011</v>
      </c>
      <c r="Q703">
        <f t="shared" si="996"/>
        <v>-958587.35142857872</v>
      </c>
      <c r="R703">
        <f t="shared" si="997"/>
        <v>-3094593.8292101747</v>
      </c>
      <c r="S703">
        <f t="shared" si="998"/>
        <v>-30.945938292101747</v>
      </c>
      <c r="T703">
        <f t="shared" si="999"/>
        <v>-3.0945938292101748E-2</v>
      </c>
    </row>
    <row r="704" spans="1:20" x14ac:dyDescent="0.25">
      <c r="A704" s="5">
        <v>43889</v>
      </c>
      <c r="B704">
        <v>0.1615</v>
      </c>
      <c r="C704">
        <v>0.1681</v>
      </c>
      <c r="D704">
        <v>0.14000000000000001</v>
      </c>
      <c r="E704">
        <v>0.1492</v>
      </c>
      <c r="F704">
        <v>6889718.7400000002</v>
      </c>
      <c r="G704">
        <v>-7.62</v>
      </c>
      <c r="L704" t="s">
        <v>7</v>
      </c>
      <c r="M704" t="s">
        <v>7</v>
      </c>
      <c r="N704" t="s">
        <v>8</v>
      </c>
      <c r="P704">
        <f t="shared" si="995"/>
        <v>-0.34519572953736721</v>
      </c>
      <c r="Q704">
        <f t="shared" si="996"/>
        <v>-2378301.4867615704</v>
      </c>
      <c r="R704">
        <f t="shared" si="997"/>
        <v>-2136006.4777815961</v>
      </c>
      <c r="S704">
        <f t="shared" si="998"/>
        <v>-21.36006477781596</v>
      </c>
      <c r="T704">
        <f t="shared" si="999"/>
        <v>-2.1360064777815959E-2</v>
      </c>
    </row>
    <row r="705" spans="1:20" x14ac:dyDescent="0.25">
      <c r="A705" s="5">
        <v>43888</v>
      </c>
      <c r="B705">
        <v>0.16039999999999999</v>
      </c>
      <c r="C705">
        <v>0.18</v>
      </c>
      <c r="D705">
        <v>0.14899999999999999</v>
      </c>
      <c r="E705">
        <v>0.161</v>
      </c>
      <c r="F705">
        <v>17384981.600000001</v>
      </c>
      <c r="G705">
        <v>0.37</v>
      </c>
      <c r="L705" t="s">
        <v>7</v>
      </c>
      <c r="M705" t="s">
        <v>7</v>
      </c>
      <c r="N705" t="s">
        <v>8</v>
      </c>
      <c r="P705">
        <f t="shared" si="995"/>
        <v>-0.22580645161290253</v>
      </c>
      <c r="Q705">
        <f t="shared" si="996"/>
        <v>-3925641.0064516012</v>
      </c>
      <c r="R705">
        <f t="shared" si="997"/>
        <v>242295.00897997431</v>
      </c>
      <c r="S705">
        <f t="shared" si="998"/>
        <v>2.4229500897997434</v>
      </c>
      <c r="T705">
        <f t="shared" si="999"/>
        <v>2.4229500897997433E-3</v>
      </c>
    </row>
    <row r="706" spans="1:20" x14ac:dyDescent="0.25">
      <c r="A706" s="5">
        <v>43887</v>
      </c>
      <c r="B706">
        <v>0.1255</v>
      </c>
      <c r="C706">
        <v>0.19009999999999999</v>
      </c>
      <c r="D706">
        <v>0.12429999999999999</v>
      </c>
      <c r="E706">
        <v>0.16039999999999999</v>
      </c>
      <c r="F706">
        <v>38920730.82</v>
      </c>
      <c r="G706">
        <v>27.81</v>
      </c>
      <c r="L706" t="s">
        <v>8</v>
      </c>
      <c r="M706" t="s">
        <v>8</v>
      </c>
      <c r="N706" t="s">
        <v>8</v>
      </c>
      <c r="P706">
        <f t="shared" si="995"/>
        <v>9.7264437689969438E-2</v>
      </c>
      <c r="Q706">
        <f t="shared" si="996"/>
        <v>3785602.9976899633</v>
      </c>
      <c r="R706">
        <f t="shared" si="997"/>
        <v>4167936.0154315755</v>
      </c>
      <c r="S706">
        <f t="shared" si="998"/>
        <v>41.679360154315752</v>
      </c>
      <c r="T706">
        <f t="shared" si="999"/>
        <v>4.1679360154315753E-2</v>
      </c>
    </row>
    <row r="707" spans="1:20" x14ac:dyDescent="0.25">
      <c r="A707" s="5">
        <v>43886</v>
      </c>
      <c r="B707">
        <v>0.14460000000000001</v>
      </c>
      <c r="C707">
        <v>0.1454</v>
      </c>
      <c r="D707">
        <v>0.122</v>
      </c>
      <c r="E707">
        <v>0.12559999999999999</v>
      </c>
      <c r="F707">
        <v>4221866.0199999996</v>
      </c>
      <c r="G707">
        <v>-13.14</v>
      </c>
      <c r="L707" t="s">
        <v>7</v>
      </c>
      <c r="M707" t="s">
        <v>7</v>
      </c>
      <c r="N707" t="s">
        <v>7</v>
      </c>
      <c r="P707">
        <f t="shared" si="995"/>
        <v>-0.69230769230769307</v>
      </c>
      <c r="Q707">
        <f t="shared" si="996"/>
        <v>-2922830.3215384646</v>
      </c>
      <c r="R707">
        <f t="shared" si="997"/>
        <v>382333.01774161216</v>
      </c>
      <c r="S707">
        <f t="shared" si="998"/>
        <v>3.8233301774161217</v>
      </c>
      <c r="T707">
        <f t="shared" si="999"/>
        <v>3.8233301774161215E-3</v>
      </c>
    </row>
    <row r="708" spans="1:20" x14ac:dyDescent="0.25">
      <c r="A708" s="5">
        <v>43885</v>
      </c>
      <c r="B708">
        <v>0.16209999999999999</v>
      </c>
      <c r="C708">
        <v>0.1656</v>
      </c>
      <c r="D708">
        <v>0.12989999999999999</v>
      </c>
      <c r="E708">
        <v>0.14419999999999999</v>
      </c>
      <c r="F708">
        <v>8481942.6500000004</v>
      </c>
      <c r="G708">
        <v>-11.04</v>
      </c>
      <c r="L708" t="s">
        <v>7</v>
      </c>
      <c r="M708" t="s">
        <v>7</v>
      </c>
      <c r="N708" t="s">
        <v>8</v>
      </c>
      <c r="P708">
        <f t="shared" si="995"/>
        <v>-0.19887955182072811</v>
      </c>
      <c r="Q708">
        <f t="shared" si="996"/>
        <v>-1686884.9528011191</v>
      </c>
      <c r="R708">
        <f t="shared" si="997"/>
        <v>3305163.3392800768</v>
      </c>
      <c r="S708">
        <f t="shared" si="998"/>
        <v>33.051633392800767</v>
      </c>
      <c r="T708">
        <f t="shared" si="999"/>
        <v>3.3051633392800768E-2</v>
      </c>
    </row>
    <row r="709" spans="1:20" x14ac:dyDescent="0.25">
      <c r="A709" s="5">
        <v>43884</v>
      </c>
      <c r="B709">
        <v>0.1424</v>
      </c>
      <c r="C709">
        <v>0.17169999999999999</v>
      </c>
      <c r="D709">
        <v>0.14219999999999999</v>
      </c>
      <c r="E709">
        <v>0.16209999999999999</v>
      </c>
      <c r="F709">
        <v>13896818.51</v>
      </c>
      <c r="G709">
        <v>13.83</v>
      </c>
      <c r="L709" t="s">
        <v>8</v>
      </c>
      <c r="M709" t="s">
        <v>8</v>
      </c>
      <c r="N709" t="s">
        <v>8</v>
      </c>
      <c r="P709">
        <f t="shared" si="995"/>
        <v>0.34915254237288151</v>
      </c>
      <c r="Q709">
        <f t="shared" si="996"/>
        <v>4852109.5136610195</v>
      </c>
      <c r="R709">
        <f t="shared" si="997"/>
        <v>4992048.2920811959</v>
      </c>
      <c r="S709">
        <f t="shared" si="998"/>
        <v>49.920482920811956</v>
      </c>
      <c r="T709">
        <f t="shared" si="999"/>
        <v>4.9920482920811957E-2</v>
      </c>
    </row>
    <row r="710" spans="1:20" x14ac:dyDescent="0.25">
      <c r="A710" s="5">
        <v>43883</v>
      </c>
      <c r="B710">
        <v>0.13</v>
      </c>
      <c r="C710">
        <v>0.14990000000000001</v>
      </c>
      <c r="D710">
        <v>0.1241</v>
      </c>
      <c r="E710">
        <v>0.1424</v>
      </c>
      <c r="F710">
        <v>4499427.49</v>
      </c>
      <c r="G710">
        <v>9.5399999999999991</v>
      </c>
      <c r="L710" t="s">
        <v>8</v>
      </c>
      <c r="M710" t="s">
        <v>8</v>
      </c>
      <c r="N710" t="s">
        <v>7</v>
      </c>
      <c r="P710">
        <f t="shared" ref="P710:P766" si="1000">IF(C710=D710,0,((E710-D710)-(C710-E710))/(C710-D710))</f>
        <v>0.41860465116279028</v>
      </c>
      <c r="Q710">
        <f t="shared" ref="Q710:Q766" si="1001">F710*P710</f>
        <v>1883481.2748837192</v>
      </c>
      <c r="R710">
        <f t="shared" ref="R710:R766" si="1002">R711+Q710</f>
        <v>139938.77842017682</v>
      </c>
      <c r="S710">
        <f t="shared" ref="S710:S766" si="1003">R710/100000</f>
        <v>1.3993877842017681</v>
      </c>
      <c r="T710">
        <f t="shared" ref="T710:T766" si="1004">S710/1000</f>
        <v>1.3993877842017682E-3</v>
      </c>
    </row>
    <row r="711" spans="1:20" x14ac:dyDescent="0.25">
      <c r="A711" s="5">
        <v>43882</v>
      </c>
      <c r="B711">
        <v>0.12379999999999999</v>
      </c>
      <c r="C711">
        <v>0.1404</v>
      </c>
      <c r="D711">
        <v>0.1227</v>
      </c>
      <c r="E711">
        <v>0.1298</v>
      </c>
      <c r="F711">
        <v>3861499.59</v>
      </c>
      <c r="G711">
        <v>4.8499999999999996</v>
      </c>
      <c r="L711" t="s">
        <v>8</v>
      </c>
      <c r="M711" t="s">
        <v>8</v>
      </c>
      <c r="N711" t="s">
        <v>7</v>
      </c>
      <c r="P711">
        <f t="shared" si="1000"/>
        <v>-0.19774011299435054</v>
      </c>
      <c r="Q711">
        <f t="shared" si="1001"/>
        <v>-763573.36525423825</v>
      </c>
      <c r="R711">
        <f t="shared" si="1002"/>
        <v>-1743542.4964635423</v>
      </c>
      <c r="S711">
        <f t="shared" si="1003"/>
        <v>-17.435424964635423</v>
      </c>
      <c r="T711">
        <f t="shared" si="1004"/>
        <v>-1.7435424964635425E-2</v>
      </c>
    </row>
    <row r="712" spans="1:20" x14ac:dyDescent="0.25">
      <c r="A712" s="5">
        <v>43881</v>
      </c>
      <c r="B712">
        <v>0.11650000000000001</v>
      </c>
      <c r="C712">
        <v>0.13270000000000001</v>
      </c>
      <c r="D712">
        <v>0.1137</v>
      </c>
      <c r="E712">
        <v>0.125</v>
      </c>
      <c r="F712">
        <v>3131656.19</v>
      </c>
      <c r="G712">
        <v>7.3</v>
      </c>
      <c r="L712" t="s">
        <v>7</v>
      </c>
      <c r="M712" t="s">
        <v>7</v>
      </c>
      <c r="N712" t="s">
        <v>7</v>
      </c>
      <c r="P712">
        <f t="shared" si="1000"/>
        <v>0.18947368421052574</v>
      </c>
      <c r="Q712">
        <f t="shared" si="1001"/>
        <v>593366.43599999824</v>
      </c>
      <c r="R712">
        <f t="shared" si="1002"/>
        <v>-979969.13120930397</v>
      </c>
      <c r="S712">
        <f t="shared" si="1003"/>
        <v>-9.7996913120930405</v>
      </c>
      <c r="T712">
        <f t="shared" si="1004"/>
        <v>-9.7996913120930399E-3</v>
      </c>
    </row>
    <row r="713" spans="1:20" x14ac:dyDescent="0.25">
      <c r="A713" s="5">
        <v>43880</v>
      </c>
      <c r="B713">
        <v>0.1211</v>
      </c>
      <c r="C713">
        <v>0.24</v>
      </c>
      <c r="D713">
        <v>0.111</v>
      </c>
      <c r="E713">
        <v>0.1166</v>
      </c>
      <c r="F713">
        <v>1722922.65</v>
      </c>
      <c r="G713">
        <v>-3.72</v>
      </c>
      <c r="P713">
        <f t="shared" si="1000"/>
        <v>-0.91317829457364341</v>
      </c>
      <c r="Q713">
        <f t="shared" si="1001"/>
        <v>-1573335.5672093022</v>
      </c>
      <c r="R713">
        <f t="shared" si="1002"/>
        <v>-1573335.5672093022</v>
      </c>
      <c r="S713">
        <f t="shared" si="1003"/>
        <v>-15.733355672093023</v>
      </c>
      <c r="T713">
        <f t="shared" si="1004"/>
        <v>-1.5733355672093021E-2</v>
      </c>
    </row>
    <row r="714" spans="1:20" x14ac:dyDescent="0.25">
      <c r="A714" s="5"/>
      <c r="C714" s="4"/>
      <c r="D714" s="4"/>
      <c r="P714">
        <f t="shared" si="1000"/>
        <v>0</v>
      </c>
      <c r="Q714">
        <f t="shared" si="1001"/>
        <v>0</v>
      </c>
      <c r="R714">
        <f t="shared" si="1002"/>
        <v>0</v>
      </c>
      <c r="S714">
        <f t="shared" si="1003"/>
        <v>0</v>
      </c>
      <c r="T714">
        <f t="shared" si="1004"/>
        <v>0</v>
      </c>
    </row>
    <row r="715" spans="1:20" x14ac:dyDescent="0.25">
      <c r="A715" s="5"/>
      <c r="C715" s="4"/>
      <c r="D715" s="4"/>
      <c r="P715">
        <f t="shared" si="1000"/>
        <v>0</v>
      </c>
      <c r="Q715">
        <f t="shared" si="1001"/>
        <v>0</v>
      </c>
      <c r="R715">
        <f t="shared" si="1002"/>
        <v>0</v>
      </c>
      <c r="S715">
        <f t="shared" si="1003"/>
        <v>0</v>
      </c>
      <c r="T715">
        <f t="shared" si="1004"/>
        <v>0</v>
      </c>
    </row>
    <row r="716" spans="1:20" x14ac:dyDescent="0.25">
      <c r="A716" s="5"/>
      <c r="C716" s="4"/>
      <c r="D716" s="4"/>
      <c r="P716">
        <f t="shared" si="1000"/>
        <v>0</v>
      </c>
      <c r="Q716">
        <f t="shared" si="1001"/>
        <v>0</v>
      </c>
      <c r="R716">
        <f t="shared" si="1002"/>
        <v>0</v>
      </c>
      <c r="S716">
        <f t="shared" si="1003"/>
        <v>0</v>
      </c>
      <c r="T716">
        <f t="shared" si="1004"/>
        <v>0</v>
      </c>
    </row>
    <row r="717" spans="1:20" x14ac:dyDescent="0.25">
      <c r="A717" s="5"/>
      <c r="C717" s="4"/>
      <c r="D717" s="4"/>
      <c r="P717">
        <f t="shared" si="1000"/>
        <v>0</v>
      </c>
      <c r="Q717">
        <f t="shared" si="1001"/>
        <v>0</v>
      </c>
      <c r="R717">
        <f t="shared" si="1002"/>
        <v>0</v>
      </c>
      <c r="S717">
        <f t="shared" si="1003"/>
        <v>0</v>
      </c>
      <c r="T717">
        <f t="shared" si="1004"/>
        <v>0</v>
      </c>
    </row>
    <row r="718" spans="1:20" x14ac:dyDescent="0.25">
      <c r="A718" s="5"/>
      <c r="C718" s="4"/>
      <c r="D718" s="4"/>
      <c r="P718">
        <f t="shared" si="1000"/>
        <v>0</v>
      </c>
      <c r="Q718">
        <f t="shared" si="1001"/>
        <v>0</v>
      </c>
      <c r="R718">
        <f t="shared" si="1002"/>
        <v>0</v>
      </c>
      <c r="S718">
        <f t="shared" si="1003"/>
        <v>0</v>
      </c>
      <c r="T718">
        <f t="shared" si="1004"/>
        <v>0</v>
      </c>
    </row>
    <row r="719" spans="1:20" x14ac:dyDescent="0.25">
      <c r="A719" s="5"/>
      <c r="C719" s="4"/>
      <c r="D719" s="4"/>
      <c r="P719">
        <f t="shared" si="1000"/>
        <v>0</v>
      </c>
      <c r="Q719">
        <f t="shared" si="1001"/>
        <v>0</v>
      </c>
      <c r="R719">
        <f t="shared" si="1002"/>
        <v>0</v>
      </c>
      <c r="S719">
        <f t="shared" si="1003"/>
        <v>0</v>
      </c>
      <c r="T719">
        <f t="shared" si="1004"/>
        <v>0</v>
      </c>
    </row>
    <row r="720" spans="1:20" x14ac:dyDescent="0.25">
      <c r="A720" s="5"/>
      <c r="C720" s="4"/>
      <c r="D720" s="4"/>
      <c r="P720">
        <f t="shared" si="1000"/>
        <v>0</v>
      </c>
      <c r="Q720">
        <f t="shared" si="1001"/>
        <v>0</v>
      </c>
      <c r="R720">
        <f t="shared" si="1002"/>
        <v>0</v>
      </c>
      <c r="S720">
        <f t="shared" si="1003"/>
        <v>0</v>
      </c>
      <c r="T720">
        <f t="shared" si="1004"/>
        <v>0</v>
      </c>
    </row>
    <row r="721" spans="1:20" x14ac:dyDescent="0.25">
      <c r="A721" s="5"/>
      <c r="C721" s="4"/>
      <c r="D721" s="4"/>
      <c r="P721">
        <f t="shared" si="1000"/>
        <v>0</v>
      </c>
      <c r="Q721">
        <f t="shared" si="1001"/>
        <v>0</v>
      </c>
      <c r="R721">
        <f t="shared" si="1002"/>
        <v>0</v>
      </c>
      <c r="S721">
        <f t="shared" si="1003"/>
        <v>0</v>
      </c>
      <c r="T721">
        <f t="shared" si="1004"/>
        <v>0</v>
      </c>
    </row>
    <row r="722" spans="1:20" x14ac:dyDescent="0.25">
      <c r="A722" s="5"/>
      <c r="C722" s="4"/>
      <c r="D722" s="4"/>
      <c r="P722">
        <f t="shared" si="1000"/>
        <v>0</v>
      </c>
      <c r="Q722">
        <f t="shared" si="1001"/>
        <v>0</v>
      </c>
      <c r="R722">
        <f t="shared" si="1002"/>
        <v>0</v>
      </c>
      <c r="S722">
        <f t="shared" si="1003"/>
        <v>0</v>
      </c>
      <c r="T722">
        <f t="shared" si="1004"/>
        <v>0</v>
      </c>
    </row>
    <row r="723" spans="1:20" x14ac:dyDescent="0.25">
      <c r="A723" s="5"/>
      <c r="C723" s="4"/>
      <c r="D723" s="4"/>
      <c r="P723">
        <f t="shared" si="1000"/>
        <v>0</v>
      </c>
      <c r="Q723">
        <f t="shared" si="1001"/>
        <v>0</v>
      </c>
      <c r="R723">
        <f t="shared" si="1002"/>
        <v>0</v>
      </c>
      <c r="S723">
        <f t="shared" si="1003"/>
        <v>0</v>
      </c>
      <c r="T723">
        <f t="shared" si="1004"/>
        <v>0</v>
      </c>
    </row>
    <row r="724" spans="1:20" x14ac:dyDescent="0.25">
      <c r="A724" s="5"/>
      <c r="C724" s="4"/>
      <c r="D724" s="4"/>
      <c r="P724">
        <f t="shared" si="1000"/>
        <v>0</v>
      </c>
      <c r="Q724">
        <f t="shared" si="1001"/>
        <v>0</v>
      </c>
      <c r="R724">
        <f t="shared" si="1002"/>
        <v>0</v>
      </c>
      <c r="S724">
        <f t="shared" si="1003"/>
        <v>0</v>
      </c>
      <c r="T724">
        <f t="shared" si="1004"/>
        <v>0</v>
      </c>
    </row>
    <row r="725" spans="1:20" x14ac:dyDescent="0.25">
      <c r="A725" s="5"/>
      <c r="C725" s="4"/>
      <c r="D725" s="4"/>
      <c r="P725">
        <f t="shared" si="1000"/>
        <v>0</v>
      </c>
      <c r="Q725">
        <f t="shared" si="1001"/>
        <v>0</v>
      </c>
      <c r="R725">
        <f t="shared" si="1002"/>
        <v>0</v>
      </c>
      <c r="S725">
        <f t="shared" si="1003"/>
        <v>0</v>
      </c>
      <c r="T725">
        <f t="shared" si="1004"/>
        <v>0</v>
      </c>
    </row>
    <row r="726" spans="1:20" x14ac:dyDescent="0.25">
      <c r="A726" s="5"/>
      <c r="C726" s="4"/>
      <c r="D726" s="4"/>
      <c r="P726">
        <f t="shared" si="1000"/>
        <v>0</v>
      </c>
      <c r="Q726">
        <f t="shared" si="1001"/>
        <v>0</v>
      </c>
      <c r="R726">
        <f t="shared" si="1002"/>
        <v>0</v>
      </c>
      <c r="S726">
        <f t="shared" si="1003"/>
        <v>0</v>
      </c>
      <c r="T726">
        <f t="shared" si="1004"/>
        <v>0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B711" sqref="NB71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$A$710</v>
      </c>
      <c r="D111" s="1" t="str">
        <f>ADDRESS(C121-1,D121,1,1)</f>
        <v>$NB$710</v>
      </c>
      <c r="E111"/>
    </row>
    <row r="112" spans="1:5" x14ac:dyDescent="0.25">
      <c r="A112" s="7">
        <v>12164.144957890772</v>
      </c>
      <c r="C112" s="1" t="str">
        <f>ADDRESS(C121,1,1,1)</f>
        <v>$A$711</v>
      </c>
      <c r="D112" s="1" t="str">
        <f>ADDRESS(C121,D121-1,1,1)</f>
        <v>$NA$711</v>
      </c>
      <c r="E112"/>
    </row>
    <row r="113" spans="1:5" x14ac:dyDescent="0.25">
      <c r="A113" s="7">
        <v>11925.63231165762</v>
      </c>
      <c r="C113" s="1" t="str">
        <f>ADDRESS(C121+1,1,1,1)</f>
        <v>$A$712</v>
      </c>
      <c r="D113" s="1" t="str">
        <f>ADDRESS(C121-1,D121+1,1,1)</f>
        <v>$NC$710</v>
      </c>
    </row>
    <row r="114" spans="1:5" x14ac:dyDescent="0.25">
      <c r="A114" s="7">
        <v>11691.796383978059</v>
      </c>
      <c r="C114" s="1" t="str">
        <f>ADDRESS(C121,D121,1,1)</f>
        <v>$NB$711</v>
      </c>
      <c r="D114" s="1" t="str">
        <f>ADDRESS(C121+1,D121+1,1,1)</f>
        <v>$NC$712</v>
      </c>
    </row>
    <row r="115" spans="1:5" x14ac:dyDescent="0.25">
      <c r="A115" s="7">
        <v>11462.545474488292</v>
      </c>
      <c r="C115" s="1" t="str">
        <f>ADDRESS(C121+1,D121,1,1)</f>
        <v>$NB$712</v>
      </c>
    </row>
    <row r="116" spans="1:5" x14ac:dyDescent="0.25">
      <c r="A116" s="7">
        <v>11237.789680870874</v>
      </c>
      <c r="C116" s="1">
        <f>C117-1</f>
        <v>710</v>
      </c>
    </row>
    <row r="117" spans="1:5" x14ac:dyDescent="0.25">
      <c r="A117" s="7">
        <v>11017.440863598895</v>
      </c>
      <c r="C117" s="1">
        <f>C121</f>
        <v>711</v>
      </c>
      <c r="D117" s="1">
        <f>D121</f>
        <v>366</v>
      </c>
    </row>
    <row r="118" spans="1:5" x14ac:dyDescent="0.25">
      <c r="A118" s="7">
        <v>10801.412611371465</v>
      </c>
      <c r="C118" s="1">
        <f>C117+1</f>
        <v>712</v>
      </c>
      <c r="D118" s="1">
        <f>D117+1</f>
        <v>367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711</v>
      </c>
      <c r="D121" s="19">
        <v>366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R711</v>
      </c>
      <c r="D123" s="1" t="str">
        <f>"C"&amp;D121</f>
        <v>C366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8.5818061750796232E-2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232" x14ac:dyDescent="0.25">
      <c r="A593" s="7">
        <v>0.8879713821861922</v>
      </c>
      <c r="B593"/>
      <c r="C593"/>
      <c r="D593"/>
      <c r="E593"/>
      <c r="F593" s="27" t="s">
        <v>7</v>
      </c>
    </row>
    <row r="594" spans="1:232" x14ac:dyDescent="0.25">
      <c r="A594" s="7">
        <v>0.87056017861391399</v>
      </c>
      <c r="B594"/>
      <c r="C594"/>
      <c r="D594"/>
      <c r="E594"/>
      <c r="F594" s="27" t="s">
        <v>7</v>
      </c>
    </row>
    <row r="595" spans="1:232" x14ac:dyDescent="0.25">
      <c r="A595" s="7">
        <v>0.85349037119011173</v>
      </c>
      <c r="B595"/>
      <c r="C595"/>
      <c r="D595"/>
      <c r="E595"/>
      <c r="F595" s="27" t="s">
        <v>7</v>
      </c>
    </row>
    <row r="596" spans="1:232" x14ac:dyDescent="0.25">
      <c r="A596" s="7">
        <v>0.83675526587265858</v>
      </c>
      <c r="B596"/>
      <c r="C596"/>
      <c r="D596"/>
      <c r="E596"/>
      <c r="F596" s="27" t="s">
        <v>7</v>
      </c>
    </row>
    <row r="597" spans="1:232" x14ac:dyDescent="0.25">
      <c r="A597" s="7">
        <v>0.82034829987515545</v>
      </c>
      <c r="B597"/>
      <c r="C597"/>
      <c r="D597"/>
      <c r="E597"/>
      <c r="F597" s="27" t="s">
        <v>7</v>
      </c>
    </row>
    <row r="598" spans="1:232" x14ac:dyDescent="0.25">
      <c r="A598" s="7">
        <v>0.80426303909328967</v>
      </c>
      <c r="B598"/>
      <c r="C598"/>
      <c r="D598"/>
      <c r="E598"/>
      <c r="F598" s="27" t="s">
        <v>7</v>
      </c>
    </row>
    <row r="599" spans="1:232" x14ac:dyDescent="0.25">
      <c r="A599" s="7">
        <v>0.78849317558165644</v>
      </c>
      <c r="B599"/>
      <c r="C599"/>
      <c r="D599"/>
      <c r="E599"/>
      <c r="F599" s="27" t="s">
        <v>7</v>
      </c>
    </row>
    <row r="600" spans="1:232" x14ac:dyDescent="0.25">
      <c r="A600" s="7">
        <v>0.77303252508005538</v>
      </c>
      <c r="B600"/>
      <c r="C600"/>
      <c r="D600"/>
      <c r="E600"/>
      <c r="F600" s="27" t="s">
        <v>7</v>
      </c>
    </row>
    <row r="601" spans="1:232" x14ac:dyDescent="0.25">
      <c r="A601" s="7">
        <v>0.75787502458828959</v>
      </c>
      <c r="B601"/>
      <c r="C601"/>
      <c r="D601"/>
      <c r="E601"/>
      <c r="F601" s="27" t="s">
        <v>7</v>
      </c>
    </row>
    <row r="602" spans="1:232" x14ac:dyDescent="0.25">
      <c r="A602" s="7">
        <v>0.74301472998851925</v>
      </c>
      <c r="B602"/>
      <c r="C602"/>
      <c r="D602"/>
      <c r="E602"/>
      <c r="F602" s="27" t="s">
        <v>7</v>
      </c>
    </row>
    <row r="603" spans="1:232" x14ac:dyDescent="0.25">
      <c r="A603" s="7">
        <v>0.72844581371423456</v>
      </c>
      <c r="B603"/>
      <c r="C603"/>
      <c r="D603"/>
      <c r="E603"/>
      <c r="F603" s="27" t="s">
        <v>7</v>
      </c>
    </row>
    <row r="604" spans="1:232" x14ac:dyDescent="0.25">
      <c r="A604" s="7">
        <v>0.71416256246493581</v>
      </c>
      <c r="B604"/>
      <c r="C604"/>
      <c r="D604"/>
      <c r="E604"/>
      <c r="F604" s="27" t="s">
        <v>7</v>
      </c>
    </row>
    <row r="605" spans="1:232" x14ac:dyDescent="0.25">
      <c r="A605" s="7">
        <v>0.7001593749656233</v>
      </c>
      <c r="B605"/>
      <c r="C605"/>
      <c r="D605"/>
      <c r="E605"/>
      <c r="F605" s="27" t="s">
        <v>7</v>
      </c>
    </row>
    <row r="606" spans="1:232" x14ac:dyDescent="0.25">
      <c r="A606" s="7">
        <v>0.68643075977021883</v>
      </c>
      <c r="B606"/>
      <c r="C606"/>
      <c r="D606"/>
      <c r="E606"/>
      <c r="F606" s="27" t="s">
        <v>7</v>
      </c>
      <c r="HW606" s="27" t="s">
        <v>8</v>
      </c>
    </row>
    <row r="607" spans="1:232" x14ac:dyDescent="0.25">
      <c r="A607" s="7">
        <v>0.67297133310805768</v>
      </c>
      <c r="B607"/>
      <c r="C607"/>
      <c r="D607"/>
      <c r="E607"/>
      <c r="F607" s="27" t="s">
        <v>7</v>
      </c>
      <c r="HW607" s="27" t="s">
        <v>8</v>
      </c>
      <c r="HX607" s="27" t="s">
        <v>7</v>
      </c>
    </row>
    <row r="608" spans="1:232" x14ac:dyDescent="0.25">
      <c r="A608" s="7">
        <v>0.65977581677260566</v>
      </c>
      <c r="B608"/>
      <c r="C608"/>
      <c r="D608"/>
      <c r="E608"/>
      <c r="F608" s="27" t="s">
        <v>7</v>
      </c>
      <c r="HW608" s="27" t="s">
        <v>8</v>
      </c>
      <c r="HX608" s="27" t="s">
        <v>7</v>
      </c>
    </row>
    <row r="609" spans="1:236" x14ac:dyDescent="0.25">
      <c r="A609" s="7">
        <v>0.64683903605157422</v>
      </c>
      <c r="B609"/>
      <c r="C609"/>
      <c r="D609"/>
      <c r="E609"/>
      <c r="F609" s="27" t="s">
        <v>7</v>
      </c>
      <c r="HW609" s="27" t="s">
        <v>8</v>
      </c>
      <c r="HX609" s="27" t="s">
        <v>7</v>
      </c>
    </row>
    <row r="610" spans="1:236" x14ac:dyDescent="0.25">
      <c r="A610" s="7">
        <v>0.63415591769762181</v>
      </c>
      <c r="B610"/>
      <c r="C610"/>
      <c r="D610"/>
      <c r="E610"/>
      <c r="F610" s="27" t="s">
        <v>7</v>
      </c>
      <c r="HW610" s="27" t="s">
        <v>8</v>
      </c>
      <c r="HX610" s="27" t="s">
        <v>7</v>
      </c>
    </row>
    <row r="611" spans="1:236" x14ac:dyDescent="0.25">
      <c r="A611" s="7">
        <v>0.62172148793884496</v>
      </c>
      <c r="B611"/>
      <c r="C611"/>
      <c r="D611"/>
      <c r="E611"/>
      <c r="F611" s="27" t="s">
        <v>7</v>
      </c>
      <c r="HW611" s="27" t="s">
        <v>8</v>
      </c>
      <c r="HX611" s="27" t="s">
        <v>7</v>
      </c>
    </row>
    <row r="612" spans="1:236" x14ac:dyDescent="0.25">
      <c r="A612" s="7">
        <v>0.60953087052827937</v>
      </c>
      <c r="B612"/>
      <c r="C612"/>
      <c r="D612"/>
      <c r="E612"/>
      <c r="F612" s="27" t="s">
        <v>7</v>
      </c>
      <c r="HW612" s="27" t="s">
        <v>8</v>
      </c>
      <c r="HX612" s="27" t="s">
        <v>7</v>
      </c>
    </row>
    <row r="613" spans="1:236" x14ac:dyDescent="0.25">
      <c r="A613" s="7">
        <v>0.59757928483164646</v>
      </c>
      <c r="B613"/>
      <c r="C613"/>
      <c r="D613"/>
      <c r="E613"/>
      <c r="F613" s="27" t="s">
        <v>7</v>
      </c>
      <c r="HW613" s="27" t="s">
        <v>8</v>
      </c>
      <c r="HX613" s="27" t="s">
        <v>7</v>
      </c>
    </row>
    <row r="614" spans="1:236" x14ac:dyDescent="0.25">
      <c r="A614" s="7">
        <v>0.58586204395259456</v>
      </c>
      <c r="B614"/>
      <c r="C614"/>
      <c r="D614"/>
      <c r="E614"/>
      <c r="F614" s="27" t="s">
        <v>7</v>
      </c>
      <c r="HW614" s="27" t="s">
        <v>8</v>
      </c>
      <c r="HX614" s="27" t="s">
        <v>7</v>
      </c>
    </row>
    <row r="615" spans="1:236" x14ac:dyDescent="0.25">
      <c r="A615" s="7">
        <v>0.57437455289470052</v>
      </c>
      <c r="B615"/>
      <c r="C615"/>
      <c r="D615"/>
      <c r="E615"/>
      <c r="F615" s="27" t="s">
        <v>7</v>
      </c>
      <c r="HW615" s="27" t="s">
        <v>8</v>
      </c>
      <c r="HX615" s="27" t="s">
        <v>7</v>
      </c>
    </row>
    <row r="616" spans="1:236" x14ac:dyDescent="0.25">
      <c r="A616" s="7">
        <v>0.56311230675951029</v>
      </c>
      <c r="B616"/>
      <c r="C616"/>
      <c r="D616"/>
      <c r="E616"/>
      <c r="F616" s="27" t="s">
        <v>7</v>
      </c>
      <c r="HW616" s="27" t="s">
        <v>8</v>
      </c>
      <c r="HX616" s="27" t="s">
        <v>7</v>
      </c>
    </row>
    <row r="617" spans="1:236" x14ac:dyDescent="0.25">
      <c r="A617" s="7">
        <v>0.55207088897991208</v>
      </c>
      <c r="B617"/>
      <c r="C617"/>
      <c r="D617"/>
      <c r="E617"/>
      <c r="F617" s="27" t="s">
        <v>7</v>
      </c>
      <c r="HE617" s="27" t="s">
        <v>8</v>
      </c>
      <c r="HW617" s="27" t="s">
        <v>8</v>
      </c>
      <c r="HX617" s="27" t="s">
        <v>7</v>
      </c>
    </row>
    <row r="618" spans="1:236" x14ac:dyDescent="0.25">
      <c r="A618" s="7">
        <v>0.54124596958814908</v>
      </c>
      <c r="B618"/>
      <c r="C618"/>
      <c r="D618"/>
      <c r="E618"/>
      <c r="F618" s="27" t="s">
        <v>7</v>
      </c>
      <c r="HE618" s="27" t="s">
        <v>8</v>
      </c>
      <c r="HF618" s="27" t="s">
        <v>7</v>
      </c>
      <c r="HW618" s="27" t="s">
        <v>8</v>
      </c>
      <c r="HX618" s="27" t="s">
        <v>7</v>
      </c>
    </row>
    <row r="619" spans="1:236" x14ac:dyDescent="0.25">
      <c r="A619" s="7">
        <v>0.53063330351779314</v>
      </c>
      <c r="B619"/>
      <c r="C619"/>
      <c r="D619"/>
      <c r="E619"/>
      <c r="F619" s="27" t="s">
        <v>7</v>
      </c>
      <c r="HE619" s="27" t="s">
        <v>8</v>
      </c>
      <c r="HF619" s="27" t="s">
        <v>7</v>
      </c>
      <c r="HW619" s="27" t="s">
        <v>8</v>
      </c>
      <c r="HX619" s="27" t="s">
        <v>7</v>
      </c>
    </row>
    <row r="620" spans="1:236" x14ac:dyDescent="0.25">
      <c r="A620" s="7">
        <v>0.52022872893901284</v>
      </c>
      <c r="B620"/>
      <c r="C620"/>
      <c r="D620"/>
      <c r="E620"/>
      <c r="F620" s="27" t="s">
        <v>7</v>
      </c>
      <c r="HE620" s="27" t="s">
        <v>8</v>
      </c>
      <c r="HF620" s="27" t="s">
        <v>7</v>
      </c>
      <c r="HW620" s="27" t="s">
        <v>8</v>
      </c>
      <c r="HX620" s="27" t="s">
        <v>7</v>
      </c>
    </row>
    <row r="621" spans="1:236" x14ac:dyDescent="0.25">
      <c r="A621" s="7">
        <v>0.51002816562648323</v>
      </c>
      <c r="B621"/>
      <c r="C621"/>
      <c r="D621"/>
      <c r="E621"/>
      <c r="F621" s="27" t="s">
        <v>7</v>
      </c>
      <c r="HE621" s="27" t="s">
        <v>8</v>
      </c>
      <c r="HF621" s="27" t="s">
        <v>7</v>
      </c>
      <c r="HW621" s="27" t="s">
        <v>8</v>
      </c>
      <c r="HX621" s="27" t="s">
        <v>7</v>
      </c>
    </row>
    <row r="622" spans="1:236" x14ac:dyDescent="0.25">
      <c r="A622" s="7">
        <v>0.50002761335929735</v>
      </c>
      <c r="B622"/>
      <c r="C622"/>
      <c r="D622"/>
      <c r="E622"/>
      <c r="F622" s="27" t="s">
        <v>7</v>
      </c>
      <c r="HE622" s="27" t="s">
        <v>8</v>
      </c>
      <c r="HF622" s="27" t="s">
        <v>7</v>
      </c>
      <c r="HW622" s="27" t="s">
        <v>8</v>
      </c>
      <c r="HX622" s="27" t="s">
        <v>7</v>
      </c>
      <c r="HY622" s="27" t="s">
        <v>8</v>
      </c>
    </row>
    <row r="623" spans="1:236" x14ac:dyDescent="0.25">
      <c r="A623" s="7">
        <v>0.49022315035225228</v>
      </c>
      <c r="B623"/>
      <c r="C623"/>
      <c r="D623"/>
      <c r="E623"/>
      <c r="F623" s="27" t="s">
        <v>7</v>
      </c>
      <c r="HE623" s="27" t="s">
        <v>8</v>
      </c>
      <c r="HF623" s="27" t="s">
        <v>7</v>
      </c>
      <c r="HG623" s="27" t="s">
        <v>8</v>
      </c>
      <c r="HW623" s="27" t="s">
        <v>8</v>
      </c>
      <c r="HX623" s="27" t="s">
        <v>7</v>
      </c>
      <c r="HY623" s="27" t="s">
        <v>8</v>
      </c>
      <c r="HZ623" s="27" t="s">
        <v>7</v>
      </c>
      <c r="IA623" s="27" t="s">
        <v>8</v>
      </c>
    </row>
    <row r="624" spans="1:236" x14ac:dyDescent="0.25">
      <c r="A624" s="7">
        <v>0.48061093171789437</v>
      </c>
      <c r="B624"/>
      <c r="C624"/>
      <c r="D624"/>
      <c r="E624"/>
      <c r="F624" s="27" t="s">
        <v>7</v>
      </c>
      <c r="HE624" s="27" t="s">
        <v>8</v>
      </c>
      <c r="HF624" s="27" t="s">
        <v>7</v>
      </c>
      <c r="HG624" s="27" t="s">
        <v>8</v>
      </c>
      <c r="HH624" s="27" t="s">
        <v>7</v>
      </c>
      <c r="HW624" s="27" t="s">
        <v>8</v>
      </c>
      <c r="HX624" s="27" t="s">
        <v>7</v>
      </c>
      <c r="HY624" s="27" t="s">
        <v>8</v>
      </c>
      <c r="HZ624" s="27" t="s">
        <v>7</v>
      </c>
      <c r="IA624" s="27" t="s">
        <v>8</v>
      </c>
      <c r="IB624" s="27" t="s">
        <v>7</v>
      </c>
    </row>
    <row r="625" spans="1:338" x14ac:dyDescent="0.25">
      <c r="A625" s="7">
        <v>0.47118718795871994</v>
      </c>
      <c r="B625"/>
      <c r="C625"/>
      <c r="D625"/>
      <c r="E625"/>
      <c r="F625" s="27" t="s">
        <v>7</v>
      </c>
      <c r="HC625" s="27" t="s">
        <v>8</v>
      </c>
      <c r="HE625" s="27" t="s">
        <v>8</v>
      </c>
      <c r="HF625" s="27" t="s">
        <v>7</v>
      </c>
      <c r="HG625" s="27" t="s">
        <v>8</v>
      </c>
      <c r="HH625" s="27" t="s">
        <v>7</v>
      </c>
      <c r="HI625" s="27" t="s">
        <v>8</v>
      </c>
      <c r="HW625" s="27" t="s">
        <v>8</v>
      </c>
      <c r="HX625" s="27" t="s">
        <v>7</v>
      </c>
      <c r="HY625" s="27" t="s">
        <v>8</v>
      </c>
      <c r="HZ625" s="27" t="s">
        <v>7</v>
      </c>
      <c r="IA625" s="27" t="s">
        <v>8</v>
      </c>
      <c r="IB625" s="27" t="s">
        <v>7</v>
      </c>
    </row>
    <row r="626" spans="1:338" x14ac:dyDescent="0.25">
      <c r="A626" s="7">
        <v>0.46194822348894116</v>
      </c>
      <c r="B626"/>
      <c r="C626"/>
      <c r="D626"/>
      <c r="E626"/>
      <c r="F626" s="27" t="s">
        <v>7</v>
      </c>
      <c r="HC626" s="27" t="s">
        <v>8</v>
      </c>
      <c r="HD626" s="27" t="s">
        <v>7</v>
      </c>
      <c r="HE626" s="27" t="s">
        <v>8</v>
      </c>
      <c r="HF626" s="27" t="s">
        <v>7</v>
      </c>
      <c r="HG626" s="27" t="s">
        <v>8</v>
      </c>
      <c r="HH626" s="27" t="s">
        <v>7</v>
      </c>
      <c r="HI626" s="27" t="s">
        <v>8</v>
      </c>
      <c r="HJ626" s="27" t="s">
        <v>7</v>
      </c>
      <c r="HW626" s="27" t="s">
        <v>8</v>
      </c>
      <c r="HX626" s="27" t="s">
        <v>7</v>
      </c>
      <c r="HY626" s="27" t="s">
        <v>8</v>
      </c>
      <c r="HZ626" s="27" t="s">
        <v>7</v>
      </c>
      <c r="IA626" s="27" t="s">
        <v>8</v>
      </c>
      <c r="IB626" s="27" t="s">
        <v>7</v>
      </c>
    </row>
    <row r="627" spans="1:338" x14ac:dyDescent="0.25">
      <c r="A627" s="7">
        <v>0.45289041518523643</v>
      </c>
      <c r="B627"/>
      <c r="C627"/>
      <c r="D627"/>
      <c r="E627"/>
      <c r="F627" s="27" t="s">
        <v>7</v>
      </c>
      <c r="HC627" s="27" t="s">
        <v>8</v>
      </c>
      <c r="HD627" s="27" t="s">
        <v>7</v>
      </c>
      <c r="HE627" s="27" t="s">
        <v>8</v>
      </c>
      <c r="HF627" s="27" t="s">
        <v>7</v>
      </c>
      <c r="HH627" s="27" t="s">
        <v>7</v>
      </c>
      <c r="HI627" s="27" t="s">
        <v>8</v>
      </c>
      <c r="HJ627" s="27" t="s">
        <v>7</v>
      </c>
      <c r="HK627" s="27" t="s">
        <v>8</v>
      </c>
      <c r="HW627" s="27" t="s">
        <v>8</v>
      </c>
      <c r="HX627" s="27" t="s">
        <v>7</v>
      </c>
      <c r="HY627" s="27" t="s">
        <v>8</v>
      </c>
      <c r="HZ627" s="27" t="s">
        <v>7</v>
      </c>
      <c r="IA627" s="27" t="s">
        <v>8</v>
      </c>
      <c r="IB627" s="27" t="s">
        <v>7</v>
      </c>
    </row>
    <row r="628" spans="1:338" x14ac:dyDescent="0.25">
      <c r="A628" s="7">
        <v>0.44401021096591808</v>
      </c>
      <c r="B628"/>
      <c r="C628"/>
      <c r="D628"/>
      <c r="E628"/>
      <c r="F628" s="27" t="s">
        <v>7</v>
      </c>
      <c r="HC628" s="27" t="s">
        <v>8</v>
      </c>
      <c r="HD628" s="27" t="s">
        <v>7</v>
      </c>
      <c r="HE628" s="27" t="s">
        <v>8</v>
      </c>
      <c r="HH628" s="27" t="s">
        <v>7</v>
      </c>
      <c r="HI628" s="27" t="s">
        <v>8</v>
      </c>
      <c r="HJ628" s="27" t="s">
        <v>7</v>
      </c>
      <c r="HK628" s="27" t="s">
        <v>8</v>
      </c>
      <c r="HL628" s="27" t="s">
        <v>7</v>
      </c>
      <c r="HW628" s="27" t="s">
        <v>8</v>
      </c>
      <c r="HX628" s="27" t="s">
        <v>7</v>
      </c>
      <c r="HY628" s="27" t="s">
        <v>8</v>
      </c>
      <c r="HZ628" s="27" t="s">
        <v>7</v>
      </c>
      <c r="IA628" s="27" t="s">
        <v>8</v>
      </c>
      <c r="IB628" s="27" t="s">
        <v>7</v>
      </c>
    </row>
    <row r="629" spans="1:338" x14ac:dyDescent="0.25">
      <c r="A629" s="7">
        <v>0.4353041283979589</v>
      </c>
      <c r="B629"/>
      <c r="C629"/>
      <c r="D629"/>
      <c r="E629"/>
      <c r="F629" s="27" t="s">
        <v>7</v>
      </c>
      <c r="HC629" s="27" t="s">
        <v>8</v>
      </c>
      <c r="HD629" s="27" t="s">
        <v>7</v>
      </c>
      <c r="HE629" s="27" t="s">
        <v>8</v>
      </c>
      <c r="HH629" s="27" t="s">
        <v>7</v>
      </c>
      <c r="HI629" s="27" t="s">
        <v>8</v>
      </c>
      <c r="HJ629" s="27" t="s">
        <v>7</v>
      </c>
      <c r="HK629" s="27" t="s">
        <v>8</v>
      </c>
      <c r="HL629" s="27" t="s">
        <v>7</v>
      </c>
      <c r="HW629" s="27" t="s">
        <v>8</v>
      </c>
      <c r="HX629" s="27" t="s">
        <v>7</v>
      </c>
      <c r="HY629" s="27" t="s">
        <v>8</v>
      </c>
      <c r="HZ629" s="27" t="s">
        <v>7</v>
      </c>
      <c r="IA629" s="27" t="s">
        <v>8</v>
      </c>
      <c r="IB629" s="27" t="s">
        <v>7</v>
      </c>
    </row>
    <row r="630" spans="1:338" x14ac:dyDescent="0.25">
      <c r="A630" s="7">
        <v>0.4267687533313323</v>
      </c>
      <c r="B630"/>
      <c r="C630"/>
      <c r="D630"/>
      <c r="E630"/>
      <c r="F630" s="27" t="s">
        <v>7</v>
      </c>
      <c r="HC630" s="27" t="s">
        <v>8</v>
      </c>
      <c r="HD630" s="27" t="s">
        <v>7</v>
      </c>
      <c r="HE630" s="27" t="s">
        <v>8</v>
      </c>
      <c r="HH630" s="27" t="s">
        <v>7</v>
      </c>
      <c r="HI630" s="27" t="s">
        <v>8</v>
      </c>
      <c r="HJ630" s="27" t="s">
        <v>7</v>
      </c>
      <c r="HK630" s="27" t="s">
        <v>8</v>
      </c>
      <c r="HL630" s="27" t="s">
        <v>7</v>
      </c>
      <c r="HW630" s="27" t="s">
        <v>8</v>
      </c>
      <c r="HX630" s="27" t="s">
        <v>7</v>
      </c>
      <c r="HY630" s="27" t="s">
        <v>8</v>
      </c>
      <c r="HZ630" s="27" t="s">
        <v>7</v>
      </c>
      <c r="IA630" s="27" t="s">
        <v>8</v>
      </c>
      <c r="IB630" s="27" t="s">
        <v>7</v>
      </c>
    </row>
    <row r="631" spans="1:338" x14ac:dyDescent="0.25">
      <c r="A631" s="7">
        <v>0.41840073856012971</v>
      </c>
      <c r="B631"/>
      <c r="C631"/>
      <c r="D631"/>
      <c r="E631"/>
      <c r="F631" s="27" t="s">
        <v>7</v>
      </c>
      <c r="HC631" s="27" t="s">
        <v>8</v>
      </c>
      <c r="HD631" s="27" t="s">
        <v>7</v>
      </c>
      <c r="HE631" s="27" t="s">
        <v>8</v>
      </c>
      <c r="HH631" s="27" t="s">
        <v>7</v>
      </c>
      <c r="HI631" s="27" t="s">
        <v>8</v>
      </c>
      <c r="HJ631" s="27" t="s">
        <v>7</v>
      </c>
      <c r="HK631" s="27" t="s">
        <v>8</v>
      </c>
      <c r="HL631" s="27" t="s">
        <v>7</v>
      </c>
      <c r="HW631" s="27" t="s">
        <v>8</v>
      </c>
      <c r="HX631" s="27" t="s">
        <v>7</v>
      </c>
      <c r="HZ631" s="27" t="s">
        <v>7</v>
      </c>
      <c r="IA631" s="27" t="s">
        <v>8</v>
      </c>
      <c r="IB631" s="27" t="s">
        <v>7</v>
      </c>
    </row>
    <row r="632" spans="1:338" x14ac:dyDescent="0.25">
      <c r="A632" s="7">
        <v>0.41019680250993112</v>
      </c>
      <c r="B632"/>
      <c r="C632"/>
      <c r="D632"/>
      <c r="E632"/>
      <c r="F632" s="27" t="s">
        <v>7</v>
      </c>
      <c r="HA632" s="27" t="s">
        <v>8</v>
      </c>
      <c r="HC632" s="27" t="s">
        <v>8</v>
      </c>
      <c r="HD632" s="27" t="s">
        <v>7</v>
      </c>
      <c r="HE632" s="27" t="s">
        <v>8</v>
      </c>
      <c r="HH632" s="27" t="s">
        <v>7</v>
      </c>
      <c r="HI632" s="27" t="s">
        <v>8</v>
      </c>
      <c r="HJ632" s="27" t="s">
        <v>7</v>
      </c>
      <c r="HK632" s="27" t="s">
        <v>8</v>
      </c>
      <c r="HL632" s="27" t="s">
        <v>7</v>
      </c>
      <c r="HW632" s="27" t="s">
        <v>8</v>
      </c>
      <c r="HZ632" s="27" t="s">
        <v>7</v>
      </c>
      <c r="IA632" s="27" t="s">
        <v>8</v>
      </c>
      <c r="IB632" s="27" t="s">
        <v>7</v>
      </c>
    </row>
    <row r="633" spans="1:338" x14ac:dyDescent="0.25">
      <c r="A633" s="7">
        <v>0.40215372795091286</v>
      </c>
      <c r="B633"/>
      <c r="C633"/>
      <c r="D633"/>
      <c r="E633"/>
      <c r="F633" s="27" t="s">
        <v>7</v>
      </c>
      <c r="HA633" s="27" t="s">
        <v>8</v>
      </c>
      <c r="HB633" s="27" t="s">
        <v>7</v>
      </c>
      <c r="HC633" s="27" t="s">
        <v>8</v>
      </c>
      <c r="HD633" s="27" t="s">
        <v>7</v>
      </c>
      <c r="HE633" s="27" t="s">
        <v>8</v>
      </c>
      <c r="HH633" s="27" t="s">
        <v>7</v>
      </c>
      <c r="HJ633" s="27" t="s">
        <v>7</v>
      </c>
      <c r="HK633" s="27" t="s">
        <v>8</v>
      </c>
      <c r="HL633" s="27" t="s">
        <v>7</v>
      </c>
      <c r="HW633" s="27" t="s">
        <v>8</v>
      </c>
      <c r="HZ633" s="27" t="s">
        <v>7</v>
      </c>
      <c r="IA633" s="27" t="s">
        <v>8</v>
      </c>
      <c r="IB633" s="27" t="s">
        <v>7</v>
      </c>
    </row>
    <row r="634" spans="1:338" x14ac:dyDescent="0.25">
      <c r="A634" s="7">
        <v>0.39426836073618904</v>
      </c>
      <c r="B634"/>
      <c r="C634"/>
      <c r="D634"/>
      <c r="E634"/>
      <c r="F634" s="27" t="s">
        <v>7</v>
      </c>
      <c r="HA634" s="27" t="s">
        <v>8</v>
      </c>
      <c r="HB634" s="27" t="s">
        <v>7</v>
      </c>
      <c r="HC634" s="27" t="s">
        <v>8</v>
      </c>
      <c r="HD634" s="27" t="s">
        <v>7</v>
      </c>
      <c r="HE634" s="27" t="s">
        <v>8</v>
      </c>
      <c r="HJ634" s="27" t="s">
        <v>7</v>
      </c>
      <c r="HK634" s="27" t="s">
        <v>8</v>
      </c>
      <c r="HL634" s="27" t="s">
        <v>7</v>
      </c>
      <c r="HM634" s="27" t="s">
        <v>8</v>
      </c>
      <c r="HW634" s="27" t="s">
        <v>8</v>
      </c>
      <c r="HZ634" s="27" t="s">
        <v>7</v>
      </c>
      <c r="IA634" s="27" t="s">
        <v>8</v>
      </c>
      <c r="IB634" s="27" t="s">
        <v>7</v>
      </c>
    </row>
    <row r="635" spans="1:338" x14ac:dyDescent="0.25">
      <c r="A635" s="7">
        <v>0.38653760856489122</v>
      </c>
      <c r="B635"/>
      <c r="C635"/>
      <c r="D635"/>
      <c r="E635"/>
      <c r="F635" s="27" t="s">
        <v>7</v>
      </c>
      <c r="HA635" s="27" t="s">
        <v>8</v>
      </c>
      <c r="HB635" s="27" t="s">
        <v>7</v>
      </c>
      <c r="HC635" s="27" t="s">
        <v>8</v>
      </c>
      <c r="HD635" s="27" t="s">
        <v>7</v>
      </c>
      <c r="HE635" s="27" t="s">
        <v>8</v>
      </c>
      <c r="HJ635" s="27" t="s">
        <v>7</v>
      </c>
      <c r="HL635" s="27" t="s">
        <v>7</v>
      </c>
      <c r="HM635" s="27" t="s">
        <v>8</v>
      </c>
      <c r="HN635" s="27" t="s">
        <v>7</v>
      </c>
      <c r="HS635" s="27" t="s">
        <v>8</v>
      </c>
      <c r="HW635" s="27" t="s">
        <v>8</v>
      </c>
      <c r="HZ635" s="27" t="s">
        <v>7</v>
      </c>
      <c r="IA635" s="27" t="s">
        <v>8</v>
      </c>
      <c r="IB635" s="27" t="s">
        <v>7</v>
      </c>
    </row>
    <row r="636" spans="1:338" x14ac:dyDescent="0.25">
      <c r="A636" s="7">
        <v>0.37895843976950117</v>
      </c>
      <c r="B636"/>
      <c r="C636"/>
      <c r="D636"/>
      <c r="E636"/>
      <c r="F636" s="27" t="s">
        <v>7</v>
      </c>
      <c r="GY636" s="27" t="s">
        <v>8</v>
      </c>
      <c r="HA636" s="27" t="s">
        <v>8</v>
      </c>
      <c r="HB636" s="27" t="s">
        <v>7</v>
      </c>
      <c r="HC636" s="27" t="s">
        <v>8</v>
      </c>
      <c r="HD636" s="27" t="s">
        <v>7</v>
      </c>
      <c r="HE636" s="27" t="s">
        <v>8</v>
      </c>
      <c r="HL636" s="27" t="s">
        <v>7</v>
      </c>
      <c r="HM636" s="27" t="s">
        <v>8</v>
      </c>
      <c r="HN636" s="27" t="s">
        <v>7</v>
      </c>
      <c r="HS636" s="27" t="s">
        <v>8</v>
      </c>
      <c r="HT636" s="27" t="s">
        <v>7</v>
      </c>
      <c r="HU636" s="27" t="s">
        <v>8</v>
      </c>
      <c r="HW636" s="27" t="s">
        <v>8</v>
      </c>
      <c r="HZ636" s="27" t="s">
        <v>7</v>
      </c>
      <c r="IA636" s="27" t="s">
        <v>8</v>
      </c>
      <c r="IB636" s="27" t="s">
        <v>7</v>
      </c>
    </row>
    <row r="637" spans="1:338" x14ac:dyDescent="0.25">
      <c r="A637" s="7">
        <v>0.37152788212696197</v>
      </c>
      <c r="B637"/>
      <c r="C637"/>
      <c r="D637"/>
      <c r="E637"/>
      <c r="F637" s="27" t="s">
        <v>7</v>
      </c>
      <c r="GY637" s="27" t="s">
        <v>8</v>
      </c>
      <c r="GZ637" s="27" t="s">
        <v>7</v>
      </c>
      <c r="HA637" s="27" t="s">
        <v>8</v>
      </c>
      <c r="HB637" s="27" t="s">
        <v>7</v>
      </c>
      <c r="HC637" s="27" t="s">
        <v>8</v>
      </c>
      <c r="HD637" s="27" t="s">
        <v>7</v>
      </c>
      <c r="HE637" s="27" t="s">
        <v>8</v>
      </c>
      <c r="HL637" s="27" t="s">
        <v>7</v>
      </c>
      <c r="HM637" s="27" t="s">
        <v>8</v>
      </c>
      <c r="HN637" s="27" t="s">
        <v>7</v>
      </c>
      <c r="HS637" s="27" t="s">
        <v>8</v>
      </c>
      <c r="HT637" s="27" t="s">
        <v>7</v>
      </c>
      <c r="HU637" s="27" t="s">
        <v>8</v>
      </c>
      <c r="HV637" s="27" t="s">
        <v>7</v>
      </c>
      <c r="HW637" s="27" t="s">
        <v>8</v>
      </c>
      <c r="HZ637" s="27" t="s">
        <v>7</v>
      </c>
      <c r="IA637" s="27" t="s">
        <v>8</v>
      </c>
      <c r="IB637" s="27" t="s">
        <v>7</v>
      </c>
      <c r="IC637" s="27" t="s">
        <v>8</v>
      </c>
    </row>
    <row r="638" spans="1:338" x14ac:dyDescent="0.25">
      <c r="A638" s="7">
        <v>0.36424302169310002</v>
      </c>
      <c r="B638"/>
      <c r="C638"/>
      <c r="D638"/>
      <c r="E638"/>
      <c r="F638" s="27" t="s">
        <v>7</v>
      </c>
      <c r="GY638" s="27" t="s">
        <v>8</v>
      </c>
      <c r="GZ638" s="27" t="s">
        <v>7</v>
      </c>
      <c r="HA638" s="27" t="s">
        <v>8</v>
      </c>
      <c r="HB638" s="27" t="s">
        <v>7</v>
      </c>
      <c r="HC638" s="27" t="s">
        <v>8</v>
      </c>
      <c r="HD638" s="27" t="s">
        <v>7</v>
      </c>
      <c r="HL638" s="27" t="s">
        <v>7</v>
      </c>
      <c r="HM638" s="27" t="s">
        <v>8</v>
      </c>
      <c r="HN638" s="27" t="s">
        <v>7</v>
      </c>
      <c r="HO638" s="27" t="s">
        <v>8</v>
      </c>
      <c r="HS638" s="27" t="s">
        <v>8</v>
      </c>
      <c r="HT638" s="27" t="s">
        <v>7</v>
      </c>
      <c r="HU638" s="27" t="s">
        <v>8</v>
      </c>
      <c r="HV638" s="27" t="s">
        <v>7</v>
      </c>
      <c r="HW638" s="27" t="s">
        <v>8</v>
      </c>
      <c r="HZ638" s="27" t="s">
        <v>7</v>
      </c>
      <c r="IA638" s="27" t="s">
        <v>8</v>
      </c>
      <c r="IB638" s="27" t="s">
        <v>7</v>
      </c>
      <c r="IC638" s="27" t="s">
        <v>8</v>
      </c>
      <c r="ID638" s="27" t="s">
        <v>7</v>
      </c>
      <c r="LY638" s="27" t="s">
        <v>8</v>
      </c>
    </row>
    <row r="639" spans="1:338" x14ac:dyDescent="0.25">
      <c r="A639" s="7">
        <v>0.35710100165990194</v>
      </c>
      <c r="B639"/>
      <c r="C639"/>
      <c r="D639"/>
      <c r="E639"/>
      <c r="F639" s="27" t="s">
        <v>7</v>
      </c>
      <c r="GY639" s="27" t="s">
        <v>8</v>
      </c>
      <c r="GZ639" s="27" t="s">
        <v>7</v>
      </c>
      <c r="HA639" s="27" t="s">
        <v>8</v>
      </c>
      <c r="HB639" s="27" t="s">
        <v>7</v>
      </c>
      <c r="HC639" s="27" t="s">
        <v>8</v>
      </c>
      <c r="HL639" s="27" t="s">
        <v>7</v>
      </c>
      <c r="HM639" s="27" t="s">
        <v>8</v>
      </c>
      <c r="HN639" s="27" t="s">
        <v>7</v>
      </c>
      <c r="HO639" s="27" t="s">
        <v>8</v>
      </c>
      <c r="HP639" s="27" t="s">
        <v>7</v>
      </c>
      <c r="HQ639" s="27" t="s">
        <v>8</v>
      </c>
      <c r="HS639" s="27" t="s">
        <v>8</v>
      </c>
      <c r="HT639" s="27" t="s">
        <v>7</v>
      </c>
      <c r="HU639" s="27" t="s">
        <v>8</v>
      </c>
      <c r="HV639" s="27" t="s">
        <v>7</v>
      </c>
      <c r="HW639" s="27" t="s">
        <v>8</v>
      </c>
      <c r="HZ639" s="27" t="s">
        <v>7</v>
      </c>
      <c r="IB639" s="27" t="s">
        <v>7</v>
      </c>
      <c r="IC639" s="27" t="s">
        <v>8</v>
      </c>
      <c r="ID639" s="27" t="s">
        <v>7</v>
      </c>
      <c r="LY639" s="27" t="s">
        <v>8</v>
      </c>
      <c r="LZ639" s="27" t="s">
        <v>7</v>
      </c>
    </row>
    <row r="640" spans="1:338" x14ac:dyDescent="0.25">
      <c r="A640" s="7">
        <v>0.35009902123519804</v>
      </c>
      <c r="B640"/>
      <c r="C640"/>
      <c r="D640"/>
      <c r="E640"/>
      <c r="F640" s="27" t="s">
        <v>7</v>
      </c>
      <c r="GY640" s="27" t="s">
        <v>8</v>
      </c>
      <c r="GZ640" s="27" t="s">
        <v>7</v>
      </c>
      <c r="HA640" s="27" t="s">
        <v>8</v>
      </c>
      <c r="HB640" s="27" t="s">
        <v>7</v>
      </c>
      <c r="HC640" s="27" t="s">
        <v>8</v>
      </c>
      <c r="HL640" s="27" t="s">
        <v>7</v>
      </c>
      <c r="HM640" s="27" t="s">
        <v>8</v>
      </c>
      <c r="HN640" s="27" t="s">
        <v>7</v>
      </c>
      <c r="HO640" s="27" t="s">
        <v>8</v>
      </c>
      <c r="HP640" s="27" t="s">
        <v>7</v>
      </c>
      <c r="HQ640" s="27" t="s">
        <v>8</v>
      </c>
      <c r="HR640" s="27" t="s">
        <v>7</v>
      </c>
      <c r="HS640" s="27" t="s">
        <v>8</v>
      </c>
      <c r="HT640" s="27" t="s">
        <v>7</v>
      </c>
      <c r="HU640" s="27" t="s">
        <v>8</v>
      </c>
      <c r="HV640" s="27" t="s">
        <v>7</v>
      </c>
      <c r="HW640" s="27" t="s">
        <v>8</v>
      </c>
      <c r="IB640" s="27" t="s">
        <v>7</v>
      </c>
      <c r="IC640" s="27" t="s">
        <v>8</v>
      </c>
      <c r="ID640" s="27" t="s">
        <v>7</v>
      </c>
      <c r="LY640" s="27" t="s">
        <v>8</v>
      </c>
      <c r="LZ640" s="27" t="s">
        <v>7</v>
      </c>
    </row>
    <row r="641" spans="1:341" x14ac:dyDescent="0.25">
      <c r="A641" s="7">
        <v>0.34323433454431179</v>
      </c>
      <c r="B641"/>
      <c r="C641"/>
      <c r="D641"/>
      <c r="E641"/>
      <c r="F641" s="27" t="s">
        <v>7</v>
      </c>
      <c r="GY641" s="27" t="s">
        <v>8</v>
      </c>
      <c r="GZ641" s="27" t="s">
        <v>7</v>
      </c>
      <c r="HA641" s="27" t="s">
        <v>8</v>
      </c>
      <c r="HB641" s="27" t="s">
        <v>7</v>
      </c>
      <c r="HC641" s="27" t="s">
        <v>8</v>
      </c>
      <c r="HL641" s="27" t="s">
        <v>7</v>
      </c>
      <c r="HM641" s="27" t="s">
        <v>8</v>
      </c>
      <c r="HN641" s="27" t="s">
        <v>7</v>
      </c>
      <c r="HO641" s="27" t="s">
        <v>8</v>
      </c>
      <c r="HP641" s="27" t="s">
        <v>7</v>
      </c>
      <c r="HQ641" s="27" t="s">
        <v>8</v>
      </c>
      <c r="HR641" s="27" t="s">
        <v>7</v>
      </c>
      <c r="HS641" s="27" t="s">
        <v>8</v>
      </c>
      <c r="HT641" s="27" t="s">
        <v>7</v>
      </c>
      <c r="HV641" s="27" t="s">
        <v>7</v>
      </c>
      <c r="HW641" s="27" t="s">
        <v>8</v>
      </c>
      <c r="IB641" s="27" t="s">
        <v>7</v>
      </c>
      <c r="IC641" s="27" t="s">
        <v>8</v>
      </c>
      <c r="ID641" s="27" t="s">
        <v>7</v>
      </c>
      <c r="LY641" s="27" t="s">
        <v>8</v>
      </c>
      <c r="LZ641" s="27" t="s">
        <v>7</v>
      </c>
    </row>
    <row r="642" spans="1:341" x14ac:dyDescent="0.25">
      <c r="A642" s="7">
        <v>0.33650424955324681</v>
      </c>
      <c r="B642"/>
      <c r="C642"/>
      <c r="D642"/>
      <c r="E642"/>
      <c r="F642" s="27" t="s">
        <v>7</v>
      </c>
      <c r="GY642" s="27" t="s">
        <v>8</v>
      </c>
      <c r="GZ642" s="27" t="s">
        <v>7</v>
      </c>
      <c r="HA642" s="27" t="s">
        <v>8</v>
      </c>
      <c r="HB642" s="27" t="s">
        <v>7</v>
      </c>
      <c r="HL642" s="27" t="s">
        <v>7</v>
      </c>
      <c r="HM642" s="27" t="s">
        <v>8</v>
      </c>
      <c r="HN642" s="27" t="s">
        <v>7</v>
      </c>
      <c r="HO642" s="27" t="s">
        <v>8</v>
      </c>
      <c r="HP642" s="27" t="s">
        <v>7</v>
      </c>
      <c r="HQ642" s="27" t="s">
        <v>8</v>
      </c>
      <c r="HR642" s="27" t="s">
        <v>7</v>
      </c>
      <c r="HS642" s="27" t="s">
        <v>8</v>
      </c>
      <c r="HV642" s="27" t="s">
        <v>7</v>
      </c>
      <c r="HW642" s="27" t="s">
        <v>8</v>
      </c>
      <c r="IB642" s="27" t="s">
        <v>7</v>
      </c>
      <c r="IC642" s="27" t="s">
        <v>8</v>
      </c>
      <c r="ID642" s="27" t="s">
        <v>7</v>
      </c>
      <c r="LY642" s="27" t="s">
        <v>8</v>
      </c>
      <c r="LZ642" s="27" t="s">
        <v>7</v>
      </c>
    </row>
    <row r="643" spans="1:341" x14ac:dyDescent="0.25">
      <c r="A643" s="7">
        <v>0.3299061270129871</v>
      </c>
      <c r="B643"/>
      <c r="C643"/>
      <c r="D643"/>
      <c r="E643"/>
      <c r="F643" s="27" t="s">
        <v>7</v>
      </c>
      <c r="GY643" s="27" t="s">
        <v>8</v>
      </c>
      <c r="GZ643" s="27" t="s">
        <v>7</v>
      </c>
      <c r="HA643" s="27" t="s">
        <v>8</v>
      </c>
      <c r="HL643" s="27" t="s">
        <v>7</v>
      </c>
      <c r="HM643" s="27" t="s">
        <v>8</v>
      </c>
      <c r="HN643" s="27" t="s">
        <v>7</v>
      </c>
      <c r="HO643" s="27" t="s">
        <v>8</v>
      </c>
      <c r="HP643" s="27" t="s">
        <v>7</v>
      </c>
      <c r="HQ643" s="27" t="s">
        <v>8</v>
      </c>
      <c r="HR643" s="27" t="s">
        <v>7</v>
      </c>
      <c r="HS643" s="27" t="s">
        <v>8</v>
      </c>
      <c r="HV643" s="27" t="s">
        <v>7</v>
      </c>
      <c r="HW643" s="27" t="s">
        <v>8</v>
      </c>
      <c r="IB643" s="27" t="s">
        <v>7</v>
      </c>
      <c r="ID643" s="27" t="s">
        <v>7</v>
      </c>
      <c r="LY643" s="27" t="s">
        <v>8</v>
      </c>
      <c r="LZ643" s="27" t="s">
        <v>7</v>
      </c>
    </row>
    <row r="644" spans="1:341" x14ac:dyDescent="0.25">
      <c r="A644" s="7">
        <v>0.32343737942449713</v>
      </c>
      <c r="B644"/>
      <c r="C644"/>
      <c r="D644"/>
      <c r="E644"/>
      <c r="F644" s="27" t="s">
        <v>7</v>
      </c>
      <c r="GY644" s="27" t="s">
        <v>8</v>
      </c>
      <c r="GZ644" s="27" t="s">
        <v>7</v>
      </c>
      <c r="HA644" s="27" t="s">
        <v>8</v>
      </c>
      <c r="HL644" s="27" t="s">
        <v>7</v>
      </c>
      <c r="HM644" s="27" t="s">
        <v>8</v>
      </c>
      <c r="HN644" s="27" t="s">
        <v>7</v>
      </c>
      <c r="HO644" s="27" t="s">
        <v>8</v>
      </c>
      <c r="HP644" s="27" t="s">
        <v>7</v>
      </c>
      <c r="HQ644" s="27" t="s">
        <v>8</v>
      </c>
      <c r="HR644" s="27" t="s">
        <v>7</v>
      </c>
      <c r="HS644" s="27" t="s">
        <v>8</v>
      </c>
      <c r="HV644" s="27" t="s">
        <v>7</v>
      </c>
      <c r="HW644" s="27" t="s">
        <v>8</v>
      </c>
      <c r="ID644" s="27" t="s">
        <v>7</v>
      </c>
      <c r="LY644" s="27" t="s">
        <v>8</v>
      </c>
      <c r="LZ644" s="27" t="s">
        <v>7</v>
      </c>
    </row>
    <row r="645" spans="1:341" x14ac:dyDescent="0.25">
      <c r="A645" s="7">
        <v>0.31709547002401678</v>
      </c>
      <c r="B645"/>
      <c r="C645"/>
      <c r="D645"/>
      <c r="E645"/>
      <c r="F645" s="27" t="s">
        <v>7</v>
      </c>
      <c r="GM645" s="27" t="s">
        <v>8</v>
      </c>
      <c r="GY645" s="27" t="s">
        <v>8</v>
      </c>
      <c r="GZ645" s="27" t="s">
        <v>7</v>
      </c>
      <c r="HA645" s="27" t="s">
        <v>8</v>
      </c>
      <c r="HL645" s="27" t="s">
        <v>7</v>
      </c>
      <c r="HN645" s="27" t="s">
        <v>7</v>
      </c>
      <c r="HO645" s="27" t="s">
        <v>8</v>
      </c>
      <c r="HP645" s="27" t="s">
        <v>7</v>
      </c>
      <c r="HQ645" s="27" t="s">
        <v>8</v>
      </c>
      <c r="HR645" s="27" t="s">
        <v>7</v>
      </c>
      <c r="HS645" s="27" t="s">
        <v>8</v>
      </c>
      <c r="HV645" s="27" t="s">
        <v>7</v>
      </c>
      <c r="HW645" s="27" t="s">
        <v>8</v>
      </c>
      <c r="ID645" s="27" t="s">
        <v>7</v>
      </c>
      <c r="LY645" s="27" t="s">
        <v>8</v>
      </c>
      <c r="LZ645" s="27" t="s">
        <v>7</v>
      </c>
    </row>
    <row r="646" spans="1:341" x14ac:dyDescent="0.25">
      <c r="A646" s="7">
        <v>0.31087791178825175</v>
      </c>
      <c r="B646"/>
      <c r="C646"/>
      <c r="D646"/>
      <c r="E646"/>
      <c r="F646" s="27" t="s">
        <v>7</v>
      </c>
      <c r="GM646" s="27" t="s">
        <v>8</v>
      </c>
      <c r="GN646" s="27" t="s">
        <v>7</v>
      </c>
      <c r="GU646" s="27" t="s">
        <v>8</v>
      </c>
      <c r="GY646" s="27" t="s">
        <v>8</v>
      </c>
      <c r="GZ646" s="27" t="s">
        <v>7</v>
      </c>
      <c r="HN646" s="27" t="s">
        <v>7</v>
      </c>
      <c r="HO646" s="27" t="s">
        <v>8</v>
      </c>
      <c r="HP646" s="27" t="s">
        <v>7</v>
      </c>
      <c r="HQ646" s="27" t="s">
        <v>8</v>
      </c>
      <c r="HR646" s="27" t="s">
        <v>7</v>
      </c>
      <c r="HS646" s="27" t="s">
        <v>8</v>
      </c>
      <c r="HV646" s="27" t="s">
        <v>7</v>
      </c>
      <c r="HW646" s="27" t="s">
        <v>8</v>
      </c>
      <c r="ID646" s="27" t="s">
        <v>7</v>
      </c>
      <c r="LY646" s="27" t="s">
        <v>8</v>
      </c>
      <c r="LZ646" s="27" t="s">
        <v>7</v>
      </c>
    </row>
    <row r="647" spans="1:341" x14ac:dyDescent="0.25">
      <c r="A647" s="7">
        <v>0.30478226645907036</v>
      </c>
      <c r="B647"/>
      <c r="C647"/>
      <c r="D647"/>
      <c r="E647"/>
      <c r="F647" s="27" t="s">
        <v>7</v>
      </c>
      <c r="GM647" s="27" t="s">
        <v>8</v>
      </c>
      <c r="GN647" s="27" t="s">
        <v>7</v>
      </c>
      <c r="GU647" s="27" t="s">
        <v>8</v>
      </c>
      <c r="GV647" s="27" t="s">
        <v>7</v>
      </c>
      <c r="GY647" s="27" t="s">
        <v>8</v>
      </c>
      <c r="HN647" s="27" t="s">
        <v>7</v>
      </c>
      <c r="HO647" s="27" t="s">
        <v>8</v>
      </c>
      <c r="HP647" s="27" t="s">
        <v>7</v>
      </c>
      <c r="HQ647" s="27" t="s">
        <v>8</v>
      </c>
      <c r="HR647" s="27" t="s">
        <v>7</v>
      </c>
      <c r="HS647" s="27" t="s">
        <v>8</v>
      </c>
      <c r="HV647" s="27" t="s">
        <v>7</v>
      </c>
      <c r="ID647" s="27" t="s">
        <v>7</v>
      </c>
      <c r="LY647" s="27" t="s">
        <v>8</v>
      </c>
      <c r="LZ647" s="27" t="s">
        <v>7</v>
      </c>
    </row>
    <row r="648" spans="1:341" x14ac:dyDescent="0.25">
      <c r="A648" s="7">
        <v>0.29880614358732388</v>
      </c>
      <c r="B648"/>
      <c r="C648"/>
      <c r="D648"/>
      <c r="E648"/>
      <c r="F648" s="27" t="s">
        <v>7</v>
      </c>
      <c r="GM648" s="27" t="s">
        <v>8</v>
      </c>
      <c r="GN648" s="27" t="s">
        <v>7</v>
      </c>
      <c r="GO648" s="27" t="s">
        <v>8</v>
      </c>
      <c r="GU648" s="27" t="s">
        <v>8</v>
      </c>
      <c r="GV648" s="27" t="s">
        <v>7</v>
      </c>
      <c r="GY648" s="27" t="s">
        <v>8</v>
      </c>
      <c r="HN648" s="27" t="s">
        <v>7</v>
      </c>
      <c r="HO648" s="27" t="s">
        <v>8</v>
      </c>
      <c r="HP648" s="27" t="s">
        <v>7</v>
      </c>
      <c r="HQ648" s="27" t="s">
        <v>8</v>
      </c>
      <c r="HR648" s="27" t="s">
        <v>7</v>
      </c>
      <c r="ID648" s="27" t="s">
        <v>7</v>
      </c>
      <c r="LY648" s="27" t="s">
        <v>8</v>
      </c>
      <c r="LZ648" s="27" t="s">
        <v>7</v>
      </c>
    </row>
    <row r="649" spans="1:341" x14ac:dyDescent="0.25">
      <c r="A649" s="7">
        <v>0.2929471995954156</v>
      </c>
      <c r="B649"/>
      <c r="C649"/>
      <c r="D649"/>
      <c r="E649"/>
      <c r="F649" s="27" t="s">
        <v>7</v>
      </c>
      <c r="GM649" s="27" t="s">
        <v>8</v>
      </c>
      <c r="GN649" s="27" t="s">
        <v>7</v>
      </c>
      <c r="GO649" s="27" t="s">
        <v>8</v>
      </c>
      <c r="GP649" s="27" t="s">
        <v>7</v>
      </c>
      <c r="GU649" s="27" t="s">
        <v>8</v>
      </c>
      <c r="GV649" s="27" t="s">
        <v>7</v>
      </c>
      <c r="GY649" s="27" t="s">
        <v>8</v>
      </c>
      <c r="HN649" s="27" t="s">
        <v>7</v>
      </c>
      <c r="HO649" s="27" t="s">
        <v>8</v>
      </c>
      <c r="HP649" s="27" t="s">
        <v>7</v>
      </c>
      <c r="HQ649" s="27" t="s">
        <v>8</v>
      </c>
      <c r="ID649" s="27" t="s">
        <v>7</v>
      </c>
      <c r="LY649" s="27" t="s">
        <v>8</v>
      </c>
      <c r="LZ649" s="27" t="s">
        <v>7</v>
      </c>
    </row>
    <row r="650" spans="1:341" x14ac:dyDescent="0.25">
      <c r="A650" s="7">
        <v>0.28720313685825055</v>
      </c>
      <c r="B650"/>
      <c r="C650"/>
      <c r="D650"/>
      <c r="E650"/>
      <c r="F650" s="27" t="s">
        <v>7</v>
      </c>
      <c r="GM650" s="27" t="s">
        <v>8</v>
      </c>
      <c r="GN650" s="27" t="s">
        <v>7</v>
      </c>
      <c r="GO650" s="27" t="s">
        <v>8</v>
      </c>
      <c r="GP650" s="27" t="s">
        <v>7</v>
      </c>
      <c r="GU650" s="27" t="s">
        <v>8</v>
      </c>
      <c r="GV650" s="27" t="s">
        <v>7</v>
      </c>
      <c r="GW650" s="27" t="s">
        <v>8</v>
      </c>
      <c r="GY650" s="27" t="s">
        <v>8</v>
      </c>
      <c r="HN650" s="27" t="s">
        <v>7</v>
      </c>
      <c r="HP650" s="27" t="s">
        <v>7</v>
      </c>
      <c r="HQ650" s="27" t="s">
        <v>8</v>
      </c>
      <c r="ID650" s="27" t="s">
        <v>7</v>
      </c>
      <c r="LY650" s="27" t="s">
        <v>8</v>
      </c>
      <c r="LZ650" s="27" t="s">
        <v>7</v>
      </c>
    </row>
    <row r="651" spans="1:341" x14ac:dyDescent="0.25">
      <c r="A651" s="7">
        <v>0.28157170280220645</v>
      </c>
      <c r="B651"/>
      <c r="C651"/>
      <c r="D651"/>
      <c r="E651"/>
      <c r="F651" s="27" t="s">
        <v>7</v>
      </c>
      <c r="GM651" s="27" t="s">
        <v>8</v>
      </c>
      <c r="GN651" s="27" t="s">
        <v>7</v>
      </c>
      <c r="GO651" s="27" t="s">
        <v>8</v>
      </c>
      <c r="GP651" s="27" t="s">
        <v>7</v>
      </c>
      <c r="GQ651" s="27" t="s">
        <v>8</v>
      </c>
      <c r="GU651" s="27" t="s">
        <v>8</v>
      </c>
      <c r="GV651" s="27" t="s">
        <v>7</v>
      </c>
      <c r="GW651" s="27" t="s">
        <v>8</v>
      </c>
      <c r="GX651" s="27" t="s">
        <v>7</v>
      </c>
      <c r="GY651" s="27" t="s">
        <v>8</v>
      </c>
      <c r="HP651" s="27" t="s">
        <v>7</v>
      </c>
      <c r="HQ651" s="27" t="s">
        <v>8</v>
      </c>
      <c r="ID651" s="27" t="s">
        <v>7</v>
      </c>
      <c r="LY651" s="27" t="s">
        <v>8</v>
      </c>
      <c r="LZ651" s="27" t="s">
        <v>7</v>
      </c>
    </row>
    <row r="652" spans="1:341" x14ac:dyDescent="0.25">
      <c r="A652" s="7">
        <v>0.27605068902177105</v>
      </c>
      <c r="B652"/>
      <c r="C652"/>
      <c r="D652"/>
      <c r="E652"/>
      <c r="F652" s="27" t="s">
        <v>7</v>
      </c>
      <c r="GM652" s="27" t="s">
        <v>8</v>
      </c>
      <c r="GN652" s="27" t="s">
        <v>7</v>
      </c>
      <c r="GO652" s="27" t="s">
        <v>8</v>
      </c>
      <c r="GP652" s="27" t="s">
        <v>7</v>
      </c>
      <c r="GQ652" s="27" t="s">
        <v>8</v>
      </c>
      <c r="GR652" s="27" t="s">
        <v>7</v>
      </c>
      <c r="GU652" s="27" t="s">
        <v>8</v>
      </c>
      <c r="GV652" s="27" t="s">
        <v>7</v>
      </c>
      <c r="GW652" s="27" t="s">
        <v>8</v>
      </c>
      <c r="GX652" s="27" t="s">
        <v>7</v>
      </c>
      <c r="GY652" s="27" t="s">
        <v>8</v>
      </c>
      <c r="HP652" s="27" t="s">
        <v>7</v>
      </c>
      <c r="HQ652" s="27" t="s">
        <v>8</v>
      </c>
      <c r="ID652" s="27" t="s">
        <v>7</v>
      </c>
      <c r="LY652" s="27" t="s">
        <v>8</v>
      </c>
      <c r="LZ652" s="27" t="s">
        <v>7</v>
      </c>
    </row>
    <row r="653" spans="1:341" x14ac:dyDescent="0.25">
      <c r="A653" s="7">
        <v>0.27063793041350104</v>
      </c>
      <c r="B653"/>
      <c r="C653"/>
      <c r="D653"/>
      <c r="E653"/>
      <c r="F653" s="27" t="s">
        <v>7</v>
      </c>
      <c r="GM653" s="27" t="s">
        <v>8</v>
      </c>
      <c r="GN653" s="27" t="s">
        <v>7</v>
      </c>
      <c r="GO653" s="27" t="s">
        <v>8</v>
      </c>
      <c r="GP653" s="27" t="s">
        <v>7</v>
      </c>
      <c r="GQ653" s="27" t="s">
        <v>8</v>
      </c>
      <c r="GR653" s="27" t="s">
        <v>7</v>
      </c>
      <c r="GU653" s="27" t="s">
        <v>8</v>
      </c>
      <c r="GV653" s="27" t="s">
        <v>7</v>
      </c>
      <c r="GW653" s="27" t="s">
        <v>8</v>
      </c>
      <c r="GX653" s="27" t="s">
        <v>7</v>
      </c>
      <c r="GY653" s="27" t="s">
        <v>8</v>
      </c>
      <c r="HP653" s="27" t="s">
        <v>7</v>
      </c>
      <c r="HQ653" s="27" t="s">
        <v>8</v>
      </c>
      <c r="ID653" s="27" t="s">
        <v>7</v>
      </c>
      <c r="IE653" s="27" t="s">
        <v>8</v>
      </c>
      <c r="LY653" s="27" t="s">
        <v>8</v>
      </c>
      <c r="LZ653" s="27" t="s">
        <v>7</v>
      </c>
    </row>
    <row r="654" spans="1:341" x14ac:dyDescent="0.25">
      <c r="A654" s="7">
        <v>0.26533130432696184</v>
      </c>
      <c r="B654"/>
      <c r="C654"/>
      <c r="D654"/>
      <c r="E654"/>
      <c r="F654" s="27" t="s">
        <v>7</v>
      </c>
      <c r="GE654" s="27" t="s">
        <v>8</v>
      </c>
      <c r="GM654" s="27" t="s">
        <v>8</v>
      </c>
      <c r="GN654" s="27" t="s">
        <v>7</v>
      </c>
      <c r="GO654" s="27" t="s">
        <v>8</v>
      </c>
      <c r="GP654" s="27" t="s">
        <v>7</v>
      </c>
      <c r="GQ654" s="27" t="s">
        <v>8</v>
      </c>
      <c r="GR654" s="27" t="s">
        <v>7</v>
      </c>
      <c r="GS654" s="27" t="s">
        <v>8</v>
      </c>
      <c r="GU654" s="27" t="s">
        <v>8</v>
      </c>
      <c r="GV654" s="27" t="s">
        <v>7</v>
      </c>
      <c r="GW654" s="27" t="s">
        <v>8</v>
      </c>
      <c r="GX654" s="27" t="s">
        <v>7</v>
      </c>
      <c r="HP654" s="27" t="s">
        <v>7</v>
      </c>
      <c r="HQ654" s="27" t="s">
        <v>8</v>
      </c>
      <c r="ID654" s="27" t="s">
        <v>7</v>
      </c>
      <c r="IE654" s="27" t="s">
        <v>8</v>
      </c>
      <c r="IF654" s="27" t="s">
        <v>7</v>
      </c>
      <c r="LY654" s="27" t="s">
        <v>8</v>
      </c>
      <c r="LZ654" s="27" t="s">
        <v>7</v>
      </c>
    </row>
    <row r="655" spans="1:341" x14ac:dyDescent="0.25">
      <c r="A655" s="7">
        <v>0.26012872973231554</v>
      </c>
      <c r="B655"/>
      <c r="C655"/>
      <c r="D655"/>
      <c r="E655"/>
      <c r="F655" s="27" t="s">
        <v>7</v>
      </c>
      <c r="GE655" s="27" t="s">
        <v>8</v>
      </c>
      <c r="GF655" s="27" t="s">
        <v>7</v>
      </c>
      <c r="GM655" s="27" t="s">
        <v>8</v>
      </c>
      <c r="GN655" s="27" t="s">
        <v>7</v>
      </c>
      <c r="GO655" s="27" t="s">
        <v>8</v>
      </c>
      <c r="GP655" s="27" t="s">
        <v>7</v>
      </c>
      <c r="GQ655" s="27" t="s">
        <v>8</v>
      </c>
      <c r="GR655" s="27" t="s">
        <v>7</v>
      </c>
      <c r="GS655" s="27" t="s">
        <v>8</v>
      </c>
      <c r="GT655" s="27" t="s">
        <v>7</v>
      </c>
      <c r="GU655" s="27" t="s">
        <v>8</v>
      </c>
      <c r="GV655" s="27" t="s">
        <v>7</v>
      </c>
      <c r="GW655" s="27" t="s">
        <v>8</v>
      </c>
      <c r="HP655" s="27" t="s">
        <v>7</v>
      </c>
      <c r="HQ655" s="27" t="s">
        <v>8</v>
      </c>
      <c r="ID655" s="27" t="s">
        <v>7</v>
      </c>
      <c r="IE655" s="27" t="s">
        <v>8</v>
      </c>
      <c r="IF655" s="27" t="s">
        <v>7</v>
      </c>
      <c r="LY655" s="27" t="s">
        <v>8</v>
      </c>
      <c r="LZ655" s="27" t="s">
        <v>7</v>
      </c>
    </row>
    <row r="656" spans="1:341" x14ac:dyDescent="0.25">
      <c r="A656" s="7">
        <v>0.25502816640423093</v>
      </c>
      <c r="B656"/>
      <c r="C656"/>
      <c r="D656"/>
      <c r="E656"/>
      <c r="F656" s="27" t="s">
        <v>7</v>
      </c>
      <c r="GE656" s="27" t="s">
        <v>8</v>
      </c>
      <c r="GF656" s="27" t="s">
        <v>7</v>
      </c>
      <c r="GM656" s="27" t="s">
        <v>8</v>
      </c>
      <c r="GN656" s="27" t="s">
        <v>7</v>
      </c>
      <c r="GO656" s="27" t="s">
        <v>8</v>
      </c>
      <c r="GP656" s="27" t="s">
        <v>7</v>
      </c>
      <c r="GQ656" s="27" t="s">
        <v>8</v>
      </c>
      <c r="GR656" s="27" t="s">
        <v>7</v>
      </c>
      <c r="GS656" s="27" t="s">
        <v>8</v>
      </c>
      <c r="GT656" s="27" t="s">
        <v>7</v>
      </c>
      <c r="GU656" s="27" t="s">
        <v>8</v>
      </c>
      <c r="GV656" s="27" t="s">
        <v>7</v>
      </c>
      <c r="GW656" s="27" t="s">
        <v>8</v>
      </c>
      <c r="HP656" s="27" t="s">
        <v>7</v>
      </c>
      <c r="HQ656" s="27" t="s">
        <v>8</v>
      </c>
      <c r="ID656" s="27" t="s">
        <v>7</v>
      </c>
      <c r="IE656" s="27" t="s">
        <v>8</v>
      </c>
      <c r="IF656" s="27" t="s">
        <v>7</v>
      </c>
      <c r="LY656" s="27" t="s">
        <v>8</v>
      </c>
      <c r="LZ656" s="27" t="s">
        <v>7</v>
      </c>
      <c r="MC656" s="27" t="s">
        <v>8</v>
      </c>
    </row>
    <row r="657" spans="1:344" x14ac:dyDescent="0.25">
      <c r="A657" s="7">
        <v>0.25002761412179503</v>
      </c>
      <c r="B657"/>
      <c r="C657"/>
      <c r="D657"/>
      <c r="E657"/>
      <c r="F657" s="27" t="s">
        <v>7</v>
      </c>
      <c r="GE657" s="27" t="s">
        <v>8</v>
      </c>
      <c r="GF657" s="27" t="s">
        <v>7</v>
      </c>
      <c r="GM657" s="27" t="s">
        <v>8</v>
      </c>
      <c r="GN657" s="27" t="s">
        <v>7</v>
      </c>
      <c r="GP657" s="27" t="s">
        <v>7</v>
      </c>
      <c r="GR657" s="27" t="s">
        <v>7</v>
      </c>
      <c r="GS657" s="27" t="s">
        <v>8</v>
      </c>
      <c r="GT657" s="27" t="s">
        <v>7</v>
      </c>
      <c r="GU657" s="27" t="s">
        <v>8</v>
      </c>
      <c r="GV657" s="27" t="s">
        <v>7</v>
      </c>
      <c r="HP657" s="27" t="s">
        <v>7</v>
      </c>
      <c r="HQ657" s="27" t="s">
        <v>8</v>
      </c>
      <c r="ID657" s="27" t="s">
        <v>7</v>
      </c>
      <c r="IE657" s="27" t="s">
        <v>8</v>
      </c>
      <c r="IF657" s="27" t="s">
        <v>7</v>
      </c>
      <c r="LY657" s="27" t="s">
        <v>8</v>
      </c>
      <c r="LZ657" s="27" t="s">
        <v>7</v>
      </c>
      <c r="MC657" s="27" t="s">
        <v>8</v>
      </c>
      <c r="MD657" s="27" t="s">
        <v>7</v>
      </c>
    </row>
    <row r="658" spans="1:344" x14ac:dyDescent="0.25">
      <c r="A658" s="7">
        <v>0.24512511188411276</v>
      </c>
      <c r="B658"/>
      <c r="C658"/>
      <c r="D658"/>
      <c r="E658"/>
      <c r="F658" s="27" t="s">
        <v>7</v>
      </c>
      <c r="GE658" s="27" t="s">
        <v>8</v>
      </c>
      <c r="GF658" s="27" t="s">
        <v>7</v>
      </c>
      <c r="GG658" s="27" t="s">
        <v>8</v>
      </c>
      <c r="GM658" s="27" t="s">
        <v>8</v>
      </c>
      <c r="GR658" s="27" t="s">
        <v>7</v>
      </c>
      <c r="GS658" s="27" t="s">
        <v>8</v>
      </c>
      <c r="GT658" s="27" t="s">
        <v>7</v>
      </c>
      <c r="GU658" s="27" t="s">
        <v>8</v>
      </c>
      <c r="HP658" s="27" t="s">
        <v>7</v>
      </c>
      <c r="HQ658" s="27" t="s">
        <v>8</v>
      </c>
      <c r="ID658" s="27" t="s">
        <v>7</v>
      </c>
      <c r="IE658" s="27" t="s">
        <v>8</v>
      </c>
      <c r="IF658" s="27" t="s">
        <v>7</v>
      </c>
      <c r="LY658" s="27" t="s">
        <v>8</v>
      </c>
      <c r="LZ658" s="27" t="s">
        <v>7</v>
      </c>
      <c r="MA658" s="27" t="s">
        <v>8</v>
      </c>
      <c r="MC658" s="27" t="s">
        <v>8</v>
      </c>
      <c r="MD658" s="27" t="s">
        <v>7</v>
      </c>
    </row>
    <row r="659" spans="1:344" x14ac:dyDescent="0.25">
      <c r="A659" s="7">
        <v>0.24031873714128701</v>
      </c>
      <c r="B659"/>
      <c r="C659"/>
      <c r="D659"/>
      <c r="E659"/>
      <c r="F659" s="27" t="s">
        <v>7</v>
      </c>
      <c r="GE659" s="27" t="s">
        <v>8</v>
      </c>
      <c r="GF659" s="27" t="s">
        <v>7</v>
      </c>
      <c r="GG659" s="27" t="s">
        <v>8</v>
      </c>
      <c r="GH659" s="27" t="s">
        <v>7</v>
      </c>
      <c r="GM659" s="27" t="s">
        <v>8</v>
      </c>
      <c r="GR659" s="27" t="s">
        <v>7</v>
      </c>
      <c r="GT659" s="27" t="s">
        <v>7</v>
      </c>
      <c r="GU659" s="27" t="s">
        <v>8</v>
      </c>
      <c r="HP659" s="27" t="s">
        <v>7</v>
      </c>
      <c r="HQ659" s="27" t="s">
        <v>8</v>
      </c>
      <c r="ID659" s="27" t="s">
        <v>7</v>
      </c>
      <c r="IE659" s="27" t="s">
        <v>8</v>
      </c>
      <c r="IF659" s="27" t="s">
        <v>7</v>
      </c>
      <c r="II659" s="27" t="s">
        <v>8</v>
      </c>
      <c r="KG659" s="27" t="s">
        <v>8</v>
      </c>
      <c r="LY659" s="27" t="s">
        <v>8</v>
      </c>
      <c r="LZ659" s="27" t="s">
        <v>7</v>
      </c>
      <c r="MA659" s="27" t="s">
        <v>8</v>
      </c>
      <c r="MB659" s="27" t="s">
        <v>7</v>
      </c>
      <c r="MC659" s="27" t="s">
        <v>8</v>
      </c>
      <c r="MD659" s="27" t="s">
        <v>7</v>
      </c>
    </row>
    <row r="660" spans="1:344" x14ac:dyDescent="0.25">
      <c r="A660" s="7">
        <v>0.23560660504047748</v>
      </c>
      <c r="B660"/>
      <c r="C660"/>
      <c r="D660"/>
      <c r="E660"/>
      <c r="F660" s="27" t="s">
        <v>7</v>
      </c>
      <c r="GE660" s="27" t="s">
        <v>8</v>
      </c>
      <c r="GF660" s="27" t="s">
        <v>7</v>
      </c>
      <c r="GG660" s="27" t="s">
        <v>8</v>
      </c>
      <c r="GH660" s="27" t="s">
        <v>7</v>
      </c>
      <c r="GM660" s="27" t="s">
        <v>8</v>
      </c>
      <c r="GT660" s="27" t="s">
        <v>7</v>
      </c>
      <c r="GU660" s="27" t="s">
        <v>8</v>
      </c>
      <c r="HP660" s="27" t="s">
        <v>7</v>
      </c>
      <c r="HQ660" s="27" t="s">
        <v>8</v>
      </c>
      <c r="ID660" s="27" t="s">
        <v>7</v>
      </c>
      <c r="IE660" s="27" t="s">
        <v>8</v>
      </c>
      <c r="IF660" s="27" t="s">
        <v>7</v>
      </c>
      <c r="II660" s="27" t="s">
        <v>8</v>
      </c>
      <c r="IJ660" s="27" t="s">
        <v>7</v>
      </c>
      <c r="KE660" s="27" t="s">
        <v>8</v>
      </c>
      <c r="KG660" s="27" t="s">
        <v>8</v>
      </c>
      <c r="KH660" s="27" t="s">
        <v>7</v>
      </c>
      <c r="LY660" s="27" t="s">
        <v>8</v>
      </c>
      <c r="LZ660" s="27" t="s">
        <v>7</v>
      </c>
      <c r="MA660" s="27" t="s">
        <v>8</v>
      </c>
      <c r="MB660" s="27" t="s">
        <v>7</v>
      </c>
      <c r="MC660" s="27" t="s">
        <v>8</v>
      </c>
      <c r="MD660" s="27" t="s">
        <v>7</v>
      </c>
    </row>
    <row r="661" spans="1:344" x14ac:dyDescent="0.25">
      <c r="A661" s="7">
        <v>0.23098686768674265</v>
      </c>
      <c r="B661"/>
      <c r="C661"/>
      <c r="D661"/>
      <c r="E661"/>
      <c r="F661" s="27" t="s">
        <v>7</v>
      </c>
      <c r="GE661" s="27" t="s">
        <v>8</v>
      </c>
      <c r="GF661" s="27" t="s">
        <v>7</v>
      </c>
      <c r="GG661" s="27" t="s">
        <v>8</v>
      </c>
      <c r="GH661" s="27" t="s">
        <v>7</v>
      </c>
      <c r="GM661" s="27" t="s">
        <v>8</v>
      </c>
      <c r="GT661" s="27" t="s">
        <v>7</v>
      </c>
      <c r="HP661" s="27" t="s">
        <v>7</v>
      </c>
      <c r="HQ661" s="27" t="s">
        <v>8</v>
      </c>
      <c r="ID661" s="27" t="s">
        <v>7</v>
      </c>
      <c r="IE661" s="27" t="s">
        <v>8</v>
      </c>
      <c r="IF661" s="27" t="s">
        <v>7</v>
      </c>
      <c r="IG661" s="27" t="s">
        <v>8</v>
      </c>
      <c r="II661" s="27" t="s">
        <v>8</v>
      </c>
      <c r="IJ661" s="27" t="s">
        <v>7</v>
      </c>
      <c r="KE661" s="27" t="s">
        <v>8</v>
      </c>
      <c r="KF661" s="27" t="s">
        <v>7</v>
      </c>
      <c r="KG661" s="27" t="s">
        <v>8</v>
      </c>
      <c r="KH661" s="27" t="s">
        <v>7</v>
      </c>
      <c r="LY661" s="27" t="s">
        <v>8</v>
      </c>
      <c r="LZ661" s="27" t="s">
        <v>7</v>
      </c>
      <c r="MA661" s="27" t="s">
        <v>8</v>
      </c>
      <c r="MB661" s="27" t="s">
        <v>7</v>
      </c>
      <c r="MC661" s="27" t="s">
        <v>8</v>
      </c>
      <c r="MD661" s="27" t="s">
        <v>7</v>
      </c>
    </row>
    <row r="662" spans="1:344" x14ac:dyDescent="0.25">
      <c r="A662" s="7">
        <v>0.22645771341837515</v>
      </c>
      <c r="B662"/>
      <c r="C662"/>
      <c r="D662"/>
      <c r="E662"/>
      <c r="F662" s="27" t="s">
        <v>7</v>
      </c>
      <c r="GE662" s="27" t="s">
        <v>8</v>
      </c>
      <c r="GF662" s="27" t="s">
        <v>7</v>
      </c>
      <c r="GG662" s="27" t="s">
        <v>8</v>
      </c>
      <c r="GH662" s="27" t="s">
        <v>7</v>
      </c>
      <c r="GM662" s="27" t="s">
        <v>8</v>
      </c>
      <c r="HP662" s="27" t="s">
        <v>7</v>
      </c>
      <c r="HQ662" s="27" t="s">
        <v>8</v>
      </c>
      <c r="ID662" s="27" t="s">
        <v>7</v>
      </c>
      <c r="IE662" s="27" t="s">
        <v>8</v>
      </c>
      <c r="IF662" s="27" t="s">
        <v>7</v>
      </c>
      <c r="IG662" s="27" t="s">
        <v>8</v>
      </c>
      <c r="IH662" s="27" t="s">
        <v>7</v>
      </c>
      <c r="II662" s="27" t="s">
        <v>8</v>
      </c>
      <c r="IJ662" s="27" t="s">
        <v>7</v>
      </c>
      <c r="KE662" s="27" t="s">
        <v>8</v>
      </c>
      <c r="KF662" s="27" t="s">
        <v>7</v>
      </c>
      <c r="KG662" s="27" t="s">
        <v>8</v>
      </c>
      <c r="KH662" s="27" t="s">
        <v>7</v>
      </c>
      <c r="LY662" s="27" t="s">
        <v>8</v>
      </c>
      <c r="LZ662" s="27" t="s">
        <v>7</v>
      </c>
      <c r="MA662" s="27" t="s">
        <v>8</v>
      </c>
      <c r="MB662" s="27" t="s">
        <v>7</v>
      </c>
      <c r="MC662" s="27" t="s">
        <v>8</v>
      </c>
      <c r="MD662" s="27" t="s">
        <v>7</v>
      </c>
    </row>
    <row r="663" spans="1:344" x14ac:dyDescent="0.25">
      <c r="A663" s="7">
        <v>0.22201736609644623</v>
      </c>
      <c r="B663"/>
      <c r="C663"/>
      <c r="D663"/>
      <c r="E663"/>
      <c r="F663" s="27" t="s">
        <v>7</v>
      </c>
      <c r="GE663" s="27" t="s">
        <v>8</v>
      </c>
      <c r="GF663" s="27" t="s">
        <v>7</v>
      </c>
      <c r="GG663" s="27" t="s">
        <v>8</v>
      </c>
      <c r="GH663" s="27" t="s">
        <v>7</v>
      </c>
      <c r="GM663" s="27" t="s">
        <v>8</v>
      </c>
      <c r="HP663" s="27" t="s">
        <v>7</v>
      </c>
      <c r="HQ663" s="27" t="s">
        <v>8</v>
      </c>
      <c r="ID663" s="27" t="s">
        <v>7</v>
      </c>
      <c r="IE663" s="27" t="s">
        <v>8</v>
      </c>
      <c r="IF663" s="27" t="s">
        <v>7</v>
      </c>
      <c r="IG663" s="27" t="s">
        <v>8</v>
      </c>
      <c r="IH663" s="27" t="s">
        <v>7</v>
      </c>
      <c r="II663" s="27" t="s">
        <v>8</v>
      </c>
      <c r="IJ663" s="27" t="s">
        <v>7</v>
      </c>
      <c r="IO663" s="27" t="s">
        <v>8</v>
      </c>
      <c r="KE663" s="27" t="s">
        <v>8</v>
      </c>
      <c r="KF663" s="27" t="s">
        <v>7</v>
      </c>
      <c r="KG663" s="27" t="s">
        <v>8</v>
      </c>
      <c r="KH663" s="27" t="s">
        <v>7</v>
      </c>
      <c r="LY663" s="27" t="s">
        <v>8</v>
      </c>
      <c r="LZ663" s="27" t="s">
        <v>7</v>
      </c>
      <c r="MA663" s="27" t="s">
        <v>8</v>
      </c>
      <c r="MB663" s="27" t="s">
        <v>7</v>
      </c>
      <c r="MC663" s="27" t="s">
        <v>8</v>
      </c>
      <c r="MD663" s="27" t="s">
        <v>7</v>
      </c>
    </row>
    <row r="664" spans="1:344" x14ac:dyDescent="0.25">
      <c r="A664" s="7">
        <v>0.21766408440828061</v>
      </c>
      <c r="B664"/>
      <c r="C664"/>
      <c r="D664"/>
      <c r="E664"/>
      <c r="F664" s="27" t="s">
        <v>7</v>
      </c>
      <c r="GC664" s="27" t="s">
        <v>8</v>
      </c>
      <c r="GE664" s="27" t="s">
        <v>8</v>
      </c>
      <c r="GF664" s="27" t="s">
        <v>7</v>
      </c>
      <c r="GG664" s="27" t="s">
        <v>8</v>
      </c>
      <c r="GH664" s="27" t="s">
        <v>7</v>
      </c>
      <c r="GM664" s="27" t="s">
        <v>8</v>
      </c>
      <c r="HP664" s="27" t="s">
        <v>7</v>
      </c>
      <c r="HQ664" s="27" t="s">
        <v>8</v>
      </c>
      <c r="ID664" s="27" t="s">
        <v>7</v>
      </c>
      <c r="IE664" s="27" t="s">
        <v>8</v>
      </c>
      <c r="IF664" s="27" t="s">
        <v>7</v>
      </c>
      <c r="IG664" s="27" t="s">
        <v>8</v>
      </c>
      <c r="IH664" s="27" t="s">
        <v>7</v>
      </c>
      <c r="II664" s="27" t="s">
        <v>8</v>
      </c>
      <c r="IJ664" s="27" t="s">
        <v>7</v>
      </c>
      <c r="IO664" s="27" t="s">
        <v>8</v>
      </c>
      <c r="IP664" s="27" t="s">
        <v>7</v>
      </c>
      <c r="JY664" s="27" t="s">
        <v>8</v>
      </c>
      <c r="KE664" s="27" t="s">
        <v>8</v>
      </c>
      <c r="KF664" s="27" t="s">
        <v>7</v>
      </c>
      <c r="KG664" s="27" t="s">
        <v>8</v>
      </c>
      <c r="KH664" s="27" t="s">
        <v>7</v>
      </c>
      <c r="LY664" s="27" t="s">
        <v>8</v>
      </c>
      <c r="LZ664" s="27" t="s">
        <v>7</v>
      </c>
      <c r="MA664" s="27" t="s">
        <v>8</v>
      </c>
      <c r="MB664" s="27" t="s">
        <v>7</v>
      </c>
      <c r="MC664" s="27" t="s">
        <v>8</v>
      </c>
      <c r="MD664" s="27" t="s">
        <v>7</v>
      </c>
    </row>
    <row r="665" spans="1:344" x14ac:dyDescent="0.25">
      <c r="A665" s="7">
        <v>0.21339616118458882</v>
      </c>
      <c r="B665"/>
      <c r="C665"/>
      <c r="D665"/>
      <c r="E665"/>
      <c r="F665" s="27" t="s">
        <v>7</v>
      </c>
      <c r="GC665" s="27" t="s">
        <v>8</v>
      </c>
      <c r="GD665" s="27" t="s">
        <v>7</v>
      </c>
      <c r="GE665" s="27" t="s">
        <v>8</v>
      </c>
      <c r="GF665" s="27" t="s">
        <v>7</v>
      </c>
      <c r="GG665" s="27" t="s">
        <v>8</v>
      </c>
      <c r="GH665" s="27" t="s">
        <v>7</v>
      </c>
      <c r="GM665" s="27" t="s">
        <v>8</v>
      </c>
      <c r="HP665" s="27" t="s">
        <v>7</v>
      </c>
      <c r="ID665" s="27" t="s">
        <v>7</v>
      </c>
      <c r="IE665" s="27" t="s">
        <v>8</v>
      </c>
      <c r="IF665" s="27" t="s">
        <v>7</v>
      </c>
      <c r="IG665" s="27" t="s">
        <v>8</v>
      </c>
      <c r="IH665" s="27" t="s">
        <v>7</v>
      </c>
      <c r="II665" s="27" t="s">
        <v>8</v>
      </c>
      <c r="IJ665" s="27" t="s">
        <v>7</v>
      </c>
      <c r="IO665" s="27" t="s">
        <v>8</v>
      </c>
      <c r="IP665" s="27" t="s">
        <v>7</v>
      </c>
      <c r="IQ665" s="27" t="s">
        <v>8</v>
      </c>
      <c r="JW665" s="27" t="s">
        <v>8</v>
      </c>
      <c r="JY665" s="27" t="s">
        <v>8</v>
      </c>
      <c r="JZ665" s="27" t="s">
        <v>7</v>
      </c>
      <c r="KE665" s="27" t="s">
        <v>8</v>
      </c>
      <c r="KF665" s="27" t="s">
        <v>7</v>
      </c>
      <c r="KG665" s="27" t="s">
        <v>8</v>
      </c>
      <c r="KH665" s="27" t="s">
        <v>7</v>
      </c>
      <c r="LK665" s="27" t="s">
        <v>8</v>
      </c>
      <c r="LY665" s="27" t="s">
        <v>8</v>
      </c>
      <c r="LZ665" s="27" t="s">
        <v>7</v>
      </c>
      <c r="MA665" s="27" t="s">
        <v>8</v>
      </c>
      <c r="MB665" s="27" t="s">
        <v>7</v>
      </c>
      <c r="MC665" s="27" t="s">
        <v>8</v>
      </c>
      <c r="MD665" s="27" t="s">
        <v>7</v>
      </c>
    </row>
    <row r="666" spans="1:344" x14ac:dyDescent="0.25">
      <c r="A666" s="7">
        <v>0.20921192272998904</v>
      </c>
      <c r="B666"/>
      <c r="C666"/>
      <c r="D666"/>
      <c r="E666"/>
      <c r="F666" s="27" t="s">
        <v>7</v>
      </c>
      <c r="GC666" s="27" t="s">
        <v>8</v>
      </c>
      <c r="GD666" s="27" t="s">
        <v>7</v>
      </c>
      <c r="GE666" s="27" t="s">
        <v>8</v>
      </c>
      <c r="GF666" s="27" t="s">
        <v>7</v>
      </c>
      <c r="GG666" s="27" t="s">
        <v>8</v>
      </c>
      <c r="GH666" s="27" t="s">
        <v>7</v>
      </c>
      <c r="GM666" s="27" t="s">
        <v>8</v>
      </c>
      <c r="ID666" s="27" t="s">
        <v>7</v>
      </c>
      <c r="IE666" s="27" t="s">
        <v>8</v>
      </c>
      <c r="IF666" s="27" t="s">
        <v>7</v>
      </c>
      <c r="IG666" s="27" t="s">
        <v>8</v>
      </c>
      <c r="IH666" s="27" t="s">
        <v>7</v>
      </c>
      <c r="II666" s="27" t="s">
        <v>8</v>
      </c>
      <c r="IJ666" s="27" t="s">
        <v>7</v>
      </c>
      <c r="IM666" s="27" t="s">
        <v>8</v>
      </c>
      <c r="IO666" s="27" t="s">
        <v>8</v>
      </c>
      <c r="IP666" s="27" t="s">
        <v>7</v>
      </c>
      <c r="IQ666" s="27" t="s">
        <v>8</v>
      </c>
      <c r="IR666" s="27" t="s">
        <v>7</v>
      </c>
      <c r="JW666" s="27" t="s">
        <v>8</v>
      </c>
      <c r="JX666" s="27" t="s">
        <v>7</v>
      </c>
      <c r="JY666" s="27" t="s">
        <v>8</v>
      </c>
      <c r="JZ666" s="27" t="s">
        <v>7</v>
      </c>
      <c r="KA666" s="27" t="s">
        <v>8</v>
      </c>
      <c r="KE666" s="27" t="s">
        <v>8</v>
      </c>
      <c r="KF666" s="27" t="s">
        <v>7</v>
      </c>
      <c r="KG666" s="27" t="s">
        <v>8</v>
      </c>
      <c r="KH666" s="27" t="s">
        <v>7</v>
      </c>
      <c r="LK666" s="27" t="s">
        <v>8</v>
      </c>
      <c r="LL666" s="27" t="s">
        <v>7</v>
      </c>
      <c r="LY666" s="27" t="s">
        <v>8</v>
      </c>
      <c r="LZ666" s="27" t="s">
        <v>7</v>
      </c>
      <c r="MA666" s="27" t="s">
        <v>8</v>
      </c>
      <c r="MB666" s="27" t="s">
        <v>7</v>
      </c>
      <c r="MC666" s="27" t="s">
        <v>8</v>
      </c>
      <c r="MD666" s="27" t="s">
        <v>7</v>
      </c>
    </row>
    <row r="667" spans="1:344" x14ac:dyDescent="0.25">
      <c r="A667" s="7">
        <v>0.20510972816665593</v>
      </c>
      <c r="B667"/>
      <c r="C667"/>
      <c r="D667"/>
      <c r="E667"/>
      <c r="F667" s="27" t="s">
        <v>7</v>
      </c>
      <c r="GC667" s="27" t="s">
        <v>8</v>
      </c>
      <c r="GD667" s="27" t="s">
        <v>7</v>
      </c>
      <c r="GE667" s="27" t="s">
        <v>8</v>
      </c>
      <c r="GF667" s="27" t="s">
        <v>7</v>
      </c>
      <c r="GG667" s="27" t="s">
        <v>8</v>
      </c>
      <c r="GH667" s="27" t="s">
        <v>7</v>
      </c>
      <c r="GM667" s="27" t="s">
        <v>8</v>
      </c>
      <c r="ID667" s="27" t="s">
        <v>7</v>
      </c>
      <c r="IE667" s="27" t="s">
        <v>8</v>
      </c>
      <c r="IF667" s="27" t="s">
        <v>7</v>
      </c>
      <c r="IG667" s="27" t="s">
        <v>8</v>
      </c>
      <c r="IH667" s="27" t="s">
        <v>7</v>
      </c>
      <c r="II667" s="27" t="s">
        <v>8</v>
      </c>
      <c r="IJ667" s="27" t="s">
        <v>7</v>
      </c>
      <c r="IK667" s="27" t="s">
        <v>8</v>
      </c>
      <c r="IM667" s="27" t="s">
        <v>8</v>
      </c>
      <c r="IN667" s="27" t="s">
        <v>7</v>
      </c>
      <c r="IO667" s="27" t="s">
        <v>8</v>
      </c>
      <c r="IP667" s="27" t="s">
        <v>7</v>
      </c>
      <c r="IQ667" s="27" t="s">
        <v>8</v>
      </c>
      <c r="IR667" s="27" t="s">
        <v>7</v>
      </c>
      <c r="JW667" s="27" t="s">
        <v>8</v>
      </c>
      <c r="JX667" s="27" t="s">
        <v>7</v>
      </c>
      <c r="JY667" s="27" t="s">
        <v>8</v>
      </c>
      <c r="JZ667" s="27" t="s">
        <v>7</v>
      </c>
      <c r="KA667" s="27" t="s">
        <v>8</v>
      </c>
      <c r="KB667" s="27" t="s">
        <v>7</v>
      </c>
      <c r="KE667" s="27" t="s">
        <v>8</v>
      </c>
      <c r="KF667" s="27" t="s">
        <v>7</v>
      </c>
      <c r="KG667" s="27" t="s">
        <v>8</v>
      </c>
      <c r="KH667" s="27" t="s">
        <v>7</v>
      </c>
      <c r="KO667" s="27" t="s">
        <v>8</v>
      </c>
      <c r="LK667" s="27" t="s">
        <v>8</v>
      </c>
      <c r="LL667" s="27" t="s">
        <v>7</v>
      </c>
      <c r="LY667" s="27" t="s">
        <v>8</v>
      </c>
      <c r="LZ667" s="27" t="s">
        <v>7</v>
      </c>
      <c r="MA667" s="27" t="s">
        <v>8</v>
      </c>
      <c r="MB667" s="27" t="s">
        <v>7</v>
      </c>
      <c r="MC667" s="27" t="s">
        <v>8</v>
      </c>
      <c r="MD667" s="27" t="s">
        <v>7</v>
      </c>
    </row>
    <row r="668" spans="1:344" x14ac:dyDescent="0.25">
      <c r="A668" s="7">
        <v>0.20108796879083912</v>
      </c>
      <c r="B668"/>
      <c r="C668"/>
      <c r="D668"/>
      <c r="E668"/>
      <c r="F668" s="27" t="s">
        <v>7</v>
      </c>
      <c r="GC668" s="27" t="s">
        <v>8</v>
      </c>
      <c r="GD668" s="27" t="s">
        <v>7</v>
      </c>
      <c r="GE668" s="27" t="s">
        <v>8</v>
      </c>
      <c r="GF668" s="27" t="s">
        <v>7</v>
      </c>
      <c r="GG668" s="27" t="s">
        <v>8</v>
      </c>
      <c r="GH668" s="27" t="s">
        <v>7</v>
      </c>
      <c r="GM668" s="27" t="s">
        <v>8</v>
      </c>
      <c r="ID668" s="27" t="s">
        <v>7</v>
      </c>
      <c r="IE668" s="27" t="s">
        <v>8</v>
      </c>
      <c r="IF668" s="27" t="s">
        <v>7</v>
      </c>
      <c r="IG668" s="27" t="s">
        <v>8</v>
      </c>
      <c r="IH668" s="27" t="s">
        <v>7</v>
      </c>
      <c r="II668" s="27" t="s">
        <v>8</v>
      </c>
      <c r="IJ668" s="27" t="s">
        <v>7</v>
      </c>
      <c r="IK668" s="27" t="s">
        <v>8</v>
      </c>
      <c r="IL668" s="27" t="s">
        <v>7</v>
      </c>
      <c r="IM668" s="27" t="s">
        <v>8</v>
      </c>
      <c r="IN668" s="27" t="s">
        <v>7</v>
      </c>
      <c r="IO668" s="27" t="s">
        <v>8</v>
      </c>
      <c r="IP668" s="27" t="s">
        <v>7</v>
      </c>
      <c r="IQ668" s="27" t="s">
        <v>8</v>
      </c>
      <c r="IR668" s="27" t="s">
        <v>7</v>
      </c>
      <c r="JW668" s="27" t="s">
        <v>8</v>
      </c>
      <c r="JX668" s="27" t="s">
        <v>7</v>
      </c>
      <c r="JY668" s="27" t="s">
        <v>8</v>
      </c>
      <c r="JZ668" s="27" t="s">
        <v>7</v>
      </c>
      <c r="KA668" s="27" t="s">
        <v>8</v>
      </c>
      <c r="KB668" s="27" t="s">
        <v>7</v>
      </c>
      <c r="KE668" s="27" t="s">
        <v>8</v>
      </c>
      <c r="KF668" s="27" t="s">
        <v>7</v>
      </c>
      <c r="KG668" s="27" t="s">
        <v>8</v>
      </c>
      <c r="KH668" s="27" t="s">
        <v>7</v>
      </c>
      <c r="KO668" s="27" t="s">
        <v>8</v>
      </c>
      <c r="KP668" s="27" t="s">
        <v>7</v>
      </c>
      <c r="LK668" s="27" t="s">
        <v>8</v>
      </c>
      <c r="LL668" s="27" t="s">
        <v>7</v>
      </c>
      <c r="LY668" s="27" t="s">
        <v>8</v>
      </c>
      <c r="LZ668" s="27" t="s">
        <v>7</v>
      </c>
      <c r="MB668" s="27" t="s">
        <v>7</v>
      </c>
      <c r="MD668" s="27" t="s">
        <v>7</v>
      </c>
    </row>
    <row r="669" spans="1:344" x14ac:dyDescent="0.25">
      <c r="A669" s="7">
        <v>0.19714506744199917</v>
      </c>
      <c r="B669"/>
      <c r="C669"/>
      <c r="D669"/>
      <c r="E669"/>
      <c r="F669" s="27" t="s">
        <v>7</v>
      </c>
      <c r="GC669" s="27" t="s">
        <v>8</v>
      </c>
      <c r="GD669" s="27" t="s">
        <v>7</v>
      </c>
      <c r="GE669" s="27" t="s">
        <v>8</v>
      </c>
      <c r="GF669" s="27" t="s">
        <v>7</v>
      </c>
      <c r="GG669" s="27" t="s">
        <v>8</v>
      </c>
      <c r="GH669" s="27" t="s">
        <v>7</v>
      </c>
      <c r="GI669" s="27" t="s">
        <v>8</v>
      </c>
      <c r="GM669" s="27" t="s">
        <v>8</v>
      </c>
      <c r="ID669" s="27" t="s">
        <v>7</v>
      </c>
      <c r="IE669" s="27" t="s">
        <v>8</v>
      </c>
      <c r="IF669" s="27" t="s">
        <v>7</v>
      </c>
      <c r="IG669" s="27" t="s">
        <v>8</v>
      </c>
      <c r="IH669" s="27" t="s">
        <v>7</v>
      </c>
      <c r="II669" s="27" t="s">
        <v>8</v>
      </c>
      <c r="IJ669" s="27" t="s">
        <v>7</v>
      </c>
      <c r="IK669" s="27" t="s">
        <v>8</v>
      </c>
      <c r="IL669" s="27" t="s">
        <v>7</v>
      </c>
      <c r="IM669" s="27" t="s">
        <v>8</v>
      </c>
      <c r="IN669" s="27" t="s">
        <v>7</v>
      </c>
      <c r="IP669" s="27" t="s">
        <v>7</v>
      </c>
      <c r="IQ669" s="27" t="s">
        <v>8</v>
      </c>
      <c r="IR669" s="27" t="s">
        <v>7</v>
      </c>
      <c r="IS669" s="27" t="s">
        <v>8</v>
      </c>
      <c r="JW669" s="27" t="s">
        <v>8</v>
      </c>
      <c r="JX669" s="27" t="s">
        <v>7</v>
      </c>
      <c r="JY669" s="27" t="s">
        <v>8</v>
      </c>
      <c r="JZ669" s="27" t="s">
        <v>7</v>
      </c>
      <c r="KA669" s="27" t="s">
        <v>8</v>
      </c>
      <c r="KB669" s="27" t="s">
        <v>7</v>
      </c>
      <c r="KE669" s="27" t="s">
        <v>8</v>
      </c>
      <c r="KF669" s="27" t="s">
        <v>7</v>
      </c>
      <c r="KG669" s="27" t="s">
        <v>8</v>
      </c>
      <c r="KH669" s="27" t="s">
        <v>7</v>
      </c>
      <c r="KO669" s="27" t="s">
        <v>8</v>
      </c>
      <c r="KP669" s="27" t="s">
        <v>7</v>
      </c>
      <c r="LK669" s="27" t="s">
        <v>8</v>
      </c>
      <c r="LL669" s="27" t="s">
        <v>7</v>
      </c>
      <c r="LM669" s="27" t="s">
        <v>8</v>
      </c>
      <c r="LY669" s="27" t="s">
        <v>8</v>
      </c>
      <c r="MD669" s="27" t="s">
        <v>7</v>
      </c>
    </row>
    <row r="670" spans="1:344" x14ac:dyDescent="0.25">
      <c r="A670" s="7">
        <v>0.19327947788431293</v>
      </c>
      <c r="B670"/>
      <c r="C670"/>
      <c r="D670"/>
      <c r="E670"/>
      <c r="F670" s="27" t="s">
        <v>7</v>
      </c>
      <c r="GC670" s="27" t="s">
        <v>8</v>
      </c>
      <c r="GD670" s="27" t="s">
        <v>7</v>
      </c>
      <c r="GE670" s="27" t="s">
        <v>8</v>
      </c>
      <c r="GF670" s="27" t="s">
        <v>7</v>
      </c>
      <c r="GG670" s="27" t="s">
        <v>8</v>
      </c>
      <c r="GH670" s="27" t="s">
        <v>7</v>
      </c>
      <c r="GI670" s="27" t="s">
        <v>8</v>
      </c>
      <c r="GJ670" s="27" t="s">
        <v>7</v>
      </c>
      <c r="GK670" s="27" t="s">
        <v>8</v>
      </c>
      <c r="GM670" s="27" t="s">
        <v>8</v>
      </c>
      <c r="ID670" s="27" t="s">
        <v>7</v>
      </c>
      <c r="IE670" s="27" t="s">
        <v>8</v>
      </c>
      <c r="IF670" s="27" t="s">
        <v>7</v>
      </c>
      <c r="IG670" s="27" t="s">
        <v>8</v>
      </c>
      <c r="IH670" s="27" t="s">
        <v>7</v>
      </c>
      <c r="II670" s="27" t="s">
        <v>8</v>
      </c>
      <c r="IJ670" s="27" t="s">
        <v>7</v>
      </c>
      <c r="IK670" s="27" t="s">
        <v>8</v>
      </c>
      <c r="IL670" s="27" t="s">
        <v>7</v>
      </c>
      <c r="IM670" s="27" t="s">
        <v>8</v>
      </c>
      <c r="IP670" s="27" t="s">
        <v>7</v>
      </c>
      <c r="IQ670" s="27" t="s">
        <v>8</v>
      </c>
      <c r="IR670" s="27" t="s">
        <v>7</v>
      </c>
      <c r="IS670" s="27" t="s">
        <v>8</v>
      </c>
      <c r="IT670" s="27" t="s">
        <v>7</v>
      </c>
      <c r="JW670" s="27" t="s">
        <v>8</v>
      </c>
      <c r="JX670" s="27" t="s">
        <v>7</v>
      </c>
      <c r="JY670" s="27" t="s">
        <v>8</v>
      </c>
      <c r="JZ670" s="27" t="s">
        <v>7</v>
      </c>
      <c r="KA670" s="27" t="s">
        <v>8</v>
      </c>
      <c r="KB670" s="27" t="s">
        <v>7</v>
      </c>
      <c r="KC670" s="27" t="s">
        <v>8</v>
      </c>
      <c r="KE670" s="27" t="s">
        <v>8</v>
      </c>
      <c r="KF670" s="27" t="s">
        <v>7</v>
      </c>
      <c r="KG670" s="27" t="s">
        <v>8</v>
      </c>
      <c r="KH670" s="27" t="s">
        <v>7</v>
      </c>
      <c r="KI670" s="27" t="s">
        <v>8</v>
      </c>
      <c r="KO670" s="27" t="s">
        <v>8</v>
      </c>
      <c r="KP670" s="27" t="s">
        <v>7</v>
      </c>
      <c r="LE670" s="27" t="s">
        <v>8</v>
      </c>
      <c r="LK670" s="27" t="s">
        <v>8</v>
      </c>
      <c r="LL670" s="27" t="s">
        <v>7</v>
      </c>
      <c r="LM670" s="27" t="s">
        <v>8</v>
      </c>
      <c r="LN670" s="27" t="s">
        <v>7</v>
      </c>
      <c r="LO670" s="27" t="s">
        <v>8</v>
      </c>
      <c r="LY670" s="27" t="s">
        <v>8</v>
      </c>
      <c r="MD670" s="27" t="s">
        <v>7</v>
      </c>
    </row>
    <row r="671" spans="1:344" x14ac:dyDescent="0.25">
      <c r="A671" s="7">
        <v>0.18948968420030682</v>
      </c>
      <c r="B671"/>
      <c r="C671"/>
      <c r="D671"/>
      <c r="E671"/>
      <c r="F671" s="27" t="s">
        <v>7</v>
      </c>
      <c r="I671" s="27" t="s">
        <v>8</v>
      </c>
      <c r="GC671" s="27" t="s">
        <v>8</v>
      </c>
      <c r="GD671" s="27" t="s">
        <v>7</v>
      </c>
      <c r="GE671" s="27" t="s">
        <v>8</v>
      </c>
      <c r="GF671" s="27" t="s">
        <v>7</v>
      </c>
      <c r="GG671" s="27" t="s">
        <v>8</v>
      </c>
      <c r="GH671" s="27" t="s">
        <v>7</v>
      </c>
      <c r="GI671" s="27" t="s">
        <v>8</v>
      </c>
      <c r="GJ671" s="27" t="s">
        <v>7</v>
      </c>
      <c r="GK671" s="27" t="s">
        <v>8</v>
      </c>
      <c r="GL671" s="27" t="s">
        <v>7</v>
      </c>
      <c r="GM671" s="27" t="s">
        <v>8</v>
      </c>
      <c r="ID671" s="27" t="s">
        <v>7</v>
      </c>
      <c r="IE671" s="27" t="s">
        <v>8</v>
      </c>
      <c r="IF671" s="27" t="s">
        <v>7</v>
      </c>
      <c r="IG671" s="27" t="s">
        <v>8</v>
      </c>
      <c r="IH671" s="27" t="s">
        <v>7</v>
      </c>
      <c r="II671" s="27" t="s">
        <v>8</v>
      </c>
      <c r="IJ671" s="27" t="s">
        <v>7</v>
      </c>
      <c r="IK671" s="27" t="s">
        <v>8</v>
      </c>
      <c r="IL671" s="27" t="s">
        <v>7</v>
      </c>
      <c r="IM671" s="27" t="s">
        <v>8</v>
      </c>
      <c r="IP671" s="27" t="s">
        <v>7</v>
      </c>
      <c r="IQ671" s="27" t="s">
        <v>8</v>
      </c>
      <c r="IR671" s="27" t="s">
        <v>7</v>
      </c>
      <c r="IS671" s="27" t="s">
        <v>8</v>
      </c>
      <c r="IT671" s="27" t="s">
        <v>7</v>
      </c>
      <c r="IU671" s="27" t="s">
        <v>8</v>
      </c>
      <c r="JW671" s="27" t="s">
        <v>8</v>
      </c>
      <c r="JX671" s="27" t="s">
        <v>7</v>
      </c>
      <c r="JY671" s="27" t="s">
        <v>8</v>
      </c>
      <c r="JZ671" s="27" t="s">
        <v>7</v>
      </c>
      <c r="KB671" s="27" t="s">
        <v>7</v>
      </c>
      <c r="KC671" s="27" t="s">
        <v>8</v>
      </c>
      <c r="KD671" s="27" t="s">
        <v>7</v>
      </c>
      <c r="KE671" s="27" t="s">
        <v>8</v>
      </c>
      <c r="KF671" s="27" t="s">
        <v>7</v>
      </c>
      <c r="KH671" s="27" t="s">
        <v>7</v>
      </c>
      <c r="KI671" s="27" t="s">
        <v>8</v>
      </c>
      <c r="KJ671" s="27" t="s">
        <v>7</v>
      </c>
      <c r="KK671" s="27" t="s">
        <v>8</v>
      </c>
      <c r="KO671" s="27" t="s">
        <v>8</v>
      </c>
      <c r="KP671" s="27" t="s">
        <v>7</v>
      </c>
      <c r="LE671" s="27" t="s">
        <v>8</v>
      </c>
      <c r="LF671" s="27" t="s">
        <v>7</v>
      </c>
      <c r="LI671" s="27" t="s">
        <v>8</v>
      </c>
      <c r="LK671" s="27" t="s">
        <v>8</v>
      </c>
      <c r="LL671" s="27" t="s">
        <v>7</v>
      </c>
      <c r="LM671" s="27" t="s">
        <v>8</v>
      </c>
      <c r="LN671" s="27" t="s">
        <v>7</v>
      </c>
      <c r="LO671" s="27" t="s">
        <v>8</v>
      </c>
      <c r="LP671" s="27" t="s">
        <v>7</v>
      </c>
      <c r="LQ671" s="27" t="s">
        <v>8</v>
      </c>
      <c r="LS671" s="27" t="s">
        <v>8</v>
      </c>
      <c r="LU671" s="27" t="s">
        <v>8</v>
      </c>
      <c r="LY671" s="27" t="s">
        <v>8</v>
      </c>
      <c r="MD671" s="27" t="s">
        <v>7</v>
      </c>
      <c r="ME671" s="27" t="s">
        <v>8</v>
      </c>
    </row>
    <row r="672" spans="1:344" x14ac:dyDescent="0.25">
      <c r="A672" s="7">
        <v>0.18577420019637925</v>
      </c>
      <c r="B672"/>
      <c r="C672"/>
      <c r="D672"/>
      <c r="E672"/>
      <c r="F672" s="27" t="s">
        <v>7</v>
      </c>
      <c r="I672" s="27" t="s">
        <v>8</v>
      </c>
      <c r="J672" s="27" t="s">
        <v>7</v>
      </c>
      <c r="GC672" s="27" t="s">
        <v>8</v>
      </c>
      <c r="GD672" s="27" t="s">
        <v>7</v>
      </c>
      <c r="GE672" s="27" t="s">
        <v>8</v>
      </c>
      <c r="GF672" s="27" t="s">
        <v>7</v>
      </c>
      <c r="GG672" s="27" t="s">
        <v>8</v>
      </c>
      <c r="GH672" s="27" t="s">
        <v>7</v>
      </c>
      <c r="GI672" s="27" t="s">
        <v>8</v>
      </c>
      <c r="GJ672" s="27" t="s">
        <v>7</v>
      </c>
      <c r="GK672" s="27" t="s">
        <v>8</v>
      </c>
      <c r="GL672" s="27" t="s">
        <v>7</v>
      </c>
      <c r="GM672" s="27" t="s">
        <v>8</v>
      </c>
      <c r="ID672" s="27" t="s">
        <v>7</v>
      </c>
      <c r="IE672" s="27" t="s">
        <v>8</v>
      </c>
      <c r="IF672" s="27" t="s">
        <v>7</v>
      </c>
      <c r="IG672" s="27" t="s">
        <v>8</v>
      </c>
      <c r="IH672" s="27" t="s">
        <v>7</v>
      </c>
      <c r="II672" s="27" t="s">
        <v>8</v>
      </c>
      <c r="IJ672" s="27" t="s">
        <v>7</v>
      </c>
      <c r="IK672" s="27" t="s">
        <v>8</v>
      </c>
      <c r="IL672" s="27" t="s">
        <v>7</v>
      </c>
      <c r="IM672" s="27" t="s">
        <v>8</v>
      </c>
      <c r="IP672" s="27" t="s">
        <v>7</v>
      </c>
      <c r="IR672" s="27" t="s">
        <v>7</v>
      </c>
      <c r="IS672" s="27" t="s">
        <v>8</v>
      </c>
      <c r="IT672" s="27" t="s">
        <v>7</v>
      </c>
      <c r="IU672" s="27" t="s">
        <v>8</v>
      </c>
      <c r="IV672" s="27" t="s">
        <v>7</v>
      </c>
      <c r="JW672" s="27" t="s">
        <v>8</v>
      </c>
      <c r="JX672" s="27" t="s">
        <v>7</v>
      </c>
      <c r="JY672" s="27" t="s">
        <v>8</v>
      </c>
      <c r="KB672" s="27" t="s">
        <v>7</v>
      </c>
      <c r="KC672" s="27" t="s">
        <v>8</v>
      </c>
      <c r="KD672" s="27" t="s">
        <v>7</v>
      </c>
      <c r="KE672" s="27" t="s">
        <v>8</v>
      </c>
      <c r="KH672" s="27" t="s">
        <v>7</v>
      </c>
      <c r="KI672" s="27" t="s">
        <v>8</v>
      </c>
      <c r="KJ672" s="27" t="s">
        <v>7</v>
      </c>
      <c r="KK672" s="27" t="s">
        <v>8</v>
      </c>
      <c r="KL672" s="27" t="s">
        <v>7</v>
      </c>
      <c r="KM672" s="27" t="s">
        <v>8</v>
      </c>
      <c r="KO672" s="27" t="s">
        <v>8</v>
      </c>
      <c r="KP672" s="27" t="s">
        <v>7</v>
      </c>
      <c r="LA672" s="27" t="s">
        <v>8</v>
      </c>
      <c r="LE672" s="27" t="s">
        <v>8</v>
      </c>
      <c r="LF672" s="27" t="s">
        <v>7</v>
      </c>
      <c r="LG672" s="27" t="s">
        <v>8</v>
      </c>
      <c r="LI672" s="27" t="s">
        <v>8</v>
      </c>
      <c r="LJ672" s="27" t="s">
        <v>7</v>
      </c>
      <c r="LK672" s="27" t="s">
        <v>8</v>
      </c>
      <c r="LL672" s="27" t="s">
        <v>7</v>
      </c>
      <c r="LM672" s="27" t="s">
        <v>8</v>
      </c>
      <c r="LN672" s="27" t="s">
        <v>7</v>
      </c>
      <c r="LO672" s="27" t="s">
        <v>8</v>
      </c>
      <c r="LP672" s="27" t="s">
        <v>7</v>
      </c>
      <c r="LQ672" s="27" t="s">
        <v>8</v>
      </c>
      <c r="LR672" s="27" t="s">
        <v>7</v>
      </c>
      <c r="LS672" s="27" t="s">
        <v>8</v>
      </c>
      <c r="LT672" s="27" t="s">
        <v>7</v>
      </c>
      <c r="LU672" s="27" t="s">
        <v>8</v>
      </c>
      <c r="LV672" s="27" t="s">
        <v>7</v>
      </c>
      <c r="LY672" s="27" t="s">
        <v>8</v>
      </c>
      <c r="MD672" s="27" t="s">
        <v>7</v>
      </c>
      <c r="ME672" s="27" t="s">
        <v>8</v>
      </c>
      <c r="MF672" s="27" t="s">
        <v>7</v>
      </c>
    </row>
    <row r="673" spans="1:356" x14ac:dyDescent="0.25">
      <c r="A673" s="7">
        <v>0.18213156881997963</v>
      </c>
      <c r="B673"/>
      <c r="C673"/>
      <c r="D673"/>
      <c r="E673"/>
      <c r="F673" s="27" t="s">
        <v>7</v>
      </c>
      <c r="I673" s="27" t="s">
        <v>8</v>
      </c>
      <c r="J673" s="27" t="s">
        <v>7</v>
      </c>
      <c r="GC673" s="27" t="s">
        <v>8</v>
      </c>
      <c r="GD673" s="27" t="s">
        <v>7</v>
      </c>
      <c r="GE673" s="27" t="s">
        <v>8</v>
      </c>
      <c r="GF673" s="27" t="s">
        <v>7</v>
      </c>
      <c r="GG673" s="27" t="s">
        <v>8</v>
      </c>
      <c r="GH673" s="27" t="s">
        <v>7</v>
      </c>
      <c r="GI673" s="27" t="s">
        <v>8</v>
      </c>
      <c r="GJ673" s="27" t="s">
        <v>7</v>
      </c>
      <c r="GK673" s="27" t="s">
        <v>8</v>
      </c>
      <c r="GL673" s="27" t="s">
        <v>7</v>
      </c>
      <c r="GM673" s="27" t="s">
        <v>8</v>
      </c>
      <c r="ID673" s="27" t="s">
        <v>7</v>
      </c>
      <c r="IE673" s="27" t="s">
        <v>8</v>
      </c>
      <c r="IF673" s="27" t="s">
        <v>7</v>
      </c>
      <c r="IG673" s="27" t="s">
        <v>8</v>
      </c>
      <c r="IH673" s="27" t="s">
        <v>7</v>
      </c>
      <c r="II673" s="27" t="s">
        <v>8</v>
      </c>
      <c r="IJ673" s="27" t="s">
        <v>7</v>
      </c>
      <c r="IK673" s="27" t="s">
        <v>8</v>
      </c>
      <c r="IL673" s="27" t="s">
        <v>7</v>
      </c>
      <c r="IM673" s="27" t="s">
        <v>8</v>
      </c>
      <c r="IR673" s="27" t="s">
        <v>7</v>
      </c>
      <c r="IS673" s="27" t="s">
        <v>8</v>
      </c>
      <c r="IT673" s="27" t="s">
        <v>7</v>
      </c>
      <c r="IU673" s="27" t="s">
        <v>8</v>
      </c>
      <c r="IV673" s="27" t="s">
        <v>7</v>
      </c>
      <c r="JW673" s="27" t="s">
        <v>8</v>
      </c>
      <c r="JX673" s="27" t="s">
        <v>7</v>
      </c>
      <c r="JY673" s="27" t="s">
        <v>8</v>
      </c>
      <c r="KB673" s="27" t="s">
        <v>7</v>
      </c>
      <c r="KC673" s="27" t="s">
        <v>8</v>
      </c>
      <c r="KD673" s="27" t="s">
        <v>7</v>
      </c>
      <c r="KE673" s="27" t="s">
        <v>8</v>
      </c>
      <c r="KH673" s="27" t="s">
        <v>7</v>
      </c>
      <c r="KI673" s="27" t="s">
        <v>8</v>
      </c>
      <c r="KJ673" s="27" t="s">
        <v>7</v>
      </c>
      <c r="KK673" s="27" t="s">
        <v>8</v>
      </c>
      <c r="KL673" s="27" t="s">
        <v>7</v>
      </c>
      <c r="KM673" s="27" t="s">
        <v>8</v>
      </c>
      <c r="KN673" s="27" t="s">
        <v>7</v>
      </c>
      <c r="KO673" s="27" t="s">
        <v>8</v>
      </c>
      <c r="KP673" s="27" t="s">
        <v>7</v>
      </c>
      <c r="LA673" s="27" t="s">
        <v>8</v>
      </c>
      <c r="LB673" s="27" t="s">
        <v>7</v>
      </c>
      <c r="LE673" s="27" t="s">
        <v>8</v>
      </c>
      <c r="LF673" s="27" t="s">
        <v>7</v>
      </c>
      <c r="LG673" s="27" t="s">
        <v>8</v>
      </c>
      <c r="LH673" s="27" t="s">
        <v>7</v>
      </c>
      <c r="LI673" s="27" t="s">
        <v>8</v>
      </c>
      <c r="LJ673" s="27" t="s">
        <v>7</v>
      </c>
      <c r="LK673" s="27" t="s">
        <v>8</v>
      </c>
      <c r="LL673" s="27" t="s">
        <v>7</v>
      </c>
      <c r="LM673" s="27" t="s">
        <v>8</v>
      </c>
      <c r="LN673" s="27" t="s">
        <v>7</v>
      </c>
      <c r="LO673" s="27" t="s">
        <v>8</v>
      </c>
      <c r="LP673" s="27" t="s">
        <v>7</v>
      </c>
      <c r="LQ673" s="27" t="s">
        <v>8</v>
      </c>
      <c r="LR673" s="27" t="s">
        <v>7</v>
      </c>
      <c r="LS673" s="27" t="s">
        <v>8</v>
      </c>
      <c r="LT673" s="27" t="s">
        <v>7</v>
      </c>
      <c r="LU673" s="27" t="s">
        <v>8</v>
      </c>
      <c r="LV673" s="27" t="s">
        <v>7</v>
      </c>
      <c r="LY673" s="27" t="s">
        <v>8</v>
      </c>
      <c r="MD673" s="27" t="s">
        <v>7</v>
      </c>
      <c r="ME673" s="27" t="s">
        <v>8</v>
      </c>
      <c r="MF673" s="27" t="s">
        <v>7</v>
      </c>
      <c r="MG673" s="27" t="s">
        <v>8</v>
      </c>
    </row>
    <row r="674" spans="1:356" x14ac:dyDescent="0.25">
      <c r="A674" s="7">
        <v>0.17856036158821534</v>
      </c>
      <c r="B674"/>
      <c r="C674"/>
      <c r="D674"/>
      <c r="E674"/>
      <c r="F674" s="27" t="s">
        <v>7</v>
      </c>
      <c r="I674" s="27" t="s">
        <v>8</v>
      </c>
      <c r="J674" s="27" t="s">
        <v>7</v>
      </c>
      <c r="GC674" s="27" t="s">
        <v>8</v>
      </c>
      <c r="GD674" s="27" t="s">
        <v>7</v>
      </c>
      <c r="GE674" s="27" t="s">
        <v>8</v>
      </c>
      <c r="GF674" s="27" t="s">
        <v>7</v>
      </c>
      <c r="GG674" s="27" t="s">
        <v>8</v>
      </c>
      <c r="GH674" s="27" t="s">
        <v>7</v>
      </c>
      <c r="GI674" s="27" t="s">
        <v>8</v>
      </c>
      <c r="GJ674" s="27" t="s">
        <v>7</v>
      </c>
      <c r="GL674" s="27" t="s">
        <v>7</v>
      </c>
      <c r="GM674" s="27" t="s">
        <v>8</v>
      </c>
      <c r="ID674" s="27" t="s">
        <v>7</v>
      </c>
      <c r="IE674" s="27" t="s">
        <v>8</v>
      </c>
      <c r="IF674" s="27" t="s">
        <v>7</v>
      </c>
      <c r="IH674" s="27" t="s">
        <v>7</v>
      </c>
      <c r="II674" s="27" t="s">
        <v>8</v>
      </c>
      <c r="IJ674" s="27" t="s">
        <v>7</v>
      </c>
      <c r="IK674" s="27" t="s">
        <v>8</v>
      </c>
      <c r="IL674" s="27" t="s">
        <v>7</v>
      </c>
      <c r="IM674" s="27" t="s">
        <v>8</v>
      </c>
      <c r="IR674" s="27" t="s">
        <v>7</v>
      </c>
      <c r="IS674" s="27" t="s">
        <v>8</v>
      </c>
      <c r="IT674" s="27" t="s">
        <v>7</v>
      </c>
      <c r="IU674" s="27" t="s">
        <v>8</v>
      </c>
      <c r="IV674" s="27" t="s">
        <v>7</v>
      </c>
      <c r="IW674" s="27" t="s">
        <v>8</v>
      </c>
      <c r="JW674" s="27" t="s">
        <v>8</v>
      </c>
      <c r="JX674" s="27" t="s">
        <v>7</v>
      </c>
      <c r="JY674" s="27" t="s">
        <v>8</v>
      </c>
      <c r="KB674" s="27" t="s">
        <v>7</v>
      </c>
      <c r="KD674" s="27" t="s">
        <v>7</v>
      </c>
      <c r="KH674" s="27" t="s">
        <v>7</v>
      </c>
      <c r="KI674" s="27" t="s">
        <v>8</v>
      </c>
      <c r="KJ674" s="27" t="s">
        <v>7</v>
      </c>
      <c r="KK674" s="27" t="s">
        <v>8</v>
      </c>
      <c r="KL674" s="27" t="s">
        <v>7</v>
      </c>
      <c r="KM674" s="27" t="s">
        <v>8</v>
      </c>
      <c r="KN674" s="27" t="s">
        <v>7</v>
      </c>
      <c r="KO674" s="27" t="s">
        <v>8</v>
      </c>
      <c r="KP674" s="27" t="s">
        <v>7</v>
      </c>
      <c r="LA674" s="27" t="s">
        <v>8</v>
      </c>
      <c r="LB674" s="27" t="s">
        <v>7</v>
      </c>
      <c r="LC674" s="27" t="s">
        <v>8</v>
      </c>
      <c r="LE674" s="27" t="s">
        <v>8</v>
      </c>
      <c r="LF674" s="27" t="s">
        <v>7</v>
      </c>
      <c r="LG674" s="27" t="s">
        <v>8</v>
      </c>
      <c r="LH674" s="27" t="s">
        <v>7</v>
      </c>
      <c r="LI674" s="27" t="s">
        <v>8</v>
      </c>
      <c r="LJ674" s="27" t="s">
        <v>7</v>
      </c>
      <c r="LK674" s="27" t="s">
        <v>8</v>
      </c>
      <c r="LL674" s="27" t="s">
        <v>7</v>
      </c>
      <c r="LN674" s="27" t="s">
        <v>7</v>
      </c>
      <c r="LP674" s="27" t="s">
        <v>7</v>
      </c>
      <c r="LQ674" s="27" t="s">
        <v>8</v>
      </c>
      <c r="LR674" s="27" t="s">
        <v>7</v>
      </c>
      <c r="LS674" s="27" t="s">
        <v>8</v>
      </c>
      <c r="LT674" s="27" t="s">
        <v>7</v>
      </c>
      <c r="LU674" s="27" t="s">
        <v>8</v>
      </c>
      <c r="LV674" s="27" t="s">
        <v>7</v>
      </c>
      <c r="LW674" s="27" t="s">
        <v>8</v>
      </c>
      <c r="LY674" s="27" t="s">
        <v>8</v>
      </c>
      <c r="MD674" s="27" t="s">
        <v>7</v>
      </c>
      <c r="ME674" s="27" t="s">
        <v>8</v>
      </c>
      <c r="MF674" s="27" t="s">
        <v>7</v>
      </c>
      <c r="MG674" s="27" t="s">
        <v>8</v>
      </c>
      <c r="MH674" s="27" t="s">
        <v>7</v>
      </c>
      <c r="MK674" s="27" t="s">
        <v>8</v>
      </c>
    </row>
    <row r="675" spans="1:356" x14ac:dyDescent="0.25">
      <c r="A675" s="7">
        <v>0.17505917802766208</v>
      </c>
      <c r="B675"/>
      <c r="C675"/>
      <c r="D675"/>
      <c r="E675"/>
      <c r="F675" s="27" t="s">
        <v>7</v>
      </c>
      <c r="I675" s="27" t="s">
        <v>8</v>
      </c>
      <c r="J675" s="27" t="s">
        <v>7</v>
      </c>
      <c r="GC675" s="27" t="s">
        <v>8</v>
      </c>
      <c r="GD675" s="27" t="s">
        <v>7</v>
      </c>
      <c r="GE675" s="27" t="s">
        <v>8</v>
      </c>
      <c r="GF675" s="27" t="s">
        <v>7</v>
      </c>
      <c r="GG675" s="27" t="s">
        <v>8</v>
      </c>
      <c r="GH675" s="27" t="s">
        <v>7</v>
      </c>
      <c r="GI675" s="27" t="s">
        <v>8</v>
      </c>
      <c r="GL675" s="27" t="s">
        <v>7</v>
      </c>
      <c r="GM675" s="27" t="s">
        <v>8</v>
      </c>
      <c r="ID675" s="27" t="s">
        <v>7</v>
      </c>
      <c r="IE675" s="27" t="s">
        <v>8</v>
      </c>
      <c r="IH675" s="27" t="s">
        <v>7</v>
      </c>
      <c r="II675" s="27" t="s">
        <v>8</v>
      </c>
      <c r="IJ675" s="27" t="s">
        <v>7</v>
      </c>
      <c r="IL675" s="27" t="s">
        <v>7</v>
      </c>
      <c r="IR675" s="27" t="s">
        <v>7</v>
      </c>
      <c r="IS675" s="27" t="s">
        <v>8</v>
      </c>
      <c r="IT675" s="27" t="s">
        <v>7</v>
      </c>
      <c r="IU675" s="27" t="s">
        <v>8</v>
      </c>
      <c r="IV675" s="27" t="s">
        <v>7</v>
      </c>
      <c r="IW675" s="27" t="s">
        <v>8</v>
      </c>
      <c r="IX675" s="27" t="s">
        <v>7</v>
      </c>
      <c r="JW675" s="27" t="s">
        <v>8</v>
      </c>
      <c r="JX675" s="27" t="s">
        <v>7</v>
      </c>
      <c r="JY675" s="27" t="s">
        <v>8</v>
      </c>
      <c r="KH675" s="27" t="s">
        <v>7</v>
      </c>
      <c r="KI675" s="27" t="s">
        <v>8</v>
      </c>
      <c r="KJ675" s="27" t="s">
        <v>7</v>
      </c>
      <c r="KK675" s="27" t="s">
        <v>8</v>
      </c>
      <c r="KL675" s="27" t="s">
        <v>7</v>
      </c>
      <c r="KM675" s="27" t="s">
        <v>8</v>
      </c>
      <c r="KN675" s="27" t="s">
        <v>7</v>
      </c>
      <c r="KP675" s="27" t="s">
        <v>7</v>
      </c>
      <c r="LA675" s="27" t="s">
        <v>8</v>
      </c>
      <c r="LB675" s="27" t="s">
        <v>7</v>
      </c>
      <c r="LC675" s="27" t="s">
        <v>8</v>
      </c>
      <c r="LD675" s="27" t="s">
        <v>7</v>
      </c>
      <c r="LE675" s="27" t="s">
        <v>8</v>
      </c>
      <c r="LF675" s="27" t="s">
        <v>7</v>
      </c>
      <c r="LG675" s="27" t="s">
        <v>8</v>
      </c>
      <c r="LH675" s="27" t="s">
        <v>7</v>
      </c>
      <c r="LI675" s="27" t="s">
        <v>8</v>
      </c>
      <c r="LJ675" s="27" t="s">
        <v>7</v>
      </c>
      <c r="LK675" s="27" t="s">
        <v>8</v>
      </c>
      <c r="LP675" s="27" t="s">
        <v>7</v>
      </c>
      <c r="LQ675" s="27" t="s">
        <v>8</v>
      </c>
      <c r="LR675" s="27" t="s">
        <v>7</v>
      </c>
      <c r="LS675" s="27" t="s">
        <v>8</v>
      </c>
      <c r="LT675" s="27" t="s">
        <v>7</v>
      </c>
      <c r="LU675" s="27" t="s">
        <v>8</v>
      </c>
      <c r="LV675" s="27" t="s">
        <v>7</v>
      </c>
      <c r="LW675" s="27" t="s">
        <v>8</v>
      </c>
      <c r="LX675" s="27" t="s">
        <v>7</v>
      </c>
      <c r="LY675" s="27" t="s">
        <v>8</v>
      </c>
      <c r="MD675" s="27" t="s">
        <v>7</v>
      </c>
      <c r="ME675" s="27" t="s">
        <v>8</v>
      </c>
      <c r="MF675" s="27" t="s">
        <v>7</v>
      </c>
      <c r="MG675" s="27" t="s">
        <v>8</v>
      </c>
      <c r="MH675" s="27" t="s">
        <v>7</v>
      </c>
      <c r="MK675" s="27" t="s">
        <v>8</v>
      </c>
      <c r="ML675" s="27" t="s">
        <v>7</v>
      </c>
    </row>
    <row r="676" spans="1:356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  <c r="I676" s="27" t="s">
        <v>8</v>
      </c>
      <c r="J676" s="27" t="s">
        <v>7</v>
      </c>
      <c r="GC676" s="27" t="s">
        <v>8</v>
      </c>
      <c r="GD676" s="27" t="s">
        <v>7</v>
      </c>
      <c r="GE676" s="27" t="s">
        <v>8</v>
      </c>
      <c r="GF676" s="27" t="s">
        <v>7</v>
      </c>
      <c r="GG676" s="27" t="s">
        <v>8</v>
      </c>
      <c r="GH676" s="27" t="s">
        <v>7</v>
      </c>
      <c r="GI676" s="27" t="s">
        <v>8</v>
      </c>
      <c r="GL676" s="27" t="s">
        <v>7</v>
      </c>
      <c r="GM676" s="27" t="s">
        <v>8</v>
      </c>
      <c r="ID676" s="27" t="s">
        <v>7</v>
      </c>
      <c r="IE676" s="27" t="s">
        <v>8</v>
      </c>
      <c r="IH676" s="27" t="s">
        <v>7</v>
      </c>
      <c r="II676" s="27" t="s">
        <v>8</v>
      </c>
      <c r="IR676" s="27" t="s">
        <v>7</v>
      </c>
      <c r="IS676" s="27" t="s">
        <v>8</v>
      </c>
      <c r="IT676" s="27" t="s">
        <v>7</v>
      </c>
      <c r="IU676" s="27" t="s">
        <v>8</v>
      </c>
      <c r="IV676" s="27" t="s">
        <v>7</v>
      </c>
      <c r="IW676" s="27" t="s">
        <v>8</v>
      </c>
      <c r="IX676" s="27" t="s">
        <v>7</v>
      </c>
      <c r="JU676" s="27" t="s">
        <v>8</v>
      </c>
      <c r="JW676" s="27" t="s">
        <v>8</v>
      </c>
      <c r="JX676" s="27" t="s">
        <v>7</v>
      </c>
      <c r="JY676" s="27" t="s">
        <v>8</v>
      </c>
      <c r="KH676" s="27" t="s">
        <v>7</v>
      </c>
      <c r="KI676" s="27" t="s">
        <v>8</v>
      </c>
      <c r="KJ676" s="27" t="s">
        <v>7</v>
      </c>
      <c r="KL676" s="27" t="s">
        <v>7</v>
      </c>
      <c r="KM676" s="27" t="s">
        <v>8</v>
      </c>
      <c r="KP676" s="27" t="s">
        <v>7</v>
      </c>
      <c r="KW676" s="27" t="s">
        <v>8</v>
      </c>
      <c r="LA676" s="27" t="s">
        <v>8</v>
      </c>
      <c r="LB676" s="27" t="s">
        <v>7</v>
      </c>
      <c r="LC676" s="27" t="s">
        <v>8</v>
      </c>
      <c r="LD676" s="27" t="s">
        <v>7</v>
      </c>
      <c r="LE676" s="27" t="s">
        <v>8</v>
      </c>
      <c r="LF676" s="27" t="s">
        <v>7</v>
      </c>
      <c r="LH676" s="27" t="s">
        <v>7</v>
      </c>
      <c r="LJ676" s="27" t="s">
        <v>7</v>
      </c>
      <c r="LK676" s="27" t="s">
        <v>8</v>
      </c>
      <c r="LP676" s="27" t="s">
        <v>7</v>
      </c>
      <c r="LQ676" s="27" t="s">
        <v>8</v>
      </c>
      <c r="LR676" s="27" t="s">
        <v>7</v>
      </c>
      <c r="LS676" s="27" t="s">
        <v>8</v>
      </c>
      <c r="LT676" s="27" t="s">
        <v>7</v>
      </c>
      <c r="LU676" s="27" t="s">
        <v>8</v>
      </c>
      <c r="LV676" s="27" t="s">
        <v>7</v>
      </c>
      <c r="LW676" s="27" t="s">
        <v>8</v>
      </c>
      <c r="LX676" s="27" t="s">
        <v>7</v>
      </c>
      <c r="LY676" s="27" t="s">
        <v>8</v>
      </c>
      <c r="MD676" s="27" t="s">
        <v>7</v>
      </c>
      <c r="ME676" s="27" t="s">
        <v>8</v>
      </c>
      <c r="MF676" s="27" t="s">
        <v>7</v>
      </c>
      <c r="MG676" s="27" t="s">
        <v>8</v>
      </c>
      <c r="MH676" s="27" t="s">
        <v>7</v>
      </c>
      <c r="MI676" s="27" t="s">
        <v>8</v>
      </c>
      <c r="MK676" s="27" t="s">
        <v>8</v>
      </c>
      <c r="ML676" s="27" t="s">
        <v>7</v>
      </c>
    </row>
    <row r="677" spans="1:356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  <c r="H677" s="27" t="s">
        <v>7</v>
      </c>
      <c r="I677" s="27" t="s">
        <v>8</v>
      </c>
      <c r="J677" s="27" t="s">
        <v>7</v>
      </c>
      <c r="GC677" s="27" t="s">
        <v>8</v>
      </c>
      <c r="GD677" s="27" t="s">
        <v>7</v>
      </c>
      <c r="GE677" s="27" t="s">
        <v>8</v>
      </c>
      <c r="GF677" s="27" t="s">
        <v>7</v>
      </c>
      <c r="GG677" s="27" t="s">
        <v>8</v>
      </c>
      <c r="GH677" s="27" t="s">
        <v>7</v>
      </c>
      <c r="GI677" s="27" t="s">
        <v>8</v>
      </c>
      <c r="GL677" s="27" t="s">
        <v>7</v>
      </c>
      <c r="GM677" s="27" t="s">
        <v>8</v>
      </c>
      <c r="ID677" s="27" t="s">
        <v>7</v>
      </c>
      <c r="IE677" s="27" t="s">
        <v>8</v>
      </c>
      <c r="IH677" s="27" t="s">
        <v>7</v>
      </c>
      <c r="II677" s="27" t="s">
        <v>8</v>
      </c>
      <c r="IR677" s="27" t="s">
        <v>7</v>
      </c>
      <c r="IS677" s="27" t="s">
        <v>8</v>
      </c>
      <c r="IT677" s="27" t="s">
        <v>7</v>
      </c>
      <c r="IU677" s="27" t="s">
        <v>8</v>
      </c>
      <c r="IV677" s="27" t="s">
        <v>7</v>
      </c>
      <c r="IX677" s="27" t="s">
        <v>7</v>
      </c>
      <c r="IY677" s="27" t="s">
        <v>8</v>
      </c>
      <c r="JS677" s="27" t="s">
        <v>8</v>
      </c>
      <c r="JU677" s="27" t="s">
        <v>8</v>
      </c>
      <c r="JV677" s="27" t="s">
        <v>7</v>
      </c>
      <c r="JW677" s="27" t="s">
        <v>8</v>
      </c>
      <c r="JX677" s="27" t="s">
        <v>7</v>
      </c>
      <c r="KH677" s="27" t="s">
        <v>7</v>
      </c>
      <c r="KI677" s="27" t="s">
        <v>8</v>
      </c>
      <c r="KL677" s="27" t="s">
        <v>7</v>
      </c>
      <c r="KM677" s="27" t="s">
        <v>8</v>
      </c>
      <c r="KP677" s="27" t="s">
        <v>7</v>
      </c>
      <c r="KW677" s="27" t="s">
        <v>8</v>
      </c>
      <c r="KX677" s="27" t="s">
        <v>7</v>
      </c>
      <c r="KY677" s="27" t="s">
        <v>8</v>
      </c>
      <c r="LA677" s="27" t="s">
        <v>8</v>
      </c>
      <c r="LB677" s="27" t="s">
        <v>7</v>
      </c>
      <c r="LC677" s="27" t="s">
        <v>8</v>
      </c>
      <c r="LD677" s="27" t="s">
        <v>7</v>
      </c>
      <c r="LJ677" s="27" t="s">
        <v>7</v>
      </c>
      <c r="LK677" s="27" t="s">
        <v>8</v>
      </c>
      <c r="LP677" s="27" t="s">
        <v>7</v>
      </c>
      <c r="LR677" s="27" t="s">
        <v>7</v>
      </c>
      <c r="LS677" s="27" t="s">
        <v>8</v>
      </c>
      <c r="LT677" s="27" t="s">
        <v>7</v>
      </c>
      <c r="LU677" s="27" t="s">
        <v>8</v>
      </c>
      <c r="LV677" s="27" t="s">
        <v>7</v>
      </c>
      <c r="LX677" s="27" t="s">
        <v>7</v>
      </c>
      <c r="LY677" s="27" t="s">
        <v>8</v>
      </c>
      <c r="MD677" s="27" t="s">
        <v>7</v>
      </c>
      <c r="ME677" s="27" t="s">
        <v>8</v>
      </c>
      <c r="MF677" s="27" t="s">
        <v>7</v>
      </c>
      <c r="MG677" s="27" t="s">
        <v>8</v>
      </c>
      <c r="MH677" s="27" t="s">
        <v>7</v>
      </c>
      <c r="MI677" s="27" t="s">
        <v>8</v>
      </c>
      <c r="MJ677" s="27" t="s">
        <v>7</v>
      </c>
      <c r="MK677" s="27" t="s">
        <v>8</v>
      </c>
      <c r="ML677" s="27" t="s">
        <v>7</v>
      </c>
      <c r="MO677" s="27" t="s">
        <v>8</v>
      </c>
    </row>
    <row r="678" spans="1:356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  <c r="H678" s="27" t="s">
        <v>7</v>
      </c>
      <c r="I678" s="27" t="s">
        <v>8</v>
      </c>
      <c r="J678" s="27" t="s">
        <v>7</v>
      </c>
      <c r="GC678" s="27" t="s">
        <v>8</v>
      </c>
      <c r="GD678" s="27" t="s">
        <v>7</v>
      </c>
      <c r="GE678" s="27" t="s">
        <v>8</v>
      </c>
      <c r="GF678" s="27" t="s">
        <v>7</v>
      </c>
      <c r="GG678" s="27" t="s">
        <v>8</v>
      </c>
      <c r="GH678" s="27" t="s">
        <v>7</v>
      </c>
      <c r="GI678" s="27" t="s">
        <v>8</v>
      </c>
      <c r="GL678" s="27" t="s">
        <v>7</v>
      </c>
      <c r="GM678" s="27" t="s">
        <v>8</v>
      </c>
      <c r="ID678" s="27" t="s">
        <v>7</v>
      </c>
      <c r="IH678" s="27" t="s">
        <v>7</v>
      </c>
      <c r="II678" s="27" t="s">
        <v>8</v>
      </c>
      <c r="IR678" s="27" t="s">
        <v>7</v>
      </c>
      <c r="IS678" s="27" t="s">
        <v>8</v>
      </c>
      <c r="IT678" s="27" t="s">
        <v>7</v>
      </c>
      <c r="IX678" s="27" t="s">
        <v>7</v>
      </c>
      <c r="IY678" s="27" t="s">
        <v>8</v>
      </c>
      <c r="IZ678" s="27" t="s">
        <v>7</v>
      </c>
      <c r="JA678" s="27" t="s">
        <v>8</v>
      </c>
      <c r="JS678" s="27" t="s">
        <v>8</v>
      </c>
      <c r="JT678" s="27" t="s">
        <v>7</v>
      </c>
      <c r="JU678" s="27" t="s">
        <v>8</v>
      </c>
      <c r="JV678" s="27" t="s">
        <v>7</v>
      </c>
      <c r="JW678" s="27" t="s">
        <v>8</v>
      </c>
      <c r="KH678" s="27" t="s">
        <v>7</v>
      </c>
      <c r="KI678" s="27" t="s">
        <v>8</v>
      </c>
      <c r="KL678" s="27" t="s">
        <v>7</v>
      </c>
      <c r="KM678" s="27" t="s">
        <v>8</v>
      </c>
      <c r="KP678" s="27" t="s">
        <v>7</v>
      </c>
      <c r="KW678" s="27" t="s">
        <v>8</v>
      </c>
      <c r="KX678" s="27" t="s">
        <v>7</v>
      </c>
      <c r="KY678" s="27" t="s">
        <v>8</v>
      </c>
      <c r="KZ678" s="27" t="s">
        <v>7</v>
      </c>
      <c r="LA678" s="27" t="s">
        <v>8</v>
      </c>
      <c r="LB678" s="27" t="s">
        <v>7</v>
      </c>
      <c r="LC678" s="27" t="s">
        <v>8</v>
      </c>
      <c r="LJ678" s="27" t="s">
        <v>7</v>
      </c>
      <c r="LK678" s="27" t="s">
        <v>8</v>
      </c>
      <c r="LR678" s="27" t="s">
        <v>7</v>
      </c>
      <c r="LS678" s="27" t="s">
        <v>8</v>
      </c>
      <c r="LT678" s="27" t="s">
        <v>7</v>
      </c>
      <c r="LU678" s="27" t="s">
        <v>8</v>
      </c>
      <c r="LX678" s="27" t="s">
        <v>7</v>
      </c>
      <c r="LY678" s="27" t="s">
        <v>8</v>
      </c>
      <c r="MD678" s="27" t="s">
        <v>7</v>
      </c>
      <c r="ME678" s="27" t="s">
        <v>8</v>
      </c>
      <c r="MF678" s="27" t="s">
        <v>7</v>
      </c>
      <c r="MG678" s="27" t="s">
        <v>8</v>
      </c>
      <c r="MH678" s="27" t="s">
        <v>7</v>
      </c>
      <c r="MI678" s="27" t="s">
        <v>8</v>
      </c>
      <c r="MJ678" s="27" t="s">
        <v>7</v>
      </c>
      <c r="MK678" s="27" t="s">
        <v>8</v>
      </c>
      <c r="ML678" s="27" t="s">
        <v>7</v>
      </c>
      <c r="MO678" s="27" t="s">
        <v>8</v>
      </c>
      <c r="MP678" s="27" t="s">
        <v>7</v>
      </c>
      <c r="MQ678" s="27" t="s">
        <v>8</v>
      </c>
    </row>
    <row r="679" spans="1:356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H679" s="27" t="s">
        <v>7</v>
      </c>
      <c r="I679" s="27" t="s">
        <v>8</v>
      </c>
      <c r="J679" s="27" t="s">
        <v>7</v>
      </c>
      <c r="K679" s="27" t="s">
        <v>8</v>
      </c>
      <c r="GC679" s="27" t="s">
        <v>8</v>
      </c>
      <c r="GD679" s="27" t="s">
        <v>7</v>
      </c>
      <c r="GE679" s="27" t="s">
        <v>8</v>
      </c>
      <c r="GF679" s="27" t="s">
        <v>7</v>
      </c>
      <c r="GG679" s="27" t="s">
        <v>8</v>
      </c>
      <c r="GH679" s="27" t="s">
        <v>7</v>
      </c>
      <c r="GI679" s="27" t="s">
        <v>8</v>
      </c>
      <c r="GL679" s="27" t="s">
        <v>7</v>
      </c>
      <c r="GM679" s="27" t="s">
        <v>8</v>
      </c>
      <c r="IH679" s="27" t="s">
        <v>7</v>
      </c>
      <c r="II679" s="27" t="s">
        <v>8</v>
      </c>
      <c r="IR679" s="27" t="s">
        <v>7</v>
      </c>
      <c r="IS679" s="27" t="s">
        <v>8</v>
      </c>
      <c r="IX679" s="27" t="s">
        <v>7</v>
      </c>
      <c r="IY679" s="27" t="s">
        <v>8</v>
      </c>
      <c r="IZ679" s="27" t="s">
        <v>7</v>
      </c>
      <c r="JA679" s="27" t="s">
        <v>8</v>
      </c>
      <c r="JB679" s="27" t="s">
        <v>7</v>
      </c>
      <c r="JS679" s="27" t="s">
        <v>8</v>
      </c>
      <c r="JT679" s="27" t="s">
        <v>7</v>
      </c>
      <c r="JU679" s="27" t="s">
        <v>8</v>
      </c>
      <c r="JV679" s="27" t="s">
        <v>7</v>
      </c>
      <c r="JW679" s="27" t="s">
        <v>8</v>
      </c>
      <c r="KH679" s="27" t="s">
        <v>7</v>
      </c>
      <c r="KI679" s="27" t="s">
        <v>8</v>
      </c>
      <c r="KL679" s="27" t="s">
        <v>7</v>
      </c>
      <c r="KM679" s="27" t="s">
        <v>8</v>
      </c>
      <c r="KP679" s="27" t="s">
        <v>7</v>
      </c>
      <c r="KW679" s="27" t="s">
        <v>8</v>
      </c>
      <c r="KX679" s="27" t="s">
        <v>7</v>
      </c>
      <c r="KY679" s="27" t="s">
        <v>8</v>
      </c>
      <c r="KZ679" s="27" t="s">
        <v>7</v>
      </c>
      <c r="LA679" s="27" t="s">
        <v>8</v>
      </c>
      <c r="LB679" s="27" t="s">
        <v>7</v>
      </c>
      <c r="LC679" s="27" t="s">
        <v>8</v>
      </c>
      <c r="LJ679" s="27" t="s">
        <v>7</v>
      </c>
      <c r="LR679" s="27" t="s">
        <v>7</v>
      </c>
      <c r="LS679" s="27" t="s">
        <v>8</v>
      </c>
      <c r="LT679" s="27" t="s">
        <v>7</v>
      </c>
      <c r="LU679" s="27" t="s">
        <v>8</v>
      </c>
      <c r="LX679" s="27" t="s">
        <v>7</v>
      </c>
      <c r="MD679" s="27" t="s">
        <v>7</v>
      </c>
      <c r="ME679" s="27" t="s">
        <v>8</v>
      </c>
      <c r="MF679" s="27" t="s">
        <v>7</v>
      </c>
      <c r="MG679" s="27" t="s">
        <v>8</v>
      </c>
      <c r="MH679" s="27" t="s">
        <v>7</v>
      </c>
      <c r="MI679" s="27" t="s">
        <v>8</v>
      </c>
      <c r="MJ679" s="27" t="s">
        <v>7</v>
      </c>
      <c r="MK679" s="27" t="s">
        <v>8</v>
      </c>
      <c r="ML679" s="27" t="s">
        <v>7</v>
      </c>
      <c r="MO679" s="27" t="s">
        <v>8</v>
      </c>
      <c r="MP679" s="27" t="s">
        <v>7</v>
      </c>
      <c r="MQ679" s="27" t="s">
        <v>8</v>
      </c>
      <c r="MR679" s="27" t="s">
        <v>7</v>
      </c>
    </row>
    <row r="680" spans="1:356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H680" s="27" t="s">
        <v>7</v>
      </c>
      <c r="I680" s="27" t="s">
        <v>8</v>
      </c>
      <c r="J680" s="27" t="s">
        <v>7</v>
      </c>
      <c r="K680" s="27" t="s">
        <v>8</v>
      </c>
      <c r="L680" s="27" t="s">
        <v>7</v>
      </c>
      <c r="CQ680" s="27" t="s">
        <v>8</v>
      </c>
      <c r="CS680" s="27" t="s">
        <v>8</v>
      </c>
      <c r="GC680" s="27" t="s">
        <v>8</v>
      </c>
      <c r="GD680" s="27" t="s">
        <v>7</v>
      </c>
      <c r="GE680" s="27" t="s">
        <v>8</v>
      </c>
      <c r="GF680" s="27" t="s">
        <v>7</v>
      </c>
      <c r="GG680" s="27" t="s">
        <v>8</v>
      </c>
      <c r="GH680" s="27" t="s">
        <v>7</v>
      </c>
      <c r="GL680" s="27" t="s">
        <v>7</v>
      </c>
      <c r="IH680" s="27" t="s">
        <v>7</v>
      </c>
      <c r="II680" s="27" t="s">
        <v>8</v>
      </c>
      <c r="IR680" s="27" t="s">
        <v>7</v>
      </c>
      <c r="IX680" s="27" t="s">
        <v>7</v>
      </c>
      <c r="IY680" s="27" t="s">
        <v>8</v>
      </c>
      <c r="IZ680" s="27" t="s">
        <v>7</v>
      </c>
      <c r="JA680" s="27" t="s">
        <v>8</v>
      </c>
      <c r="JB680" s="27" t="s">
        <v>7</v>
      </c>
      <c r="JS680" s="27" t="s">
        <v>8</v>
      </c>
      <c r="JT680" s="27" t="s">
        <v>7</v>
      </c>
      <c r="JU680" s="27" t="s">
        <v>8</v>
      </c>
      <c r="JV680" s="27" t="s">
        <v>7</v>
      </c>
      <c r="JW680" s="27" t="s">
        <v>8</v>
      </c>
      <c r="KH680" s="27" t="s">
        <v>7</v>
      </c>
      <c r="KI680" s="27" t="s">
        <v>8</v>
      </c>
      <c r="KL680" s="27" t="s">
        <v>7</v>
      </c>
      <c r="KM680" s="27" t="s">
        <v>8</v>
      </c>
      <c r="KP680" s="27" t="s">
        <v>7</v>
      </c>
      <c r="KQ680" s="27" t="s">
        <v>8</v>
      </c>
      <c r="KS680" s="27" t="s">
        <v>8</v>
      </c>
      <c r="KW680" s="27" t="s">
        <v>8</v>
      </c>
      <c r="KX680" s="27" t="s">
        <v>7</v>
      </c>
      <c r="KY680" s="27" t="s">
        <v>8</v>
      </c>
      <c r="KZ680" s="27" t="s">
        <v>7</v>
      </c>
      <c r="LA680" s="27" t="s">
        <v>8</v>
      </c>
      <c r="LB680" s="27" t="s">
        <v>7</v>
      </c>
      <c r="LC680" s="27" t="s">
        <v>8</v>
      </c>
      <c r="LR680" s="27" t="s">
        <v>7</v>
      </c>
      <c r="LT680" s="27" t="s">
        <v>7</v>
      </c>
      <c r="MD680" s="27" t="s">
        <v>7</v>
      </c>
      <c r="ME680" s="27" t="s">
        <v>8</v>
      </c>
      <c r="MF680" s="27" t="s">
        <v>7</v>
      </c>
      <c r="MG680" s="27" t="s">
        <v>8</v>
      </c>
      <c r="MH680" s="27" t="s">
        <v>7</v>
      </c>
      <c r="MI680" s="27" t="s">
        <v>8</v>
      </c>
      <c r="MJ680" s="27" t="s">
        <v>7</v>
      </c>
      <c r="MK680" s="27" t="s">
        <v>8</v>
      </c>
      <c r="ML680" s="27" t="s">
        <v>7</v>
      </c>
      <c r="MM680" s="27" t="s">
        <v>8</v>
      </c>
      <c r="MO680" s="27" t="s">
        <v>8</v>
      </c>
      <c r="MP680" s="27" t="s">
        <v>7</v>
      </c>
      <c r="MQ680" s="27" t="s">
        <v>8</v>
      </c>
      <c r="MR680" s="27" t="s">
        <v>7</v>
      </c>
    </row>
    <row r="681" spans="1:356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H681" s="27" t="s">
        <v>7</v>
      </c>
      <c r="I681" s="27" t="s">
        <v>8</v>
      </c>
      <c r="J681" s="27" t="s">
        <v>7</v>
      </c>
      <c r="K681" s="27" t="s">
        <v>8</v>
      </c>
      <c r="L681" s="27" t="s">
        <v>7</v>
      </c>
      <c r="CQ681" s="27" t="s">
        <v>8</v>
      </c>
      <c r="CR681" s="27" t="s">
        <v>7</v>
      </c>
      <c r="CS681" s="27" t="s">
        <v>8</v>
      </c>
      <c r="CT681" s="27" t="s">
        <v>7</v>
      </c>
      <c r="GC681" s="27" t="s">
        <v>8</v>
      </c>
      <c r="GD681" s="27" t="s">
        <v>7</v>
      </c>
      <c r="GF681" s="27" t="s">
        <v>7</v>
      </c>
      <c r="GG681" s="27" t="s">
        <v>8</v>
      </c>
      <c r="IH681" s="27" t="s">
        <v>7</v>
      </c>
      <c r="II681" s="27" t="s">
        <v>8</v>
      </c>
      <c r="IX681" s="27" t="s">
        <v>7</v>
      </c>
      <c r="IZ681" s="27" t="s">
        <v>7</v>
      </c>
      <c r="JA681" s="27" t="s">
        <v>8</v>
      </c>
      <c r="JB681" s="27" t="s">
        <v>7</v>
      </c>
      <c r="JS681" s="27" t="s">
        <v>8</v>
      </c>
      <c r="JT681" s="27" t="s">
        <v>7</v>
      </c>
      <c r="JU681" s="27" t="s">
        <v>8</v>
      </c>
      <c r="JV681" s="27" t="s">
        <v>7</v>
      </c>
      <c r="JW681" s="27" t="s">
        <v>8</v>
      </c>
      <c r="KH681" s="27" t="s">
        <v>7</v>
      </c>
      <c r="KI681" s="27" t="s">
        <v>8</v>
      </c>
      <c r="KL681" s="27" t="s">
        <v>7</v>
      </c>
      <c r="KM681" s="27" t="s">
        <v>8</v>
      </c>
      <c r="KP681" s="27" t="s">
        <v>7</v>
      </c>
      <c r="KQ681" s="27" t="s">
        <v>8</v>
      </c>
      <c r="KR681" s="27" t="s">
        <v>7</v>
      </c>
      <c r="KS681" s="27" t="s">
        <v>8</v>
      </c>
      <c r="KT681" s="27" t="s">
        <v>7</v>
      </c>
      <c r="KW681" s="27" t="s">
        <v>8</v>
      </c>
      <c r="KX681" s="27" t="s">
        <v>7</v>
      </c>
      <c r="KY681" s="27" t="s">
        <v>8</v>
      </c>
      <c r="KZ681" s="27" t="s">
        <v>7</v>
      </c>
      <c r="LA681" s="27" t="s">
        <v>8</v>
      </c>
      <c r="LB681" s="27" t="s">
        <v>7</v>
      </c>
      <c r="MD681" s="27" t="s">
        <v>7</v>
      </c>
      <c r="ME681" s="27" t="s">
        <v>8</v>
      </c>
      <c r="MF681" s="27" t="s">
        <v>7</v>
      </c>
      <c r="MG681" s="27" t="s">
        <v>8</v>
      </c>
      <c r="MH681" s="27" t="s">
        <v>7</v>
      </c>
      <c r="MJ681" s="27" t="s">
        <v>7</v>
      </c>
      <c r="MK681" s="27" t="s">
        <v>8</v>
      </c>
      <c r="ML681" s="27" t="s">
        <v>7</v>
      </c>
      <c r="MM681" s="27" t="s">
        <v>8</v>
      </c>
      <c r="MN681" s="27" t="s">
        <v>7</v>
      </c>
      <c r="MO681" s="27" t="s">
        <v>8</v>
      </c>
      <c r="MP681" s="27" t="s">
        <v>7</v>
      </c>
      <c r="MQ681" s="27" t="s">
        <v>8</v>
      </c>
      <c r="MR681" s="27" t="s">
        <v>7</v>
      </c>
    </row>
    <row r="682" spans="1:356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H682" s="27" t="s">
        <v>7</v>
      </c>
      <c r="I682" s="27" t="s">
        <v>8</v>
      </c>
      <c r="J682" s="27" t="s">
        <v>7</v>
      </c>
      <c r="K682" s="27" t="s">
        <v>8</v>
      </c>
      <c r="L682" s="27" t="s">
        <v>7</v>
      </c>
      <c r="M682" s="27" t="s">
        <v>8</v>
      </c>
      <c r="CQ682" s="27" t="s">
        <v>8</v>
      </c>
      <c r="CR682" s="27" t="s">
        <v>7</v>
      </c>
      <c r="CS682" s="27" t="s">
        <v>8</v>
      </c>
      <c r="CT682" s="27" t="s">
        <v>7</v>
      </c>
      <c r="GC682" s="27" t="s">
        <v>8</v>
      </c>
      <c r="GF682" s="27" t="s">
        <v>7</v>
      </c>
      <c r="GG682" s="27" t="s">
        <v>8</v>
      </c>
      <c r="IH682" s="27" t="s">
        <v>7</v>
      </c>
      <c r="II682" s="27" t="s">
        <v>8</v>
      </c>
      <c r="IZ682" s="27" t="s">
        <v>7</v>
      </c>
      <c r="JA682" s="27" t="s">
        <v>8</v>
      </c>
      <c r="JB682" s="27" t="s">
        <v>7</v>
      </c>
      <c r="JS682" s="27" t="s">
        <v>8</v>
      </c>
      <c r="JT682" s="27" t="s">
        <v>7</v>
      </c>
      <c r="JU682" s="27" t="s">
        <v>8</v>
      </c>
      <c r="JV682" s="27" t="s">
        <v>7</v>
      </c>
      <c r="KH682" s="27" t="s">
        <v>7</v>
      </c>
      <c r="KL682" s="27" t="s">
        <v>7</v>
      </c>
      <c r="KP682" s="27" t="s">
        <v>7</v>
      </c>
      <c r="KQ682" s="27" t="s">
        <v>8</v>
      </c>
      <c r="KR682" s="27" t="s">
        <v>7</v>
      </c>
      <c r="KS682" s="27" t="s">
        <v>8</v>
      </c>
      <c r="KT682" s="27" t="s">
        <v>7</v>
      </c>
      <c r="KW682" s="27" t="s">
        <v>8</v>
      </c>
      <c r="KX682" s="27" t="s">
        <v>7</v>
      </c>
      <c r="KZ682" s="27" t="s">
        <v>7</v>
      </c>
      <c r="LA682" s="27" t="s">
        <v>8</v>
      </c>
      <c r="MD682" s="27" t="s">
        <v>7</v>
      </c>
      <c r="ME682" s="27" t="s">
        <v>8</v>
      </c>
      <c r="MF682" s="27" t="s">
        <v>7</v>
      </c>
      <c r="MG682" s="27" t="s">
        <v>8</v>
      </c>
      <c r="MJ682" s="27" t="s">
        <v>7</v>
      </c>
      <c r="MK682" s="27" t="s">
        <v>8</v>
      </c>
      <c r="ML682" s="27" t="s">
        <v>7</v>
      </c>
      <c r="MM682" s="27" t="s">
        <v>8</v>
      </c>
      <c r="MN682" s="27" t="s">
        <v>7</v>
      </c>
      <c r="MO682" s="27" t="s">
        <v>8</v>
      </c>
      <c r="MP682" s="27" t="s">
        <v>7</v>
      </c>
      <c r="MQ682" s="27" t="s">
        <v>8</v>
      </c>
      <c r="MR682" s="27" t="s">
        <v>7</v>
      </c>
    </row>
    <row r="683" spans="1:356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  <c r="H683" s="27" t="s">
        <v>7</v>
      </c>
      <c r="I683" s="27" t="s">
        <v>8</v>
      </c>
      <c r="J683" s="27" t="s">
        <v>7</v>
      </c>
      <c r="K683" s="27" t="s">
        <v>8</v>
      </c>
      <c r="L683" s="27" t="s">
        <v>7</v>
      </c>
      <c r="M683" s="27" t="s">
        <v>8</v>
      </c>
      <c r="N683" s="27" t="s">
        <v>7</v>
      </c>
      <c r="CQ683" s="27" t="s">
        <v>8</v>
      </c>
      <c r="CR683" s="27" t="s">
        <v>7</v>
      </c>
      <c r="CS683" s="27" t="s">
        <v>8</v>
      </c>
      <c r="CT683" s="27" t="s">
        <v>7</v>
      </c>
      <c r="CY683" s="27" t="s">
        <v>8</v>
      </c>
      <c r="GC683" s="27" t="s">
        <v>8</v>
      </c>
      <c r="GF683" s="27" t="s">
        <v>7</v>
      </c>
      <c r="GG683" s="27" t="s">
        <v>8</v>
      </c>
      <c r="IH683" s="27" t="s">
        <v>7</v>
      </c>
      <c r="II683" s="27" t="s">
        <v>8</v>
      </c>
      <c r="IZ683" s="27" t="s">
        <v>7</v>
      </c>
      <c r="JA683" s="27" t="s">
        <v>8</v>
      </c>
      <c r="JB683" s="27" t="s">
        <v>7</v>
      </c>
      <c r="JS683" s="27" t="s">
        <v>8</v>
      </c>
      <c r="JT683" s="27" t="s">
        <v>7</v>
      </c>
      <c r="JU683" s="27" t="s">
        <v>8</v>
      </c>
      <c r="KP683" s="27" t="s">
        <v>7</v>
      </c>
      <c r="KQ683" s="27" t="s">
        <v>8</v>
      </c>
      <c r="KR683" s="27" t="s">
        <v>7</v>
      </c>
      <c r="KS683" s="27" t="s">
        <v>8</v>
      </c>
      <c r="KT683" s="27" t="s">
        <v>7</v>
      </c>
      <c r="KU683" s="27" t="s">
        <v>8</v>
      </c>
      <c r="KW683" s="27" t="s">
        <v>8</v>
      </c>
      <c r="KZ683" s="27" t="s">
        <v>7</v>
      </c>
      <c r="MD683" s="27" t="s">
        <v>7</v>
      </c>
      <c r="ME683" s="27" t="s">
        <v>8</v>
      </c>
      <c r="MF683" s="27" t="s">
        <v>7</v>
      </c>
      <c r="MJ683" s="27" t="s">
        <v>7</v>
      </c>
      <c r="MK683" s="27" t="s">
        <v>8</v>
      </c>
      <c r="ML683" s="27" t="s">
        <v>7</v>
      </c>
      <c r="MM683" s="27" t="s">
        <v>8</v>
      </c>
      <c r="MN683" s="27" t="s">
        <v>7</v>
      </c>
      <c r="MP683" s="27" t="s">
        <v>7</v>
      </c>
      <c r="MQ683" s="27" t="s">
        <v>8</v>
      </c>
      <c r="MR683" s="27" t="s">
        <v>7</v>
      </c>
    </row>
    <row r="684" spans="1:356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  <c r="H684" s="27" t="s">
        <v>7</v>
      </c>
      <c r="I684" s="27" t="s">
        <v>8</v>
      </c>
      <c r="J684" s="27" t="s">
        <v>7</v>
      </c>
      <c r="K684" s="27" t="s">
        <v>8</v>
      </c>
      <c r="L684" s="27" t="s">
        <v>7</v>
      </c>
      <c r="M684" s="27" t="s">
        <v>8</v>
      </c>
      <c r="N684" s="27" t="s">
        <v>7</v>
      </c>
      <c r="CQ684" s="27" t="s">
        <v>8</v>
      </c>
      <c r="CR684" s="27" t="s">
        <v>7</v>
      </c>
      <c r="CS684" s="27" t="s">
        <v>8</v>
      </c>
      <c r="CT684" s="27" t="s">
        <v>7</v>
      </c>
      <c r="CW684" s="27" t="s">
        <v>8</v>
      </c>
      <c r="CY684" s="27" t="s">
        <v>8</v>
      </c>
      <c r="CZ684" s="27" t="s">
        <v>7</v>
      </c>
      <c r="FY684" s="27" t="s">
        <v>8</v>
      </c>
      <c r="GA684" s="27" t="s">
        <v>8</v>
      </c>
      <c r="GC684" s="27" t="s">
        <v>8</v>
      </c>
      <c r="GF684" s="27" t="s">
        <v>7</v>
      </c>
      <c r="GG684" s="27" t="s">
        <v>8</v>
      </c>
      <c r="IH684" s="27" t="s">
        <v>7</v>
      </c>
      <c r="II684" s="27" t="s">
        <v>8</v>
      </c>
      <c r="IZ684" s="27" t="s">
        <v>7</v>
      </c>
      <c r="JA684" s="27" t="s">
        <v>8</v>
      </c>
      <c r="JB684" s="27" t="s">
        <v>7</v>
      </c>
      <c r="JC684" s="27" t="s">
        <v>8</v>
      </c>
      <c r="JS684" s="27" t="s">
        <v>8</v>
      </c>
      <c r="JT684" s="27" t="s">
        <v>7</v>
      </c>
      <c r="JU684" s="27" t="s">
        <v>8</v>
      </c>
      <c r="KP684" s="27" t="s">
        <v>7</v>
      </c>
      <c r="KQ684" s="27" t="s">
        <v>8</v>
      </c>
      <c r="KR684" s="27" t="s">
        <v>7</v>
      </c>
      <c r="KS684" s="27" t="s">
        <v>8</v>
      </c>
      <c r="KT684" s="27" t="s">
        <v>7</v>
      </c>
      <c r="KU684" s="27" t="s">
        <v>8</v>
      </c>
      <c r="KV684" s="27" t="s">
        <v>7</v>
      </c>
      <c r="KW684" s="27" t="s">
        <v>8</v>
      </c>
      <c r="MD684" s="27" t="s">
        <v>7</v>
      </c>
      <c r="ME684" s="27" t="s">
        <v>8</v>
      </c>
      <c r="MJ684" s="27" t="s">
        <v>7</v>
      </c>
      <c r="MK684" s="27" t="s">
        <v>8</v>
      </c>
      <c r="ML684" s="27" t="s">
        <v>7</v>
      </c>
      <c r="MM684" s="27" t="s">
        <v>8</v>
      </c>
      <c r="MP684" s="27" t="s">
        <v>7</v>
      </c>
      <c r="MQ684" s="27" t="s">
        <v>8</v>
      </c>
      <c r="MR684" s="27" t="s">
        <v>7</v>
      </c>
    </row>
    <row r="685" spans="1:356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  <c r="H685" s="27" t="s">
        <v>7</v>
      </c>
      <c r="I685" s="27" t="s">
        <v>8</v>
      </c>
      <c r="J685" s="27" t="s">
        <v>7</v>
      </c>
      <c r="K685" s="27" t="s">
        <v>8</v>
      </c>
      <c r="L685" s="27" t="s">
        <v>7</v>
      </c>
      <c r="M685" s="27" t="s">
        <v>8</v>
      </c>
      <c r="N685" s="27" t="s">
        <v>7</v>
      </c>
      <c r="CQ685" s="27" t="s">
        <v>8</v>
      </c>
      <c r="CR685" s="27" t="s">
        <v>7</v>
      </c>
      <c r="CS685" s="27" t="s">
        <v>8</v>
      </c>
      <c r="CT685" s="27" t="s">
        <v>7</v>
      </c>
      <c r="CW685" s="27" t="s">
        <v>8</v>
      </c>
      <c r="CX685" s="27" t="s">
        <v>7</v>
      </c>
      <c r="CY685" s="27" t="s">
        <v>8</v>
      </c>
      <c r="CZ685" s="27" t="s">
        <v>7</v>
      </c>
      <c r="FY685" s="27" t="s">
        <v>8</v>
      </c>
      <c r="FZ685" s="27" t="s">
        <v>7</v>
      </c>
      <c r="GA685" s="27" t="s">
        <v>8</v>
      </c>
      <c r="GB685" s="27" t="s">
        <v>7</v>
      </c>
      <c r="GC685" s="27" t="s">
        <v>8</v>
      </c>
      <c r="GF685" s="27" t="s">
        <v>7</v>
      </c>
      <c r="GG685" s="27" t="s">
        <v>8</v>
      </c>
      <c r="IH685" s="27" t="s">
        <v>7</v>
      </c>
      <c r="II685" s="27" t="s">
        <v>8</v>
      </c>
      <c r="IZ685" s="27" t="s">
        <v>7</v>
      </c>
      <c r="JA685" s="27" t="s">
        <v>8</v>
      </c>
      <c r="JB685" s="27" t="s">
        <v>7</v>
      </c>
      <c r="JC685" s="27" t="s">
        <v>8</v>
      </c>
      <c r="JD685" s="27" t="s">
        <v>7</v>
      </c>
      <c r="JG685" s="27" t="s">
        <v>8</v>
      </c>
      <c r="JS685" s="27" t="s">
        <v>8</v>
      </c>
      <c r="JT685" s="27" t="s">
        <v>7</v>
      </c>
      <c r="JU685" s="27" t="s">
        <v>8</v>
      </c>
      <c r="KP685" s="27" t="s">
        <v>7</v>
      </c>
      <c r="KQ685" s="27" t="s">
        <v>8</v>
      </c>
      <c r="KR685" s="27" t="s">
        <v>7</v>
      </c>
      <c r="KS685" s="27" t="s">
        <v>8</v>
      </c>
      <c r="KT685" s="27" t="s">
        <v>7</v>
      </c>
      <c r="KU685" s="27" t="s">
        <v>8</v>
      </c>
      <c r="KV685" s="27" t="s">
        <v>7</v>
      </c>
      <c r="KW685" s="27" t="s">
        <v>8</v>
      </c>
      <c r="MD685" s="27" t="s">
        <v>7</v>
      </c>
      <c r="MJ685" s="27" t="s">
        <v>7</v>
      </c>
      <c r="MK685" s="27" t="s">
        <v>8</v>
      </c>
      <c r="ML685" s="27" t="s">
        <v>7</v>
      </c>
      <c r="MM685" s="27" t="s">
        <v>8</v>
      </c>
      <c r="MP685" s="27" t="s">
        <v>7</v>
      </c>
      <c r="MQ685" s="27" t="s">
        <v>8</v>
      </c>
      <c r="MR685" s="27" t="s">
        <v>7</v>
      </c>
    </row>
    <row r="686" spans="1:356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  <c r="H686" s="27" t="s">
        <v>7</v>
      </c>
      <c r="I686" s="27" t="s">
        <v>8</v>
      </c>
      <c r="J686" s="27" t="s">
        <v>7</v>
      </c>
      <c r="K686" s="27" t="s">
        <v>8</v>
      </c>
      <c r="L686" s="27" t="s">
        <v>7</v>
      </c>
      <c r="M686" s="27" t="s">
        <v>8</v>
      </c>
      <c r="N686" s="27" t="s">
        <v>7</v>
      </c>
      <c r="CO686" s="27" t="s">
        <v>8</v>
      </c>
      <c r="CQ686" s="27" t="s">
        <v>8</v>
      </c>
      <c r="CR686" s="27" t="s">
        <v>7</v>
      </c>
      <c r="CT686" s="27" t="s">
        <v>7</v>
      </c>
      <c r="CU686" s="27" t="s">
        <v>8</v>
      </c>
      <c r="CW686" s="27" t="s">
        <v>8</v>
      </c>
      <c r="CX686" s="27" t="s">
        <v>7</v>
      </c>
      <c r="CY686" s="27" t="s">
        <v>8</v>
      </c>
      <c r="CZ686" s="27" t="s">
        <v>7</v>
      </c>
      <c r="FY686" s="27" t="s">
        <v>8</v>
      </c>
      <c r="FZ686" s="27" t="s">
        <v>7</v>
      </c>
      <c r="GA686" s="27" t="s">
        <v>8</v>
      </c>
      <c r="GB686" s="27" t="s">
        <v>7</v>
      </c>
      <c r="GC686" s="27" t="s">
        <v>8</v>
      </c>
      <c r="GF686" s="27" t="s">
        <v>7</v>
      </c>
      <c r="GG686" s="27" t="s">
        <v>8</v>
      </c>
      <c r="IH686" s="27" t="s">
        <v>7</v>
      </c>
      <c r="II686" s="27" t="s">
        <v>8</v>
      </c>
      <c r="IZ686" s="27" t="s">
        <v>7</v>
      </c>
      <c r="JA686" s="27" t="s">
        <v>8</v>
      </c>
      <c r="JB686" s="27" t="s">
        <v>7</v>
      </c>
      <c r="JC686" s="27" t="s">
        <v>8</v>
      </c>
      <c r="JD686" s="27" t="s">
        <v>7</v>
      </c>
      <c r="JE686" s="27" t="s">
        <v>8</v>
      </c>
      <c r="JG686" s="27" t="s">
        <v>8</v>
      </c>
      <c r="JH686" s="27" t="s">
        <v>7</v>
      </c>
      <c r="JO686" s="27" t="s">
        <v>8</v>
      </c>
      <c r="JS686" s="27" t="s">
        <v>8</v>
      </c>
      <c r="JT686" s="27" t="s">
        <v>7</v>
      </c>
      <c r="KP686" s="27" t="s">
        <v>7</v>
      </c>
      <c r="KQ686" s="27" t="s">
        <v>8</v>
      </c>
      <c r="KR686" s="27" t="s">
        <v>7</v>
      </c>
      <c r="KS686" s="27" t="s">
        <v>8</v>
      </c>
      <c r="KT686" s="27" t="s">
        <v>7</v>
      </c>
      <c r="KU686" s="27" t="s">
        <v>8</v>
      </c>
      <c r="KV686" s="27" t="s">
        <v>7</v>
      </c>
      <c r="KW686" s="27" t="s">
        <v>8</v>
      </c>
      <c r="MJ686" s="27" t="s">
        <v>7</v>
      </c>
      <c r="MK686" s="27" t="s">
        <v>8</v>
      </c>
      <c r="ML686" s="27" t="s">
        <v>7</v>
      </c>
      <c r="MM686" s="27" t="s">
        <v>8</v>
      </c>
      <c r="MP686" s="27" t="s">
        <v>7</v>
      </c>
      <c r="MQ686" s="27" t="s">
        <v>8</v>
      </c>
      <c r="MR686" s="27" t="s">
        <v>7</v>
      </c>
    </row>
    <row r="687" spans="1:356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  <c r="H687" s="27" t="s">
        <v>7</v>
      </c>
      <c r="I687" s="27" t="s">
        <v>8</v>
      </c>
      <c r="J687" s="27" t="s">
        <v>7</v>
      </c>
      <c r="K687" s="27" t="s">
        <v>8</v>
      </c>
      <c r="L687" s="27" t="s">
        <v>7</v>
      </c>
      <c r="M687" s="27" t="s">
        <v>8</v>
      </c>
      <c r="N687" s="27" t="s">
        <v>7</v>
      </c>
      <c r="CO687" s="27" t="s">
        <v>8</v>
      </c>
      <c r="CP687" s="27" t="s">
        <v>7</v>
      </c>
      <c r="CQ687" s="27" t="s">
        <v>8</v>
      </c>
      <c r="CT687" s="27" t="s">
        <v>7</v>
      </c>
      <c r="CU687" s="27" t="s">
        <v>8</v>
      </c>
      <c r="CV687" s="27" t="s">
        <v>7</v>
      </c>
      <c r="CW687" s="27" t="s">
        <v>8</v>
      </c>
      <c r="CX687" s="27" t="s">
        <v>7</v>
      </c>
      <c r="CY687" s="27" t="s">
        <v>8</v>
      </c>
      <c r="CZ687" s="27" t="s">
        <v>7</v>
      </c>
      <c r="FY687" s="27" t="s">
        <v>8</v>
      </c>
      <c r="FZ687" s="27" t="s">
        <v>7</v>
      </c>
      <c r="GA687" s="27" t="s">
        <v>8</v>
      </c>
      <c r="GB687" s="27" t="s">
        <v>7</v>
      </c>
      <c r="GC687" s="27" t="s">
        <v>8</v>
      </c>
      <c r="GF687" s="27" t="s">
        <v>7</v>
      </c>
      <c r="GG687" s="27" t="s">
        <v>8</v>
      </c>
      <c r="IH687" s="27" t="s">
        <v>7</v>
      </c>
      <c r="II687" s="27" t="s">
        <v>8</v>
      </c>
      <c r="IZ687" s="27" t="s">
        <v>7</v>
      </c>
      <c r="JA687" s="27" t="s">
        <v>8</v>
      </c>
      <c r="JB687" s="27" t="s">
        <v>7</v>
      </c>
      <c r="JC687" s="27" t="s">
        <v>8</v>
      </c>
      <c r="JD687" s="27" t="s">
        <v>7</v>
      </c>
      <c r="JE687" s="27" t="s">
        <v>8</v>
      </c>
      <c r="JF687" s="27" t="s">
        <v>7</v>
      </c>
      <c r="JG687" s="27" t="s">
        <v>8</v>
      </c>
      <c r="JH687" s="27" t="s">
        <v>7</v>
      </c>
      <c r="JO687" s="27" t="s">
        <v>8</v>
      </c>
      <c r="JP687" s="27" t="s">
        <v>7</v>
      </c>
      <c r="JS687" s="27" t="s">
        <v>8</v>
      </c>
      <c r="KP687" s="27" t="s">
        <v>7</v>
      </c>
      <c r="KQ687" s="27" t="s">
        <v>8</v>
      </c>
      <c r="KR687" s="27" t="s">
        <v>7</v>
      </c>
      <c r="KS687" s="27" t="s">
        <v>8</v>
      </c>
      <c r="KT687" s="27" t="s">
        <v>7</v>
      </c>
      <c r="KU687" s="27" t="s">
        <v>8</v>
      </c>
      <c r="KV687" s="27" t="s">
        <v>7</v>
      </c>
      <c r="MJ687" s="27" t="s">
        <v>7</v>
      </c>
      <c r="MK687" s="27" t="s">
        <v>8</v>
      </c>
      <c r="ML687" s="27" t="s">
        <v>7</v>
      </c>
      <c r="MM687" s="27" t="s">
        <v>8</v>
      </c>
      <c r="MP687" s="27" t="s">
        <v>7</v>
      </c>
      <c r="MR687" s="27" t="s">
        <v>7</v>
      </c>
    </row>
    <row r="688" spans="1:356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  <c r="H688" s="27" t="s">
        <v>7</v>
      </c>
      <c r="I688" s="27" t="s">
        <v>8</v>
      </c>
      <c r="J688" s="27" t="s">
        <v>7</v>
      </c>
      <c r="K688" s="27" t="s">
        <v>8</v>
      </c>
      <c r="L688" s="27" t="s">
        <v>7</v>
      </c>
      <c r="N688" s="27" t="s">
        <v>7</v>
      </c>
      <c r="CO688" s="27" t="s">
        <v>8</v>
      </c>
      <c r="CP688" s="27" t="s">
        <v>7</v>
      </c>
      <c r="CQ688" s="27" t="s">
        <v>8</v>
      </c>
      <c r="CT688" s="27" t="s">
        <v>7</v>
      </c>
      <c r="CU688" s="27" t="s">
        <v>8</v>
      </c>
      <c r="CV688" s="27" t="s">
        <v>7</v>
      </c>
      <c r="CW688" s="27" t="s">
        <v>8</v>
      </c>
      <c r="CX688" s="27" t="s">
        <v>7</v>
      </c>
      <c r="CY688" s="27" t="s">
        <v>8</v>
      </c>
      <c r="CZ688" s="27" t="s">
        <v>7</v>
      </c>
      <c r="FY688" s="27" t="s">
        <v>8</v>
      </c>
      <c r="FZ688" s="27" t="s">
        <v>7</v>
      </c>
      <c r="GA688" s="27" t="s">
        <v>8</v>
      </c>
      <c r="GB688" s="27" t="s">
        <v>7</v>
      </c>
      <c r="GC688" s="27" t="s">
        <v>8</v>
      </c>
      <c r="GF688" s="27" t="s">
        <v>7</v>
      </c>
      <c r="IH688" s="27" t="s">
        <v>7</v>
      </c>
      <c r="II688" s="27" t="s">
        <v>8</v>
      </c>
      <c r="IZ688" s="27" t="s">
        <v>7</v>
      </c>
      <c r="JA688" s="27" t="s">
        <v>8</v>
      </c>
      <c r="JB688" s="27" t="s">
        <v>7</v>
      </c>
      <c r="JC688" s="27" t="s">
        <v>8</v>
      </c>
      <c r="JD688" s="27" t="s">
        <v>7</v>
      </c>
      <c r="JE688" s="27" t="s">
        <v>8</v>
      </c>
      <c r="JF688" s="27" t="s">
        <v>7</v>
      </c>
      <c r="JG688" s="27" t="s">
        <v>8</v>
      </c>
      <c r="JH688" s="27" t="s">
        <v>7</v>
      </c>
      <c r="JO688" s="27" t="s">
        <v>8</v>
      </c>
      <c r="JP688" s="27" t="s">
        <v>7</v>
      </c>
      <c r="JS688" s="27" t="s">
        <v>8</v>
      </c>
      <c r="KP688" s="27" t="s">
        <v>7</v>
      </c>
      <c r="KR688" s="27" t="s">
        <v>7</v>
      </c>
      <c r="KS688" s="27" t="s">
        <v>8</v>
      </c>
      <c r="KT688" s="27" t="s">
        <v>7</v>
      </c>
      <c r="MJ688" s="27" t="s">
        <v>7</v>
      </c>
      <c r="MK688" s="27" t="s">
        <v>8</v>
      </c>
      <c r="ML688" s="27" t="s">
        <v>7</v>
      </c>
      <c r="MR688" s="27" t="s">
        <v>7</v>
      </c>
    </row>
    <row r="689" spans="1:362" x14ac:dyDescent="0.25">
      <c r="A689" s="7">
        <v>0.13267297885212009</v>
      </c>
      <c r="B689"/>
      <c r="C689"/>
      <c r="D689"/>
      <c r="E689"/>
      <c r="F689" s="27" t="s">
        <v>7</v>
      </c>
      <c r="G689" s="27" t="s">
        <v>8</v>
      </c>
      <c r="H689" s="27" t="s">
        <v>7</v>
      </c>
      <c r="I689" s="27" t="s">
        <v>8</v>
      </c>
      <c r="J689" s="27" t="s">
        <v>7</v>
      </c>
      <c r="K689" s="27" t="s">
        <v>8</v>
      </c>
      <c r="N689" s="27" t="s">
        <v>7</v>
      </c>
      <c r="BM689" s="27" t="s">
        <v>8</v>
      </c>
      <c r="BO689" s="27" t="s">
        <v>8</v>
      </c>
      <c r="CK689" s="27" t="s">
        <v>8</v>
      </c>
      <c r="CO689" s="27" t="s">
        <v>8</v>
      </c>
      <c r="CP689" s="27" t="s">
        <v>7</v>
      </c>
      <c r="CQ689" s="27" t="s">
        <v>8</v>
      </c>
      <c r="CT689" s="27" t="s">
        <v>7</v>
      </c>
      <c r="CU689" s="27" t="s">
        <v>8</v>
      </c>
      <c r="CV689" s="27" t="s">
        <v>7</v>
      </c>
      <c r="CW689" s="27" t="s">
        <v>8</v>
      </c>
      <c r="CX689" s="27" t="s">
        <v>7</v>
      </c>
      <c r="CZ689" s="27" t="s">
        <v>7</v>
      </c>
      <c r="FY689" s="27" t="s">
        <v>8</v>
      </c>
      <c r="FZ689" s="27" t="s">
        <v>7</v>
      </c>
      <c r="GA689" s="27" t="s">
        <v>8</v>
      </c>
      <c r="GB689" s="27" t="s">
        <v>7</v>
      </c>
      <c r="GC689" s="27" t="s">
        <v>8</v>
      </c>
      <c r="IH689" s="27" t="s">
        <v>7</v>
      </c>
      <c r="II689" s="27" t="s">
        <v>8</v>
      </c>
      <c r="IZ689" s="27" t="s">
        <v>7</v>
      </c>
      <c r="JA689" s="27" t="s">
        <v>8</v>
      </c>
      <c r="JB689" s="27" t="s">
        <v>7</v>
      </c>
      <c r="JC689" s="27" t="s">
        <v>8</v>
      </c>
      <c r="JD689" s="27" t="s">
        <v>7</v>
      </c>
      <c r="JE689" s="27" t="s">
        <v>8</v>
      </c>
      <c r="JF689" s="27" t="s">
        <v>7</v>
      </c>
      <c r="JG689" s="27" t="s">
        <v>8</v>
      </c>
      <c r="JH689" s="27" t="s">
        <v>7</v>
      </c>
      <c r="JO689" s="27" t="s">
        <v>8</v>
      </c>
      <c r="JP689" s="27" t="s">
        <v>7</v>
      </c>
      <c r="JQ689" s="27" t="s">
        <v>8</v>
      </c>
      <c r="JS689" s="27" t="s">
        <v>8</v>
      </c>
      <c r="KR689" s="27" t="s">
        <v>7</v>
      </c>
      <c r="MJ689" s="27" t="s">
        <v>7</v>
      </c>
      <c r="MR689" s="27" t="s">
        <v>7</v>
      </c>
    </row>
    <row r="690" spans="1:362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  <c r="H690" s="27" t="s">
        <v>7</v>
      </c>
      <c r="I690" s="27" t="s">
        <v>8</v>
      </c>
      <c r="J690" s="27" t="s">
        <v>7</v>
      </c>
      <c r="N690" s="27" t="s">
        <v>7</v>
      </c>
      <c r="BM690" s="27" t="s">
        <v>8</v>
      </c>
      <c r="BN690" s="27" t="s">
        <v>7</v>
      </c>
      <c r="BO690" s="27" t="s">
        <v>8</v>
      </c>
      <c r="BP690" s="27" t="s">
        <v>7</v>
      </c>
      <c r="CK690" s="27" t="s">
        <v>8</v>
      </c>
      <c r="CL690" s="27" t="s">
        <v>7</v>
      </c>
      <c r="CM690" s="27" t="s">
        <v>8</v>
      </c>
      <c r="CO690" s="27" t="s">
        <v>8</v>
      </c>
      <c r="CP690" s="27" t="s">
        <v>7</v>
      </c>
      <c r="CQ690" s="27" t="s">
        <v>8</v>
      </c>
      <c r="CT690" s="27" t="s">
        <v>7</v>
      </c>
      <c r="CV690" s="27" t="s">
        <v>7</v>
      </c>
      <c r="CW690" s="27" t="s">
        <v>8</v>
      </c>
      <c r="CZ690" s="27" t="s">
        <v>7</v>
      </c>
      <c r="FY690" s="27" t="s">
        <v>8</v>
      </c>
      <c r="FZ690" s="27" t="s">
        <v>7</v>
      </c>
      <c r="GA690" s="27" t="s">
        <v>8</v>
      </c>
      <c r="GB690" s="27" t="s">
        <v>7</v>
      </c>
      <c r="GC690" s="27" t="s">
        <v>8</v>
      </c>
      <c r="IH690" s="27" t="s">
        <v>7</v>
      </c>
      <c r="II690" s="27" t="s">
        <v>8</v>
      </c>
      <c r="IZ690" s="27" t="s">
        <v>7</v>
      </c>
      <c r="JA690" s="27" t="s">
        <v>8</v>
      </c>
      <c r="JB690" s="27" t="s">
        <v>7</v>
      </c>
      <c r="JC690" s="27" t="s">
        <v>8</v>
      </c>
      <c r="JD690" s="27" t="s">
        <v>7</v>
      </c>
      <c r="JE690" s="27" t="s">
        <v>8</v>
      </c>
      <c r="JF690" s="27" t="s">
        <v>7</v>
      </c>
      <c r="JG690" s="27" t="s">
        <v>8</v>
      </c>
      <c r="JH690" s="27" t="s">
        <v>7</v>
      </c>
      <c r="JI690" s="27" t="s">
        <v>8</v>
      </c>
      <c r="JK690" s="27" t="s">
        <v>8</v>
      </c>
      <c r="JO690" s="27" t="s">
        <v>8</v>
      </c>
      <c r="JP690" s="27" t="s">
        <v>7</v>
      </c>
      <c r="JQ690" s="27" t="s">
        <v>8</v>
      </c>
      <c r="JR690" s="27" t="s">
        <v>7</v>
      </c>
      <c r="JS690" s="27" t="s">
        <v>8</v>
      </c>
      <c r="MR690" s="27" t="s">
        <v>7</v>
      </c>
      <c r="MW690" s="27" t="s">
        <v>8</v>
      </c>
    </row>
    <row r="691" spans="1:362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  <c r="H691" s="27" t="s">
        <v>7</v>
      </c>
      <c r="I691" s="27" t="s">
        <v>8</v>
      </c>
      <c r="N691" s="27" t="s">
        <v>7</v>
      </c>
      <c r="BM691" s="27" t="s">
        <v>8</v>
      </c>
      <c r="BN691" s="27" t="s">
        <v>7</v>
      </c>
      <c r="BO691" s="27" t="s">
        <v>8</v>
      </c>
      <c r="BP691" s="27" t="s">
        <v>7</v>
      </c>
      <c r="CE691" s="27" t="s">
        <v>8</v>
      </c>
      <c r="CK691" s="27" t="s">
        <v>8</v>
      </c>
      <c r="CL691" s="27" t="s">
        <v>7</v>
      </c>
      <c r="CM691" s="27" t="s">
        <v>8</v>
      </c>
      <c r="CN691" s="27" t="s">
        <v>7</v>
      </c>
      <c r="CO691" s="27" t="s">
        <v>8</v>
      </c>
      <c r="CP691" s="27" t="s">
        <v>7</v>
      </c>
      <c r="CQ691" s="27" t="s">
        <v>8</v>
      </c>
      <c r="CV691" s="27" t="s">
        <v>7</v>
      </c>
      <c r="CW691" s="27" t="s">
        <v>8</v>
      </c>
      <c r="CZ691" s="27" t="s">
        <v>7</v>
      </c>
      <c r="FY691" s="27" t="s">
        <v>8</v>
      </c>
      <c r="FZ691" s="27" t="s">
        <v>7</v>
      </c>
      <c r="GA691" s="27" t="s">
        <v>8</v>
      </c>
      <c r="GB691" s="27" t="s">
        <v>7</v>
      </c>
      <c r="GC691" s="27" t="s">
        <v>8</v>
      </c>
      <c r="IH691" s="27" t="s">
        <v>7</v>
      </c>
      <c r="II691" s="27" t="s">
        <v>8</v>
      </c>
      <c r="IZ691" s="27" t="s">
        <v>7</v>
      </c>
      <c r="JA691" s="27" t="s">
        <v>8</v>
      </c>
      <c r="JB691" s="27" t="s">
        <v>7</v>
      </c>
      <c r="JC691" s="27" t="s">
        <v>8</v>
      </c>
      <c r="JD691" s="27" t="s">
        <v>7</v>
      </c>
      <c r="JE691" s="27" t="s">
        <v>8</v>
      </c>
      <c r="JF691" s="27" t="s">
        <v>7</v>
      </c>
      <c r="JG691" s="27" t="s">
        <v>8</v>
      </c>
      <c r="JH691" s="27" t="s">
        <v>7</v>
      </c>
      <c r="JI691" s="27" t="s">
        <v>8</v>
      </c>
      <c r="JJ691" s="27" t="s">
        <v>7</v>
      </c>
      <c r="JK691" s="27" t="s">
        <v>8</v>
      </c>
      <c r="JL691" s="27" t="s">
        <v>7</v>
      </c>
      <c r="JO691" s="27" t="s">
        <v>8</v>
      </c>
      <c r="JP691" s="27" t="s">
        <v>7</v>
      </c>
      <c r="JQ691" s="27" t="s">
        <v>8</v>
      </c>
      <c r="JR691" s="27" t="s">
        <v>7</v>
      </c>
      <c r="JS691" s="27" t="s">
        <v>8</v>
      </c>
      <c r="MR691" s="27" t="s">
        <v>7</v>
      </c>
      <c r="MU691" s="27" t="s">
        <v>8</v>
      </c>
      <c r="MW691" s="27" t="s">
        <v>8</v>
      </c>
      <c r="MX691" s="27" t="s">
        <v>7</v>
      </c>
    </row>
    <row r="692" spans="1:362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  <c r="H692" s="27" t="s">
        <v>7</v>
      </c>
      <c r="I692" s="27" t="s">
        <v>8</v>
      </c>
      <c r="N692" s="27" t="s">
        <v>7</v>
      </c>
      <c r="O692" s="27" t="s">
        <v>8</v>
      </c>
      <c r="BM692" s="27" t="s">
        <v>8</v>
      </c>
      <c r="BN692" s="27" t="s">
        <v>7</v>
      </c>
      <c r="BO692" s="27" t="s">
        <v>8</v>
      </c>
      <c r="BP692" s="27" t="s">
        <v>7</v>
      </c>
      <c r="CE692" s="27" t="s">
        <v>8</v>
      </c>
      <c r="CF692" s="27" t="s">
        <v>7</v>
      </c>
      <c r="CK692" s="27" t="s">
        <v>8</v>
      </c>
      <c r="CL692" s="27" t="s">
        <v>7</v>
      </c>
      <c r="CM692" s="27" t="s">
        <v>8</v>
      </c>
      <c r="CN692" s="27" t="s">
        <v>7</v>
      </c>
      <c r="CO692" s="27" t="s">
        <v>8</v>
      </c>
      <c r="CP692" s="27" t="s">
        <v>7</v>
      </c>
      <c r="CQ692" s="27" t="s">
        <v>8</v>
      </c>
      <c r="CV692" s="27" t="s">
        <v>7</v>
      </c>
      <c r="CW692" s="27" t="s">
        <v>8</v>
      </c>
      <c r="CZ692" s="27" t="s">
        <v>7</v>
      </c>
      <c r="FY692" s="27" t="s">
        <v>8</v>
      </c>
      <c r="FZ692" s="27" t="s">
        <v>7</v>
      </c>
      <c r="GA692" s="27" t="s">
        <v>8</v>
      </c>
      <c r="GB692" s="27" t="s">
        <v>7</v>
      </c>
      <c r="IH692" s="27" t="s">
        <v>7</v>
      </c>
      <c r="IZ692" s="27" t="s">
        <v>7</v>
      </c>
      <c r="JA692" s="27" t="s">
        <v>8</v>
      </c>
      <c r="JB692" s="27" t="s">
        <v>7</v>
      </c>
      <c r="JC692" s="27" t="s">
        <v>8</v>
      </c>
      <c r="JD692" s="27" t="s">
        <v>7</v>
      </c>
      <c r="JF692" s="27" t="s">
        <v>7</v>
      </c>
      <c r="JH692" s="27" t="s">
        <v>7</v>
      </c>
      <c r="JI692" s="27" t="s">
        <v>8</v>
      </c>
      <c r="JJ692" s="27" t="s">
        <v>7</v>
      </c>
      <c r="JK692" s="27" t="s">
        <v>8</v>
      </c>
      <c r="JL692" s="27" t="s">
        <v>7</v>
      </c>
      <c r="JO692" s="27" t="s">
        <v>8</v>
      </c>
      <c r="JP692" s="27" t="s">
        <v>7</v>
      </c>
      <c r="JQ692" s="27" t="s">
        <v>8</v>
      </c>
      <c r="JR692" s="27" t="s">
        <v>7</v>
      </c>
      <c r="JS692" s="27" t="s">
        <v>8</v>
      </c>
      <c r="MR692" s="27" t="s">
        <v>7</v>
      </c>
      <c r="MS692" s="27" t="s">
        <v>8</v>
      </c>
      <c r="MU692" s="27" t="s">
        <v>8</v>
      </c>
      <c r="MV692" s="27" t="s">
        <v>7</v>
      </c>
      <c r="MW692" s="27" t="s">
        <v>8</v>
      </c>
      <c r="MX692" s="27" t="s">
        <v>7</v>
      </c>
    </row>
    <row r="693" spans="1:362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H693" s="27" t="s">
        <v>7</v>
      </c>
      <c r="N693" s="27" t="s">
        <v>7</v>
      </c>
      <c r="O693" s="27" t="s">
        <v>8</v>
      </c>
      <c r="P693" s="27" t="s">
        <v>7</v>
      </c>
      <c r="BK693" s="27" t="s">
        <v>8</v>
      </c>
      <c r="BM693" s="27" t="s">
        <v>8</v>
      </c>
      <c r="BN693" s="27" t="s">
        <v>7</v>
      </c>
      <c r="BO693" s="27" t="s">
        <v>8</v>
      </c>
      <c r="BP693" s="27" t="s">
        <v>7</v>
      </c>
      <c r="BS693" s="27" t="s">
        <v>8</v>
      </c>
      <c r="CE693" s="27" t="s">
        <v>8</v>
      </c>
      <c r="CF693" s="27" t="s">
        <v>7</v>
      </c>
      <c r="CG693" s="27" t="s">
        <v>8</v>
      </c>
      <c r="CK693" s="27" t="s">
        <v>8</v>
      </c>
      <c r="CL693" s="27" t="s">
        <v>7</v>
      </c>
      <c r="CM693" s="27" t="s">
        <v>8</v>
      </c>
      <c r="CN693" s="27" t="s">
        <v>7</v>
      </c>
      <c r="CO693" s="27" t="s">
        <v>8</v>
      </c>
      <c r="CP693" s="27" t="s">
        <v>7</v>
      </c>
      <c r="CV693" s="27" t="s">
        <v>7</v>
      </c>
      <c r="CW693" s="27" t="s">
        <v>8</v>
      </c>
      <c r="CZ693" s="27" t="s">
        <v>7</v>
      </c>
      <c r="FY693" s="27" t="s">
        <v>8</v>
      </c>
      <c r="FZ693" s="27" t="s">
        <v>7</v>
      </c>
      <c r="GA693" s="27" t="s">
        <v>8</v>
      </c>
      <c r="IZ693" s="27" t="s">
        <v>7</v>
      </c>
      <c r="JA693" s="27" t="s">
        <v>8</v>
      </c>
      <c r="JB693" s="27" t="s">
        <v>7</v>
      </c>
      <c r="JC693" s="27" t="s">
        <v>8</v>
      </c>
      <c r="JH693" s="27" t="s">
        <v>7</v>
      </c>
      <c r="JJ693" s="27" t="s">
        <v>7</v>
      </c>
      <c r="JK693" s="27" t="s">
        <v>8</v>
      </c>
      <c r="JL693" s="27" t="s">
        <v>7</v>
      </c>
      <c r="JO693" s="27" t="s">
        <v>8</v>
      </c>
      <c r="JP693" s="27" t="s">
        <v>7</v>
      </c>
      <c r="JQ693" s="27" t="s">
        <v>8</v>
      </c>
      <c r="JR693" s="27" t="s">
        <v>7</v>
      </c>
      <c r="JS693" s="27" t="s">
        <v>8</v>
      </c>
      <c r="MR693" s="27" t="s">
        <v>7</v>
      </c>
      <c r="MS693" s="27" t="s">
        <v>8</v>
      </c>
      <c r="MT693" s="27" t="s">
        <v>7</v>
      </c>
      <c r="MU693" s="27" t="s">
        <v>8</v>
      </c>
      <c r="MV693" s="27" t="s">
        <v>7</v>
      </c>
      <c r="MW693" s="27" t="s">
        <v>8</v>
      </c>
      <c r="MX693" s="27" t="s">
        <v>7</v>
      </c>
    </row>
    <row r="694" spans="1:362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N694" s="27" t="s">
        <v>7</v>
      </c>
      <c r="O694" s="27" t="s">
        <v>8</v>
      </c>
      <c r="P694" s="27" t="s">
        <v>7</v>
      </c>
      <c r="BK694" s="27" t="s">
        <v>8</v>
      </c>
      <c r="BL694" s="27" t="s">
        <v>7</v>
      </c>
      <c r="BM694" s="27" t="s">
        <v>8</v>
      </c>
      <c r="BN694" s="27" t="s">
        <v>7</v>
      </c>
      <c r="BP694" s="27" t="s">
        <v>7</v>
      </c>
      <c r="BQ694" s="27" t="s">
        <v>8</v>
      </c>
      <c r="BS694" s="27" t="s">
        <v>8</v>
      </c>
      <c r="BT694" s="27" t="s">
        <v>7</v>
      </c>
      <c r="CA694" s="27" t="s">
        <v>8</v>
      </c>
      <c r="CE694" s="27" t="s">
        <v>8</v>
      </c>
      <c r="CF694" s="27" t="s">
        <v>7</v>
      </c>
      <c r="CG694" s="27" t="s">
        <v>8</v>
      </c>
      <c r="CH694" s="27" t="s">
        <v>7</v>
      </c>
      <c r="CK694" s="27" t="s">
        <v>8</v>
      </c>
      <c r="CL694" s="27" t="s">
        <v>7</v>
      </c>
      <c r="CM694" s="27" t="s">
        <v>8</v>
      </c>
      <c r="CN694" s="27" t="s">
        <v>7</v>
      </c>
      <c r="CV694" s="27" t="s">
        <v>7</v>
      </c>
      <c r="CZ694" s="27" t="s">
        <v>7</v>
      </c>
      <c r="FY694" s="27" t="s">
        <v>8</v>
      </c>
      <c r="FZ694" s="27" t="s">
        <v>7</v>
      </c>
      <c r="GA694" s="27" t="s">
        <v>8</v>
      </c>
      <c r="IZ694" s="27" t="s">
        <v>7</v>
      </c>
      <c r="JA694" s="27" t="s">
        <v>8</v>
      </c>
      <c r="JB694" s="27" t="s">
        <v>7</v>
      </c>
      <c r="JC694" s="27" t="s">
        <v>8</v>
      </c>
      <c r="JJ694" s="27" t="s">
        <v>7</v>
      </c>
      <c r="JK694" s="27" t="s">
        <v>8</v>
      </c>
      <c r="JL694" s="27" t="s">
        <v>7</v>
      </c>
      <c r="JO694" s="27" t="s">
        <v>8</v>
      </c>
      <c r="JP694" s="27" t="s">
        <v>7</v>
      </c>
      <c r="JQ694" s="27" t="s">
        <v>8</v>
      </c>
      <c r="JR694" s="27" t="s">
        <v>7</v>
      </c>
      <c r="JS694" s="27" t="s">
        <v>8</v>
      </c>
      <c r="MR694" s="27" t="s">
        <v>7</v>
      </c>
      <c r="MS694" s="27" t="s">
        <v>8</v>
      </c>
      <c r="MT694" s="27" t="s">
        <v>7</v>
      </c>
      <c r="MU694" s="27" t="s">
        <v>8</v>
      </c>
      <c r="MV694" s="27" t="s">
        <v>7</v>
      </c>
      <c r="MW694" s="27" t="s">
        <v>8</v>
      </c>
      <c r="MX694" s="27" t="s">
        <v>7</v>
      </c>
    </row>
    <row r="695" spans="1:362" x14ac:dyDescent="0.25">
      <c r="A695" s="7">
        <v>0.1178098084100765</v>
      </c>
      <c r="B695"/>
      <c r="C695"/>
      <c r="D695"/>
      <c r="E695"/>
      <c r="F695" s="27" t="s">
        <v>7</v>
      </c>
      <c r="G695" s="27" t="s">
        <v>8</v>
      </c>
      <c r="N695" s="27" t="s">
        <v>7</v>
      </c>
      <c r="O695" s="27" t="s">
        <v>8</v>
      </c>
      <c r="P695" s="27" t="s">
        <v>7</v>
      </c>
      <c r="BI695" s="27" t="s">
        <v>8</v>
      </c>
      <c r="BK695" s="27" t="s">
        <v>8</v>
      </c>
      <c r="BL695" s="27" t="s">
        <v>7</v>
      </c>
      <c r="BM695" s="27" t="s">
        <v>8</v>
      </c>
      <c r="BP695" s="27" t="s">
        <v>7</v>
      </c>
      <c r="BQ695" s="27" t="s">
        <v>8</v>
      </c>
      <c r="BR695" s="27" t="s">
        <v>7</v>
      </c>
      <c r="BS695" s="27" t="s">
        <v>8</v>
      </c>
      <c r="BT695" s="27" t="s">
        <v>7</v>
      </c>
      <c r="CA695" s="27" t="s">
        <v>8</v>
      </c>
      <c r="CB695" s="27" t="s">
        <v>7</v>
      </c>
      <c r="CE695" s="27" t="s">
        <v>8</v>
      </c>
      <c r="CF695" s="27" t="s">
        <v>7</v>
      </c>
      <c r="CG695" s="27" t="s">
        <v>8</v>
      </c>
      <c r="CH695" s="27" t="s">
        <v>7</v>
      </c>
      <c r="CK695" s="27" t="s">
        <v>8</v>
      </c>
      <c r="CL695" s="27" t="s">
        <v>7</v>
      </c>
      <c r="CM695" s="27" t="s">
        <v>8</v>
      </c>
      <c r="CZ695" s="27" t="s">
        <v>7</v>
      </c>
      <c r="DG695" s="27" t="s">
        <v>8</v>
      </c>
      <c r="FY695" s="27" t="s">
        <v>8</v>
      </c>
      <c r="FZ695" s="27" t="s">
        <v>7</v>
      </c>
      <c r="GA695" s="27" t="s">
        <v>8</v>
      </c>
      <c r="IZ695" s="27" t="s">
        <v>7</v>
      </c>
      <c r="JA695" s="27" t="s">
        <v>8</v>
      </c>
      <c r="JB695" s="27" t="s">
        <v>7</v>
      </c>
      <c r="JC695" s="27" t="s">
        <v>8</v>
      </c>
      <c r="JJ695" s="27" t="s">
        <v>7</v>
      </c>
      <c r="JK695" s="27" t="s">
        <v>8</v>
      </c>
      <c r="JL695" s="27" t="s">
        <v>7</v>
      </c>
      <c r="JM695" s="27" t="s">
        <v>8</v>
      </c>
      <c r="JO695" s="27" t="s">
        <v>8</v>
      </c>
      <c r="JP695" s="27" t="s">
        <v>7</v>
      </c>
      <c r="JR695" s="27" t="s">
        <v>7</v>
      </c>
      <c r="MR695" s="27" t="s">
        <v>7</v>
      </c>
      <c r="MT695" s="27" t="s">
        <v>7</v>
      </c>
      <c r="MU695" s="27" t="s">
        <v>8</v>
      </c>
      <c r="MV695" s="27" t="s">
        <v>7</v>
      </c>
      <c r="MX695" s="27" t="s">
        <v>7</v>
      </c>
    </row>
    <row r="696" spans="1:362" x14ac:dyDescent="0.25">
      <c r="A696" s="7">
        <v>0.11549981216674166</v>
      </c>
      <c r="B696"/>
      <c r="C696"/>
      <c r="D696"/>
      <c r="E696"/>
      <c r="F696" s="27" t="s">
        <v>7</v>
      </c>
      <c r="N696" s="27" t="s">
        <v>7</v>
      </c>
      <c r="O696" s="27" t="s">
        <v>8</v>
      </c>
      <c r="P696" s="27" t="s">
        <v>7</v>
      </c>
      <c r="BI696" s="27" t="s">
        <v>8</v>
      </c>
      <c r="BJ696" s="27" t="s">
        <v>7</v>
      </c>
      <c r="BK696" s="27" t="s">
        <v>8</v>
      </c>
      <c r="BL696" s="27" t="s">
        <v>7</v>
      </c>
      <c r="BM696" s="27" t="s">
        <v>8</v>
      </c>
      <c r="BP696" s="27" t="s">
        <v>7</v>
      </c>
      <c r="BQ696" s="27" t="s">
        <v>8</v>
      </c>
      <c r="BR696" s="27" t="s">
        <v>7</v>
      </c>
      <c r="BS696" s="27" t="s">
        <v>8</v>
      </c>
      <c r="BT696" s="27" t="s">
        <v>7</v>
      </c>
      <c r="CA696" s="27" t="s">
        <v>8</v>
      </c>
      <c r="CB696" s="27" t="s">
        <v>7</v>
      </c>
      <c r="CC696" s="27" t="s">
        <v>8</v>
      </c>
      <c r="CE696" s="27" t="s">
        <v>8</v>
      </c>
      <c r="CF696" s="27" t="s">
        <v>7</v>
      </c>
      <c r="CG696" s="27" t="s">
        <v>8</v>
      </c>
      <c r="CH696" s="27" t="s">
        <v>7</v>
      </c>
      <c r="CK696" s="27" t="s">
        <v>8</v>
      </c>
      <c r="CL696" s="27" t="s">
        <v>7</v>
      </c>
      <c r="CM696" s="27" t="s">
        <v>8</v>
      </c>
      <c r="CZ696" s="27" t="s">
        <v>7</v>
      </c>
      <c r="DE696" s="27" t="s">
        <v>8</v>
      </c>
      <c r="DG696" s="27" t="s">
        <v>8</v>
      </c>
      <c r="DH696" s="27" t="s">
        <v>7</v>
      </c>
      <c r="FY696" s="27" t="s">
        <v>8</v>
      </c>
      <c r="FZ696" s="27" t="s">
        <v>7</v>
      </c>
      <c r="IZ696" s="27" t="s">
        <v>7</v>
      </c>
      <c r="JA696" s="27" t="s">
        <v>8</v>
      </c>
      <c r="JB696" s="27" t="s">
        <v>7</v>
      </c>
      <c r="JC696" s="27" t="s">
        <v>8</v>
      </c>
      <c r="JJ696" s="27" t="s">
        <v>7</v>
      </c>
      <c r="JL696" s="27" t="s">
        <v>7</v>
      </c>
      <c r="JM696" s="27" t="s">
        <v>8</v>
      </c>
      <c r="JN696" s="27" t="s">
        <v>7</v>
      </c>
      <c r="JO696" s="27" t="s">
        <v>8</v>
      </c>
      <c r="MT696" s="27" t="s">
        <v>7</v>
      </c>
      <c r="MU696" s="27" t="s">
        <v>8</v>
      </c>
      <c r="MX696" s="27" t="s">
        <v>7</v>
      </c>
    </row>
    <row r="697" spans="1:362" x14ac:dyDescent="0.25">
      <c r="A697" s="7">
        <v>0.11323510996739378</v>
      </c>
      <c r="B697"/>
      <c r="C697"/>
      <c r="D697"/>
      <c r="E697"/>
      <c r="N697" s="27" t="s">
        <v>7</v>
      </c>
      <c r="O697" s="27" t="s">
        <v>8</v>
      </c>
      <c r="P697" s="27" t="s">
        <v>7</v>
      </c>
      <c r="BI697" s="27" t="s">
        <v>8</v>
      </c>
      <c r="BJ697" s="27" t="s">
        <v>7</v>
      </c>
      <c r="BK697" s="27" t="s">
        <v>8</v>
      </c>
      <c r="BL697" s="27" t="s">
        <v>7</v>
      </c>
      <c r="BM697" s="27" t="s">
        <v>8</v>
      </c>
      <c r="BP697" s="27" t="s">
        <v>7</v>
      </c>
      <c r="BQ697" s="27" t="s">
        <v>8</v>
      </c>
      <c r="BR697" s="27" t="s">
        <v>7</v>
      </c>
      <c r="BS697" s="27" t="s">
        <v>8</v>
      </c>
      <c r="BT697" s="27" t="s">
        <v>7</v>
      </c>
      <c r="BY697" s="27" t="s">
        <v>8</v>
      </c>
      <c r="CA697" s="27" t="s">
        <v>8</v>
      </c>
      <c r="CB697" s="27" t="s">
        <v>7</v>
      </c>
      <c r="CC697" s="27" t="s">
        <v>8</v>
      </c>
      <c r="CD697" s="27" t="s">
        <v>7</v>
      </c>
      <c r="CE697" s="27" t="s">
        <v>8</v>
      </c>
      <c r="CF697" s="27" t="s">
        <v>7</v>
      </c>
      <c r="CH697" s="27" t="s">
        <v>7</v>
      </c>
      <c r="CK697" s="27" t="s">
        <v>8</v>
      </c>
      <c r="CL697" s="27" t="s">
        <v>7</v>
      </c>
      <c r="CZ697" s="27" t="s">
        <v>7</v>
      </c>
      <c r="DE697" s="27" t="s">
        <v>8</v>
      </c>
      <c r="DF697" s="27" t="s">
        <v>7</v>
      </c>
      <c r="DG697" s="27" t="s">
        <v>8</v>
      </c>
      <c r="DH697" s="27" t="s">
        <v>7</v>
      </c>
      <c r="FY697" s="27" t="s">
        <v>8</v>
      </c>
      <c r="IZ697" s="27" t="s">
        <v>7</v>
      </c>
      <c r="JA697" s="27" t="s">
        <v>8</v>
      </c>
      <c r="JB697" s="27" t="s">
        <v>7</v>
      </c>
      <c r="JC697" s="27" t="s">
        <v>8</v>
      </c>
      <c r="JL697" s="27" t="s">
        <v>7</v>
      </c>
      <c r="JM697" s="27" t="s">
        <v>8</v>
      </c>
      <c r="JN697" s="27" t="s">
        <v>7</v>
      </c>
      <c r="JO697" s="27" t="s">
        <v>8</v>
      </c>
      <c r="MT697" s="27" t="s">
        <v>7</v>
      </c>
      <c r="MU697" s="27" t="s">
        <v>8</v>
      </c>
      <c r="MX697" s="27" t="s">
        <v>7</v>
      </c>
    </row>
    <row r="698" spans="1:362" x14ac:dyDescent="0.25">
      <c r="A698" s="7">
        <v>0.11101481369352331</v>
      </c>
      <c r="B698"/>
      <c r="C698"/>
      <c r="D698"/>
      <c r="E698"/>
      <c r="N698" s="27" t="s">
        <v>7</v>
      </c>
      <c r="O698" s="27" t="s">
        <v>8</v>
      </c>
      <c r="P698" s="27" t="s">
        <v>7</v>
      </c>
      <c r="BI698" s="27" t="s">
        <v>8</v>
      </c>
      <c r="BJ698" s="27" t="s">
        <v>7</v>
      </c>
      <c r="BK698" s="27" t="s">
        <v>8</v>
      </c>
      <c r="BL698" s="27" t="s">
        <v>7</v>
      </c>
      <c r="BM698" s="27" t="s">
        <v>8</v>
      </c>
      <c r="BP698" s="27" t="s">
        <v>7</v>
      </c>
      <c r="BQ698" s="27" t="s">
        <v>8</v>
      </c>
      <c r="BR698" s="27" t="s">
        <v>7</v>
      </c>
      <c r="BS698" s="27" t="s">
        <v>8</v>
      </c>
      <c r="BT698" s="27" t="s">
        <v>7</v>
      </c>
      <c r="BY698" s="27" t="s">
        <v>8</v>
      </c>
      <c r="BZ698" s="27" t="s">
        <v>7</v>
      </c>
      <c r="CA698" s="27" t="s">
        <v>8</v>
      </c>
      <c r="CB698" s="27" t="s">
        <v>7</v>
      </c>
      <c r="CC698" s="27" t="s">
        <v>8</v>
      </c>
      <c r="CD698" s="27" t="s">
        <v>7</v>
      </c>
      <c r="CE698" s="27" t="s">
        <v>8</v>
      </c>
      <c r="CH698" s="27" t="s">
        <v>7</v>
      </c>
      <c r="CK698" s="27" t="s">
        <v>8</v>
      </c>
      <c r="CZ698" s="27" t="s">
        <v>7</v>
      </c>
      <c r="DE698" s="27" t="s">
        <v>8</v>
      </c>
      <c r="DF698" s="27" t="s">
        <v>7</v>
      </c>
      <c r="DG698" s="27" t="s">
        <v>8</v>
      </c>
      <c r="DH698" s="27" t="s">
        <v>7</v>
      </c>
      <c r="FY698" s="27" t="s">
        <v>8</v>
      </c>
      <c r="IZ698" s="27" t="s">
        <v>7</v>
      </c>
      <c r="JA698" s="27" t="s">
        <v>8</v>
      </c>
      <c r="JB698" s="27" t="s">
        <v>7</v>
      </c>
      <c r="JL698" s="27" t="s">
        <v>7</v>
      </c>
      <c r="JM698" s="27" t="s">
        <v>8</v>
      </c>
      <c r="JN698" s="27" t="s">
        <v>7</v>
      </c>
      <c r="MT698" s="27" t="s">
        <v>7</v>
      </c>
      <c r="MX698" s="27" t="s">
        <v>7</v>
      </c>
    </row>
    <row r="699" spans="1:362" x14ac:dyDescent="0.25">
      <c r="A699" s="7">
        <v>0.10883805264070913</v>
      </c>
      <c r="B699"/>
      <c r="C699"/>
      <c r="D699"/>
      <c r="E699"/>
      <c r="N699" s="27" t="s">
        <v>7</v>
      </c>
      <c r="O699" s="27" t="s">
        <v>8</v>
      </c>
      <c r="P699" s="27" t="s">
        <v>7</v>
      </c>
      <c r="AM699" s="27" t="s">
        <v>8</v>
      </c>
      <c r="BI699" s="27" t="s">
        <v>8</v>
      </c>
      <c r="BJ699" s="27" t="s">
        <v>7</v>
      </c>
      <c r="BK699" s="27" t="s">
        <v>8</v>
      </c>
      <c r="BL699" s="27" t="s">
        <v>7</v>
      </c>
      <c r="BP699" s="27" t="s">
        <v>7</v>
      </c>
      <c r="BQ699" s="27" t="s">
        <v>8</v>
      </c>
      <c r="BR699" s="27" t="s">
        <v>7</v>
      </c>
      <c r="BS699" s="27" t="s">
        <v>8</v>
      </c>
      <c r="BT699" s="27" t="s">
        <v>7</v>
      </c>
      <c r="BY699" s="27" t="s">
        <v>8</v>
      </c>
      <c r="BZ699" s="27" t="s">
        <v>7</v>
      </c>
      <c r="CA699" s="27" t="s">
        <v>8</v>
      </c>
      <c r="CB699" s="27" t="s">
        <v>7</v>
      </c>
      <c r="CC699" s="27" t="s">
        <v>8</v>
      </c>
      <c r="CD699" s="27" t="s">
        <v>7</v>
      </c>
      <c r="CE699" s="27" t="s">
        <v>8</v>
      </c>
      <c r="CH699" s="27" t="s">
        <v>7</v>
      </c>
      <c r="CK699" s="27" t="s">
        <v>8</v>
      </c>
      <c r="CZ699" s="27" t="s">
        <v>7</v>
      </c>
      <c r="DE699" s="27" t="s">
        <v>8</v>
      </c>
      <c r="DF699" s="27" t="s">
        <v>7</v>
      </c>
      <c r="DG699" s="27" t="s">
        <v>8</v>
      </c>
      <c r="DH699" s="27" t="s">
        <v>7</v>
      </c>
      <c r="FY699" s="27" t="s">
        <v>8</v>
      </c>
      <c r="IZ699" s="27" t="s">
        <v>7</v>
      </c>
      <c r="JA699" s="27" t="s">
        <v>8</v>
      </c>
      <c r="JL699" s="27" t="s">
        <v>7</v>
      </c>
      <c r="JM699" s="27" t="s">
        <v>8</v>
      </c>
      <c r="MX699" s="27" t="s">
        <v>7</v>
      </c>
    </row>
    <row r="700" spans="1:362" x14ac:dyDescent="0.25">
      <c r="A700" s="7">
        <v>0.10670397317716582</v>
      </c>
      <c r="B700"/>
      <c r="C700"/>
      <c r="D700"/>
      <c r="E700"/>
      <c r="N700" s="27" t="s">
        <v>7</v>
      </c>
      <c r="P700" s="27" t="s">
        <v>7</v>
      </c>
      <c r="AM700" s="27" t="s">
        <v>8</v>
      </c>
      <c r="AN700" s="27" t="s">
        <v>7</v>
      </c>
      <c r="BA700" s="27" t="s">
        <v>8</v>
      </c>
      <c r="BG700" s="27" t="s">
        <v>8</v>
      </c>
      <c r="BI700" s="27" t="s">
        <v>8</v>
      </c>
      <c r="BJ700" s="27" t="s">
        <v>7</v>
      </c>
      <c r="BP700" s="27" t="s">
        <v>7</v>
      </c>
      <c r="BR700" s="27" t="s">
        <v>7</v>
      </c>
      <c r="BS700" s="27" t="s">
        <v>8</v>
      </c>
      <c r="BT700" s="27" t="s">
        <v>7</v>
      </c>
      <c r="BY700" s="27" t="s">
        <v>8</v>
      </c>
      <c r="BZ700" s="27" t="s">
        <v>7</v>
      </c>
      <c r="CA700" s="27" t="s">
        <v>8</v>
      </c>
      <c r="CB700" s="27" t="s">
        <v>7</v>
      </c>
      <c r="CD700" s="27" t="s">
        <v>7</v>
      </c>
      <c r="CE700" s="27" t="s">
        <v>8</v>
      </c>
      <c r="CH700" s="27" t="s">
        <v>7</v>
      </c>
      <c r="CI700" s="27" t="s">
        <v>8</v>
      </c>
      <c r="CK700" s="27" t="s">
        <v>8</v>
      </c>
      <c r="CZ700" s="27" t="s">
        <v>7</v>
      </c>
      <c r="DA700" s="27" t="s">
        <v>8</v>
      </c>
      <c r="DE700" s="27" t="s">
        <v>8</v>
      </c>
      <c r="DF700" s="27" t="s">
        <v>7</v>
      </c>
      <c r="DG700" s="27" t="s">
        <v>8</v>
      </c>
      <c r="DH700" s="27" t="s">
        <v>7</v>
      </c>
      <c r="FY700" s="27" t="s">
        <v>8</v>
      </c>
      <c r="IZ700" s="27" t="s">
        <v>7</v>
      </c>
      <c r="JA700" s="27" t="s">
        <v>8</v>
      </c>
      <c r="JL700" s="18" t="s">
        <v>7</v>
      </c>
      <c r="JM700" s="27" t="s">
        <v>8</v>
      </c>
      <c r="MX700" s="27" t="s">
        <v>7</v>
      </c>
    </row>
    <row r="701" spans="1:362" x14ac:dyDescent="0.25">
      <c r="A701" s="7">
        <v>0.1046117384089861</v>
      </c>
      <c r="B701"/>
      <c r="C701"/>
      <c r="D701"/>
      <c r="E701"/>
      <c r="P701" s="27" t="s">
        <v>7</v>
      </c>
      <c r="AM701" s="27" t="s">
        <v>8</v>
      </c>
      <c r="AN701" s="27" t="s">
        <v>7</v>
      </c>
      <c r="BA701" s="27" t="s">
        <v>8</v>
      </c>
      <c r="BB701" s="27" t="s">
        <v>7</v>
      </c>
      <c r="BG701" s="27" t="s">
        <v>8</v>
      </c>
      <c r="BH701" s="27" t="s">
        <v>7</v>
      </c>
      <c r="BI701" s="27" t="s">
        <v>8</v>
      </c>
      <c r="BR701" s="27" t="s">
        <v>7</v>
      </c>
      <c r="BS701" s="27" t="s">
        <v>8</v>
      </c>
      <c r="BT701" s="27" t="s">
        <v>7</v>
      </c>
      <c r="BY701" s="27" t="s">
        <v>8</v>
      </c>
      <c r="BZ701" s="27" t="s">
        <v>7</v>
      </c>
      <c r="CA701" s="27" t="s">
        <v>8</v>
      </c>
      <c r="CD701" s="27" t="s">
        <v>7</v>
      </c>
      <c r="CH701" s="27" t="s">
        <v>7</v>
      </c>
      <c r="CI701" s="27" t="s">
        <v>8</v>
      </c>
      <c r="CJ701" s="27" t="s">
        <v>7</v>
      </c>
      <c r="CK701" s="27" t="s">
        <v>8</v>
      </c>
      <c r="CZ701" s="27" t="s">
        <v>7</v>
      </c>
      <c r="DA701" s="27" t="s">
        <v>8</v>
      </c>
      <c r="DB701" s="27" t="s">
        <v>7</v>
      </c>
      <c r="DE701" s="27" t="s">
        <v>8</v>
      </c>
      <c r="DF701" s="27" t="s">
        <v>7</v>
      </c>
      <c r="DG701" s="27" t="s">
        <v>8</v>
      </c>
      <c r="DH701" s="27" t="s">
        <v>7</v>
      </c>
      <c r="FY701" s="27" t="s">
        <v>8</v>
      </c>
      <c r="IZ701" s="27" t="s">
        <v>7</v>
      </c>
      <c r="JA701" s="27" t="s">
        <v>8</v>
      </c>
      <c r="JL701" s="27" t="s">
        <v>7</v>
      </c>
      <c r="JM701" s="27" t="s">
        <v>8</v>
      </c>
      <c r="MX701" s="27" t="s">
        <v>7</v>
      </c>
    </row>
    <row r="702" spans="1:362" x14ac:dyDescent="0.25">
      <c r="A702" s="7">
        <v>0.10256052785194716</v>
      </c>
      <c r="B702"/>
      <c r="C702"/>
      <c r="D702"/>
      <c r="E702"/>
      <c r="P702" s="27" t="s">
        <v>7</v>
      </c>
      <c r="AM702" s="27" t="s">
        <v>8</v>
      </c>
      <c r="AN702" s="27" t="s">
        <v>7</v>
      </c>
      <c r="BA702" s="27" t="s">
        <v>8</v>
      </c>
      <c r="BB702" s="27" t="s">
        <v>7</v>
      </c>
      <c r="BG702" s="27" t="s">
        <v>8</v>
      </c>
      <c r="BH702" s="27" t="s">
        <v>7</v>
      </c>
      <c r="BI702" s="27" t="s">
        <v>8</v>
      </c>
      <c r="BR702" s="27" t="s">
        <v>7</v>
      </c>
      <c r="BS702" s="27" t="s">
        <v>8</v>
      </c>
      <c r="BT702" s="27" t="s">
        <v>7</v>
      </c>
      <c r="BW702" s="27" t="s">
        <v>8</v>
      </c>
      <c r="BY702" s="27" t="s">
        <v>8</v>
      </c>
      <c r="BZ702" s="27" t="s">
        <v>7</v>
      </c>
      <c r="CA702" s="27" t="s">
        <v>8</v>
      </c>
      <c r="CH702" s="27" t="s">
        <v>7</v>
      </c>
      <c r="CI702" s="27" t="s">
        <v>8</v>
      </c>
      <c r="CJ702" s="27" t="s">
        <v>7</v>
      </c>
      <c r="CK702" s="27" t="s">
        <v>8</v>
      </c>
      <c r="CZ702" s="27" t="s">
        <v>7</v>
      </c>
      <c r="DA702" s="27" t="s">
        <v>8</v>
      </c>
      <c r="DB702" s="27" t="s">
        <v>7</v>
      </c>
      <c r="DE702" s="27" t="s">
        <v>8</v>
      </c>
      <c r="DF702" s="27" t="s">
        <v>7</v>
      </c>
      <c r="DG702" s="27" t="s">
        <v>8</v>
      </c>
      <c r="DH702" s="27" t="s">
        <v>7</v>
      </c>
      <c r="DM702" s="27" t="s">
        <v>8</v>
      </c>
      <c r="FO702" s="27" t="s">
        <v>8</v>
      </c>
      <c r="FY702" s="27" t="s">
        <v>8</v>
      </c>
      <c r="IZ702" s="27" t="s">
        <v>7</v>
      </c>
      <c r="JA702" s="27" t="s">
        <v>8</v>
      </c>
      <c r="JL702" s="27" t="s">
        <v>7</v>
      </c>
      <c r="JM702" s="27" t="s">
        <v>8</v>
      </c>
      <c r="MX702" s="27" t="s">
        <v>7</v>
      </c>
    </row>
    <row r="703" spans="1:362" x14ac:dyDescent="0.25">
      <c r="A703" s="7">
        <v>0.10054953710975212</v>
      </c>
      <c r="B703"/>
      <c r="C703"/>
      <c r="D703"/>
      <c r="E703"/>
      <c r="P703" s="27" t="s">
        <v>7</v>
      </c>
      <c r="AM703" s="27" t="s">
        <v>8</v>
      </c>
      <c r="AN703" s="27" t="s">
        <v>7</v>
      </c>
      <c r="BA703" s="27" t="s">
        <v>8</v>
      </c>
      <c r="BB703" s="27" t="s">
        <v>7</v>
      </c>
      <c r="BC703" s="27" t="s">
        <v>8</v>
      </c>
      <c r="BE703" s="27" t="s">
        <v>8</v>
      </c>
      <c r="BG703" s="27" t="s">
        <v>8</v>
      </c>
      <c r="BH703" s="27" t="s">
        <v>7</v>
      </c>
      <c r="BI703" s="27" t="s">
        <v>8</v>
      </c>
      <c r="BR703" s="27" t="s">
        <v>7</v>
      </c>
      <c r="BS703" s="27" t="s">
        <v>8</v>
      </c>
      <c r="BT703" s="27" t="s">
        <v>7</v>
      </c>
      <c r="BU703" s="27" t="s">
        <v>8</v>
      </c>
      <c r="BW703" s="27" t="s">
        <v>8</v>
      </c>
      <c r="BX703" s="27" t="s">
        <v>7</v>
      </c>
      <c r="BY703" s="27" t="s">
        <v>8</v>
      </c>
      <c r="BZ703" s="27" t="s">
        <v>7</v>
      </c>
      <c r="CH703" s="27" t="s">
        <v>7</v>
      </c>
      <c r="CI703" s="27" t="s">
        <v>8</v>
      </c>
      <c r="CJ703" s="27" t="s">
        <v>7</v>
      </c>
      <c r="CK703" s="27" t="s">
        <v>8</v>
      </c>
      <c r="CZ703" s="27" t="s">
        <v>7</v>
      </c>
      <c r="DA703" s="27" t="s">
        <v>8</v>
      </c>
      <c r="DB703" s="27" t="s">
        <v>7</v>
      </c>
      <c r="DE703" s="27" t="s">
        <v>8</v>
      </c>
      <c r="DF703" s="27" t="s">
        <v>7</v>
      </c>
      <c r="DG703" s="27" t="s">
        <v>8</v>
      </c>
      <c r="DH703" s="27" t="s">
        <v>7</v>
      </c>
      <c r="DM703" s="27" t="s">
        <v>8</v>
      </c>
      <c r="DN703" s="27" t="s">
        <v>7</v>
      </c>
      <c r="FO703" s="27" t="s">
        <v>8</v>
      </c>
      <c r="FP703" s="27" t="s">
        <v>7</v>
      </c>
      <c r="FY703" s="27" t="s">
        <v>8</v>
      </c>
      <c r="IZ703" s="27" t="s">
        <v>7</v>
      </c>
      <c r="JA703" s="27" t="s">
        <v>8</v>
      </c>
      <c r="JL703" s="27" t="s">
        <v>7</v>
      </c>
      <c r="JM703" s="27" t="s">
        <v>8</v>
      </c>
      <c r="MX703" s="27" t="s">
        <v>7</v>
      </c>
    </row>
    <row r="704" spans="1:362" x14ac:dyDescent="0.25">
      <c r="A704" s="7">
        <v>9.8577977558580512E-2</v>
      </c>
      <c r="B704"/>
      <c r="C704"/>
      <c r="D704"/>
      <c r="E704"/>
      <c r="P704" s="27" t="s">
        <v>7</v>
      </c>
      <c r="AM704" s="27" t="s">
        <v>8</v>
      </c>
      <c r="AN704" s="27" t="s">
        <v>7</v>
      </c>
      <c r="AQ704" s="27" t="s">
        <v>8</v>
      </c>
      <c r="BA704" s="27" t="s">
        <v>8</v>
      </c>
      <c r="BB704" s="27" t="s">
        <v>7</v>
      </c>
      <c r="BC704" s="27" t="s">
        <v>8</v>
      </c>
      <c r="BD704" s="27" t="s">
        <v>7</v>
      </c>
      <c r="BE704" s="27" t="s">
        <v>8</v>
      </c>
      <c r="BF704" s="27" t="s">
        <v>7</v>
      </c>
      <c r="BG704" s="27" t="s">
        <v>8</v>
      </c>
      <c r="BH704" s="27" t="s">
        <v>7</v>
      </c>
      <c r="BI704" s="27" t="s">
        <v>8</v>
      </c>
      <c r="BR704" s="27" t="s">
        <v>7</v>
      </c>
      <c r="BT704" s="27" t="s">
        <v>7</v>
      </c>
      <c r="BU704" s="27" t="s">
        <v>8</v>
      </c>
      <c r="BV704" s="27" t="s">
        <v>7</v>
      </c>
      <c r="BW704" s="27" t="s">
        <v>8</v>
      </c>
      <c r="BX704" s="27" t="s">
        <v>7</v>
      </c>
      <c r="BY704" s="27" t="s">
        <v>8</v>
      </c>
      <c r="CH704" s="27" t="s">
        <v>7</v>
      </c>
      <c r="CI704" s="27" t="s">
        <v>8</v>
      </c>
      <c r="CJ704" s="27" t="s">
        <v>7</v>
      </c>
      <c r="CK704" s="27" t="s">
        <v>8</v>
      </c>
      <c r="CZ704" s="27" t="s">
        <v>7</v>
      </c>
      <c r="DA704" s="27" t="s">
        <v>8</v>
      </c>
      <c r="DB704" s="27" t="s">
        <v>7</v>
      </c>
      <c r="DE704" s="27" t="s">
        <v>8</v>
      </c>
      <c r="DF704" s="27" t="s">
        <v>7</v>
      </c>
      <c r="DH704" s="27" t="s">
        <v>7</v>
      </c>
      <c r="DI704" s="27" t="s">
        <v>8</v>
      </c>
      <c r="DM704" s="27" t="s">
        <v>8</v>
      </c>
      <c r="DN704" s="27" t="s">
        <v>7</v>
      </c>
      <c r="EI704" s="27" t="s">
        <v>8</v>
      </c>
      <c r="FO704" s="27" t="s">
        <v>8</v>
      </c>
      <c r="FP704" s="27" t="s">
        <v>7</v>
      </c>
      <c r="FY704" s="27" t="s">
        <v>8</v>
      </c>
      <c r="IZ704" s="27" t="s">
        <v>7</v>
      </c>
      <c r="JA704" s="27" t="s">
        <v>8</v>
      </c>
      <c r="JL704" s="27" t="s">
        <v>7</v>
      </c>
      <c r="JM704" s="27" t="s">
        <v>8</v>
      </c>
      <c r="MX704" s="27" t="s">
        <v>7</v>
      </c>
    </row>
    <row r="705" spans="1:366" x14ac:dyDescent="0.25">
      <c r="A705" s="7">
        <v>9.6645076037824032E-2</v>
      </c>
      <c r="B705"/>
      <c r="C705"/>
      <c r="D705"/>
      <c r="E705"/>
      <c r="P705" s="27" t="s">
        <v>7</v>
      </c>
      <c r="AM705" s="27" t="s">
        <v>8</v>
      </c>
      <c r="AN705" s="27" t="s">
        <v>7</v>
      </c>
      <c r="AQ705" s="27" t="s">
        <v>8</v>
      </c>
      <c r="AR705" s="27" t="s">
        <v>7</v>
      </c>
      <c r="AS705" s="27" t="s">
        <v>8</v>
      </c>
      <c r="BA705" s="27" t="s">
        <v>8</v>
      </c>
      <c r="BB705" s="27" t="s">
        <v>7</v>
      </c>
      <c r="BC705" s="27" t="s">
        <v>8</v>
      </c>
      <c r="BD705" s="27" t="s">
        <v>7</v>
      </c>
      <c r="BE705" s="27" t="s">
        <v>8</v>
      </c>
      <c r="BF705" s="27" t="s">
        <v>7</v>
      </c>
      <c r="BG705" s="27" t="s">
        <v>8</v>
      </c>
      <c r="BH705" s="27" t="s">
        <v>7</v>
      </c>
      <c r="BI705" s="27" t="s">
        <v>8</v>
      </c>
      <c r="BT705" s="27" t="s">
        <v>7</v>
      </c>
      <c r="BU705" s="27" t="s">
        <v>8</v>
      </c>
      <c r="BV705" s="27" t="s">
        <v>7</v>
      </c>
      <c r="BW705" s="27" t="s">
        <v>8</v>
      </c>
      <c r="BX705" s="27" t="s">
        <v>7</v>
      </c>
      <c r="CH705" s="27" t="s">
        <v>7</v>
      </c>
      <c r="CJ705" s="27" t="s">
        <v>7</v>
      </c>
      <c r="CK705" s="27" t="s">
        <v>8</v>
      </c>
      <c r="CZ705" s="27" t="s">
        <v>7</v>
      </c>
      <c r="DB705" s="27" t="s">
        <v>7</v>
      </c>
      <c r="DC705" s="27" t="s">
        <v>8</v>
      </c>
      <c r="DE705" s="27" t="s">
        <v>8</v>
      </c>
      <c r="DH705" s="27" t="s">
        <v>7</v>
      </c>
      <c r="DI705" s="27" t="s">
        <v>8</v>
      </c>
      <c r="DJ705" s="27" t="s">
        <v>7</v>
      </c>
      <c r="DM705" s="27" t="s">
        <v>8</v>
      </c>
      <c r="DN705" s="27" t="s">
        <v>7</v>
      </c>
      <c r="EI705" s="27" t="s">
        <v>8</v>
      </c>
      <c r="EJ705" s="27" t="s">
        <v>7</v>
      </c>
      <c r="EU705" s="27" t="s">
        <v>8</v>
      </c>
      <c r="FO705" s="27" t="s">
        <v>8</v>
      </c>
      <c r="FP705" s="27" t="s">
        <v>7</v>
      </c>
      <c r="FY705" s="27" t="s">
        <v>8</v>
      </c>
      <c r="IZ705" s="27" t="s">
        <v>7</v>
      </c>
      <c r="JA705" s="27" t="s">
        <v>8</v>
      </c>
      <c r="JL705" s="27" t="s">
        <v>7</v>
      </c>
      <c r="JM705" s="27" t="s">
        <v>8</v>
      </c>
      <c r="MX705" s="27" t="s">
        <v>7</v>
      </c>
    </row>
    <row r="706" spans="1:366" x14ac:dyDescent="0.25">
      <c r="A706" s="7">
        <v>9.4750074546886304E-2</v>
      </c>
      <c r="B706"/>
      <c r="C706"/>
      <c r="D706"/>
      <c r="E706"/>
      <c r="P706" s="27" t="s">
        <v>7</v>
      </c>
      <c r="AM706" s="27" t="s">
        <v>8</v>
      </c>
      <c r="AN706" s="27" t="s">
        <v>7</v>
      </c>
      <c r="AQ706" s="27" t="s">
        <v>8</v>
      </c>
      <c r="AR706" s="27" t="s">
        <v>7</v>
      </c>
      <c r="AS706" s="27" t="s">
        <v>8</v>
      </c>
      <c r="AT706" s="27" t="s">
        <v>7</v>
      </c>
      <c r="AU706" s="27" t="s">
        <v>8</v>
      </c>
      <c r="BA706" s="27" t="s">
        <v>8</v>
      </c>
      <c r="BB706" s="27" t="s">
        <v>7</v>
      </c>
      <c r="BC706" s="27" t="s">
        <v>8</v>
      </c>
      <c r="BD706" s="27" t="s">
        <v>7</v>
      </c>
      <c r="BE706" s="27" t="s">
        <v>8</v>
      </c>
      <c r="BF706" s="27" t="s">
        <v>7</v>
      </c>
      <c r="BG706" s="27" t="s">
        <v>8</v>
      </c>
      <c r="BH706" s="27" t="s">
        <v>7</v>
      </c>
      <c r="BI706" s="27" t="s">
        <v>8</v>
      </c>
      <c r="BT706" s="27" t="s">
        <v>7</v>
      </c>
      <c r="BU706" s="27" t="s">
        <v>8</v>
      </c>
      <c r="BV706" s="27" t="s">
        <v>7</v>
      </c>
      <c r="BW706" s="27" t="s">
        <v>8</v>
      </c>
      <c r="CJ706" s="27" t="s">
        <v>7</v>
      </c>
      <c r="DB706" s="27" t="s">
        <v>7</v>
      </c>
      <c r="DC706" s="27" t="s">
        <v>8</v>
      </c>
      <c r="DD706" s="27" t="s">
        <v>7</v>
      </c>
      <c r="DE706" s="27" t="s">
        <v>8</v>
      </c>
      <c r="DH706" s="27" t="s">
        <v>7</v>
      </c>
      <c r="DI706" s="27" t="s">
        <v>8</v>
      </c>
      <c r="DJ706" s="27" t="s">
        <v>7</v>
      </c>
      <c r="DM706" s="27" t="s">
        <v>8</v>
      </c>
      <c r="DN706" s="27" t="s">
        <v>7</v>
      </c>
      <c r="EI706" s="27" t="s">
        <v>8</v>
      </c>
      <c r="EJ706" s="27" t="s">
        <v>7</v>
      </c>
      <c r="EU706" s="27" t="s">
        <v>8</v>
      </c>
      <c r="EV706" s="27" t="s">
        <v>7</v>
      </c>
      <c r="FG706" s="27" t="s">
        <v>8</v>
      </c>
      <c r="FI706" s="27" t="s">
        <v>8</v>
      </c>
      <c r="FO706" s="27" t="s">
        <v>8</v>
      </c>
      <c r="FP706" s="27" t="s">
        <v>7</v>
      </c>
      <c r="FY706" s="27" t="s">
        <v>8</v>
      </c>
      <c r="IZ706" s="27" t="s">
        <v>7</v>
      </c>
      <c r="JL706" s="27" t="s">
        <v>7</v>
      </c>
      <c r="MX706" s="27" t="s">
        <v>7</v>
      </c>
    </row>
    <row r="707" spans="1:366" x14ac:dyDescent="0.25">
      <c r="A707" s="7">
        <v>9.2892229947927743E-2</v>
      </c>
      <c r="B707"/>
      <c r="C707"/>
      <c r="D707"/>
      <c r="E707"/>
      <c r="P707" s="27" t="s">
        <v>7</v>
      </c>
      <c r="AM707" s="27" t="s">
        <v>8</v>
      </c>
      <c r="AN707" s="27" t="s">
        <v>7</v>
      </c>
      <c r="AQ707" s="27" t="s">
        <v>8</v>
      </c>
      <c r="AR707" s="27" t="s">
        <v>7</v>
      </c>
      <c r="AS707" s="27" t="s">
        <v>8</v>
      </c>
      <c r="AT707" s="27" t="s">
        <v>7</v>
      </c>
      <c r="AU707" s="27" t="s">
        <v>8</v>
      </c>
      <c r="AV707" s="27" t="s">
        <v>7</v>
      </c>
      <c r="BA707" s="27" t="s">
        <v>8</v>
      </c>
      <c r="BB707" s="27" t="s">
        <v>7</v>
      </c>
      <c r="BC707" s="27" t="s">
        <v>8</v>
      </c>
      <c r="BD707" s="27" t="s">
        <v>7</v>
      </c>
      <c r="BF707" s="27" t="s">
        <v>7</v>
      </c>
      <c r="BH707" s="27" t="s">
        <v>7</v>
      </c>
      <c r="BI707" s="27" t="s">
        <v>8</v>
      </c>
      <c r="BT707" s="27" t="s">
        <v>7</v>
      </c>
      <c r="BU707" s="27" t="s">
        <v>8</v>
      </c>
      <c r="BV707" s="27" t="s">
        <v>7</v>
      </c>
      <c r="DB707" s="27" t="s">
        <v>7</v>
      </c>
      <c r="DC707" s="27" t="s">
        <v>8</v>
      </c>
      <c r="DD707" s="27" t="s">
        <v>7</v>
      </c>
      <c r="DE707" s="27" t="s">
        <v>8</v>
      </c>
      <c r="DH707" s="27" t="s">
        <v>7</v>
      </c>
      <c r="DJ707" s="27" t="s">
        <v>7</v>
      </c>
      <c r="DM707" s="27" t="s">
        <v>8</v>
      </c>
      <c r="DN707" s="27" t="s">
        <v>7</v>
      </c>
      <c r="EI707" s="27" t="s">
        <v>8</v>
      </c>
      <c r="EJ707" s="27" t="s">
        <v>7</v>
      </c>
      <c r="EU707" s="27" t="s">
        <v>8</v>
      </c>
      <c r="EV707" s="27" t="s">
        <v>7</v>
      </c>
      <c r="FG707" s="27" t="s">
        <v>8</v>
      </c>
      <c r="FH707" s="27" t="s">
        <v>7</v>
      </c>
      <c r="FI707" s="27" t="s">
        <v>8</v>
      </c>
      <c r="FJ707" s="27" t="s">
        <v>7</v>
      </c>
      <c r="FM707" s="27" t="s">
        <v>8</v>
      </c>
      <c r="FO707" s="27" t="s">
        <v>8</v>
      </c>
      <c r="FP707" s="27" t="s">
        <v>7</v>
      </c>
      <c r="FY707" s="27" t="s">
        <v>8</v>
      </c>
      <c r="MX707" s="27" t="s">
        <v>7</v>
      </c>
      <c r="MY707" s="27" t="s">
        <v>8</v>
      </c>
    </row>
    <row r="708" spans="1:366" x14ac:dyDescent="0.25">
      <c r="A708" s="7">
        <v>9.1070813674438963E-2</v>
      </c>
      <c r="B708"/>
      <c r="C708"/>
      <c r="D708"/>
      <c r="E708"/>
      <c r="P708" s="27" t="s">
        <v>7</v>
      </c>
      <c r="AM708" s="27" t="s">
        <v>8</v>
      </c>
      <c r="AN708" s="27" t="s">
        <v>7</v>
      </c>
      <c r="AQ708" s="27" t="s">
        <v>8</v>
      </c>
      <c r="AR708" s="27" t="s">
        <v>7</v>
      </c>
      <c r="AS708" s="27" t="s">
        <v>8</v>
      </c>
      <c r="AT708" s="27" t="s">
        <v>7</v>
      </c>
      <c r="AU708" s="27" t="s">
        <v>8</v>
      </c>
      <c r="AV708" s="27" t="s">
        <v>7</v>
      </c>
      <c r="BA708" s="27" t="s">
        <v>8</v>
      </c>
      <c r="BB708" s="27" t="s">
        <v>7</v>
      </c>
      <c r="BH708" s="27" t="s">
        <v>7</v>
      </c>
      <c r="BT708" s="27" t="s">
        <v>7</v>
      </c>
      <c r="BU708" s="27" t="s">
        <v>8</v>
      </c>
      <c r="DB708" s="27" t="s">
        <v>7</v>
      </c>
      <c r="DC708" s="27" t="s">
        <v>8</v>
      </c>
      <c r="DD708" s="27" t="s">
        <v>7</v>
      </c>
      <c r="DE708" s="27" t="s">
        <v>8</v>
      </c>
      <c r="DJ708" s="27" t="s">
        <v>7</v>
      </c>
      <c r="DM708" s="27" t="s">
        <v>8</v>
      </c>
      <c r="DN708" s="27" t="s">
        <v>7</v>
      </c>
      <c r="EI708" s="27" t="s">
        <v>8</v>
      </c>
      <c r="EJ708" s="27" t="s">
        <v>7</v>
      </c>
      <c r="EU708" s="27" t="s">
        <v>8</v>
      </c>
      <c r="EV708" s="27" t="s">
        <v>7</v>
      </c>
      <c r="FG708" s="27" t="s">
        <v>8</v>
      </c>
      <c r="FH708" s="27" t="s">
        <v>7</v>
      </c>
      <c r="FI708" s="27" t="s">
        <v>8</v>
      </c>
      <c r="FJ708" s="27" t="s">
        <v>7</v>
      </c>
      <c r="FM708" s="27" t="s">
        <v>8</v>
      </c>
      <c r="FN708" s="27" t="s">
        <v>7</v>
      </c>
      <c r="FO708" s="27" t="s">
        <v>8</v>
      </c>
      <c r="FP708" s="27" t="s">
        <v>7</v>
      </c>
      <c r="FY708" s="27" t="s">
        <v>8</v>
      </c>
      <c r="MX708" s="27" t="s">
        <v>7</v>
      </c>
      <c r="MY708" s="27" t="s">
        <v>8</v>
      </c>
      <c r="MZ708" s="27" t="s">
        <v>7</v>
      </c>
      <c r="NA708" s="27" t="s">
        <v>8</v>
      </c>
    </row>
    <row r="709" spans="1:366" x14ac:dyDescent="0.25">
      <c r="A709" s="7">
        <v>8.9285111445528392E-2</v>
      </c>
      <c r="B709"/>
      <c r="C709"/>
      <c r="D709"/>
      <c r="E709"/>
      <c r="P709" s="27" t="s">
        <v>7</v>
      </c>
      <c r="AM709" s="27" t="s">
        <v>8</v>
      </c>
      <c r="AN709" s="27" t="s">
        <v>7</v>
      </c>
      <c r="AO709" s="27" t="s">
        <v>8</v>
      </c>
      <c r="AQ709" s="27" t="s">
        <v>8</v>
      </c>
      <c r="AR709" s="27" t="s">
        <v>7</v>
      </c>
      <c r="AS709" s="27" t="s">
        <v>8</v>
      </c>
      <c r="AT709" s="27" t="s">
        <v>7</v>
      </c>
      <c r="AU709" s="27" t="s">
        <v>8</v>
      </c>
      <c r="AV709" s="27" t="s">
        <v>7</v>
      </c>
      <c r="BA709" s="27" t="s">
        <v>8</v>
      </c>
      <c r="BT709" s="27" t="s">
        <v>7</v>
      </c>
      <c r="DB709" s="27" t="s">
        <v>7</v>
      </c>
      <c r="DC709" s="27" t="s">
        <v>8</v>
      </c>
      <c r="DD709" s="27" t="s">
        <v>7</v>
      </c>
      <c r="DE709" s="27" t="s">
        <v>8</v>
      </c>
      <c r="DJ709" s="27" t="s">
        <v>7</v>
      </c>
      <c r="DM709" s="27" t="s">
        <v>8</v>
      </c>
      <c r="DN709" s="27" t="s">
        <v>7</v>
      </c>
      <c r="DQ709" s="27" t="s">
        <v>8</v>
      </c>
      <c r="EI709" s="27" t="s">
        <v>8</v>
      </c>
      <c r="EJ709" s="27" t="s">
        <v>7</v>
      </c>
      <c r="ES709" s="27" t="s">
        <v>8</v>
      </c>
      <c r="EU709" s="27" t="s">
        <v>8</v>
      </c>
      <c r="EV709" s="27" t="s">
        <v>7</v>
      </c>
      <c r="FG709" s="27" t="s">
        <v>8</v>
      </c>
      <c r="FH709" s="27" t="s">
        <v>7</v>
      </c>
      <c r="FI709" s="27" t="s">
        <v>8</v>
      </c>
      <c r="FJ709" s="27" t="s">
        <v>7</v>
      </c>
      <c r="FM709" s="27" t="s">
        <v>8</v>
      </c>
      <c r="FN709" s="27" t="s">
        <v>7</v>
      </c>
      <c r="FO709" s="27" t="s">
        <v>8</v>
      </c>
      <c r="FP709" s="27" t="s">
        <v>7</v>
      </c>
      <c r="FW709" s="27" t="s">
        <v>8</v>
      </c>
      <c r="FY709" s="27" t="s">
        <v>8</v>
      </c>
      <c r="MX709" s="27" t="s">
        <v>7</v>
      </c>
      <c r="MY709" s="27" t="s">
        <v>8</v>
      </c>
      <c r="MZ709" s="27" t="s">
        <v>7</v>
      </c>
      <c r="NA709" s="27" t="s">
        <v>8</v>
      </c>
      <c r="NB709" s="27" t="s">
        <v>7</v>
      </c>
    </row>
    <row r="710" spans="1:366" x14ac:dyDescent="0.25">
      <c r="A710" s="7">
        <v>8.7534422985812155E-2</v>
      </c>
      <c r="B710"/>
      <c r="C710"/>
      <c r="D710"/>
      <c r="E710"/>
      <c r="P710" s="27" t="s">
        <v>7</v>
      </c>
      <c r="AM710" s="27" t="s">
        <v>8</v>
      </c>
      <c r="AN710" s="27" t="s">
        <v>7</v>
      </c>
      <c r="AO710" s="27" t="s">
        <v>8</v>
      </c>
      <c r="AP710" s="27" t="s">
        <v>7</v>
      </c>
      <c r="AQ710" s="27" t="s">
        <v>8</v>
      </c>
      <c r="AR710" s="27" t="s">
        <v>7</v>
      </c>
      <c r="AS710" s="27" t="s">
        <v>8</v>
      </c>
      <c r="AT710" s="27" t="s">
        <v>7</v>
      </c>
      <c r="AU710" s="27" t="s">
        <v>8</v>
      </c>
      <c r="AV710" s="27" t="s">
        <v>7</v>
      </c>
      <c r="BA710" s="27" t="s">
        <v>8</v>
      </c>
      <c r="DB710" s="27" t="s">
        <v>7</v>
      </c>
      <c r="DD710" s="27" t="s">
        <v>7</v>
      </c>
      <c r="DJ710" s="27" t="s">
        <v>7</v>
      </c>
      <c r="DM710" s="27" t="s">
        <v>8</v>
      </c>
      <c r="DN710" s="27" t="s">
        <v>7</v>
      </c>
      <c r="DQ710" s="27" t="s">
        <v>8</v>
      </c>
      <c r="DR710" s="27" t="s">
        <v>7</v>
      </c>
      <c r="EI710" s="27" t="s">
        <v>8</v>
      </c>
      <c r="EJ710" s="27" t="s">
        <v>7</v>
      </c>
      <c r="ES710" s="27" t="s">
        <v>8</v>
      </c>
      <c r="ET710" s="27" t="s">
        <v>7</v>
      </c>
      <c r="EU710" s="27" t="s">
        <v>8</v>
      </c>
      <c r="EV710" s="27" t="s">
        <v>7</v>
      </c>
      <c r="FG710" s="27" t="s">
        <v>8</v>
      </c>
      <c r="FH710" s="27" t="s">
        <v>7</v>
      </c>
      <c r="FI710" s="27" t="s">
        <v>8</v>
      </c>
      <c r="FJ710" s="27" t="s">
        <v>7</v>
      </c>
      <c r="FM710" s="27" t="s">
        <v>8</v>
      </c>
      <c r="FN710" s="27" t="s">
        <v>7</v>
      </c>
      <c r="FO710" s="27" t="s">
        <v>8</v>
      </c>
      <c r="FP710" s="27" t="s">
        <v>7</v>
      </c>
      <c r="FW710" s="27" t="s">
        <v>8</v>
      </c>
      <c r="FX710" s="27" t="s">
        <v>7</v>
      </c>
      <c r="FY710" s="27" t="s">
        <v>8</v>
      </c>
      <c r="MX710" s="27" t="s">
        <v>7</v>
      </c>
      <c r="MY710" s="27" t="s">
        <v>8</v>
      </c>
      <c r="MZ710" s="27" t="s">
        <v>7</v>
      </c>
      <c r="NA710" s="27" t="s">
        <v>8</v>
      </c>
      <c r="NB710" s="27" t="s">
        <v>7</v>
      </c>
    </row>
    <row r="711" spans="1:366" x14ac:dyDescent="0.25">
      <c r="A711" s="7">
        <v>8.5818061750796232E-2</v>
      </c>
      <c r="B711"/>
      <c r="C711"/>
      <c r="D711"/>
      <c r="E711"/>
      <c r="P711" s="27" t="s">
        <v>7</v>
      </c>
      <c r="AM711" s="27" t="s">
        <v>8</v>
      </c>
      <c r="AN711" s="27" t="s">
        <v>7</v>
      </c>
      <c r="AO711" s="27" t="s">
        <v>8</v>
      </c>
      <c r="AP711" s="27" t="s">
        <v>7</v>
      </c>
      <c r="AQ711" s="27" t="s">
        <v>8</v>
      </c>
      <c r="AR711" s="27" t="s">
        <v>7</v>
      </c>
      <c r="AS711" s="27" t="s">
        <v>8</v>
      </c>
      <c r="AT711" s="27" t="s">
        <v>7</v>
      </c>
      <c r="AV711" s="27" t="s">
        <v>7</v>
      </c>
      <c r="AW711" s="27" t="s">
        <v>8</v>
      </c>
      <c r="AY711" s="27" t="s">
        <v>8</v>
      </c>
      <c r="BA711" s="27" t="s">
        <v>8</v>
      </c>
      <c r="DJ711" s="27" t="s">
        <v>7</v>
      </c>
      <c r="DM711" s="27" t="s">
        <v>8</v>
      </c>
      <c r="DN711" s="27" t="s">
        <v>7</v>
      </c>
      <c r="DQ711" s="27" t="s">
        <v>8</v>
      </c>
      <c r="DR711" s="27" t="s">
        <v>7</v>
      </c>
      <c r="EI711" s="27" t="s">
        <v>8</v>
      </c>
      <c r="EJ711" s="27" t="s">
        <v>7</v>
      </c>
      <c r="EO711" s="27" t="s">
        <v>8</v>
      </c>
      <c r="ES711" s="27" t="s">
        <v>8</v>
      </c>
      <c r="ET711" s="27" t="s">
        <v>7</v>
      </c>
      <c r="EU711" s="27" t="s">
        <v>8</v>
      </c>
      <c r="EV711" s="27" t="s">
        <v>7</v>
      </c>
      <c r="EW711" s="27" t="s">
        <v>8</v>
      </c>
      <c r="FG711" s="27" t="s">
        <v>8</v>
      </c>
      <c r="FH711" s="27" t="s">
        <v>7</v>
      </c>
      <c r="FI711" s="27" t="s">
        <v>8</v>
      </c>
      <c r="FJ711" s="27" t="s">
        <v>7</v>
      </c>
      <c r="FM711" s="27" t="s">
        <v>8</v>
      </c>
      <c r="FN711" s="27" t="s">
        <v>7</v>
      </c>
      <c r="FO711" s="27" t="s">
        <v>8</v>
      </c>
      <c r="FP711" s="27" t="s">
        <v>7</v>
      </c>
      <c r="FW711" s="27" t="s">
        <v>8</v>
      </c>
      <c r="FX711" s="27" t="s">
        <v>7</v>
      </c>
      <c r="FY711" s="27" t="s">
        <v>8</v>
      </c>
      <c r="MX711" s="27" t="s">
        <v>7</v>
      </c>
      <c r="MY711" s="27" t="s">
        <v>8</v>
      </c>
      <c r="MZ711" s="27" t="s">
        <v>7</v>
      </c>
      <c r="NA711" s="27" t="s">
        <v>8</v>
      </c>
      <c r="NB711" s="27" t="s">
        <v>7</v>
      </c>
    </row>
    <row r="712" spans="1:366" x14ac:dyDescent="0.25">
      <c r="A712" s="7">
        <v>8.4135354657643366E-2</v>
      </c>
      <c r="B712"/>
      <c r="C712"/>
      <c r="D712"/>
      <c r="E712"/>
      <c r="P712" s="27" t="s">
        <v>7</v>
      </c>
      <c r="AM712" s="27" t="s">
        <v>8</v>
      </c>
      <c r="AN712" s="27" t="s">
        <v>7</v>
      </c>
      <c r="AO712" s="27" t="s">
        <v>8</v>
      </c>
      <c r="AP712" s="27" t="s">
        <v>7</v>
      </c>
      <c r="AQ712" s="27" t="s">
        <v>8</v>
      </c>
      <c r="AR712" s="27" t="s">
        <v>7</v>
      </c>
      <c r="AS712" s="27" t="s">
        <v>8</v>
      </c>
      <c r="AV712" s="27" t="s">
        <v>7</v>
      </c>
      <c r="AW712" s="27" t="s">
        <v>8</v>
      </c>
      <c r="AX712" s="27" t="s">
        <v>7</v>
      </c>
      <c r="AY712" s="27" t="s">
        <v>8</v>
      </c>
      <c r="AZ712" s="27" t="s">
        <v>7</v>
      </c>
      <c r="BA712" s="27" t="s">
        <v>8</v>
      </c>
      <c r="DJ712" s="27" t="s">
        <v>7</v>
      </c>
      <c r="DK712" s="27" t="s">
        <v>8</v>
      </c>
      <c r="DM712" s="27" t="s">
        <v>8</v>
      </c>
      <c r="DN712" s="27" t="s">
        <v>7</v>
      </c>
      <c r="DQ712" s="27" t="s">
        <v>8</v>
      </c>
      <c r="DR712" s="27" t="s">
        <v>7</v>
      </c>
      <c r="EI712" s="27" t="s">
        <v>8</v>
      </c>
      <c r="EJ712" s="27" t="s">
        <v>7</v>
      </c>
      <c r="EO712" s="27" t="s">
        <v>8</v>
      </c>
      <c r="EP712" s="27" t="s">
        <v>7</v>
      </c>
      <c r="ES712" s="27" t="s">
        <v>8</v>
      </c>
      <c r="ET712" s="27" t="s">
        <v>7</v>
      </c>
      <c r="EU712" s="27" t="s">
        <v>8</v>
      </c>
      <c r="EV712" s="27" t="s">
        <v>7</v>
      </c>
      <c r="EW712" s="27" t="s">
        <v>8</v>
      </c>
      <c r="EX712" s="27" t="s">
        <v>7</v>
      </c>
      <c r="FG712" s="27" t="s">
        <v>8</v>
      </c>
      <c r="FH712" s="27" t="s">
        <v>7</v>
      </c>
      <c r="FI712" s="27" t="s">
        <v>8</v>
      </c>
      <c r="FJ712" s="27" t="s">
        <v>7</v>
      </c>
      <c r="FM712" s="27" t="s">
        <v>8</v>
      </c>
      <c r="FN712" s="27" t="s">
        <v>7</v>
      </c>
      <c r="FP712" s="27" t="s">
        <v>7</v>
      </c>
      <c r="FW712" s="27" t="s">
        <v>8</v>
      </c>
      <c r="FX712" s="27" t="s">
        <v>7</v>
      </c>
      <c r="FY712" s="27" t="s">
        <v>8</v>
      </c>
      <c r="MX712" s="27" t="s">
        <v>7</v>
      </c>
      <c r="MY712" s="27" t="s">
        <v>8</v>
      </c>
      <c r="MZ712" s="27" t="s">
        <v>7</v>
      </c>
      <c r="NA712" s="27" t="s">
        <v>8</v>
      </c>
    </row>
    <row r="713" spans="1:366" x14ac:dyDescent="0.25">
      <c r="A713" s="7">
        <v>8.248564182121898E-2</v>
      </c>
      <c r="B713"/>
      <c r="C713"/>
      <c r="D713"/>
      <c r="E713"/>
      <c r="P713" s="27" t="s">
        <v>7</v>
      </c>
      <c r="AM713" s="27" t="s">
        <v>8</v>
      </c>
      <c r="AN713" s="27" t="s">
        <v>7</v>
      </c>
      <c r="AO713" s="27" t="s">
        <v>8</v>
      </c>
      <c r="AP713" s="27" t="s">
        <v>7</v>
      </c>
      <c r="AQ713" s="27" t="s">
        <v>8</v>
      </c>
      <c r="AR713" s="27" t="s">
        <v>7</v>
      </c>
      <c r="AV713" s="27" t="s">
        <v>7</v>
      </c>
      <c r="AW713" s="27" t="s">
        <v>8</v>
      </c>
      <c r="AX713" s="27" t="s">
        <v>7</v>
      </c>
      <c r="AY713" s="27" t="s">
        <v>8</v>
      </c>
      <c r="AZ713" s="27" t="s">
        <v>7</v>
      </c>
      <c r="BA713" s="27" t="s">
        <v>8</v>
      </c>
      <c r="DJ713" s="27" t="s">
        <v>7</v>
      </c>
      <c r="DK713" s="27" t="s">
        <v>8</v>
      </c>
      <c r="DL713" s="27" t="s">
        <v>7</v>
      </c>
      <c r="DM713" s="27" t="s">
        <v>8</v>
      </c>
      <c r="DN713" s="27" t="s">
        <v>7</v>
      </c>
      <c r="DO713" s="27" t="s">
        <v>8</v>
      </c>
      <c r="DQ713" s="27" t="s">
        <v>8</v>
      </c>
      <c r="DR713" s="27" t="s">
        <v>7</v>
      </c>
      <c r="EA713" s="27" t="s">
        <v>8</v>
      </c>
      <c r="EI713" s="27" t="s">
        <v>8</v>
      </c>
      <c r="EJ713" s="27" t="s">
        <v>7</v>
      </c>
      <c r="EM713" s="27" t="s">
        <v>8</v>
      </c>
      <c r="EO713" s="27" t="s">
        <v>8</v>
      </c>
      <c r="EP713" s="27" t="s">
        <v>7</v>
      </c>
      <c r="ES713" s="27" t="s">
        <v>8</v>
      </c>
      <c r="ET713" s="27" t="s">
        <v>7</v>
      </c>
      <c r="EU713" s="27" t="s">
        <v>8</v>
      </c>
      <c r="EV713" s="27" t="s">
        <v>7</v>
      </c>
      <c r="EW713" s="27" t="s">
        <v>8</v>
      </c>
      <c r="EX713" s="27" t="s">
        <v>7</v>
      </c>
      <c r="FG713" s="27" t="s">
        <v>8</v>
      </c>
      <c r="FH713" s="27" t="s">
        <v>7</v>
      </c>
      <c r="FI713" s="27" t="s">
        <v>8</v>
      </c>
      <c r="FJ713" s="27" t="s">
        <v>7</v>
      </c>
      <c r="FM713" s="27" t="s">
        <v>8</v>
      </c>
      <c r="FP713" s="27" t="s">
        <v>7</v>
      </c>
      <c r="FW713" s="27" t="s">
        <v>8</v>
      </c>
      <c r="FX713" s="27" t="s">
        <v>7</v>
      </c>
      <c r="FY713" s="27" t="s">
        <v>8</v>
      </c>
      <c r="MX713" s="27" t="s">
        <v>7</v>
      </c>
      <c r="MZ713" s="27" t="s">
        <v>7</v>
      </c>
      <c r="NA713" s="27" t="s">
        <v>8</v>
      </c>
    </row>
    <row r="714" spans="1:366" x14ac:dyDescent="0.25">
      <c r="A714" s="7">
        <v>8.0868276295312735E-2</v>
      </c>
      <c r="B714"/>
      <c r="C714"/>
      <c r="D714"/>
      <c r="E714"/>
      <c r="P714" s="27" t="s">
        <v>7</v>
      </c>
      <c r="AM714" s="27" t="s">
        <v>8</v>
      </c>
      <c r="AN714" s="27" t="s">
        <v>7</v>
      </c>
      <c r="AO714" s="27" t="s">
        <v>8</v>
      </c>
      <c r="AP714" s="27" t="s">
        <v>7</v>
      </c>
      <c r="AQ714" s="27" t="s">
        <v>8</v>
      </c>
      <c r="AV714" s="27" t="s">
        <v>7</v>
      </c>
      <c r="AW714" s="27" t="s">
        <v>8</v>
      </c>
      <c r="AX714" s="27" t="s">
        <v>7</v>
      </c>
      <c r="AZ714" s="27" t="s">
        <v>7</v>
      </c>
      <c r="DJ714" s="27" t="s">
        <v>7</v>
      </c>
      <c r="DK714" s="27" t="s">
        <v>8</v>
      </c>
      <c r="DL714" s="27" t="s">
        <v>7</v>
      </c>
      <c r="DM714" s="27" t="s">
        <v>8</v>
      </c>
      <c r="DN714" s="27" t="s">
        <v>7</v>
      </c>
      <c r="DO714" s="27" t="s">
        <v>8</v>
      </c>
      <c r="DP714" s="27" t="s">
        <v>7</v>
      </c>
      <c r="DQ714" s="27" t="s">
        <v>8</v>
      </c>
      <c r="DR714" s="27" t="s">
        <v>7</v>
      </c>
      <c r="EA714" s="27" t="s">
        <v>8</v>
      </c>
      <c r="EB714" s="27" t="s">
        <v>7</v>
      </c>
      <c r="EI714" s="27" t="s">
        <v>8</v>
      </c>
      <c r="EJ714" s="27" t="s">
        <v>7</v>
      </c>
      <c r="EM714" s="27" t="s">
        <v>8</v>
      </c>
      <c r="EN714" s="27" t="s">
        <v>7</v>
      </c>
      <c r="EO714" s="27" t="s">
        <v>8</v>
      </c>
      <c r="EP714" s="27" t="s">
        <v>7</v>
      </c>
      <c r="EQ714" s="27" t="s">
        <v>8</v>
      </c>
      <c r="ES714" s="27" t="s">
        <v>8</v>
      </c>
      <c r="ET714" s="27" t="s">
        <v>7</v>
      </c>
      <c r="EU714" s="27" t="s">
        <v>8</v>
      </c>
      <c r="EV714" s="27" t="s">
        <v>7</v>
      </c>
      <c r="EW714" s="27" t="s">
        <v>8</v>
      </c>
      <c r="EX714" s="27" t="s">
        <v>7</v>
      </c>
      <c r="FG714" s="27" t="s">
        <v>8</v>
      </c>
      <c r="FH714" s="27" t="s">
        <v>7</v>
      </c>
      <c r="FI714" s="27" t="s">
        <v>8</v>
      </c>
      <c r="FJ714" s="27" t="s">
        <v>7</v>
      </c>
      <c r="FK714" s="27" t="s">
        <v>8</v>
      </c>
      <c r="FM714" s="27" t="s">
        <v>8</v>
      </c>
      <c r="FP714" s="27" t="s">
        <v>7</v>
      </c>
      <c r="FQ714" s="27" t="s">
        <v>8</v>
      </c>
      <c r="FW714" s="27" t="s">
        <v>8</v>
      </c>
      <c r="FX714" s="27" t="s">
        <v>7</v>
      </c>
      <c r="FY714" s="27" t="s">
        <v>8</v>
      </c>
      <c r="MZ714" s="27" t="s">
        <v>7</v>
      </c>
      <c r="NA714" s="27" t="s">
        <v>8</v>
      </c>
    </row>
    <row r="715" spans="1:366" x14ac:dyDescent="0.25">
      <c r="A715" s="7">
        <v>7.9282623818934056E-2</v>
      </c>
      <c r="B715"/>
      <c r="C715"/>
      <c r="D715"/>
      <c r="E715"/>
      <c r="P715" s="27" t="s">
        <v>7</v>
      </c>
      <c r="AG715" s="27" t="s">
        <v>8</v>
      </c>
      <c r="AM715" s="27" t="s">
        <v>8</v>
      </c>
      <c r="AN715" s="27" t="s">
        <v>7</v>
      </c>
      <c r="AO715" s="27" t="s">
        <v>8</v>
      </c>
      <c r="AP715" s="27" t="s">
        <v>7</v>
      </c>
      <c r="AV715" s="27" t="s">
        <v>7</v>
      </c>
      <c r="AW715" s="27" t="s">
        <v>8</v>
      </c>
      <c r="DJ715" s="27" t="s">
        <v>7</v>
      </c>
      <c r="DK715" s="27" t="s">
        <v>8</v>
      </c>
      <c r="DL715" s="27" t="s">
        <v>7</v>
      </c>
      <c r="DM715" s="27" t="s">
        <v>8</v>
      </c>
      <c r="DN715" s="27" t="s">
        <v>7</v>
      </c>
      <c r="DO715" s="27" t="s">
        <v>8</v>
      </c>
      <c r="DP715" s="27" t="s">
        <v>7</v>
      </c>
      <c r="DQ715" s="27" t="s">
        <v>8</v>
      </c>
      <c r="DR715" s="27" t="s">
        <v>7</v>
      </c>
      <c r="EA715" s="27" t="s">
        <v>8</v>
      </c>
      <c r="EB715" s="27" t="s">
        <v>7</v>
      </c>
      <c r="EI715" s="27" t="s">
        <v>8</v>
      </c>
      <c r="EJ715" s="27" t="s">
        <v>7</v>
      </c>
      <c r="EM715" s="27" t="s">
        <v>8</v>
      </c>
      <c r="EN715" s="27" t="s">
        <v>7</v>
      </c>
      <c r="EO715" s="27" t="s">
        <v>8</v>
      </c>
      <c r="EP715" s="27" t="s">
        <v>7</v>
      </c>
      <c r="EQ715" s="27" t="s">
        <v>8</v>
      </c>
      <c r="ER715" s="27" t="s">
        <v>7</v>
      </c>
      <c r="ES715" s="27" t="s">
        <v>8</v>
      </c>
      <c r="ET715" s="27" t="s">
        <v>7</v>
      </c>
      <c r="EV715" s="27" t="s">
        <v>7</v>
      </c>
      <c r="EW715" s="27" t="s">
        <v>8</v>
      </c>
      <c r="EX715" s="27" t="s">
        <v>7</v>
      </c>
      <c r="FG715" s="27" t="s">
        <v>8</v>
      </c>
      <c r="FH715" s="27" t="s">
        <v>7</v>
      </c>
      <c r="FI715" s="27" t="s">
        <v>8</v>
      </c>
      <c r="FJ715" s="27" t="s">
        <v>7</v>
      </c>
      <c r="FK715" s="27" t="s">
        <v>8</v>
      </c>
      <c r="FL715" s="27" t="s">
        <v>7</v>
      </c>
      <c r="FM715" s="27" t="s">
        <v>8</v>
      </c>
      <c r="FP715" s="27" t="s">
        <v>7</v>
      </c>
      <c r="FQ715" s="27" t="s">
        <v>8</v>
      </c>
      <c r="FR715" s="27" t="s">
        <v>7</v>
      </c>
      <c r="FW715" s="27" t="s">
        <v>8</v>
      </c>
      <c r="FX715" s="27" t="s">
        <v>7</v>
      </c>
      <c r="FY715" s="27" t="s">
        <v>8</v>
      </c>
      <c r="MZ715" s="27" t="s">
        <v>7</v>
      </c>
      <c r="NA715" s="27" t="s">
        <v>8</v>
      </c>
    </row>
    <row r="716" spans="1:366" x14ac:dyDescent="0.25">
      <c r="A716" s="7">
        <v>7.7728062567582412E-2</v>
      </c>
      <c r="B716"/>
      <c r="C716"/>
      <c r="D716"/>
      <c r="E716"/>
      <c r="P716" s="27" t="s">
        <v>7</v>
      </c>
      <c r="AG716" s="27" t="s">
        <v>8</v>
      </c>
      <c r="AH716" s="27" t="s">
        <v>7</v>
      </c>
      <c r="AM716" s="27" t="s">
        <v>8</v>
      </c>
      <c r="AN716" s="27" t="s">
        <v>7</v>
      </c>
      <c r="AV716" s="27" t="s">
        <v>7</v>
      </c>
      <c r="AW716" s="27" t="s">
        <v>8</v>
      </c>
      <c r="DJ716" s="27" t="s">
        <v>7</v>
      </c>
      <c r="DL716" s="27" t="s">
        <v>7</v>
      </c>
      <c r="DM716" s="27" t="s">
        <v>8</v>
      </c>
      <c r="DN716" s="27" t="s">
        <v>7</v>
      </c>
      <c r="DO716" s="27" t="s">
        <v>8</v>
      </c>
      <c r="DP716" s="27" t="s">
        <v>7</v>
      </c>
      <c r="DR716" s="27" t="s">
        <v>7</v>
      </c>
      <c r="DS716" s="27" t="s">
        <v>8</v>
      </c>
      <c r="EA716" s="27" t="s">
        <v>8</v>
      </c>
      <c r="EB716" s="27" t="s">
        <v>7</v>
      </c>
      <c r="EI716" s="27" t="s">
        <v>8</v>
      </c>
      <c r="EJ716" s="27" t="s">
        <v>7</v>
      </c>
      <c r="EM716" s="27" t="s">
        <v>8</v>
      </c>
      <c r="EN716" s="27" t="s">
        <v>7</v>
      </c>
      <c r="EO716" s="27" t="s">
        <v>8</v>
      </c>
      <c r="EP716" s="27" t="s">
        <v>7</v>
      </c>
      <c r="EQ716" s="27" t="s">
        <v>8</v>
      </c>
      <c r="ER716" s="27" t="s">
        <v>7</v>
      </c>
      <c r="ES716" s="27" t="s">
        <v>8</v>
      </c>
      <c r="EV716" s="27" t="s">
        <v>7</v>
      </c>
      <c r="EX716" s="27" t="s">
        <v>7</v>
      </c>
      <c r="FG716" s="27" t="s">
        <v>8</v>
      </c>
      <c r="FH716" s="27" t="s">
        <v>7</v>
      </c>
      <c r="FI716" s="27" t="s">
        <v>8</v>
      </c>
      <c r="FJ716" s="27" t="s">
        <v>7</v>
      </c>
      <c r="FK716" s="27" t="s">
        <v>8</v>
      </c>
      <c r="FL716" s="27" t="s">
        <v>7</v>
      </c>
      <c r="FM716" s="27" t="s">
        <v>8</v>
      </c>
      <c r="FP716" s="27" t="s">
        <v>7</v>
      </c>
      <c r="FQ716" s="27" t="s">
        <v>8</v>
      </c>
      <c r="FR716" s="27" t="s">
        <v>7</v>
      </c>
      <c r="FW716" s="27" t="s">
        <v>8</v>
      </c>
      <c r="FX716" s="27" t="s">
        <v>7</v>
      </c>
      <c r="MZ716" s="27" t="s">
        <v>7</v>
      </c>
      <c r="NA716" s="27" t="s">
        <v>8</v>
      </c>
    </row>
    <row r="717" spans="1:366" x14ac:dyDescent="0.25">
      <c r="A717" s="7">
        <v>7.6203982909394521E-2</v>
      </c>
      <c r="B717"/>
      <c r="C717"/>
      <c r="D717"/>
      <c r="E717"/>
      <c r="P717" s="27" t="s">
        <v>7</v>
      </c>
      <c r="AG717" s="27" t="s">
        <v>8</v>
      </c>
      <c r="AH717" s="27" t="s">
        <v>7</v>
      </c>
      <c r="AM717" s="27" t="s">
        <v>8</v>
      </c>
      <c r="AV717" s="27" t="s">
        <v>7</v>
      </c>
      <c r="AW717" s="27" t="s">
        <v>8</v>
      </c>
      <c r="DL717" s="27" t="s">
        <v>7</v>
      </c>
      <c r="DM717" s="27" t="s">
        <v>8</v>
      </c>
      <c r="DN717" s="27" t="s">
        <v>7</v>
      </c>
      <c r="DO717" s="27" t="s">
        <v>8</v>
      </c>
      <c r="DR717" s="27" t="s">
        <v>7</v>
      </c>
      <c r="DS717" s="27" t="s">
        <v>8</v>
      </c>
      <c r="DT717" s="27" t="s">
        <v>7</v>
      </c>
      <c r="EA717" s="27" t="s">
        <v>8</v>
      </c>
      <c r="EB717" s="27" t="s">
        <v>7</v>
      </c>
      <c r="EI717" s="27" t="s">
        <v>8</v>
      </c>
      <c r="EJ717" s="27" t="s">
        <v>7</v>
      </c>
      <c r="EK717" s="27" t="s">
        <v>8</v>
      </c>
      <c r="EM717" s="27" t="s">
        <v>8</v>
      </c>
      <c r="EN717" s="27" t="s">
        <v>7</v>
      </c>
      <c r="EO717" s="27" t="s">
        <v>8</v>
      </c>
      <c r="EP717" s="27" t="s">
        <v>7</v>
      </c>
      <c r="EQ717" s="27" t="s">
        <v>8</v>
      </c>
      <c r="ER717" s="27" t="s">
        <v>7</v>
      </c>
      <c r="ES717" s="27" t="s">
        <v>8</v>
      </c>
      <c r="EX717" s="27" t="s">
        <v>7</v>
      </c>
      <c r="FG717" s="27" t="s">
        <v>8</v>
      </c>
      <c r="FH717" s="27" t="s">
        <v>7</v>
      </c>
      <c r="FI717" s="27" t="s">
        <v>8</v>
      </c>
      <c r="FJ717" s="27" t="s">
        <v>7</v>
      </c>
      <c r="FK717" s="27" t="s">
        <v>8</v>
      </c>
      <c r="FL717" s="27" t="s">
        <v>7</v>
      </c>
      <c r="FM717" s="27" t="s">
        <v>8</v>
      </c>
      <c r="FP717" s="27" t="s">
        <v>7</v>
      </c>
      <c r="FR717" s="27" t="s">
        <v>7</v>
      </c>
      <c r="FW717" s="27" t="s">
        <v>8</v>
      </c>
      <c r="MZ717" s="27" t="s">
        <v>7</v>
      </c>
    </row>
    <row r="718" spans="1:366" x14ac:dyDescent="0.25">
      <c r="A718" s="7">
        <v>7.4709787166073058E-2</v>
      </c>
      <c r="B718"/>
      <c r="C718"/>
      <c r="D718"/>
      <c r="E718"/>
      <c r="P718" s="27" t="s">
        <v>7</v>
      </c>
      <c r="AG718" s="27" t="s">
        <v>8</v>
      </c>
      <c r="AH718" s="27" t="s">
        <v>7</v>
      </c>
      <c r="AM718" s="27" t="s">
        <v>8</v>
      </c>
      <c r="AV718" s="27" t="s">
        <v>7</v>
      </c>
      <c r="AW718" s="27" t="s">
        <v>8</v>
      </c>
      <c r="DL718" s="27" t="s">
        <v>7</v>
      </c>
      <c r="DN718" s="27" t="s">
        <v>7</v>
      </c>
      <c r="DO718" s="27" t="s">
        <v>8</v>
      </c>
      <c r="DR718" s="27" t="s">
        <v>7</v>
      </c>
      <c r="DS718" s="27" t="s">
        <v>8</v>
      </c>
      <c r="DT718" s="27" t="s">
        <v>7</v>
      </c>
      <c r="EA718" s="27" t="s">
        <v>8</v>
      </c>
      <c r="EB718" s="27" t="s">
        <v>7</v>
      </c>
      <c r="EE718" s="27" t="s">
        <v>8</v>
      </c>
      <c r="EI718" s="27" t="s">
        <v>8</v>
      </c>
      <c r="EJ718" s="27" t="s">
        <v>7</v>
      </c>
      <c r="EK718" s="27" t="s">
        <v>8</v>
      </c>
      <c r="EL718" s="27" t="s">
        <v>7</v>
      </c>
      <c r="EM718" s="27" t="s">
        <v>8</v>
      </c>
      <c r="EN718" s="27" t="s">
        <v>7</v>
      </c>
      <c r="EO718" s="27" t="s">
        <v>8</v>
      </c>
      <c r="EP718" s="27" t="s">
        <v>7</v>
      </c>
      <c r="ER718" s="27" t="s">
        <v>7</v>
      </c>
      <c r="ES718" s="27" t="s">
        <v>8</v>
      </c>
      <c r="EX718" s="27" t="s">
        <v>7</v>
      </c>
      <c r="FE718" s="27" t="s">
        <v>8</v>
      </c>
      <c r="FG718" s="27" t="s">
        <v>8</v>
      </c>
      <c r="FH718" s="27" t="s">
        <v>7</v>
      </c>
      <c r="FI718" s="27" t="s">
        <v>8</v>
      </c>
      <c r="FJ718" s="27" t="s">
        <v>7</v>
      </c>
      <c r="FK718" s="27" t="s">
        <v>8</v>
      </c>
      <c r="FL718" s="27" t="s">
        <v>7</v>
      </c>
      <c r="FM718" s="27" t="s">
        <v>8</v>
      </c>
      <c r="FR718" s="27" t="s">
        <v>7</v>
      </c>
      <c r="FS718" s="27" t="s">
        <v>8</v>
      </c>
      <c r="FU718" s="27" t="s">
        <v>8</v>
      </c>
      <c r="FW718" s="27" t="s">
        <v>8</v>
      </c>
    </row>
    <row r="719" spans="1:366" x14ac:dyDescent="0.25">
      <c r="A719" s="7">
        <v>7.3244889378503E-2</v>
      </c>
      <c r="B719"/>
      <c r="C719"/>
      <c r="D719"/>
      <c r="E719"/>
      <c r="P719" s="27" t="s">
        <v>7</v>
      </c>
      <c r="AG719" s="27" t="s">
        <v>8</v>
      </c>
      <c r="AH719" s="27" t="s">
        <v>7</v>
      </c>
      <c r="AM719" s="27" t="s">
        <v>8</v>
      </c>
      <c r="AV719" s="27" t="s">
        <v>7</v>
      </c>
      <c r="AW719" s="27" t="s">
        <v>8</v>
      </c>
      <c r="DN719" s="27" t="s">
        <v>7</v>
      </c>
      <c r="DO719" s="27" t="s">
        <v>8</v>
      </c>
      <c r="DR719" s="27" t="s">
        <v>7</v>
      </c>
      <c r="DS719" s="27" t="s">
        <v>8</v>
      </c>
      <c r="DT719" s="27" t="s">
        <v>7</v>
      </c>
      <c r="DY719" s="27" t="s">
        <v>8</v>
      </c>
      <c r="EA719" s="27" t="s">
        <v>8</v>
      </c>
      <c r="EB719" s="27" t="s">
        <v>7</v>
      </c>
      <c r="EC719" s="27" t="s">
        <v>8</v>
      </c>
      <c r="EE719" s="27" t="s">
        <v>8</v>
      </c>
      <c r="EF719" s="27" t="s">
        <v>7</v>
      </c>
      <c r="EG719" s="27" t="s">
        <v>8</v>
      </c>
      <c r="EI719" s="27" t="s">
        <v>8</v>
      </c>
      <c r="EJ719" s="27" t="s">
        <v>7</v>
      </c>
      <c r="EK719" s="27" t="s">
        <v>8</v>
      </c>
      <c r="EL719" s="27" t="s">
        <v>7</v>
      </c>
      <c r="EM719" s="27" t="s">
        <v>8</v>
      </c>
      <c r="EN719" s="27" t="s">
        <v>7</v>
      </c>
      <c r="ER719" s="27" t="s">
        <v>7</v>
      </c>
      <c r="ES719" s="27" t="s">
        <v>8</v>
      </c>
      <c r="EX719" s="27" t="s">
        <v>7</v>
      </c>
      <c r="FE719" s="27" t="s">
        <v>8</v>
      </c>
      <c r="FF719" s="27" t="s">
        <v>7</v>
      </c>
      <c r="FG719" s="27" t="s">
        <v>8</v>
      </c>
      <c r="FH719" s="27" t="s">
        <v>7</v>
      </c>
      <c r="FJ719" s="27" t="s">
        <v>7</v>
      </c>
      <c r="FK719" s="27" t="s">
        <v>8</v>
      </c>
      <c r="FL719" s="27" t="s">
        <v>7</v>
      </c>
      <c r="FM719" s="27" t="s">
        <v>8</v>
      </c>
      <c r="FR719" s="27" t="s">
        <v>7</v>
      </c>
      <c r="FS719" s="27" t="s">
        <v>8</v>
      </c>
      <c r="FT719" s="27" t="s">
        <v>7</v>
      </c>
      <c r="FU719" s="27" t="s">
        <v>8</v>
      </c>
      <c r="FV719" s="27" t="s">
        <v>7</v>
      </c>
      <c r="FW719" s="27" t="s">
        <v>8</v>
      </c>
    </row>
    <row r="720" spans="1:366" x14ac:dyDescent="0.25">
      <c r="A720" s="7">
        <v>7.1808715076963722E-2</v>
      </c>
      <c r="B720"/>
      <c r="C720"/>
      <c r="D720"/>
      <c r="E720"/>
      <c r="P720" s="27" t="s">
        <v>7</v>
      </c>
      <c r="AG720" s="27" t="s">
        <v>8</v>
      </c>
      <c r="AH720" s="27" t="s">
        <v>7</v>
      </c>
      <c r="AM720" s="27" t="s">
        <v>8</v>
      </c>
      <c r="AV720" s="27" t="s">
        <v>7</v>
      </c>
      <c r="DN720" s="27" t="s">
        <v>7</v>
      </c>
      <c r="DO720" s="27" t="s">
        <v>8</v>
      </c>
      <c r="DR720" s="27" t="s">
        <v>7</v>
      </c>
      <c r="DT720" s="27" t="s">
        <v>7</v>
      </c>
      <c r="DY720" s="27" t="s">
        <v>8</v>
      </c>
      <c r="DZ720" s="27" t="s">
        <v>7</v>
      </c>
      <c r="EA720" s="27" t="s">
        <v>8</v>
      </c>
      <c r="EB720" s="27" t="s">
        <v>7</v>
      </c>
      <c r="EC720" s="27" t="s">
        <v>8</v>
      </c>
      <c r="ED720" s="27" t="s">
        <v>7</v>
      </c>
      <c r="EE720" s="27" t="s">
        <v>8</v>
      </c>
      <c r="EF720" s="27" t="s">
        <v>7</v>
      </c>
      <c r="EG720" s="27" t="s">
        <v>8</v>
      </c>
      <c r="EH720" s="27" t="s">
        <v>7</v>
      </c>
      <c r="EI720" s="27" t="s">
        <v>8</v>
      </c>
      <c r="EJ720" s="27" t="s">
        <v>7</v>
      </c>
      <c r="EK720" s="27" t="s">
        <v>8</v>
      </c>
      <c r="EL720" s="27" t="s">
        <v>7</v>
      </c>
      <c r="EM720" s="27" t="s">
        <v>8</v>
      </c>
      <c r="ER720" s="27" t="s">
        <v>7</v>
      </c>
      <c r="EX720" s="27" t="s">
        <v>7</v>
      </c>
      <c r="FE720" s="27" t="s">
        <v>8</v>
      </c>
      <c r="FF720" s="27" t="s">
        <v>7</v>
      </c>
      <c r="FG720" s="27" t="s">
        <v>8</v>
      </c>
      <c r="FJ720" s="27" t="s">
        <v>7</v>
      </c>
      <c r="FK720" s="27" t="s">
        <v>8</v>
      </c>
      <c r="FL720" s="27" t="s">
        <v>7</v>
      </c>
      <c r="FR720" s="27" t="s">
        <v>7</v>
      </c>
      <c r="FS720" s="27" t="s">
        <v>8</v>
      </c>
      <c r="FT720" s="27" t="s">
        <v>7</v>
      </c>
      <c r="FU720" s="27" t="s">
        <v>8</v>
      </c>
      <c r="FV720" s="27" t="s">
        <v>7</v>
      </c>
      <c r="FW720" s="27" t="s">
        <v>8</v>
      </c>
    </row>
    <row r="721" spans="1:178" x14ac:dyDescent="0.25">
      <c r="A721" s="7">
        <v>7.0400701055846782E-2</v>
      </c>
      <c r="B721"/>
      <c r="C721"/>
      <c r="D721"/>
      <c r="E721"/>
      <c r="P721" s="27" t="s">
        <v>7</v>
      </c>
      <c r="U721" s="27" t="s">
        <v>8</v>
      </c>
      <c r="AE721" s="27" t="s">
        <v>8</v>
      </c>
      <c r="AG721" s="27" t="s">
        <v>8</v>
      </c>
      <c r="AH721" s="27" t="s">
        <v>7</v>
      </c>
      <c r="AM721" s="27" t="s">
        <v>8</v>
      </c>
      <c r="DN721" s="27" t="s">
        <v>7</v>
      </c>
      <c r="DO721" s="27" t="s">
        <v>8</v>
      </c>
      <c r="DT721" s="27" t="s">
        <v>7</v>
      </c>
      <c r="DY721" s="27" t="s">
        <v>8</v>
      </c>
      <c r="DZ721" s="27" t="s">
        <v>7</v>
      </c>
      <c r="EA721" s="27" t="s">
        <v>8</v>
      </c>
      <c r="EB721" s="27" t="s">
        <v>7</v>
      </c>
      <c r="EC721" s="27" t="s">
        <v>8</v>
      </c>
      <c r="ED721" s="27" t="s">
        <v>7</v>
      </c>
      <c r="EE721" s="27" t="s">
        <v>8</v>
      </c>
      <c r="EF721" s="27" t="s">
        <v>7</v>
      </c>
      <c r="EG721" s="27" t="s">
        <v>8</v>
      </c>
      <c r="EH721" s="27" t="s">
        <v>7</v>
      </c>
      <c r="EI721" s="27" t="s">
        <v>8</v>
      </c>
      <c r="EJ721" s="27" t="s">
        <v>7</v>
      </c>
      <c r="EK721" s="27" t="s">
        <v>8</v>
      </c>
      <c r="EL721" s="27" t="s">
        <v>7</v>
      </c>
      <c r="EX721" s="27" t="s">
        <v>7</v>
      </c>
      <c r="EY721" s="27" t="s">
        <v>8</v>
      </c>
      <c r="FE721" s="27" t="s">
        <v>8</v>
      </c>
      <c r="FF721" s="27" t="s">
        <v>7</v>
      </c>
      <c r="FG721" s="27" t="s">
        <v>8</v>
      </c>
      <c r="FJ721" s="27" t="s">
        <v>7</v>
      </c>
      <c r="FK721" s="27" t="s">
        <v>8</v>
      </c>
      <c r="FR721" s="27" t="s">
        <v>7</v>
      </c>
      <c r="FS721" s="27" t="s">
        <v>8</v>
      </c>
      <c r="FT721" s="27" t="s">
        <v>7</v>
      </c>
      <c r="FU721" s="27" t="s">
        <v>8</v>
      </c>
      <c r="FV721" s="27" t="s">
        <v>7</v>
      </c>
    </row>
    <row r="722" spans="1:178" x14ac:dyDescent="0.25">
      <c r="A722" s="7">
        <v>6.9020295152790956E-2</v>
      </c>
      <c r="B722"/>
      <c r="C722"/>
      <c r="D722"/>
      <c r="E722"/>
      <c r="P722" s="27" t="s">
        <v>7</v>
      </c>
      <c r="U722" s="27" t="s">
        <v>8</v>
      </c>
      <c r="V722" s="27" t="s">
        <v>7</v>
      </c>
      <c r="AC722" s="27" t="s">
        <v>8</v>
      </c>
      <c r="AE722" s="27" t="s">
        <v>8</v>
      </c>
      <c r="AF722" s="27" t="s">
        <v>7</v>
      </c>
      <c r="AG722" s="27" t="s">
        <v>8</v>
      </c>
      <c r="AH722" s="27" t="s">
        <v>7</v>
      </c>
      <c r="AK722" s="27" t="s">
        <v>8</v>
      </c>
      <c r="AM722" s="27" t="s">
        <v>8</v>
      </c>
      <c r="DN722" s="27" t="s">
        <v>7</v>
      </c>
      <c r="DT722" s="27" t="s">
        <v>7</v>
      </c>
      <c r="DY722" s="27" t="s">
        <v>8</v>
      </c>
      <c r="DZ722" s="27" t="s">
        <v>7</v>
      </c>
      <c r="EA722" s="27" t="s">
        <v>8</v>
      </c>
      <c r="EB722" s="27" t="s">
        <v>7</v>
      </c>
      <c r="ED722" s="27" t="s">
        <v>7</v>
      </c>
      <c r="EE722" s="27" t="s">
        <v>8</v>
      </c>
      <c r="EF722" s="27" t="s">
        <v>7</v>
      </c>
      <c r="EG722" s="27" t="s">
        <v>8</v>
      </c>
      <c r="EH722" s="27" t="s">
        <v>7</v>
      </c>
      <c r="EI722" s="27" t="s">
        <v>8</v>
      </c>
      <c r="EJ722" s="27" t="s">
        <v>7</v>
      </c>
      <c r="EK722" s="27" t="s">
        <v>8</v>
      </c>
      <c r="EX722" s="27" t="s">
        <v>7</v>
      </c>
      <c r="EY722" s="27" t="s">
        <v>8</v>
      </c>
      <c r="EZ722" s="27" t="s">
        <v>7</v>
      </c>
      <c r="FA722" s="27" t="s">
        <v>8</v>
      </c>
      <c r="FC722" s="27" t="s">
        <v>8</v>
      </c>
      <c r="FE722" s="27" t="s">
        <v>8</v>
      </c>
      <c r="FF722" s="27" t="s">
        <v>7</v>
      </c>
      <c r="FG722" s="27" t="s">
        <v>8</v>
      </c>
      <c r="FJ722" s="27" t="s">
        <v>7</v>
      </c>
      <c r="FK722" s="27" t="s">
        <v>8</v>
      </c>
      <c r="FR722" s="27" t="s">
        <v>7</v>
      </c>
      <c r="FS722" s="27" t="s">
        <v>8</v>
      </c>
      <c r="FT722" s="27" t="s">
        <v>7</v>
      </c>
      <c r="FU722" s="27" t="s">
        <v>8</v>
      </c>
    </row>
    <row r="723" spans="1:178" x14ac:dyDescent="0.25">
      <c r="A723" s="7">
        <v>6.7666956032147993E-2</v>
      </c>
      <c r="B723"/>
      <c r="C723"/>
      <c r="D723"/>
      <c r="E723"/>
      <c r="P723" s="27" t="s">
        <v>7</v>
      </c>
      <c r="U723" s="27" t="s">
        <v>8</v>
      </c>
      <c r="V723" s="27" t="s">
        <v>7</v>
      </c>
      <c r="AC723" s="27" t="s">
        <v>8</v>
      </c>
      <c r="AD723" s="27" t="s">
        <v>7</v>
      </c>
      <c r="AE723" s="27" t="s">
        <v>8</v>
      </c>
      <c r="AF723" s="27" t="s">
        <v>7</v>
      </c>
      <c r="AG723" s="27" t="s">
        <v>8</v>
      </c>
      <c r="AH723" s="27" t="s">
        <v>7</v>
      </c>
      <c r="AI723" s="27" t="s">
        <v>8</v>
      </c>
      <c r="AK723" s="27" t="s">
        <v>8</v>
      </c>
      <c r="AL723" s="27" t="s">
        <v>7</v>
      </c>
      <c r="AM723" s="27" t="s">
        <v>8</v>
      </c>
      <c r="DT723" s="27" t="s">
        <v>7</v>
      </c>
      <c r="DY723" s="27" t="s">
        <v>8</v>
      </c>
      <c r="DZ723" s="27" t="s">
        <v>7</v>
      </c>
      <c r="EA723" s="27" t="s">
        <v>8</v>
      </c>
      <c r="ED723" s="27" t="s">
        <v>7</v>
      </c>
      <c r="EE723" s="27" t="s">
        <v>8</v>
      </c>
      <c r="EF723" s="27" t="s">
        <v>7</v>
      </c>
      <c r="EG723" s="27" t="s">
        <v>8</v>
      </c>
      <c r="EH723" s="27" t="s">
        <v>7</v>
      </c>
      <c r="EI723" s="27" t="s">
        <v>8</v>
      </c>
      <c r="EJ723" s="27" t="s">
        <v>7</v>
      </c>
      <c r="EK723" s="27" t="s">
        <v>8</v>
      </c>
      <c r="EX723" s="27" t="s">
        <v>7</v>
      </c>
      <c r="EY723" s="27" t="s">
        <v>8</v>
      </c>
      <c r="EZ723" s="27" t="s">
        <v>7</v>
      </c>
      <c r="FA723" s="27" t="s">
        <v>8</v>
      </c>
      <c r="FB723" s="27" t="s">
        <v>7</v>
      </c>
      <c r="FC723" s="27" t="s">
        <v>8</v>
      </c>
      <c r="FD723" s="27" t="s">
        <v>7</v>
      </c>
      <c r="FE723" s="27" t="s">
        <v>8</v>
      </c>
      <c r="FF723" s="27" t="s">
        <v>7</v>
      </c>
      <c r="FJ723" s="27" t="s">
        <v>7</v>
      </c>
      <c r="FK723" s="27" t="s">
        <v>8</v>
      </c>
      <c r="FR723" s="27" t="s">
        <v>7</v>
      </c>
      <c r="FS723" s="27" t="s">
        <v>8</v>
      </c>
      <c r="FT723" s="27" t="s">
        <v>7</v>
      </c>
      <c r="FU723" s="27" t="s">
        <v>8</v>
      </c>
    </row>
    <row r="724" spans="1:178" x14ac:dyDescent="0.25">
      <c r="A724" s="7">
        <v>6.6340152972694105E-2</v>
      </c>
      <c r="B724"/>
      <c r="C724"/>
      <c r="D724"/>
      <c r="E724"/>
      <c r="P724" s="27" t="s">
        <v>7</v>
      </c>
      <c r="U724" s="27" t="s">
        <v>8</v>
      </c>
      <c r="V724" s="27" t="s">
        <v>7</v>
      </c>
      <c r="AC724" s="27" t="s">
        <v>8</v>
      </c>
      <c r="AD724" s="27" t="s">
        <v>7</v>
      </c>
      <c r="AE724" s="27" t="s">
        <v>8</v>
      </c>
      <c r="AF724" s="27" t="s">
        <v>7</v>
      </c>
      <c r="AH724" s="27" t="s">
        <v>7</v>
      </c>
      <c r="AI724" s="27" t="s">
        <v>8</v>
      </c>
      <c r="AJ724" s="27" t="s">
        <v>7</v>
      </c>
      <c r="AK724" s="27" t="s">
        <v>8</v>
      </c>
      <c r="AL724" s="27" t="s">
        <v>7</v>
      </c>
      <c r="AM724" s="27" t="s">
        <v>8</v>
      </c>
      <c r="DT724" s="27" t="s">
        <v>7</v>
      </c>
      <c r="DU724" s="27" t="s">
        <v>8</v>
      </c>
      <c r="DY724" s="27" t="s">
        <v>8</v>
      </c>
      <c r="DZ724" s="27" t="s">
        <v>7</v>
      </c>
      <c r="EA724" s="27" t="s">
        <v>8</v>
      </c>
      <c r="ED724" s="27" t="s">
        <v>7</v>
      </c>
      <c r="EE724" s="27" t="s">
        <v>8</v>
      </c>
      <c r="EF724" s="27" t="s">
        <v>7</v>
      </c>
      <c r="EG724" s="27" t="s">
        <v>8</v>
      </c>
      <c r="EH724" s="27" t="s">
        <v>7</v>
      </c>
      <c r="EJ724" s="27" t="s">
        <v>7</v>
      </c>
      <c r="EX724" s="27" t="s">
        <v>7</v>
      </c>
      <c r="EY724" s="27" t="s">
        <v>8</v>
      </c>
      <c r="EZ724" s="27" t="s">
        <v>7</v>
      </c>
      <c r="FA724" s="27" t="s">
        <v>8</v>
      </c>
      <c r="FB724" s="27" t="s">
        <v>7</v>
      </c>
      <c r="FC724" s="27" t="s">
        <v>8</v>
      </c>
      <c r="FD724" s="27" t="s">
        <v>7</v>
      </c>
      <c r="FE724" s="27" t="s">
        <v>8</v>
      </c>
      <c r="FJ724" s="27" t="s">
        <v>7</v>
      </c>
      <c r="FK724" s="27" t="s">
        <v>8</v>
      </c>
      <c r="FR724" s="27" t="s">
        <v>7</v>
      </c>
      <c r="FS724" s="27" t="s">
        <v>8</v>
      </c>
      <c r="FT724" s="27" t="s">
        <v>7</v>
      </c>
    </row>
    <row r="725" spans="1:178" x14ac:dyDescent="0.25">
      <c r="A725" s="7">
        <v>6.5039365659504023E-2</v>
      </c>
      <c r="B725"/>
      <c r="C725"/>
      <c r="D725"/>
      <c r="E725"/>
      <c r="P725" s="27" t="s">
        <v>7</v>
      </c>
      <c r="Q725" s="27" t="s">
        <v>8</v>
      </c>
      <c r="U725" s="27" t="s">
        <v>8</v>
      </c>
      <c r="V725" s="27" t="s">
        <v>7</v>
      </c>
      <c r="Y725" s="27" t="s">
        <v>8</v>
      </c>
      <c r="AC725" s="27" t="s">
        <v>8</v>
      </c>
      <c r="AD725" s="27" t="s">
        <v>7</v>
      </c>
      <c r="AE725" s="27" t="s">
        <v>8</v>
      </c>
      <c r="AH725" s="27" t="s">
        <v>7</v>
      </c>
      <c r="AI725" s="27" t="s">
        <v>8</v>
      </c>
      <c r="AJ725" s="27" t="s">
        <v>7</v>
      </c>
      <c r="AK725" s="27" t="s">
        <v>8</v>
      </c>
      <c r="AL725" s="27" t="s">
        <v>7</v>
      </c>
      <c r="AM725" s="27" t="s">
        <v>8</v>
      </c>
      <c r="DT725" s="27" t="s">
        <v>7</v>
      </c>
      <c r="DU725" s="27" t="s">
        <v>8</v>
      </c>
      <c r="DV725" s="27" t="s">
        <v>7</v>
      </c>
      <c r="DW725" s="27" t="s">
        <v>8</v>
      </c>
      <c r="DY725" s="27" t="s">
        <v>8</v>
      </c>
      <c r="DZ725" s="27" t="s">
        <v>7</v>
      </c>
      <c r="EA725" s="27" t="s">
        <v>8</v>
      </c>
      <c r="ED725" s="27" t="s">
        <v>7</v>
      </c>
      <c r="EF725" s="27" t="s">
        <v>7</v>
      </c>
      <c r="EX725" s="27" t="s">
        <v>7</v>
      </c>
      <c r="EY725" s="27" t="s">
        <v>8</v>
      </c>
      <c r="EZ725" s="27" t="s">
        <v>7</v>
      </c>
      <c r="FB725" s="27" t="s">
        <v>7</v>
      </c>
      <c r="FC725" s="27" t="s">
        <v>8</v>
      </c>
      <c r="FD725" s="27" t="s">
        <v>7</v>
      </c>
      <c r="FE725" s="27" t="s">
        <v>8</v>
      </c>
      <c r="FJ725" s="27" t="s">
        <v>7</v>
      </c>
      <c r="FR725" s="27" t="s">
        <v>7</v>
      </c>
    </row>
    <row r="726" spans="1:178" x14ac:dyDescent="0.25">
      <c r="A726" s="7">
        <v>6.3764083979905906E-2</v>
      </c>
      <c r="B726"/>
      <c r="C726"/>
      <c r="D726"/>
      <c r="E726"/>
      <c r="P726" s="27" t="s">
        <v>7</v>
      </c>
      <c r="Q726" s="27" t="s">
        <v>8</v>
      </c>
      <c r="R726" s="27" t="s">
        <v>7</v>
      </c>
      <c r="U726" s="27" t="s">
        <v>8</v>
      </c>
      <c r="V726" s="27" t="s">
        <v>7</v>
      </c>
      <c r="Y726" s="27" t="s">
        <v>8</v>
      </c>
      <c r="Z726" s="27" t="s">
        <v>7</v>
      </c>
      <c r="AC726" s="27" t="s">
        <v>8</v>
      </c>
      <c r="AD726" s="27" t="s">
        <v>7</v>
      </c>
      <c r="AE726" s="27" t="s">
        <v>8</v>
      </c>
      <c r="AH726" s="27" t="s">
        <v>7</v>
      </c>
      <c r="AJ726" s="27" t="s">
        <v>7</v>
      </c>
      <c r="AK726" s="27" t="s">
        <v>8</v>
      </c>
      <c r="AL726" s="27" t="s">
        <v>7</v>
      </c>
      <c r="AM726" s="27" t="s">
        <v>8</v>
      </c>
      <c r="DT726" s="27" t="s">
        <v>7</v>
      </c>
      <c r="DU726" s="27" t="s">
        <v>8</v>
      </c>
      <c r="DV726" s="27" t="s">
        <v>7</v>
      </c>
      <c r="DW726" s="27" t="s">
        <v>8</v>
      </c>
      <c r="DX726" s="27" t="s">
        <v>7</v>
      </c>
      <c r="DY726" s="27" t="s">
        <v>8</v>
      </c>
      <c r="DZ726" s="27" t="s">
        <v>7</v>
      </c>
      <c r="EA726" s="27" t="s">
        <v>8</v>
      </c>
      <c r="EX726" s="27" t="s">
        <v>7</v>
      </c>
      <c r="EY726" s="27" t="s">
        <v>8</v>
      </c>
      <c r="FB726" s="27" t="s">
        <v>7</v>
      </c>
      <c r="FC726" s="27" t="s">
        <v>8</v>
      </c>
      <c r="FD726" s="27" t="s">
        <v>7</v>
      </c>
      <c r="FE726" s="27" t="s">
        <v>8</v>
      </c>
    </row>
    <row r="727" spans="1:178" x14ac:dyDescent="0.25">
      <c r="A727" s="7">
        <v>6.251380782343717E-2</v>
      </c>
      <c r="B727"/>
      <c r="C727"/>
      <c r="D727"/>
      <c r="E727"/>
      <c r="P727" s="27" t="s">
        <v>7</v>
      </c>
      <c r="Q727" s="27" t="s">
        <v>8</v>
      </c>
      <c r="R727" s="27" t="s">
        <v>7</v>
      </c>
      <c r="U727" s="27" t="s">
        <v>8</v>
      </c>
      <c r="V727" s="27" t="s">
        <v>7</v>
      </c>
      <c r="Y727" s="27" t="s">
        <v>8</v>
      </c>
      <c r="Z727" s="27" t="s">
        <v>7</v>
      </c>
      <c r="AC727" s="27" t="s">
        <v>8</v>
      </c>
      <c r="AD727" s="27" t="s">
        <v>7</v>
      </c>
      <c r="AJ727" s="27" t="s">
        <v>7</v>
      </c>
      <c r="AK727" s="27" t="s">
        <v>8</v>
      </c>
      <c r="AL727" s="27" t="s">
        <v>7</v>
      </c>
      <c r="AM727" s="27" t="s">
        <v>8</v>
      </c>
      <c r="DT727" s="27" t="s">
        <v>7</v>
      </c>
      <c r="DU727" s="27" t="s">
        <v>8</v>
      </c>
      <c r="DV727" s="27" t="s">
        <v>7</v>
      </c>
      <c r="DW727" s="27" t="s">
        <v>8</v>
      </c>
      <c r="DX727" s="27" t="s">
        <v>7</v>
      </c>
      <c r="DY727" s="27" t="s">
        <v>8</v>
      </c>
      <c r="DZ727" s="27" t="s">
        <v>7</v>
      </c>
      <c r="EX727" s="27" t="s">
        <v>7</v>
      </c>
      <c r="EY727" s="27" t="s">
        <v>8</v>
      </c>
      <c r="FB727" s="27" t="s">
        <v>7</v>
      </c>
      <c r="FC727" s="27" t="s">
        <v>8</v>
      </c>
      <c r="FD727" s="27" t="s">
        <v>7</v>
      </c>
      <c r="FE727" s="27" t="s">
        <v>8</v>
      </c>
    </row>
    <row r="728" spans="1:178" x14ac:dyDescent="0.25">
      <c r="A728" s="7">
        <v>6.1288046885722716E-2</v>
      </c>
      <c r="B728"/>
      <c r="C728"/>
      <c r="D728"/>
      <c r="E728"/>
      <c r="P728" s="27" t="s">
        <v>7</v>
      </c>
      <c r="Q728" s="27" t="s">
        <v>8</v>
      </c>
      <c r="R728" s="27" t="s">
        <v>7</v>
      </c>
      <c r="U728" s="27" t="s">
        <v>8</v>
      </c>
      <c r="V728" s="27" t="s">
        <v>7</v>
      </c>
      <c r="Y728" s="27" t="s">
        <v>8</v>
      </c>
      <c r="Z728" s="27" t="s">
        <v>7</v>
      </c>
      <c r="AA728" s="27" t="s">
        <v>8</v>
      </c>
      <c r="AC728" s="27" t="s">
        <v>8</v>
      </c>
      <c r="AJ728" s="27" t="s">
        <v>7</v>
      </c>
      <c r="AK728" s="27" t="s">
        <v>8</v>
      </c>
      <c r="AL728" s="27" t="s">
        <v>7</v>
      </c>
      <c r="AM728" s="27" t="s">
        <v>8</v>
      </c>
      <c r="DT728" s="27" t="s">
        <v>7</v>
      </c>
      <c r="DU728" s="27" t="s">
        <v>8</v>
      </c>
      <c r="DV728" s="27" t="s">
        <v>7</v>
      </c>
      <c r="DW728" s="27" t="s">
        <v>8</v>
      </c>
      <c r="DX728" s="27" t="s">
        <v>7</v>
      </c>
      <c r="DY728" s="27" t="s">
        <v>8</v>
      </c>
      <c r="EX728" s="27" t="s">
        <v>7</v>
      </c>
      <c r="FB728" s="27" t="s">
        <v>7</v>
      </c>
      <c r="FC728" s="27" t="s">
        <v>8</v>
      </c>
      <c r="FD728" s="27" t="s">
        <v>7</v>
      </c>
    </row>
    <row r="729" spans="1:178" x14ac:dyDescent="0.25">
      <c r="A729" s="7">
        <v>6.0086320476198739E-2</v>
      </c>
      <c r="B729"/>
      <c r="C729"/>
      <c r="D729"/>
      <c r="E729"/>
      <c r="P729" s="27" t="s">
        <v>7</v>
      </c>
      <c r="Q729" s="27" t="s">
        <v>8</v>
      </c>
      <c r="R729" s="27" t="s">
        <v>7</v>
      </c>
      <c r="U729" s="27" t="s">
        <v>8</v>
      </c>
      <c r="V729" s="27" t="s">
        <v>7</v>
      </c>
      <c r="W729" s="27" t="s">
        <v>8</v>
      </c>
      <c r="Y729" s="27" t="s">
        <v>8</v>
      </c>
      <c r="Z729" s="27" t="s">
        <v>7</v>
      </c>
      <c r="AA729" s="27" t="s">
        <v>8</v>
      </c>
      <c r="AB729" s="27" t="s">
        <v>7</v>
      </c>
      <c r="AC729" s="27" t="s">
        <v>8</v>
      </c>
      <c r="AJ729" s="27" t="s">
        <v>7</v>
      </c>
      <c r="AK729" s="27" t="s">
        <v>8</v>
      </c>
      <c r="AL729" s="27" t="s">
        <v>7</v>
      </c>
      <c r="AM729" s="27" t="s">
        <v>8</v>
      </c>
      <c r="DT729" s="27" t="s">
        <v>7</v>
      </c>
      <c r="DV729" s="27" t="s">
        <v>7</v>
      </c>
      <c r="DW729" s="27" t="s">
        <v>8</v>
      </c>
      <c r="DX729" s="27" t="s">
        <v>7</v>
      </c>
      <c r="DY729" s="27" t="s">
        <v>8</v>
      </c>
      <c r="FB729" s="27" t="s">
        <v>7</v>
      </c>
    </row>
    <row r="730" spans="1:178" x14ac:dyDescent="0.25">
      <c r="A730" s="7">
        <v>5.8908157329606609E-2</v>
      </c>
      <c r="B730"/>
      <c r="C730"/>
      <c r="D730"/>
      <c r="E730"/>
      <c r="P730" s="27" t="s">
        <v>7</v>
      </c>
      <c r="Q730" s="27" t="s">
        <v>8</v>
      </c>
      <c r="R730" s="27" t="s">
        <v>7</v>
      </c>
      <c r="U730" s="27" t="s">
        <v>8</v>
      </c>
      <c r="V730" s="27" t="s">
        <v>7</v>
      </c>
      <c r="W730" s="27" t="s">
        <v>8</v>
      </c>
      <c r="X730" s="27" t="s">
        <v>7</v>
      </c>
      <c r="Y730" s="27" t="s">
        <v>8</v>
      </c>
      <c r="Z730" s="27" t="s">
        <v>7</v>
      </c>
      <c r="AA730" s="27" t="s">
        <v>8</v>
      </c>
      <c r="AB730" s="27" t="s">
        <v>7</v>
      </c>
      <c r="AC730" s="27" t="s">
        <v>8</v>
      </c>
      <c r="AJ730" s="27" t="s">
        <v>7</v>
      </c>
      <c r="AL730" s="27" t="s">
        <v>7</v>
      </c>
      <c r="DV730" s="27" t="s">
        <v>7</v>
      </c>
      <c r="DW730" s="27" t="s">
        <v>8</v>
      </c>
      <c r="DX730" s="27" t="s">
        <v>7</v>
      </c>
      <c r="DY730" s="27" t="s">
        <v>8</v>
      </c>
    </row>
    <row r="731" spans="1:178" x14ac:dyDescent="0.25">
      <c r="A731" s="7">
        <v>5.7753095421182947E-2</v>
      </c>
      <c r="B731"/>
      <c r="C731"/>
      <c r="D731"/>
      <c r="E731"/>
      <c r="P731" s="27" t="s">
        <v>7</v>
      </c>
      <c r="Q731" s="27" t="s">
        <v>8</v>
      </c>
      <c r="R731" s="27" t="s">
        <v>7</v>
      </c>
      <c r="U731" s="27" t="s">
        <v>8</v>
      </c>
      <c r="V731" s="27" t="s">
        <v>7</v>
      </c>
      <c r="W731" s="27" t="s">
        <v>8</v>
      </c>
      <c r="X731" s="27" t="s">
        <v>7</v>
      </c>
      <c r="Y731" s="27" t="s">
        <v>8</v>
      </c>
      <c r="Z731" s="27" t="s">
        <v>7</v>
      </c>
      <c r="AA731" s="27" t="s">
        <v>8</v>
      </c>
      <c r="AB731" s="27" t="s">
        <v>7</v>
      </c>
      <c r="DV731" s="27" t="s">
        <v>7</v>
      </c>
      <c r="DX731" s="27" t="s">
        <v>7</v>
      </c>
    </row>
    <row r="732" spans="1:178" x14ac:dyDescent="0.25">
      <c r="A732" s="7">
        <v>5.6620681785473484E-2</v>
      </c>
      <c r="B732"/>
      <c r="C732"/>
      <c r="D732"/>
      <c r="E732"/>
      <c r="P732" s="27" t="s">
        <v>7</v>
      </c>
      <c r="Q732" s="27" t="s">
        <v>8</v>
      </c>
      <c r="R732" s="27" t="s">
        <v>7</v>
      </c>
      <c r="U732" s="27" t="s">
        <v>8</v>
      </c>
      <c r="V732" s="27" t="s">
        <v>7</v>
      </c>
      <c r="W732" s="27" t="s">
        <v>8</v>
      </c>
      <c r="X732" s="27" t="s">
        <v>7</v>
      </c>
      <c r="Y732" s="27" t="s">
        <v>8</v>
      </c>
      <c r="Z732" s="27" t="s">
        <v>7</v>
      </c>
      <c r="AA732" s="27" t="s">
        <v>8</v>
      </c>
    </row>
    <row r="733" spans="1:178" x14ac:dyDescent="0.25">
      <c r="A733" s="7">
        <v>5.5510472338699497E-2</v>
      </c>
      <c r="B733"/>
      <c r="C733"/>
      <c r="D733"/>
      <c r="E733"/>
      <c r="P733" s="27" t="s">
        <v>7</v>
      </c>
      <c r="Q733" s="27" t="s">
        <v>8</v>
      </c>
      <c r="R733" s="27" t="s">
        <v>7</v>
      </c>
      <c r="S733" s="27" t="s">
        <v>8</v>
      </c>
      <c r="U733" s="27" t="s">
        <v>8</v>
      </c>
      <c r="V733" s="27" t="s">
        <v>7</v>
      </c>
      <c r="W733" s="27" t="s">
        <v>8</v>
      </c>
      <c r="X733" s="27" t="s">
        <v>7</v>
      </c>
      <c r="Z733" s="27" t="s">
        <v>7</v>
      </c>
      <c r="AA733" s="27" t="s">
        <v>8</v>
      </c>
    </row>
    <row r="734" spans="1:178" x14ac:dyDescent="0.25">
      <c r="A734" s="7">
        <v>5.4422031704607354E-2</v>
      </c>
      <c r="B734"/>
      <c r="C734"/>
      <c r="D734"/>
      <c r="E734"/>
      <c r="P734" s="27" t="s">
        <v>7</v>
      </c>
      <c r="Q734" s="27" t="s">
        <v>8</v>
      </c>
      <c r="R734" s="27" t="s">
        <v>7</v>
      </c>
      <c r="S734" s="27" t="s">
        <v>8</v>
      </c>
      <c r="T734" s="27" t="s">
        <v>7</v>
      </c>
      <c r="U734" s="27" t="s">
        <v>8</v>
      </c>
      <c r="V734" s="27" t="s">
        <v>7</v>
      </c>
      <c r="W734" s="27" t="s">
        <v>8</v>
      </c>
      <c r="Z734" s="27" t="s">
        <v>7</v>
      </c>
      <c r="AA734" s="27" t="s">
        <v>8</v>
      </c>
    </row>
    <row r="735" spans="1:178" x14ac:dyDescent="0.25">
      <c r="A735" s="7">
        <v>5.3354933043732705E-2</v>
      </c>
      <c r="B735"/>
      <c r="C735"/>
      <c r="D735"/>
      <c r="E735"/>
      <c r="P735" s="27" t="s">
        <v>7</v>
      </c>
      <c r="Q735" s="27" t="s">
        <v>8</v>
      </c>
      <c r="R735" s="27" t="s">
        <v>7</v>
      </c>
      <c r="S735" s="27" t="s">
        <v>8</v>
      </c>
      <c r="T735" s="27" t="s">
        <v>7</v>
      </c>
      <c r="U735" s="27" t="s">
        <v>8</v>
      </c>
      <c r="V735" s="27" t="s">
        <v>7</v>
      </c>
      <c r="Z735" s="27" t="s">
        <v>7</v>
      </c>
    </row>
    <row r="736" spans="1:178" x14ac:dyDescent="0.25">
      <c r="A736" s="7">
        <v>5.2308757886012455E-2</v>
      </c>
      <c r="B736"/>
      <c r="C736"/>
      <c r="D736"/>
      <c r="E736"/>
      <c r="P736" s="27" t="s">
        <v>7</v>
      </c>
      <c r="Q736" s="27" t="s">
        <v>8</v>
      </c>
      <c r="R736" s="27" t="s">
        <v>7</v>
      </c>
      <c r="S736" s="27" t="s">
        <v>8</v>
      </c>
      <c r="T736" s="27" t="s">
        <v>7</v>
      </c>
      <c r="U736" s="27" t="s">
        <v>8</v>
      </c>
    </row>
    <row r="737" spans="1:21" x14ac:dyDescent="0.25">
      <c r="A737" s="7">
        <v>5.1283095966678877E-2</v>
      </c>
      <c r="B737"/>
      <c r="C737"/>
      <c r="D737"/>
      <c r="E737"/>
      <c r="P737" s="27" t="s">
        <v>7</v>
      </c>
      <c r="Q737" s="27" t="s">
        <v>8</v>
      </c>
      <c r="R737" s="27" t="s">
        <v>7</v>
      </c>
      <c r="S737" s="27" t="s">
        <v>8</v>
      </c>
      <c r="T737" s="27" t="s">
        <v>7</v>
      </c>
      <c r="U737" s="27" t="s">
        <v>8</v>
      </c>
    </row>
    <row r="738" spans="1:21" x14ac:dyDescent="0.25">
      <c r="A738" s="7">
        <v>5.0277545065371444E-2</v>
      </c>
      <c r="B738"/>
      <c r="C738"/>
      <c r="D738"/>
      <c r="E738"/>
      <c r="P738" s="27" t="s">
        <v>7</v>
      </c>
      <c r="Q738" s="27" t="s">
        <v>8</v>
      </c>
      <c r="R738" s="27" t="s">
        <v>7</v>
      </c>
      <c r="S738" s="27" t="s">
        <v>8</v>
      </c>
      <c r="T738" s="27" t="s">
        <v>7</v>
      </c>
      <c r="U738" s="27" t="s">
        <v>8</v>
      </c>
    </row>
    <row r="739" spans="1:21" x14ac:dyDescent="0.25">
      <c r="A739" s="7">
        <v>4.9291710848403378E-2</v>
      </c>
      <c r="B739"/>
      <c r="C739"/>
      <c r="D739"/>
      <c r="E739"/>
      <c r="P739" s="27" t="s">
        <v>7</v>
      </c>
      <c r="Q739" s="27" t="s">
        <v>8</v>
      </c>
      <c r="R739" s="27" t="s">
        <v>7</v>
      </c>
      <c r="S739" s="27" t="s">
        <v>8</v>
      </c>
      <c r="T739" s="27" t="s">
        <v>7</v>
      </c>
    </row>
    <row r="740" spans="1:21" x14ac:dyDescent="0.25">
      <c r="A740" s="7">
        <v>4.8325206714120959E-2</v>
      </c>
      <c r="B740"/>
      <c r="C740"/>
      <c r="D740"/>
      <c r="E740"/>
      <c r="P740" s="27" t="s">
        <v>7</v>
      </c>
      <c r="Q740" s="27" t="s">
        <v>8</v>
      </c>
      <c r="R740" s="27" t="s">
        <v>7</v>
      </c>
      <c r="S740" s="27" t="s">
        <v>8</v>
      </c>
    </row>
    <row r="741" spans="1:21" x14ac:dyDescent="0.25">
      <c r="A741" s="7">
        <v>4.7377653641295057E-2</v>
      </c>
      <c r="B741"/>
      <c r="C741"/>
      <c r="D741"/>
      <c r="E741"/>
      <c r="P741" s="27" t="s">
        <v>7</v>
      </c>
      <c r="Q741" s="27" t="s">
        <v>8</v>
      </c>
      <c r="R741" s="27" t="s">
        <v>7</v>
      </c>
      <c r="S741" s="27" t="s">
        <v>8</v>
      </c>
    </row>
    <row r="742" spans="1:21" x14ac:dyDescent="0.25">
      <c r="A742" s="7">
        <v>4.644868004048535E-2</v>
      </c>
      <c r="B742"/>
      <c r="C742"/>
      <c r="D742"/>
      <c r="E742"/>
      <c r="P742" s="27" t="s">
        <v>7</v>
      </c>
      <c r="Q742" s="27" t="s">
        <v>8</v>
      </c>
      <c r="R742" s="27" t="s">
        <v>7</v>
      </c>
      <c r="S742" s="27" t="s">
        <v>8</v>
      </c>
    </row>
    <row r="743" spans="1:21" x14ac:dyDescent="0.25">
      <c r="A743" s="7">
        <v>4.5537921608318974E-2</v>
      </c>
      <c r="B743"/>
      <c r="C743"/>
      <c r="D743"/>
      <c r="E743"/>
      <c r="P743" s="27" t="s">
        <v>7</v>
      </c>
      <c r="Q743" s="27" t="s">
        <v>8</v>
      </c>
      <c r="R743" s="27" t="s">
        <v>7</v>
      </c>
      <c r="S743" s="27" t="s">
        <v>8</v>
      </c>
    </row>
    <row r="744" spans="1:21" x14ac:dyDescent="0.25">
      <c r="A744" s="7">
        <v>4.4645021184626446E-2</v>
      </c>
      <c r="B744"/>
      <c r="C744"/>
      <c r="D744"/>
      <c r="E744"/>
      <c r="P744" s="27" t="s">
        <v>7</v>
      </c>
      <c r="Q744" s="27" t="s">
        <v>8</v>
      </c>
      <c r="R744" s="27" t="s">
        <v>7</v>
      </c>
      <c r="S744" s="27" t="s">
        <v>8</v>
      </c>
    </row>
    <row r="745" spans="1:21" x14ac:dyDescent="0.25">
      <c r="A745" s="7">
        <v>4.3769628612378868E-2</v>
      </c>
      <c r="B745"/>
      <c r="C745"/>
      <c r="D745"/>
      <c r="E745"/>
      <c r="P745" s="27" t="s">
        <v>7</v>
      </c>
      <c r="Q745" s="27" t="s">
        <v>8</v>
      </c>
      <c r="R745" s="27" t="s">
        <v>7</v>
      </c>
    </row>
    <row r="746" spans="1:21" x14ac:dyDescent="0.25">
      <c r="A746" s="7">
        <v>4.2911400600371442E-2</v>
      </c>
      <c r="B746"/>
      <c r="C746"/>
      <c r="D746"/>
      <c r="E746"/>
      <c r="P746" s="27" t="s">
        <v>7</v>
      </c>
      <c r="Q746" s="27" t="s">
        <v>8</v>
      </c>
    </row>
    <row r="747" spans="1:21" x14ac:dyDescent="0.25">
      <c r="A747" s="7">
        <v>4.2070000588599457E-2</v>
      </c>
      <c r="B747"/>
      <c r="C747"/>
      <c r="D747"/>
      <c r="E747"/>
      <c r="P747" s="27" t="s">
        <v>7</v>
      </c>
      <c r="Q747" s="27" t="s">
        <v>8</v>
      </c>
    </row>
    <row r="748" spans="1:21" x14ac:dyDescent="0.25">
      <c r="A748" s="7">
        <v>4.1245098616273977E-2</v>
      </c>
      <c r="B748"/>
      <c r="C748"/>
      <c r="D748"/>
      <c r="E748"/>
      <c r="P748" s="27" t="s">
        <v>7</v>
      </c>
      <c r="Q748" s="27" t="s">
        <v>8</v>
      </c>
    </row>
    <row r="749" spans="1:21" x14ac:dyDescent="0.25">
      <c r="A749" s="7">
        <v>4.043637119242547E-2</v>
      </c>
      <c r="B749"/>
      <c r="C749"/>
      <c r="D749"/>
      <c r="E749"/>
      <c r="P749" s="27" t="s">
        <v>7</v>
      </c>
      <c r="Q749" s="27" t="s">
        <v>8</v>
      </c>
    </row>
    <row r="750" spans="1:21" x14ac:dyDescent="0.25">
      <c r="A750" s="7">
        <v>3.9643501169044582E-2</v>
      </c>
      <c r="B750"/>
      <c r="C750"/>
      <c r="D750"/>
      <c r="E750"/>
      <c r="P750" s="27" t="s">
        <v>7</v>
      </c>
      <c r="Q750" s="27" t="s">
        <v>8</v>
      </c>
    </row>
    <row r="751" spans="1:21" x14ac:dyDescent="0.25">
      <c r="A751" s="7">
        <v>3.8866177616710372E-2</v>
      </c>
      <c r="B751"/>
      <c r="C751"/>
      <c r="D751"/>
      <c r="E751"/>
      <c r="P751" s="27" t="s">
        <v>7</v>
      </c>
      <c r="Q751" s="27" t="s">
        <v>8</v>
      </c>
    </row>
    <row r="752" spans="1:21" x14ac:dyDescent="0.25">
      <c r="A752" s="7">
        <v>3.8104095702657229E-2</v>
      </c>
      <c r="B752"/>
      <c r="C752"/>
      <c r="D752"/>
      <c r="E752"/>
      <c r="P752" s="27" t="s">
        <v>7</v>
      </c>
      <c r="Q752" s="27" t="s">
        <v>8</v>
      </c>
    </row>
    <row r="753" spans="1:16" x14ac:dyDescent="0.25">
      <c r="A753" s="7">
        <v>3.7356956571232579E-2</v>
      </c>
      <c r="B753"/>
      <c r="C753"/>
      <c r="D753"/>
      <c r="E753"/>
      <c r="P753" s="27" t="s">
        <v>7</v>
      </c>
    </row>
    <row r="754" spans="1:16" x14ac:dyDescent="0.25">
      <c r="A754" s="7">
        <v>3.6624467226698605E-2</v>
      </c>
      <c r="B754"/>
      <c r="C754"/>
      <c r="D754"/>
      <c r="E754"/>
    </row>
    <row r="755" spans="1:16" x14ac:dyDescent="0.25">
      <c r="A755" s="7">
        <v>3.5906340418331961E-2</v>
      </c>
      <c r="B755"/>
      <c r="C755"/>
      <c r="D755"/>
      <c r="E755"/>
    </row>
    <row r="756" spans="1:16" x14ac:dyDescent="0.25">
      <c r="A756" s="7">
        <v>3.5202294527776436E-2</v>
      </c>
      <c r="B756"/>
      <c r="C756"/>
      <c r="D756"/>
      <c r="E756"/>
    </row>
    <row r="757" spans="1:16" x14ac:dyDescent="0.25">
      <c r="A757" s="7">
        <v>3.451205345860435E-2</v>
      </c>
      <c r="B757"/>
      <c r="C757"/>
      <c r="D757"/>
      <c r="E757"/>
    </row>
    <row r="758" spans="1:16" x14ac:dyDescent="0.25">
      <c r="A758" s="7">
        <v>3.3835346528043479E-2</v>
      </c>
      <c r="B758"/>
      <c r="C758"/>
      <c r="D758"/>
      <c r="E758"/>
    </row>
    <row r="759" spans="1:16" x14ac:dyDescent="0.25">
      <c r="A759" s="7">
        <v>3.3171908360826938E-2</v>
      </c>
      <c r="B759"/>
      <c r="C759"/>
      <c r="D759"/>
      <c r="E759"/>
    </row>
    <row r="760" spans="1:16" x14ac:dyDescent="0.25">
      <c r="A760" s="7">
        <v>3.2521478785124451E-2</v>
      </c>
      <c r="B760"/>
      <c r="C760"/>
      <c r="D760"/>
      <c r="E760"/>
    </row>
    <row r="761" spans="1:16" x14ac:dyDescent="0.25">
      <c r="A761" s="7">
        <v>3.1883802730514173E-2</v>
      </c>
      <c r="B761"/>
      <c r="C761"/>
      <c r="D761"/>
      <c r="E761"/>
    </row>
    <row r="762" spans="1:16" x14ac:dyDescent="0.25">
      <c r="A762" s="7">
        <v>3.1258630127955073E-2</v>
      </c>
      <c r="B762"/>
      <c r="C762"/>
      <c r="D762"/>
      <c r="E762"/>
    </row>
    <row r="763" spans="1:16" x14ac:dyDescent="0.25">
      <c r="A763" s="7">
        <v>3.064571581172066E-2</v>
      </c>
      <c r="B763"/>
      <c r="C763"/>
      <c r="D763"/>
      <c r="E763"/>
    </row>
    <row r="764" spans="1:16" x14ac:dyDescent="0.25">
      <c r="A764" s="7">
        <v>3.0044819423255549E-2</v>
      </c>
      <c r="B764"/>
      <c r="C764"/>
      <c r="D764"/>
      <c r="E764"/>
    </row>
    <row r="765" spans="1:16" x14ac:dyDescent="0.25">
      <c r="A765" s="7">
        <v>2.9455705316917203E-2</v>
      </c>
      <c r="B765"/>
      <c r="C765"/>
      <c r="D765"/>
      <c r="E765"/>
    </row>
    <row r="766" spans="1:16" x14ac:dyDescent="0.25">
      <c r="A766" s="7">
        <v>2.8878142467565884E-2</v>
      </c>
      <c r="B766"/>
      <c r="C766"/>
      <c r="D766"/>
      <c r="E766"/>
    </row>
    <row r="767" spans="1:16" x14ac:dyDescent="0.25">
      <c r="A767" s="7">
        <v>2.8311904379966554E-2</v>
      </c>
      <c r="B767"/>
      <c r="C767"/>
      <c r="D767"/>
      <c r="E767"/>
    </row>
    <row r="768" spans="1:16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15" operator="equal">
      <formula>$U$1</formula>
    </cfRule>
    <cfRule type="cellIs" dxfId="89" priority="1116" operator="equal">
      <formula>$S$1</formula>
    </cfRule>
  </conditionalFormatting>
  <conditionalFormatting sqref="D27">
    <cfRule type="cellIs" dxfId="88" priority="1113" operator="equal">
      <formula>$S$1</formula>
    </cfRule>
    <cfRule type="cellIs" dxfId="87" priority="1114" operator="equal">
      <formula>$U$1</formula>
    </cfRule>
  </conditionalFormatting>
  <conditionalFormatting sqref="C164">
    <cfRule type="cellIs" dxfId="86" priority="1111" operator="equal">
      <formula>$U$1</formula>
    </cfRule>
    <cfRule type="cellIs" dxfId="85" priority="1112" operator="equal">
      <formula>$S$1</formula>
    </cfRule>
  </conditionalFormatting>
  <conditionalFormatting sqref="D164">
    <cfRule type="cellIs" dxfId="84" priority="1109" operator="equal">
      <formula>$S$1</formula>
    </cfRule>
    <cfRule type="cellIs" dxfId="83" priority="1110" operator="equal">
      <formula>$U$1</formula>
    </cfRule>
  </conditionalFormatting>
  <conditionalFormatting sqref="C55">
    <cfRule type="cellIs" dxfId="82" priority="1107" operator="equal">
      <formula>$U$1</formula>
    </cfRule>
    <cfRule type="cellIs" dxfId="81" priority="1108" operator="equal">
      <formula>$S$1</formula>
    </cfRule>
  </conditionalFormatting>
  <conditionalFormatting sqref="D55">
    <cfRule type="cellIs" dxfId="80" priority="1105" operator="equal">
      <formula>$S$1</formula>
    </cfRule>
    <cfRule type="cellIs" dxfId="79" priority="1106" operator="equal">
      <formula>$U$1</formula>
    </cfRule>
  </conditionalFormatting>
  <conditionalFormatting sqref="C89">
    <cfRule type="cellIs" dxfId="78" priority="1103" operator="equal">
      <formula>$U$1</formula>
    </cfRule>
    <cfRule type="cellIs" dxfId="77" priority="1104" operator="equal">
      <formula>$S$1</formula>
    </cfRule>
  </conditionalFormatting>
  <conditionalFormatting sqref="D89">
    <cfRule type="cellIs" dxfId="76" priority="1101" operator="equal">
      <formula>$S$1</formula>
    </cfRule>
    <cfRule type="cellIs" dxfId="75" priority="1102" operator="equal">
      <formula>$U$1</formula>
    </cfRule>
  </conditionalFormatting>
  <conditionalFormatting sqref="C136">
    <cfRule type="cellIs" dxfId="74" priority="1099" operator="equal">
      <formula>$U$1</formula>
    </cfRule>
    <cfRule type="cellIs" dxfId="73" priority="1100" operator="equal">
      <formula>$S$1</formula>
    </cfRule>
  </conditionalFormatting>
  <conditionalFormatting sqref="D136">
    <cfRule type="cellIs" dxfId="72" priority="1097" operator="equal">
      <formula>$S$1</formula>
    </cfRule>
    <cfRule type="cellIs" dxfId="71" priority="1098" operator="equal">
      <formula>$U$1</formula>
    </cfRule>
  </conditionalFormatting>
  <conditionalFormatting sqref="C1">
    <cfRule type="cellIs" dxfId="70" priority="109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61" zoomScale="90" zoomScaleNormal="90" workbookViewId="0">
      <pane xSplit="4" topLeftCell="CQ1" activePane="topRight" state="frozen"/>
      <selection activeCell="A109" sqref="A109"/>
      <selection pane="topRight" activeCell="FO289" sqref="FO28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$A$288</v>
      </c>
      <c r="D111" s="1" t="str">
        <f>ADDRESS(C121-1,D121,1,1)</f>
        <v>$FO$288</v>
      </c>
      <c r="E111"/>
    </row>
    <row r="112" spans="1:5" x14ac:dyDescent="0.25">
      <c r="A112" s="30">
        <v>515.50191262726139</v>
      </c>
      <c r="C112" s="1" t="str">
        <f>ADDRESS(C121,1,1,1)</f>
        <v>$A$289</v>
      </c>
      <c r="D112" s="1" t="str">
        <f>ADDRESS(C121,D121-1,1,1)</f>
        <v>$FN$289</v>
      </c>
      <c r="E112"/>
    </row>
    <row r="113" spans="1:5" x14ac:dyDescent="0.25">
      <c r="A113" s="30">
        <v>490.95420250215363</v>
      </c>
      <c r="C113" s="1" t="str">
        <f>ADDRESS(C121+1,1,1,1)</f>
        <v>$A$290</v>
      </c>
      <c r="D113" s="1" t="str">
        <f>ADDRESS(C121-1,D121+1,1,1)</f>
        <v>$FP$288</v>
      </c>
    </row>
    <row r="114" spans="1:5" x14ac:dyDescent="0.25">
      <c r="A114" s="30">
        <v>467.57543095443202</v>
      </c>
      <c r="C114" s="1" t="str">
        <f>ADDRESS(C121,D121,1,1)</f>
        <v>$FO$289</v>
      </c>
      <c r="D114" s="1" t="str">
        <f>ADDRESS(C121+1,D121+1,1,1)</f>
        <v>$FP$290</v>
      </c>
    </row>
    <row r="115" spans="1:5" x14ac:dyDescent="0.25">
      <c r="A115" s="30">
        <v>445.30993424231622</v>
      </c>
      <c r="C115" s="1" t="str">
        <f>ADDRESS(C121+1,D121,1,1)</f>
        <v>$FO$290</v>
      </c>
    </row>
    <row r="116" spans="1:5" x14ac:dyDescent="0.25">
      <c r="A116" s="30">
        <v>424.10469927839637</v>
      </c>
      <c r="C116" s="1">
        <f>C117-1</f>
        <v>288</v>
      </c>
    </row>
    <row r="117" spans="1:5" x14ac:dyDescent="0.25">
      <c r="A117" s="30">
        <v>403.9092374079965</v>
      </c>
      <c r="C117" s="1">
        <f>C121</f>
        <v>289</v>
      </c>
      <c r="D117" s="1">
        <f>D121</f>
        <v>171</v>
      </c>
    </row>
    <row r="118" spans="1:5" x14ac:dyDescent="0.25">
      <c r="A118" s="30">
        <v>384.6754641980919</v>
      </c>
      <c r="C118" s="1">
        <f>C117+1</f>
        <v>290</v>
      </c>
      <c r="D118" s="1">
        <f>D117+1</f>
        <v>172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289</v>
      </c>
      <c r="D121" s="19">
        <v>171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R289</v>
      </c>
      <c r="D123" s="1" t="str">
        <f>"C"&amp;D121</f>
        <v>C171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9.1563913320997906E-2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15" x14ac:dyDescent="0.25">
      <c r="A241" s="30">
        <v>0.952380952380952</v>
      </c>
      <c r="B241"/>
      <c r="C241"/>
      <c r="D241"/>
      <c r="E241"/>
      <c r="F241" s="27" t="s">
        <v>7</v>
      </c>
    </row>
    <row r="242" spans="1:115" x14ac:dyDescent="0.25">
      <c r="A242" s="30">
        <v>0.90702947845804915</v>
      </c>
      <c r="B242"/>
      <c r="C242"/>
      <c r="D242"/>
      <c r="E242"/>
      <c r="F242" s="27" t="s">
        <v>7</v>
      </c>
    </row>
    <row r="243" spans="1:115" x14ac:dyDescent="0.25">
      <c r="A243" s="30">
        <v>0.86383759853147501</v>
      </c>
      <c r="B243"/>
      <c r="C243"/>
      <c r="D243"/>
      <c r="E243"/>
      <c r="F243" s="27" t="s">
        <v>7</v>
      </c>
    </row>
    <row r="244" spans="1:115" x14ac:dyDescent="0.25">
      <c r="A244" s="30">
        <v>0.82270247479188063</v>
      </c>
      <c r="B244"/>
      <c r="C244"/>
      <c r="D244"/>
      <c r="E244"/>
      <c r="F244" s="27" t="s">
        <v>7</v>
      </c>
    </row>
    <row r="245" spans="1:115" x14ac:dyDescent="0.25">
      <c r="A245" s="30">
        <v>0.78352616646845741</v>
      </c>
      <c r="B245"/>
      <c r="C245"/>
      <c r="D245"/>
      <c r="E245"/>
      <c r="F245" s="27" t="s">
        <v>7</v>
      </c>
    </row>
    <row r="246" spans="1:115" x14ac:dyDescent="0.25">
      <c r="A246" s="30">
        <v>0.74621539663662584</v>
      </c>
      <c r="B246"/>
      <c r="C246"/>
      <c r="D246"/>
      <c r="E246"/>
      <c r="F246" s="27" t="s">
        <v>7</v>
      </c>
    </row>
    <row r="247" spans="1:115" x14ac:dyDescent="0.25">
      <c r="A247" s="30">
        <v>0.71068133013011958</v>
      </c>
      <c r="B247"/>
      <c r="C247"/>
      <c r="D247"/>
      <c r="E247"/>
      <c r="F247" s="27" t="s">
        <v>7</v>
      </c>
    </row>
    <row r="248" spans="1:115" x14ac:dyDescent="0.25">
      <c r="A248" s="30">
        <v>0.676839362028685</v>
      </c>
      <c r="B248"/>
      <c r="C248"/>
      <c r="D248"/>
      <c r="E248"/>
      <c r="F248" s="27" t="s">
        <v>7</v>
      </c>
      <c r="DC248" s="31" t="s">
        <v>8</v>
      </c>
    </row>
    <row r="249" spans="1:115" x14ac:dyDescent="0.25">
      <c r="A249" s="30">
        <v>0.64460891621779492</v>
      </c>
      <c r="B249"/>
      <c r="C249"/>
      <c r="D249"/>
      <c r="E249"/>
      <c r="F249" s="27" t="s">
        <v>7</v>
      </c>
      <c r="DC249" s="27" t="s">
        <v>8</v>
      </c>
      <c r="DD249" s="31" t="s">
        <v>7</v>
      </c>
    </row>
    <row r="250" spans="1:115" x14ac:dyDescent="0.25">
      <c r="A250" s="30">
        <v>0.61391325354075688</v>
      </c>
      <c r="B250"/>
      <c r="C250"/>
      <c r="D250"/>
      <c r="E250"/>
      <c r="F250" s="27" t="s">
        <v>7</v>
      </c>
      <c r="DC250" s="27" t="s">
        <v>8</v>
      </c>
      <c r="DD250" s="27" t="s">
        <v>7</v>
      </c>
      <c r="DE250" s="31"/>
    </row>
    <row r="251" spans="1:115" x14ac:dyDescent="0.25">
      <c r="A251" s="30">
        <v>0.58467928908643485</v>
      </c>
      <c r="B251"/>
      <c r="C251"/>
      <c r="D251"/>
      <c r="E251"/>
      <c r="F251" s="27" t="s">
        <v>7</v>
      </c>
      <c r="DC251" s="27" t="s">
        <v>8</v>
      </c>
      <c r="DD251" s="27" t="s">
        <v>7</v>
      </c>
      <c r="DF251" s="31"/>
    </row>
    <row r="252" spans="1:115" x14ac:dyDescent="0.25">
      <c r="A252" s="30">
        <v>0.55683741817755672</v>
      </c>
      <c r="B252"/>
      <c r="C252"/>
      <c r="D252"/>
      <c r="E252"/>
      <c r="F252" s="27" t="s">
        <v>7</v>
      </c>
      <c r="DC252" s="27" t="s">
        <v>8</v>
      </c>
      <c r="DD252" s="27" t="s">
        <v>7</v>
      </c>
      <c r="DG252" s="31"/>
    </row>
    <row r="253" spans="1:115" x14ac:dyDescent="0.25">
      <c r="A253" s="30">
        <v>0.53032135064529184</v>
      </c>
      <c r="B253"/>
      <c r="C253"/>
      <c r="D253"/>
      <c r="E253"/>
      <c r="F253" s="27" t="s">
        <v>7</v>
      </c>
      <c r="CS253" s="27" t="s">
        <v>8</v>
      </c>
      <c r="DC253" s="27" t="s">
        <v>8</v>
      </c>
      <c r="DD253" s="27" t="s">
        <v>7</v>
      </c>
      <c r="DH253" s="31"/>
    </row>
    <row r="254" spans="1:115" x14ac:dyDescent="0.25">
      <c r="A254" s="30">
        <v>0.50506795299551588</v>
      </c>
      <c r="B254"/>
      <c r="C254"/>
      <c r="D254"/>
      <c r="E254"/>
      <c r="F254" s="27" t="s">
        <v>7</v>
      </c>
      <c r="CS254" s="27" t="s">
        <v>8</v>
      </c>
      <c r="CT254" s="27" t="s">
        <v>7</v>
      </c>
      <c r="DC254" s="27" t="s">
        <v>8</v>
      </c>
      <c r="DD254" s="27" t="s">
        <v>7</v>
      </c>
      <c r="DI254" s="31"/>
    </row>
    <row r="255" spans="1:115" x14ac:dyDescent="0.25">
      <c r="A255" s="30">
        <v>0.48101709809096732</v>
      </c>
      <c r="E255"/>
      <c r="F255" s="27" t="s">
        <v>7</v>
      </c>
      <c r="CS255" s="27" t="s">
        <v>8</v>
      </c>
      <c r="CT255" s="27" t="s">
        <v>7</v>
      </c>
      <c r="DC255" s="27" t="s">
        <v>8</v>
      </c>
      <c r="DD255" s="27" t="s">
        <v>7</v>
      </c>
      <c r="DE255" s="32" t="s">
        <v>8</v>
      </c>
      <c r="DG255" s="32" t="s">
        <v>8</v>
      </c>
      <c r="DJ255" s="31"/>
    </row>
    <row r="256" spans="1:115" x14ac:dyDescent="0.25">
      <c r="A256" s="30">
        <v>0.45811152199139726</v>
      </c>
      <c r="E256"/>
      <c r="F256" s="27" t="s">
        <v>7</v>
      </c>
      <c r="CQ256" s="27" t="s">
        <v>8</v>
      </c>
      <c r="CS256" s="27" t="s">
        <v>8</v>
      </c>
      <c r="CT256" s="27" t="s">
        <v>7</v>
      </c>
      <c r="CU256" s="27" t="s">
        <v>8</v>
      </c>
      <c r="DC256" s="27" t="s">
        <v>8</v>
      </c>
      <c r="DD256" s="27" t="s">
        <v>7</v>
      </c>
      <c r="DE256" s="27" t="s">
        <v>8</v>
      </c>
      <c r="DF256" s="27" t="s">
        <v>7</v>
      </c>
      <c r="DG256" s="27" t="s">
        <v>8</v>
      </c>
      <c r="DH256" s="27" t="s">
        <v>7</v>
      </c>
      <c r="DK256" s="31"/>
    </row>
    <row r="257" spans="1:158" x14ac:dyDescent="0.25">
      <c r="A257" s="30">
        <v>0.43629668761085438</v>
      </c>
      <c r="B257"/>
      <c r="C257"/>
      <c r="D257"/>
      <c r="E257"/>
      <c r="F257" s="27" t="s">
        <v>7</v>
      </c>
      <c r="CQ257" s="27" t="s">
        <v>8</v>
      </c>
      <c r="CR257" s="27" t="s">
        <v>7</v>
      </c>
      <c r="CS257" s="27" t="s">
        <v>8</v>
      </c>
      <c r="CT257" s="27" t="s">
        <v>7</v>
      </c>
      <c r="CU257" s="27" t="s">
        <v>8</v>
      </c>
      <c r="CV257" s="27" t="s">
        <v>7</v>
      </c>
      <c r="DC257" s="27" t="s">
        <v>8</v>
      </c>
      <c r="DD257" s="27" t="s">
        <v>7</v>
      </c>
      <c r="DE257" s="27" t="s">
        <v>8</v>
      </c>
      <c r="DF257" s="27" t="s">
        <v>7</v>
      </c>
      <c r="DG257" s="27" t="s">
        <v>8</v>
      </c>
      <c r="DH257" s="27" t="s">
        <v>7</v>
      </c>
      <c r="DL257" s="31"/>
    </row>
    <row r="258" spans="1:158" x14ac:dyDescent="0.25">
      <c r="A258" s="30">
        <v>0.41552065486748019</v>
      </c>
      <c r="B258"/>
      <c r="C258"/>
      <c r="D258"/>
      <c r="E258"/>
      <c r="F258" s="27" t="s">
        <v>7</v>
      </c>
      <c r="CQ258" s="27" t="s">
        <v>8</v>
      </c>
      <c r="CR258" s="27" t="s">
        <v>7</v>
      </c>
      <c r="CS258" s="27" t="s">
        <v>8</v>
      </c>
      <c r="CT258" s="27" t="s">
        <v>7</v>
      </c>
      <c r="CU258" s="27" t="s">
        <v>8</v>
      </c>
      <c r="CV258" s="27" t="s">
        <v>7</v>
      </c>
      <c r="DC258" s="27" t="s">
        <v>8</v>
      </c>
      <c r="DD258" s="27" t="s">
        <v>7</v>
      </c>
      <c r="DF258" s="27" t="s">
        <v>7</v>
      </c>
      <c r="DG258" s="27" t="s">
        <v>8</v>
      </c>
      <c r="DH258" s="27" t="s">
        <v>7</v>
      </c>
      <c r="DM258" s="31"/>
    </row>
    <row r="259" spans="1:158" x14ac:dyDescent="0.25">
      <c r="A259" s="30">
        <v>0.39573395701664765</v>
      </c>
      <c r="B259"/>
      <c r="C259"/>
      <c r="D259"/>
      <c r="E259"/>
      <c r="F259" s="27" t="s">
        <v>7</v>
      </c>
      <c r="CO259" s="27" t="s">
        <v>8</v>
      </c>
      <c r="CQ259" s="27" t="s">
        <v>8</v>
      </c>
      <c r="CR259" s="27" t="s">
        <v>7</v>
      </c>
      <c r="CS259" s="27" t="s">
        <v>8</v>
      </c>
      <c r="CT259" s="27" t="s">
        <v>7</v>
      </c>
      <c r="CV259" s="27" t="s">
        <v>7</v>
      </c>
      <c r="CW259" s="27" t="s">
        <v>8</v>
      </c>
      <c r="DC259" s="27" t="s">
        <v>8</v>
      </c>
      <c r="DF259" s="33" t="s">
        <v>7</v>
      </c>
      <c r="DG259" s="27" t="s">
        <v>8</v>
      </c>
      <c r="DH259" s="27" t="s">
        <v>7</v>
      </c>
      <c r="DN259" s="31"/>
    </row>
    <row r="260" spans="1:158" x14ac:dyDescent="0.25">
      <c r="A260" s="30">
        <v>0.37688948287299762</v>
      </c>
      <c r="B260"/>
      <c r="C260"/>
      <c r="D260"/>
      <c r="E260"/>
      <c r="F260" s="27" t="s">
        <v>7</v>
      </c>
      <c r="CM260" s="27" t="s">
        <v>8</v>
      </c>
      <c r="CO260" s="27" t="s">
        <v>8</v>
      </c>
      <c r="CP260" s="27" t="s">
        <v>7</v>
      </c>
      <c r="CQ260" s="27" t="s">
        <v>8</v>
      </c>
      <c r="CR260" s="27" t="s">
        <v>7</v>
      </c>
      <c r="CV260" s="33" t="s">
        <v>7</v>
      </c>
      <c r="CW260" s="27" t="s">
        <v>8</v>
      </c>
      <c r="CX260" s="27" t="s">
        <v>7</v>
      </c>
      <c r="DA260" s="27" t="s">
        <v>8</v>
      </c>
      <c r="DC260" s="27" t="s">
        <v>8</v>
      </c>
      <c r="DF260" s="27" t="s">
        <v>7</v>
      </c>
      <c r="DG260" s="27" t="s">
        <v>8</v>
      </c>
      <c r="DH260" s="27" t="s">
        <v>7</v>
      </c>
      <c r="DO260" s="31"/>
    </row>
    <row r="261" spans="1:158" x14ac:dyDescent="0.25">
      <c r="A261" s="30">
        <v>0.35894236464094997</v>
      </c>
      <c r="B261"/>
      <c r="C261"/>
      <c r="D261"/>
      <c r="E261"/>
      <c r="F261" s="27" t="s">
        <v>7</v>
      </c>
      <c r="CM261" s="27" t="s">
        <v>8</v>
      </c>
      <c r="CN261" s="27" t="s">
        <v>7</v>
      </c>
      <c r="CO261" s="27" t="s">
        <v>8</v>
      </c>
      <c r="CP261" s="27" t="s">
        <v>7</v>
      </c>
      <c r="CQ261" s="27" t="s">
        <v>8</v>
      </c>
      <c r="CV261" s="27" t="s">
        <v>7</v>
      </c>
      <c r="CW261" s="27" t="s">
        <v>8</v>
      </c>
      <c r="CX261" s="27" t="s">
        <v>7</v>
      </c>
      <c r="DA261" s="27" t="s">
        <v>8</v>
      </c>
      <c r="DB261" s="27" t="s">
        <v>7</v>
      </c>
      <c r="DC261" s="27" t="s">
        <v>8</v>
      </c>
      <c r="DF261" s="27" t="s">
        <v>7</v>
      </c>
      <c r="DH261" s="27" t="s">
        <v>7</v>
      </c>
      <c r="DP261" s="31"/>
      <c r="EW261" s="27" t="s">
        <v>8</v>
      </c>
    </row>
    <row r="262" spans="1:158" x14ac:dyDescent="0.25">
      <c r="A262" s="30">
        <v>0.34184987108661891</v>
      </c>
      <c r="B262"/>
      <c r="C262"/>
      <c r="D262"/>
      <c r="E262"/>
      <c r="F262" s="27" t="s">
        <v>7</v>
      </c>
      <c r="CM262" s="27" t="s">
        <v>8</v>
      </c>
      <c r="CN262" s="27" t="s">
        <v>7</v>
      </c>
      <c r="CO262" s="27" t="s">
        <v>8</v>
      </c>
      <c r="CP262" s="27" t="s">
        <v>7</v>
      </c>
      <c r="CV262" s="27" t="s">
        <v>7</v>
      </c>
      <c r="CW262" s="27" t="s">
        <v>8</v>
      </c>
      <c r="CX262" s="27" t="s">
        <v>7</v>
      </c>
      <c r="DA262" s="27" t="s">
        <v>8</v>
      </c>
      <c r="DB262" s="27" t="s">
        <v>7</v>
      </c>
      <c r="DC262" s="27" t="s">
        <v>8</v>
      </c>
      <c r="DH262" s="27" t="s">
        <v>7</v>
      </c>
      <c r="DQ262" s="31"/>
      <c r="EW262" s="27" t="s">
        <v>8</v>
      </c>
      <c r="EX262" s="27" t="s">
        <v>7</v>
      </c>
    </row>
    <row r="263" spans="1:158" x14ac:dyDescent="0.25">
      <c r="A263" s="30">
        <v>0.32557130579677979</v>
      </c>
      <c r="B263"/>
      <c r="C263"/>
      <c r="D263"/>
      <c r="E263"/>
      <c r="F263" s="27" t="s">
        <v>7</v>
      </c>
      <c r="CM263" s="27" t="s">
        <v>8</v>
      </c>
      <c r="CN263" s="27" t="s">
        <v>7</v>
      </c>
      <c r="CO263" s="27" t="s">
        <v>8</v>
      </c>
      <c r="CV263" s="27" t="s">
        <v>7</v>
      </c>
      <c r="CX263" s="27" t="s">
        <v>7</v>
      </c>
      <c r="DA263" s="27" t="s">
        <v>8</v>
      </c>
      <c r="DB263" s="27" t="s">
        <v>7</v>
      </c>
      <c r="DC263" s="27" t="s">
        <v>8</v>
      </c>
      <c r="DH263" s="27" t="s">
        <v>7</v>
      </c>
      <c r="DR263" s="31"/>
      <c r="EW263" s="27" t="s">
        <v>8</v>
      </c>
      <c r="EX263" s="27" t="s">
        <v>7</v>
      </c>
    </row>
    <row r="264" spans="1:158" x14ac:dyDescent="0.25">
      <c r="A264" s="30">
        <v>0.3100679102826473</v>
      </c>
      <c r="B264"/>
      <c r="C264"/>
      <c r="D264"/>
      <c r="E264"/>
      <c r="F264" s="27" t="s">
        <v>7</v>
      </c>
      <c r="CG264" s="27" t="s">
        <v>8</v>
      </c>
      <c r="CK264" s="27" t="s">
        <v>8</v>
      </c>
      <c r="CM264" s="27" t="s">
        <v>8</v>
      </c>
      <c r="CN264" s="27" t="s">
        <v>7</v>
      </c>
      <c r="CX264" s="27" t="s">
        <v>7</v>
      </c>
      <c r="DA264" s="27" t="s">
        <v>8</v>
      </c>
      <c r="DB264" s="27" t="s">
        <v>7</v>
      </c>
      <c r="DH264" s="27" t="s">
        <v>7</v>
      </c>
      <c r="DS264" s="31"/>
      <c r="EW264" s="27" t="s">
        <v>8</v>
      </c>
      <c r="EX264" s="27" t="s">
        <v>7</v>
      </c>
    </row>
    <row r="265" spans="1:158" x14ac:dyDescent="0.25">
      <c r="A265" s="30">
        <v>0.2953027716977592</v>
      </c>
      <c r="B265"/>
      <c r="C265"/>
      <c r="D265"/>
      <c r="E265"/>
      <c r="F265" s="27" t="s">
        <v>7</v>
      </c>
      <c r="CG265" s="27" t="s">
        <v>8</v>
      </c>
      <c r="CH265" s="27" t="s">
        <v>7</v>
      </c>
      <c r="CI265" s="27" t="s">
        <v>8</v>
      </c>
      <c r="CK265" s="27" t="s">
        <v>8</v>
      </c>
      <c r="CL265" s="27" t="s">
        <v>7</v>
      </c>
      <c r="CM265" s="27" t="s">
        <v>8</v>
      </c>
      <c r="CX265" s="27" t="s">
        <v>7</v>
      </c>
      <c r="DA265" s="27" t="s">
        <v>8</v>
      </c>
      <c r="DH265" s="27" t="s">
        <v>7</v>
      </c>
      <c r="DT265" s="31"/>
      <c r="EW265" s="27" t="s">
        <v>8</v>
      </c>
      <c r="EX265" s="27" t="s">
        <v>7</v>
      </c>
    </row>
    <row r="266" spans="1:158" x14ac:dyDescent="0.25">
      <c r="A266" s="30">
        <v>0.28124073495024676</v>
      </c>
      <c r="B266"/>
      <c r="C266"/>
      <c r="D266"/>
      <c r="E266"/>
      <c r="F266" s="27" t="s">
        <v>7</v>
      </c>
      <c r="CG266" s="27" t="s">
        <v>8</v>
      </c>
      <c r="CH266" s="27" t="s">
        <v>7</v>
      </c>
      <c r="CI266" s="27" t="s">
        <v>8</v>
      </c>
      <c r="CJ266" s="27" t="s">
        <v>7</v>
      </c>
      <c r="CK266" s="27" t="s">
        <v>8</v>
      </c>
      <c r="CL266" s="27" t="s">
        <v>7</v>
      </c>
      <c r="CM266" s="27" t="s">
        <v>8</v>
      </c>
      <c r="CX266" s="27" t="s">
        <v>7</v>
      </c>
      <c r="DA266" s="34" t="s">
        <v>8</v>
      </c>
      <c r="DH266" s="27" t="s">
        <v>7</v>
      </c>
      <c r="DU266" s="31"/>
      <c r="EW266" s="27" t="s">
        <v>8</v>
      </c>
      <c r="EX266" s="27" t="s">
        <v>7</v>
      </c>
    </row>
    <row r="267" spans="1:158" x14ac:dyDescent="0.25">
      <c r="A267" s="30">
        <v>0.26784831900023492</v>
      </c>
      <c r="B267"/>
      <c r="C267"/>
      <c r="D267"/>
      <c r="E267"/>
      <c r="F267" s="27" t="s">
        <v>7</v>
      </c>
      <c r="BY267" s="27" t="s">
        <v>8</v>
      </c>
      <c r="CG267" s="27" t="s">
        <v>8</v>
      </c>
      <c r="CH267" s="27" t="s">
        <v>7</v>
      </c>
      <c r="CI267" s="27" t="s">
        <v>8</v>
      </c>
      <c r="CJ267" s="27" t="s">
        <v>7</v>
      </c>
      <c r="CK267" s="27" t="s">
        <v>8</v>
      </c>
      <c r="CL267" s="27" t="s">
        <v>7</v>
      </c>
      <c r="CM267" s="27" t="s">
        <v>8</v>
      </c>
      <c r="CX267" s="27" t="s">
        <v>7</v>
      </c>
      <c r="CY267" s="27" t="s">
        <v>8</v>
      </c>
      <c r="DA267" s="27" t="s">
        <v>8</v>
      </c>
      <c r="DH267" s="27" t="s">
        <v>7</v>
      </c>
      <c r="DI267" s="27" t="s">
        <v>8</v>
      </c>
      <c r="DV267" s="31"/>
      <c r="EW267" s="27" t="s">
        <v>8</v>
      </c>
      <c r="EX267" s="27" t="s">
        <v>7</v>
      </c>
    </row>
    <row r="268" spans="1:158" x14ac:dyDescent="0.25">
      <c r="A268" s="30">
        <v>0.25509363714308075</v>
      </c>
      <c r="B268"/>
      <c r="C268"/>
      <c r="D268"/>
      <c r="E268"/>
      <c r="F268" s="27" t="s">
        <v>7</v>
      </c>
      <c r="BY268" s="27" t="s">
        <v>8</v>
      </c>
      <c r="BZ268" s="27" t="s">
        <v>7</v>
      </c>
      <c r="CG268" s="27" t="s">
        <v>8</v>
      </c>
      <c r="CH268" s="27" t="s">
        <v>7</v>
      </c>
      <c r="CJ268" s="27" t="s">
        <v>7</v>
      </c>
      <c r="CK268" s="27" t="s">
        <v>8</v>
      </c>
      <c r="CL268" s="27" t="s">
        <v>7</v>
      </c>
      <c r="CX268" s="27" t="s">
        <v>7</v>
      </c>
      <c r="CY268" s="27" t="s">
        <v>8</v>
      </c>
      <c r="CZ268" s="27" t="s">
        <v>7</v>
      </c>
      <c r="DA268" s="27" t="s">
        <v>8</v>
      </c>
      <c r="DH268" s="27" t="s">
        <v>7</v>
      </c>
      <c r="DI268" s="27" t="s">
        <v>8</v>
      </c>
      <c r="DJ268" s="27" t="s">
        <v>7</v>
      </c>
      <c r="DW268" s="31"/>
      <c r="EW268" s="27" t="s">
        <v>8</v>
      </c>
      <c r="EX268" s="27" t="s">
        <v>7</v>
      </c>
      <c r="FA268" s="27" t="s">
        <v>8</v>
      </c>
    </row>
    <row r="269" spans="1:158" x14ac:dyDescent="0.25">
      <c r="A269" s="30">
        <v>0.24294632108864825</v>
      </c>
      <c r="B269"/>
      <c r="C269"/>
      <c r="D269"/>
      <c r="E269"/>
      <c r="F269" s="27" t="s">
        <v>7</v>
      </c>
      <c r="BY269" s="27" t="s">
        <v>8</v>
      </c>
      <c r="BZ269" s="27" t="s">
        <v>7</v>
      </c>
      <c r="CA269" s="27" t="s">
        <v>8</v>
      </c>
      <c r="CG269" s="27" t="s">
        <v>8</v>
      </c>
      <c r="CJ269" s="27" t="s">
        <v>7</v>
      </c>
      <c r="CK269" s="27" t="s">
        <v>8</v>
      </c>
      <c r="CX269" s="27" t="s">
        <v>7</v>
      </c>
      <c r="CY269" s="27" t="s">
        <v>8</v>
      </c>
      <c r="CZ269" s="27" t="s">
        <v>7</v>
      </c>
      <c r="DA269" s="27" t="s">
        <v>8</v>
      </c>
      <c r="DH269" s="27" t="s">
        <v>7</v>
      </c>
      <c r="DI269" s="27" t="s">
        <v>8</v>
      </c>
      <c r="DJ269" s="27" t="s">
        <v>7</v>
      </c>
      <c r="DM269" s="34" t="s">
        <v>8</v>
      </c>
      <c r="DX269" s="31"/>
      <c r="EE269" s="31" t="s">
        <v>8</v>
      </c>
      <c r="EW269" s="27" t="s">
        <v>8</v>
      </c>
      <c r="EX269" s="27" t="s">
        <v>7</v>
      </c>
      <c r="EY269" s="27" t="s">
        <v>8</v>
      </c>
      <c r="FA269" s="27" t="s">
        <v>8</v>
      </c>
      <c r="FB269" s="27" t="s">
        <v>7</v>
      </c>
    </row>
    <row r="270" spans="1:158" x14ac:dyDescent="0.25">
      <c r="A270" s="30">
        <v>0.23137744865585538</v>
      </c>
      <c r="B270"/>
      <c r="C270"/>
      <c r="D270"/>
      <c r="E270"/>
      <c r="F270" s="27" t="s">
        <v>7</v>
      </c>
      <c r="BY270" s="27" t="s">
        <v>8</v>
      </c>
      <c r="BZ270" s="27" t="s">
        <v>7</v>
      </c>
      <c r="CA270" s="27" t="s">
        <v>8</v>
      </c>
      <c r="CB270" s="27" t="s">
        <v>7</v>
      </c>
      <c r="CG270" s="27" t="s">
        <v>8</v>
      </c>
      <c r="CJ270" s="27" t="s">
        <v>7</v>
      </c>
      <c r="CX270" s="27" t="s">
        <v>7</v>
      </c>
      <c r="CY270" s="27" t="s">
        <v>8</v>
      </c>
      <c r="CZ270" s="27" t="s">
        <v>7</v>
      </c>
      <c r="DA270" s="27" t="s">
        <v>8</v>
      </c>
      <c r="DH270" s="27" t="s">
        <v>7</v>
      </c>
      <c r="DI270" s="27" t="s">
        <v>8</v>
      </c>
      <c r="DJ270" s="27" t="s">
        <v>7</v>
      </c>
      <c r="DK270" s="27" t="s">
        <v>8</v>
      </c>
      <c r="DM270" s="27" t="s">
        <v>8</v>
      </c>
      <c r="DN270" s="27" t="s">
        <v>7</v>
      </c>
      <c r="DY270" s="31"/>
      <c r="EC270" s="27" t="s">
        <v>8</v>
      </c>
      <c r="EE270" s="27" t="s">
        <v>8</v>
      </c>
      <c r="EF270" s="31" t="s">
        <v>7</v>
      </c>
      <c r="EW270" s="27" t="s">
        <v>8</v>
      </c>
      <c r="EX270" s="27" t="s">
        <v>7</v>
      </c>
      <c r="EY270" s="27" t="s">
        <v>8</v>
      </c>
      <c r="EZ270" s="27" t="s">
        <v>7</v>
      </c>
      <c r="FA270" s="27" t="s">
        <v>8</v>
      </c>
      <c r="FB270" s="27" t="s">
        <v>7</v>
      </c>
    </row>
    <row r="271" spans="1:158" x14ac:dyDescent="0.25">
      <c r="A271" s="30">
        <v>0.22035947491033836</v>
      </c>
      <c r="B271"/>
      <c r="C271"/>
      <c r="D271"/>
      <c r="E271"/>
      <c r="F271" s="27" t="s">
        <v>7</v>
      </c>
      <c r="BW271" s="27" t="s">
        <v>8</v>
      </c>
      <c r="BY271" s="27" t="s">
        <v>8</v>
      </c>
      <c r="BZ271" s="27" t="s">
        <v>7</v>
      </c>
      <c r="CA271" s="27" t="s">
        <v>8</v>
      </c>
      <c r="CB271" s="27" t="s">
        <v>7</v>
      </c>
      <c r="CG271" s="27" t="s">
        <v>8</v>
      </c>
      <c r="CX271" s="32" t="s">
        <v>7</v>
      </c>
      <c r="CZ271" s="32" t="s">
        <v>7</v>
      </c>
      <c r="DH271" s="27" t="s">
        <v>7</v>
      </c>
      <c r="DI271" s="27" t="s">
        <v>8</v>
      </c>
      <c r="DJ271" s="27" t="s">
        <v>7</v>
      </c>
      <c r="DK271" s="27" t="s">
        <v>8</v>
      </c>
      <c r="DL271" s="27" t="s">
        <v>7</v>
      </c>
      <c r="DM271" s="27" t="s">
        <v>8</v>
      </c>
      <c r="DN271" s="27" t="s">
        <v>7</v>
      </c>
      <c r="DO271" s="27" t="s">
        <v>8</v>
      </c>
      <c r="DZ271" s="31"/>
      <c r="EC271" s="27" t="s">
        <v>8</v>
      </c>
      <c r="ED271" s="27" t="s">
        <v>7</v>
      </c>
      <c r="EE271" s="27" t="s">
        <v>8</v>
      </c>
      <c r="EF271" s="27" t="s">
        <v>7</v>
      </c>
      <c r="EG271" s="31"/>
      <c r="EW271" s="27" t="s">
        <v>8</v>
      </c>
      <c r="EX271" s="27" t="s">
        <v>7</v>
      </c>
      <c r="EY271" s="27" t="s">
        <v>8</v>
      </c>
      <c r="EZ271" s="27" t="s">
        <v>7</v>
      </c>
      <c r="FA271" s="27" t="s">
        <v>8</v>
      </c>
      <c r="FB271" s="27" t="s">
        <v>7</v>
      </c>
    </row>
    <row r="272" spans="1:158" x14ac:dyDescent="0.25">
      <c r="A272" s="30">
        <v>0.20986616658127455</v>
      </c>
      <c r="B272"/>
      <c r="C272"/>
      <c r="D272"/>
      <c r="E272"/>
      <c r="F272" s="27" t="s">
        <v>7</v>
      </c>
      <c r="BW272" s="27" t="s">
        <v>8</v>
      </c>
      <c r="BX272" s="27" t="s">
        <v>7</v>
      </c>
      <c r="BY272" s="27" t="s">
        <v>8</v>
      </c>
      <c r="BZ272" s="27" t="s">
        <v>7</v>
      </c>
      <c r="CA272" s="27" t="s">
        <v>8</v>
      </c>
      <c r="CB272" s="27" t="s">
        <v>7</v>
      </c>
      <c r="CE272" s="27" t="s">
        <v>8</v>
      </c>
      <c r="CG272" s="27" t="s">
        <v>8</v>
      </c>
      <c r="DH272" s="27" t="s">
        <v>7</v>
      </c>
      <c r="DI272" s="27" t="s">
        <v>8</v>
      </c>
      <c r="DJ272" s="27" t="s">
        <v>7</v>
      </c>
      <c r="DK272" s="27" t="s">
        <v>8</v>
      </c>
      <c r="DL272" s="27" t="s">
        <v>7</v>
      </c>
      <c r="DM272" s="27" t="s">
        <v>8</v>
      </c>
      <c r="DN272" s="27" t="s">
        <v>7</v>
      </c>
      <c r="DO272" s="27" t="s">
        <v>8</v>
      </c>
      <c r="DP272" s="27" t="s">
        <v>7</v>
      </c>
      <c r="DY272" s="27" t="s">
        <v>8</v>
      </c>
      <c r="EA272" s="31" t="s">
        <v>8</v>
      </c>
      <c r="EC272" s="27" t="s">
        <v>8</v>
      </c>
      <c r="ED272" s="27" t="s">
        <v>7</v>
      </c>
      <c r="EE272" s="27" t="s">
        <v>8</v>
      </c>
      <c r="EF272" s="27" t="s">
        <v>7</v>
      </c>
      <c r="EH272" s="31"/>
      <c r="ES272" s="27" t="s">
        <v>8</v>
      </c>
      <c r="EW272" s="27" t="s">
        <v>8</v>
      </c>
      <c r="EX272" s="27" t="s">
        <v>7</v>
      </c>
      <c r="EY272" s="27" t="s">
        <v>8</v>
      </c>
      <c r="EZ272" s="27" t="s">
        <v>7</v>
      </c>
      <c r="FB272" s="27" t="s">
        <v>7</v>
      </c>
    </row>
    <row r="273" spans="1:170" x14ac:dyDescent="0.25">
      <c r="A273" s="30">
        <v>0.19987253960121379</v>
      </c>
      <c r="B273"/>
      <c r="C273"/>
      <c r="D273"/>
      <c r="E273"/>
      <c r="F273" s="27" t="s">
        <v>7</v>
      </c>
      <c r="BW273" s="27" t="s">
        <v>8</v>
      </c>
      <c r="BX273" s="27" t="s">
        <v>7</v>
      </c>
      <c r="BY273" s="27" t="s">
        <v>8</v>
      </c>
      <c r="BZ273" s="27" t="s">
        <v>7</v>
      </c>
      <c r="CA273" s="27" t="s">
        <v>8</v>
      </c>
      <c r="CB273" s="27" t="s">
        <v>7</v>
      </c>
      <c r="CC273" s="27" t="s">
        <v>8</v>
      </c>
      <c r="CE273" s="27" t="s">
        <v>8</v>
      </c>
      <c r="CF273" s="27" t="s">
        <v>7</v>
      </c>
      <c r="CG273" s="27" t="s">
        <v>8</v>
      </c>
      <c r="DH273" s="27" t="s">
        <v>7</v>
      </c>
      <c r="DI273" s="27" t="s">
        <v>8</v>
      </c>
      <c r="DJ273" s="27" t="s">
        <v>7</v>
      </c>
      <c r="DK273" s="27" t="s">
        <v>8</v>
      </c>
      <c r="DL273" s="27" t="s">
        <v>7</v>
      </c>
      <c r="DM273" s="27" t="s">
        <v>8</v>
      </c>
      <c r="DN273" s="27" t="s">
        <v>7</v>
      </c>
      <c r="DO273" s="27" t="s">
        <v>8</v>
      </c>
      <c r="DP273" s="27" t="s">
        <v>7</v>
      </c>
      <c r="DQ273" s="27" t="s">
        <v>8</v>
      </c>
      <c r="DY273" s="27" t="s">
        <v>8</v>
      </c>
      <c r="DZ273" s="27" t="s">
        <v>7</v>
      </c>
      <c r="EA273" s="27" t="s">
        <v>8</v>
      </c>
      <c r="EB273" s="31" t="s">
        <v>7</v>
      </c>
      <c r="EC273" s="27" t="s">
        <v>8</v>
      </c>
      <c r="ED273" s="27" t="s">
        <v>7</v>
      </c>
      <c r="EE273" s="27" t="s">
        <v>8</v>
      </c>
      <c r="EF273" s="27" t="s">
        <v>7</v>
      </c>
      <c r="EI273" s="31" t="s">
        <v>8</v>
      </c>
      <c r="ES273" s="27" t="s">
        <v>8</v>
      </c>
      <c r="ET273" s="27" t="s">
        <v>7</v>
      </c>
      <c r="EW273" s="27" t="s">
        <v>8</v>
      </c>
      <c r="EX273" s="27" t="s">
        <v>7</v>
      </c>
      <c r="FB273" s="27" t="s">
        <v>7</v>
      </c>
    </row>
    <row r="274" spans="1:170" x14ac:dyDescent="0.25">
      <c r="A274" s="30">
        <v>0.19035479962020352</v>
      </c>
      <c r="B274"/>
      <c r="C274"/>
      <c r="D274"/>
      <c r="E274"/>
      <c r="F274" s="27" t="s">
        <v>7</v>
      </c>
      <c r="BW274" s="27" t="s">
        <v>8</v>
      </c>
      <c r="BX274" s="27" t="s">
        <v>7</v>
      </c>
      <c r="BY274" s="27" t="s">
        <v>8</v>
      </c>
      <c r="BZ274" s="27" t="s">
        <v>7</v>
      </c>
      <c r="CA274" s="27" t="s">
        <v>8</v>
      </c>
      <c r="CB274" s="27" t="s">
        <v>7</v>
      </c>
      <c r="CC274" s="27" t="s">
        <v>8</v>
      </c>
      <c r="CD274" s="27" t="s">
        <v>7</v>
      </c>
      <c r="CE274" s="27" t="s">
        <v>8</v>
      </c>
      <c r="CF274" s="27" t="s">
        <v>7</v>
      </c>
      <c r="CG274" s="27" t="s">
        <v>8</v>
      </c>
      <c r="DH274" s="27" t="s">
        <v>7</v>
      </c>
      <c r="DI274" s="27" t="s">
        <v>8</v>
      </c>
      <c r="DJ274" s="27" t="s">
        <v>7</v>
      </c>
      <c r="DK274" s="27" t="s">
        <v>8</v>
      </c>
      <c r="DL274" s="27" t="s">
        <v>7</v>
      </c>
      <c r="DM274" s="27" t="s">
        <v>8</v>
      </c>
      <c r="DN274" s="27" t="s">
        <v>7</v>
      </c>
      <c r="DO274" s="27" t="s">
        <v>8</v>
      </c>
      <c r="DP274" s="27" t="s">
        <v>7</v>
      </c>
      <c r="DQ274" s="27" t="s">
        <v>8</v>
      </c>
      <c r="DR274" s="27" t="s">
        <v>7</v>
      </c>
      <c r="DY274" s="27" t="s">
        <v>8</v>
      </c>
      <c r="DZ274" s="27" t="s">
        <v>7</v>
      </c>
      <c r="EA274" s="27" t="s">
        <v>8</v>
      </c>
      <c r="EB274" s="27" t="s">
        <v>7</v>
      </c>
      <c r="EC274" s="31" t="s">
        <v>8</v>
      </c>
      <c r="ED274" s="27" t="s">
        <v>7</v>
      </c>
      <c r="EF274" s="27" t="s">
        <v>7</v>
      </c>
      <c r="EG274" s="27" t="s">
        <v>8</v>
      </c>
      <c r="EI274" s="27" t="s">
        <v>8</v>
      </c>
      <c r="EJ274" s="31" t="s">
        <v>7</v>
      </c>
      <c r="EQ274" s="27" t="s">
        <v>8</v>
      </c>
      <c r="ES274" s="27" t="s">
        <v>8</v>
      </c>
      <c r="ET274" s="27" t="s">
        <v>7</v>
      </c>
      <c r="EU274" s="27" t="s">
        <v>8</v>
      </c>
      <c r="EW274" s="27" t="s">
        <v>8</v>
      </c>
      <c r="FB274" s="27" t="s">
        <v>7</v>
      </c>
    </row>
    <row r="275" spans="1:170" x14ac:dyDescent="0.25">
      <c r="A275" s="30">
        <v>0.18129028535257471</v>
      </c>
      <c r="B275"/>
      <c r="C275"/>
      <c r="D275"/>
      <c r="E275"/>
      <c r="F275" s="27" t="s">
        <v>7</v>
      </c>
      <c r="I275" s="27" t="s">
        <v>8</v>
      </c>
      <c r="BW275" s="27" t="s">
        <v>8</v>
      </c>
      <c r="BX275" s="27" t="s">
        <v>7</v>
      </c>
      <c r="BY275" s="27" t="s">
        <v>8</v>
      </c>
      <c r="BZ275" s="27" t="s">
        <v>7</v>
      </c>
      <c r="CA275" s="27" t="s">
        <v>8</v>
      </c>
      <c r="CB275" s="27" t="s">
        <v>7</v>
      </c>
      <c r="CC275" s="27" t="s">
        <v>8</v>
      </c>
      <c r="CD275" s="27" t="s">
        <v>7</v>
      </c>
      <c r="CE275" s="27" t="s">
        <v>8</v>
      </c>
      <c r="CF275" s="27" t="s">
        <v>7</v>
      </c>
      <c r="DH275" s="27" t="s">
        <v>7</v>
      </c>
      <c r="DI275" s="27" t="s">
        <v>8</v>
      </c>
      <c r="DJ275" s="27" t="s">
        <v>7</v>
      </c>
      <c r="DL275" s="27" t="s">
        <v>7</v>
      </c>
      <c r="DM275" s="27" t="s">
        <v>8</v>
      </c>
      <c r="DN275" s="27" t="s">
        <v>7</v>
      </c>
      <c r="DO275" s="27" t="s">
        <v>8</v>
      </c>
      <c r="DP275" s="27" t="s">
        <v>7</v>
      </c>
      <c r="DQ275" s="27" t="s">
        <v>8</v>
      </c>
      <c r="DR275" s="27" t="s">
        <v>7</v>
      </c>
      <c r="DY275" s="27" t="s">
        <v>8</v>
      </c>
      <c r="DZ275" s="27" t="s">
        <v>7</v>
      </c>
      <c r="EA275" s="27" t="s">
        <v>8</v>
      </c>
      <c r="EB275" s="27" t="s">
        <v>7</v>
      </c>
      <c r="ED275" s="31"/>
      <c r="EF275" s="27" t="s">
        <v>7</v>
      </c>
      <c r="EG275" s="27" t="s">
        <v>8</v>
      </c>
      <c r="EH275" s="27" t="s">
        <v>7</v>
      </c>
      <c r="EI275" s="27" t="s">
        <v>8</v>
      </c>
      <c r="EJ275" s="27" t="s">
        <v>7</v>
      </c>
      <c r="EK275" s="31"/>
      <c r="EO275" s="27" t="s">
        <v>8</v>
      </c>
      <c r="EQ275" s="27" t="s">
        <v>8</v>
      </c>
      <c r="ER275" s="27" t="s">
        <v>7</v>
      </c>
      <c r="ES275" s="27" t="s">
        <v>8</v>
      </c>
      <c r="ET275" s="27" t="s">
        <v>7</v>
      </c>
      <c r="EU275" s="27" t="s">
        <v>8</v>
      </c>
      <c r="EV275" s="27" t="s">
        <v>7</v>
      </c>
      <c r="EW275" s="27" t="s">
        <v>8</v>
      </c>
      <c r="FB275" s="27" t="s">
        <v>7</v>
      </c>
      <c r="FC275" s="27" t="s">
        <v>8</v>
      </c>
      <c r="FE275" s="27" t="s">
        <v>8</v>
      </c>
    </row>
    <row r="276" spans="1:170" x14ac:dyDescent="0.25">
      <c r="A276" s="30">
        <v>0.17265741462149967</v>
      </c>
      <c r="B276"/>
      <c r="C276"/>
      <c r="D276"/>
      <c r="E276"/>
      <c r="F276" s="27" t="s">
        <v>7</v>
      </c>
      <c r="I276" s="27" t="s">
        <v>8</v>
      </c>
      <c r="J276" s="27" t="s">
        <v>7</v>
      </c>
      <c r="BW276" s="27" t="s">
        <v>8</v>
      </c>
      <c r="BX276" s="27" t="s">
        <v>7</v>
      </c>
      <c r="BY276" s="27" t="s">
        <v>8</v>
      </c>
      <c r="BZ276" s="27" t="s">
        <v>7</v>
      </c>
      <c r="CA276" s="27" t="s">
        <v>8</v>
      </c>
      <c r="CB276" s="27" t="s">
        <v>7</v>
      </c>
      <c r="CC276" s="27" t="s">
        <v>8</v>
      </c>
      <c r="CD276" s="27" t="s">
        <v>7</v>
      </c>
      <c r="CE276" s="27" t="s">
        <v>8</v>
      </c>
      <c r="DH276" s="27" t="s">
        <v>7</v>
      </c>
      <c r="DI276" s="27" t="s">
        <v>8</v>
      </c>
      <c r="DL276" s="27" t="s">
        <v>7</v>
      </c>
      <c r="DM276" s="27" t="s">
        <v>8</v>
      </c>
      <c r="DN276" s="27" t="s">
        <v>7</v>
      </c>
      <c r="DP276" s="27" t="s">
        <v>7</v>
      </c>
      <c r="DQ276" s="27" t="s">
        <v>8</v>
      </c>
      <c r="DR276" s="27" t="s">
        <v>7</v>
      </c>
      <c r="DY276" s="27" t="s">
        <v>8</v>
      </c>
      <c r="DZ276" s="27" t="s">
        <v>7</v>
      </c>
      <c r="EF276" s="27" t="s">
        <v>7</v>
      </c>
      <c r="EG276" s="27" t="s">
        <v>8</v>
      </c>
      <c r="EH276" s="27" t="s">
        <v>7</v>
      </c>
      <c r="EI276" s="27" t="s">
        <v>8</v>
      </c>
      <c r="EJ276" s="27" t="s">
        <v>7</v>
      </c>
      <c r="EL276" s="31"/>
      <c r="EO276" s="27" t="s">
        <v>8</v>
      </c>
      <c r="EP276" s="27" t="s">
        <v>7</v>
      </c>
      <c r="EQ276" s="27" t="s">
        <v>8</v>
      </c>
      <c r="ER276" s="27" t="s">
        <v>7</v>
      </c>
      <c r="ES276" s="27" t="s">
        <v>8</v>
      </c>
      <c r="ET276" s="27" t="s">
        <v>7</v>
      </c>
      <c r="EU276" s="27" t="s">
        <v>8</v>
      </c>
      <c r="EV276" s="27" t="s">
        <v>7</v>
      </c>
      <c r="EW276" s="27" t="s">
        <v>8</v>
      </c>
      <c r="FB276" s="27" t="s">
        <v>7</v>
      </c>
      <c r="FC276" s="27" t="s">
        <v>8</v>
      </c>
      <c r="FD276" s="27" t="s">
        <v>7</v>
      </c>
      <c r="FE276" s="27" t="s">
        <v>8</v>
      </c>
      <c r="FF276" s="27" t="s">
        <v>7</v>
      </c>
      <c r="FG276" s="27" t="s">
        <v>8</v>
      </c>
    </row>
    <row r="277" spans="1:170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  <c r="I277" s="27" t="s">
        <v>8</v>
      </c>
      <c r="J277" s="27" t="s">
        <v>7</v>
      </c>
      <c r="M277" s="27" t="s">
        <v>8</v>
      </c>
      <c r="BW277" s="27" t="s">
        <v>8</v>
      </c>
      <c r="BX277" s="27" t="s">
        <v>7</v>
      </c>
      <c r="BY277" s="27" t="s">
        <v>8</v>
      </c>
      <c r="BZ277" s="27" t="s">
        <v>7</v>
      </c>
      <c r="CA277" s="27" t="s">
        <v>8</v>
      </c>
      <c r="CB277" s="27" t="s">
        <v>7</v>
      </c>
      <c r="CC277" s="27" t="s">
        <v>8</v>
      </c>
      <c r="CD277" s="27" t="s">
        <v>7</v>
      </c>
      <c r="DH277" s="27" t="s">
        <v>7</v>
      </c>
      <c r="DL277" s="27" t="s">
        <v>7</v>
      </c>
      <c r="DM277" s="27" t="s">
        <v>8</v>
      </c>
      <c r="DP277" s="33" t="s">
        <v>7</v>
      </c>
      <c r="DR277" s="27" t="s">
        <v>7</v>
      </c>
      <c r="DS277" s="27" t="s">
        <v>8</v>
      </c>
      <c r="DW277" s="27" t="s">
        <v>8</v>
      </c>
      <c r="DY277" s="27" t="s">
        <v>8</v>
      </c>
      <c r="EF277" s="27" t="s">
        <v>7</v>
      </c>
      <c r="EG277" s="31" t="s">
        <v>8</v>
      </c>
      <c r="EH277" s="27" t="s">
        <v>7</v>
      </c>
      <c r="EI277" s="27" t="s">
        <v>8</v>
      </c>
      <c r="EJ277" s="27" t="s">
        <v>7</v>
      </c>
      <c r="EM277" s="31"/>
      <c r="EO277" s="27" t="s">
        <v>8</v>
      </c>
      <c r="EP277" s="27" t="s">
        <v>7</v>
      </c>
      <c r="EQ277" s="27" t="s">
        <v>8</v>
      </c>
      <c r="ER277" s="31" t="s">
        <v>7</v>
      </c>
      <c r="ET277" s="27" t="s">
        <v>7</v>
      </c>
      <c r="EU277" s="27" t="s">
        <v>8</v>
      </c>
      <c r="EV277" s="27" t="s">
        <v>7</v>
      </c>
      <c r="FB277" s="27" t="s">
        <v>7</v>
      </c>
      <c r="FC277" s="27" t="s">
        <v>8</v>
      </c>
      <c r="FD277" s="27" t="s">
        <v>7</v>
      </c>
      <c r="FE277" s="27" t="s">
        <v>8</v>
      </c>
      <c r="FF277" s="27" t="s">
        <v>7</v>
      </c>
      <c r="FG277" s="27" t="s">
        <v>8</v>
      </c>
      <c r="FH277" s="27" t="s">
        <v>7</v>
      </c>
      <c r="FI277" s="27" t="s">
        <v>8</v>
      </c>
      <c r="FK277" s="27" t="s">
        <v>8</v>
      </c>
    </row>
    <row r="278" spans="1:170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H278" s="27" t="s">
        <v>7</v>
      </c>
      <c r="I278" s="27" t="s">
        <v>8</v>
      </c>
      <c r="J278" s="27" t="s">
        <v>7</v>
      </c>
      <c r="K278" s="27" t="s">
        <v>8</v>
      </c>
      <c r="M278" s="27" t="s">
        <v>8</v>
      </c>
      <c r="N278" s="27" t="s">
        <v>7</v>
      </c>
      <c r="AO278" s="27" t="s">
        <v>8</v>
      </c>
      <c r="BW278" s="27" t="s">
        <v>8</v>
      </c>
      <c r="BX278" s="27" t="s">
        <v>7</v>
      </c>
      <c r="BZ278" s="27" t="s">
        <v>7</v>
      </c>
      <c r="CA278" s="27" t="s">
        <v>8</v>
      </c>
      <c r="CB278" s="27" t="s">
        <v>7</v>
      </c>
      <c r="DL278" s="27" t="s">
        <v>7</v>
      </c>
      <c r="DM278" s="27" t="s">
        <v>8</v>
      </c>
      <c r="DR278" s="27" t="s">
        <v>7</v>
      </c>
      <c r="DS278" s="27" t="s">
        <v>8</v>
      </c>
      <c r="DT278" s="27" t="s">
        <v>7</v>
      </c>
      <c r="DW278" s="27" t="s">
        <v>8</v>
      </c>
      <c r="DX278" s="27" t="s">
        <v>7</v>
      </c>
      <c r="DY278" s="27" t="s">
        <v>8</v>
      </c>
      <c r="EF278" s="31" t="s">
        <v>7</v>
      </c>
      <c r="EH278" s="27" t="s">
        <v>7</v>
      </c>
      <c r="EJ278" s="27" t="s">
        <v>7</v>
      </c>
      <c r="EK278" s="32" t="s">
        <v>8</v>
      </c>
      <c r="EM278" s="32" t="s">
        <v>8</v>
      </c>
      <c r="EN278" s="31"/>
      <c r="EO278" s="27" t="s">
        <v>8</v>
      </c>
      <c r="EP278" s="27" t="s">
        <v>7</v>
      </c>
      <c r="EQ278" s="31"/>
      <c r="ET278" s="27" t="s">
        <v>7</v>
      </c>
      <c r="EU278" s="27" t="s">
        <v>8</v>
      </c>
      <c r="FB278" s="27" t="s">
        <v>7</v>
      </c>
      <c r="FC278" s="27" t="s">
        <v>8</v>
      </c>
      <c r="FD278" s="27" t="s">
        <v>7</v>
      </c>
      <c r="FF278" s="27" t="s">
        <v>7</v>
      </c>
      <c r="FG278" s="27" t="s">
        <v>8</v>
      </c>
      <c r="FH278" s="27" t="s">
        <v>7</v>
      </c>
      <c r="FI278" s="27" t="s">
        <v>8</v>
      </c>
      <c r="FJ278" s="27" t="s">
        <v>7</v>
      </c>
      <c r="FK278" s="27" t="s">
        <v>8</v>
      </c>
      <c r="FL278" s="27" t="s">
        <v>7</v>
      </c>
    </row>
    <row r="279" spans="1:170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H279" s="27" t="s">
        <v>7</v>
      </c>
      <c r="I279" s="27" t="s">
        <v>8</v>
      </c>
      <c r="J279" s="27" t="s">
        <v>7</v>
      </c>
      <c r="K279" s="27" t="s">
        <v>8</v>
      </c>
      <c r="L279" s="27" t="s">
        <v>7</v>
      </c>
      <c r="M279" s="27" t="s">
        <v>8</v>
      </c>
      <c r="N279" s="27" t="s">
        <v>7</v>
      </c>
      <c r="AO279" s="27" t="s">
        <v>8</v>
      </c>
      <c r="AP279" s="27" t="s">
        <v>7</v>
      </c>
      <c r="AQ279" s="27" t="s">
        <v>8</v>
      </c>
      <c r="BU279" s="27" t="s">
        <v>8</v>
      </c>
      <c r="BW279" s="27" t="s">
        <v>8</v>
      </c>
      <c r="BZ279" s="27" t="s">
        <v>7</v>
      </c>
      <c r="CA279" s="27" t="s">
        <v>8</v>
      </c>
      <c r="DL279" s="27" t="s">
        <v>7</v>
      </c>
      <c r="DM279" s="27" t="s">
        <v>8</v>
      </c>
      <c r="DR279" s="27" t="s">
        <v>7</v>
      </c>
      <c r="DS279" s="27" t="s">
        <v>8</v>
      </c>
      <c r="DT279" s="27" t="s">
        <v>7</v>
      </c>
      <c r="DW279" s="34" t="s">
        <v>8</v>
      </c>
      <c r="DX279" s="27" t="s">
        <v>7</v>
      </c>
      <c r="DY279" s="27" t="s">
        <v>8</v>
      </c>
      <c r="EE279" s="31"/>
      <c r="EJ279" s="27" t="s">
        <v>7</v>
      </c>
      <c r="EK279" s="27" t="s">
        <v>8</v>
      </c>
      <c r="EL279" s="27" t="s">
        <v>7</v>
      </c>
      <c r="EM279" s="27" t="s">
        <v>8</v>
      </c>
      <c r="EN279" s="27" t="s">
        <v>7</v>
      </c>
      <c r="EO279" s="31" t="s">
        <v>8</v>
      </c>
      <c r="EP279" s="31"/>
      <c r="ET279" s="27" t="s">
        <v>7</v>
      </c>
      <c r="FB279" s="27" t="s">
        <v>7</v>
      </c>
      <c r="FC279" s="27" t="s">
        <v>8</v>
      </c>
      <c r="FF279" s="27" t="s">
        <v>7</v>
      </c>
      <c r="FG279" s="27" t="s">
        <v>8</v>
      </c>
      <c r="FH279" s="27" t="s">
        <v>7</v>
      </c>
      <c r="FI279" s="27" t="s">
        <v>8</v>
      </c>
      <c r="FJ279" s="27" t="s">
        <v>7</v>
      </c>
      <c r="FK279" s="27" t="s">
        <v>8</v>
      </c>
      <c r="FL279" s="27" t="s">
        <v>7</v>
      </c>
      <c r="FM279" s="27" t="s">
        <v>8</v>
      </c>
    </row>
    <row r="280" spans="1:170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H280" s="27" t="s">
        <v>7</v>
      </c>
      <c r="I280" s="27" t="s">
        <v>8</v>
      </c>
      <c r="J280" s="27" t="s">
        <v>7</v>
      </c>
      <c r="K280" s="27" t="s">
        <v>8</v>
      </c>
      <c r="L280" s="27" t="s">
        <v>7</v>
      </c>
      <c r="M280" s="27" t="s">
        <v>8</v>
      </c>
      <c r="N280" s="27" t="s">
        <v>7</v>
      </c>
      <c r="AO280" s="27" t="s">
        <v>8</v>
      </c>
      <c r="AP280" s="27" t="s">
        <v>7</v>
      </c>
      <c r="AQ280" s="27" t="s">
        <v>8</v>
      </c>
      <c r="AR280" s="27" t="s">
        <v>7</v>
      </c>
      <c r="BU280" s="27" t="s">
        <v>8</v>
      </c>
      <c r="BV280" s="27" t="s">
        <v>7</v>
      </c>
      <c r="BW280" s="27" t="s">
        <v>8</v>
      </c>
      <c r="BZ280" s="27" t="s">
        <v>7</v>
      </c>
      <c r="CA280" s="27" t="s">
        <v>8</v>
      </c>
      <c r="DL280" s="27" t="s">
        <v>7</v>
      </c>
      <c r="DM280" s="27" t="s">
        <v>8</v>
      </c>
      <c r="DR280" s="27" t="s">
        <v>7</v>
      </c>
      <c r="DS280" s="27" t="s">
        <v>8</v>
      </c>
      <c r="DT280" s="27" t="s">
        <v>7</v>
      </c>
      <c r="DU280" s="27" t="s">
        <v>8</v>
      </c>
      <c r="DW280" s="27" t="s">
        <v>8</v>
      </c>
      <c r="DX280" s="27" t="s">
        <v>7</v>
      </c>
      <c r="ED280" s="31"/>
      <c r="EJ280" s="27" t="s">
        <v>7</v>
      </c>
      <c r="EK280" s="27" t="s">
        <v>8</v>
      </c>
      <c r="EL280" s="27" t="s">
        <v>7</v>
      </c>
      <c r="EM280" s="27" t="s">
        <v>8</v>
      </c>
      <c r="EN280" s="27" t="s">
        <v>7</v>
      </c>
      <c r="EO280" s="31" t="s">
        <v>8</v>
      </c>
      <c r="FB280" s="27" t="s">
        <v>7</v>
      </c>
      <c r="FF280" s="27" t="s">
        <v>7</v>
      </c>
      <c r="FG280" s="27" t="s">
        <v>8</v>
      </c>
      <c r="FH280" s="27" t="s">
        <v>7</v>
      </c>
      <c r="FI280" s="27" t="s">
        <v>8</v>
      </c>
      <c r="FJ280" s="27" t="s">
        <v>7</v>
      </c>
      <c r="FL280" s="27" t="s">
        <v>7</v>
      </c>
      <c r="FM280" s="27" t="s">
        <v>8</v>
      </c>
      <c r="FN280" s="27" t="s">
        <v>7</v>
      </c>
    </row>
    <row r="281" spans="1:170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I281" s="27" t="s">
        <v>8</v>
      </c>
      <c r="J281" s="27" t="s">
        <v>7</v>
      </c>
      <c r="L281" s="27" t="s">
        <v>7</v>
      </c>
      <c r="N281" s="27" t="s">
        <v>7</v>
      </c>
      <c r="AO281" s="27" t="s">
        <v>8</v>
      </c>
      <c r="AP281" s="27" t="s">
        <v>7</v>
      </c>
      <c r="AQ281" s="27" t="s">
        <v>8</v>
      </c>
      <c r="AR281" s="27" t="s">
        <v>7</v>
      </c>
      <c r="BU281" s="27" t="s">
        <v>8</v>
      </c>
      <c r="BV281" s="27" t="s">
        <v>7</v>
      </c>
      <c r="BW281" s="27" t="s">
        <v>8</v>
      </c>
      <c r="BZ281" s="27" t="s">
        <v>7</v>
      </c>
      <c r="DL281" s="27" t="s">
        <v>7</v>
      </c>
      <c r="DM281" s="27" t="s">
        <v>8</v>
      </c>
      <c r="DR281" s="27" t="s">
        <v>7</v>
      </c>
      <c r="DS281" s="27" t="s">
        <v>8</v>
      </c>
      <c r="DT281" s="27" t="s">
        <v>7</v>
      </c>
      <c r="DU281" s="27" t="s">
        <v>8</v>
      </c>
      <c r="DV281" s="27" t="s">
        <v>7</v>
      </c>
      <c r="DW281" s="27" t="s">
        <v>8</v>
      </c>
      <c r="EC281" s="31"/>
      <c r="EJ281" s="32" t="s">
        <v>7</v>
      </c>
      <c r="EL281" s="32" t="s">
        <v>7</v>
      </c>
      <c r="EN281" s="32" t="s">
        <v>7</v>
      </c>
      <c r="FF281" s="27" t="s">
        <v>7</v>
      </c>
      <c r="FH281" s="27" t="s">
        <v>7</v>
      </c>
      <c r="FL281" s="27" t="s">
        <v>7</v>
      </c>
      <c r="FM281" s="27" t="s">
        <v>8</v>
      </c>
      <c r="FN281" s="27" t="s">
        <v>7</v>
      </c>
    </row>
    <row r="282" spans="1:170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N282" s="27" t="s">
        <v>7</v>
      </c>
      <c r="AI282" s="27" t="s">
        <v>8</v>
      </c>
      <c r="AO282" s="27" t="s">
        <v>8</v>
      </c>
      <c r="AP282" s="27" t="s">
        <v>7</v>
      </c>
      <c r="AQ282" s="27" t="s">
        <v>8</v>
      </c>
      <c r="AR282" s="27" t="s">
        <v>7</v>
      </c>
      <c r="BU282" s="27" t="s">
        <v>8</v>
      </c>
      <c r="BV282" s="27" t="s">
        <v>7</v>
      </c>
      <c r="BW282" s="27" t="s">
        <v>8</v>
      </c>
      <c r="DL282" s="27" t="s">
        <v>7</v>
      </c>
      <c r="DR282" s="27" t="s">
        <v>7</v>
      </c>
      <c r="DS282" s="27" t="s">
        <v>8</v>
      </c>
      <c r="DT282" s="27" t="s">
        <v>7</v>
      </c>
      <c r="DU282" s="27" t="s">
        <v>8</v>
      </c>
      <c r="DV282" s="27" t="s">
        <v>7</v>
      </c>
      <c r="DW282" s="27" t="s">
        <v>8</v>
      </c>
      <c r="EB282" s="31"/>
      <c r="FL282" s="27" t="s">
        <v>7</v>
      </c>
      <c r="FM282" s="27" t="s">
        <v>8</v>
      </c>
      <c r="FN282" s="27" t="s">
        <v>7</v>
      </c>
    </row>
    <row r="283" spans="1:170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N283" s="27" t="s">
        <v>7</v>
      </c>
      <c r="AI283" s="27" t="s">
        <v>8</v>
      </c>
      <c r="AJ283" s="27" t="s">
        <v>7</v>
      </c>
      <c r="AK283" s="27" t="s">
        <v>8</v>
      </c>
      <c r="AM283" s="27" t="s">
        <v>8</v>
      </c>
      <c r="AO283" s="27" t="s">
        <v>8</v>
      </c>
      <c r="AP283" s="27" t="s">
        <v>7</v>
      </c>
      <c r="AR283" s="27" t="s">
        <v>7</v>
      </c>
      <c r="BU283" s="27" t="s">
        <v>8</v>
      </c>
      <c r="BV283" s="27" t="s">
        <v>7</v>
      </c>
      <c r="BW283" s="27" t="s">
        <v>8</v>
      </c>
      <c r="DR283" s="27" t="s">
        <v>7</v>
      </c>
      <c r="DS283" s="27" t="s">
        <v>8</v>
      </c>
      <c r="DT283" s="27" t="s">
        <v>7</v>
      </c>
      <c r="DU283" s="27" t="s">
        <v>8</v>
      </c>
      <c r="DV283" s="27" t="s">
        <v>7</v>
      </c>
      <c r="DW283" s="27" t="s">
        <v>8</v>
      </c>
      <c r="EA283" s="31"/>
      <c r="FL283" s="27" t="s">
        <v>7</v>
      </c>
      <c r="FM283" s="27" t="s">
        <v>8</v>
      </c>
      <c r="FN283" s="27" t="s">
        <v>7</v>
      </c>
    </row>
    <row r="284" spans="1:170" x14ac:dyDescent="0.25">
      <c r="A284" s="30">
        <v>0.11686133436193799</v>
      </c>
      <c r="B284"/>
      <c r="C284"/>
      <c r="D284"/>
      <c r="E284"/>
      <c r="F284" s="27" t="s">
        <v>7</v>
      </c>
      <c r="N284" s="27" t="s">
        <v>7</v>
      </c>
      <c r="AI284" s="27" t="s">
        <v>8</v>
      </c>
      <c r="AJ284" s="27" t="s">
        <v>7</v>
      </c>
      <c r="AK284" s="27" t="s">
        <v>8</v>
      </c>
      <c r="AL284" s="27" t="s">
        <v>7</v>
      </c>
      <c r="AM284" s="27" t="s">
        <v>8</v>
      </c>
      <c r="AN284" s="27" t="s">
        <v>7</v>
      </c>
      <c r="AO284" s="27" t="s">
        <v>8</v>
      </c>
      <c r="AR284" s="27" t="s">
        <v>7</v>
      </c>
      <c r="AS284" s="27" t="s">
        <v>8</v>
      </c>
      <c r="BU284" s="27" t="s">
        <v>8</v>
      </c>
      <c r="BV284" s="27" t="s">
        <v>7</v>
      </c>
      <c r="DR284" s="27" t="s">
        <v>7</v>
      </c>
      <c r="DS284" s="27" t="s">
        <v>8</v>
      </c>
      <c r="DT284" s="27" t="s">
        <v>7</v>
      </c>
      <c r="DU284" s="27" t="s">
        <v>8</v>
      </c>
      <c r="DV284" s="27" t="s">
        <v>7</v>
      </c>
      <c r="DW284" s="27" t="s">
        <v>8</v>
      </c>
      <c r="DZ284" s="31"/>
      <c r="FL284" s="27" t="s">
        <v>7</v>
      </c>
      <c r="FM284" s="27" t="s">
        <v>8</v>
      </c>
      <c r="FN284" s="27" t="s">
        <v>7</v>
      </c>
    </row>
    <row r="285" spans="1:170" x14ac:dyDescent="0.25">
      <c r="A285" s="30">
        <v>0.11129650891613138</v>
      </c>
      <c r="B285"/>
      <c r="C285"/>
      <c r="D285"/>
      <c r="E285"/>
      <c r="N285" s="27" t="s">
        <v>7</v>
      </c>
      <c r="AI285" s="27" t="s">
        <v>8</v>
      </c>
      <c r="AJ285" s="27" t="s">
        <v>7</v>
      </c>
      <c r="AK285" s="27" t="s">
        <v>8</v>
      </c>
      <c r="AL285" s="27" t="s">
        <v>7</v>
      </c>
      <c r="AM285" s="27" t="s">
        <v>8</v>
      </c>
      <c r="AN285" s="27" t="s">
        <v>7</v>
      </c>
      <c r="AO285" s="27" t="s">
        <v>8</v>
      </c>
      <c r="AR285" s="27" t="s">
        <v>7</v>
      </c>
      <c r="AS285" s="27" t="s">
        <v>8</v>
      </c>
      <c r="AT285" s="27" t="s">
        <v>7</v>
      </c>
      <c r="BU285" s="27" t="s">
        <v>8</v>
      </c>
      <c r="DR285" s="27" t="s">
        <v>7</v>
      </c>
      <c r="DS285" s="27" t="s">
        <v>8</v>
      </c>
      <c r="DT285" s="27" t="s">
        <v>7</v>
      </c>
      <c r="DV285" s="18" t="s">
        <v>7</v>
      </c>
      <c r="DW285" s="27" t="s">
        <v>8</v>
      </c>
      <c r="DY285" s="31"/>
      <c r="FL285" s="27" t="s">
        <v>7</v>
      </c>
      <c r="FN285" s="27" t="s">
        <v>7</v>
      </c>
    </row>
    <row r="286" spans="1:170" x14ac:dyDescent="0.25">
      <c r="A286" s="30">
        <v>0.10599667515822032</v>
      </c>
      <c r="B286"/>
      <c r="C286"/>
      <c r="D286"/>
      <c r="E286"/>
      <c r="N286" s="27" t="s">
        <v>7</v>
      </c>
      <c r="Y286" s="27" t="s">
        <v>8</v>
      </c>
      <c r="AE286" s="27" t="s">
        <v>8</v>
      </c>
      <c r="AG286" s="27" t="s">
        <v>8</v>
      </c>
      <c r="AI286" s="27" t="s">
        <v>8</v>
      </c>
      <c r="AJ286" s="27" t="s">
        <v>7</v>
      </c>
      <c r="AK286" s="27" t="s">
        <v>8</v>
      </c>
      <c r="AL286" s="27" t="s">
        <v>7</v>
      </c>
      <c r="AM286" s="27" t="s">
        <v>8</v>
      </c>
      <c r="AN286" s="27" t="s">
        <v>7</v>
      </c>
      <c r="AO286" s="27" t="s">
        <v>8</v>
      </c>
      <c r="AR286" s="27" t="s">
        <v>7</v>
      </c>
      <c r="AS286" s="27" t="s">
        <v>8</v>
      </c>
      <c r="AT286" s="27" t="s">
        <v>7</v>
      </c>
      <c r="BU286" s="27" t="s">
        <v>8</v>
      </c>
      <c r="DR286" s="27" t="s">
        <v>7</v>
      </c>
      <c r="DS286" s="27" t="s">
        <v>8</v>
      </c>
      <c r="DV286" s="27" t="s">
        <v>7</v>
      </c>
      <c r="DW286" s="27" t="s">
        <v>8</v>
      </c>
      <c r="DX286" s="31"/>
      <c r="FN286" s="27" t="s">
        <v>7</v>
      </c>
    </row>
    <row r="287" spans="1:170" x14ac:dyDescent="0.25">
      <c r="A287" s="30">
        <v>0.10094921443640027</v>
      </c>
      <c r="B287"/>
      <c r="C287"/>
      <c r="D287"/>
      <c r="E287"/>
      <c r="N287" s="27" t="s">
        <v>7</v>
      </c>
      <c r="Y287" s="27" t="s">
        <v>8</v>
      </c>
      <c r="Z287" s="27" t="s">
        <v>7</v>
      </c>
      <c r="AE287" s="27" t="s">
        <v>8</v>
      </c>
      <c r="AF287" s="27" t="s">
        <v>7</v>
      </c>
      <c r="AG287" s="27" t="s">
        <v>8</v>
      </c>
      <c r="AH287" s="27" t="s">
        <v>7</v>
      </c>
      <c r="AI287" s="27" t="s">
        <v>8</v>
      </c>
      <c r="AJ287" s="27" t="s">
        <v>7</v>
      </c>
      <c r="AL287" s="27" t="s">
        <v>7</v>
      </c>
      <c r="AM287" s="27" t="s">
        <v>8</v>
      </c>
      <c r="AN287" s="27" t="s">
        <v>7</v>
      </c>
      <c r="AO287" s="27" t="s">
        <v>8</v>
      </c>
      <c r="AR287" s="27" t="s">
        <v>7</v>
      </c>
      <c r="AS287" s="27" t="s">
        <v>8</v>
      </c>
      <c r="AT287" s="27" t="s">
        <v>7</v>
      </c>
      <c r="AU287" s="27" t="s">
        <v>8</v>
      </c>
      <c r="BS287" s="27" t="s">
        <v>8</v>
      </c>
      <c r="BU287" s="27" t="s">
        <v>8</v>
      </c>
      <c r="DR287" s="27" t="s">
        <v>7</v>
      </c>
      <c r="DS287" s="27" t="s">
        <v>8</v>
      </c>
      <c r="DV287" s="27" t="s">
        <v>7</v>
      </c>
      <c r="DW287" s="31" t="s">
        <v>8</v>
      </c>
      <c r="FN287" s="27" t="s">
        <v>7</v>
      </c>
    </row>
    <row r="288" spans="1:170" x14ac:dyDescent="0.25">
      <c r="A288" s="30">
        <v>9.6142108987047836E-2</v>
      </c>
      <c r="B288"/>
      <c r="C288"/>
      <c r="D288"/>
      <c r="E288"/>
      <c r="N288" s="27" t="s">
        <v>7</v>
      </c>
      <c r="Y288" s="27" t="s">
        <v>8</v>
      </c>
      <c r="Z288" s="27" t="s">
        <v>7</v>
      </c>
      <c r="AA288" s="27" t="s">
        <v>8</v>
      </c>
      <c r="AC288" s="27" t="s">
        <v>8</v>
      </c>
      <c r="AE288" s="27" t="s">
        <v>8</v>
      </c>
      <c r="AF288" s="27" t="s">
        <v>7</v>
      </c>
      <c r="AG288" s="27" t="s">
        <v>8</v>
      </c>
      <c r="AH288" s="27" t="s">
        <v>7</v>
      </c>
      <c r="AI288" s="27" t="s">
        <v>8</v>
      </c>
      <c r="AL288" s="27" t="s">
        <v>7</v>
      </c>
      <c r="AM288" s="27" t="s">
        <v>8</v>
      </c>
      <c r="AN288" s="27" t="s">
        <v>7</v>
      </c>
      <c r="AR288" s="27" t="s">
        <v>7</v>
      </c>
      <c r="AS288" s="27" t="s">
        <v>8</v>
      </c>
      <c r="AT288" s="27" t="s">
        <v>7</v>
      </c>
      <c r="AU288" s="27" t="s">
        <v>8</v>
      </c>
      <c r="AV288" s="27" t="s">
        <v>7</v>
      </c>
      <c r="BE288" s="27" t="s">
        <v>8</v>
      </c>
      <c r="BI288" s="27" t="s">
        <v>8</v>
      </c>
      <c r="BM288" s="27" t="s">
        <v>8</v>
      </c>
      <c r="BQ288" s="27" t="s">
        <v>8</v>
      </c>
      <c r="BS288" s="27" t="s">
        <v>8</v>
      </c>
      <c r="BT288" s="27" t="s">
        <v>7</v>
      </c>
      <c r="BU288" s="27" t="s">
        <v>8</v>
      </c>
      <c r="DR288" s="27" t="s">
        <v>7</v>
      </c>
      <c r="DV288" s="31" t="s">
        <v>7</v>
      </c>
      <c r="FN288" s="27" t="s">
        <v>7</v>
      </c>
    </row>
    <row r="289" spans="1:171" x14ac:dyDescent="0.25">
      <c r="A289" s="30">
        <v>9.1563913320997906E-2</v>
      </c>
      <c r="B289"/>
      <c r="C289"/>
      <c r="D289"/>
      <c r="E289"/>
      <c r="N289" s="27" t="s">
        <v>7</v>
      </c>
      <c r="Y289" s="27" t="s">
        <v>8</v>
      </c>
      <c r="Z289" s="27" t="s">
        <v>7</v>
      </c>
      <c r="AA289" s="27" t="s">
        <v>8</v>
      </c>
      <c r="AB289" s="27" t="s">
        <v>7</v>
      </c>
      <c r="AC289" s="27" t="s">
        <v>8</v>
      </c>
      <c r="AD289" s="27" t="s">
        <v>7</v>
      </c>
      <c r="AE289" s="27" t="s">
        <v>8</v>
      </c>
      <c r="AF289" s="27" t="s">
        <v>7</v>
      </c>
      <c r="AH289" s="27" t="s">
        <v>7</v>
      </c>
      <c r="AL289" s="27" t="s">
        <v>7</v>
      </c>
      <c r="AR289" s="27" t="s">
        <v>7</v>
      </c>
      <c r="AS289" s="27" t="s">
        <v>8</v>
      </c>
      <c r="AT289" s="27" t="s">
        <v>7</v>
      </c>
      <c r="AU289" s="27" t="s">
        <v>8</v>
      </c>
      <c r="AV289" s="27" t="s">
        <v>7</v>
      </c>
      <c r="BE289" s="27" t="s">
        <v>8</v>
      </c>
      <c r="BF289" s="27" t="s">
        <v>7</v>
      </c>
      <c r="BI289" s="27" t="s">
        <v>8</v>
      </c>
      <c r="BJ289" s="27" t="s">
        <v>7</v>
      </c>
      <c r="BM289" s="27" t="s">
        <v>8</v>
      </c>
      <c r="BN289" s="27" t="s">
        <v>7</v>
      </c>
      <c r="BO289" s="27" t="s">
        <v>8</v>
      </c>
      <c r="BQ289" s="27" t="s">
        <v>8</v>
      </c>
      <c r="BR289" s="27" t="s">
        <v>7</v>
      </c>
      <c r="BS289" s="27" t="s">
        <v>8</v>
      </c>
      <c r="BT289" s="27" t="s">
        <v>7</v>
      </c>
      <c r="BU289" s="27" t="s">
        <v>8</v>
      </c>
      <c r="FN289" s="27" t="s">
        <v>7</v>
      </c>
      <c r="FO289" s="27" t="s">
        <v>8</v>
      </c>
    </row>
    <row r="290" spans="1:171" x14ac:dyDescent="0.25">
      <c r="A290" s="30">
        <v>8.7203726972378923E-2</v>
      </c>
      <c r="B290"/>
      <c r="C290"/>
      <c r="D290"/>
      <c r="E290"/>
      <c r="N290" s="27" t="s">
        <v>7</v>
      </c>
      <c r="Y290" s="27" t="s">
        <v>8</v>
      </c>
      <c r="Z290" s="27" t="s">
        <v>7</v>
      </c>
      <c r="AA290" s="27" t="s">
        <v>8</v>
      </c>
      <c r="AB290" s="27" t="s">
        <v>7</v>
      </c>
      <c r="AC290" s="27" t="s">
        <v>8</v>
      </c>
      <c r="AD290" s="27" t="s">
        <v>7</v>
      </c>
      <c r="AE290" s="27" t="s">
        <v>8</v>
      </c>
      <c r="AR290" s="27" t="s">
        <v>7</v>
      </c>
      <c r="AT290" s="27" t="s">
        <v>7</v>
      </c>
      <c r="AU290" s="27" t="s">
        <v>8</v>
      </c>
      <c r="AV290" s="27" t="s">
        <v>7</v>
      </c>
      <c r="AW290" s="27" t="s">
        <v>8</v>
      </c>
      <c r="BE290" s="27" t="s">
        <v>8</v>
      </c>
      <c r="BF290" s="27" t="s">
        <v>7</v>
      </c>
      <c r="BI290" s="27" t="s">
        <v>8</v>
      </c>
      <c r="BJ290" s="27" t="s">
        <v>7</v>
      </c>
      <c r="BM290" s="27" t="s">
        <v>8</v>
      </c>
      <c r="BN290" s="27" t="s">
        <v>7</v>
      </c>
      <c r="BO290" s="27" t="s">
        <v>8</v>
      </c>
      <c r="BP290" s="27" t="s">
        <v>7</v>
      </c>
      <c r="BQ290" s="27" t="s">
        <v>8</v>
      </c>
      <c r="BR290" s="27" t="s">
        <v>7</v>
      </c>
      <c r="BS290" s="27" t="s">
        <v>8</v>
      </c>
      <c r="BT290" s="27" t="s">
        <v>7</v>
      </c>
      <c r="BU290" s="27" t="s">
        <v>8</v>
      </c>
      <c r="FN290" s="27" t="s">
        <v>7</v>
      </c>
      <c r="FO290" s="27" t="s">
        <v>8</v>
      </c>
    </row>
    <row r="291" spans="1:171" x14ac:dyDescent="0.25">
      <c r="A291" s="30">
        <v>8.3051168545122747E-2</v>
      </c>
      <c r="B291"/>
      <c r="C291"/>
      <c r="D291"/>
      <c r="E291"/>
      <c r="N291" s="27" t="s">
        <v>7</v>
      </c>
      <c r="Y291" s="27" t="s">
        <v>8</v>
      </c>
      <c r="Z291" s="27" t="s">
        <v>7</v>
      </c>
      <c r="AA291" s="27" t="s">
        <v>8</v>
      </c>
      <c r="AB291" s="27" t="s">
        <v>7</v>
      </c>
      <c r="AD291" s="27" t="s">
        <v>7</v>
      </c>
      <c r="AE291" s="27" t="s">
        <v>8</v>
      </c>
      <c r="AT291" s="27" t="s">
        <v>7</v>
      </c>
      <c r="AU291" s="27" t="s">
        <v>8</v>
      </c>
      <c r="AV291" s="27" t="s">
        <v>7</v>
      </c>
      <c r="AW291" s="27" t="s">
        <v>8</v>
      </c>
      <c r="AX291" s="27" t="s">
        <v>7</v>
      </c>
      <c r="BA291" s="27" t="s">
        <v>8</v>
      </c>
      <c r="BE291" s="27" t="s">
        <v>8</v>
      </c>
      <c r="BF291" s="27" t="s">
        <v>7</v>
      </c>
      <c r="BG291" s="27" t="s">
        <v>8</v>
      </c>
      <c r="BI291" s="27" t="s">
        <v>8</v>
      </c>
      <c r="BJ291" s="27" t="s">
        <v>7</v>
      </c>
      <c r="BM291" s="27" t="s">
        <v>8</v>
      </c>
      <c r="BN291" s="27" t="s">
        <v>7</v>
      </c>
      <c r="BO291" s="27" t="s">
        <v>8</v>
      </c>
      <c r="BP291" s="27" t="s">
        <v>7</v>
      </c>
      <c r="BQ291" s="27" t="s">
        <v>8</v>
      </c>
      <c r="BR291" s="27" t="s">
        <v>7</v>
      </c>
      <c r="BT291" s="27" t="s">
        <v>7</v>
      </c>
      <c r="BU291" s="27" t="s">
        <v>8</v>
      </c>
      <c r="FN291" s="27" t="s">
        <v>7</v>
      </c>
      <c r="FO291" s="27" t="s">
        <v>8</v>
      </c>
    </row>
    <row r="292" spans="1:171" x14ac:dyDescent="0.25">
      <c r="A292" s="30">
        <v>7.9096350995354961E-2</v>
      </c>
      <c r="B292"/>
      <c r="C292"/>
      <c r="D292"/>
      <c r="E292"/>
      <c r="N292" s="27" t="s">
        <v>7</v>
      </c>
      <c r="U292" s="27" t="s">
        <v>8</v>
      </c>
      <c r="Y292" s="27" t="s">
        <v>8</v>
      </c>
      <c r="Z292" s="27" t="s">
        <v>7</v>
      </c>
      <c r="AD292" s="27" t="s">
        <v>7</v>
      </c>
      <c r="AE292" s="27" t="s">
        <v>8</v>
      </c>
      <c r="AT292" s="27" t="s">
        <v>7</v>
      </c>
      <c r="AU292" s="27" t="s">
        <v>8</v>
      </c>
      <c r="AV292" s="27" t="s">
        <v>7</v>
      </c>
      <c r="AW292" s="27" t="s">
        <v>8</v>
      </c>
      <c r="AX292" s="27" t="s">
        <v>7</v>
      </c>
      <c r="BA292" s="27" t="s">
        <v>8</v>
      </c>
      <c r="BB292" s="27" t="s">
        <v>7</v>
      </c>
      <c r="BE292" s="27" t="s">
        <v>8</v>
      </c>
      <c r="BF292" s="27" t="s">
        <v>7</v>
      </c>
      <c r="BG292" s="27" t="s">
        <v>8</v>
      </c>
      <c r="BH292" s="27" t="s">
        <v>7</v>
      </c>
      <c r="BI292" s="27" t="s">
        <v>8</v>
      </c>
      <c r="BJ292" s="27" t="s">
        <v>7</v>
      </c>
      <c r="BM292" s="27" t="s">
        <v>8</v>
      </c>
      <c r="BN292" s="27" t="s">
        <v>7</v>
      </c>
      <c r="BO292" s="27" t="s">
        <v>8</v>
      </c>
      <c r="BP292" s="27" t="s">
        <v>7</v>
      </c>
      <c r="BQ292" s="27" t="s">
        <v>8</v>
      </c>
      <c r="BT292" s="27" t="s">
        <v>7</v>
      </c>
      <c r="BU292" s="27" t="s">
        <v>8</v>
      </c>
      <c r="FN292" s="27" t="s">
        <v>7</v>
      </c>
      <c r="FO292" s="27" t="s">
        <v>8</v>
      </c>
    </row>
    <row r="293" spans="1:171" x14ac:dyDescent="0.25">
      <c r="A293" s="30">
        <v>7.5329858090814217E-2</v>
      </c>
      <c r="B293"/>
      <c r="C293"/>
      <c r="D293"/>
      <c r="E293"/>
      <c r="N293" s="27" t="s">
        <v>7</v>
      </c>
      <c r="U293" s="27" t="s">
        <v>8</v>
      </c>
      <c r="V293" s="27" t="s">
        <v>7</v>
      </c>
      <c r="Y293" s="27" t="s">
        <v>8</v>
      </c>
      <c r="AD293" s="27" t="s">
        <v>7</v>
      </c>
      <c r="AE293" s="27" t="s">
        <v>8</v>
      </c>
      <c r="AT293" s="27" t="s">
        <v>7</v>
      </c>
      <c r="AV293" s="27" t="s">
        <v>7</v>
      </c>
      <c r="AW293" s="27" t="s">
        <v>8</v>
      </c>
      <c r="AX293" s="27" t="s">
        <v>7</v>
      </c>
      <c r="BA293" s="27" t="s">
        <v>8</v>
      </c>
      <c r="BB293" s="27" t="s">
        <v>7</v>
      </c>
      <c r="BC293" s="27" t="s">
        <v>8</v>
      </c>
      <c r="BE293" s="27" t="s">
        <v>8</v>
      </c>
      <c r="BF293" s="27" t="s">
        <v>7</v>
      </c>
      <c r="BG293" s="27" t="s">
        <v>8</v>
      </c>
      <c r="BH293" s="27" t="s">
        <v>7</v>
      </c>
      <c r="BI293" s="27" t="s">
        <v>8</v>
      </c>
      <c r="BJ293" s="27" t="s">
        <v>7</v>
      </c>
      <c r="BM293" s="27" t="s">
        <v>8</v>
      </c>
      <c r="BN293" s="27" t="s">
        <v>7</v>
      </c>
      <c r="BP293" s="27" t="s">
        <v>7</v>
      </c>
      <c r="BQ293" s="27" t="s">
        <v>8</v>
      </c>
      <c r="BT293" s="27" t="s">
        <v>7</v>
      </c>
      <c r="BU293" s="27" t="s">
        <v>8</v>
      </c>
      <c r="FN293" s="27" t="s">
        <v>7</v>
      </c>
    </row>
    <row r="294" spans="1:171" x14ac:dyDescent="0.25">
      <c r="A294" s="30">
        <v>7.1742721991251604E-2</v>
      </c>
      <c r="B294"/>
      <c r="C294"/>
      <c r="D294"/>
      <c r="E294"/>
      <c r="N294" s="27" t="s">
        <v>7</v>
      </c>
      <c r="U294" s="27" t="s">
        <v>8</v>
      </c>
      <c r="V294" s="27" t="s">
        <v>7</v>
      </c>
      <c r="Y294" s="27" t="s">
        <v>8</v>
      </c>
      <c r="AD294" s="27" t="s">
        <v>7</v>
      </c>
      <c r="AV294" s="27" t="s">
        <v>7</v>
      </c>
      <c r="AX294" s="27" t="s">
        <v>7</v>
      </c>
      <c r="AY294" s="27" t="s">
        <v>8</v>
      </c>
      <c r="BA294" s="27" t="s">
        <v>8</v>
      </c>
      <c r="BB294" s="27" t="s">
        <v>7</v>
      </c>
      <c r="BC294" s="27" t="s">
        <v>8</v>
      </c>
      <c r="BD294" s="27" t="s">
        <v>7</v>
      </c>
      <c r="BE294" s="27" t="s">
        <v>8</v>
      </c>
      <c r="BF294" s="27" t="s">
        <v>7</v>
      </c>
      <c r="BG294" s="27" t="s">
        <v>8</v>
      </c>
      <c r="BH294" s="27" t="s">
        <v>7</v>
      </c>
      <c r="BJ294" s="27" t="s">
        <v>7</v>
      </c>
      <c r="BK294" s="27" t="s">
        <v>8</v>
      </c>
      <c r="BM294" s="27" t="s">
        <v>8</v>
      </c>
      <c r="BP294" s="27" t="s">
        <v>7</v>
      </c>
      <c r="BQ294" s="27" t="s">
        <v>8</v>
      </c>
      <c r="BT294" s="27" t="s">
        <v>7</v>
      </c>
      <c r="BU294" s="27" t="s">
        <v>8</v>
      </c>
    </row>
    <row r="295" spans="1:171" x14ac:dyDescent="0.25">
      <c r="A295" s="30">
        <v>6.8326401896430078E-2</v>
      </c>
      <c r="B295"/>
      <c r="C295"/>
      <c r="D295"/>
      <c r="E295"/>
      <c r="N295" s="27" t="s">
        <v>7</v>
      </c>
      <c r="Q295" s="27" t="s">
        <v>8</v>
      </c>
      <c r="U295" s="27" t="s">
        <v>8</v>
      </c>
      <c r="V295" s="27" t="s">
        <v>7</v>
      </c>
      <c r="W295" s="27" t="s">
        <v>8</v>
      </c>
      <c r="Y295" s="27" t="s">
        <v>8</v>
      </c>
      <c r="AX295" s="27" t="s">
        <v>7</v>
      </c>
      <c r="AY295" s="27" t="s">
        <v>8</v>
      </c>
      <c r="AZ295" s="27" t="s">
        <v>7</v>
      </c>
      <c r="BA295" s="27" t="s">
        <v>8</v>
      </c>
      <c r="BB295" s="27" t="s">
        <v>7</v>
      </c>
      <c r="BC295" s="27" t="s">
        <v>8</v>
      </c>
      <c r="BD295" s="27" t="s">
        <v>7</v>
      </c>
      <c r="BE295" s="27" t="s">
        <v>8</v>
      </c>
      <c r="BF295" s="27" t="s">
        <v>7</v>
      </c>
      <c r="BJ295" s="27" t="s">
        <v>7</v>
      </c>
      <c r="BK295" s="27" t="s">
        <v>8</v>
      </c>
      <c r="BL295" s="27" t="s">
        <v>7</v>
      </c>
      <c r="BM295" s="27" t="s">
        <v>8</v>
      </c>
      <c r="BP295" s="27" t="s">
        <v>7</v>
      </c>
      <c r="BQ295" s="27" t="s">
        <v>8</v>
      </c>
      <c r="BT295" s="27" t="s">
        <v>7</v>
      </c>
      <c r="BU295" s="27" t="s">
        <v>8</v>
      </c>
    </row>
    <row r="296" spans="1:171" x14ac:dyDescent="0.25">
      <c r="A296" s="30">
        <v>6.5072763710885759E-2</v>
      </c>
      <c r="B296"/>
      <c r="C296"/>
      <c r="D296"/>
      <c r="E296"/>
      <c r="N296" s="27" t="s">
        <v>7</v>
      </c>
      <c r="O296" s="27" t="s">
        <v>8</v>
      </c>
      <c r="Q296" s="27" t="s">
        <v>8</v>
      </c>
      <c r="R296" s="27" t="s">
        <v>7</v>
      </c>
      <c r="S296" s="27" t="s">
        <v>8</v>
      </c>
      <c r="U296" s="27" t="s">
        <v>8</v>
      </c>
      <c r="V296" s="27" t="s">
        <v>7</v>
      </c>
      <c r="W296" s="27" t="s">
        <v>8</v>
      </c>
      <c r="X296" s="27" t="s">
        <v>7</v>
      </c>
      <c r="Y296" s="27" t="s">
        <v>8</v>
      </c>
      <c r="AX296" s="27" t="s">
        <v>7</v>
      </c>
      <c r="AY296" s="27" t="s">
        <v>8</v>
      </c>
      <c r="AZ296" s="27" t="s">
        <v>7</v>
      </c>
      <c r="BA296" s="27" t="s">
        <v>8</v>
      </c>
      <c r="BB296" s="27" t="s">
        <v>7</v>
      </c>
      <c r="BD296" s="27" t="s">
        <v>7</v>
      </c>
      <c r="BJ296" s="27" t="s">
        <v>7</v>
      </c>
      <c r="BK296" s="27" t="s">
        <v>8</v>
      </c>
      <c r="BL296" s="27" t="s">
        <v>7</v>
      </c>
      <c r="BM296" s="27" t="s">
        <v>8</v>
      </c>
      <c r="BP296" s="27" t="s">
        <v>7</v>
      </c>
      <c r="BT296" s="27" t="s">
        <v>7</v>
      </c>
    </row>
    <row r="297" spans="1:171" x14ac:dyDescent="0.25">
      <c r="A297" s="30">
        <v>6.197406067703403E-2</v>
      </c>
      <c r="B297"/>
      <c r="C297"/>
      <c r="D297"/>
      <c r="E297"/>
      <c r="N297" s="27" t="s">
        <v>7</v>
      </c>
      <c r="O297" s="27" t="s">
        <v>8</v>
      </c>
      <c r="P297" s="27" t="s">
        <v>7</v>
      </c>
      <c r="Q297" s="27" t="s">
        <v>8</v>
      </c>
      <c r="R297" s="27" t="s">
        <v>7</v>
      </c>
      <c r="S297" s="27" t="s">
        <v>8</v>
      </c>
      <c r="T297" s="27" t="s">
        <v>7</v>
      </c>
      <c r="U297" s="27" t="s">
        <v>8</v>
      </c>
      <c r="V297" s="27" t="s">
        <v>7</v>
      </c>
      <c r="W297" s="27" t="s">
        <v>8</v>
      </c>
      <c r="X297" s="27" t="s">
        <v>7</v>
      </c>
      <c r="Y297" s="27" t="s">
        <v>8</v>
      </c>
      <c r="AX297" s="27" t="s">
        <v>7</v>
      </c>
      <c r="AY297" s="27" t="s">
        <v>8</v>
      </c>
      <c r="AZ297" s="27" t="s">
        <v>7</v>
      </c>
      <c r="BJ297" s="27" t="s">
        <v>7</v>
      </c>
      <c r="BL297" s="27" t="s">
        <v>7</v>
      </c>
    </row>
    <row r="298" spans="1:171" x14ac:dyDescent="0.25">
      <c r="A298" s="30">
        <v>5.9022914930508576E-2</v>
      </c>
      <c r="B298"/>
      <c r="C298"/>
      <c r="D298"/>
      <c r="E298"/>
      <c r="N298" s="27" t="s">
        <v>7</v>
      </c>
      <c r="O298" s="27" t="s">
        <v>8</v>
      </c>
      <c r="P298" s="27" t="s">
        <v>7</v>
      </c>
      <c r="Q298" s="27" t="s">
        <v>8</v>
      </c>
      <c r="R298" s="27" t="s">
        <v>7</v>
      </c>
      <c r="S298" s="27" t="s">
        <v>8</v>
      </c>
      <c r="T298" s="27" t="s">
        <v>7</v>
      </c>
      <c r="U298" s="27" t="s">
        <v>8</v>
      </c>
      <c r="V298" s="27" t="s">
        <v>7</v>
      </c>
      <c r="X298" s="27" t="s">
        <v>7</v>
      </c>
      <c r="AX298" s="27" t="s">
        <v>7</v>
      </c>
    </row>
    <row r="299" spans="1:171" x14ac:dyDescent="0.25">
      <c r="A299" s="30">
        <v>5.6212299933817669E-2</v>
      </c>
      <c r="B299"/>
      <c r="C299"/>
      <c r="D299"/>
      <c r="E299"/>
      <c r="N299" s="27" t="s">
        <v>7</v>
      </c>
      <c r="O299" s="27" t="s">
        <v>8</v>
      </c>
      <c r="P299" s="27" t="s">
        <v>7</v>
      </c>
      <c r="Q299" s="27" t="s">
        <v>8</v>
      </c>
      <c r="R299" s="27" t="s">
        <v>7</v>
      </c>
      <c r="S299" s="27" t="s">
        <v>8</v>
      </c>
      <c r="T299" s="27" t="s">
        <v>7</v>
      </c>
      <c r="U299" s="27" t="s">
        <v>8</v>
      </c>
    </row>
    <row r="300" spans="1:171" x14ac:dyDescent="0.25">
      <c r="A300" s="30">
        <v>5.3535523746492994E-2</v>
      </c>
      <c r="B300"/>
      <c r="C300"/>
      <c r="D300"/>
      <c r="E300"/>
      <c r="N300" s="27" t="s">
        <v>7</v>
      </c>
      <c r="O300" s="27" t="s">
        <v>8</v>
      </c>
      <c r="P300" s="27" t="s">
        <v>7</v>
      </c>
      <c r="Q300" s="27" t="s">
        <v>8</v>
      </c>
      <c r="R300" s="27" t="s">
        <v>7</v>
      </c>
      <c r="T300" s="27" t="s">
        <v>7</v>
      </c>
    </row>
    <row r="301" spans="1:171" x14ac:dyDescent="0.25">
      <c r="A301" s="30">
        <v>5.0986213091898068E-2</v>
      </c>
      <c r="B301"/>
      <c r="C301"/>
      <c r="D301"/>
      <c r="E301"/>
      <c r="N301" s="27" t="s">
        <v>7</v>
      </c>
      <c r="O301" s="27" t="s">
        <v>8</v>
      </c>
      <c r="P301" s="27" t="s">
        <v>7</v>
      </c>
      <c r="Q301" s="27" t="s">
        <v>8</v>
      </c>
    </row>
    <row r="302" spans="1:171" x14ac:dyDescent="0.25">
      <c r="A302" s="30">
        <v>4.8558298182760043E-2</v>
      </c>
      <c r="B302"/>
      <c r="C302"/>
      <c r="D302"/>
      <c r="E302"/>
      <c r="N302" s="27" t="s">
        <v>7</v>
      </c>
      <c r="O302" s="27" t="s">
        <v>8</v>
      </c>
      <c r="P302" s="27" t="s">
        <v>7</v>
      </c>
      <c r="Q302" s="27" t="s">
        <v>8</v>
      </c>
    </row>
    <row r="303" spans="1:171" x14ac:dyDescent="0.25">
      <c r="A303" s="30">
        <v>4.6245998269295263E-2</v>
      </c>
      <c r="B303"/>
      <c r="C303"/>
      <c r="D303"/>
      <c r="E303"/>
      <c r="N303" s="27" t="s">
        <v>7</v>
      </c>
      <c r="O303" s="27" t="s">
        <v>8</v>
      </c>
      <c r="P303" s="27" t="s">
        <v>7</v>
      </c>
      <c r="Q303" s="27" t="s">
        <v>8</v>
      </c>
    </row>
    <row r="304" spans="1:171" x14ac:dyDescent="0.25">
      <c r="A304" s="30">
        <v>4.4043807875519279E-2</v>
      </c>
      <c r="B304"/>
      <c r="C304"/>
      <c r="D304"/>
      <c r="E304"/>
      <c r="N304" s="27" t="s">
        <v>7</v>
      </c>
      <c r="O304" s="27" t="s">
        <v>8</v>
      </c>
      <c r="P304" s="27" t="s">
        <v>7</v>
      </c>
    </row>
    <row r="305" spans="1:15" x14ac:dyDescent="0.25">
      <c r="A305" s="30">
        <v>4.1946483690970725E-2</v>
      </c>
      <c r="B305"/>
      <c r="C305"/>
      <c r="D305"/>
      <c r="E305"/>
      <c r="N305" s="27" t="s">
        <v>7</v>
      </c>
      <c r="O305" s="27" t="s">
        <v>8</v>
      </c>
    </row>
    <row r="306" spans="1:15" x14ac:dyDescent="0.25">
      <c r="A306" s="30">
        <v>3.9949032086638768E-2</v>
      </c>
      <c r="B306"/>
      <c r="C306"/>
      <c r="D306"/>
      <c r="E306"/>
      <c r="N306" s="27" t="s">
        <v>7</v>
      </c>
      <c r="O306" s="27" t="s">
        <v>8</v>
      </c>
    </row>
    <row r="307" spans="1:15" x14ac:dyDescent="0.25">
      <c r="A307" s="30">
        <v>3.8046697225370241E-2</v>
      </c>
      <c r="B307"/>
      <c r="C307"/>
      <c r="D307"/>
      <c r="E307"/>
      <c r="N307" s="27" t="s">
        <v>7</v>
      </c>
    </row>
    <row r="308" spans="1:15" x14ac:dyDescent="0.25">
      <c r="A308" s="30">
        <v>3.6234949738447833E-2</v>
      </c>
      <c r="B308"/>
      <c r="C308"/>
      <c r="D308"/>
      <c r="E308"/>
    </row>
    <row r="309" spans="1:15" x14ac:dyDescent="0.25">
      <c r="A309" s="30">
        <v>3.4509475941378875E-2</v>
      </c>
      <c r="B309"/>
      <c r="C309"/>
      <c r="D309"/>
      <c r="E309"/>
    </row>
    <row r="310" spans="1:15" x14ac:dyDescent="0.25">
      <c r="A310" s="30">
        <v>3.286616756321796E-2</v>
      </c>
      <c r="B310"/>
      <c r="C310"/>
      <c r="D310"/>
      <c r="E310"/>
    </row>
    <row r="311" spans="1:15" x14ac:dyDescent="0.25">
      <c r="A311" s="30">
        <v>3.1301111964969472E-2</v>
      </c>
      <c r="B311"/>
      <c r="C311"/>
      <c r="D311"/>
      <c r="E311"/>
    </row>
    <row r="312" spans="1:15" x14ac:dyDescent="0.25">
      <c r="A312" s="30">
        <v>2.9810582823780438E-2</v>
      </c>
      <c r="B312"/>
      <c r="C312"/>
      <c r="D312"/>
      <c r="E312"/>
    </row>
    <row r="313" spans="1:15" x14ac:dyDescent="0.25">
      <c r="A313" s="30">
        <v>2.8391031260743264E-2</v>
      </c>
      <c r="B313"/>
      <c r="C313"/>
      <c r="D313"/>
      <c r="E313"/>
    </row>
    <row r="314" spans="1:15" x14ac:dyDescent="0.25">
      <c r="A314" s="30">
        <v>2.7039077391184052E-2</v>
      </c>
      <c r="B314"/>
      <c r="C314"/>
      <c r="D314"/>
      <c r="E314"/>
    </row>
    <row r="315" spans="1:15" x14ac:dyDescent="0.25">
      <c r="A315" s="30">
        <v>2.5751502277318133E-2</v>
      </c>
      <c r="B315"/>
      <c r="C315"/>
      <c r="D315"/>
      <c r="E315"/>
    </row>
    <row r="316" spans="1:15" x14ac:dyDescent="0.25">
      <c r="A316" s="30">
        <v>2.4525240264112496E-2</v>
      </c>
      <c r="B316"/>
      <c r="C316"/>
      <c r="D316"/>
      <c r="E316"/>
    </row>
    <row r="317" spans="1:15" x14ac:dyDescent="0.25">
      <c r="A317" s="30">
        <v>2.3357371680107129E-2</v>
      </c>
      <c r="B317"/>
      <c r="C317"/>
      <c r="D317"/>
      <c r="E317"/>
    </row>
    <row r="318" spans="1:15" x14ac:dyDescent="0.25">
      <c r="A318" s="30">
        <v>2.2245115885816305E-2</v>
      </c>
      <c r="B318"/>
      <c r="C318"/>
      <c r="D318"/>
      <c r="E318"/>
    </row>
    <row r="319" spans="1:15" x14ac:dyDescent="0.25">
      <c r="A319" s="30">
        <v>2.1185824653158377E-2</v>
      </c>
      <c r="B319"/>
      <c r="C319"/>
      <c r="D319"/>
      <c r="E319"/>
    </row>
    <row r="320" spans="1:1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30" operator="equal">
      <formula>$U$1</formula>
    </cfRule>
    <cfRule type="cellIs" dxfId="67" priority="1131" operator="equal">
      <formula>$S$1</formula>
    </cfRule>
  </conditionalFormatting>
  <conditionalFormatting sqref="D136">
    <cfRule type="cellIs" dxfId="66" priority="1128" operator="equal">
      <formula>$S$1</formula>
    </cfRule>
    <cfRule type="cellIs" dxfId="65" priority="1129" operator="equal">
      <formula>$U$1</formula>
    </cfRule>
  </conditionalFormatting>
  <conditionalFormatting sqref="C162">
    <cfRule type="cellIs" dxfId="64" priority="1126" operator="equal">
      <formula>$U$1</formula>
    </cfRule>
    <cfRule type="cellIs" dxfId="63" priority="1127" operator="equal">
      <formula>$S$1</formula>
    </cfRule>
  </conditionalFormatting>
  <conditionalFormatting sqref="D162">
    <cfRule type="cellIs" dxfId="62" priority="1124" operator="equal">
      <formula>$S$1</formula>
    </cfRule>
    <cfRule type="cellIs" dxfId="61" priority="1125" operator="equal">
      <formula>$U$1</formula>
    </cfRule>
  </conditionalFormatting>
  <conditionalFormatting sqref="C187">
    <cfRule type="cellIs" dxfId="60" priority="1122" operator="equal">
      <formula>$U$1</formula>
    </cfRule>
    <cfRule type="cellIs" dxfId="59" priority="1123" operator="equal">
      <formula>$S$1</formula>
    </cfRule>
  </conditionalFormatting>
  <conditionalFormatting sqref="D187">
    <cfRule type="cellIs" dxfId="58" priority="1120" operator="equal">
      <formula>$S$1</formula>
    </cfRule>
    <cfRule type="cellIs" dxfId="57" priority="1121" operator="equal">
      <formula>$U$1</formula>
    </cfRule>
  </conditionalFormatting>
  <conditionalFormatting sqref="C212">
    <cfRule type="cellIs" dxfId="56" priority="1118" operator="equal">
      <formula>$U$1</formula>
    </cfRule>
    <cfRule type="cellIs" dxfId="55" priority="1119" operator="equal">
      <formula>$S$1</formula>
    </cfRule>
  </conditionalFormatting>
  <conditionalFormatting sqref="D212">
    <cfRule type="cellIs" dxfId="54" priority="1116" operator="equal">
      <formula>$S$1</formula>
    </cfRule>
    <cfRule type="cellIs" dxfId="53" priority="1117" operator="equal">
      <formula>$U$1</formula>
    </cfRule>
  </conditionalFormatting>
  <conditionalFormatting sqref="C237">
    <cfRule type="cellIs" dxfId="52" priority="1114" operator="equal">
      <formula>$U$1</formula>
    </cfRule>
    <cfRule type="cellIs" dxfId="51" priority="1115" operator="equal">
      <formula>$S$1</formula>
    </cfRule>
  </conditionalFormatting>
  <conditionalFormatting sqref="D237">
    <cfRule type="cellIs" dxfId="50" priority="1112" operator="equal">
      <formula>$S$1</formula>
    </cfRule>
    <cfRule type="cellIs" dxfId="49" priority="1113" operator="equal">
      <formula>$U$1</formula>
    </cfRule>
  </conditionalFormatting>
  <conditionalFormatting sqref="C106">
    <cfRule type="cellIs" dxfId="48" priority="1110" operator="equal">
      <formula>$U$1</formula>
    </cfRule>
    <cfRule type="cellIs" dxfId="47" priority="1111" operator="equal">
      <formula>$S$1</formula>
    </cfRule>
  </conditionalFormatting>
  <conditionalFormatting sqref="D106">
    <cfRule type="cellIs" dxfId="46" priority="1108" operator="equal">
      <formula>$S$1</formula>
    </cfRule>
    <cfRule type="cellIs" dxfId="45" priority="1109" operator="equal">
      <formula>$U$1</formula>
    </cfRule>
  </conditionalFormatting>
  <conditionalFormatting sqref="C81">
    <cfRule type="cellIs" dxfId="44" priority="1106" operator="equal">
      <formula>$U$1</formula>
    </cfRule>
    <cfRule type="cellIs" dxfId="43" priority="1107" operator="equal">
      <formula>$S$1</formula>
    </cfRule>
  </conditionalFormatting>
  <conditionalFormatting sqref="D81">
    <cfRule type="cellIs" dxfId="42" priority="1104" operator="equal">
      <formula>$S$1</formula>
    </cfRule>
    <cfRule type="cellIs" dxfId="41" priority="1105" operator="equal">
      <formula>$U$1</formula>
    </cfRule>
  </conditionalFormatting>
  <conditionalFormatting sqref="C56">
    <cfRule type="cellIs" dxfId="40" priority="1102" operator="equal">
      <formula>$U$1</formula>
    </cfRule>
    <cfRule type="cellIs" dxfId="39" priority="1103" operator="equal">
      <formula>$S$1</formula>
    </cfRule>
  </conditionalFormatting>
  <conditionalFormatting sqref="D56">
    <cfRule type="cellIs" dxfId="38" priority="1100" operator="equal">
      <formula>$S$1</formula>
    </cfRule>
    <cfRule type="cellIs" dxfId="37" priority="1101" operator="equal">
      <formula>$U$1</formula>
    </cfRule>
  </conditionalFormatting>
  <conditionalFormatting sqref="C31">
    <cfRule type="cellIs" dxfId="36" priority="1098" operator="equal">
      <formula>$U$1</formula>
    </cfRule>
    <cfRule type="cellIs" dxfId="35" priority="1099" operator="equal">
      <formula>$S$1</formula>
    </cfRule>
  </conditionalFormatting>
  <conditionalFormatting sqref="D31">
    <cfRule type="cellIs" dxfId="34" priority="1096" operator="equal">
      <formula>$S$1</formula>
    </cfRule>
    <cfRule type="cellIs" dxfId="33" priority="109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9" zoomScale="90" zoomScaleNormal="90" workbookViewId="0">
      <pane xSplit="4" topLeftCell="G1" activePane="topRight" state="frozen"/>
      <selection activeCell="A109" sqref="A109"/>
      <selection pane="topRight" activeCell="BB148" sqref="BB14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$A$147</v>
      </c>
      <c r="D111" s="1" t="str">
        <f>ADDRESS(C121-1,D121,1,1)</f>
        <v>$BB$147</v>
      </c>
      <c r="E111"/>
    </row>
    <row r="112" spans="1:5" x14ac:dyDescent="0.25">
      <c r="A112" s="30">
        <v>2.3579476910000019</v>
      </c>
      <c r="C112" s="1" t="str">
        <f>ADDRESS(C121,1,1,1)</f>
        <v>$A$148</v>
      </c>
      <c r="D112" s="1" t="str">
        <f>ADDRESS(C121,D121-1,1,1)</f>
        <v>$BA$148</v>
      </c>
      <c r="E112"/>
    </row>
    <row r="113" spans="1:42" x14ac:dyDescent="0.25">
      <c r="A113" s="30">
        <v>2.1435888100000016</v>
      </c>
      <c r="C113" s="1" t="str">
        <f>ADDRESS(C121+1,1,1,1)</f>
        <v>$A$149</v>
      </c>
      <c r="D113" s="1" t="str">
        <f>ADDRESS(C121-1,D121+1,1,1)</f>
        <v>$BC$147</v>
      </c>
    </row>
    <row r="114" spans="1:42" x14ac:dyDescent="0.25">
      <c r="A114" s="30">
        <v>1.9487171000000014</v>
      </c>
      <c r="C114" s="1" t="str">
        <f>ADDRESS(C121,D121,1,1)</f>
        <v>$BB$148</v>
      </c>
      <c r="D114" s="1" t="str">
        <f>ADDRESS(C121+1,D121+1,1,1)</f>
        <v>$BC$149</v>
      </c>
    </row>
    <row r="115" spans="1:42" x14ac:dyDescent="0.25">
      <c r="A115" s="30">
        <v>1.7715610000000011</v>
      </c>
      <c r="C115" s="1" t="str">
        <f>ADDRESS(C121+1,D121,1,1)</f>
        <v>$BB$149</v>
      </c>
    </row>
    <row r="116" spans="1:42" x14ac:dyDescent="0.25">
      <c r="A116" s="30">
        <v>1.6105100000000008</v>
      </c>
      <c r="C116" s="1">
        <f>C117-1</f>
        <v>147</v>
      </c>
    </row>
    <row r="117" spans="1:42" x14ac:dyDescent="0.25">
      <c r="A117" s="30">
        <v>1.4641000000000006</v>
      </c>
      <c r="C117" s="1">
        <f>C121</f>
        <v>148</v>
      </c>
      <c r="D117" s="1">
        <f>D121</f>
        <v>54</v>
      </c>
    </row>
    <row r="118" spans="1:42" x14ac:dyDescent="0.25">
      <c r="A118" s="30">
        <v>1.3310000000000004</v>
      </c>
      <c r="C118" s="1">
        <f>C117+1</f>
        <v>149</v>
      </c>
      <c r="D118" s="1">
        <f>D117+1</f>
        <v>55</v>
      </c>
    </row>
    <row r="119" spans="1:42" x14ac:dyDescent="0.25">
      <c r="A119" s="30">
        <v>1.2100000000000002</v>
      </c>
    </row>
    <row r="120" spans="1:42" x14ac:dyDescent="0.25">
      <c r="A120" s="30">
        <v>1.1000000000000001</v>
      </c>
      <c r="C120" s="1" t="s">
        <v>9</v>
      </c>
    </row>
    <row r="121" spans="1:42" x14ac:dyDescent="0.25">
      <c r="A121" s="30">
        <v>1</v>
      </c>
      <c r="C121" s="18">
        <v>148</v>
      </c>
      <c r="D121" s="19">
        <v>54</v>
      </c>
      <c r="E121" s="18" t="s">
        <v>8</v>
      </c>
    </row>
    <row r="122" spans="1:42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42" x14ac:dyDescent="0.25">
      <c r="A123" s="30">
        <v>0.82644628099173523</v>
      </c>
      <c r="C123" s="1" t="str">
        <f>"R"&amp;C121</f>
        <v>R148</v>
      </c>
      <c r="D123" s="1" t="str">
        <f>"C"&amp;D121</f>
        <v>C54</v>
      </c>
      <c r="F123" s="27" t="s">
        <v>7</v>
      </c>
    </row>
    <row r="124" spans="1:4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42" x14ac:dyDescent="0.25">
      <c r="A125" s="30">
        <v>0.68301345536507019</v>
      </c>
      <c r="F125" s="27" t="s">
        <v>7</v>
      </c>
      <c r="AM125" s="31" t="s">
        <v>8</v>
      </c>
    </row>
    <row r="126" spans="1:42" x14ac:dyDescent="0.25">
      <c r="A126" s="30">
        <v>0.6209213230591546</v>
      </c>
      <c r="C126" s="1" t="s">
        <v>10</v>
      </c>
      <c r="F126" s="27" t="s">
        <v>7</v>
      </c>
      <c r="AM126" s="27" t="s">
        <v>8</v>
      </c>
      <c r="AN126" s="31" t="s">
        <v>7</v>
      </c>
    </row>
    <row r="127" spans="1:42" x14ac:dyDescent="0.25">
      <c r="A127" s="30">
        <v>0.56447393005377677</v>
      </c>
      <c r="C127" s="30">
        <v>7.6277684443854396E-2</v>
      </c>
      <c r="D127"/>
      <c r="F127" s="27" t="s">
        <v>7</v>
      </c>
      <c r="AM127" s="34" t="s">
        <v>8</v>
      </c>
      <c r="AN127" s="27" t="s">
        <v>7</v>
      </c>
      <c r="AO127" s="31"/>
    </row>
    <row r="128" spans="1:42" x14ac:dyDescent="0.25">
      <c r="A128" s="30">
        <v>0.51315811823070612</v>
      </c>
      <c r="F128" s="27" t="s">
        <v>7</v>
      </c>
      <c r="AK128" s="27" t="s">
        <v>8</v>
      </c>
      <c r="AM128" s="27" t="s">
        <v>8</v>
      </c>
      <c r="AN128" s="27" t="s">
        <v>7</v>
      </c>
      <c r="AP128" s="31"/>
    </row>
    <row r="129" spans="1:55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K129" s="27" t="s">
        <v>8</v>
      </c>
      <c r="AL129" s="27" t="s">
        <v>7</v>
      </c>
      <c r="AM129" s="27" t="s">
        <v>8</v>
      </c>
      <c r="AN129" s="27" t="s">
        <v>7</v>
      </c>
      <c r="AQ129" s="31"/>
    </row>
    <row r="130" spans="1:55" x14ac:dyDescent="0.25">
      <c r="A130" s="30">
        <v>0.42409761837248428</v>
      </c>
      <c r="C130" s="6"/>
      <c r="D130" s="6"/>
      <c r="E130"/>
      <c r="F130" s="27" t="s">
        <v>7</v>
      </c>
      <c r="AK130" s="27" t="s">
        <v>8</v>
      </c>
      <c r="AL130" s="27" t="s">
        <v>7</v>
      </c>
      <c r="AM130" s="27" t="s">
        <v>8</v>
      </c>
      <c r="AN130" s="27" t="s">
        <v>7</v>
      </c>
      <c r="AR130" s="31"/>
    </row>
    <row r="131" spans="1:55" x14ac:dyDescent="0.25">
      <c r="A131" s="30">
        <v>0.38554328942953109</v>
      </c>
      <c r="E131"/>
      <c r="F131" s="27" t="s">
        <v>7</v>
      </c>
      <c r="AK131" s="27" t="s">
        <v>8</v>
      </c>
      <c r="AL131" s="27" t="s">
        <v>7</v>
      </c>
      <c r="AM131" s="27" t="s">
        <v>8</v>
      </c>
      <c r="AN131" s="27" t="s">
        <v>7</v>
      </c>
      <c r="AS131" s="31"/>
    </row>
    <row r="132" spans="1:55" x14ac:dyDescent="0.25">
      <c r="A132" s="30">
        <v>0.35049389948139187</v>
      </c>
      <c r="C132" s="1" t="s">
        <v>13</v>
      </c>
      <c r="E132"/>
      <c r="F132" s="27" t="s">
        <v>7</v>
      </c>
      <c r="AK132" s="27" t="s">
        <v>8</v>
      </c>
      <c r="AL132" s="27" t="s">
        <v>7</v>
      </c>
      <c r="AM132" s="27" t="s">
        <v>8</v>
      </c>
      <c r="AN132" s="27" t="s">
        <v>7</v>
      </c>
      <c r="AT132" s="31"/>
      <c r="AY132" s="27" t="s">
        <v>8</v>
      </c>
    </row>
    <row r="133" spans="1:55" x14ac:dyDescent="0.25">
      <c r="A133" s="30">
        <v>0.31863081771035617</v>
      </c>
      <c r="C133" s="1" t="str">
        <f>C122</f>
        <v>O</v>
      </c>
      <c r="E133"/>
      <c r="F133" s="27" t="s">
        <v>7</v>
      </c>
      <c r="AI133" s="27" t="s">
        <v>8</v>
      </c>
      <c r="AK133" s="27" t="s">
        <v>8</v>
      </c>
      <c r="AL133" s="27" t="s">
        <v>7</v>
      </c>
      <c r="AM133" s="27" t="s">
        <v>8</v>
      </c>
      <c r="AN133" s="27" t="s">
        <v>7</v>
      </c>
      <c r="AU133" s="31"/>
      <c r="AY133" s="27" t="s">
        <v>8</v>
      </c>
      <c r="AZ133" s="27" t="s">
        <v>7</v>
      </c>
    </row>
    <row r="134" spans="1:55" x14ac:dyDescent="0.25">
      <c r="A134" s="30">
        <v>0.28966437973668741</v>
      </c>
      <c r="C134"/>
      <c r="D134"/>
      <c r="E134"/>
      <c r="F134" s="27" t="s">
        <v>7</v>
      </c>
      <c r="AI134" s="27" t="s">
        <v>8</v>
      </c>
      <c r="AJ134" s="27" t="s">
        <v>7</v>
      </c>
      <c r="AK134" s="27" t="s">
        <v>8</v>
      </c>
      <c r="AL134" s="27" t="s">
        <v>7</v>
      </c>
      <c r="AM134" s="27" t="s">
        <v>8</v>
      </c>
      <c r="AN134" s="27" t="s">
        <v>7</v>
      </c>
      <c r="AV134" s="31"/>
      <c r="AY134" s="27" t="s">
        <v>8</v>
      </c>
      <c r="AZ134" s="27" t="s">
        <v>7</v>
      </c>
    </row>
    <row r="135" spans="1:55" x14ac:dyDescent="0.25">
      <c r="A135" s="30">
        <v>0.2633312543060794</v>
      </c>
      <c r="C135" s="1" t="s">
        <v>14</v>
      </c>
      <c r="E135"/>
      <c r="F135" s="27" t="s">
        <v>7</v>
      </c>
      <c r="AE135" s="27" t="s">
        <v>8</v>
      </c>
      <c r="AI135" s="34" t="s">
        <v>8</v>
      </c>
      <c r="AJ135" s="27" t="s">
        <v>7</v>
      </c>
      <c r="AK135" s="27" t="s">
        <v>8</v>
      </c>
      <c r="AL135" s="27" t="s">
        <v>7</v>
      </c>
      <c r="AM135" s="27" t="s">
        <v>8</v>
      </c>
      <c r="AN135" s="27" t="s">
        <v>7</v>
      </c>
      <c r="AO135" s="27" t="s">
        <v>8</v>
      </c>
      <c r="AW135" s="31"/>
      <c r="AY135" s="27" t="s">
        <v>8</v>
      </c>
      <c r="AZ135" s="27" t="s">
        <v>7</v>
      </c>
    </row>
    <row r="136" spans="1:5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E136" s="27" t="s">
        <v>8</v>
      </c>
      <c r="AF136" s="27" t="s">
        <v>7</v>
      </c>
      <c r="AG136" s="27" t="s">
        <v>8</v>
      </c>
      <c r="AI136" s="27" t="s">
        <v>8</v>
      </c>
      <c r="AJ136" s="27" t="s">
        <v>7</v>
      </c>
      <c r="AL136" s="27" t="s">
        <v>7</v>
      </c>
      <c r="AM136" s="27" t="s">
        <v>8</v>
      </c>
      <c r="AN136" s="27" t="s">
        <v>7</v>
      </c>
      <c r="AO136" s="27" t="s">
        <v>8</v>
      </c>
      <c r="AP136" s="27" t="s">
        <v>7</v>
      </c>
      <c r="AQ136" s="27" t="s">
        <v>8</v>
      </c>
      <c r="AU136" s="27" t="s">
        <v>8</v>
      </c>
      <c r="AX136" s="19"/>
      <c r="AY136" s="19" t="s">
        <v>8</v>
      </c>
      <c r="AZ136" s="19" t="s">
        <v>7</v>
      </c>
      <c r="BA136" s="19"/>
      <c r="BB136" s="19"/>
      <c r="BC136" s="19"/>
    </row>
    <row r="137" spans="1:55" x14ac:dyDescent="0.25">
      <c r="A137" s="30">
        <v>0.2176291357901482</v>
      </c>
      <c r="E137"/>
      <c r="F137" s="27" t="s">
        <v>7</v>
      </c>
      <c r="AC137" s="27" t="s">
        <v>8</v>
      </c>
      <c r="AE137" s="27" t="s">
        <v>8</v>
      </c>
      <c r="AF137" s="27" t="s">
        <v>7</v>
      </c>
      <c r="AG137" s="27" t="s">
        <v>8</v>
      </c>
      <c r="AH137" s="27" t="s">
        <v>7</v>
      </c>
      <c r="AI137" s="27" t="s">
        <v>8</v>
      </c>
      <c r="AL137" s="33" t="s">
        <v>7</v>
      </c>
      <c r="AN137" s="27" t="s">
        <v>7</v>
      </c>
      <c r="AO137" s="27" t="s">
        <v>8</v>
      </c>
      <c r="AP137" s="27" t="s">
        <v>7</v>
      </c>
      <c r="AQ137" s="27" t="s">
        <v>8</v>
      </c>
      <c r="AR137" s="27" t="s">
        <v>7</v>
      </c>
      <c r="AU137" s="27" t="s">
        <v>8</v>
      </c>
      <c r="AV137" s="27" t="s">
        <v>7</v>
      </c>
      <c r="AX137" s="19"/>
      <c r="AY137" s="19" t="s">
        <v>8</v>
      </c>
      <c r="AZ137" s="19" t="s">
        <v>7</v>
      </c>
      <c r="BA137" s="19"/>
      <c r="BB137" s="19"/>
      <c r="BC137" s="19"/>
    </row>
    <row r="138" spans="1:5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C138" s="27" t="s">
        <v>8</v>
      </c>
      <c r="AD138" s="27" t="s">
        <v>7</v>
      </c>
      <c r="AE138" s="27" t="s">
        <v>8</v>
      </c>
      <c r="AF138" s="27" t="s">
        <v>7</v>
      </c>
      <c r="AG138" s="27" t="s">
        <v>8</v>
      </c>
      <c r="AH138" s="27" t="s">
        <v>7</v>
      </c>
      <c r="AI138" s="27" t="s">
        <v>8</v>
      </c>
      <c r="AN138" s="33" t="s">
        <v>7</v>
      </c>
      <c r="AO138" s="27" t="s">
        <v>8</v>
      </c>
      <c r="AP138" s="27" t="s">
        <v>7</v>
      </c>
      <c r="AQ138" s="27" t="s">
        <v>8</v>
      </c>
      <c r="AR138" s="27" t="s">
        <v>7</v>
      </c>
      <c r="AU138" s="27" t="s">
        <v>8</v>
      </c>
      <c r="AV138" s="27" t="s">
        <v>7</v>
      </c>
      <c r="AW138" s="27" t="s">
        <v>8</v>
      </c>
      <c r="AX138" s="19"/>
      <c r="AY138" s="19" t="s">
        <v>8</v>
      </c>
      <c r="AZ138" s="19" t="s">
        <v>7</v>
      </c>
      <c r="BA138" s="19"/>
      <c r="BB138" s="19"/>
      <c r="BC138" s="19"/>
    </row>
    <row r="139" spans="1:55" x14ac:dyDescent="0.25">
      <c r="A139" s="30">
        <v>0.17985878990921333</v>
      </c>
      <c r="E139"/>
      <c r="F139" s="27" t="s">
        <v>7</v>
      </c>
      <c r="I139" s="27" t="s">
        <v>8</v>
      </c>
      <c r="AC139" s="27" t="s">
        <v>8</v>
      </c>
      <c r="AD139" s="27" t="s">
        <v>7</v>
      </c>
      <c r="AE139" s="27" t="s">
        <v>8</v>
      </c>
      <c r="AF139" s="27" t="s">
        <v>7</v>
      </c>
      <c r="AG139" s="27" t="s">
        <v>8</v>
      </c>
      <c r="AH139" s="27" t="s">
        <v>7</v>
      </c>
      <c r="AI139" s="27" t="s">
        <v>8</v>
      </c>
      <c r="AN139" s="27" t="s">
        <v>7</v>
      </c>
      <c r="AO139" s="27" t="s">
        <v>8</v>
      </c>
      <c r="AP139" s="27" t="s">
        <v>7</v>
      </c>
      <c r="AQ139" s="27" t="s">
        <v>8</v>
      </c>
      <c r="AR139" s="27" t="s">
        <v>7</v>
      </c>
      <c r="AU139" s="27" t="s">
        <v>8</v>
      </c>
      <c r="AV139" s="27" t="s">
        <v>7</v>
      </c>
      <c r="AW139" s="27" t="s">
        <v>8</v>
      </c>
      <c r="AX139" s="19" t="s">
        <v>7</v>
      </c>
      <c r="AY139" s="19" t="s">
        <v>8</v>
      </c>
      <c r="AZ139" s="19" t="s">
        <v>7</v>
      </c>
      <c r="BA139" s="19"/>
      <c r="BB139" s="19"/>
      <c r="BC139" s="19"/>
    </row>
    <row r="140" spans="1:55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I140" s="27" t="s">
        <v>8</v>
      </c>
      <c r="J140" s="27" t="s">
        <v>7</v>
      </c>
      <c r="AC140" s="27" t="s">
        <v>8</v>
      </c>
      <c r="AD140" s="27" t="s">
        <v>7</v>
      </c>
      <c r="AF140" s="27" t="s">
        <v>7</v>
      </c>
      <c r="AG140" s="27" t="s">
        <v>8</v>
      </c>
      <c r="AH140" s="27" t="s">
        <v>7</v>
      </c>
      <c r="AN140" s="27" t="s">
        <v>7</v>
      </c>
      <c r="AP140" s="27" t="s">
        <v>7</v>
      </c>
      <c r="AQ140" s="27" t="s">
        <v>8</v>
      </c>
      <c r="AR140" s="27" t="s">
        <v>7</v>
      </c>
      <c r="AS140" s="27" t="s">
        <v>8</v>
      </c>
      <c r="AU140" s="27" t="s">
        <v>8</v>
      </c>
      <c r="AV140" s="27" t="s">
        <v>7</v>
      </c>
      <c r="AW140" s="27" t="s">
        <v>8</v>
      </c>
      <c r="AX140" s="27" t="s">
        <v>7</v>
      </c>
      <c r="AY140" s="27" t="s">
        <v>8</v>
      </c>
      <c r="AZ140" s="27" t="s">
        <v>7</v>
      </c>
    </row>
    <row r="141" spans="1:55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H141" s="27" t="s">
        <v>7</v>
      </c>
      <c r="I141" s="27" t="s">
        <v>8</v>
      </c>
      <c r="J141" s="27" t="s">
        <v>7</v>
      </c>
      <c r="Q141" s="27" t="s">
        <v>8</v>
      </c>
      <c r="AC141" s="27" t="s">
        <v>8</v>
      </c>
      <c r="AF141" s="33" t="s">
        <v>7</v>
      </c>
      <c r="AG141" s="27" t="s">
        <v>8</v>
      </c>
      <c r="AP141" s="27" t="s">
        <v>7</v>
      </c>
      <c r="AQ141" s="27" t="s">
        <v>8</v>
      </c>
      <c r="AR141" s="27" t="s">
        <v>7</v>
      </c>
      <c r="AS141" s="27" t="s">
        <v>8</v>
      </c>
      <c r="AT141" s="27" t="s">
        <v>7</v>
      </c>
      <c r="AU141" s="27" t="s">
        <v>8</v>
      </c>
      <c r="AV141" s="27" t="s">
        <v>7</v>
      </c>
      <c r="AW141" s="27" t="s">
        <v>8</v>
      </c>
      <c r="AX141" s="31" t="s">
        <v>7</v>
      </c>
      <c r="AZ141" s="27" t="s">
        <v>7</v>
      </c>
      <c r="BA141" s="27" t="s">
        <v>8</v>
      </c>
    </row>
    <row r="142" spans="1:55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  <c r="J142" s="27" t="s">
        <v>7</v>
      </c>
      <c r="Q142" s="27" t="s">
        <v>8</v>
      </c>
      <c r="R142" s="27" t="s">
        <v>7</v>
      </c>
      <c r="AC142" s="27" t="s">
        <v>8</v>
      </c>
      <c r="AF142" s="27" t="s">
        <v>7</v>
      </c>
      <c r="AP142" s="27" t="s">
        <v>7</v>
      </c>
      <c r="AR142" s="27" t="s">
        <v>7</v>
      </c>
      <c r="AS142" s="27" t="s">
        <v>8</v>
      </c>
      <c r="AT142" s="27" t="s">
        <v>7</v>
      </c>
      <c r="AU142" s="27" t="s">
        <v>8</v>
      </c>
      <c r="AV142" s="27" t="s">
        <v>7</v>
      </c>
      <c r="AW142" s="31"/>
      <c r="AZ142" s="27" t="s">
        <v>7</v>
      </c>
      <c r="BA142" s="27" t="s">
        <v>8</v>
      </c>
      <c r="BB142" s="27" t="s">
        <v>7</v>
      </c>
    </row>
    <row r="143" spans="1:55" x14ac:dyDescent="0.25">
      <c r="A143" s="30">
        <v>0.12284597357367205</v>
      </c>
      <c r="C143" s="1">
        <v>3</v>
      </c>
      <c r="E143"/>
      <c r="F143" s="27" t="s">
        <v>7</v>
      </c>
      <c r="H143" s="27" t="s">
        <v>7</v>
      </c>
      <c r="J143" s="27" t="s">
        <v>7</v>
      </c>
      <c r="O143" s="27" t="s">
        <v>8</v>
      </c>
      <c r="Q143" s="27" t="s">
        <v>8</v>
      </c>
      <c r="R143" s="27" t="s">
        <v>7</v>
      </c>
      <c r="AC143" s="27" t="s">
        <v>8</v>
      </c>
      <c r="AR143" s="27" t="s">
        <v>7</v>
      </c>
      <c r="AS143" s="27" t="s">
        <v>8</v>
      </c>
      <c r="AT143" s="27" t="s">
        <v>7</v>
      </c>
      <c r="AU143" s="27" t="s">
        <v>8</v>
      </c>
      <c r="AV143" s="31"/>
      <c r="AZ143" s="27" t="s">
        <v>7</v>
      </c>
      <c r="BA143" s="27" t="s">
        <v>8</v>
      </c>
      <c r="BB143" s="27" t="s">
        <v>7</v>
      </c>
    </row>
    <row r="144" spans="1:55" x14ac:dyDescent="0.25">
      <c r="A144" s="30">
        <v>0.11167815779424731</v>
      </c>
      <c r="C144" s="1">
        <v>4</v>
      </c>
      <c r="E144"/>
      <c r="J144" s="27" t="s">
        <v>7</v>
      </c>
      <c r="O144" s="27" t="s">
        <v>8</v>
      </c>
      <c r="P144" s="27" t="s">
        <v>7</v>
      </c>
      <c r="Q144" s="27" t="s">
        <v>8</v>
      </c>
      <c r="R144" s="27" t="s">
        <v>7</v>
      </c>
      <c r="AC144" s="27" t="s">
        <v>8</v>
      </c>
      <c r="AR144" s="27" t="s">
        <v>7</v>
      </c>
      <c r="AS144" s="27" t="s">
        <v>8</v>
      </c>
      <c r="AT144" s="18" t="s">
        <v>7</v>
      </c>
      <c r="AU144" s="31" t="s">
        <v>8</v>
      </c>
      <c r="AZ144" s="27" t="s">
        <v>7</v>
      </c>
      <c r="BB144" s="27" t="s">
        <v>7</v>
      </c>
    </row>
    <row r="145" spans="1:54" x14ac:dyDescent="0.25">
      <c r="A145" s="30">
        <v>0.10152559799477026</v>
      </c>
      <c r="B145"/>
      <c r="C145"/>
      <c r="D145"/>
      <c r="E145"/>
      <c r="J145" s="27" t="s">
        <v>7</v>
      </c>
      <c r="M145" s="27" t="s">
        <v>8</v>
      </c>
      <c r="O145" s="27" t="s">
        <v>8</v>
      </c>
      <c r="P145" s="27" t="s">
        <v>7</v>
      </c>
      <c r="Q145" s="27" t="s">
        <v>8</v>
      </c>
      <c r="R145" s="27" t="s">
        <v>7</v>
      </c>
      <c r="S145" s="27" t="s">
        <v>8</v>
      </c>
      <c r="AA145" s="34" t="s">
        <v>8</v>
      </c>
      <c r="AC145" s="27" t="s">
        <v>8</v>
      </c>
      <c r="AR145" s="32" t="s">
        <v>7</v>
      </c>
      <c r="AT145" s="32" t="s">
        <v>7</v>
      </c>
      <c r="BB145" s="27" t="s">
        <v>7</v>
      </c>
    </row>
    <row r="146" spans="1:54" x14ac:dyDescent="0.25">
      <c r="A146" s="30">
        <v>9.2295998177063854E-2</v>
      </c>
      <c r="B146"/>
      <c r="C146"/>
      <c r="D146"/>
      <c r="E146"/>
      <c r="J146" s="27" t="s">
        <v>7</v>
      </c>
      <c r="M146" s="27" t="s">
        <v>8</v>
      </c>
      <c r="N146" s="27" t="s">
        <v>7</v>
      </c>
      <c r="O146" s="27" t="s">
        <v>8</v>
      </c>
      <c r="P146" s="27" t="s">
        <v>7</v>
      </c>
      <c r="R146" s="27" t="s">
        <v>7</v>
      </c>
      <c r="S146" s="27" t="s">
        <v>8</v>
      </c>
      <c r="T146" s="27" t="s">
        <v>7</v>
      </c>
      <c r="U146" s="32" t="s">
        <v>8</v>
      </c>
      <c r="W146" s="32" t="s">
        <v>8</v>
      </c>
      <c r="Y146" s="32" t="s">
        <v>8</v>
      </c>
      <c r="AA146" s="27" t="s">
        <v>8</v>
      </c>
      <c r="AB146" s="27" t="s">
        <v>7</v>
      </c>
      <c r="AC146" s="27" t="s">
        <v>8</v>
      </c>
      <c r="BB146" s="27" t="s">
        <v>7</v>
      </c>
    </row>
    <row r="147" spans="1:54" x14ac:dyDescent="0.25">
      <c r="A147" s="30">
        <v>8.3905452888239848E-2</v>
      </c>
      <c r="B147"/>
      <c r="C147"/>
      <c r="D147"/>
      <c r="E147"/>
      <c r="J147" s="27" t="s">
        <v>7</v>
      </c>
      <c r="M147" s="27" t="s">
        <v>8</v>
      </c>
      <c r="N147" s="27" t="s">
        <v>7</v>
      </c>
      <c r="O147" s="27" t="s">
        <v>8</v>
      </c>
      <c r="R147" s="27" t="s">
        <v>7</v>
      </c>
      <c r="S147" s="27" t="s">
        <v>8</v>
      </c>
      <c r="T147" s="27" t="s">
        <v>7</v>
      </c>
      <c r="U147" s="27" t="s">
        <v>8</v>
      </c>
      <c r="V147" s="27" t="s">
        <v>7</v>
      </c>
      <c r="W147" s="27" t="s">
        <v>8</v>
      </c>
      <c r="X147" s="27" t="s">
        <v>7</v>
      </c>
      <c r="Y147" s="27" t="s">
        <v>8</v>
      </c>
      <c r="Z147" s="27" t="s">
        <v>7</v>
      </c>
      <c r="AA147" s="27" t="s">
        <v>8</v>
      </c>
      <c r="AB147" s="27" t="s">
        <v>7</v>
      </c>
      <c r="AC147" s="27" t="s">
        <v>8</v>
      </c>
      <c r="BB147" s="27" t="s">
        <v>7</v>
      </c>
    </row>
    <row r="148" spans="1:54" x14ac:dyDescent="0.25">
      <c r="A148" s="30">
        <v>7.6277684443854396E-2</v>
      </c>
      <c r="B148"/>
      <c r="C148"/>
      <c r="D148"/>
      <c r="E148"/>
      <c r="J148" s="27" t="s">
        <v>7</v>
      </c>
      <c r="M148" s="27" t="s">
        <v>8</v>
      </c>
      <c r="N148" s="27" t="s">
        <v>7</v>
      </c>
      <c r="R148" s="27" t="s">
        <v>7</v>
      </c>
      <c r="T148" s="27" t="s">
        <v>7</v>
      </c>
      <c r="U148" s="27" t="s">
        <v>8</v>
      </c>
      <c r="V148" s="27" t="s">
        <v>7</v>
      </c>
      <c r="W148" s="27" t="s">
        <v>8</v>
      </c>
      <c r="X148" s="27" t="s">
        <v>7</v>
      </c>
      <c r="Y148" s="27" t="s">
        <v>8</v>
      </c>
      <c r="Z148" s="27" t="s">
        <v>7</v>
      </c>
      <c r="AA148" s="27" t="s">
        <v>8</v>
      </c>
      <c r="AB148" s="27" t="s">
        <v>7</v>
      </c>
      <c r="AC148" s="27" t="s">
        <v>8</v>
      </c>
      <c r="BB148" s="27" t="s">
        <v>7</v>
      </c>
    </row>
    <row r="149" spans="1:54" x14ac:dyDescent="0.25">
      <c r="A149" s="30">
        <v>6.9343349494413078E-2</v>
      </c>
      <c r="B149"/>
      <c r="C149"/>
      <c r="D149"/>
      <c r="E149"/>
      <c r="J149" s="27" t="s">
        <v>7</v>
      </c>
      <c r="M149" s="27" t="s">
        <v>8</v>
      </c>
      <c r="T149" s="27" t="s">
        <v>7</v>
      </c>
      <c r="U149" s="27" t="s">
        <v>8</v>
      </c>
      <c r="V149" s="27" t="s">
        <v>7</v>
      </c>
      <c r="X149" s="27" t="s">
        <v>7</v>
      </c>
      <c r="Y149" s="27" t="s">
        <v>8</v>
      </c>
      <c r="Z149" s="32" t="s">
        <v>7</v>
      </c>
      <c r="AB149" s="32" t="s">
        <v>7</v>
      </c>
    </row>
    <row r="150" spans="1:54" x14ac:dyDescent="0.25">
      <c r="A150" s="30">
        <v>6.3039408631284613E-2</v>
      </c>
      <c r="B150"/>
      <c r="C150"/>
      <c r="D150"/>
      <c r="E150"/>
      <c r="J150" s="27" t="s">
        <v>7</v>
      </c>
      <c r="K150" s="27" t="s">
        <v>8</v>
      </c>
      <c r="M150" s="27" t="s">
        <v>8</v>
      </c>
      <c r="T150" s="27" t="s">
        <v>7</v>
      </c>
      <c r="U150" s="27" t="s">
        <v>8</v>
      </c>
      <c r="X150" s="33" t="s">
        <v>7</v>
      </c>
    </row>
    <row r="151" spans="1:54" x14ac:dyDescent="0.25">
      <c r="A151" s="30">
        <v>5.7308553301167818E-2</v>
      </c>
      <c r="B151"/>
      <c r="C151"/>
      <c r="D151"/>
      <c r="E151"/>
      <c r="J151" s="27" t="s">
        <v>7</v>
      </c>
      <c r="K151" s="27" t="s">
        <v>8</v>
      </c>
      <c r="L151" s="27" t="s">
        <v>7</v>
      </c>
      <c r="M151" s="27" t="s">
        <v>8</v>
      </c>
      <c r="T151" s="27" t="s">
        <v>7</v>
      </c>
    </row>
    <row r="152" spans="1:54" x14ac:dyDescent="0.25">
      <c r="A152" s="30">
        <v>5.2098684819243464E-2</v>
      </c>
      <c r="B152"/>
      <c r="C152"/>
      <c r="D152"/>
      <c r="E152"/>
      <c r="J152" s="27" t="s">
        <v>7</v>
      </c>
      <c r="K152" s="27" t="s">
        <v>8</v>
      </c>
      <c r="L152" s="27" t="s">
        <v>7</v>
      </c>
      <c r="M152" s="27" t="s">
        <v>8</v>
      </c>
    </row>
    <row r="153" spans="1:54" x14ac:dyDescent="0.25">
      <c r="A153" s="30">
        <v>4.7362440744766775E-2</v>
      </c>
      <c r="B153"/>
      <c r="C153"/>
      <c r="D153"/>
      <c r="E153"/>
      <c r="J153" s="27" t="s">
        <v>7</v>
      </c>
      <c r="K153" s="27" t="s">
        <v>8</v>
      </c>
      <c r="L153" s="27" t="s">
        <v>7</v>
      </c>
    </row>
    <row r="154" spans="1:54" x14ac:dyDescent="0.25">
      <c r="A154" s="30">
        <v>4.3056764313424332E-2</v>
      </c>
      <c r="B154"/>
      <c r="C154"/>
      <c r="D154"/>
      <c r="E154"/>
      <c r="J154" s="27" t="s">
        <v>7</v>
      </c>
      <c r="K154" s="27" t="s">
        <v>8</v>
      </c>
    </row>
    <row r="155" spans="1:54" x14ac:dyDescent="0.25">
      <c r="A155" s="30">
        <v>3.9142513012203929E-2</v>
      </c>
      <c r="B155"/>
      <c r="C155"/>
      <c r="D155"/>
      <c r="E155"/>
      <c r="J155" s="27" t="s">
        <v>7</v>
      </c>
    </row>
    <row r="156" spans="1:54" x14ac:dyDescent="0.25">
      <c r="A156" s="30">
        <v>3.55841027383672E-2</v>
      </c>
      <c r="B156"/>
      <c r="C156"/>
      <c r="D156"/>
      <c r="E156"/>
    </row>
    <row r="157" spans="1:54" x14ac:dyDescent="0.25">
      <c r="A157" s="30">
        <v>3.2349184307606541E-2</v>
      </c>
      <c r="B157"/>
      <c r="C157"/>
      <c r="D157"/>
      <c r="E157"/>
    </row>
    <row r="158" spans="1:54" x14ac:dyDescent="0.25">
      <c r="A158" s="30">
        <v>2.9408349370551395E-2</v>
      </c>
      <c r="B158"/>
      <c r="C158"/>
      <c r="D158"/>
      <c r="E158"/>
    </row>
    <row r="159" spans="1:54" x14ac:dyDescent="0.25">
      <c r="A159" s="30">
        <v>2.6734863064137627E-2</v>
      </c>
      <c r="B159"/>
      <c r="C159"/>
      <c r="D159"/>
      <c r="E159"/>
    </row>
    <row r="160" spans="1:54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14" operator="equal">
      <formula>$U$1</formula>
    </cfRule>
    <cfRule type="cellIs" dxfId="30" priority="1115" operator="equal">
      <formula>$S$1</formula>
    </cfRule>
  </conditionalFormatting>
  <conditionalFormatting sqref="D136">
    <cfRule type="cellIs" dxfId="29" priority="1112" operator="equal">
      <formula>$S$1</formula>
    </cfRule>
    <cfRule type="cellIs" dxfId="28" priority="1113" operator="equal">
      <formula>$U$1</formula>
    </cfRule>
  </conditionalFormatting>
  <conditionalFormatting sqref="C102">
    <cfRule type="cellIs" dxfId="27" priority="1110" operator="equal">
      <formula>$U$1</formula>
    </cfRule>
    <cfRule type="cellIs" dxfId="26" priority="1111" operator="equal">
      <formula>$S$1</formula>
    </cfRule>
  </conditionalFormatting>
  <conditionalFormatting sqref="D102">
    <cfRule type="cellIs" dxfId="25" priority="1108" operator="equal">
      <formula>$S$1</formula>
    </cfRule>
    <cfRule type="cellIs" dxfId="24" priority="1109" operator="equal">
      <formula>$U$1</formula>
    </cfRule>
  </conditionalFormatting>
  <conditionalFormatting sqref="C77">
    <cfRule type="cellIs" dxfId="23" priority="1106" operator="equal">
      <formula>$U$1</formula>
    </cfRule>
    <cfRule type="cellIs" dxfId="22" priority="1107" operator="equal">
      <formula>$S$1</formula>
    </cfRule>
  </conditionalFormatting>
  <conditionalFormatting sqref="D77">
    <cfRule type="cellIs" dxfId="21" priority="1104" operator="equal">
      <formula>$S$1</formula>
    </cfRule>
    <cfRule type="cellIs" dxfId="20" priority="1105" operator="equal">
      <formula>$U$1</formula>
    </cfRule>
  </conditionalFormatting>
  <conditionalFormatting sqref="C52">
    <cfRule type="cellIs" dxfId="19" priority="1102" operator="equal">
      <formula>$U$1</formula>
    </cfRule>
    <cfRule type="cellIs" dxfId="18" priority="1103" operator="equal">
      <formula>$S$1</formula>
    </cfRule>
  </conditionalFormatting>
  <conditionalFormatting sqref="D52">
    <cfRule type="cellIs" dxfId="17" priority="1100" operator="equal">
      <formula>$S$1</formula>
    </cfRule>
    <cfRule type="cellIs" dxfId="16" priority="1101" operator="equal">
      <formula>$U$1</formula>
    </cfRule>
  </conditionalFormatting>
  <conditionalFormatting sqref="C26">
    <cfRule type="cellIs" dxfId="15" priority="1098" operator="equal">
      <formula>$U$1</formula>
    </cfRule>
    <cfRule type="cellIs" dxfId="14" priority="1099" operator="equal">
      <formula>$S$1</formula>
    </cfRule>
  </conditionalFormatting>
  <conditionalFormatting sqref="D26">
    <cfRule type="cellIs" dxfId="13" priority="1096" operator="equal">
      <formula>$S$1</formula>
    </cfRule>
    <cfRule type="cellIs" dxfId="12" priority="109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0.05</v>
      </c>
      <c r="E3" s="30">
        <v>9.6142108987047836E-2</v>
      </c>
      <c r="F3" s="30">
        <v>0.10094921443640027</v>
      </c>
      <c r="G3" s="30">
        <v>0.16443563297285677</v>
      </c>
      <c r="H3" s="25">
        <f>IF(G3="","",(3*(G3-F3))+E3)</f>
        <v>0.28660136459641733</v>
      </c>
      <c r="I3" s="7"/>
      <c r="J3" s="7">
        <f>(E3+G3)/2</f>
        <v>0.13028887097995229</v>
      </c>
      <c r="K3" s="7">
        <f>H3/2</f>
        <v>0.14330068229820866</v>
      </c>
      <c r="M3" s="26">
        <f>IF(OR(J3="",H3=""),"",H3/J3)</f>
        <v>2.1997378781532082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topLeftCell="A496" zoomScale="90" zoomScaleNormal="90" workbookViewId="0">
      <selection activeCell="C521" sqref="C521:D521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0.69520000000000004</v>
      </c>
      <c r="D2" s="4">
        <f>MIN(D3:D1700)</f>
        <v>3.73E-2</v>
      </c>
      <c r="E2" s="28"/>
      <c r="F2" s="28"/>
      <c r="G2" s="28"/>
    </row>
    <row r="5" spans="1:14" x14ac:dyDescent="0.25">
      <c r="A5" s="5">
        <v>44396</v>
      </c>
      <c r="B5">
        <v>0.1153</v>
      </c>
      <c r="C5">
        <v>0.11600000000000001</v>
      </c>
      <c r="D5">
        <v>0.1061</v>
      </c>
      <c r="E5">
        <v>0.1081</v>
      </c>
      <c r="F5">
        <v>5166635.9400000004</v>
      </c>
      <c r="G5">
        <v>-6.24</v>
      </c>
    </row>
    <row r="6" spans="1:14" x14ac:dyDescent="0.25">
      <c r="A6" s="5">
        <v>44395</v>
      </c>
      <c r="B6">
        <v>0.11559999999999999</v>
      </c>
      <c r="C6">
        <v>0.1197</v>
      </c>
      <c r="D6">
        <v>0.11360000000000001</v>
      </c>
      <c r="E6">
        <v>0.1153</v>
      </c>
      <c r="F6">
        <v>5616060.5300000003</v>
      </c>
      <c r="G6">
        <v>-0.26</v>
      </c>
    </row>
    <row r="7" spans="1:14" x14ac:dyDescent="0.25">
      <c r="A7" s="5">
        <v>44394</v>
      </c>
      <c r="B7">
        <v>0.1172</v>
      </c>
      <c r="C7">
        <v>0.12</v>
      </c>
      <c r="D7">
        <v>0.1147</v>
      </c>
      <c r="E7">
        <v>0.11559999999999999</v>
      </c>
      <c r="F7">
        <v>5931144.1500000004</v>
      </c>
      <c r="G7">
        <v>-1.37</v>
      </c>
    </row>
    <row r="8" spans="1:14" x14ac:dyDescent="0.25">
      <c r="A8" s="5">
        <v>44393</v>
      </c>
      <c r="B8">
        <v>0.12540000000000001</v>
      </c>
      <c r="C8">
        <v>0.1308</v>
      </c>
      <c r="D8">
        <v>0.1167</v>
      </c>
      <c r="E8">
        <v>0.1172</v>
      </c>
      <c r="F8">
        <v>12231857.630000001</v>
      </c>
      <c r="G8">
        <v>-6.54</v>
      </c>
    </row>
    <row r="9" spans="1:14" x14ac:dyDescent="0.25">
      <c r="A9" s="5">
        <v>44392</v>
      </c>
      <c r="B9">
        <v>0.12239999999999999</v>
      </c>
      <c r="C9">
        <v>0.13250000000000001</v>
      </c>
      <c r="D9">
        <v>0.1171</v>
      </c>
      <c r="E9">
        <v>0.125</v>
      </c>
      <c r="F9">
        <v>20773757</v>
      </c>
      <c r="G9">
        <v>2.12</v>
      </c>
    </row>
    <row r="10" spans="1:14" x14ac:dyDescent="0.25">
      <c r="A10" s="5">
        <v>44391</v>
      </c>
      <c r="B10">
        <v>0.12089999999999999</v>
      </c>
      <c r="C10">
        <v>0.125</v>
      </c>
      <c r="D10">
        <v>0.1143</v>
      </c>
      <c r="E10">
        <v>0.1225</v>
      </c>
      <c r="F10">
        <v>8006060.5099999998</v>
      </c>
      <c r="G10">
        <v>1.32</v>
      </c>
    </row>
    <row r="11" spans="1:14" x14ac:dyDescent="0.25">
      <c r="A11" s="5">
        <v>44390</v>
      </c>
      <c r="B11">
        <v>0.12479999999999999</v>
      </c>
      <c r="C11">
        <v>0.1268</v>
      </c>
      <c r="D11">
        <v>0.1188</v>
      </c>
      <c r="E11">
        <v>0.12089999999999999</v>
      </c>
      <c r="F11">
        <v>6710825.4800000004</v>
      </c>
      <c r="G11">
        <v>-3.13</v>
      </c>
    </row>
    <row r="12" spans="1:14" x14ac:dyDescent="0.25">
      <c r="A12" s="5">
        <v>44389</v>
      </c>
      <c r="B12">
        <v>0.1285</v>
      </c>
      <c r="C12">
        <v>0.1326</v>
      </c>
      <c r="D12">
        <v>0.1216</v>
      </c>
      <c r="E12">
        <v>0.125</v>
      </c>
      <c r="F12">
        <v>9482844.5500000007</v>
      </c>
      <c r="G12">
        <v>-2.72</v>
      </c>
    </row>
    <row r="13" spans="1:14" x14ac:dyDescent="0.25">
      <c r="A13" s="5">
        <v>44388</v>
      </c>
      <c r="B13">
        <v>0.1249</v>
      </c>
      <c r="C13">
        <v>0.13220000000000001</v>
      </c>
      <c r="D13">
        <v>0.1226</v>
      </c>
      <c r="E13">
        <v>0.1285</v>
      </c>
      <c r="F13">
        <v>14736504.48</v>
      </c>
      <c r="G13">
        <v>2.88</v>
      </c>
    </row>
    <row r="14" spans="1:14" x14ac:dyDescent="0.25">
      <c r="A14" s="5">
        <v>44387</v>
      </c>
      <c r="B14">
        <v>0.12690000000000001</v>
      </c>
      <c r="C14">
        <v>0.1295</v>
      </c>
      <c r="D14">
        <v>0.1225</v>
      </c>
      <c r="E14">
        <v>0.12520000000000001</v>
      </c>
      <c r="F14">
        <v>5711506.4199999999</v>
      </c>
      <c r="G14">
        <v>-1.34</v>
      </c>
    </row>
    <row r="15" spans="1:14" x14ac:dyDescent="0.25">
      <c r="A15" s="5">
        <v>44386</v>
      </c>
      <c r="B15">
        <v>0.12790000000000001</v>
      </c>
      <c r="C15">
        <v>0.13159999999999999</v>
      </c>
      <c r="D15">
        <v>0.1207</v>
      </c>
      <c r="E15">
        <v>0.12720000000000001</v>
      </c>
      <c r="F15">
        <v>11082707.08</v>
      </c>
      <c r="G15">
        <v>-0.55000000000000004</v>
      </c>
    </row>
    <row r="16" spans="1:14" x14ac:dyDescent="0.25">
      <c r="A16" s="5">
        <v>44385</v>
      </c>
      <c r="B16">
        <v>0.13750000000000001</v>
      </c>
      <c r="C16">
        <v>0.13750000000000001</v>
      </c>
      <c r="D16">
        <v>0.12529999999999999</v>
      </c>
      <c r="E16">
        <v>0.1285</v>
      </c>
      <c r="F16">
        <v>16706567.58</v>
      </c>
      <c r="G16">
        <v>-6.55</v>
      </c>
    </row>
    <row r="17" spans="1:7" x14ac:dyDescent="0.25">
      <c r="A17" s="5">
        <v>44384</v>
      </c>
      <c r="B17">
        <v>0.13270000000000001</v>
      </c>
      <c r="C17">
        <v>0.1447</v>
      </c>
      <c r="D17">
        <v>0.13020000000000001</v>
      </c>
      <c r="E17">
        <v>0.13800000000000001</v>
      </c>
      <c r="F17">
        <v>25261577.579999998</v>
      </c>
      <c r="G17">
        <v>3.99</v>
      </c>
    </row>
    <row r="18" spans="1:7" x14ac:dyDescent="0.25">
      <c r="A18" s="5">
        <v>44383</v>
      </c>
      <c r="B18">
        <v>0.1278</v>
      </c>
      <c r="C18">
        <v>0.13700000000000001</v>
      </c>
      <c r="D18">
        <v>0.12759999999999999</v>
      </c>
      <c r="E18">
        <v>0.1328</v>
      </c>
      <c r="F18">
        <v>10778425.9</v>
      </c>
      <c r="G18">
        <v>3.91</v>
      </c>
    </row>
    <row r="19" spans="1:7" x14ac:dyDescent="0.25">
      <c r="A19" s="5">
        <v>44382</v>
      </c>
      <c r="B19">
        <v>0.13320000000000001</v>
      </c>
      <c r="C19">
        <v>0.1333</v>
      </c>
      <c r="D19">
        <v>0.12470000000000001</v>
      </c>
      <c r="E19">
        <v>0.128</v>
      </c>
      <c r="F19">
        <v>7683284.0800000001</v>
      </c>
      <c r="G19">
        <v>-3.9</v>
      </c>
    </row>
    <row r="20" spans="1:7" x14ac:dyDescent="0.25">
      <c r="A20" s="5">
        <v>44381</v>
      </c>
      <c r="B20">
        <v>0.13500000000000001</v>
      </c>
      <c r="C20">
        <v>0.1434</v>
      </c>
      <c r="D20">
        <v>0.12740000000000001</v>
      </c>
      <c r="E20">
        <v>0.13320000000000001</v>
      </c>
      <c r="F20">
        <v>13507598.279999999</v>
      </c>
      <c r="G20">
        <v>-1.33</v>
      </c>
    </row>
    <row r="21" spans="1:7" x14ac:dyDescent="0.25">
      <c r="A21" s="5">
        <v>44380</v>
      </c>
      <c r="B21">
        <v>0.12920000000000001</v>
      </c>
      <c r="C21">
        <v>0.14000000000000001</v>
      </c>
      <c r="D21">
        <v>0.1263</v>
      </c>
      <c r="E21">
        <v>0.13500000000000001</v>
      </c>
      <c r="F21">
        <v>13053667.210000001</v>
      </c>
      <c r="G21">
        <v>4.49</v>
      </c>
    </row>
    <row r="22" spans="1:7" x14ac:dyDescent="0.25">
      <c r="A22" s="5">
        <v>44379</v>
      </c>
      <c r="B22">
        <v>0.13220000000000001</v>
      </c>
      <c r="C22">
        <v>0.13869999999999999</v>
      </c>
      <c r="D22">
        <v>0.1239</v>
      </c>
      <c r="E22">
        <v>0.12920000000000001</v>
      </c>
      <c r="F22">
        <v>11393399.960000001</v>
      </c>
      <c r="G22">
        <v>-2.27</v>
      </c>
    </row>
    <row r="23" spans="1:7" x14ac:dyDescent="0.25">
      <c r="A23" s="5">
        <v>44378</v>
      </c>
      <c r="B23">
        <v>0.14410000000000001</v>
      </c>
      <c r="C23">
        <v>0.1479</v>
      </c>
      <c r="D23">
        <v>0.12809999999999999</v>
      </c>
      <c r="E23">
        <v>0.13220000000000001</v>
      </c>
      <c r="F23">
        <v>20806342.57</v>
      </c>
      <c r="G23">
        <v>-8.26</v>
      </c>
    </row>
    <row r="24" spans="1:7" x14ac:dyDescent="0.25">
      <c r="A24" s="5">
        <v>44377</v>
      </c>
      <c r="B24">
        <v>0.13170000000000001</v>
      </c>
      <c r="C24">
        <v>0.1479</v>
      </c>
      <c r="D24">
        <v>0.12330000000000001</v>
      </c>
      <c r="E24">
        <v>0.1444</v>
      </c>
      <c r="F24">
        <v>33584741.93</v>
      </c>
      <c r="G24">
        <v>9.64</v>
      </c>
    </row>
    <row r="25" spans="1:7" x14ac:dyDescent="0.25">
      <c r="A25" s="5">
        <v>44376</v>
      </c>
      <c r="B25">
        <v>0.12470000000000001</v>
      </c>
      <c r="C25">
        <v>0.13880000000000001</v>
      </c>
      <c r="D25">
        <v>0.12429999999999999</v>
      </c>
      <c r="E25">
        <v>0.13159999999999999</v>
      </c>
      <c r="F25">
        <v>17776454.23</v>
      </c>
      <c r="G25">
        <v>5.53</v>
      </c>
    </row>
    <row r="26" spans="1:7" x14ac:dyDescent="0.25">
      <c r="A26" s="5">
        <v>44375</v>
      </c>
      <c r="B26">
        <v>0.1231</v>
      </c>
      <c r="C26">
        <v>0.12740000000000001</v>
      </c>
      <c r="D26">
        <v>0.11749999999999999</v>
      </c>
      <c r="E26">
        <v>0.12429999999999999</v>
      </c>
      <c r="F26">
        <v>16379245.1</v>
      </c>
      <c r="G26">
        <v>0.97</v>
      </c>
    </row>
    <row r="27" spans="1:7" x14ac:dyDescent="0.25">
      <c r="A27" s="5">
        <v>44374</v>
      </c>
      <c r="B27">
        <v>0.12239999999999999</v>
      </c>
      <c r="C27">
        <v>0.12379999999999999</v>
      </c>
      <c r="D27">
        <v>0.1129</v>
      </c>
      <c r="E27">
        <v>0.12330000000000001</v>
      </c>
      <c r="F27">
        <v>13266107.300000001</v>
      </c>
      <c r="G27">
        <v>0.74</v>
      </c>
    </row>
    <row r="28" spans="1:7" x14ac:dyDescent="0.25">
      <c r="A28" s="5">
        <v>44373</v>
      </c>
      <c r="B28">
        <v>0.11899999999999999</v>
      </c>
      <c r="C28">
        <v>0.1245</v>
      </c>
      <c r="D28">
        <v>0.111</v>
      </c>
      <c r="E28">
        <v>0.122</v>
      </c>
      <c r="F28">
        <v>18038310.710000001</v>
      </c>
      <c r="G28">
        <v>2.52</v>
      </c>
    </row>
    <row r="29" spans="1:7" x14ac:dyDescent="0.25">
      <c r="A29" s="5">
        <v>44372</v>
      </c>
      <c r="B29">
        <v>0.1411</v>
      </c>
      <c r="C29">
        <v>0.14599999999999999</v>
      </c>
      <c r="D29">
        <v>0.1171</v>
      </c>
      <c r="E29">
        <v>0.11940000000000001</v>
      </c>
      <c r="F29">
        <v>30077339.559999999</v>
      </c>
      <c r="G29">
        <v>-15.38</v>
      </c>
    </row>
    <row r="30" spans="1:7" x14ac:dyDescent="0.25">
      <c r="A30" s="5">
        <v>44371</v>
      </c>
      <c r="B30">
        <v>0.1178</v>
      </c>
      <c r="C30">
        <v>0.1656</v>
      </c>
      <c r="D30">
        <v>0.1105</v>
      </c>
      <c r="E30">
        <v>0.14119999999999999</v>
      </c>
      <c r="F30">
        <v>63999517.770000003</v>
      </c>
      <c r="G30">
        <v>19.86</v>
      </c>
    </row>
    <row r="31" spans="1:7" x14ac:dyDescent="0.25">
      <c r="A31" s="5">
        <v>44370</v>
      </c>
      <c r="B31">
        <v>0.1105</v>
      </c>
      <c r="C31">
        <v>0.12839999999999999</v>
      </c>
      <c r="D31">
        <v>0.107</v>
      </c>
      <c r="E31">
        <v>0.1178</v>
      </c>
      <c r="F31">
        <v>15406870.189999999</v>
      </c>
      <c r="G31">
        <v>6.61</v>
      </c>
    </row>
    <row r="32" spans="1:7" x14ac:dyDescent="0.25">
      <c r="A32" s="5">
        <v>44369</v>
      </c>
      <c r="B32">
        <v>0.11840000000000001</v>
      </c>
      <c r="C32">
        <v>0.1265</v>
      </c>
      <c r="D32">
        <v>9.4100000000000003E-2</v>
      </c>
      <c r="E32">
        <v>0.11020000000000001</v>
      </c>
      <c r="F32">
        <v>25420996.050000001</v>
      </c>
      <c r="G32">
        <v>-6.93</v>
      </c>
    </row>
    <row r="33" spans="1:7" x14ac:dyDescent="0.25">
      <c r="A33" s="5">
        <v>44368</v>
      </c>
      <c r="B33">
        <v>0.1527</v>
      </c>
      <c r="C33">
        <v>0.15409999999999999</v>
      </c>
      <c r="D33">
        <v>0.11749999999999999</v>
      </c>
      <c r="E33">
        <v>0.1183</v>
      </c>
      <c r="F33">
        <v>16858112.260000002</v>
      </c>
      <c r="G33">
        <v>-22.53</v>
      </c>
    </row>
    <row r="34" spans="1:7" x14ac:dyDescent="0.25">
      <c r="A34" s="5">
        <v>44367</v>
      </c>
      <c r="B34">
        <v>0.1578</v>
      </c>
      <c r="C34">
        <v>0.16009999999999999</v>
      </c>
      <c r="D34">
        <v>0.1421</v>
      </c>
      <c r="E34">
        <v>0.15240000000000001</v>
      </c>
      <c r="F34">
        <v>10681016.68</v>
      </c>
      <c r="G34">
        <v>-3.42</v>
      </c>
    </row>
    <row r="35" spans="1:7" x14ac:dyDescent="0.25">
      <c r="A35" s="5">
        <v>44366</v>
      </c>
      <c r="B35">
        <v>0.16170000000000001</v>
      </c>
      <c r="C35">
        <v>0.1686</v>
      </c>
      <c r="D35">
        <v>0.157</v>
      </c>
      <c r="E35">
        <v>0.1583</v>
      </c>
      <c r="F35">
        <v>11231670.039999999</v>
      </c>
      <c r="G35">
        <v>-2.1</v>
      </c>
    </row>
    <row r="36" spans="1:7" x14ac:dyDescent="0.25">
      <c r="A36" s="5">
        <v>44365</v>
      </c>
      <c r="B36">
        <v>0.17469999999999999</v>
      </c>
      <c r="C36">
        <v>0.1769</v>
      </c>
      <c r="D36">
        <v>0.15529999999999999</v>
      </c>
      <c r="E36">
        <v>0.16139999999999999</v>
      </c>
      <c r="F36">
        <v>7541447.0800000001</v>
      </c>
      <c r="G36">
        <v>-7.61</v>
      </c>
    </row>
    <row r="37" spans="1:7" x14ac:dyDescent="0.25">
      <c r="A37" s="5">
        <v>44364</v>
      </c>
      <c r="B37">
        <v>0.1709</v>
      </c>
      <c r="C37">
        <v>0.182</v>
      </c>
      <c r="D37">
        <v>0.1704</v>
      </c>
      <c r="E37">
        <v>0.17480000000000001</v>
      </c>
      <c r="F37">
        <v>6720931.1299999999</v>
      </c>
      <c r="G37">
        <v>2.2799999999999998</v>
      </c>
    </row>
    <row r="38" spans="1:7" x14ac:dyDescent="0.25">
      <c r="A38" s="5">
        <v>44363</v>
      </c>
      <c r="B38">
        <v>0.1807</v>
      </c>
      <c r="C38">
        <v>0.1817</v>
      </c>
      <c r="D38">
        <v>0.16819999999999999</v>
      </c>
      <c r="E38">
        <v>0.1704</v>
      </c>
      <c r="F38">
        <v>8504548.1600000001</v>
      </c>
      <c r="G38">
        <v>-5.7</v>
      </c>
    </row>
    <row r="39" spans="1:7" x14ac:dyDescent="0.25">
      <c r="A39" s="5">
        <v>44362</v>
      </c>
      <c r="B39">
        <v>0.18440000000000001</v>
      </c>
      <c r="C39">
        <v>0.18779999999999999</v>
      </c>
      <c r="D39">
        <v>0.17749999999999999</v>
      </c>
      <c r="E39">
        <v>0.18110000000000001</v>
      </c>
      <c r="F39">
        <v>11722778.43</v>
      </c>
      <c r="G39">
        <v>-1.79</v>
      </c>
    </row>
    <row r="40" spans="1:7" x14ac:dyDescent="0.25">
      <c r="A40" s="5">
        <v>44361</v>
      </c>
      <c r="B40">
        <v>0.1812</v>
      </c>
      <c r="C40">
        <v>0.18990000000000001</v>
      </c>
      <c r="D40">
        <v>0.17780000000000001</v>
      </c>
      <c r="E40">
        <v>0.18440000000000001</v>
      </c>
      <c r="F40">
        <v>10312595.390000001</v>
      </c>
      <c r="G40">
        <v>1.77</v>
      </c>
    </row>
    <row r="41" spans="1:7" x14ac:dyDescent="0.25">
      <c r="A41" s="5">
        <v>44360</v>
      </c>
      <c r="B41">
        <v>0.17150000000000001</v>
      </c>
      <c r="C41">
        <v>0.18640000000000001</v>
      </c>
      <c r="D41">
        <v>0.1668</v>
      </c>
      <c r="E41">
        <v>0.18079999999999999</v>
      </c>
      <c r="F41">
        <v>8290179.2999999998</v>
      </c>
      <c r="G41">
        <v>5.42</v>
      </c>
    </row>
    <row r="42" spans="1:7" x14ac:dyDescent="0.25">
      <c r="A42" s="5">
        <v>44359</v>
      </c>
      <c r="B42">
        <v>0.1794</v>
      </c>
      <c r="C42">
        <v>0.1802</v>
      </c>
      <c r="D42">
        <v>0.16209999999999999</v>
      </c>
      <c r="E42">
        <v>0.17150000000000001</v>
      </c>
      <c r="F42">
        <v>7980584.8200000003</v>
      </c>
      <c r="G42">
        <v>-4.4000000000000004</v>
      </c>
    </row>
    <row r="43" spans="1:7" x14ac:dyDescent="0.25">
      <c r="A43" s="5">
        <v>44358</v>
      </c>
      <c r="B43">
        <v>0.1862</v>
      </c>
      <c r="C43">
        <v>0.19550000000000001</v>
      </c>
      <c r="D43">
        <v>0.17499999999999999</v>
      </c>
      <c r="E43">
        <v>0.18</v>
      </c>
      <c r="F43">
        <v>9119926.4700000007</v>
      </c>
      <c r="G43">
        <v>-3.33</v>
      </c>
    </row>
    <row r="44" spans="1:7" x14ac:dyDescent="0.25">
      <c r="A44" s="5">
        <v>44357</v>
      </c>
      <c r="B44">
        <v>0.1948</v>
      </c>
      <c r="C44">
        <v>0.19600000000000001</v>
      </c>
      <c r="D44">
        <v>0.17760000000000001</v>
      </c>
      <c r="E44">
        <v>0.18629999999999999</v>
      </c>
      <c r="F44">
        <v>13463261.58</v>
      </c>
      <c r="G44">
        <v>-4.3600000000000003</v>
      </c>
    </row>
    <row r="45" spans="1:7" x14ac:dyDescent="0.25">
      <c r="A45" s="5">
        <v>44356</v>
      </c>
      <c r="B45">
        <v>0.1842</v>
      </c>
      <c r="C45">
        <v>0.2</v>
      </c>
      <c r="D45">
        <v>0.1724</v>
      </c>
      <c r="E45">
        <v>0.1948</v>
      </c>
      <c r="F45">
        <v>22485156.140000001</v>
      </c>
      <c r="G45">
        <v>5.75</v>
      </c>
    </row>
    <row r="46" spans="1:7" x14ac:dyDescent="0.25">
      <c r="A46" s="5">
        <v>44355</v>
      </c>
      <c r="B46">
        <v>0.1767</v>
      </c>
      <c r="C46">
        <v>0.18679999999999999</v>
      </c>
      <c r="D46">
        <v>0.15720000000000001</v>
      </c>
      <c r="E46">
        <v>0.1837</v>
      </c>
      <c r="F46">
        <v>34756662.969999999</v>
      </c>
      <c r="G46">
        <v>3.96</v>
      </c>
    </row>
    <row r="47" spans="1:7" x14ac:dyDescent="0.25">
      <c r="A47" s="5">
        <v>44354</v>
      </c>
      <c r="B47">
        <v>0.20250000000000001</v>
      </c>
      <c r="C47">
        <v>0.2059</v>
      </c>
      <c r="D47">
        <v>0.17449999999999999</v>
      </c>
      <c r="E47">
        <v>0.17660000000000001</v>
      </c>
      <c r="F47">
        <v>16782214.82</v>
      </c>
      <c r="G47">
        <v>-12.79</v>
      </c>
    </row>
    <row r="48" spans="1:7" x14ac:dyDescent="0.25">
      <c r="A48" s="5">
        <v>44353</v>
      </c>
      <c r="B48">
        <v>0.19040000000000001</v>
      </c>
      <c r="C48">
        <v>0.20449999999999999</v>
      </c>
      <c r="D48">
        <v>0.18870000000000001</v>
      </c>
      <c r="E48">
        <v>0.2029</v>
      </c>
      <c r="F48">
        <v>12463445.720000001</v>
      </c>
      <c r="G48">
        <v>6.57</v>
      </c>
    </row>
    <row r="49" spans="1:7" x14ac:dyDescent="0.25">
      <c r="A49" s="5">
        <v>44352</v>
      </c>
      <c r="B49">
        <v>0.20019999999999999</v>
      </c>
      <c r="C49">
        <v>0.21679999999999999</v>
      </c>
      <c r="D49">
        <v>0.18340000000000001</v>
      </c>
      <c r="E49">
        <v>0.19059999999999999</v>
      </c>
      <c r="F49">
        <v>20103454.649999999</v>
      </c>
      <c r="G49">
        <v>-4.8</v>
      </c>
    </row>
    <row r="50" spans="1:7" x14ac:dyDescent="0.25">
      <c r="A50" s="5">
        <v>44351</v>
      </c>
      <c r="B50">
        <v>0.22009999999999999</v>
      </c>
      <c r="C50">
        <v>0.221</v>
      </c>
      <c r="D50">
        <v>0.1852</v>
      </c>
      <c r="E50">
        <v>0.1993</v>
      </c>
      <c r="F50">
        <v>22044548.960000001</v>
      </c>
      <c r="G50">
        <v>-9.4499999999999993</v>
      </c>
    </row>
    <row r="51" spans="1:7" x14ac:dyDescent="0.25">
      <c r="A51" s="5">
        <v>44350</v>
      </c>
      <c r="B51">
        <v>0.20810000000000001</v>
      </c>
      <c r="C51">
        <v>0.22409999999999999</v>
      </c>
      <c r="D51">
        <v>0.2046</v>
      </c>
      <c r="E51">
        <v>0.2208</v>
      </c>
      <c r="F51">
        <v>26445222.800000001</v>
      </c>
      <c r="G51">
        <v>6.1</v>
      </c>
    </row>
    <row r="52" spans="1:7" x14ac:dyDescent="0.25">
      <c r="A52" s="5">
        <v>44349</v>
      </c>
      <c r="B52">
        <v>0.20319999999999999</v>
      </c>
      <c r="C52">
        <v>0.21820000000000001</v>
      </c>
      <c r="D52">
        <v>0.1968</v>
      </c>
      <c r="E52">
        <v>0.2084</v>
      </c>
      <c r="F52">
        <v>17589007.27</v>
      </c>
      <c r="G52">
        <v>2.56</v>
      </c>
    </row>
    <row r="53" spans="1:7" x14ac:dyDescent="0.25">
      <c r="A53" s="5">
        <v>44348</v>
      </c>
      <c r="B53">
        <v>0.2092</v>
      </c>
      <c r="C53">
        <v>0.21199999999999999</v>
      </c>
      <c r="D53">
        <v>0.19520000000000001</v>
      </c>
      <c r="E53">
        <v>0.20330000000000001</v>
      </c>
      <c r="F53">
        <v>22378838.370000001</v>
      </c>
      <c r="G53">
        <v>-2.82</v>
      </c>
    </row>
    <row r="54" spans="1:7" x14ac:dyDescent="0.25">
      <c r="A54" s="5">
        <v>44347</v>
      </c>
      <c r="B54">
        <v>0.18729999999999999</v>
      </c>
      <c r="C54">
        <v>0.2094</v>
      </c>
      <c r="D54">
        <v>0.17610000000000001</v>
      </c>
      <c r="E54">
        <v>0.20930000000000001</v>
      </c>
      <c r="F54">
        <v>22183152.25</v>
      </c>
      <c r="G54">
        <v>11.75</v>
      </c>
    </row>
    <row r="55" spans="1:7" x14ac:dyDescent="0.25">
      <c r="A55" s="5">
        <v>44346</v>
      </c>
      <c r="B55">
        <v>0.18459999999999999</v>
      </c>
      <c r="C55">
        <v>0.19919999999999999</v>
      </c>
      <c r="D55">
        <v>0.17169999999999999</v>
      </c>
      <c r="E55">
        <v>0.18729999999999999</v>
      </c>
      <c r="F55">
        <v>14914217.220000001</v>
      </c>
      <c r="G55">
        <v>1.46</v>
      </c>
    </row>
    <row r="56" spans="1:7" x14ac:dyDescent="0.25">
      <c r="A56" s="5">
        <v>44345</v>
      </c>
      <c r="B56">
        <v>0.1923</v>
      </c>
      <c r="C56">
        <v>0.20899999999999999</v>
      </c>
      <c r="D56">
        <v>0.17169999999999999</v>
      </c>
      <c r="E56">
        <v>0.18379999999999999</v>
      </c>
      <c r="F56">
        <v>29080946.379999999</v>
      </c>
      <c r="G56">
        <v>-4.42</v>
      </c>
    </row>
    <row r="57" spans="1:7" x14ac:dyDescent="0.25">
      <c r="A57" s="5">
        <v>44344</v>
      </c>
      <c r="B57">
        <v>0.21479999999999999</v>
      </c>
      <c r="C57">
        <v>0.21820000000000001</v>
      </c>
      <c r="D57">
        <v>0.17469999999999999</v>
      </c>
      <c r="E57">
        <v>0.1923</v>
      </c>
      <c r="F57">
        <v>39548342.759999998</v>
      </c>
      <c r="G57">
        <v>-10.47</v>
      </c>
    </row>
    <row r="58" spans="1:7" x14ac:dyDescent="0.25">
      <c r="A58" s="5">
        <v>44343</v>
      </c>
      <c r="B58">
        <v>0.2303</v>
      </c>
      <c r="C58">
        <v>0.24329999999999999</v>
      </c>
      <c r="D58">
        <v>0.20150000000000001</v>
      </c>
      <c r="E58">
        <v>0.21510000000000001</v>
      </c>
      <c r="F58">
        <v>30047603.890000001</v>
      </c>
      <c r="G58">
        <v>-6.6</v>
      </c>
    </row>
    <row r="59" spans="1:7" x14ac:dyDescent="0.25">
      <c r="A59" s="5">
        <v>44342</v>
      </c>
      <c r="B59">
        <v>0.21229999999999999</v>
      </c>
      <c r="C59">
        <v>0.24</v>
      </c>
      <c r="D59">
        <v>0.2056</v>
      </c>
      <c r="E59">
        <v>0.2303</v>
      </c>
      <c r="F59">
        <v>31501973.43</v>
      </c>
      <c r="G59">
        <v>8.48</v>
      </c>
    </row>
    <row r="60" spans="1:7" x14ac:dyDescent="0.25">
      <c r="A60" s="5">
        <v>44341</v>
      </c>
      <c r="B60">
        <v>0.2092</v>
      </c>
      <c r="C60">
        <v>0.24199999999999999</v>
      </c>
      <c r="D60">
        <v>0.19359999999999999</v>
      </c>
      <c r="E60">
        <v>0.21199999999999999</v>
      </c>
      <c r="F60">
        <v>39206870.020000003</v>
      </c>
      <c r="G60">
        <v>1.34</v>
      </c>
    </row>
    <row r="61" spans="1:7" x14ac:dyDescent="0.25">
      <c r="A61" s="5">
        <v>44340</v>
      </c>
      <c r="B61">
        <v>0.16489999999999999</v>
      </c>
      <c r="C61">
        <v>0.21690000000000001</v>
      </c>
      <c r="D61">
        <v>0.16189999999999999</v>
      </c>
      <c r="E61">
        <v>0.2092</v>
      </c>
      <c r="F61">
        <v>31417993.149999999</v>
      </c>
      <c r="G61">
        <v>26.86</v>
      </c>
    </row>
    <row r="62" spans="1:7" x14ac:dyDescent="0.25">
      <c r="A62" s="5">
        <v>44339</v>
      </c>
      <c r="B62">
        <v>0.1956</v>
      </c>
      <c r="C62">
        <v>0.2029</v>
      </c>
      <c r="D62">
        <v>0.1246</v>
      </c>
      <c r="E62">
        <v>0.1641</v>
      </c>
      <c r="F62">
        <v>48395774.329999998</v>
      </c>
      <c r="G62">
        <v>-16.100000000000001</v>
      </c>
    </row>
    <row r="63" spans="1:7" x14ac:dyDescent="0.25">
      <c r="A63" s="5">
        <v>44338</v>
      </c>
      <c r="B63">
        <v>0.2195</v>
      </c>
      <c r="C63">
        <v>0.23300000000000001</v>
      </c>
      <c r="D63">
        <v>0.1913</v>
      </c>
      <c r="E63">
        <v>0.19589999999999999</v>
      </c>
      <c r="F63">
        <v>26593210.23</v>
      </c>
      <c r="G63">
        <v>-10.75</v>
      </c>
    </row>
    <row r="64" spans="1:7" x14ac:dyDescent="0.25">
      <c r="A64" s="5">
        <v>44337</v>
      </c>
      <c r="B64">
        <v>0.251</v>
      </c>
      <c r="C64">
        <v>0.26719999999999999</v>
      </c>
      <c r="D64">
        <v>0.17549999999999999</v>
      </c>
      <c r="E64">
        <v>0.2198</v>
      </c>
      <c r="F64">
        <v>37038847.780000001</v>
      </c>
      <c r="G64">
        <v>-12.43</v>
      </c>
    </row>
    <row r="65" spans="1:7" x14ac:dyDescent="0.25">
      <c r="A65" s="5">
        <v>44336</v>
      </c>
      <c r="B65">
        <v>0.2152</v>
      </c>
      <c r="C65">
        <v>0.27239999999999998</v>
      </c>
      <c r="D65">
        <v>0.18690000000000001</v>
      </c>
      <c r="E65">
        <v>0.251</v>
      </c>
      <c r="F65">
        <v>38490776.869999997</v>
      </c>
      <c r="G65">
        <v>16.64</v>
      </c>
    </row>
    <row r="66" spans="1:7" x14ac:dyDescent="0.25">
      <c r="A66" s="5">
        <v>44335</v>
      </c>
      <c r="B66">
        <v>0.33910000000000001</v>
      </c>
      <c r="C66">
        <v>0.34639999999999999</v>
      </c>
      <c r="D66">
        <v>0.16200000000000001</v>
      </c>
      <c r="E66">
        <v>0.21410000000000001</v>
      </c>
      <c r="F66">
        <v>81248497.459999993</v>
      </c>
      <c r="G66">
        <v>-36.86</v>
      </c>
    </row>
    <row r="67" spans="1:7" x14ac:dyDescent="0.25">
      <c r="A67" s="5">
        <v>44334</v>
      </c>
      <c r="B67">
        <v>0.3528</v>
      </c>
      <c r="C67">
        <v>0.3755</v>
      </c>
      <c r="D67">
        <v>0.33360000000000001</v>
      </c>
      <c r="E67">
        <v>0.34010000000000001</v>
      </c>
      <c r="F67">
        <v>26840982.030000001</v>
      </c>
      <c r="G67">
        <v>-3.6</v>
      </c>
    </row>
    <row r="68" spans="1:7" x14ac:dyDescent="0.25">
      <c r="A68" s="5">
        <v>44333</v>
      </c>
      <c r="B68">
        <v>0.38790000000000002</v>
      </c>
      <c r="C68">
        <v>0.3896</v>
      </c>
      <c r="D68">
        <v>0.32769999999999999</v>
      </c>
      <c r="E68">
        <v>0.35370000000000001</v>
      </c>
      <c r="F68">
        <v>32199976.379999999</v>
      </c>
      <c r="G68">
        <v>-8.82</v>
      </c>
    </row>
    <row r="69" spans="1:7" x14ac:dyDescent="0.25">
      <c r="A69" s="5">
        <v>44332</v>
      </c>
      <c r="B69">
        <v>0.38529999999999998</v>
      </c>
      <c r="C69">
        <v>0.43590000000000001</v>
      </c>
      <c r="D69">
        <v>0.35580000000000001</v>
      </c>
      <c r="E69">
        <v>0.38750000000000001</v>
      </c>
      <c r="F69">
        <v>29159702.699999999</v>
      </c>
      <c r="G69">
        <v>0.56999999999999995</v>
      </c>
    </row>
    <row r="70" spans="1:7" x14ac:dyDescent="0.25">
      <c r="A70" s="5">
        <v>44331</v>
      </c>
      <c r="B70">
        <v>0.45529999999999998</v>
      </c>
      <c r="C70">
        <v>0.46300000000000002</v>
      </c>
      <c r="D70">
        <v>0.37509999999999999</v>
      </c>
      <c r="E70">
        <v>0.38550000000000001</v>
      </c>
      <c r="F70">
        <v>42532301.939999998</v>
      </c>
      <c r="G70">
        <v>-15.33</v>
      </c>
    </row>
    <row r="71" spans="1:7" x14ac:dyDescent="0.25">
      <c r="A71" s="5">
        <v>44330</v>
      </c>
      <c r="B71">
        <v>0.38200000000000001</v>
      </c>
      <c r="C71">
        <v>0.49359999999999998</v>
      </c>
      <c r="D71">
        <v>0.37430000000000002</v>
      </c>
      <c r="E71">
        <v>0.45590000000000003</v>
      </c>
      <c r="F71">
        <v>49110293.229999997</v>
      </c>
      <c r="G71">
        <v>19.350000000000001</v>
      </c>
    </row>
    <row r="72" spans="1:7" x14ac:dyDescent="0.25">
      <c r="A72" s="5">
        <v>44329</v>
      </c>
      <c r="B72">
        <v>0.37990000000000002</v>
      </c>
      <c r="C72">
        <v>0.44740000000000002</v>
      </c>
      <c r="D72">
        <v>0.35210000000000002</v>
      </c>
      <c r="E72">
        <v>0.38229999999999997</v>
      </c>
      <c r="F72">
        <v>40175973.799999997</v>
      </c>
      <c r="G72">
        <v>0.63</v>
      </c>
    </row>
    <row r="73" spans="1:7" x14ac:dyDescent="0.25">
      <c r="A73" s="5">
        <v>44328</v>
      </c>
      <c r="B73">
        <v>0.4718</v>
      </c>
      <c r="C73">
        <v>0.50490000000000002</v>
      </c>
      <c r="D73">
        <v>0.37709999999999999</v>
      </c>
      <c r="E73">
        <v>0.38</v>
      </c>
      <c r="F73">
        <v>36014893.140000001</v>
      </c>
      <c r="G73">
        <v>-19.46</v>
      </c>
    </row>
    <row r="74" spans="1:7" x14ac:dyDescent="0.25">
      <c r="A74" s="5">
        <v>44327</v>
      </c>
      <c r="B74">
        <v>0.45069999999999999</v>
      </c>
      <c r="C74">
        <v>0.49769999999999998</v>
      </c>
      <c r="D74">
        <v>0.41660000000000003</v>
      </c>
      <c r="E74">
        <v>0.47110000000000002</v>
      </c>
      <c r="F74">
        <v>38467130.25</v>
      </c>
      <c r="G74">
        <v>4.53</v>
      </c>
    </row>
    <row r="75" spans="1:7" x14ac:dyDescent="0.25">
      <c r="A75" s="5">
        <v>44326</v>
      </c>
      <c r="B75">
        <v>0.50249999999999995</v>
      </c>
      <c r="C75">
        <v>0.56559999999999999</v>
      </c>
      <c r="D75">
        <v>0.4143</v>
      </c>
      <c r="E75">
        <v>0.45100000000000001</v>
      </c>
      <c r="F75">
        <v>60330224.990000002</v>
      </c>
      <c r="G75">
        <v>-10.25</v>
      </c>
    </row>
    <row r="76" spans="1:7" x14ac:dyDescent="0.25">
      <c r="A76" s="5">
        <v>44325</v>
      </c>
      <c r="B76">
        <v>0.53539999999999999</v>
      </c>
      <c r="C76">
        <v>0.57479999999999998</v>
      </c>
      <c r="D76">
        <v>0.47749999999999998</v>
      </c>
      <c r="E76">
        <v>0.50360000000000005</v>
      </c>
      <c r="F76">
        <v>84066140.989999995</v>
      </c>
      <c r="G76">
        <v>-5.94</v>
      </c>
    </row>
    <row r="77" spans="1:7" x14ac:dyDescent="0.25">
      <c r="A77" s="5">
        <v>44324</v>
      </c>
      <c r="B77">
        <v>0.51549999999999996</v>
      </c>
      <c r="C77">
        <v>0.69520000000000004</v>
      </c>
      <c r="D77">
        <v>0.49180000000000001</v>
      </c>
      <c r="E77">
        <v>0.5353</v>
      </c>
      <c r="F77">
        <v>386968397.95999998</v>
      </c>
      <c r="G77">
        <v>3.84</v>
      </c>
    </row>
    <row r="78" spans="1:7" x14ac:dyDescent="0.25">
      <c r="A78" s="5">
        <v>44323</v>
      </c>
      <c r="B78">
        <v>0.36170000000000002</v>
      </c>
      <c r="C78">
        <v>0.65649999999999997</v>
      </c>
      <c r="D78">
        <v>0.34820000000000001</v>
      </c>
      <c r="E78">
        <v>0.51539999999999997</v>
      </c>
      <c r="F78">
        <v>441172495.66000003</v>
      </c>
      <c r="G78">
        <v>42.49</v>
      </c>
    </row>
    <row r="79" spans="1:7" x14ac:dyDescent="0.25">
      <c r="A79" s="5">
        <v>44322</v>
      </c>
      <c r="B79">
        <v>0.3397</v>
      </c>
      <c r="C79">
        <v>0.36330000000000001</v>
      </c>
      <c r="D79">
        <v>0.32490000000000002</v>
      </c>
      <c r="E79">
        <v>0.36099999999999999</v>
      </c>
      <c r="F79">
        <v>28708946.579999998</v>
      </c>
      <c r="G79">
        <v>6.27</v>
      </c>
    </row>
    <row r="80" spans="1:7" x14ac:dyDescent="0.25">
      <c r="A80" s="5">
        <v>44321</v>
      </c>
      <c r="B80">
        <v>0.30570000000000003</v>
      </c>
      <c r="C80">
        <v>0.35320000000000001</v>
      </c>
      <c r="D80">
        <v>0.3024</v>
      </c>
      <c r="E80">
        <v>0.3397</v>
      </c>
      <c r="F80">
        <v>20742341.120000001</v>
      </c>
      <c r="G80">
        <v>11.12</v>
      </c>
    </row>
    <row r="81" spans="1:7" x14ac:dyDescent="0.25">
      <c r="A81" s="5">
        <v>44320</v>
      </c>
      <c r="B81">
        <v>0.3569</v>
      </c>
      <c r="C81">
        <v>0.37119999999999997</v>
      </c>
      <c r="D81">
        <v>0.30330000000000001</v>
      </c>
      <c r="E81">
        <v>0.30669999999999997</v>
      </c>
      <c r="F81">
        <v>30704277.120000001</v>
      </c>
      <c r="G81">
        <v>-14.07</v>
      </c>
    </row>
    <row r="82" spans="1:7" x14ac:dyDescent="0.25">
      <c r="A82" s="5">
        <v>44319</v>
      </c>
      <c r="B82">
        <v>0.34949999999999998</v>
      </c>
      <c r="C82">
        <v>0.37980000000000003</v>
      </c>
      <c r="D82">
        <v>0.34649999999999997</v>
      </c>
      <c r="E82">
        <v>0.35709999999999997</v>
      </c>
      <c r="F82">
        <v>18803850.829999998</v>
      </c>
      <c r="G82">
        <v>2.17</v>
      </c>
    </row>
    <row r="83" spans="1:7" x14ac:dyDescent="0.25">
      <c r="A83" s="5">
        <v>44318</v>
      </c>
      <c r="B83">
        <v>0.36099999999999999</v>
      </c>
      <c r="C83">
        <v>0.37</v>
      </c>
      <c r="D83">
        <v>0.33989999999999998</v>
      </c>
      <c r="E83">
        <v>0.35</v>
      </c>
      <c r="F83">
        <v>16178624.92</v>
      </c>
      <c r="G83">
        <v>-3.05</v>
      </c>
    </row>
    <row r="84" spans="1:7" x14ac:dyDescent="0.25">
      <c r="A84" s="5">
        <v>44317</v>
      </c>
      <c r="B84">
        <v>0.38140000000000002</v>
      </c>
      <c r="C84">
        <v>0.38729999999999998</v>
      </c>
      <c r="D84">
        <v>0.3523</v>
      </c>
      <c r="E84">
        <v>0.36099999999999999</v>
      </c>
      <c r="F84">
        <v>19117296.510000002</v>
      </c>
      <c r="G84">
        <v>-5.35</v>
      </c>
    </row>
    <row r="85" spans="1:7" x14ac:dyDescent="0.25">
      <c r="A85" s="5">
        <v>44316</v>
      </c>
      <c r="B85">
        <v>0.32050000000000001</v>
      </c>
      <c r="C85">
        <v>0.38700000000000001</v>
      </c>
      <c r="D85">
        <v>0.31659999999999999</v>
      </c>
      <c r="E85">
        <v>0.38150000000000001</v>
      </c>
      <c r="F85">
        <v>32932000.59</v>
      </c>
      <c r="G85">
        <v>19.03</v>
      </c>
    </row>
    <row r="86" spans="1:7" x14ac:dyDescent="0.25">
      <c r="A86" s="5">
        <v>44315</v>
      </c>
      <c r="B86">
        <v>0.33100000000000002</v>
      </c>
      <c r="C86">
        <v>0.33489999999999998</v>
      </c>
      <c r="D86">
        <v>0.30430000000000001</v>
      </c>
      <c r="E86">
        <v>0.3201</v>
      </c>
      <c r="F86">
        <v>18546125.789999999</v>
      </c>
      <c r="G86">
        <v>-3.29</v>
      </c>
    </row>
    <row r="87" spans="1:7" x14ac:dyDescent="0.25">
      <c r="A87" s="5">
        <v>44314</v>
      </c>
      <c r="B87">
        <v>0.34379999999999999</v>
      </c>
      <c r="C87">
        <v>0.35170000000000001</v>
      </c>
      <c r="D87">
        <v>0.29749999999999999</v>
      </c>
      <c r="E87">
        <v>0.33019999999999999</v>
      </c>
      <c r="F87">
        <v>26182146.879999999</v>
      </c>
      <c r="G87">
        <v>-3.96</v>
      </c>
    </row>
    <row r="88" spans="1:7" x14ac:dyDescent="0.25">
      <c r="A88" s="5">
        <v>44313</v>
      </c>
      <c r="B88">
        <v>0.2974</v>
      </c>
      <c r="C88">
        <v>0.35780000000000001</v>
      </c>
      <c r="D88">
        <v>0.28639999999999999</v>
      </c>
      <c r="E88">
        <v>0.34399999999999997</v>
      </c>
      <c r="F88">
        <v>34348374.159999996</v>
      </c>
      <c r="G88">
        <v>15.67</v>
      </c>
    </row>
    <row r="89" spans="1:7" x14ac:dyDescent="0.25">
      <c r="A89" s="5">
        <v>44312</v>
      </c>
      <c r="B89">
        <v>0.2392</v>
      </c>
      <c r="C89">
        <v>0.30199999999999999</v>
      </c>
      <c r="D89">
        <v>0.23499999999999999</v>
      </c>
      <c r="E89">
        <v>0.2974</v>
      </c>
      <c r="F89">
        <v>34711233.369999997</v>
      </c>
      <c r="G89">
        <v>24.33</v>
      </c>
    </row>
    <row r="90" spans="1:7" x14ac:dyDescent="0.25">
      <c r="A90" s="5">
        <v>44311</v>
      </c>
      <c r="B90">
        <v>0.24399999999999999</v>
      </c>
      <c r="C90">
        <v>0.27500000000000002</v>
      </c>
      <c r="D90">
        <v>0.2185</v>
      </c>
      <c r="E90">
        <v>0.23910000000000001</v>
      </c>
      <c r="F90">
        <v>33025143.489999998</v>
      </c>
      <c r="G90">
        <v>-2.0099999999999998</v>
      </c>
    </row>
    <row r="91" spans="1:7" x14ac:dyDescent="0.25">
      <c r="A91" s="5">
        <v>44310</v>
      </c>
      <c r="B91">
        <v>0.26279999999999998</v>
      </c>
      <c r="C91">
        <v>0.26979999999999998</v>
      </c>
      <c r="D91">
        <v>0.2326</v>
      </c>
      <c r="E91">
        <v>0.2437</v>
      </c>
      <c r="F91">
        <v>26610769.75</v>
      </c>
      <c r="G91">
        <v>-7.27</v>
      </c>
    </row>
    <row r="92" spans="1:7" x14ac:dyDescent="0.25">
      <c r="A92" s="5">
        <v>44309</v>
      </c>
      <c r="B92">
        <v>0.27439999999999998</v>
      </c>
      <c r="C92">
        <v>0.28160000000000002</v>
      </c>
      <c r="D92">
        <v>0.21299999999999999</v>
      </c>
      <c r="E92">
        <v>0.26290000000000002</v>
      </c>
      <c r="F92">
        <v>45358438.700000003</v>
      </c>
      <c r="G92">
        <v>-4.1900000000000004</v>
      </c>
    </row>
    <row r="93" spans="1:7" x14ac:dyDescent="0.25">
      <c r="A93" s="5">
        <v>44308</v>
      </c>
      <c r="B93">
        <v>0.307</v>
      </c>
      <c r="C93">
        <v>0.37</v>
      </c>
      <c r="D93">
        <v>0.27450000000000002</v>
      </c>
      <c r="E93">
        <v>0.2747</v>
      </c>
      <c r="F93">
        <v>55282228.909999996</v>
      </c>
      <c r="G93">
        <v>-10.52</v>
      </c>
    </row>
    <row r="94" spans="1:7" x14ac:dyDescent="0.25">
      <c r="A94" s="5">
        <v>44307</v>
      </c>
      <c r="B94">
        <v>0.3296</v>
      </c>
      <c r="C94">
        <v>0.34</v>
      </c>
      <c r="D94">
        <v>0.30509999999999998</v>
      </c>
      <c r="E94">
        <v>0.307</v>
      </c>
      <c r="F94">
        <v>22249796.030000001</v>
      </c>
      <c r="G94">
        <v>-6.86</v>
      </c>
    </row>
    <row r="95" spans="1:7" x14ac:dyDescent="0.25">
      <c r="A95" s="5">
        <v>44306</v>
      </c>
      <c r="B95">
        <v>0.31850000000000001</v>
      </c>
      <c r="C95">
        <v>0.3473</v>
      </c>
      <c r="D95">
        <v>0.28220000000000001</v>
      </c>
      <c r="E95">
        <v>0.3296</v>
      </c>
      <c r="F95">
        <v>36940524.469999999</v>
      </c>
      <c r="G95">
        <v>3.49</v>
      </c>
    </row>
    <row r="96" spans="1:7" x14ac:dyDescent="0.25">
      <c r="A96" s="5">
        <v>44305</v>
      </c>
      <c r="B96">
        <v>0.3528</v>
      </c>
      <c r="C96">
        <v>0.39689999999999998</v>
      </c>
      <c r="D96">
        <v>0.3125</v>
      </c>
      <c r="E96">
        <v>0.318</v>
      </c>
      <c r="F96">
        <v>28135861.18</v>
      </c>
      <c r="G96">
        <v>-9.86</v>
      </c>
    </row>
    <row r="97" spans="1:7" x14ac:dyDescent="0.25">
      <c r="A97" s="5">
        <v>44304</v>
      </c>
      <c r="B97">
        <v>0.40560000000000002</v>
      </c>
      <c r="C97">
        <v>0.40899999999999997</v>
      </c>
      <c r="D97">
        <v>0.31669999999999998</v>
      </c>
      <c r="E97">
        <v>0.35210000000000002</v>
      </c>
      <c r="F97">
        <v>27159814.23</v>
      </c>
      <c r="G97">
        <v>-13.19</v>
      </c>
    </row>
    <row r="98" spans="1:7" x14ac:dyDescent="0.25">
      <c r="A98" s="5">
        <v>44303</v>
      </c>
      <c r="B98">
        <v>0.40870000000000001</v>
      </c>
      <c r="C98">
        <v>0.4597</v>
      </c>
      <c r="D98">
        <v>0.4017</v>
      </c>
      <c r="E98">
        <v>0.40560000000000002</v>
      </c>
      <c r="F98">
        <v>25393768.780000001</v>
      </c>
      <c r="G98">
        <v>-0.76</v>
      </c>
    </row>
    <row r="99" spans="1:7" x14ac:dyDescent="0.25">
      <c r="A99" s="5">
        <v>44302</v>
      </c>
      <c r="B99">
        <v>0.4355</v>
      </c>
      <c r="C99">
        <v>0.43819999999999998</v>
      </c>
      <c r="D99">
        <v>0.38340000000000002</v>
      </c>
      <c r="E99">
        <v>0.40870000000000001</v>
      </c>
      <c r="F99">
        <v>24508249.399999999</v>
      </c>
      <c r="G99">
        <v>-6.15</v>
      </c>
    </row>
    <row r="100" spans="1:7" x14ac:dyDescent="0.25">
      <c r="A100" s="5">
        <v>44301</v>
      </c>
      <c r="B100">
        <v>0.42630000000000001</v>
      </c>
      <c r="C100">
        <v>0.47339999999999999</v>
      </c>
      <c r="D100">
        <v>0.41789999999999999</v>
      </c>
      <c r="E100">
        <v>0.43530000000000002</v>
      </c>
      <c r="F100">
        <v>22973277.609999999</v>
      </c>
      <c r="G100">
        <v>2.11</v>
      </c>
    </row>
    <row r="101" spans="1:7" x14ac:dyDescent="0.25">
      <c r="A101" s="5">
        <v>44300</v>
      </c>
      <c r="B101">
        <v>0.43780000000000002</v>
      </c>
      <c r="C101">
        <v>0.44579999999999997</v>
      </c>
      <c r="D101">
        <v>0.40079999999999999</v>
      </c>
      <c r="E101">
        <v>0.42599999999999999</v>
      </c>
      <c r="F101">
        <v>23644897.690000001</v>
      </c>
      <c r="G101">
        <v>-2.7</v>
      </c>
    </row>
    <row r="102" spans="1:7" x14ac:dyDescent="0.25">
      <c r="A102" s="5">
        <v>44299</v>
      </c>
      <c r="B102">
        <v>0.46039999999999998</v>
      </c>
      <c r="C102">
        <v>0.4672</v>
      </c>
      <c r="D102">
        <v>0.43</v>
      </c>
      <c r="E102">
        <v>0.43780000000000002</v>
      </c>
      <c r="F102">
        <v>23958974.960000001</v>
      </c>
      <c r="G102">
        <v>-4.91</v>
      </c>
    </row>
    <row r="103" spans="1:7" x14ac:dyDescent="0.25">
      <c r="A103" s="5">
        <v>44298</v>
      </c>
      <c r="B103">
        <v>0.48770000000000002</v>
      </c>
      <c r="C103">
        <v>0.49890000000000001</v>
      </c>
      <c r="D103">
        <v>0.45029999999999998</v>
      </c>
      <c r="E103">
        <v>0.46039999999999998</v>
      </c>
      <c r="F103">
        <v>24139201.690000001</v>
      </c>
      <c r="G103">
        <v>-5.6</v>
      </c>
    </row>
    <row r="104" spans="1:7" x14ac:dyDescent="0.25">
      <c r="A104" s="5">
        <v>44297</v>
      </c>
      <c r="B104">
        <v>0.45950000000000002</v>
      </c>
      <c r="C104">
        <v>0.53590000000000004</v>
      </c>
      <c r="D104">
        <v>0.44619999999999999</v>
      </c>
      <c r="E104">
        <v>0.48899999999999999</v>
      </c>
      <c r="F104">
        <v>58503939.340000004</v>
      </c>
      <c r="G104">
        <v>6.42</v>
      </c>
    </row>
    <row r="105" spans="1:7" x14ac:dyDescent="0.25">
      <c r="A105" s="5">
        <v>44296</v>
      </c>
      <c r="B105">
        <v>0.44259999999999999</v>
      </c>
      <c r="C105">
        <v>0.55549999999999999</v>
      </c>
      <c r="D105">
        <v>0.43840000000000001</v>
      </c>
      <c r="E105">
        <v>0.45950000000000002</v>
      </c>
      <c r="F105">
        <v>90614955.5</v>
      </c>
      <c r="G105">
        <v>3.82</v>
      </c>
    </row>
    <row r="106" spans="1:7" x14ac:dyDescent="0.25">
      <c r="A106" s="5">
        <v>44295</v>
      </c>
      <c r="B106">
        <v>0.41099999999999998</v>
      </c>
      <c r="C106">
        <v>0.47</v>
      </c>
      <c r="D106">
        <v>0.3931</v>
      </c>
      <c r="E106">
        <v>0.44259999999999999</v>
      </c>
      <c r="F106">
        <v>40632664</v>
      </c>
      <c r="G106">
        <v>7.69</v>
      </c>
    </row>
    <row r="107" spans="1:7" x14ac:dyDescent="0.25">
      <c r="A107" s="5">
        <v>44294</v>
      </c>
      <c r="B107">
        <v>0.37280000000000002</v>
      </c>
      <c r="C107">
        <v>0.43719999999999998</v>
      </c>
      <c r="D107">
        <v>0.37169999999999997</v>
      </c>
      <c r="E107">
        <v>0.41049999999999998</v>
      </c>
      <c r="F107">
        <v>26166410.940000001</v>
      </c>
      <c r="G107">
        <v>10.11</v>
      </c>
    </row>
    <row r="108" spans="1:7" x14ac:dyDescent="0.25">
      <c r="A108" s="5">
        <v>44293</v>
      </c>
      <c r="B108">
        <v>0.42780000000000001</v>
      </c>
      <c r="C108">
        <v>0.48</v>
      </c>
      <c r="D108">
        <v>0.36409999999999998</v>
      </c>
      <c r="E108">
        <v>0.37280000000000002</v>
      </c>
      <c r="F108">
        <v>42209951.549999997</v>
      </c>
      <c r="G108">
        <v>-12.86</v>
      </c>
    </row>
    <row r="109" spans="1:7" x14ac:dyDescent="0.25">
      <c r="A109" s="5">
        <v>44292</v>
      </c>
      <c r="B109">
        <v>0.42849999999999999</v>
      </c>
      <c r="C109">
        <v>0.47460000000000002</v>
      </c>
      <c r="D109">
        <v>0.42099999999999999</v>
      </c>
      <c r="E109">
        <v>0.42730000000000001</v>
      </c>
      <c r="F109">
        <v>49550185.020000003</v>
      </c>
      <c r="G109">
        <v>-0.28000000000000003</v>
      </c>
    </row>
    <row r="110" spans="1:7" x14ac:dyDescent="0.25">
      <c r="A110" s="5">
        <v>44291</v>
      </c>
      <c r="B110">
        <v>0.38040000000000002</v>
      </c>
      <c r="C110">
        <v>0.45600000000000002</v>
      </c>
      <c r="D110">
        <v>0.37119999999999997</v>
      </c>
      <c r="E110">
        <v>0.42820000000000003</v>
      </c>
      <c r="F110">
        <v>56688613.329999998</v>
      </c>
      <c r="G110">
        <v>12.57</v>
      </c>
    </row>
    <row r="111" spans="1:7" x14ac:dyDescent="0.25">
      <c r="A111" s="5">
        <v>44290</v>
      </c>
      <c r="B111">
        <v>0.33829999999999999</v>
      </c>
      <c r="C111">
        <v>0.4</v>
      </c>
      <c r="D111">
        <v>0.33229999999999998</v>
      </c>
      <c r="E111">
        <v>0.38009999999999999</v>
      </c>
      <c r="F111">
        <v>29785850.550000001</v>
      </c>
      <c r="G111">
        <v>12.36</v>
      </c>
    </row>
    <row r="112" spans="1:7" x14ac:dyDescent="0.25">
      <c r="A112" s="5">
        <v>44289</v>
      </c>
      <c r="B112">
        <v>0.38009999999999999</v>
      </c>
      <c r="C112">
        <v>0.38579999999999998</v>
      </c>
      <c r="D112">
        <v>0.33679999999999999</v>
      </c>
      <c r="E112">
        <v>0.33729999999999999</v>
      </c>
      <c r="F112">
        <v>29062463.609999999</v>
      </c>
      <c r="G112">
        <v>-11.26</v>
      </c>
    </row>
    <row r="113" spans="1:7" x14ac:dyDescent="0.25">
      <c r="A113" s="5">
        <v>44288</v>
      </c>
      <c r="B113">
        <v>0.35949999999999999</v>
      </c>
      <c r="C113">
        <v>0.4143</v>
      </c>
      <c r="D113">
        <v>0.34560000000000002</v>
      </c>
      <c r="E113">
        <v>0.37969999999999998</v>
      </c>
      <c r="F113">
        <v>56333683.770000003</v>
      </c>
      <c r="G113">
        <v>5.62</v>
      </c>
    </row>
    <row r="114" spans="1:7" x14ac:dyDescent="0.25">
      <c r="A114" s="5">
        <v>44287</v>
      </c>
      <c r="B114">
        <v>0.34350000000000003</v>
      </c>
      <c r="C114">
        <v>0.36649999999999999</v>
      </c>
      <c r="D114">
        <v>0.33529999999999999</v>
      </c>
      <c r="E114">
        <v>0.35930000000000001</v>
      </c>
      <c r="F114">
        <v>29935445.829999998</v>
      </c>
      <c r="G114">
        <v>4.5999999999999996</v>
      </c>
    </row>
    <row r="115" spans="1:7" x14ac:dyDescent="0.25">
      <c r="A115" s="5">
        <v>44286</v>
      </c>
      <c r="B115">
        <v>0.33160000000000001</v>
      </c>
      <c r="C115">
        <v>0.3553</v>
      </c>
      <c r="D115">
        <v>0.30769999999999997</v>
      </c>
      <c r="E115">
        <v>0.34350000000000003</v>
      </c>
      <c r="F115">
        <v>41600164.409999996</v>
      </c>
      <c r="G115">
        <v>3.59</v>
      </c>
    </row>
    <row r="116" spans="1:7" x14ac:dyDescent="0.25">
      <c r="A116" s="5">
        <v>44285</v>
      </c>
      <c r="B116">
        <v>0.35389999999999999</v>
      </c>
      <c r="C116">
        <v>0.35930000000000001</v>
      </c>
      <c r="D116">
        <v>0.32200000000000001</v>
      </c>
      <c r="E116">
        <v>0.33119999999999999</v>
      </c>
      <c r="F116">
        <v>51079661.369999997</v>
      </c>
      <c r="G116">
        <v>-6.41</v>
      </c>
    </row>
    <row r="117" spans="1:7" x14ac:dyDescent="0.25">
      <c r="A117" s="5">
        <v>44284</v>
      </c>
      <c r="B117">
        <v>0.2949</v>
      </c>
      <c r="C117">
        <v>0.38</v>
      </c>
      <c r="D117">
        <v>0.28699999999999998</v>
      </c>
      <c r="E117">
        <v>0.35410000000000003</v>
      </c>
      <c r="F117">
        <v>91883589.450000003</v>
      </c>
      <c r="G117">
        <v>20.07</v>
      </c>
    </row>
    <row r="118" spans="1:7" x14ac:dyDescent="0.25">
      <c r="A118" s="5">
        <v>44283</v>
      </c>
      <c r="B118">
        <v>0.27150000000000002</v>
      </c>
      <c r="C118">
        <v>0.29499999999999998</v>
      </c>
      <c r="D118">
        <v>0.27</v>
      </c>
      <c r="E118">
        <v>0.2949</v>
      </c>
      <c r="F118">
        <v>38727026.200000003</v>
      </c>
      <c r="G118">
        <v>8.6199999999999992</v>
      </c>
    </row>
    <row r="119" spans="1:7" x14ac:dyDescent="0.25">
      <c r="A119" s="5">
        <v>44282</v>
      </c>
      <c r="B119">
        <v>0.27360000000000001</v>
      </c>
      <c r="C119">
        <v>0.28760000000000002</v>
      </c>
      <c r="D119">
        <v>0.26100000000000001</v>
      </c>
      <c r="E119">
        <v>0.27139999999999997</v>
      </c>
      <c r="F119">
        <v>33923664.409999996</v>
      </c>
      <c r="G119">
        <v>-0.8</v>
      </c>
    </row>
    <row r="120" spans="1:7" x14ac:dyDescent="0.25">
      <c r="A120" s="5">
        <v>44281</v>
      </c>
      <c r="B120">
        <v>0.25280000000000002</v>
      </c>
      <c r="C120">
        <v>0.28999999999999998</v>
      </c>
      <c r="D120">
        <v>0.2525</v>
      </c>
      <c r="E120">
        <v>0.27360000000000001</v>
      </c>
      <c r="F120">
        <v>37164157.240000002</v>
      </c>
      <c r="G120">
        <v>8.23</v>
      </c>
    </row>
    <row r="121" spans="1:7" x14ac:dyDescent="0.25">
      <c r="A121" s="5">
        <v>44280</v>
      </c>
      <c r="B121">
        <v>0.26340000000000002</v>
      </c>
      <c r="C121">
        <v>0.30730000000000002</v>
      </c>
      <c r="D121">
        <v>0.25</v>
      </c>
      <c r="E121">
        <v>0.25280000000000002</v>
      </c>
      <c r="F121">
        <v>99636343.799999997</v>
      </c>
      <c r="G121">
        <v>-4.0199999999999996</v>
      </c>
    </row>
    <row r="122" spans="1:7" x14ac:dyDescent="0.25">
      <c r="A122" s="5">
        <v>44279</v>
      </c>
      <c r="B122">
        <v>0.2389</v>
      </c>
      <c r="C122">
        <v>0.31340000000000001</v>
      </c>
      <c r="D122">
        <v>0.2311</v>
      </c>
      <c r="E122">
        <v>0.26350000000000001</v>
      </c>
      <c r="F122">
        <v>98300646.730000004</v>
      </c>
      <c r="G122">
        <v>10.3</v>
      </c>
    </row>
    <row r="123" spans="1:7" x14ac:dyDescent="0.25">
      <c r="A123" s="5">
        <v>44278</v>
      </c>
      <c r="B123">
        <v>0.24049999999999999</v>
      </c>
      <c r="C123">
        <v>0.25169999999999998</v>
      </c>
      <c r="D123">
        <v>0.22770000000000001</v>
      </c>
      <c r="E123">
        <v>0.2382</v>
      </c>
      <c r="F123">
        <v>27967283.629999999</v>
      </c>
      <c r="G123">
        <v>-0.96</v>
      </c>
    </row>
    <row r="124" spans="1:7" x14ac:dyDescent="0.25">
      <c r="A124" s="5">
        <v>44277</v>
      </c>
      <c r="B124">
        <v>0.25019999999999998</v>
      </c>
      <c r="C124">
        <v>0.27</v>
      </c>
      <c r="D124">
        <v>0.2384</v>
      </c>
      <c r="E124">
        <v>0.24</v>
      </c>
      <c r="F124">
        <v>37672927.240000002</v>
      </c>
      <c r="G124">
        <v>-4.08</v>
      </c>
    </row>
    <row r="125" spans="1:7" x14ac:dyDescent="0.25">
      <c r="A125" s="5">
        <v>44276</v>
      </c>
      <c r="B125">
        <v>0.25319999999999998</v>
      </c>
      <c r="C125">
        <v>0.26090000000000002</v>
      </c>
      <c r="D125">
        <v>0.2379</v>
      </c>
      <c r="E125">
        <v>0.25069999999999998</v>
      </c>
      <c r="F125">
        <v>32803759.109999999</v>
      </c>
      <c r="G125">
        <v>-0.99</v>
      </c>
    </row>
    <row r="126" spans="1:7" x14ac:dyDescent="0.25">
      <c r="A126" s="5">
        <v>44275</v>
      </c>
      <c r="B126">
        <v>0.28170000000000001</v>
      </c>
      <c r="C126">
        <v>0.28270000000000001</v>
      </c>
      <c r="D126">
        <v>0.252</v>
      </c>
      <c r="E126">
        <v>0.25319999999999998</v>
      </c>
      <c r="F126">
        <v>32072986.84</v>
      </c>
      <c r="G126">
        <v>-10.119999999999999</v>
      </c>
    </row>
    <row r="127" spans="1:7" x14ac:dyDescent="0.25">
      <c r="A127" s="5">
        <v>44274</v>
      </c>
      <c r="B127">
        <v>0.25600000000000001</v>
      </c>
      <c r="C127">
        <v>0.28299999999999997</v>
      </c>
      <c r="D127">
        <v>0.2487</v>
      </c>
      <c r="E127">
        <v>0.28239999999999998</v>
      </c>
      <c r="F127">
        <v>35715256.829999998</v>
      </c>
      <c r="G127">
        <v>10.31</v>
      </c>
    </row>
    <row r="128" spans="1:7" x14ac:dyDescent="0.25">
      <c r="A128" s="5">
        <v>44273</v>
      </c>
      <c r="B128">
        <v>0.27429999999999999</v>
      </c>
      <c r="C128">
        <v>0.27900000000000003</v>
      </c>
      <c r="D128">
        <v>0.25369999999999998</v>
      </c>
      <c r="E128">
        <v>0.25590000000000002</v>
      </c>
      <c r="F128">
        <v>35587024.119999997</v>
      </c>
      <c r="G128">
        <v>-6.71</v>
      </c>
    </row>
    <row r="129" spans="1:7" x14ac:dyDescent="0.25">
      <c r="A129" s="5">
        <v>44272</v>
      </c>
      <c r="B129">
        <v>0.2676</v>
      </c>
      <c r="C129">
        <v>0.28199999999999997</v>
      </c>
      <c r="D129">
        <v>0.24690000000000001</v>
      </c>
      <c r="E129">
        <v>0.27300000000000002</v>
      </c>
      <c r="F129">
        <v>35211135.280000001</v>
      </c>
      <c r="G129">
        <v>2.02</v>
      </c>
    </row>
    <row r="130" spans="1:7" x14ac:dyDescent="0.25">
      <c r="A130" s="5">
        <v>44271</v>
      </c>
      <c r="B130">
        <v>0.29459999999999997</v>
      </c>
      <c r="C130">
        <v>0.30409999999999998</v>
      </c>
      <c r="D130">
        <v>0.26300000000000001</v>
      </c>
      <c r="E130">
        <v>0.2676</v>
      </c>
      <c r="F130">
        <v>42844246.409999996</v>
      </c>
      <c r="G130">
        <v>-9.16</v>
      </c>
    </row>
    <row r="131" spans="1:7" x14ac:dyDescent="0.25">
      <c r="A131" s="5">
        <v>44270</v>
      </c>
      <c r="B131">
        <v>0.2838</v>
      </c>
      <c r="C131">
        <v>0.31900000000000001</v>
      </c>
      <c r="D131">
        <v>0.25</v>
      </c>
      <c r="E131">
        <v>0.29430000000000001</v>
      </c>
      <c r="F131">
        <v>85917088.030000001</v>
      </c>
      <c r="G131">
        <v>3.7</v>
      </c>
    </row>
    <row r="132" spans="1:7" x14ac:dyDescent="0.25">
      <c r="A132" s="5">
        <v>44269</v>
      </c>
      <c r="B132">
        <v>0.249</v>
      </c>
      <c r="C132">
        <v>0.32</v>
      </c>
      <c r="D132">
        <v>0.24310000000000001</v>
      </c>
      <c r="E132">
        <v>0.2838</v>
      </c>
      <c r="F132">
        <v>133194323.51000001</v>
      </c>
      <c r="G132">
        <v>13.98</v>
      </c>
    </row>
    <row r="133" spans="1:7" x14ac:dyDescent="0.25">
      <c r="A133" s="5">
        <v>44268</v>
      </c>
      <c r="B133">
        <v>0.21229999999999999</v>
      </c>
      <c r="C133">
        <v>0.26600000000000001</v>
      </c>
      <c r="D133">
        <v>0.19919999999999999</v>
      </c>
      <c r="E133">
        <v>0.2495</v>
      </c>
      <c r="F133">
        <v>72379163</v>
      </c>
      <c r="G133">
        <v>17.52</v>
      </c>
    </row>
    <row r="134" spans="1:7" x14ac:dyDescent="0.25">
      <c r="A134" s="5">
        <v>44267</v>
      </c>
      <c r="B134">
        <v>0.21329999999999999</v>
      </c>
      <c r="C134">
        <v>0.24959999999999999</v>
      </c>
      <c r="D134">
        <v>0.1986</v>
      </c>
      <c r="E134">
        <v>0.21299999999999999</v>
      </c>
      <c r="F134">
        <v>82456771.219999999</v>
      </c>
      <c r="G134">
        <v>-0.14000000000000001</v>
      </c>
    </row>
    <row r="135" spans="1:7" x14ac:dyDescent="0.25">
      <c r="A135" s="5">
        <v>44266</v>
      </c>
      <c r="B135">
        <v>0.18149999999999999</v>
      </c>
      <c r="C135">
        <v>0.21410000000000001</v>
      </c>
      <c r="D135">
        <v>0.17599999999999999</v>
      </c>
      <c r="E135">
        <v>0.21310000000000001</v>
      </c>
      <c r="F135">
        <v>41618435.119999997</v>
      </c>
      <c r="G135">
        <v>17.41</v>
      </c>
    </row>
    <row r="136" spans="1:7" x14ac:dyDescent="0.25">
      <c r="A136" s="5">
        <v>44265</v>
      </c>
      <c r="B136">
        <v>0.19470000000000001</v>
      </c>
      <c r="C136">
        <v>0.21329999999999999</v>
      </c>
      <c r="D136">
        <v>0.1757</v>
      </c>
      <c r="E136">
        <v>0.18179999999999999</v>
      </c>
      <c r="F136">
        <v>46365916.960000001</v>
      </c>
      <c r="G136">
        <v>-6.63</v>
      </c>
    </row>
    <row r="137" spans="1:7" x14ac:dyDescent="0.25">
      <c r="A137" s="5">
        <v>44264</v>
      </c>
      <c r="B137">
        <v>0.1724</v>
      </c>
      <c r="C137">
        <v>0.2001</v>
      </c>
      <c r="D137">
        <v>0.16950000000000001</v>
      </c>
      <c r="E137">
        <v>0.19470000000000001</v>
      </c>
      <c r="F137">
        <v>41646706.18</v>
      </c>
      <c r="G137">
        <v>12.94</v>
      </c>
    </row>
    <row r="138" spans="1:7" x14ac:dyDescent="0.25">
      <c r="A138" s="5">
        <v>44263</v>
      </c>
      <c r="B138">
        <v>0.16569999999999999</v>
      </c>
      <c r="C138">
        <v>0.1794</v>
      </c>
      <c r="D138">
        <v>0.1633</v>
      </c>
      <c r="E138">
        <v>0.17280000000000001</v>
      </c>
      <c r="F138">
        <v>26723760.5</v>
      </c>
      <c r="G138">
        <v>4.28</v>
      </c>
    </row>
    <row r="139" spans="1:7" x14ac:dyDescent="0.25">
      <c r="A139" s="5">
        <v>44262</v>
      </c>
      <c r="B139">
        <v>0.16569999999999999</v>
      </c>
      <c r="C139">
        <v>0.1749</v>
      </c>
      <c r="D139">
        <v>0.16250000000000001</v>
      </c>
      <c r="E139">
        <v>0.1658</v>
      </c>
      <c r="F139">
        <v>21929298.489999998</v>
      </c>
      <c r="G139">
        <v>0.06</v>
      </c>
    </row>
    <row r="140" spans="1:7" x14ac:dyDescent="0.25">
      <c r="A140" s="5">
        <v>44261</v>
      </c>
      <c r="B140">
        <v>0.16400000000000001</v>
      </c>
      <c r="C140">
        <v>0.16850000000000001</v>
      </c>
      <c r="D140">
        <v>0.15859999999999999</v>
      </c>
      <c r="E140">
        <v>0.16589999999999999</v>
      </c>
      <c r="F140">
        <v>19230168.850000001</v>
      </c>
      <c r="G140">
        <v>1.1599999999999999</v>
      </c>
    </row>
    <row r="141" spans="1:7" x14ac:dyDescent="0.25">
      <c r="A141" s="5">
        <v>44260</v>
      </c>
      <c r="B141">
        <v>0.17080000000000001</v>
      </c>
      <c r="C141">
        <v>0.17499999999999999</v>
      </c>
      <c r="D141">
        <v>0.15790000000000001</v>
      </c>
      <c r="E141">
        <v>0.16400000000000001</v>
      </c>
      <c r="F141">
        <v>30126876.010000002</v>
      </c>
      <c r="G141">
        <v>-3.98</v>
      </c>
    </row>
    <row r="142" spans="1:7" x14ac:dyDescent="0.25">
      <c r="A142" s="5">
        <v>44259</v>
      </c>
      <c r="B142">
        <v>0.18579999999999999</v>
      </c>
      <c r="C142">
        <v>0.19389999999999999</v>
      </c>
      <c r="D142">
        <v>0.16600000000000001</v>
      </c>
      <c r="E142">
        <v>0.17080000000000001</v>
      </c>
      <c r="F142">
        <v>37188998.670000002</v>
      </c>
      <c r="G142">
        <v>-8.07</v>
      </c>
    </row>
    <row r="143" spans="1:7" x14ac:dyDescent="0.25">
      <c r="A143" s="5">
        <v>44258</v>
      </c>
      <c r="B143">
        <v>0.18240000000000001</v>
      </c>
      <c r="C143">
        <v>0.19570000000000001</v>
      </c>
      <c r="D143">
        <v>0.1797</v>
      </c>
      <c r="E143">
        <v>0.18579999999999999</v>
      </c>
      <c r="F143">
        <v>37306970.229999997</v>
      </c>
      <c r="G143">
        <v>1.86</v>
      </c>
    </row>
    <row r="144" spans="1:7" x14ac:dyDescent="0.25">
      <c r="A144" s="5">
        <v>44257</v>
      </c>
      <c r="B144">
        <v>0.191</v>
      </c>
      <c r="C144">
        <v>0.19900000000000001</v>
      </c>
      <c r="D144">
        <v>0.17519999999999999</v>
      </c>
      <c r="E144">
        <v>0.1825</v>
      </c>
      <c r="F144">
        <v>36053527.439999998</v>
      </c>
      <c r="G144">
        <v>-4.45</v>
      </c>
    </row>
    <row r="145" spans="1:7" x14ac:dyDescent="0.25">
      <c r="A145" s="5">
        <v>44256</v>
      </c>
      <c r="B145">
        <v>0.16919999999999999</v>
      </c>
      <c r="C145">
        <v>0.2</v>
      </c>
      <c r="D145">
        <v>0.16889999999999999</v>
      </c>
      <c r="E145">
        <v>0.1915</v>
      </c>
      <c r="F145">
        <v>44377007.909999996</v>
      </c>
      <c r="G145">
        <v>13.18</v>
      </c>
    </row>
    <row r="146" spans="1:7" x14ac:dyDescent="0.25">
      <c r="A146" s="5">
        <v>44255</v>
      </c>
      <c r="B146">
        <v>0.182</v>
      </c>
      <c r="C146">
        <v>0.1842</v>
      </c>
      <c r="D146">
        <v>0.1555</v>
      </c>
      <c r="E146">
        <v>0.16869999999999999</v>
      </c>
      <c r="F146">
        <v>43962788.009999998</v>
      </c>
      <c r="G146">
        <v>-7.31</v>
      </c>
    </row>
    <row r="147" spans="1:7" x14ac:dyDescent="0.25">
      <c r="A147" s="5">
        <v>44254</v>
      </c>
      <c r="B147">
        <v>0.19600000000000001</v>
      </c>
      <c r="C147">
        <v>0.2099</v>
      </c>
      <c r="D147">
        <v>0.1767</v>
      </c>
      <c r="E147">
        <v>0.1822</v>
      </c>
      <c r="F147">
        <v>70767852.980000004</v>
      </c>
      <c r="G147">
        <v>-7.04</v>
      </c>
    </row>
    <row r="148" spans="1:7" x14ac:dyDescent="0.25">
      <c r="A148" s="5">
        <v>44253</v>
      </c>
      <c r="B148">
        <v>0.18729999999999999</v>
      </c>
      <c r="C148">
        <v>0.25</v>
      </c>
      <c r="D148">
        <v>0.17510000000000001</v>
      </c>
      <c r="E148">
        <v>0.19600000000000001</v>
      </c>
      <c r="F148">
        <v>243126963.09</v>
      </c>
      <c r="G148">
        <v>4.6399999999999997</v>
      </c>
    </row>
    <row r="149" spans="1:7" x14ac:dyDescent="0.25">
      <c r="A149" s="5">
        <v>44252</v>
      </c>
      <c r="B149">
        <v>0.16270000000000001</v>
      </c>
      <c r="C149">
        <v>0.20680000000000001</v>
      </c>
      <c r="D149">
        <v>0.15579999999999999</v>
      </c>
      <c r="E149">
        <v>0.1867</v>
      </c>
      <c r="F149">
        <v>91961939.739999995</v>
      </c>
      <c r="G149">
        <v>14.75</v>
      </c>
    </row>
    <row r="150" spans="1:7" x14ac:dyDescent="0.25">
      <c r="A150" s="5">
        <v>44251</v>
      </c>
      <c r="B150">
        <v>0.16270000000000001</v>
      </c>
      <c r="C150">
        <v>0.19</v>
      </c>
      <c r="D150">
        <v>0.15049999999999999</v>
      </c>
      <c r="E150">
        <v>0.16270000000000001</v>
      </c>
      <c r="F150">
        <v>54609800.990000002</v>
      </c>
      <c r="G150">
        <v>0</v>
      </c>
    </row>
    <row r="151" spans="1:7" x14ac:dyDescent="0.25">
      <c r="A151" s="5">
        <v>44250</v>
      </c>
      <c r="B151">
        <v>0.20250000000000001</v>
      </c>
      <c r="C151">
        <v>0.21279999999999999</v>
      </c>
      <c r="D151">
        <v>0.13400000000000001</v>
      </c>
      <c r="E151">
        <v>0.16259999999999999</v>
      </c>
      <c r="F151">
        <v>78975386.319999993</v>
      </c>
      <c r="G151">
        <v>-19.7</v>
      </c>
    </row>
    <row r="152" spans="1:7" x14ac:dyDescent="0.25">
      <c r="A152" s="5">
        <v>44249</v>
      </c>
      <c r="B152">
        <v>0.21990000000000001</v>
      </c>
      <c r="C152">
        <v>0.26800000000000002</v>
      </c>
      <c r="D152">
        <v>0.17469999999999999</v>
      </c>
      <c r="E152">
        <v>0.2016</v>
      </c>
      <c r="F152">
        <v>152556565.46000001</v>
      </c>
      <c r="G152">
        <v>-8.32</v>
      </c>
    </row>
    <row r="153" spans="1:7" x14ac:dyDescent="0.25">
      <c r="A153" s="5">
        <v>44248</v>
      </c>
      <c r="B153">
        <v>0.16889999999999999</v>
      </c>
      <c r="C153">
        <v>0.23899999999999999</v>
      </c>
      <c r="D153">
        <v>0.15770000000000001</v>
      </c>
      <c r="E153">
        <v>0.22</v>
      </c>
      <c r="F153">
        <v>83244555.060000002</v>
      </c>
      <c r="G153">
        <v>30.25</v>
      </c>
    </row>
    <row r="154" spans="1:7" x14ac:dyDescent="0.25">
      <c r="A154" s="5">
        <v>44247</v>
      </c>
      <c r="B154">
        <v>0.1736</v>
      </c>
      <c r="C154">
        <v>0.1867</v>
      </c>
      <c r="D154">
        <v>0.155</v>
      </c>
      <c r="E154">
        <v>0.16819999999999999</v>
      </c>
      <c r="F154">
        <v>38188431.020000003</v>
      </c>
      <c r="G154">
        <v>-3.11</v>
      </c>
    </row>
    <row r="155" spans="1:7" x14ac:dyDescent="0.25">
      <c r="A155" s="5">
        <v>44246</v>
      </c>
      <c r="B155">
        <v>0.19120000000000001</v>
      </c>
      <c r="C155">
        <v>0.1978</v>
      </c>
      <c r="D155">
        <v>0.16750000000000001</v>
      </c>
      <c r="E155">
        <v>0.1734</v>
      </c>
      <c r="F155">
        <v>51318578.759999998</v>
      </c>
      <c r="G155">
        <v>-9.31</v>
      </c>
    </row>
    <row r="156" spans="1:7" x14ac:dyDescent="0.25">
      <c r="A156" s="5">
        <v>44245</v>
      </c>
      <c r="B156">
        <v>0.1336</v>
      </c>
      <c r="C156">
        <v>0.222</v>
      </c>
      <c r="D156">
        <v>0.1328</v>
      </c>
      <c r="E156">
        <v>0.1913</v>
      </c>
      <c r="F156">
        <v>191683974.37</v>
      </c>
      <c r="G156">
        <v>43.19</v>
      </c>
    </row>
    <row r="157" spans="1:7" x14ac:dyDescent="0.25">
      <c r="A157" s="5">
        <v>44244</v>
      </c>
      <c r="B157">
        <v>0.13500000000000001</v>
      </c>
      <c r="C157">
        <v>0.1389</v>
      </c>
      <c r="D157">
        <v>0.1235</v>
      </c>
      <c r="E157">
        <v>0.13350000000000001</v>
      </c>
      <c r="F157">
        <v>19874431.600000001</v>
      </c>
      <c r="G157">
        <v>-1.1100000000000001</v>
      </c>
    </row>
    <row r="158" spans="1:7" x14ac:dyDescent="0.25">
      <c r="A158" s="5">
        <v>44243</v>
      </c>
      <c r="B158">
        <v>0.13020000000000001</v>
      </c>
      <c r="C158">
        <v>0.14699999999999999</v>
      </c>
      <c r="D158">
        <v>0.12609999999999999</v>
      </c>
      <c r="E158">
        <v>0.1348</v>
      </c>
      <c r="F158">
        <v>33043971.969999999</v>
      </c>
      <c r="G158">
        <v>3.53</v>
      </c>
    </row>
    <row r="159" spans="1:7" x14ac:dyDescent="0.25">
      <c r="A159" s="5">
        <v>44242</v>
      </c>
      <c r="B159">
        <v>0.1358</v>
      </c>
      <c r="C159">
        <v>0.14799999999999999</v>
      </c>
      <c r="D159">
        <v>0.1152</v>
      </c>
      <c r="E159">
        <v>0.13009999999999999</v>
      </c>
      <c r="F159">
        <v>45016407.490000002</v>
      </c>
      <c r="G159">
        <v>-4.2</v>
      </c>
    </row>
    <row r="160" spans="1:7" x14ac:dyDescent="0.25">
      <c r="A160" s="5">
        <v>44241</v>
      </c>
      <c r="B160">
        <v>0.14499999999999999</v>
      </c>
      <c r="C160">
        <v>0.1484</v>
      </c>
      <c r="D160">
        <v>0.126</v>
      </c>
      <c r="E160">
        <v>0.1353</v>
      </c>
      <c r="F160">
        <v>36622642.359999999</v>
      </c>
      <c r="G160">
        <v>-6.69</v>
      </c>
    </row>
    <row r="161" spans="1:7" x14ac:dyDescent="0.25">
      <c r="A161" s="5">
        <v>44240</v>
      </c>
      <c r="B161">
        <v>0.1341</v>
      </c>
      <c r="C161">
        <v>0.14940000000000001</v>
      </c>
      <c r="D161">
        <v>0.12509999999999999</v>
      </c>
      <c r="E161">
        <v>0.14499999999999999</v>
      </c>
      <c r="F161">
        <v>55887457.899999999</v>
      </c>
      <c r="G161">
        <v>8.1300000000000008</v>
      </c>
    </row>
    <row r="162" spans="1:7" x14ac:dyDescent="0.25">
      <c r="A162" s="5">
        <v>44239</v>
      </c>
      <c r="B162">
        <v>0.1212</v>
      </c>
      <c r="C162">
        <v>0.1384</v>
      </c>
      <c r="D162">
        <v>0.1086</v>
      </c>
      <c r="E162">
        <v>0.13400000000000001</v>
      </c>
      <c r="F162">
        <v>45536403.43</v>
      </c>
      <c r="G162">
        <v>10.56</v>
      </c>
    </row>
    <row r="163" spans="1:7" x14ac:dyDescent="0.25">
      <c r="A163" s="5">
        <v>44238</v>
      </c>
      <c r="B163">
        <v>0.1106</v>
      </c>
      <c r="C163">
        <v>0.1298</v>
      </c>
      <c r="D163">
        <v>0.1057</v>
      </c>
      <c r="E163">
        <v>0.12089999999999999</v>
      </c>
      <c r="F163">
        <v>54112931.329999998</v>
      </c>
      <c r="G163">
        <v>9.31</v>
      </c>
    </row>
    <row r="164" spans="1:7" x14ac:dyDescent="0.25">
      <c r="A164" s="5">
        <v>44237</v>
      </c>
      <c r="B164">
        <v>9.5600000000000004E-2</v>
      </c>
      <c r="C164">
        <v>0.11509999999999999</v>
      </c>
      <c r="D164">
        <v>9.0499999999999997E-2</v>
      </c>
      <c r="E164">
        <v>0.1106</v>
      </c>
      <c r="F164">
        <v>79303045.439999998</v>
      </c>
      <c r="G164">
        <v>15.69</v>
      </c>
    </row>
    <row r="165" spans="1:7" x14ac:dyDescent="0.25">
      <c r="A165" s="5">
        <v>44236</v>
      </c>
      <c r="B165">
        <v>8.6099999999999996E-2</v>
      </c>
      <c r="C165">
        <v>9.6000000000000002E-2</v>
      </c>
      <c r="D165">
        <v>8.5500000000000007E-2</v>
      </c>
      <c r="E165">
        <v>9.5600000000000004E-2</v>
      </c>
      <c r="F165">
        <v>44956937.420000002</v>
      </c>
      <c r="G165">
        <v>11.03</v>
      </c>
    </row>
    <row r="166" spans="1:7" x14ac:dyDescent="0.25">
      <c r="A166" s="5">
        <v>44235</v>
      </c>
      <c r="B166">
        <v>8.1600000000000006E-2</v>
      </c>
      <c r="C166">
        <v>8.7999999999999995E-2</v>
      </c>
      <c r="D166">
        <v>8.0100000000000005E-2</v>
      </c>
      <c r="E166">
        <v>8.5900000000000004E-2</v>
      </c>
      <c r="F166">
        <v>26478856.84</v>
      </c>
      <c r="G166">
        <v>5.27</v>
      </c>
    </row>
    <row r="167" spans="1:7" x14ac:dyDescent="0.25">
      <c r="A167" s="5">
        <v>44234</v>
      </c>
      <c r="B167">
        <v>8.0799999999999997E-2</v>
      </c>
      <c r="C167">
        <v>8.5300000000000001E-2</v>
      </c>
      <c r="D167">
        <v>7.7600000000000002E-2</v>
      </c>
      <c r="E167">
        <v>8.1299999999999997E-2</v>
      </c>
      <c r="F167">
        <v>20830808.449999999</v>
      </c>
      <c r="G167">
        <v>0.62</v>
      </c>
    </row>
    <row r="168" spans="1:7" x14ac:dyDescent="0.25">
      <c r="A168" s="5">
        <v>44233</v>
      </c>
      <c r="B168">
        <v>8.9099999999999999E-2</v>
      </c>
      <c r="C168">
        <v>8.9899999999999994E-2</v>
      </c>
      <c r="D168">
        <v>8.0100000000000005E-2</v>
      </c>
      <c r="E168">
        <v>8.0799999999999997E-2</v>
      </c>
      <c r="F168">
        <v>23088623.329999998</v>
      </c>
      <c r="G168">
        <v>-9.32</v>
      </c>
    </row>
    <row r="169" spans="1:7" x14ac:dyDescent="0.25">
      <c r="A169" s="5">
        <v>44232</v>
      </c>
      <c r="B169">
        <v>8.5800000000000001E-2</v>
      </c>
      <c r="C169">
        <v>0.09</v>
      </c>
      <c r="D169">
        <v>8.3599999999999994E-2</v>
      </c>
      <c r="E169">
        <v>8.8900000000000007E-2</v>
      </c>
      <c r="F169">
        <v>30875568.550000001</v>
      </c>
      <c r="G169">
        <v>3.61</v>
      </c>
    </row>
    <row r="170" spans="1:7" x14ac:dyDescent="0.25">
      <c r="A170" s="5">
        <v>44231</v>
      </c>
      <c r="B170">
        <v>8.0699999999999994E-2</v>
      </c>
      <c r="C170">
        <v>8.5999999999999993E-2</v>
      </c>
      <c r="D170">
        <v>7.6200000000000004E-2</v>
      </c>
      <c r="E170">
        <v>8.5800000000000001E-2</v>
      </c>
      <c r="F170">
        <v>32851902.57</v>
      </c>
      <c r="G170">
        <v>6.32</v>
      </c>
    </row>
    <row r="171" spans="1:7" x14ac:dyDescent="0.25">
      <c r="A171" s="5">
        <v>44230</v>
      </c>
      <c r="B171">
        <v>7.3899999999999993E-2</v>
      </c>
      <c r="C171">
        <v>8.1199999999999994E-2</v>
      </c>
      <c r="D171">
        <v>7.3499999999999996E-2</v>
      </c>
      <c r="E171">
        <v>8.0699999999999994E-2</v>
      </c>
      <c r="F171">
        <v>31735526.699999999</v>
      </c>
      <c r="G171">
        <v>9.1999999999999993</v>
      </c>
    </row>
    <row r="172" spans="1:7" x14ac:dyDescent="0.25">
      <c r="A172" s="5">
        <v>44229</v>
      </c>
      <c r="B172">
        <v>7.2300000000000003E-2</v>
      </c>
      <c r="C172">
        <v>7.5499999999999998E-2</v>
      </c>
      <c r="D172">
        <v>7.0599999999999996E-2</v>
      </c>
      <c r="E172">
        <v>7.3700000000000002E-2</v>
      </c>
      <c r="F172">
        <v>17577727.25</v>
      </c>
      <c r="G172">
        <v>1.94</v>
      </c>
    </row>
    <row r="173" spans="1:7" x14ac:dyDescent="0.25">
      <c r="A173" s="5">
        <v>44228</v>
      </c>
      <c r="B173">
        <v>7.2099999999999997E-2</v>
      </c>
      <c r="C173">
        <v>7.2700000000000001E-2</v>
      </c>
      <c r="D173">
        <v>7.0199999999999999E-2</v>
      </c>
      <c r="E173">
        <v>7.2400000000000006E-2</v>
      </c>
      <c r="F173">
        <v>17618610.43</v>
      </c>
      <c r="G173">
        <v>0.42</v>
      </c>
    </row>
    <row r="174" spans="1:7" x14ac:dyDescent="0.25">
      <c r="A174" s="5">
        <v>44227</v>
      </c>
      <c r="B174">
        <v>7.4700000000000003E-2</v>
      </c>
      <c r="C174">
        <v>7.5499999999999998E-2</v>
      </c>
      <c r="D174">
        <v>7.0900000000000005E-2</v>
      </c>
      <c r="E174">
        <v>7.2300000000000003E-2</v>
      </c>
      <c r="F174">
        <v>17155514.23</v>
      </c>
      <c r="G174">
        <v>-3.21</v>
      </c>
    </row>
    <row r="175" spans="1:7" x14ac:dyDescent="0.25">
      <c r="A175" s="5">
        <v>44226</v>
      </c>
      <c r="B175">
        <v>7.17E-2</v>
      </c>
      <c r="C175">
        <v>7.5499999999999998E-2</v>
      </c>
      <c r="D175">
        <v>6.9900000000000004E-2</v>
      </c>
      <c r="E175">
        <v>7.4700000000000003E-2</v>
      </c>
      <c r="F175">
        <v>22011704.91</v>
      </c>
      <c r="G175">
        <v>4.18</v>
      </c>
    </row>
    <row r="176" spans="1:7" x14ac:dyDescent="0.25">
      <c r="A176" s="5">
        <v>44225</v>
      </c>
      <c r="B176">
        <v>7.0499999999999993E-2</v>
      </c>
      <c r="C176">
        <v>7.3800000000000004E-2</v>
      </c>
      <c r="D176">
        <v>6.5500000000000003E-2</v>
      </c>
      <c r="E176">
        <v>7.1599999999999997E-2</v>
      </c>
      <c r="F176">
        <v>30902392.559999999</v>
      </c>
      <c r="G176">
        <v>1.56</v>
      </c>
    </row>
    <row r="177" spans="1:7" x14ac:dyDescent="0.25">
      <c r="A177" s="5">
        <v>44224</v>
      </c>
      <c r="B177">
        <v>6.6400000000000001E-2</v>
      </c>
      <c r="C177">
        <v>7.4999999999999997E-2</v>
      </c>
      <c r="D177">
        <v>6.5500000000000003E-2</v>
      </c>
      <c r="E177">
        <v>7.0599999999999996E-2</v>
      </c>
      <c r="F177">
        <v>21443241.899999999</v>
      </c>
      <c r="G177">
        <v>6.33</v>
      </c>
    </row>
    <row r="178" spans="1:7" x14ac:dyDescent="0.25">
      <c r="A178" s="5">
        <v>44223</v>
      </c>
      <c r="B178">
        <v>7.5499999999999998E-2</v>
      </c>
      <c r="C178">
        <v>7.5499999999999998E-2</v>
      </c>
      <c r="D178">
        <v>6.4299999999999996E-2</v>
      </c>
      <c r="E178">
        <v>6.6299999999999998E-2</v>
      </c>
      <c r="F178">
        <v>26121588.280000001</v>
      </c>
      <c r="G178">
        <v>-12.19</v>
      </c>
    </row>
    <row r="179" spans="1:7" x14ac:dyDescent="0.25">
      <c r="A179" s="5">
        <v>44222</v>
      </c>
      <c r="B179">
        <v>7.5899999999999995E-2</v>
      </c>
      <c r="C179">
        <v>7.7600000000000002E-2</v>
      </c>
      <c r="D179">
        <v>7.1099999999999997E-2</v>
      </c>
      <c r="E179">
        <v>7.5399999999999995E-2</v>
      </c>
      <c r="F179">
        <v>13652095.369999999</v>
      </c>
      <c r="G179">
        <v>-0.66</v>
      </c>
    </row>
    <row r="180" spans="1:7" x14ac:dyDescent="0.25">
      <c r="A180" s="5">
        <v>44221</v>
      </c>
      <c r="B180">
        <v>7.9200000000000007E-2</v>
      </c>
      <c r="C180">
        <v>8.2199999999999995E-2</v>
      </c>
      <c r="D180">
        <v>7.5800000000000006E-2</v>
      </c>
      <c r="E180">
        <v>7.6100000000000001E-2</v>
      </c>
      <c r="F180">
        <v>22619833.190000001</v>
      </c>
      <c r="G180">
        <v>-3.91</v>
      </c>
    </row>
    <row r="181" spans="1:7" x14ac:dyDescent="0.25">
      <c r="A181" s="5">
        <v>44220</v>
      </c>
      <c r="B181">
        <v>8.1100000000000005E-2</v>
      </c>
      <c r="C181">
        <v>8.3199999999999996E-2</v>
      </c>
      <c r="D181">
        <v>7.4899999999999994E-2</v>
      </c>
      <c r="E181">
        <v>7.9100000000000004E-2</v>
      </c>
      <c r="F181">
        <v>33960684.950000003</v>
      </c>
      <c r="G181">
        <v>-2.4700000000000002</v>
      </c>
    </row>
    <row r="182" spans="1:7" x14ac:dyDescent="0.25">
      <c r="A182" s="5">
        <v>44219</v>
      </c>
      <c r="B182">
        <v>8.6699999999999999E-2</v>
      </c>
      <c r="C182">
        <v>8.8099999999999998E-2</v>
      </c>
      <c r="D182">
        <v>0.08</v>
      </c>
      <c r="E182">
        <v>8.1199999999999994E-2</v>
      </c>
      <c r="F182">
        <v>30529563.390000001</v>
      </c>
      <c r="G182">
        <v>-6.34</v>
      </c>
    </row>
    <row r="183" spans="1:7" x14ac:dyDescent="0.25">
      <c r="A183" s="5">
        <v>44218</v>
      </c>
      <c r="B183">
        <v>8.8200000000000001E-2</v>
      </c>
      <c r="C183">
        <v>0.1045</v>
      </c>
      <c r="D183">
        <v>7.7899999999999997E-2</v>
      </c>
      <c r="E183">
        <v>8.72E-2</v>
      </c>
      <c r="F183">
        <v>28268384.649999999</v>
      </c>
      <c r="G183">
        <v>-1.1299999999999999</v>
      </c>
    </row>
    <row r="184" spans="1:7" x14ac:dyDescent="0.25">
      <c r="A184" s="5">
        <v>44217</v>
      </c>
      <c r="B184">
        <v>9.7199999999999995E-2</v>
      </c>
      <c r="C184">
        <v>0.1024</v>
      </c>
      <c r="D184">
        <v>8.3500000000000005E-2</v>
      </c>
      <c r="E184">
        <v>8.8200000000000001E-2</v>
      </c>
      <c r="F184">
        <v>28157350.98</v>
      </c>
      <c r="G184">
        <v>-9.26</v>
      </c>
    </row>
    <row r="185" spans="1:7" x14ac:dyDescent="0.25">
      <c r="A185" s="5">
        <v>44216</v>
      </c>
      <c r="B185">
        <v>8.7499999999999994E-2</v>
      </c>
      <c r="C185">
        <v>9.9900000000000003E-2</v>
      </c>
      <c r="D185">
        <v>8.2299999999999998E-2</v>
      </c>
      <c r="E185">
        <v>9.69E-2</v>
      </c>
      <c r="F185">
        <v>20491586.48</v>
      </c>
      <c r="G185">
        <v>10.74</v>
      </c>
    </row>
    <row r="186" spans="1:7" x14ac:dyDescent="0.25">
      <c r="A186" s="5">
        <v>44215</v>
      </c>
      <c r="B186">
        <v>9.11E-2</v>
      </c>
      <c r="C186">
        <v>9.69E-2</v>
      </c>
      <c r="D186">
        <v>8.72E-2</v>
      </c>
      <c r="E186">
        <v>8.72E-2</v>
      </c>
      <c r="F186">
        <v>10048628.67</v>
      </c>
      <c r="G186">
        <v>-4.28</v>
      </c>
    </row>
    <row r="187" spans="1:7" x14ac:dyDescent="0.25">
      <c r="A187" s="5">
        <v>44214</v>
      </c>
      <c r="B187">
        <v>8.6400000000000005E-2</v>
      </c>
      <c r="C187">
        <v>9.3200000000000005E-2</v>
      </c>
      <c r="D187">
        <v>8.3699999999999997E-2</v>
      </c>
      <c r="E187">
        <v>9.11E-2</v>
      </c>
      <c r="F187">
        <v>11232685.880000001</v>
      </c>
      <c r="G187">
        <v>5.44</v>
      </c>
    </row>
    <row r="188" spans="1:7" x14ac:dyDescent="0.25">
      <c r="A188" s="5">
        <v>44213</v>
      </c>
      <c r="B188">
        <v>8.0600000000000005E-2</v>
      </c>
      <c r="C188">
        <v>9.4200000000000006E-2</v>
      </c>
      <c r="D188">
        <v>7.9399999999999998E-2</v>
      </c>
      <c r="E188">
        <v>8.6400000000000005E-2</v>
      </c>
      <c r="F188">
        <v>17955418.34</v>
      </c>
      <c r="G188">
        <v>7.2</v>
      </c>
    </row>
    <row r="189" spans="1:7" x14ac:dyDescent="0.25">
      <c r="A189" s="5">
        <v>44212</v>
      </c>
      <c r="B189">
        <v>7.7899999999999997E-2</v>
      </c>
      <c r="C189">
        <v>8.5999999999999993E-2</v>
      </c>
      <c r="D189">
        <v>7.6499999999999999E-2</v>
      </c>
      <c r="E189">
        <v>8.0600000000000005E-2</v>
      </c>
      <c r="F189">
        <v>11431652.07</v>
      </c>
      <c r="G189">
        <v>3.47</v>
      </c>
    </row>
    <row r="190" spans="1:7" x14ac:dyDescent="0.25">
      <c r="A190" s="5">
        <v>44211</v>
      </c>
      <c r="B190">
        <v>7.6999999999999999E-2</v>
      </c>
      <c r="C190">
        <v>8.2000000000000003E-2</v>
      </c>
      <c r="D190">
        <v>7.0599999999999996E-2</v>
      </c>
      <c r="E190">
        <v>7.7499999999999999E-2</v>
      </c>
      <c r="F190">
        <v>11140074.810000001</v>
      </c>
      <c r="G190">
        <v>0.65</v>
      </c>
    </row>
    <row r="191" spans="1:7" x14ac:dyDescent="0.25">
      <c r="A191" s="5">
        <v>44210</v>
      </c>
      <c r="B191">
        <v>7.6899999999999996E-2</v>
      </c>
      <c r="C191">
        <v>8.0399999999999999E-2</v>
      </c>
      <c r="D191">
        <v>7.3499999999999996E-2</v>
      </c>
      <c r="E191">
        <v>7.6600000000000001E-2</v>
      </c>
      <c r="F191">
        <v>7764894.8499999996</v>
      </c>
      <c r="G191">
        <v>-0.39</v>
      </c>
    </row>
    <row r="192" spans="1:7" x14ac:dyDescent="0.25">
      <c r="A192" s="5">
        <v>44209</v>
      </c>
      <c r="B192">
        <v>7.0999999999999994E-2</v>
      </c>
      <c r="C192">
        <v>8.2100000000000006E-2</v>
      </c>
      <c r="D192">
        <v>6.9699999999999998E-2</v>
      </c>
      <c r="E192">
        <v>7.6899999999999996E-2</v>
      </c>
      <c r="F192">
        <v>10355343.16</v>
      </c>
      <c r="G192">
        <v>8.31</v>
      </c>
    </row>
    <row r="193" spans="1:7" x14ac:dyDescent="0.25">
      <c r="A193" s="5">
        <v>44208</v>
      </c>
      <c r="B193">
        <v>7.3800000000000004E-2</v>
      </c>
      <c r="C193">
        <v>7.6999999999999999E-2</v>
      </c>
      <c r="D193">
        <v>6.8400000000000002E-2</v>
      </c>
      <c r="E193">
        <v>7.1400000000000005E-2</v>
      </c>
      <c r="F193">
        <v>5111023.37</v>
      </c>
      <c r="G193">
        <v>-3.25</v>
      </c>
    </row>
    <row r="194" spans="1:7" x14ac:dyDescent="0.25">
      <c r="A194" s="5">
        <v>44207</v>
      </c>
      <c r="B194">
        <v>8.5500000000000007E-2</v>
      </c>
      <c r="C194">
        <v>8.5500000000000007E-2</v>
      </c>
      <c r="D194">
        <v>6.4500000000000002E-2</v>
      </c>
      <c r="E194">
        <v>7.4200000000000002E-2</v>
      </c>
      <c r="F194">
        <v>11193245.560000001</v>
      </c>
      <c r="G194">
        <v>-13.22</v>
      </c>
    </row>
    <row r="195" spans="1:7" x14ac:dyDescent="0.25">
      <c r="A195" s="5">
        <v>44206</v>
      </c>
      <c r="B195">
        <v>8.8599999999999998E-2</v>
      </c>
      <c r="C195">
        <v>9.5399999999999999E-2</v>
      </c>
      <c r="D195">
        <v>7.5999999999999998E-2</v>
      </c>
      <c r="E195">
        <v>8.5500000000000007E-2</v>
      </c>
      <c r="F195">
        <v>14950802.57</v>
      </c>
      <c r="G195">
        <v>-3.5</v>
      </c>
    </row>
    <row r="196" spans="1:7" x14ac:dyDescent="0.25">
      <c r="A196" s="5">
        <v>44205</v>
      </c>
      <c r="B196">
        <v>8.1000000000000003E-2</v>
      </c>
      <c r="C196">
        <v>9.0300000000000005E-2</v>
      </c>
      <c r="D196">
        <v>7.9799999999999996E-2</v>
      </c>
      <c r="E196">
        <v>8.9099999999999999E-2</v>
      </c>
      <c r="F196">
        <v>9587155.0199999996</v>
      </c>
      <c r="G196">
        <v>10</v>
      </c>
    </row>
    <row r="197" spans="1:7" x14ac:dyDescent="0.25">
      <c r="A197" s="5">
        <v>44204</v>
      </c>
      <c r="B197">
        <v>8.48E-2</v>
      </c>
      <c r="C197">
        <v>8.5000000000000006E-2</v>
      </c>
      <c r="D197">
        <v>7.2999999999999995E-2</v>
      </c>
      <c r="E197">
        <v>8.0799999999999997E-2</v>
      </c>
      <c r="F197">
        <v>10397272.84</v>
      </c>
      <c r="G197">
        <v>-4.72</v>
      </c>
    </row>
    <row r="198" spans="1:7" x14ac:dyDescent="0.25">
      <c r="A198" s="5">
        <v>44203</v>
      </c>
      <c r="B198">
        <v>7.6499999999999999E-2</v>
      </c>
      <c r="C198">
        <v>9.6299999999999997E-2</v>
      </c>
      <c r="D198">
        <v>7.5600000000000001E-2</v>
      </c>
      <c r="E198">
        <v>8.4699999999999998E-2</v>
      </c>
      <c r="F198">
        <v>27022456.449999999</v>
      </c>
      <c r="G198">
        <v>10.72</v>
      </c>
    </row>
    <row r="199" spans="1:7" x14ac:dyDescent="0.25">
      <c r="A199" s="5">
        <v>44202</v>
      </c>
      <c r="B199">
        <v>7.1199999999999999E-2</v>
      </c>
      <c r="C199">
        <v>7.9699999999999993E-2</v>
      </c>
      <c r="D199">
        <v>6.9199999999999998E-2</v>
      </c>
      <c r="E199">
        <v>7.6499999999999999E-2</v>
      </c>
      <c r="F199">
        <v>11623188.08</v>
      </c>
      <c r="G199">
        <v>7.44</v>
      </c>
    </row>
    <row r="200" spans="1:7" x14ac:dyDescent="0.25">
      <c r="A200" s="5">
        <v>44201</v>
      </c>
      <c r="B200">
        <v>7.3200000000000001E-2</v>
      </c>
      <c r="C200">
        <v>7.4499999999999997E-2</v>
      </c>
      <c r="D200">
        <v>6.7100000000000007E-2</v>
      </c>
      <c r="E200">
        <v>7.1199999999999999E-2</v>
      </c>
      <c r="F200">
        <v>7467010.3300000001</v>
      </c>
      <c r="G200">
        <v>-2.73</v>
      </c>
    </row>
    <row r="201" spans="1:7" x14ac:dyDescent="0.25">
      <c r="A201" s="5">
        <v>44200</v>
      </c>
      <c r="B201">
        <v>6.6900000000000001E-2</v>
      </c>
      <c r="C201">
        <v>7.6100000000000001E-2</v>
      </c>
      <c r="D201">
        <v>6.3299999999999995E-2</v>
      </c>
      <c r="E201">
        <v>7.3099999999999998E-2</v>
      </c>
      <c r="F201">
        <v>16964320.219999999</v>
      </c>
      <c r="G201">
        <v>9.27</v>
      </c>
    </row>
    <row r="202" spans="1:7" x14ac:dyDescent="0.25">
      <c r="A202" s="5">
        <v>44199</v>
      </c>
      <c r="B202">
        <v>6.4100000000000004E-2</v>
      </c>
      <c r="C202">
        <v>6.9000000000000006E-2</v>
      </c>
      <c r="D202">
        <v>6.3299999999999995E-2</v>
      </c>
      <c r="E202">
        <v>6.6799999999999998E-2</v>
      </c>
      <c r="F202">
        <v>8555303.1099999994</v>
      </c>
      <c r="G202">
        <v>4.21</v>
      </c>
    </row>
    <row r="203" spans="1:7" x14ac:dyDescent="0.25">
      <c r="A203" s="5">
        <v>44198</v>
      </c>
      <c r="B203">
        <v>6.8699999999999997E-2</v>
      </c>
      <c r="C203">
        <v>6.9800000000000001E-2</v>
      </c>
      <c r="D203">
        <v>6.1199999999999997E-2</v>
      </c>
      <c r="E203">
        <v>6.4100000000000004E-2</v>
      </c>
      <c r="F203">
        <v>9807947.9399999995</v>
      </c>
      <c r="G203">
        <v>-6.7</v>
      </c>
    </row>
    <row r="204" spans="1:7" x14ac:dyDescent="0.25">
      <c r="A204" s="5">
        <v>44197</v>
      </c>
      <c r="B204">
        <v>6.1600000000000002E-2</v>
      </c>
      <c r="C204">
        <v>6.9800000000000001E-2</v>
      </c>
      <c r="D204">
        <v>6.13E-2</v>
      </c>
      <c r="E204">
        <v>6.8500000000000005E-2</v>
      </c>
      <c r="F204">
        <v>7270632.04</v>
      </c>
      <c r="G204">
        <v>11.2</v>
      </c>
    </row>
    <row r="205" spans="1:7" x14ac:dyDescent="0.25">
      <c r="A205" s="5">
        <v>44196</v>
      </c>
      <c r="B205">
        <v>6.3600000000000004E-2</v>
      </c>
      <c r="C205">
        <v>6.4399999999999999E-2</v>
      </c>
      <c r="D205">
        <v>6.0699999999999997E-2</v>
      </c>
      <c r="E205">
        <v>6.1600000000000002E-2</v>
      </c>
      <c r="F205">
        <v>3105468.92</v>
      </c>
      <c r="G205">
        <v>-3.14</v>
      </c>
    </row>
    <row r="206" spans="1:7" x14ac:dyDescent="0.25">
      <c r="A206" s="5">
        <v>44195</v>
      </c>
      <c r="B206">
        <v>6.5199999999999994E-2</v>
      </c>
      <c r="C206">
        <v>6.6900000000000001E-2</v>
      </c>
      <c r="D206">
        <v>5.9400000000000001E-2</v>
      </c>
      <c r="E206">
        <v>6.3399999999999998E-2</v>
      </c>
      <c r="F206">
        <v>7192845.5599999996</v>
      </c>
      <c r="G206">
        <v>-2.76</v>
      </c>
    </row>
    <row r="207" spans="1:7" x14ac:dyDescent="0.25">
      <c r="A207" s="5">
        <v>44194</v>
      </c>
      <c r="B207">
        <v>6.7900000000000002E-2</v>
      </c>
      <c r="C207">
        <v>6.8500000000000005E-2</v>
      </c>
      <c r="D207">
        <v>6.0199999999999997E-2</v>
      </c>
      <c r="E207">
        <v>6.5199999999999994E-2</v>
      </c>
      <c r="F207">
        <v>6405971.8399999999</v>
      </c>
      <c r="G207">
        <v>-3.98</v>
      </c>
    </row>
    <row r="208" spans="1:7" x14ac:dyDescent="0.25">
      <c r="A208" s="5">
        <v>44193</v>
      </c>
      <c r="B208">
        <v>6.7400000000000002E-2</v>
      </c>
      <c r="C208">
        <v>6.9900000000000004E-2</v>
      </c>
      <c r="D208">
        <v>6.6100000000000006E-2</v>
      </c>
      <c r="E208">
        <v>6.7500000000000004E-2</v>
      </c>
      <c r="F208">
        <v>3595002.1</v>
      </c>
      <c r="G208">
        <v>0.15</v>
      </c>
    </row>
    <row r="209" spans="1:7" x14ac:dyDescent="0.25">
      <c r="A209" s="5">
        <v>44192</v>
      </c>
      <c r="B209">
        <v>6.8400000000000002E-2</v>
      </c>
      <c r="C209">
        <v>7.0000000000000007E-2</v>
      </c>
      <c r="D209">
        <v>6.5000000000000002E-2</v>
      </c>
      <c r="E209">
        <v>6.7100000000000007E-2</v>
      </c>
      <c r="F209">
        <v>4747286.49</v>
      </c>
      <c r="G209">
        <v>-1.9</v>
      </c>
    </row>
    <row r="210" spans="1:7" x14ac:dyDescent="0.25">
      <c r="A210" s="5">
        <v>44191</v>
      </c>
      <c r="B210">
        <v>6.7299999999999999E-2</v>
      </c>
      <c r="C210">
        <v>7.0400000000000004E-2</v>
      </c>
      <c r="D210">
        <v>6.5600000000000006E-2</v>
      </c>
      <c r="E210">
        <v>6.7900000000000002E-2</v>
      </c>
      <c r="F210">
        <v>3347768.91</v>
      </c>
      <c r="G210">
        <v>0.89</v>
      </c>
    </row>
    <row r="211" spans="1:7" x14ac:dyDescent="0.25">
      <c r="A211" s="5">
        <v>44190</v>
      </c>
      <c r="B211">
        <v>6.8900000000000003E-2</v>
      </c>
      <c r="C211">
        <v>7.1800000000000003E-2</v>
      </c>
      <c r="D211">
        <v>6.4500000000000002E-2</v>
      </c>
      <c r="E211">
        <v>6.7799999999999999E-2</v>
      </c>
      <c r="F211">
        <v>3216678.8</v>
      </c>
      <c r="G211">
        <v>-1.6</v>
      </c>
    </row>
    <row r="212" spans="1:7" x14ac:dyDescent="0.25">
      <c r="A212" s="5">
        <v>44189</v>
      </c>
      <c r="B212">
        <v>6.3399999999999998E-2</v>
      </c>
      <c r="C212">
        <v>7.0199999999999999E-2</v>
      </c>
      <c r="D212">
        <v>6.1100000000000002E-2</v>
      </c>
      <c r="E212">
        <v>6.8900000000000003E-2</v>
      </c>
      <c r="F212">
        <v>4244483.79</v>
      </c>
      <c r="G212">
        <v>8.68</v>
      </c>
    </row>
    <row r="213" spans="1:7" x14ac:dyDescent="0.25">
      <c r="A213" s="5">
        <v>44188</v>
      </c>
      <c r="B213">
        <v>7.5499999999999998E-2</v>
      </c>
      <c r="C213">
        <v>7.5899999999999995E-2</v>
      </c>
      <c r="D213">
        <v>6.0900000000000003E-2</v>
      </c>
      <c r="E213">
        <v>6.3600000000000004E-2</v>
      </c>
      <c r="F213">
        <v>7455073.5199999996</v>
      </c>
      <c r="G213">
        <v>-15.76</v>
      </c>
    </row>
    <row r="214" spans="1:7" x14ac:dyDescent="0.25">
      <c r="A214" s="5">
        <v>44187</v>
      </c>
      <c r="B214">
        <v>7.3999999999999996E-2</v>
      </c>
      <c r="C214">
        <v>7.7700000000000005E-2</v>
      </c>
      <c r="D214">
        <v>7.0000000000000007E-2</v>
      </c>
      <c r="E214">
        <v>7.5399999999999995E-2</v>
      </c>
      <c r="F214">
        <v>5347516.5999999996</v>
      </c>
      <c r="G214">
        <v>1.89</v>
      </c>
    </row>
    <row r="215" spans="1:7" x14ac:dyDescent="0.25">
      <c r="A215" s="5">
        <v>44186</v>
      </c>
      <c r="B215">
        <v>7.8200000000000006E-2</v>
      </c>
      <c r="C215">
        <v>7.9200000000000007E-2</v>
      </c>
      <c r="D215">
        <v>7.3200000000000001E-2</v>
      </c>
      <c r="E215">
        <v>7.3800000000000004E-2</v>
      </c>
      <c r="F215">
        <v>3761189.13</v>
      </c>
      <c r="G215">
        <v>-5.63</v>
      </c>
    </row>
    <row r="216" spans="1:7" x14ac:dyDescent="0.25">
      <c r="A216" s="5">
        <v>44185</v>
      </c>
      <c r="B216">
        <v>7.9600000000000004E-2</v>
      </c>
      <c r="C216">
        <v>8.1699999999999995E-2</v>
      </c>
      <c r="D216">
        <v>7.6100000000000001E-2</v>
      </c>
      <c r="E216">
        <v>7.85E-2</v>
      </c>
      <c r="F216">
        <v>7393843.6299999999</v>
      </c>
      <c r="G216">
        <v>-1.38</v>
      </c>
    </row>
    <row r="217" spans="1:7" x14ac:dyDescent="0.25">
      <c r="A217" s="5">
        <v>44184</v>
      </c>
      <c r="B217">
        <v>8.09E-2</v>
      </c>
      <c r="C217">
        <v>8.43E-2</v>
      </c>
      <c r="D217">
        <v>7.7899999999999997E-2</v>
      </c>
      <c r="E217">
        <v>0.08</v>
      </c>
      <c r="F217">
        <v>8398747.1300000008</v>
      </c>
      <c r="G217">
        <v>-1.1100000000000001</v>
      </c>
    </row>
    <row r="218" spans="1:7" x14ac:dyDescent="0.25">
      <c r="A218" s="5">
        <v>44183</v>
      </c>
      <c r="B218">
        <v>8.3900000000000002E-2</v>
      </c>
      <c r="C218">
        <v>8.5999999999999993E-2</v>
      </c>
      <c r="D218">
        <v>7.7700000000000005E-2</v>
      </c>
      <c r="E218">
        <v>8.0600000000000005E-2</v>
      </c>
      <c r="F218">
        <v>8071585.8300000001</v>
      </c>
      <c r="G218">
        <v>-3.93</v>
      </c>
    </row>
    <row r="219" spans="1:7" x14ac:dyDescent="0.25">
      <c r="A219" s="5">
        <v>44182</v>
      </c>
      <c r="B219">
        <v>8.5500000000000007E-2</v>
      </c>
      <c r="C219">
        <v>8.7800000000000003E-2</v>
      </c>
      <c r="D219">
        <v>7.7399999999999997E-2</v>
      </c>
      <c r="E219">
        <v>8.4099999999999994E-2</v>
      </c>
      <c r="F219">
        <v>12971186.67</v>
      </c>
      <c r="G219">
        <v>-1.64</v>
      </c>
    </row>
    <row r="220" spans="1:7" x14ac:dyDescent="0.25">
      <c r="A220" s="5">
        <v>44181</v>
      </c>
      <c r="B220">
        <v>8.8400000000000006E-2</v>
      </c>
      <c r="C220">
        <v>9.2299999999999993E-2</v>
      </c>
      <c r="D220">
        <v>8.2600000000000007E-2</v>
      </c>
      <c r="E220">
        <v>8.5599999999999996E-2</v>
      </c>
      <c r="F220">
        <v>11174385.15</v>
      </c>
      <c r="G220">
        <v>-3.17</v>
      </c>
    </row>
    <row r="221" spans="1:7" x14ac:dyDescent="0.25">
      <c r="A221" s="5">
        <v>44180</v>
      </c>
      <c r="B221">
        <v>8.9700000000000002E-2</v>
      </c>
      <c r="C221">
        <v>9.7299999999999998E-2</v>
      </c>
      <c r="D221">
        <v>8.6999999999999994E-2</v>
      </c>
      <c r="E221">
        <v>8.8400000000000006E-2</v>
      </c>
      <c r="F221">
        <v>12024705.119999999</v>
      </c>
      <c r="G221">
        <v>-1.45</v>
      </c>
    </row>
    <row r="222" spans="1:7" x14ac:dyDescent="0.25">
      <c r="A222" s="5">
        <v>44179</v>
      </c>
      <c r="B222">
        <v>8.3299999999999999E-2</v>
      </c>
      <c r="C222">
        <v>9.8400000000000001E-2</v>
      </c>
      <c r="D222">
        <v>8.2000000000000003E-2</v>
      </c>
      <c r="E222">
        <v>8.9800000000000005E-2</v>
      </c>
      <c r="F222">
        <v>16544574.210000001</v>
      </c>
      <c r="G222">
        <v>7.8</v>
      </c>
    </row>
    <row r="223" spans="1:7" x14ac:dyDescent="0.25">
      <c r="A223" s="5">
        <v>44178</v>
      </c>
      <c r="B223">
        <v>8.1900000000000001E-2</v>
      </c>
      <c r="C223">
        <v>8.9300000000000004E-2</v>
      </c>
      <c r="D223">
        <v>7.9200000000000007E-2</v>
      </c>
      <c r="E223">
        <v>8.3599999999999994E-2</v>
      </c>
      <c r="F223">
        <v>13117476.550000001</v>
      </c>
      <c r="G223">
        <v>2.08</v>
      </c>
    </row>
    <row r="224" spans="1:7" x14ac:dyDescent="0.25">
      <c r="A224" s="5">
        <v>44177</v>
      </c>
      <c r="B224">
        <v>7.2300000000000003E-2</v>
      </c>
      <c r="C224">
        <v>8.9700000000000002E-2</v>
      </c>
      <c r="D224">
        <v>7.2300000000000003E-2</v>
      </c>
      <c r="E224">
        <v>8.1699999999999995E-2</v>
      </c>
      <c r="F224">
        <v>21027151.890000001</v>
      </c>
      <c r="G224">
        <v>13</v>
      </c>
    </row>
    <row r="225" spans="1:7" x14ac:dyDescent="0.25">
      <c r="A225" s="5">
        <v>44176</v>
      </c>
      <c r="B225">
        <v>7.5999999999999998E-2</v>
      </c>
      <c r="C225">
        <v>7.6100000000000001E-2</v>
      </c>
      <c r="D225">
        <v>7.0800000000000002E-2</v>
      </c>
      <c r="E225">
        <v>7.1999999999999995E-2</v>
      </c>
      <c r="F225">
        <v>4047111.66</v>
      </c>
      <c r="G225">
        <v>-5.26</v>
      </c>
    </row>
    <row r="226" spans="1:7" x14ac:dyDescent="0.25">
      <c r="A226" s="5">
        <v>44175</v>
      </c>
      <c r="B226">
        <v>7.8700000000000006E-2</v>
      </c>
      <c r="C226">
        <v>8.1000000000000003E-2</v>
      </c>
      <c r="D226">
        <v>7.4700000000000003E-2</v>
      </c>
      <c r="E226">
        <v>7.6200000000000004E-2</v>
      </c>
      <c r="F226">
        <v>2864436.56</v>
      </c>
      <c r="G226">
        <v>-3.18</v>
      </c>
    </row>
    <row r="227" spans="1:7" x14ac:dyDescent="0.25">
      <c r="A227" s="5">
        <v>44174</v>
      </c>
      <c r="B227">
        <v>7.8899999999999998E-2</v>
      </c>
      <c r="C227">
        <v>8.0500000000000002E-2</v>
      </c>
      <c r="D227">
        <v>7.3599999999999999E-2</v>
      </c>
      <c r="E227">
        <v>7.8700000000000006E-2</v>
      </c>
      <c r="F227">
        <v>4212034.88</v>
      </c>
      <c r="G227">
        <v>-0.25</v>
      </c>
    </row>
    <row r="228" spans="1:7" x14ac:dyDescent="0.25">
      <c r="A228" s="5">
        <v>44173</v>
      </c>
      <c r="B228">
        <v>8.3699999999999997E-2</v>
      </c>
      <c r="C228">
        <v>8.5999999999999993E-2</v>
      </c>
      <c r="D228">
        <v>7.8100000000000003E-2</v>
      </c>
      <c r="E228">
        <v>7.9000000000000001E-2</v>
      </c>
      <c r="F228">
        <v>6416012.0999999996</v>
      </c>
      <c r="G228">
        <v>-5.62</v>
      </c>
    </row>
    <row r="229" spans="1:7" x14ac:dyDescent="0.25">
      <c r="A229" s="5">
        <v>44172</v>
      </c>
      <c r="B229">
        <v>7.9000000000000001E-2</v>
      </c>
      <c r="C229">
        <v>8.5999999999999993E-2</v>
      </c>
      <c r="D229">
        <v>7.8299999999999995E-2</v>
      </c>
      <c r="E229">
        <v>8.3599999999999994E-2</v>
      </c>
      <c r="F229">
        <v>6228574.5599999996</v>
      </c>
      <c r="G229">
        <v>5.82</v>
      </c>
    </row>
    <row r="230" spans="1:7" x14ac:dyDescent="0.25">
      <c r="A230" s="5">
        <v>44171</v>
      </c>
      <c r="B230">
        <v>7.9600000000000004E-2</v>
      </c>
      <c r="C230">
        <v>8.1000000000000003E-2</v>
      </c>
      <c r="D230">
        <v>7.7899999999999997E-2</v>
      </c>
      <c r="E230">
        <v>7.9100000000000004E-2</v>
      </c>
      <c r="F230">
        <v>2104724.86</v>
      </c>
      <c r="G230">
        <v>-0.63</v>
      </c>
    </row>
    <row r="231" spans="1:7" x14ac:dyDescent="0.25">
      <c r="A231" s="5">
        <v>44170</v>
      </c>
      <c r="B231">
        <v>7.4399999999999994E-2</v>
      </c>
      <c r="C231">
        <v>8.1500000000000003E-2</v>
      </c>
      <c r="D231">
        <v>7.2999999999999995E-2</v>
      </c>
      <c r="E231">
        <v>7.9399999999999998E-2</v>
      </c>
      <c r="F231">
        <v>2433723.7799999998</v>
      </c>
      <c r="G231">
        <v>6.72</v>
      </c>
    </row>
    <row r="232" spans="1:7" x14ac:dyDescent="0.25">
      <c r="A232" s="5">
        <v>44169</v>
      </c>
      <c r="B232">
        <v>7.9500000000000001E-2</v>
      </c>
      <c r="C232">
        <v>8.3299999999999999E-2</v>
      </c>
      <c r="D232">
        <v>7.3099999999999998E-2</v>
      </c>
      <c r="E232">
        <v>7.4300000000000005E-2</v>
      </c>
      <c r="F232">
        <v>6218362.4199999999</v>
      </c>
      <c r="G232">
        <v>-6.54</v>
      </c>
    </row>
    <row r="233" spans="1:7" x14ac:dyDescent="0.25">
      <c r="A233" s="5">
        <v>44168</v>
      </c>
      <c r="B233">
        <v>7.6399999999999996E-2</v>
      </c>
      <c r="C233">
        <v>8.14E-2</v>
      </c>
      <c r="D233">
        <v>7.4099999999999999E-2</v>
      </c>
      <c r="E233">
        <v>7.9200000000000007E-2</v>
      </c>
      <c r="F233">
        <v>5177005.4000000004</v>
      </c>
      <c r="G233">
        <v>3.66</v>
      </c>
    </row>
    <row r="234" spans="1:7" x14ac:dyDescent="0.25">
      <c r="A234" s="5">
        <v>44167</v>
      </c>
      <c r="B234">
        <v>7.2599999999999998E-2</v>
      </c>
      <c r="C234">
        <v>7.7899999999999997E-2</v>
      </c>
      <c r="D234">
        <v>7.1099999999999997E-2</v>
      </c>
      <c r="E234">
        <v>7.6399999999999996E-2</v>
      </c>
      <c r="F234">
        <v>3707087.99</v>
      </c>
      <c r="G234">
        <v>5.23</v>
      </c>
    </row>
    <row r="235" spans="1:7" x14ac:dyDescent="0.25">
      <c r="A235" s="5">
        <v>44166</v>
      </c>
      <c r="B235">
        <v>7.6700000000000004E-2</v>
      </c>
      <c r="C235">
        <v>7.9899999999999999E-2</v>
      </c>
      <c r="D235">
        <v>7.0099999999999996E-2</v>
      </c>
      <c r="E235">
        <v>7.2900000000000006E-2</v>
      </c>
      <c r="F235">
        <v>5715296.54</v>
      </c>
      <c r="G235">
        <v>-4.95</v>
      </c>
    </row>
    <row r="236" spans="1:7" x14ac:dyDescent="0.25">
      <c r="A236" s="5">
        <v>44165</v>
      </c>
      <c r="B236">
        <v>7.4399999999999994E-2</v>
      </c>
      <c r="C236">
        <v>7.6899999999999996E-2</v>
      </c>
      <c r="D236">
        <v>7.1800000000000003E-2</v>
      </c>
      <c r="E236">
        <v>7.6399999999999996E-2</v>
      </c>
      <c r="F236">
        <v>5911674.8700000001</v>
      </c>
      <c r="G236">
        <v>2.69</v>
      </c>
    </row>
    <row r="237" spans="1:7" x14ac:dyDescent="0.25">
      <c r="A237" s="5">
        <v>44164</v>
      </c>
      <c r="B237">
        <v>7.5200000000000003E-2</v>
      </c>
      <c r="C237">
        <v>7.5800000000000006E-2</v>
      </c>
      <c r="D237">
        <v>7.2400000000000006E-2</v>
      </c>
      <c r="E237">
        <v>7.4099999999999999E-2</v>
      </c>
      <c r="F237">
        <v>2193082.37</v>
      </c>
      <c r="G237">
        <v>-1.46</v>
      </c>
    </row>
    <row r="238" spans="1:7" x14ac:dyDescent="0.25">
      <c r="A238" s="5">
        <v>44163</v>
      </c>
      <c r="B238">
        <v>7.2800000000000004E-2</v>
      </c>
      <c r="C238">
        <v>7.6899999999999996E-2</v>
      </c>
      <c r="D238">
        <v>7.0000000000000007E-2</v>
      </c>
      <c r="E238">
        <v>7.5200000000000003E-2</v>
      </c>
      <c r="F238">
        <v>4262695.78</v>
      </c>
      <c r="G238">
        <v>3.3</v>
      </c>
    </row>
    <row r="239" spans="1:7" x14ac:dyDescent="0.25">
      <c r="A239" s="5">
        <v>44162</v>
      </c>
      <c r="B239">
        <v>7.1900000000000006E-2</v>
      </c>
      <c r="C239">
        <v>7.3800000000000004E-2</v>
      </c>
      <c r="D239">
        <v>6.7699999999999996E-2</v>
      </c>
      <c r="E239">
        <v>7.2700000000000001E-2</v>
      </c>
      <c r="F239">
        <v>6064994.1100000003</v>
      </c>
      <c r="G239">
        <v>1.1100000000000001</v>
      </c>
    </row>
    <row r="240" spans="1:7" x14ac:dyDescent="0.25">
      <c r="A240" s="5">
        <v>44161</v>
      </c>
      <c r="B240">
        <v>8.2199999999999995E-2</v>
      </c>
      <c r="C240">
        <v>8.8800000000000004E-2</v>
      </c>
      <c r="D240">
        <v>6.5600000000000006E-2</v>
      </c>
      <c r="E240">
        <v>7.1800000000000003E-2</v>
      </c>
      <c r="F240">
        <v>19206131</v>
      </c>
      <c r="G240">
        <v>-12.65</v>
      </c>
    </row>
    <row r="241" spans="1:7" x14ac:dyDescent="0.25">
      <c r="A241" s="5">
        <v>44160</v>
      </c>
      <c r="B241">
        <v>8.7599999999999997E-2</v>
      </c>
      <c r="C241">
        <v>0.10009999999999999</v>
      </c>
      <c r="D241">
        <v>7.7200000000000005E-2</v>
      </c>
      <c r="E241">
        <v>8.2100000000000006E-2</v>
      </c>
      <c r="F241">
        <v>16667559.49</v>
      </c>
      <c r="G241">
        <v>-6.28</v>
      </c>
    </row>
    <row r="242" spans="1:7" x14ac:dyDescent="0.25">
      <c r="A242" s="5">
        <v>44159</v>
      </c>
      <c r="B242">
        <v>7.6600000000000001E-2</v>
      </c>
      <c r="C242">
        <v>9.0200000000000002E-2</v>
      </c>
      <c r="D242">
        <v>7.5600000000000001E-2</v>
      </c>
      <c r="E242">
        <v>8.7499999999999994E-2</v>
      </c>
      <c r="F242">
        <v>13529901.5</v>
      </c>
      <c r="G242">
        <v>14.23</v>
      </c>
    </row>
    <row r="243" spans="1:7" x14ac:dyDescent="0.25">
      <c r="A243" s="5">
        <v>44158</v>
      </c>
      <c r="B243">
        <v>6.93E-2</v>
      </c>
      <c r="C243">
        <v>7.7499999999999999E-2</v>
      </c>
      <c r="D243">
        <v>6.7299999999999999E-2</v>
      </c>
      <c r="E243">
        <v>7.6200000000000004E-2</v>
      </c>
      <c r="F243">
        <v>9925473.2599999998</v>
      </c>
      <c r="G243">
        <v>9.9600000000000009</v>
      </c>
    </row>
    <row r="244" spans="1:7" x14ac:dyDescent="0.25">
      <c r="A244" s="5">
        <v>44157</v>
      </c>
      <c r="B244">
        <v>7.2800000000000004E-2</v>
      </c>
      <c r="C244">
        <v>7.2900000000000006E-2</v>
      </c>
      <c r="D244">
        <v>6.5699999999999995E-2</v>
      </c>
      <c r="E244">
        <v>6.9000000000000006E-2</v>
      </c>
      <c r="F244">
        <v>6504008.2999999998</v>
      </c>
      <c r="G244">
        <v>-5.22</v>
      </c>
    </row>
    <row r="245" spans="1:7" x14ac:dyDescent="0.25">
      <c r="A245" s="5">
        <v>44156</v>
      </c>
      <c r="B245">
        <v>6.8400000000000002E-2</v>
      </c>
      <c r="C245">
        <v>7.3499999999999996E-2</v>
      </c>
      <c r="D245">
        <v>6.4299999999999996E-2</v>
      </c>
      <c r="E245">
        <v>7.2300000000000003E-2</v>
      </c>
      <c r="F245">
        <v>13094141.449999999</v>
      </c>
      <c r="G245">
        <v>5.7</v>
      </c>
    </row>
    <row r="246" spans="1:7" x14ac:dyDescent="0.25">
      <c r="A246" s="5">
        <v>44155</v>
      </c>
      <c r="B246">
        <v>6.7400000000000002E-2</v>
      </c>
      <c r="C246">
        <v>7.0199999999999999E-2</v>
      </c>
      <c r="D246">
        <v>6.7000000000000004E-2</v>
      </c>
      <c r="E246">
        <v>6.8000000000000005E-2</v>
      </c>
      <c r="F246">
        <v>2922468.18</v>
      </c>
      <c r="G246">
        <v>0.89</v>
      </c>
    </row>
    <row r="247" spans="1:7" x14ac:dyDescent="0.25">
      <c r="A247" s="5">
        <v>44154</v>
      </c>
      <c r="B247">
        <v>6.88E-2</v>
      </c>
      <c r="C247">
        <v>6.93E-2</v>
      </c>
      <c r="D247">
        <v>6.59E-2</v>
      </c>
      <c r="E247">
        <v>6.7299999999999999E-2</v>
      </c>
      <c r="F247">
        <v>1409063.41</v>
      </c>
      <c r="G247">
        <v>-2.1800000000000002</v>
      </c>
    </row>
    <row r="248" spans="1:7" x14ac:dyDescent="0.25">
      <c r="A248" s="5">
        <v>44153</v>
      </c>
      <c r="B248">
        <v>7.2999999999999995E-2</v>
      </c>
      <c r="C248">
        <v>7.3099999999999998E-2</v>
      </c>
      <c r="D248">
        <v>6.5000000000000002E-2</v>
      </c>
      <c r="E248">
        <v>6.93E-2</v>
      </c>
      <c r="F248">
        <v>2724772.79</v>
      </c>
      <c r="G248">
        <v>-5.07</v>
      </c>
    </row>
    <row r="249" spans="1:7" x14ac:dyDescent="0.25">
      <c r="A249" s="5">
        <v>44152</v>
      </c>
      <c r="B249">
        <v>6.9000000000000006E-2</v>
      </c>
      <c r="C249">
        <v>7.5899999999999995E-2</v>
      </c>
      <c r="D249">
        <v>6.7599999999999993E-2</v>
      </c>
      <c r="E249">
        <v>7.3200000000000001E-2</v>
      </c>
      <c r="F249">
        <v>4645846.17</v>
      </c>
      <c r="G249">
        <v>6.09</v>
      </c>
    </row>
    <row r="250" spans="1:7" x14ac:dyDescent="0.25">
      <c r="A250" s="5">
        <v>44151</v>
      </c>
      <c r="B250">
        <v>6.5500000000000003E-2</v>
      </c>
      <c r="C250">
        <v>6.9800000000000001E-2</v>
      </c>
      <c r="D250">
        <v>6.54E-2</v>
      </c>
      <c r="E250">
        <v>6.8900000000000003E-2</v>
      </c>
      <c r="F250">
        <v>2976058.81</v>
      </c>
      <c r="G250">
        <v>5.19</v>
      </c>
    </row>
    <row r="251" spans="1:7" x14ac:dyDescent="0.25">
      <c r="A251" s="5">
        <v>44150</v>
      </c>
      <c r="B251">
        <v>7.0000000000000007E-2</v>
      </c>
      <c r="C251">
        <v>7.0900000000000005E-2</v>
      </c>
      <c r="D251">
        <v>6.4100000000000004E-2</v>
      </c>
      <c r="E251">
        <v>6.6100000000000006E-2</v>
      </c>
      <c r="F251">
        <v>5585025.4699999997</v>
      </c>
      <c r="G251">
        <v>-5.57</v>
      </c>
    </row>
    <row r="252" spans="1:7" x14ac:dyDescent="0.25">
      <c r="A252" s="5">
        <v>44149</v>
      </c>
      <c r="B252">
        <v>7.0800000000000002E-2</v>
      </c>
      <c r="C252">
        <v>7.1599999999999997E-2</v>
      </c>
      <c r="D252">
        <v>6.7199999999999996E-2</v>
      </c>
      <c r="E252">
        <v>7.0000000000000007E-2</v>
      </c>
      <c r="F252">
        <v>2174345.75</v>
      </c>
      <c r="G252">
        <v>-1.1299999999999999</v>
      </c>
    </row>
    <row r="253" spans="1:7" x14ac:dyDescent="0.25">
      <c r="A253" s="5">
        <v>44148</v>
      </c>
      <c r="B253">
        <v>7.0400000000000004E-2</v>
      </c>
      <c r="C253">
        <v>7.3300000000000004E-2</v>
      </c>
      <c r="D253">
        <v>6.9500000000000006E-2</v>
      </c>
      <c r="E253">
        <v>7.0800000000000002E-2</v>
      </c>
      <c r="F253">
        <v>2072739.79</v>
      </c>
      <c r="G253">
        <v>0.56999999999999995</v>
      </c>
    </row>
    <row r="254" spans="1:7" x14ac:dyDescent="0.25">
      <c r="A254" s="5">
        <v>44147</v>
      </c>
      <c r="B254">
        <v>7.7200000000000005E-2</v>
      </c>
      <c r="C254">
        <v>7.7799999999999994E-2</v>
      </c>
      <c r="D254">
        <v>6.8099999999999994E-2</v>
      </c>
      <c r="E254">
        <v>7.0199999999999999E-2</v>
      </c>
      <c r="F254">
        <v>6726900.54</v>
      </c>
      <c r="G254">
        <v>-9.07</v>
      </c>
    </row>
    <row r="255" spans="1:7" x14ac:dyDescent="0.25">
      <c r="A255" s="5">
        <v>44146</v>
      </c>
      <c r="B255">
        <v>7.6399999999999996E-2</v>
      </c>
      <c r="C255">
        <v>8.3699999999999997E-2</v>
      </c>
      <c r="D255">
        <v>7.4999999999999997E-2</v>
      </c>
      <c r="E255">
        <v>7.7200000000000005E-2</v>
      </c>
      <c r="F255">
        <v>5573834.1399999997</v>
      </c>
      <c r="G255">
        <v>1.05</v>
      </c>
    </row>
    <row r="256" spans="1:7" x14ac:dyDescent="0.25">
      <c r="A256" s="5">
        <v>44145</v>
      </c>
      <c r="B256">
        <v>6.8400000000000002E-2</v>
      </c>
      <c r="C256">
        <v>7.7299999999999994E-2</v>
      </c>
      <c r="D256">
        <v>6.7199999999999996E-2</v>
      </c>
      <c r="E256">
        <v>7.6600000000000001E-2</v>
      </c>
      <c r="F256">
        <v>7246288.4400000004</v>
      </c>
      <c r="G256">
        <v>11.99</v>
      </c>
    </row>
    <row r="257" spans="1:7" x14ac:dyDescent="0.25">
      <c r="A257" s="5">
        <v>44144</v>
      </c>
      <c r="B257">
        <v>6.7000000000000004E-2</v>
      </c>
      <c r="C257">
        <v>6.9699999999999998E-2</v>
      </c>
      <c r="D257">
        <v>6.1899999999999997E-2</v>
      </c>
      <c r="E257">
        <v>6.8500000000000005E-2</v>
      </c>
      <c r="F257">
        <v>3821615.52</v>
      </c>
      <c r="G257">
        <v>2.2400000000000002</v>
      </c>
    </row>
    <row r="258" spans="1:7" x14ac:dyDescent="0.25">
      <c r="A258" s="5">
        <v>44143</v>
      </c>
      <c r="B258">
        <v>6.4000000000000001E-2</v>
      </c>
      <c r="C258">
        <v>6.7500000000000004E-2</v>
      </c>
      <c r="D258">
        <v>6.3299999999999995E-2</v>
      </c>
      <c r="E258">
        <v>6.7500000000000004E-2</v>
      </c>
      <c r="F258">
        <v>1773224.5</v>
      </c>
      <c r="G258">
        <v>5.47</v>
      </c>
    </row>
    <row r="259" spans="1:7" x14ac:dyDescent="0.25">
      <c r="A259" s="5">
        <v>44142</v>
      </c>
      <c r="B259">
        <v>7.1499999999999994E-2</v>
      </c>
      <c r="C259">
        <v>7.3400000000000007E-2</v>
      </c>
      <c r="D259">
        <v>6.0999999999999999E-2</v>
      </c>
      <c r="E259">
        <v>6.4199999999999993E-2</v>
      </c>
      <c r="F259">
        <v>4401594.82</v>
      </c>
      <c r="G259">
        <v>-10.210000000000001</v>
      </c>
    </row>
    <row r="260" spans="1:7" x14ac:dyDescent="0.25">
      <c r="A260" s="5">
        <v>44141</v>
      </c>
      <c r="B260">
        <v>6.2300000000000001E-2</v>
      </c>
      <c r="C260">
        <v>7.1999999999999995E-2</v>
      </c>
      <c r="D260">
        <v>6.2E-2</v>
      </c>
      <c r="E260">
        <v>7.1499999999999994E-2</v>
      </c>
      <c r="F260">
        <v>3586508.26</v>
      </c>
      <c r="G260">
        <v>14.77</v>
      </c>
    </row>
    <row r="261" spans="1:7" x14ac:dyDescent="0.25">
      <c r="A261" s="5">
        <v>44140</v>
      </c>
      <c r="B261">
        <v>6.0699999999999997E-2</v>
      </c>
      <c r="C261">
        <v>6.3E-2</v>
      </c>
      <c r="D261">
        <v>5.8900000000000001E-2</v>
      </c>
      <c r="E261">
        <v>6.2300000000000001E-2</v>
      </c>
      <c r="F261">
        <v>2214577.86</v>
      </c>
      <c r="G261">
        <v>2.64</v>
      </c>
    </row>
    <row r="262" spans="1:7" x14ac:dyDescent="0.25">
      <c r="A262" s="5">
        <v>44139</v>
      </c>
      <c r="B262">
        <v>5.8599999999999999E-2</v>
      </c>
      <c r="C262">
        <v>6.1499999999999999E-2</v>
      </c>
      <c r="D262">
        <v>5.67E-2</v>
      </c>
      <c r="E262">
        <v>6.0499999999999998E-2</v>
      </c>
      <c r="F262">
        <v>1283475.6000000001</v>
      </c>
      <c r="G262">
        <v>3.24</v>
      </c>
    </row>
    <row r="263" spans="1:7" x14ac:dyDescent="0.25">
      <c r="A263" s="5">
        <v>44138</v>
      </c>
      <c r="B263">
        <v>6.08E-2</v>
      </c>
      <c r="C263">
        <v>6.08E-2</v>
      </c>
      <c r="D263">
        <v>5.7099999999999998E-2</v>
      </c>
      <c r="E263">
        <v>5.8700000000000002E-2</v>
      </c>
      <c r="F263">
        <v>1524364.88</v>
      </c>
      <c r="G263">
        <v>-3.45</v>
      </c>
    </row>
    <row r="264" spans="1:7" x14ac:dyDescent="0.25">
      <c r="A264" s="5">
        <v>44137</v>
      </c>
      <c r="B264">
        <v>6.3600000000000004E-2</v>
      </c>
      <c r="C264">
        <v>6.5299999999999997E-2</v>
      </c>
      <c r="D264">
        <v>6.0100000000000001E-2</v>
      </c>
      <c r="E264">
        <v>6.0999999999999999E-2</v>
      </c>
      <c r="F264">
        <v>1720309.58</v>
      </c>
      <c r="G264">
        <v>-4.09</v>
      </c>
    </row>
    <row r="265" spans="1:7" x14ac:dyDescent="0.25">
      <c r="A265" s="5">
        <v>44136</v>
      </c>
      <c r="B265">
        <v>6.2399999999999997E-2</v>
      </c>
      <c r="C265">
        <v>6.4799999999999996E-2</v>
      </c>
      <c r="D265">
        <v>6.0699999999999997E-2</v>
      </c>
      <c r="E265">
        <v>6.3899999999999998E-2</v>
      </c>
      <c r="F265">
        <v>1019314.63</v>
      </c>
      <c r="G265">
        <v>2.4</v>
      </c>
    </row>
    <row r="266" spans="1:7" x14ac:dyDescent="0.25">
      <c r="A266" s="5">
        <v>44135</v>
      </c>
      <c r="B266">
        <v>5.9700000000000003E-2</v>
      </c>
      <c r="C266">
        <v>6.3899999999999998E-2</v>
      </c>
      <c r="D266">
        <v>5.9299999999999999E-2</v>
      </c>
      <c r="E266">
        <v>6.2600000000000003E-2</v>
      </c>
      <c r="F266">
        <v>1258636.17</v>
      </c>
      <c r="G266">
        <v>4.8600000000000003</v>
      </c>
    </row>
    <row r="267" spans="1:7" x14ac:dyDescent="0.25">
      <c r="A267" s="5">
        <v>44134</v>
      </c>
      <c r="B267">
        <v>6.2E-2</v>
      </c>
      <c r="C267">
        <v>6.6299999999999998E-2</v>
      </c>
      <c r="D267">
        <v>5.7700000000000001E-2</v>
      </c>
      <c r="E267">
        <v>5.9700000000000003E-2</v>
      </c>
      <c r="F267">
        <v>2567976.4700000002</v>
      </c>
      <c r="G267">
        <v>-3.71</v>
      </c>
    </row>
    <row r="268" spans="1:7" x14ac:dyDescent="0.25">
      <c r="A268" s="5">
        <v>44133</v>
      </c>
      <c r="B268">
        <v>6.1100000000000002E-2</v>
      </c>
      <c r="C268">
        <v>6.6699999999999995E-2</v>
      </c>
      <c r="D268">
        <v>6.1100000000000002E-2</v>
      </c>
      <c r="E268">
        <v>6.2E-2</v>
      </c>
      <c r="F268">
        <v>2231639.6800000002</v>
      </c>
      <c r="G268">
        <v>1.47</v>
      </c>
    </row>
    <row r="269" spans="1:7" x14ac:dyDescent="0.25">
      <c r="A269" s="5">
        <v>44132</v>
      </c>
      <c r="B269">
        <v>6.6600000000000006E-2</v>
      </c>
      <c r="C269">
        <v>6.7100000000000007E-2</v>
      </c>
      <c r="D269">
        <v>5.9900000000000002E-2</v>
      </c>
      <c r="E269">
        <v>6.1199999999999997E-2</v>
      </c>
      <c r="F269">
        <v>2548730.63</v>
      </c>
      <c r="G269">
        <v>-8.11</v>
      </c>
    </row>
    <row r="270" spans="1:7" x14ac:dyDescent="0.25">
      <c r="A270" s="5">
        <v>44131</v>
      </c>
      <c r="B270">
        <v>6.9699999999999998E-2</v>
      </c>
      <c r="C270">
        <v>7.0499999999999993E-2</v>
      </c>
      <c r="D270">
        <v>6.4899999999999999E-2</v>
      </c>
      <c r="E270">
        <v>6.6299999999999998E-2</v>
      </c>
      <c r="F270">
        <v>3467688.78</v>
      </c>
      <c r="G270">
        <v>-4.88</v>
      </c>
    </row>
    <row r="271" spans="1:7" x14ac:dyDescent="0.25">
      <c r="A271" s="5">
        <v>44130</v>
      </c>
      <c r="B271">
        <v>7.2300000000000003E-2</v>
      </c>
      <c r="C271">
        <v>7.5300000000000006E-2</v>
      </c>
      <c r="D271">
        <v>6.7699999999999996E-2</v>
      </c>
      <c r="E271">
        <v>6.9699999999999998E-2</v>
      </c>
      <c r="F271">
        <v>2977742.6</v>
      </c>
      <c r="G271">
        <v>-3.6</v>
      </c>
    </row>
    <row r="272" spans="1:7" x14ac:dyDescent="0.25">
      <c r="A272" s="5">
        <v>44129</v>
      </c>
      <c r="B272">
        <v>7.4800000000000005E-2</v>
      </c>
      <c r="C272">
        <v>7.5399999999999995E-2</v>
      </c>
      <c r="D272">
        <v>7.22E-2</v>
      </c>
      <c r="E272">
        <v>7.2300000000000003E-2</v>
      </c>
      <c r="F272">
        <v>2353006.4300000002</v>
      </c>
      <c r="G272">
        <v>-3.34</v>
      </c>
    </row>
    <row r="273" spans="1:7" x14ac:dyDescent="0.25">
      <c r="A273" s="5">
        <v>44128</v>
      </c>
      <c r="B273">
        <v>7.4800000000000005E-2</v>
      </c>
      <c r="C273">
        <v>7.5800000000000006E-2</v>
      </c>
      <c r="D273">
        <v>7.3999999999999996E-2</v>
      </c>
      <c r="E273">
        <v>7.4499999999999997E-2</v>
      </c>
      <c r="F273">
        <v>1391565.55</v>
      </c>
      <c r="G273">
        <v>-0.4</v>
      </c>
    </row>
    <row r="274" spans="1:7" x14ac:dyDescent="0.25">
      <c r="A274" s="5">
        <v>44127</v>
      </c>
      <c r="B274">
        <v>7.6399999999999996E-2</v>
      </c>
      <c r="C274">
        <v>7.9100000000000004E-2</v>
      </c>
      <c r="D274">
        <v>7.4099999999999999E-2</v>
      </c>
      <c r="E274">
        <v>7.51E-2</v>
      </c>
      <c r="F274">
        <v>2024426.97</v>
      </c>
      <c r="G274">
        <v>-1.7</v>
      </c>
    </row>
    <row r="275" spans="1:7" x14ac:dyDescent="0.25">
      <c r="A275" s="5">
        <v>44126</v>
      </c>
      <c r="B275">
        <v>7.2900000000000006E-2</v>
      </c>
      <c r="C275">
        <v>7.8799999999999995E-2</v>
      </c>
      <c r="D275">
        <v>7.2800000000000004E-2</v>
      </c>
      <c r="E275">
        <v>7.6600000000000001E-2</v>
      </c>
      <c r="F275">
        <v>3788800.98</v>
      </c>
      <c r="G275">
        <v>5.08</v>
      </c>
    </row>
    <row r="276" spans="1:7" x14ac:dyDescent="0.25">
      <c r="A276" s="5">
        <v>44125</v>
      </c>
      <c r="B276">
        <v>7.2400000000000006E-2</v>
      </c>
      <c r="C276">
        <v>7.5700000000000003E-2</v>
      </c>
      <c r="D276">
        <v>7.2300000000000003E-2</v>
      </c>
      <c r="E276">
        <v>7.2800000000000004E-2</v>
      </c>
      <c r="F276">
        <v>1313094.8400000001</v>
      </c>
      <c r="G276">
        <v>0.55000000000000004</v>
      </c>
    </row>
    <row r="277" spans="1:7" x14ac:dyDescent="0.25">
      <c r="A277" s="5">
        <v>44124</v>
      </c>
      <c r="B277">
        <v>7.7299999999999994E-2</v>
      </c>
      <c r="C277">
        <v>7.7399999999999997E-2</v>
      </c>
      <c r="D277">
        <v>7.0999999999999994E-2</v>
      </c>
      <c r="E277">
        <v>7.1999999999999995E-2</v>
      </c>
      <c r="F277">
        <v>2078006.55</v>
      </c>
      <c r="G277">
        <v>-6.86</v>
      </c>
    </row>
    <row r="278" spans="1:7" x14ac:dyDescent="0.25">
      <c r="A278" s="5">
        <v>44123</v>
      </c>
      <c r="B278">
        <v>7.85E-2</v>
      </c>
      <c r="C278">
        <v>8.0199999999999994E-2</v>
      </c>
      <c r="D278">
        <v>7.6100000000000001E-2</v>
      </c>
      <c r="E278">
        <v>7.7399999999999997E-2</v>
      </c>
      <c r="F278">
        <v>1371262.22</v>
      </c>
      <c r="G278">
        <v>-1.4</v>
      </c>
    </row>
    <row r="279" spans="1:7" x14ac:dyDescent="0.25">
      <c r="A279" s="5">
        <v>44122</v>
      </c>
      <c r="B279">
        <v>7.9200000000000007E-2</v>
      </c>
      <c r="C279">
        <v>8.0699999999999994E-2</v>
      </c>
      <c r="D279">
        <v>7.7600000000000002E-2</v>
      </c>
      <c r="E279">
        <v>7.8600000000000003E-2</v>
      </c>
      <c r="F279">
        <v>1207542.45</v>
      </c>
      <c r="G279">
        <v>-0.76</v>
      </c>
    </row>
    <row r="280" spans="1:7" x14ac:dyDescent="0.25">
      <c r="A280" s="5">
        <v>44121</v>
      </c>
      <c r="B280">
        <v>7.7899999999999997E-2</v>
      </c>
      <c r="C280">
        <v>8.0799999999999997E-2</v>
      </c>
      <c r="D280">
        <v>7.6600000000000001E-2</v>
      </c>
      <c r="E280">
        <v>7.9100000000000004E-2</v>
      </c>
      <c r="F280">
        <v>885918.84</v>
      </c>
      <c r="G280">
        <v>1.54</v>
      </c>
    </row>
    <row r="281" spans="1:7" x14ac:dyDescent="0.25">
      <c r="A281" s="5">
        <v>44120</v>
      </c>
      <c r="B281">
        <v>8.0399999999999999E-2</v>
      </c>
      <c r="C281">
        <v>8.1900000000000001E-2</v>
      </c>
      <c r="D281">
        <v>7.5800000000000006E-2</v>
      </c>
      <c r="E281">
        <v>7.8399999999999997E-2</v>
      </c>
      <c r="F281">
        <v>1802269.39</v>
      </c>
      <c r="G281">
        <v>-2.4900000000000002</v>
      </c>
    </row>
    <row r="282" spans="1:7" x14ac:dyDescent="0.25">
      <c r="A282" s="5">
        <v>44119</v>
      </c>
      <c r="B282">
        <v>8.1600000000000006E-2</v>
      </c>
      <c r="C282">
        <v>8.1699999999999995E-2</v>
      </c>
      <c r="D282">
        <v>7.6499999999999999E-2</v>
      </c>
      <c r="E282">
        <v>8.0399999999999999E-2</v>
      </c>
      <c r="F282">
        <v>3132881.12</v>
      </c>
      <c r="G282">
        <v>-1.47</v>
      </c>
    </row>
    <row r="283" spans="1:7" x14ac:dyDescent="0.25">
      <c r="A283" s="5">
        <v>44118</v>
      </c>
      <c r="B283">
        <v>8.5400000000000004E-2</v>
      </c>
      <c r="C283">
        <v>8.8800000000000004E-2</v>
      </c>
      <c r="D283">
        <v>8.0199999999999994E-2</v>
      </c>
      <c r="E283">
        <v>8.14E-2</v>
      </c>
      <c r="F283">
        <v>2706137.92</v>
      </c>
      <c r="G283">
        <v>-4.68</v>
      </c>
    </row>
    <row r="284" spans="1:7" x14ac:dyDescent="0.25">
      <c r="A284" s="5">
        <v>44117</v>
      </c>
      <c r="B284">
        <v>8.2799999999999999E-2</v>
      </c>
      <c r="C284">
        <v>8.9800000000000005E-2</v>
      </c>
      <c r="D284">
        <v>8.1900000000000001E-2</v>
      </c>
      <c r="E284">
        <v>8.5999999999999993E-2</v>
      </c>
      <c r="F284">
        <v>5299719.3099999996</v>
      </c>
      <c r="G284">
        <v>3.86</v>
      </c>
    </row>
    <row r="285" spans="1:7" x14ac:dyDescent="0.25">
      <c r="A285" s="5">
        <v>44116</v>
      </c>
      <c r="B285">
        <v>7.9899999999999999E-2</v>
      </c>
      <c r="C285">
        <v>8.8099999999999998E-2</v>
      </c>
      <c r="D285">
        <v>7.9000000000000001E-2</v>
      </c>
      <c r="E285">
        <v>8.3199999999999996E-2</v>
      </c>
      <c r="F285">
        <v>3390278.86</v>
      </c>
      <c r="G285">
        <v>4.13</v>
      </c>
    </row>
    <row r="286" spans="1:7" x14ac:dyDescent="0.25">
      <c r="A286" s="5">
        <v>44115</v>
      </c>
      <c r="B286">
        <v>7.7200000000000005E-2</v>
      </c>
      <c r="C286">
        <v>8.0699999999999994E-2</v>
      </c>
      <c r="D286">
        <v>7.6899999999999996E-2</v>
      </c>
      <c r="E286">
        <v>7.9899999999999999E-2</v>
      </c>
      <c r="F286">
        <v>1771609.09</v>
      </c>
      <c r="G286">
        <v>3.5</v>
      </c>
    </row>
    <row r="287" spans="1:7" x14ac:dyDescent="0.25">
      <c r="A287" s="5">
        <v>44114</v>
      </c>
      <c r="B287">
        <v>8.0399999999999999E-2</v>
      </c>
      <c r="C287">
        <v>8.2799999999999999E-2</v>
      </c>
      <c r="D287">
        <v>7.6799999999999993E-2</v>
      </c>
      <c r="E287">
        <v>7.7600000000000002E-2</v>
      </c>
      <c r="F287">
        <v>2133031.88</v>
      </c>
      <c r="G287">
        <v>-3.48</v>
      </c>
    </row>
    <row r="288" spans="1:7" x14ac:dyDescent="0.25">
      <c r="A288" s="5">
        <v>44113</v>
      </c>
      <c r="B288">
        <v>7.6899999999999996E-2</v>
      </c>
      <c r="C288">
        <v>8.0799999999999997E-2</v>
      </c>
      <c r="D288">
        <v>7.4999999999999997E-2</v>
      </c>
      <c r="E288">
        <v>8.0100000000000005E-2</v>
      </c>
      <c r="F288">
        <v>2274375.1800000002</v>
      </c>
      <c r="G288">
        <v>4.16</v>
      </c>
    </row>
    <row r="289" spans="1:7" x14ac:dyDescent="0.25">
      <c r="A289" s="5">
        <v>44112</v>
      </c>
      <c r="B289">
        <v>7.3700000000000002E-2</v>
      </c>
      <c r="C289">
        <v>7.6799999999999993E-2</v>
      </c>
      <c r="D289">
        <v>6.9000000000000006E-2</v>
      </c>
      <c r="E289">
        <v>7.6799999999999993E-2</v>
      </c>
      <c r="F289">
        <v>3049870.2</v>
      </c>
      <c r="G289">
        <v>4.21</v>
      </c>
    </row>
    <row r="290" spans="1:7" x14ac:dyDescent="0.25">
      <c r="A290" s="5">
        <v>44111</v>
      </c>
      <c r="B290">
        <v>7.3800000000000004E-2</v>
      </c>
      <c r="C290">
        <v>7.8E-2</v>
      </c>
      <c r="D290">
        <v>7.0000000000000007E-2</v>
      </c>
      <c r="E290">
        <v>7.3800000000000004E-2</v>
      </c>
      <c r="F290">
        <v>3406066.77</v>
      </c>
      <c r="G290">
        <v>0</v>
      </c>
    </row>
    <row r="291" spans="1:7" x14ac:dyDescent="0.25">
      <c r="A291" s="5">
        <v>44110</v>
      </c>
      <c r="B291">
        <v>7.9799999999999996E-2</v>
      </c>
      <c r="C291">
        <v>8.0299999999999996E-2</v>
      </c>
      <c r="D291">
        <v>7.3599999999999999E-2</v>
      </c>
      <c r="E291">
        <v>7.3899999999999993E-2</v>
      </c>
      <c r="F291">
        <v>2325314.92</v>
      </c>
      <c r="G291">
        <v>-7.39</v>
      </c>
    </row>
    <row r="292" spans="1:7" x14ac:dyDescent="0.25">
      <c r="A292" s="5">
        <v>44109</v>
      </c>
      <c r="B292">
        <v>7.9200000000000007E-2</v>
      </c>
      <c r="C292">
        <v>8.0500000000000002E-2</v>
      </c>
      <c r="D292">
        <v>7.6799999999999993E-2</v>
      </c>
      <c r="E292">
        <v>0.08</v>
      </c>
      <c r="F292">
        <v>2032869.64</v>
      </c>
      <c r="G292">
        <v>1.01</v>
      </c>
    </row>
    <row r="293" spans="1:7" x14ac:dyDescent="0.25">
      <c r="A293" s="5">
        <v>44108</v>
      </c>
      <c r="B293">
        <v>7.8899999999999998E-2</v>
      </c>
      <c r="C293">
        <v>8.09E-2</v>
      </c>
      <c r="D293">
        <v>7.7700000000000005E-2</v>
      </c>
      <c r="E293">
        <v>7.9299999999999995E-2</v>
      </c>
      <c r="F293">
        <v>1568408.55</v>
      </c>
      <c r="G293">
        <v>0.51</v>
      </c>
    </row>
    <row r="294" spans="1:7" x14ac:dyDescent="0.25">
      <c r="A294" s="5">
        <v>44107</v>
      </c>
      <c r="B294">
        <v>7.9200000000000007E-2</v>
      </c>
      <c r="C294">
        <v>8.0199999999999994E-2</v>
      </c>
      <c r="D294">
        <v>7.8200000000000006E-2</v>
      </c>
      <c r="E294">
        <v>7.8700000000000006E-2</v>
      </c>
      <c r="F294">
        <v>1206560.03</v>
      </c>
      <c r="G294">
        <v>-0.63</v>
      </c>
    </row>
    <row r="295" spans="1:7" x14ac:dyDescent="0.25">
      <c r="A295" s="5">
        <v>44106</v>
      </c>
      <c r="B295">
        <v>8.1900000000000001E-2</v>
      </c>
      <c r="C295">
        <v>8.3199999999999996E-2</v>
      </c>
      <c r="D295">
        <v>7.6600000000000001E-2</v>
      </c>
      <c r="E295">
        <v>7.9100000000000004E-2</v>
      </c>
      <c r="F295">
        <v>2626585.37</v>
      </c>
      <c r="G295">
        <v>-3.42</v>
      </c>
    </row>
    <row r="296" spans="1:7" x14ac:dyDescent="0.25">
      <c r="A296" s="5">
        <v>44105</v>
      </c>
      <c r="B296">
        <v>8.3799999999999999E-2</v>
      </c>
      <c r="C296">
        <v>8.8999999999999996E-2</v>
      </c>
      <c r="D296">
        <v>7.9000000000000001E-2</v>
      </c>
      <c r="E296">
        <v>8.1900000000000001E-2</v>
      </c>
      <c r="F296">
        <v>3445957.22</v>
      </c>
      <c r="G296">
        <v>-2.27</v>
      </c>
    </row>
    <row r="297" spans="1:7" x14ac:dyDescent="0.25">
      <c r="A297" s="5">
        <v>44104</v>
      </c>
      <c r="B297">
        <v>8.6499999999999994E-2</v>
      </c>
      <c r="C297">
        <v>8.6699999999999999E-2</v>
      </c>
      <c r="D297">
        <v>8.3000000000000004E-2</v>
      </c>
      <c r="E297">
        <v>8.3599999999999994E-2</v>
      </c>
      <c r="F297">
        <v>2724847.12</v>
      </c>
      <c r="G297">
        <v>-3.35</v>
      </c>
    </row>
    <row r="298" spans="1:7" x14ac:dyDescent="0.25">
      <c r="A298" s="5">
        <v>44103</v>
      </c>
      <c r="B298">
        <v>8.6599999999999996E-2</v>
      </c>
      <c r="C298">
        <v>8.9300000000000004E-2</v>
      </c>
      <c r="D298">
        <v>8.48E-2</v>
      </c>
      <c r="E298">
        <v>8.6300000000000002E-2</v>
      </c>
      <c r="F298">
        <v>4146894.68</v>
      </c>
      <c r="G298">
        <v>-0.35</v>
      </c>
    </row>
    <row r="299" spans="1:7" x14ac:dyDescent="0.25">
      <c r="A299" s="5">
        <v>44102</v>
      </c>
      <c r="B299">
        <v>9.8000000000000004E-2</v>
      </c>
      <c r="C299">
        <v>0.10009999999999999</v>
      </c>
      <c r="D299">
        <v>8.6599999999999996E-2</v>
      </c>
      <c r="E299">
        <v>8.6599999999999996E-2</v>
      </c>
      <c r="F299">
        <v>8755138.7300000004</v>
      </c>
      <c r="G299">
        <v>-11.63</v>
      </c>
    </row>
    <row r="300" spans="1:7" x14ac:dyDescent="0.25">
      <c r="A300" s="5">
        <v>44101</v>
      </c>
      <c r="B300">
        <v>8.2500000000000004E-2</v>
      </c>
      <c r="C300">
        <v>0.1045</v>
      </c>
      <c r="D300">
        <v>7.8200000000000006E-2</v>
      </c>
      <c r="E300">
        <v>9.8000000000000004E-2</v>
      </c>
      <c r="F300">
        <v>21044756.93</v>
      </c>
      <c r="G300">
        <v>18.79</v>
      </c>
    </row>
    <row r="301" spans="1:7" x14ac:dyDescent="0.25">
      <c r="A301" s="5">
        <v>44100</v>
      </c>
      <c r="B301">
        <v>8.0699999999999994E-2</v>
      </c>
      <c r="C301">
        <v>8.4400000000000003E-2</v>
      </c>
      <c r="D301">
        <v>7.8799999999999995E-2</v>
      </c>
      <c r="E301">
        <v>8.2299999999999998E-2</v>
      </c>
      <c r="F301">
        <v>3088829.67</v>
      </c>
      <c r="G301">
        <v>1.98</v>
      </c>
    </row>
    <row r="302" spans="1:7" x14ac:dyDescent="0.25">
      <c r="A302" s="5">
        <v>44099</v>
      </c>
      <c r="B302">
        <v>7.9399999999999998E-2</v>
      </c>
      <c r="C302">
        <v>8.1799999999999998E-2</v>
      </c>
      <c r="D302">
        <v>7.6200000000000004E-2</v>
      </c>
      <c r="E302">
        <v>8.0699999999999994E-2</v>
      </c>
      <c r="F302">
        <v>3458069</v>
      </c>
      <c r="G302">
        <v>1.64</v>
      </c>
    </row>
    <row r="303" spans="1:7" x14ac:dyDescent="0.25">
      <c r="A303" s="5">
        <v>44098</v>
      </c>
      <c r="B303">
        <v>7.4700000000000003E-2</v>
      </c>
      <c r="C303">
        <v>7.9699999999999993E-2</v>
      </c>
      <c r="D303">
        <v>7.4099999999999999E-2</v>
      </c>
      <c r="E303">
        <v>7.9100000000000004E-2</v>
      </c>
      <c r="F303">
        <v>3613701.76</v>
      </c>
      <c r="G303">
        <v>5.89</v>
      </c>
    </row>
    <row r="304" spans="1:7" x14ac:dyDescent="0.25">
      <c r="A304" s="5">
        <v>44097</v>
      </c>
      <c r="B304">
        <v>8.3500000000000005E-2</v>
      </c>
      <c r="C304">
        <v>8.4000000000000005E-2</v>
      </c>
      <c r="D304">
        <v>7.4499999999999997E-2</v>
      </c>
      <c r="E304">
        <v>7.46E-2</v>
      </c>
      <c r="F304">
        <v>2211855.33</v>
      </c>
      <c r="G304">
        <v>-10.66</v>
      </c>
    </row>
    <row r="305" spans="1:7" x14ac:dyDescent="0.25">
      <c r="A305" s="5">
        <v>44096</v>
      </c>
      <c r="B305">
        <v>8.1699999999999995E-2</v>
      </c>
      <c r="C305">
        <v>8.5099999999999995E-2</v>
      </c>
      <c r="D305">
        <v>7.9299999999999995E-2</v>
      </c>
      <c r="E305">
        <v>8.3699999999999997E-2</v>
      </c>
      <c r="F305">
        <v>1971524.65</v>
      </c>
      <c r="G305">
        <v>2.4500000000000002</v>
      </c>
    </row>
    <row r="306" spans="1:7" x14ac:dyDescent="0.25">
      <c r="A306" s="5">
        <v>44095</v>
      </c>
      <c r="B306">
        <v>9.0999999999999998E-2</v>
      </c>
      <c r="C306">
        <v>9.2499999999999999E-2</v>
      </c>
      <c r="D306">
        <v>7.6899999999999996E-2</v>
      </c>
      <c r="E306">
        <v>8.1699999999999995E-2</v>
      </c>
      <c r="F306">
        <v>4136125.27</v>
      </c>
      <c r="G306">
        <v>-10.220000000000001</v>
      </c>
    </row>
    <row r="307" spans="1:7" x14ac:dyDescent="0.25">
      <c r="A307" s="5">
        <v>44094</v>
      </c>
      <c r="B307">
        <v>9.1600000000000001E-2</v>
      </c>
      <c r="C307">
        <v>9.3899999999999997E-2</v>
      </c>
      <c r="D307">
        <v>8.8800000000000004E-2</v>
      </c>
      <c r="E307">
        <v>9.1200000000000003E-2</v>
      </c>
      <c r="F307">
        <v>1697394.11</v>
      </c>
      <c r="G307">
        <v>-0.44</v>
      </c>
    </row>
    <row r="308" spans="1:7" x14ac:dyDescent="0.25">
      <c r="A308" s="5">
        <v>44093</v>
      </c>
      <c r="B308">
        <v>9.0899999999999995E-2</v>
      </c>
      <c r="C308">
        <v>9.2999999999999999E-2</v>
      </c>
      <c r="D308">
        <v>9.0200000000000002E-2</v>
      </c>
      <c r="E308">
        <v>9.1700000000000004E-2</v>
      </c>
      <c r="F308">
        <v>1549272.93</v>
      </c>
      <c r="G308">
        <v>0.88</v>
      </c>
    </row>
    <row r="309" spans="1:7" x14ac:dyDescent="0.25">
      <c r="A309" s="5">
        <v>44092</v>
      </c>
      <c r="B309">
        <v>9.8699999999999996E-2</v>
      </c>
      <c r="C309">
        <v>9.9599999999999994E-2</v>
      </c>
      <c r="D309">
        <v>8.8700000000000001E-2</v>
      </c>
      <c r="E309">
        <v>9.0899999999999995E-2</v>
      </c>
      <c r="F309">
        <v>3267203.57</v>
      </c>
      <c r="G309">
        <v>-7.9</v>
      </c>
    </row>
    <row r="310" spans="1:7" x14ac:dyDescent="0.25">
      <c r="A310" s="5">
        <v>44091</v>
      </c>
      <c r="B310">
        <v>9.8199999999999996E-2</v>
      </c>
      <c r="C310">
        <v>0.1</v>
      </c>
      <c r="D310">
        <v>9.5000000000000001E-2</v>
      </c>
      <c r="E310">
        <v>9.8500000000000004E-2</v>
      </c>
      <c r="F310">
        <v>2130441.2000000002</v>
      </c>
      <c r="G310">
        <v>0.31</v>
      </c>
    </row>
    <row r="311" spans="1:7" x14ac:dyDescent="0.25">
      <c r="A311" s="5">
        <v>44090</v>
      </c>
      <c r="B311">
        <v>9.7699999999999995E-2</v>
      </c>
      <c r="C311">
        <v>9.9500000000000005E-2</v>
      </c>
      <c r="D311">
        <v>9.2700000000000005E-2</v>
      </c>
      <c r="E311">
        <v>9.8199999999999996E-2</v>
      </c>
      <c r="F311">
        <v>2654466.7599999998</v>
      </c>
      <c r="G311">
        <v>0.51</v>
      </c>
    </row>
    <row r="312" spans="1:7" x14ac:dyDescent="0.25">
      <c r="A312" s="5">
        <v>44089</v>
      </c>
      <c r="B312">
        <v>0.104</v>
      </c>
      <c r="C312">
        <v>0.1183</v>
      </c>
      <c r="D312">
        <v>9.7199999999999995E-2</v>
      </c>
      <c r="E312">
        <v>9.7500000000000003E-2</v>
      </c>
      <c r="F312">
        <v>8053999.8300000001</v>
      </c>
      <c r="G312">
        <v>-6.25</v>
      </c>
    </row>
    <row r="313" spans="1:7" x14ac:dyDescent="0.25">
      <c r="A313" s="5">
        <v>44088</v>
      </c>
      <c r="B313">
        <v>0.10340000000000001</v>
      </c>
      <c r="C313">
        <v>0.108</v>
      </c>
      <c r="D313">
        <v>0.10100000000000001</v>
      </c>
      <c r="E313">
        <v>0.1038</v>
      </c>
      <c r="F313">
        <v>1977421.52</v>
      </c>
      <c r="G313">
        <v>0.39</v>
      </c>
    </row>
    <row r="314" spans="1:7" x14ac:dyDescent="0.25">
      <c r="A314" s="5">
        <v>44087</v>
      </c>
      <c r="B314">
        <v>0.1095</v>
      </c>
      <c r="C314">
        <v>0.114</v>
      </c>
      <c r="D314">
        <v>9.8000000000000004E-2</v>
      </c>
      <c r="E314">
        <v>0.10340000000000001</v>
      </c>
      <c r="F314">
        <v>4266404.51</v>
      </c>
      <c r="G314">
        <v>-5.57</v>
      </c>
    </row>
    <row r="315" spans="1:7" x14ac:dyDescent="0.25">
      <c r="A315" s="5">
        <v>44086</v>
      </c>
      <c r="B315">
        <v>0.11169999999999999</v>
      </c>
      <c r="C315">
        <v>0.1157</v>
      </c>
      <c r="D315">
        <v>0.1084</v>
      </c>
      <c r="E315">
        <v>0.1095</v>
      </c>
      <c r="F315">
        <v>3355103.13</v>
      </c>
      <c r="G315">
        <v>-1.97</v>
      </c>
    </row>
    <row r="316" spans="1:7" x14ac:dyDescent="0.25">
      <c r="A316" s="5">
        <v>44085</v>
      </c>
      <c r="B316">
        <v>0.11070000000000001</v>
      </c>
      <c r="C316">
        <v>0.1159</v>
      </c>
      <c r="D316">
        <v>0.10249999999999999</v>
      </c>
      <c r="E316">
        <v>0.11210000000000001</v>
      </c>
      <c r="F316">
        <v>6447056.0700000003</v>
      </c>
      <c r="G316">
        <v>1.26</v>
      </c>
    </row>
    <row r="317" spans="1:7" x14ac:dyDescent="0.25">
      <c r="A317" s="5">
        <v>44084</v>
      </c>
      <c r="B317">
        <v>9.5899999999999999E-2</v>
      </c>
      <c r="C317">
        <v>0.1139</v>
      </c>
      <c r="D317">
        <v>9.5899999999999999E-2</v>
      </c>
      <c r="E317">
        <v>0.1099</v>
      </c>
      <c r="F317">
        <v>9100477.1500000004</v>
      </c>
      <c r="G317">
        <v>14.6</v>
      </c>
    </row>
    <row r="318" spans="1:7" x14ac:dyDescent="0.25">
      <c r="A318" s="5">
        <v>44083</v>
      </c>
      <c r="B318">
        <v>9.1700000000000004E-2</v>
      </c>
      <c r="C318">
        <v>0.1</v>
      </c>
      <c r="D318">
        <v>9.0399999999999994E-2</v>
      </c>
      <c r="E318">
        <v>9.5699999999999993E-2</v>
      </c>
      <c r="F318">
        <v>3134284.65</v>
      </c>
      <c r="G318">
        <v>4.3600000000000003</v>
      </c>
    </row>
    <row r="319" spans="1:7" x14ac:dyDescent="0.25">
      <c r="A319" s="5">
        <v>44082</v>
      </c>
      <c r="B319">
        <v>9.4E-2</v>
      </c>
      <c r="C319">
        <v>9.5500000000000002E-2</v>
      </c>
      <c r="D319">
        <v>8.9300000000000004E-2</v>
      </c>
      <c r="E319">
        <v>9.1899999999999996E-2</v>
      </c>
      <c r="F319">
        <v>2083747.58</v>
      </c>
      <c r="G319">
        <v>-2.23</v>
      </c>
    </row>
    <row r="320" spans="1:7" x14ac:dyDescent="0.25">
      <c r="A320" s="5">
        <v>44081</v>
      </c>
      <c r="B320">
        <v>9.5600000000000004E-2</v>
      </c>
      <c r="C320">
        <v>9.6699999999999994E-2</v>
      </c>
      <c r="D320">
        <v>8.7099999999999997E-2</v>
      </c>
      <c r="E320">
        <v>9.3700000000000006E-2</v>
      </c>
      <c r="F320">
        <v>3136219.17</v>
      </c>
      <c r="G320">
        <v>-1.99</v>
      </c>
    </row>
    <row r="321" spans="1:7" x14ac:dyDescent="0.25">
      <c r="A321" s="5">
        <v>44080</v>
      </c>
      <c r="B321">
        <v>9.0499999999999997E-2</v>
      </c>
      <c r="C321">
        <v>9.74E-2</v>
      </c>
      <c r="D321">
        <v>8.6300000000000002E-2</v>
      </c>
      <c r="E321">
        <v>9.5399999999999999E-2</v>
      </c>
      <c r="F321">
        <v>3258280.48</v>
      </c>
      <c r="G321">
        <v>5.41</v>
      </c>
    </row>
    <row r="322" spans="1:7" x14ac:dyDescent="0.25">
      <c r="A322" s="5">
        <v>44079</v>
      </c>
      <c r="B322">
        <v>0.1028</v>
      </c>
      <c r="C322">
        <v>0.1055</v>
      </c>
      <c r="D322">
        <v>8.7499999999999994E-2</v>
      </c>
      <c r="E322">
        <v>9.0800000000000006E-2</v>
      </c>
      <c r="F322">
        <v>5981017.1900000004</v>
      </c>
      <c r="G322">
        <v>-11.67</v>
      </c>
    </row>
    <row r="323" spans="1:7" x14ac:dyDescent="0.25">
      <c r="A323" s="5">
        <v>44078</v>
      </c>
      <c r="B323">
        <v>9.8299999999999998E-2</v>
      </c>
      <c r="C323">
        <v>0.10730000000000001</v>
      </c>
      <c r="D323">
        <v>9.6799999999999997E-2</v>
      </c>
      <c r="E323">
        <v>0.10290000000000001</v>
      </c>
      <c r="F323">
        <v>4755083.18</v>
      </c>
      <c r="G323">
        <v>4.68</v>
      </c>
    </row>
    <row r="324" spans="1:7" x14ac:dyDescent="0.25">
      <c r="A324" s="5">
        <v>44077</v>
      </c>
      <c r="B324">
        <v>0.12920000000000001</v>
      </c>
      <c r="C324">
        <v>0.13059999999999999</v>
      </c>
      <c r="D324">
        <v>9.5399999999999999E-2</v>
      </c>
      <c r="E324">
        <v>9.8100000000000007E-2</v>
      </c>
      <c r="F324">
        <v>7791069.1200000001</v>
      </c>
      <c r="G324">
        <v>-24.07</v>
      </c>
    </row>
    <row r="325" spans="1:7" x14ac:dyDescent="0.25">
      <c r="A325" s="5">
        <v>44076</v>
      </c>
      <c r="B325">
        <v>0.13819999999999999</v>
      </c>
      <c r="C325">
        <v>0.1477</v>
      </c>
      <c r="D325">
        <v>0.125</v>
      </c>
      <c r="E325">
        <v>0.1293</v>
      </c>
      <c r="F325">
        <v>5090166.6500000004</v>
      </c>
      <c r="G325">
        <v>-6.44</v>
      </c>
    </row>
    <row r="326" spans="1:7" x14ac:dyDescent="0.25">
      <c r="A326" s="5">
        <v>44075</v>
      </c>
      <c r="B326">
        <v>0.1348</v>
      </c>
      <c r="C326">
        <v>0.14949999999999999</v>
      </c>
      <c r="D326">
        <v>0.1308</v>
      </c>
      <c r="E326">
        <v>0.13850000000000001</v>
      </c>
      <c r="F326">
        <v>11325130.73</v>
      </c>
      <c r="G326">
        <v>2.74</v>
      </c>
    </row>
    <row r="327" spans="1:7" x14ac:dyDescent="0.25">
      <c r="A327" s="5">
        <v>44074</v>
      </c>
      <c r="B327">
        <v>0.13769999999999999</v>
      </c>
      <c r="C327">
        <v>0.14299999999999999</v>
      </c>
      <c r="D327">
        <v>0.1303</v>
      </c>
      <c r="E327">
        <v>0.13469999999999999</v>
      </c>
      <c r="F327">
        <v>4603125.54</v>
      </c>
      <c r="G327">
        <v>-2.1800000000000002</v>
      </c>
    </row>
    <row r="328" spans="1:7" x14ac:dyDescent="0.25">
      <c r="A328" s="5">
        <v>44073</v>
      </c>
      <c r="B328">
        <v>0.129</v>
      </c>
      <c r="C328">
        <v>0.1469</v>
      </c>
      <c r="D328">
        <v>0.128</v>
      </c>
      <c r="E328">
        <v>0.13780000000000001</v>
      </c>
      <c r="F328">
        <v>11859304.33</v>
      </c>
      <c r="G328">
        <v>6.82</v>
      </c>
    </row>
    <row r="329" spans="1:7" x14ac:dyDescent="0.25">
      <c r="A329" s="5">
        <v>44072</v>
      </c>
      <c r="B329">
        <v>0.12640000000000001</v>
      </c>
      <c r="C329">
        <v>0.13089999999999999</v>
      </c>
      <c r="D329">
        <v>0.125</v>
      </c>
      <c r="E329">
        <v>0.129</v>
      </c>
      <c r="F329">
        <v>3916767.81</v>
      </c>
      <c r="G329">
        <v>2.06</v>
      </c>
    </row>
    <row r="330" spans="1:7" x14ac:dyDescent="0.25">
      <c r="A330" s="5">
        <v>44071</v>
      </c>
      <c r="B330">
        <v>0.12379999999999999</v>
      </c>
      <c r="C330">
        <v>0.13139999999999999</v>
      </c>
      <c r="D330">
        <v>0.1202</v>
      </c>
      <c r="E330">
        <v>0.12640000000000001</v>
      </c>
      <c r="F330">
        <v>3877372.44</v>
      </c>
      <c r="G330">
        <v>2.1</v>
      </c>
    </row>
    <row r="331" spans="1:7" x14ac:dyDescent="0.25">
      <c r="A331" s="5">
        <v>44070</v>
      </c>
      <c r="B331">
        <v>0.13370000000000001</v>
      </c>
      <c r="C331">
        <v>0.1356</v>
      </c>
      <c r="D331">
        <v>0.11899999999999999</v>
      </c>
      <c r="E331">
        <v>0.1236</v>
      </c>
      <c r="F331">
        <v>6951769.7199999997</v>
      </c>
      <c r="G331">
        <v>-7.55</v>
      </c>
    </row>
    <row r="332" spans="1:7" x14ac:dyDescent="0.25">
      <c r="A332" s="5">
        <v>44069</v>
      </c>
      <c r="B332">
        <v>0.13389999999999999</v>
      </c>
      <c r="C332">
        <v>0.1429</v>
      </c>
      <c r="D332">
        <v>0.1298</v>
      </c>
      <c r="E332">
        <v>0.13370000000000001</v>
      </c>
      <c r="F332">
        <v>7638448.5599999996</v>
      </c>
      <c r="G332">
        <v>-0.15</v>
      </c>
    </row>
    <row r="333" spans="1:7" x14ac:dyDescent="0.25">
      <c r="A333" s="5">
        <v>44068</v>
      </c>
      <c r="B333">
        <v>0.1517</v>
      </c>
      <c r="C333">
        <v>0.15359999999999999</v>
      </c>
      <c r="D333">
        <v>0.12909999999999999</v>
      </c>
      <c r="E333">
        <v>0.13400000000000001</v>
      </c>
      <c r="F333">
        <v>10362816.970000001</v>
      </c>
      <c r="G333">
        <v>-11.67</v>
      </c>
    </row>
    <row r="334" spans="1:7" x14ac:dyDescent="0.25">
      <c r="A334" s="5">
        <v>44067</v>
      </c>
      <c r="B334">
        <v>0.1411</v>
      </c>
      <c r="C334">
        <v>0.16</v>
      </c>
      <c r="D334">
        <v>0.13930000000000001</v>
      </c>
      <c r="E334">
        <v>0.151</v>
      </c>
      <c r="F334">
        <v>13495088.869999999</v>
      </c>
      <c r="G334">
        <v>7.02</v>
      </c>
    </row>
    <row r="335" spans="1:7" x14ac:dyDescent="0.25">
      <c r="A335" s="5">
        <v>44066</v>
      </c>
      <c r="B335">
        <v>0.1482</v>
      </c>
      <c r="C335">
        <v>0.1489</v>
      </c>
      <c r="D335">
        <v>0.13869999999999999</v>
      </c>
      <c r="E335">
        <v>0.1411</v>
      </c>
      <c r="F335">
        <v>9447896.8300000001</v>
      </c>
      <c r="G335">
        <v>-4.79</v>
      </c>
    </row>
    <row r="336" spans="1:7" x14ac:dyDescent="0.25">
      <c r="A336" s="5">
        <v>44065</v>
      </c>
      <c r="B336">
        <v>0.1421</v>
      </c>
      <c r="C336">
        <v>0.1615</v>
      </c>
      <c r="D336">
        <v>0.13250000000000001</v>
      </c>
      <c r="E336">
        <v>0.14879999999999999</v>
      </c>
      <c r="F336">
        <v>21793515.379999999</v>
      </c>
      <c r="G336">
        <v>4.71</v>
      </c>
    </row>
    <row r="337" spans="1:104" x14ac:dyDescent="0.25">
      <c r="A337" s="5">
        <v>44064</v>
      </c>
      <c r="B337">
        <v>0.12989999999999999</v>
      </c>
      <c r="C337">
        <v>0.1489</v>
      </c>
      <c r="D337">
        <v>0.129</v>
      </c>
      <c r="E337">
        <v>0.14199999999999999</v>
      </c>
      <c r="F337">
        <v>18473680.170000002</v>
      </c>
      <c r="G337">
        <v>9.31</v>
      </c>
    </row>
    <row r="338" spans="1:104" x14ac:dyDescent="0.25">
      <c r="A338" s="5">
        <v>44063</v>
      </c>
      <c r="B338">
        <v>0.1265</v>
      </c>
      <c r="C338">
        <v>0.13350000000000001</v>
      </c>
      <c r="D338">
        <v>0.12640000000000001</v>
      </c>
      <c r="E338">
        <v>0.1303</v>
      </c>
      <c r="F338">
        <v>5134986.53</v>
      </c>
      <c r="G338">
        <v>3</v>
      </c>
    </row>
    <row r="339" spans="1:104" x14ac:dyDescent="0.25">
      <c r="A339" s="5">
        <v>44062</v>
      </c>
      <c r="B339">
        <v>0.1368</v>
      </c>
      <c r="C339">
        <v>0.13830000000000001</v>
      </c>
      <c r="D339">
        <v>0.121</v>
      </c>
      <c r="E339">
        <v>0.12620000000000001</v>
      </c>
      <c r="F339">
        <v>11116583.23</v>
      </c>
      <c r="G339">
        <v>-7.75</v>
      </c>
    </row>
    <row r="340" spans="1:104" x14ac:dyDescent="0.25">
      <c r="A340" s="5">
        <v>44061</v>
      </c>
      <c r="B340">
        <v>0.12620000000000001</v>
      </c>
      <c r="C340">
        <v>0.1419</v>
      </c>
      <c r="D340">
        <v>0.12</v>
      </c>
      <c r="E340">
        <v>0.13669999999999999</v>
      </c>
      <c r="F340">
        <v>15016001.51</v>
      </c>
      <c r="G340">
        <v>8.32</v>
      </c>
    </row>
    <row r="341" spans="1:104" x14ac:dyDescent="0.25">
      <c r="A341" s="5">
        <v>44060</v>
      </c>
      <c r="B341">
        <v>0.1245</v>
      </c>
      <c r="C341">
        <v>0.13450000000000001</v>
      </c>
      <c r="D341">
        <v>0.1222</v>
      </c>
      <c r="E341">
        <v>0.12620000000000001</v>
      </c>
      <c r="F341">
        <v>12780321.050000001</v>
      </c>
      <c r="G341">
        <v>1.37</v>
      </c>
    </row>
    <row r="342" spans="1:104" x14ac:dyDescent="0.25">
      <c r="A342" s="5">
        <v>44059</v>
      </c>
      <c r="B342">
        <v>0.1225</v>
      </c>
      <c r="C342">
        <v>0.126</v>
      </c>
      <c r="D342">
        <v>0.11849999999999999</v>
      </c>
      <c r="E342">
        <v>0.1242</v>
      </c>
      <c r="F342">
        <v>4715337.72</v>
      </c>
      <c r="G342">
        <v>1.39</v>
      </c>
    </row>
    <row r="343" spans="1:104" x14ac:dyDescent="0.25">
      <c r="A343" s="5">
        <v>44058</v>
      </c>
      <c r="B343">
        <v>0.12759999999999999</v>
      </c>
      <c r="C343">
        <v>0.12970000000000001</v>
      </c>
      <c r="D343">
        <v>0.11990000000000001</v>
      </c>
      <c r="E343">
        <v>0.1226</v>
      </c>
      <c r="F343">
        <v>4491355.88</v>
      </c>
      <c r="G343">
        <v>-3.92</v>
      </c>
    </row>
    <row r="344" spans="1:104" x14ac:dyDescent="0.25">
      <c r="A344" s="5">
        <v>44057</v>
      </c>
      <c r="B344">
        <v>0.12330000000000001</v>
      </c>
      <c r="C344">
        <v>0.13100000000000001</v>
      </c>
      <c r="D344">
        <v>0.1202</v>
      </c>
      <c r="E344">
        <v>0.1275</v>
      </c>
      <c r="F344">
        <v>6692217.1200000001</v>
      </c>
      <c r="G344">
        <v>3.41</v>
      </c>
    </row>
    <row r="345" spans="1:104" x14ac:dyDescent="0.25">
      <c r="A345" s="5">
        <v>44056</v>
      </c>
      <c r="B345">
        <v>0.1207</v>
      </c>
      <c r="C345">
        <v>0.1293</v>
      </c>
      <c r="D345">
        <v>0.11600000000000001</v>
      </c>
      <c r="E345">
        <v>0.1231</v>
      </c>
      <c r="F345">
        <v>10671111.050000001</v>
      </c>
      <c r="G345">
        <v>1.99</v>
      </c>
    </row>
    <row r="346" spans="1:104" x14ac:dyDescent="0.25">
      <c r="A346" s="5">
        <v>44055</v>
      </c>
      <c r="B346">
        <v>0.1162</v>
      </c>
      <c r="C346">
        <v>0.12609999999999999</v>
      </c>
      <c r="D346">
        <v>0.1113</v>
      </c>
      <c r="E346">
        <v>0.1207</v>
      </c>
      <c r="F346">
        <v>10171073.18</v>
      </c>
      <c r="G346">
        <v>3.87</v>
      </c>
    </row>
    <row r="347" spans="1:104" x14ac:dyDescent="0.25">
      <c r="A347" s="5">
        <v>44054</v>
      </c>
      <c r="B347">
        <v>0.1268</v>
      </c>
      <c r="C347">
        <v>0.12709999999999999</v>
      </c>
      <c r="D347">
        <v>0.1118</v>
      </c>
      <c r="E347">
        <v>0.1162</v>
      </c>
      <c r="F347">
        <v>10110613.609999999</v>
      </c>
      <c r="G347">
        <v>-8.36</v>
      </c>
    </row>
    <row r="348" spans="1:104" x14ac:dyDescent="0.25">
      <c r="A348" s="5">
        <v>44053</v>
      </c>
      <c r="B348">
        <v>0.1225</v>
      </c>
      <c r="C348">
        <v>0.13469999999999999</v>
      </c>
      <c r="D348">
        <v>0.1125</v>
      </c>
      <c r="E348">
        <v>0.1268</v>
      </c>
      <c r="F348">
        <v>18335805.219999999</v>
      </c>
      <c r="G348">
        <v>3.51</v>
      </c>
    </row>
    <row r="349" spans="1:104" x14ac:dyDescent="0.25">
      <c r="A349" s="5">
        <v>44052</v>
      </c>
      <c r="B349">
        <v>0.11310000000000001</v>
      </c>
      <c r="C349">
        <v>0.123</v>
      </c>
      <c r="D349">
        <v>0.11260000000000001</v>
      </c>
      <c r="E349">
        <v>0.1225</v>
      </c>
      <c r="F349">
        <v>9688532.4199999999</v>
      </c>
      <c r="G349">
        <v>8.31</v>
      </c>
      <c r="CZ349" t="s">
        <v>7</v>
      </c>
    </row>
    <row r="350" spans="1:104" x14ac:dyDescent="0.25">
      <c r="A350" s="5">
        <v>44051</v>
      </c>
      <c r="B350">
        <v>0.1148</v>
      </c>
      <c r="C350">
        <v>0.1182</v>
      </c>
      <c r="D350">
        <v>0.11169999999999999</v>
      </c>
      <c r="E350">
        <v>0.113</v>
      </c>
      <c r="F350">
        <v>7821872.54</v>
      </c>
      <c r="G350">
        <v>-1.57</v>
      </c>
      <c r="CZ350" t="s">
        <v>7</v>
      </c>
    </row>
    <row r="351" spans="1:104" x14ac:dyDescent="0.25">
      <c r="A351" s="5">
        <v>44050</v>
      </c>
      <c r="B351">
        <v>0.1056</v>
      </c>
      <c r="C351">
        <v>0.1169</v>
      </c>
      <c r="D351">
        <v>0.1045</v>
      </c>
      <c r="E351">
        <v>0.115</v>
      </c>
      <c r="F351">
        <v>10799314.470000001</v>
      </c>
      <c r="G351">
        <v>8.9</v>
      </c>
      <c r="CZ351" t="s">
        <v>7</v>
      </c>
    </row>
    <row r="352" spans="1:104" x14ac:dyDescent="0.25">
      <c r="A352" s="5">
        <v>44049</v>
      </c>
      <c r="B352">
        <v>0.105</v>
      </c>
      <c r="C352">
        <v>0.10639999999999999</v>
      </c>
      <c r="D352">
        <v>0.1021</v>
      </c>
      <c r="E352">
        <v>0.1056</v>
      </c>
      <c r="F352">
        <v>6612983.5300000003</v>
      </c>
      <c r="G352">
        <v>0.56999999999999995</v>
      </c>
    </row>
    <row r="353" spans="1:7" x14ac:dyDescent="0.25">
      <c r="A353" s="5">
        <v>44048</v>
      </c>
      <c r="B353">
        <v>0.1042</v>
      </c>
      <c r="C353">
        <v>0.10639999999999999</v>
      </c>
      <c r="D353">
        <v>0.1027</v>
      </c>
      <c r="E353">
        <v>0.105</v>
      </c>
      <c r="F353">
        <v>6611058.4299999997</v>
      </c>
      <c r="G353">
        <v>0.77</v>
      </c>
    </row>
    <row r="354" spans="1:7" x14ac:dyDescent="0.25">
      <c r="A354" s="5">
        <v>44047</v>
      </c>
      <c r="B354">
        <v>0.1031</v>
      </c>
      <c r="C354">
        <v>0.1045</v>
      </c>
      <c r="D354">
        <v>0.1016</v>
      </c>
      <c r="E354">
        <v>0.1042</v>
      </c>
      <c r="F354">
        <v>5072288.97</v>
      </c>
      <c r="G354">
        <v>1.07</v>
      </c>
    </row>
    <row r="355" spans="1:7" x14ac:dyDescent="0.25">
      <c r="A355" s="5">
        <v>44046</v>
      </c>
      <c r="B355">
        <v>0.1026</v>
      </c>
      <c r="C355">
        <v>0.1053</v>
      </c>
      <c r="D355">
        <v>0.1011</v>
      </c>
      <c r="E355">
        <v>0.10299999999999999</v>
      </c>
      <c r="F355">
        <v>6175955.79</v>
      </c>
      <c r="G355">
        <v>0.39</v>
      </c>
    </row>
    <row r="356" spans="1:7" x14ac:dyDescent="0.25">
      <c r="A356" s="5">
        <v>44045</v>
      </c>
      <c r="B356">
        <v>0.1026</v>
      </c>
      <c r="C356">
        <v>0.10539999999999999</v>
      </c>
      <c r="D356">
        <v>9.3799999999999994E-2</v>
      </c>
      <c r="E356">
        <v>0.10249999999999999</v>
      </c>
      <c r="F356">
        <v>7602892.6799999997</v>
      </c>
      <c r="G356">
        <v>-0.1</v>
      </c>
    </row>
    <row r="357" spans="1:7" x14ac:dyDescent="0.25">
      <c r="A357" s="5">
        <v>44044</v>
      </c>
      <c r="B357">
        <v>0.10199999999999999</v>
      </c>
      <c r="C357">
        <v>0.1041</v>
      </c>
      <c r="D357">
        <v>0.1</v>
      </c>
      <c r="E357">
        <v>0.1028</v>
      </c>
      <c r="F357">
        <v>5479842.8099999996</v>
      </c>
      <c r="G357">
        <v>0.78</v>
      </c>
    </row>
    <row r="358" spans="1:7" x14ac:dyDescent="0.25">
      <c r="A358" s="5">
        <v>44043</v>
      </c>
      <c r="B358">
        <v>0.10680000000000001</v>
      </c>
      <c r="C358">
        <v>0.1071</v>
      </c>
      <c r="D358">
        <v>0.1008</v>
      </c>
      <c r="E358">
        <v>0.1022</v>
      </c>
      <c r="F358">
        <v>6711618.2999999998</v>
      </c>
      <c r="G358">
        <v>-4.3099999999999996</v>
      </c>
    </row>
    <row r="359" spans="1:7" x14ac:dyDescent="0.25">
      <c r="A359" s="5">
        <v>44042</v>
      </c>
      <c r="B359">
        <v>0.1014</v>
      </c>
      <c r="C359">
        <v>0.107</v>
      </c>
      <c r="D359">
        <v>0.1013</v>
      </c>
      <c r="E359">
        <v>0.1067</v>
      </c>
      <c r="F359">
        <v>4924207.5</v>
      </c>
      <c r="G359">
        <v>5.23</v>
      </c>
    </row>
    <row r="360" spans="1:7" x14ac:dyDescent="0.25">
      <c r="A360" s="5">
        <v>44041</v>
      </c>
      <c r="B360">
        <v>0.1056</v>
      </c>
      <c r="C360">
        <v>0.1075</v>
      </c>
      <c r="D360">
        <v>0.1007</v>
      </c>
      <c r="E360">
        <v>0.1013</v>
      </c>
      <c r="F360">
        <v>6422571.8300000001</v>
      </c>
      <c r="G360">
        <v>-4.07</v>
      </c>
    </row>
    <row r="361" spans="1:7" x14ac:dyDescent="0.25">
      <c r="A361" s="5">
        <v>44040</v>
      </c>
      <c r="B361">
        <v>9.7500000000000003E-2</v>
      </c>
      <c r="C361">
        <v>0.10580000000000001</v>
      </c>
      <c r="D361">
        <v>9.7199999999999995E-2</v>
      </c>
      <c r="E361">
        <v>0.1057</v>
      </c>
      <c r="F361">
        <v>8014564.5899999999</v>
      </c>
      <c r="G361">
        <v>8.41</v>
      </c>
    </row>
    <row r="362" spans="1:7" x14ac:dyDescent="0.25">
      <c r="A362" s="5">
        <v>44039</v>
      </c>
      <c r="B362">
        <v>0.1085</v>
      </c>
      <c r="C362">
        <v>0.1096</v>
      </c>
      <c r="D362">
        <v>9.5600000000000004E-2</v>
      </c>
      <c r="E362">
        <v>9.7500000000000003E-2</v>
      </c>
      <c r="F362">
        <v>9274951.5299999993</v>
      </c>
      <c r="G362">
        <v>-10.14</v>
      </c>
    </row>
    <row r="363" spans="1:7" x14ac:dyDescent="0.25">
      <c r="A363" s="5">
        <v>44038</v>
      </c>
      <c r="B363">
        <v>0.11310000000000001</v>
      </c>
      <c r="C363">
        <v>0.11509999999999999</v>
      </c>
      <c r="D363">
        <v>0.10340000000000001</v>
      </c>
      <c r="E363">
        <v>0.10879999999999999</v>
      </c>
      <c r="F363">
        <v>7962229.5899999999</v>
      </c>
      <c r="G363">
        <v>-3.8</v>
      </c>
    </row>
    <row r="364" spans="1:7" x14ac:dyDescent="0.25">
      <c r="A364" s="5">
        <v>44037</v>
      </c>
      <c r="B364">
        <v>0.1158</v>
      </c>
      <c r="C364">
        <v>0.12089999999999999</v>
      </c>
      <c r="D364">
        <v>0.11269999999999999</v>
      </c>
      <c r="E364">
        <v>0.1132</v>
      </c>
      <c r="F364">
        <v>5994551.9299999997</v>
      </c>
      <c r="G364">
        <v>-2.25</v>
      </c>
    </row>
    <row r="365" spans="1:7" x14ac:dyDescent="0.25">
      <c r="A365" s="5">
        <v>44036</v>
      </c>
      <c r="B365">
        <v>0.1177</v>
      </c>
      <c r="C365">
        <v>0.1198</v>
      </c>
      <c r="D365">
        <v>0.1135</v>
      </c>
      <c r="E365">
        <v>0.1158</v>
      </c>
      <c r="F365">
        <v>7168356.5899999999</v>
      </c>
      <c r="G365">
        <v>-1.61</v>
      </c>
    </row>
    <row r="366" spans="1:7" x14ac:dyDescent="0.25">
      <c r="A366" s="5">
        <v>44035</v>
      </c>
      <c r="B366">
        <v>0.11849999999999999</v>
      </c>
      <c r="C366">
        <v>0.122</v>
      </c>
      <c r="D366">
        <v>0.1137</v>
      </c>
      <c r="E366">
        <v>0.1178</v>
      </c>
      <c r="F366">
        <v>8361021.3399999999</v>
      </c>
      <c r="G366">
        <v>-0.59</v>
      </c>
    </row>
    <row r="367" spans="1:7" x14ac:dyDescent="0.25">
      <c r="A367" s="5">
        <v>44034</v>
      </c>
      <c r="B367">
        <v>0.1169</v>
      </c>
      <c r="C367">
        <v>0.1242</v>
      </c>
      <c r="D367">
        <v>0.11559999999999999</v>
      </c>
      <c r="E367">
        <v>0.11849999999999999</v>
      </c>
      <c r="F367">
        <v>9702750.9700000007</v>
      </c>
      <c r="G367">
        <v>1.37</v>
      </c>
    </row>
    <row r="368" spans="1:7" x14ac:dyDescent="0.25">
      <c r="A368" s="5">
        <v>44033</v>
      </c>
      <c r="B368">
        <v>0.1139</v>
      </c>
      <c r="C368">
        <v>0.1225</v>
      </c>
      <c r="D368">
        <v>0.1128</v>
      </c>
      <c r="E368">
        <v>0.1171</v>
      </c>
      <c r="F368">
        <v>8857647.6199999992</v>
      </c>
      <c r="G368">
        <v>2.81</v>
      </c>
    </row>
    <row r="369" spans="1:7" x14ac:dyDescent="0.25">
      <c r="A369" s="5">
        <v>44032</v>
      </c>
      <c r="B369">
        <v>0.1188</v>
      </c>
      <c r="C369">
        <v>0.1288</v>
      </c>
      <c r="D369">
        <v>0.11210000000000001</v>
      </c>
      <c r="E369">
        <v>0.1139</v>
      </c>
      <c r="F369">
        <v>16292612.890000001</v>
      </c>
      <c r="G369">
        <v>-4.12</v>
      </c>
    </row>
    <row r="370" spans="1:7" x14ac:dyDescent="0.25">
      <c r="A370" s="5">
        <v>44031</v>
      </c>
      <c r="B370">
        <v>0.11020000000000001</v>
      </c>
      <c r="C370">
        <v>0.12230000000000001</v>
      </c>
      <c r="D370">
        <v>0.10920000000000001</v>
      </c>
      <c r="E370">
        <v>0.1192</v>
      </c>
      <c r="F370">
        <v>15193189.880000001</v>
      </c>
      <c r="G370">
        <v>8.17</v>
      </c>
    </row>
    <row r="371" spans="1:7" x14ac:dyDescent="0.25">
      <c r="A371" s="5">
        <v>44030</v>
      </c>
      <c r="B371">
        <v>0.1094</v>
      </c>
      <c r="C371">
        <v>0.1109</v>
      </c>
      <c r="D371">
        <v>0.107</v>
      </c>
      <c r="E371">
        <v>0.11020000000000001</v>
      </c>
      <c r="F371">
        <v>6229120.8700000001</v>
      </c>
      <c r="G371">
        <v>0.73</v>
      </c>
    </row>
    <row r="372" spans="1:7" x14ac:dyDescent="0.25">
      <c r="A372" s="5">
        <v>44029</v>
      </c>
      <c r="B372">
        <v>0.1082</v>
      </c>
      <c r="C372">
        <v>0.1114</v>
      </c>
      <c r="D372">
        <v>0.1069</v>
      </c>
      <c r="E372">
        <v>0.1094</v>
      </c>
      <c r="F372">
        <v>7178258.8300000001</v>
      </c>
      <c r="G372">
        <v>1.1100000000000001</v>
      </c>
    </row>
    <row r="373" spans="1:7" x14ac:dyDescent="0.25">
      <c r="A373" s="5">
        <v>44028</v>
      </c>
      <c r="B373">
        <v>0.11459999999999999</v>
      </c>
      <c r="C373">
        <v>0.11600000000000001</v>
      </c>
      <c r="D373">
        <v>0.10299999999999999</v>
      </c>
      <c r="E373">
        <v>0.1084</v>
      </c>
      <c r="F373">
        <v>9477971.5399999991</v>
      </c>
      <c r="G373">
        <v>-5.41</v>
      </c>
    </row>
    <row r="374" spans="1:7" x14ac:dyDescent="0.25">
      <c r="A374" s="5">
        <v>44027</v>
      </c>
      <c r="B374">
        <v>0.1125</v>
      </c>
      <c r="C374">
        <v>0.1174</v>
      </c>
      <c r="D374">
        <v>0.1113</v>
      </c>
      <c r="E374">
        <v>0.11459999999999999</v>
      </c>
      <c r="F374">
        <v>10016731.74</v>
      </c>
      <c r="G374">
        <v>1.87</v>
      </c>
    </row>
    <row r="375" spans="1:7" x14ac:dyDescent="0.25">
      <c r="A375" s="5">
        <v>44026</v>
      </c>
      <c r="B375">
        <v>0.10979999999999999</v>
      </c>
      <c r="C375">
        <v>0.114</v>
      </c>
      <c r="D375">
        <v>0.1057</v>
      </c>
      <c r="E375">
        <v>0.1125</v>
      </c>
      <c r="F375">
        <v>8783036.4100000001</v>
      </c>
      <c r="G375">
        <v>2.46</v>
      </c>
    </row>
    <row r="376" spans="1:7" x14ac:dyDescent="0.25">
      <c r="A376" s="5">
        <v>44025</v>
      </c>
      <c r="B376">
        <v>0.11459999999999999</v>
      </c>
      <c r="C376">
        <v>0.11849999999999999</v>
      </c>
      <c r="D376">
        <v>0.10879999999999999</v>
      </c>
      <c r="E376">
        <v>0.10979999999999999</v>
      </c>
      <c r="F376">
        <v>10658339.25</v>
      </c>
      <c r="G376">
        <v>-4.1900000000000004</v>
      </c>
    </row>
    <row r="377" spans="1:7" x14ac:dyDescent="0.25">
      <c r="A377" s="5">
        <v>44024</v>
      </c>
      <c r="B377">
        <v>0.1193</v>
      </c>
      <c r="C377">
        <v>0.12089999999999999</v>
      </c>
      <c r="D377">
        <v>0.1113</v>
      </c>
      <c r="E377">
        <v>0.11459999999999999</v>
      </c>
      <c r="F377">
        <v>10167841.99</v>
      </c>
      <c r="G377">
        <v>-3.94</v>
      </c>
    </row>
    <row r="378" spans="1:7" x14ac:dyDescent="0.25">
      <c r="A378" s="5">
        <v>44023</v>
      </c>
      <c r="B378">
        <v>0.112</v>
      </c>
      <c r="C378">
        <v>0.1221</v>
      </c>
      <c r="D378">
        <v>0.11070000000000001</v>
      </c>
      <c r="E378">
        <v>0.1192</v>
      </c>
      <c r="F378">
        <v>11098356.970000001</v>
      </c>
      <c r="G378">
        <v>6.43</v>
      </c>
    </row>
    <row r="379" spans="1:7" x14ac:dyDescent="0.25">
      <c r="A379" s="5">
        <v>44022</v>
      </c>
      <c r="B379">
        <v>0.1053</v>
      </c>
      <c r="C379">
        <v>0.11550000000000001</v>
      </c>
      <c r="D379">
        <v>0.1019</v>
      </c>
      <c r="E379">
        <v>0.112</v>
      </c>
      <c r="F379">
        <v>9959010.3100000005</v>
      </c>
      <c r="G379">
        <v>6.36</v>
      </c>
    </row>
    <row r="380" spans="1:7" x14ac:dyDescent="0.25">
      <c r="A380" s="5">
        <v>44021</v>
      </c>
      <c r="B380">
        <v>0.11169999999999999</v>
      </c>
      <c r="C380">
        <v>0.113</v>
      </c>
      <c r="D380">
        <v>0.1003</v>
      </c>
      <c r="E380">
        <v>0.10489999999999999</v>
      </c>
      <c r="F380">
        <v>7327924.4400000004</v>
      </c>
      <c r="G380">
        <v>-6.09</v>
      </c>
    </row>
    <row r="381" spans="1:7" x14ac:dyDescent="0.25">
      <c r="A381" s="5">
        <v>44020</v>
      </c>
      <c r="B381">
        <v>0.1072</v>
      </c>
      <c r="C381">
        <v>0.1142</v>
      </c>
      <c r="D381">
        <v>0.10589999999999999</v>
      </c>
      <c r="E381">
        <v>0.11169999999999999</v>
      </c>
      <c r="F381">
        <v>7136431.9800000004</v>
      </c>
      <c r="G381">
        <v>4.2</v>
      </c>
    </row>
    <row r="382" spans="1:7" x14ac:dyDescent="0.25">
      <c r="A382" s="5">
        <v>44019</v>
      </c>
      <c r="B382">
        <v>0.10150000000000001</v>
      </c>
      <c r="C382">
        <v>0.1077</v>
      </c>
      <c r="D382">
        <v>9.98E-2</v>
      </c>
      <c r="E382">
        <v>0.1071</v>
      </c>
      <c r="F382">
        <v>6173073.1799999997</v>
      </c>
      <c r="G382">
        <v>5.52</v>
      </c>
    </row>
    <row r="383" spans="1:7" x14ac:dyDescent="0.25">
      <c r="A383" s="5">
        <v>44018</v>
      </c>
      <c r="B383">
        <v>9.8100000000000007E-2</v>
      </c>
      <c r="C383">
        <v>0.10390000000000001</v>
      </c>
      <c r="D383">
        <v>9.8100000000000007E-2</v>
      </c>
      <c r="E383">
        <v>0.1012</v>
      </c>
      <c r="F383">
        <v>4861662.43</v>
      </c>
      <c r="G383">
        <v>3.16</v>
      </c>
    </row>
    <row r="384" spans="1:7" x14ac:dyDescent="0.25">
      <c r="A384" s="5">
        <v>44017</v>
      </c>
      <c r="B384">
        <v>9.9699999999999997E-2</v>
      </c>
      <c r="C384">
        <v>0.10299999999999999</v>
      </c>
      <c r="D384">
        <v>9.5299999999999996E-2</v>
      </c>
      <c r="E384">
        <v>9.8100000000000007E-2</v>
      </c>
      <c r="F384">
        <v>3614807.78</v>
      </c>
      <c r="G384">
        <v>-1.6</v>
      </c>
    </row>
    <row r="385" spans="1:7" x14ac:dyDescent="0.25">
      <c r="A385" s="5">
        <v>44016</v>
      </c>
      <c r="B385">
        <v>9.8199999999999996E-2</v>
      </c>
      <c r="C385">
        <v>0.1043</v>
      </c>
      <c r="D385">
        <v>9.7000000000000003E-2</v>
      </c>
      <c r="E385">
        <v>9.9400000000000002E-2</v>
      </c>
      <c r="F385">
        <v>4611055.59</v>
      </c>
      <c r="G385">
        <v>1.22</v>
      </c>
    </row>
    <row r="386" spans="1:7" x14ac:dyDescent="0.25">
      <c r="A386" s="5">
        <v>44015</v>
      </c>
      <c r="B386">
        <v>9.4100000000000003E-2</v>
      </c>
      <c r="C386">
        <v>0.10100000000000001</v>
      </c>
      <c r="D386">
        <v>9.3700000000000006E-2</v>
      </c>
      <c r="E386">
        <v>9.8100000000000007E-2</v>
      </c>
      <c r="F386">
        <v>4493412.29</v>
      </c>
      <c r="G386">
        <v>4.25</v>
      </c>
    </row>
    <row r="387" spans="1:7" x14ac:dyDescent="0.25">
      <c r="A387" s="5">
        <v>44014</v>
      </c>
      <c r="B387">
        <v>9.6100000000000005E-2</v>
      </c>
      <c r="C387">
        <v>9.9299999999999999E-2</v>
      </c>
      <c r="D387">
        <v>9.2600000000000002E-2</v>
      </c>
      <c r="E387">
        <v>9.4100000000000003E-2</v>
      </c>
      <c r="F387">
        <v>3086485.67</v>
      </c>
      <c r="G387">
        <v>-2.08</v>
      </c>
    </row>
    <row r="388" spans="1:7" x14ac:dyDescent="0.25">
      <c r="A388" s="5">
        <v>44013</v>
      </c>
      <c r="B388">
        <v>9.69E-2</v>
      </c>
      <c r="C388">
        <v>9.8299999999999998E-2</v>
      </c>
      <c r="D388">
        <v>9.4500000000000001E-2</v>
      </c>
      <c r="E388">
        <v>9.6100000000000005E-2</v>
      </c>
      <c r="F388">
        <v>3914859.59</v>
      </c>
      <c r="G388">
        <v>-0.83</v>
      </c>
    </row>
    <row r="389" spans="1:7" x14ac:dyDescent="0.25">
      <c r="A389" s="5">
        <v>44012</v>
      </c>
      <c r="B389">
        <v>9.3200000000000005E-2</v>
      </c>
      <c r="C389">
        <v>0.10150000000000001</v>
      </c>
      <c r="D389">
        <v>9.1899999999999996E-2</v>
      </c>
      <c r="E389">
        <v>9.6600000000000005E-2</v>
      </c>
      <c r="F389">
        <v>8404113</v>
      </c>
      <c r="G389">
        <v>3.65</v>
      </c>
    </row>
    <row r="390" spans="1:7" x14ac:dyDescent="0.25">
      <c r="A390" s="5">
        <v>44011</v>
      </c>
      <c r="B390">
        <v>9.2600000000000002E-2</v>
      </c>
      <c r="C390">
        <v>9.4600000000000004E-2</v>
      </c>
      <c r="D390">
        <v>8.9499999999999996E-2</v>
      </c>
      <c r="E390">
        <v>9.3200000000000005E-2</v>
      </c>
      <c r="F390">
        <v>6326820.25</v>
      </c>
      <c r="G390">
        <v>0.65</v>
      </c>
    </row>
    <row r="391" spans="1:7" x14ac:dyDescent="0.25">
      <c r="A391" s="5">
        <v>44010</v>
      </c>
      <c r="B391">
        <v>9.0300000000000005E-2</v>
      </c>
      <c r="C391">
        <v>9.5600000000000004E-2</v>
      </c>
      <c r="D391">
        <v>8.8499999999999995E-2</v>
      </c>
      <c r="E391">
        <v>9.2700000000000005E-2</v>
      </c>
      <c r="F391">
        <v>5478928.5700000003</v>
      </c>
      <c r="G391">
        <v>2.66</v>
      </c>
    </row>
    <row r="392" spans="1:7" x14ac:dyDescent="0.25">
      <c r="A392" s="5">
        <v>44009</v>
      </c>
      <c r="B392">
        <v>9.7100000000000006E-2</v>
      </c>
      <c r="C392">
        <v>0.10440000000000001</v>
      </c>
      <c r="D392">
        <v>8.8900000000000007E-2</v>
      </c>
      <c r="E392">
        <v>9.0300000000000005E-2</v>
      </c>
      <c r="F392">
        <v>7231893.6100000003</v>
      </c>
      <c r="G392">
        <v>-7</v>
      </c>
    </row>
    <row r="393" spans="1:7" x14ac:dyDescent="0.25">
      <c r="A393" s="5">
        <v>44008</v>
      </c>
      <c r="B393">
        <v>0.1007</v>
      </c>
      <c r="C393">
        <v>0.1018</v>
      </c>
      <c r="D393">
        <v>9.5299999999999996E-2</v>
      </c>
      <c r="E393">
        <v>9.7100000000000006E-2</v>
      </c>
      <c r="F393">
        <v>5174687.08</v>
      </c>
      <c r="G393">
        <v>-3.57</v>
      </c>
    </row>
    <row r="394" spans="1:7" x14ac:dyDescent="0.25">
      <c r="A394" s="5">
        <v>44007</v>
      </c>
      <c r="B394">
        <v>0.1041</v>
      </c>
      <c r="C394">
        <v>0.1048</v>
      </c>
      <c r="D394">
        <v>9.7799999999999998E-2</v>
      </c>
      <c r="E394">
        <v>0.10059999999999999</v>
      </c>
      <c r="F394">
        <v>7182757.0599999996</v>
      </c>
      <c r="G394">
        <v>-3.36</v>
      </c>
    </row>
    <row r="395" spans="1:7" x14ac:dyDescent="0.25">
      <c r="A395" s="5">
        <v>44006</v>
      </c>
      <c r="B395">
        <v>0.10879999999999999</v>
      </c>
      <c r="C395">
        <v>0.1105</v>
      </c>
      <c r="D395">
        <v>0.10290000000000001</v>
      </c>
      <c r="E395">
        <v>0.1041</v>
      </c>
      <c r="F395">
        <v>6440909.5</v>
      </c>
      <c r="G395">
        <v>-4.32</v>
      </c>
    </row>
    <row r="396" spans="1:7" x14ac:dyDescent="0.25">
      <c r="A396" s="5">
        <v>44005</v>
      </c>
      <c r="B396">
        <v>0.1091</v>
      </c>
      <c r="C396">
        <v>0.11210000000000001</v>
      </c>
      <c r="D396">
        <v>0.1075</v>
      </c>
      <c r="E396">
        <v>0.10879999999999999</v>
      </c>
      <c r="F396">
        <v>5189592.4400000004</v>
      </c>
      <c r="G396">
        <v>-0.27</v>
      </c>
    </row>
    <row r="397" spans="1:7" x14ac:dyDescent="0.25">
      <c r="A397" s="5">
        <v>44004</v>
      </c>
      <c r="B397">
        <v>0.1079</v>
      </c>
      <c r="C397">
        <v>0.112</v>
      </c>
      <c r="D397">
        <v>0.1072</v>
      </c>
      <c r="E397">
        <v>0.10920000000000001</v>
      </c>
      <c r="F397">
        <v>5228813</v>
      </c>
      <c r="G397">
        <v>1.2</v>
      </c>
    </row>
    <row r="398" spans="1:7" x14ac:dyDescent="0.25">
      <c r="A398" s="5">
        <v>44003</v>
      </c>
      <c r="B398">
        <v>0.1086</v>
      </c>
      <c r="C398">
        <v>0.1128</v>
      </c>
      <c r="D398">
        <v>0.1075</v>
      </c>
      <c r="E398">
        <v>0.10780000000000001</v>
      </c>
      <c r="F398">
        <v>4525203.34</v>
      </c>
      <c r="G398">
        <v>-0.74</v>
      </c>
    </row>
    <row r="399" spans="1:7" x14ac:dyDescent="0.25">
      <c r="A399" s="5">
        <v>44002</v>
      </c>
      <c r="B399">
        <v>0.1106</v>
      </c>
      <c r="C399">
        <v>0.11119999999999999</v>
      </c>
      <c r="D399">
        <v>0.10680000000000001</v>
      </c>
      <c r="E399">
        <v>0.1086</v>
      </c>
      <c r="F399">
        <v>4199327.49</v>
      </c>
      <c r="G399">
        <v>-1.81</v>
      </c>
    </row>
    <row r="400" spans="1:7" x14ac:dyDescent="0.25">
      <c r="A400" s="5">
        <v>44001</v>
      </c>
      <c r="B400">
        <v>0.112</v>
      </c>
      <c r="C400">
        <v>0.1157</v>
      </c>
      <c r="D400">
        <v>0.1067</v>
      </c>
      <c r="E400">
        <v>0.11070000000000001</v>
      </c>
      <c r="F400">
        <v>5290141.6399999997</v>
      </c>
      <c r="G400">
        <v>-1.1599999999999999</v>
      </c>
    </row>
    <row r="401" spans="1:7" x14ac:dyDescent="0.25">
      <c r="A401" s="5">
        <v>44000</v>
      </c>
      <c r="B401">
        <v>0.1135</v>
      </c>
      <c r="C401">
        <v>0.1234</v>
      </c>
      <c r="D401">
        <v>0.1104</v>
      </c>
      <c r="E401">
        <v>0.1119</v>
      </c>
      <c r="F401">
        <v>7859046.1299999999</v>
      </c>
      <c r="G401">
        <v>-1.41</v>
      </c>
    </row>
    <row r="402" spans="1:7" x14ac:dyDescent="0.25">
      <c r="A402" s="5">
        <v>43999</v>
      </c>
      <c r="B402">
        <v>0.1104</v>
      </c>
      <c r="C402">
        <v>0.11749999999999999</v>
      </c>
      <c r="D402">
        <v>0.10879999999999999</v>
      </c>
      <c r="E402">
        <v>0.1134</v>
      </c>
      <c r="F402">
        <v>6485621.4800000004</v>
      </c>
      <c r="G402">
        <v>2.72</v>
      </c>
    </row>
    <row r="403" spans="1:7" x14ac:dyDescent="0.25">
      <c r="A403" s="5">
        <v>43998</v>
      </c>
      <c r="B403">
        <v>0.1095</v>
      </c>
      <c r="C403">
        <v>0.1109</v>
      </c>
      <c r="D403">
        <v>0.106</v>
      </c>
      <c r="E403">
        <v>0.1104</v>
      </c>
      <c r="F403">
        <v>4937096.3899999997</v>
      </c>
      <c r="G403">
        <v>0.82</v>
      </c>
    </row>
    <row r="404" spans="1:7" x14ac:dyDescent="0.25">
      <c r="A404" s="5">
        <v>43997</v>
      </c>
      <c r="B404">
        <v>0.1144</v>
      </c>
      <c r="C404">
        <v>0.11550000000000001</v>
      </c>
      <c r="D404">
        <v>9.7199999999999995E-2</v>
      </c>
      <c r="E404">
        <v>0.1095</v>
      </c>
      <c r="F404">
        <v>6769401.4100000001</v>
      </c>
      <c r="G404">
        <v>-4.28</v>
      </c>
    </row>
    <row r="405" spans="1:7" x14ac:dyDescent="0.25">
      <c r="A405" s="5">
        <v>43996</v>
      </c>
      <c r="B405">
        <v>0.1144</v>
      </c>
      <c r="C405">
        <v>0.1215</v>
      </c>
      <c r="D405">
        <v>0.112</v>
      </c>
      <c r="E405">
        <v>0.1145</v>
      </c>
      <c r="F405">
        <v>3638541.58</v>
      </c>
      <c r="G405">
        <v>0.09</v>
      </c>
    </row>
    <row r="406" spans="1:7" x14ac:dyDescent="0.25">
      <c r="A406" s="5">
        <v>43995</v>
      </c>
      <c r="B406">
        <v>0.1171</v>
      </c>
      <c r="C406">
        <v>0.1177</v>
      </c>
      <c r="D406">
        <v>0.11169999999999999</v>
      </c>
      <c r="E406">
        <v>0.1142</v>
      </c>
      <c r="F406">
        <v>2457108.41</v>
      </c>
      <c r="G406">
        <v>-2.48</v>
      </c>
    </row>
    <row r="407" spans="1:7" x14ac:dyDescent="0.25">
      <c r="A407" s="5">
        <v>43994</v>
      </c>
      <c r="B407">
        <v>0.1081</v>
      </c>
      <c r="C407">
        <v>0.1182</v>
      </c>
      <c r="D407">
        <v>0.1062</v>
      </c>
      <c r="E407">
        <v>0.1172</v>
      </c>
      <c r="F407">
        <v>3492674.18</v>
      </c>
      <c r="G407">
        <v>8.42</v>
      </c>
    </row>
    <row r="408" spans="1:7" x14ac:dyDescent="0.25">
      <c r="A408" s="5">
        <v>43993</v>
      </c>
      <c r="B408">
        <v>0.1237</v>
      </c>
      <c r="C408">
        <v>0.12939999999999999</v>
      </c>
      <c r="D408">
        <v>0.1067</v>
      </c>
      <c r="E408">
        <v>0.1081</v>
      </c>
      <c r="F408">
        <v>7235106.2199999997</v>
      </c>
      <c r="G408">
        <v>-12.61</v>
      </c>
    </row>
    <row r="409" spans="1:7" x14ac:dyDescent="0.25">
      <c r="A409" s="5">
        <v>43992</v>
      </c>
      <c r="B409">
        <v>0.12470000000000001</v>
      </c>
      <c r="C409">
        <v>0.13389999999999999</v>
      </c>
      <c r="D409">
        <v>0.12</v>
      </c>
      <c r="E409">
        <v>0.1242</v>
      </c>
      <c r="F409">
        <v>5413484.0999999996</v>
      </c>
      <c r="G409">
        <v>-0.4</v>
      </c>
    </row>
    <row r="410" spans="1:7" x14ac:dyDescent="0.25">
      <c r="A410" s="5">
        <v>43991</v>
      </c>
      <c r="B410">
        <v>0.1245</v>
      </c>
      <c r="C410">
        <v>0.13100000000000001</v>
      </c>
      <c r="D410">
        <v>0.12</v>
      </c>
      <c r="E410">
        <v>0.12479999999999999</v>
      </c>
      <c r="F410">
        <v>5847820.4699999997</v>
      </c>
      <c r="G410">
        <v>0.24</v>
      </c>
    </row>
    <row r="411" spans="1:7" x14ac:dyDescent="0.25">
      <c r="A411" s="5">
        <v>43990</v>
      </c>
      <c r="B411">
        <v>0.1249</v>
      </c>
      <c r="C411">
        <v>0.1338</v>
      </c>
      <c r="D411">
        <v>0.1187</v>
      </c>
      <c r="E411">
        <v>0.1244</v>
      </c>
      <c r="F411">
        <v>12373972.699999999</v>
      </c>
      <c r="G411">
        <v>-0.4</v>
      </c>
    </row>
    <row r="412" spans="1:7" x14ac:dyDescent="0.25">
      <c r="A412" s="5">
        <v>43989</v>
      </c>
      <c r="B412">
        <v>0.11020000000000001</v>
      </c>
      <c r="C412">
        <v>0.129</v>
      </c>
      <c r="D412">
        <v>0.1089</v>
      </c>
      <c r="E412">
        <v>0.1249</v>
      </c>
      <c r="F412">
        <v>17151639.710000001</v>
      </c>
      <c r="G412">
        <v>13.34</v>
      </c>
    </row>
    <row r="413" spans="1:7" x14ac:dyDescent="0.25">
      <c r="A413" s="5">
        <v>43988</v>
      </c>
      <c r="B413">
        <v>0.1118</v>
      </c>
      <c r="C413">
        <v>0.11459999999999999</v>
      </c>
      <c r="D413">
        <v>0.10879999999999999</v>
      </c>
      <c r="E413">
        <v>0.1104</v>
      </c>
      <c r="F413">
        <v>6744429.29</v>
      </c>
      <c r="G413">
        <v>-1.25</v>
      </c>
    </row>
    <row r="414" spans="1:7" x14ac:dyDescent="0.25">
      <c r="A414" s="5">
        <v>43987</v>
      </c>
      <c r="B414">
        <v>0.1134</v>
      </c>
      <c r="C414">
        <v>0.12429999999999999</v>
      </c>
      <c r="D414">
        <v>0.11119999999999999</v>
      </c>
      <c r="E414">
        <v>0.1119</v>
      </c>
      <c r="F414">
        <v>10789667.65</v>
      </c>
      <c r="G414">
        <v>-1.32</v>
      </c>
    </row>
    <row r="415" spans="1:7" x14ac:dyDescent="0.25">
      <c r="A415" s="5">
        <v>43986</v>
      </c>
      <c r="B415">
        <v>0.1101</v>
      </c>
      <c r="C415">
        <v>0.1158</v>
      </c>
      <c r="D415">
        <v>0.1053</v>
      </c>
      <c r="E415">
        <v>0.113</v>
      </c>
      <c r="F415">
        <v>10171374.43</v>
      </c>
      <c r="G415">
        <v>2.63</v>
      </c>
    </row>
    <row r="416" spans="1:7" x14ac:dyDescent="0.25">
      <c r="A416" s="5">
        <v>43985</v>
      </c>
      <c r="B416">
        <v>0.1072</v>
      </c>
      <c r="C416">
        <v>0.1182</v>
      </c>
      <c r="D416">
        <v>0.10589999999999999</v>
      </c>
      <c r="E416">
        <v>0.1101</v>
      </c>
      <c r="F416">
        <v>14113694.51</v>
      </c>
      <c r="G416">
        <v>2.71</v>
      </c>
    </row>
    <row r="417" spans="1:7" x14ac:dyDescent="0.25">
      <c r="A417" s="5">
        <v>43984</v>
      </c>
      <c r="B417">
        <v>0.10199999999999999</v>
      </c>
      <c r="C417">
        <v>0.1188</v>
      </c>
      <c r="D417">
        <v>9.3600000000000003E-2</v>
      </c>
      <c r="E417">
        <v>0.1072</v>
      </c>
      <c r="F417">
        <v>17616194.210000001</v>
      </c>
      <c r="G417">
        <v>5.0999999999999996</v>
      </c>
    </row>
    <row r="418" spans="1:7" x14ac:dyDescent="0.25">
      <c r="A418" s="5">
        <v>43983</v>
      </c>
      <c r="B418">
        <v>9.7799999999999998E-2</v>
      </c>
      <c r="C418">
        <v>0.10580000000000001</v>
      </c>
      <c r="D418">
        <v>0.09</v>
      </c>
      <c r="E418">
        <v>0.1021</v>
      </c>
      <c r="F418">
        <v>10594903.390000001</v>
      </c>
      <c r="G418">
        <v>4.4000000000000004</v>
      </c>
    </row>
    <row r="419" spans="1:7" x14ac:dyDescent="0.25">
      <c r="A419" s="5">
        <v>43982</v>
      </c>
      <c r="B419">
        <v>0.10009999999999999</v>
      </c>
      <c r="C419">
        <v>0.107</v>
      </c>
      <c r="D419">
        <v>9.64E-2</v>
      </c>
      <c r="E419">
        <v>9.7900000000000001E-2</v>
      </c>
      <c r="F419">
        <v>12332013.869999999</v>
      </c>
      <c r="G419">
        <v>-2.2000000000000002</v>
      </c>
    </row>
    <row r="420" spans="1:7" x14ac:dyDescent="0.25">
      <c r="A420" s="5">
        <v>43981</v>
      </c>
      <c r="B420">
        <v>9.6500000000000002E-2</v>
      </c>
      <c r="C420">
        <v>0.1009</v>
      </c>
      <c r="D420">
        <v>9.5500000000000002E-2</v>
      </c>
      <c r="E420">
        <v>0.1002</v>
      </c>
      <c r="F420">
        <v>8565131.3599999994</v>
      </c>
      <c r="G420">
        <v>3.83</v>
      </c>
    </row>
    <row r="421" spans="1:7" x14ac:dyDescent="0.25">
      <c r="A421" s="5">
        <v>43980</v>
      </c>
      <c r="B421">
        <v>9.4200000000000006E-2</v>
      </c>
      <c r="C421">
        <v>9.8599999999999993E-2</v>
      </c>
      <c r="D421">
        <v>9.3700000000000006E-2</v>
      </c>
      <c r="E421">
        <v>9.6600000000000005E-2</v>
      </c>
      <c r="F421">
        <v>7506668.9500000002</v>
      </c>
      <c r="G421">
        <v>2.5499999999999998</v>
      </c>
    </row>
    <row r="422" spans="1:7" x14ac:dyDescent="0.25">
      <c r="A422" s="5">
        <v>43979</v>
      </c>
      <c r="B422">
        <v>9.3899999999999997E-2</v>
      </c>
      <c r="C422">
        <v>9.69E-2</v>
      </c>
      <c r="D422">
        <v>9.1999999999999998E-2</v>
      </c>
      <c r="E422">
        <v>9.4100000000000003E-2</v>
      </c>
      <c r="F422">
        <v>7352636.3799999999</v>
      </c>
      <c r="G422">
        <v>0.21</v>
      </c>
    </row>
    <row r="423" spans="1:7" x14ac:dyDescent="0.25">
      <c r="A423" s="5">
        <v>43978</v>
      </c>
      <c r="B423">
        <v>9.5600000000000004E-2</v>
      </c>
      <c r="C423">
        <v>0.1013</v>
      </c>
      <c r="D423">
        <v>9.2999999999999999E-2</v>
      </c>
      <c r="E423">
        <v>9.3899999999999997E-2</v>
      </c>
      <c r="F423">
        <v>9401681.3499999996</v>
      </c>
      <c r="G423">
        <v>-1.78</v>
      </c>
    </row>
    <row r="424" spans="1:7" x14ac:dyDescent="0.25">
      <c r="A424" s="5">
        <v>43977</v>
      </c>
      <c r="B424">
        <v>0.10009999999999999</v>
      </c>
      <c r="C424">
        <v>0.1013</v>
      </c>
      <c r="D424">
        <v>9.1700000000000004E-2</v>
      </c>
      <c r="E424">
        <v>9.5699999999999993E-2</v>
      </c>
      <c r="F424">
        <v>9083536.5</v>
      </c>
      <c r="G424">
        <v>-4.4000000000000004</v>
      </c>
    </row>
    <row r="425" spans="1:7" x14ac:dyDescent="0.25">
      <c r="A425" s="5">
        <v>43976</v>
      </c>
      <c r="B425">
        <v>0.09</v>
      </c>
      <c r="C425">
        <v>0.10249999999999999</v>
      </c>
      <c r="D425">
        <v>8.7900000000000006E-2</v>
      </c>
      <c r="E425">
        <v>0.1003</v>
      </c>
      <c r="F425">
        <v>11657261.33</v>
      </c>
      <c r="G425">
        <v>11.44</v>
      </c>
    </row>
    <row r="426" spans="1:7" x14ac:dyDescent="0.25">
      <c r="A426" s="5">
        <v>43975</v>
      </c>
      <c r="B426">
        <v>9.3299999999999994E-2</v>
      </c>
      <c r="C426">
        <v>9.9000000000000005E-2</v>
      </c>
      <c r="D426">
        <v>8.9700000000000002E-2</v>
      </c>
      <c r="E426">
        <v>0.09</v>
      </c>
      <c r="F426">
        <v>12134434.130000001</v>
      </c>
      <c r="G426">
        <v>-3.54</v>
      </c>
    </row>
    <row r="427" spans="1:7" x14ac:dyDescent="0.25">
      <c r="A427" s="5">
        <v>43974</v>
      </c>
      <c r="B427">
        <v>9.4299999999999995E-2</v>
      </c>
      <c r="C427">
        <v>9.74E-2</v>
      </c>
      <c r="D427">
        <v>9.2299999999999993E-2</v>
      </c>
      <c r="E427">
        <v>9.3299999999999994E-2</v>
      </c>
      <c r="F427">
        <v>10325564.57</v>
      </c>
      <c r="G427">
        <v>-1.06</v>
      </c>
    </row>
    <row r="428" spans="1:7" x14ac:dyDescent="0.25">
      <c r="A428" s="5">
        <v>43973</v>
      </c>
      <c r="B428">
        <v>9.1899999999999996E-2</v>
      </c>
      <c r="C428">
        <v>0.104</v>
      </c>
      <c r="D428">
        <v>9.0499999999999997E-2</v>
      </c>
      <c r="E428">
        <v>9.4700000000000006E-2</v>
      </c>
      <c r="F428">
        <v>22417721.789999999</v>
      </c>
      <c r="G428">
        <v>3.05</v>
      </c>
    </row>
    <row r="429" spans="1:7" x14ac:dyDescent="0.25">
      <c r="A429" s="5">
        <v>43972</v>
      </c>
      <c r="B429">
        <v>8.48E-2</v>
      </c>
      <c r="C429">
        <v>0.108</v>
      </c>
      <c r="D429">
        <v>7.8799999999999995E-2</v>
      </c>
      <c r="E429">
        <v>9.2200000000000004E-2</v>
      </c>
      <c r="F429">
        <v>39741605.799999997</v>
      </c>
      <c r="G429">
        <v>8.73</v>
      </c>
    </row>
    <row r="430" spans="1:7" x14ac:dyDescent="0.25">
      <c r="A430" s="5">
        <v>43971</v>
      </c>
      <c r="B430">
        <v>8.72E-2</v>
      </c>
      <c r="C430">
        <v>9.0399999999999994E-2</v>
      </c>
      <c r="D430">
        <v>8.3500000000000005E-2</v>
      </c>
      <c r="E430">
        <v>8.48E-2</v>
      </c>
      <c r="F430">
        <v>10659949.710000001</v>
      </c>
      <c r="G430">
        <v>-2.75</v>
      </c>
    </row>
    <row r="431" spans="1:7" x14ac:dyDescent="0.25">
      <c r="A431" s="5">
        <v>43970</v>
      </c>
      <c r="B431">
        <v>8.4099999999999994E-2</v>
      </c>
      <c r="C431">
        <v>8.8999999999999996E-2</v>
      </c>
      <c r="D431">
        <v>8.3299999999999999E-2</v>
      </c>
      <c r="E431">
        <v>8.6999999999999994E-2</v>
      </c>
      <c r="F431">
        <v>9004063.1400000006</v>
      </c>
      <c r="G431">
        <v>3.45</v>
      </c>
    </row>
    <row r="432" spans="1:7" x14ac:dyDescent="0.25">
      <c r="A432" s="5">
        <v>43969</v>
      </c>
      <c r="B432">
        <v>8.3299999999999999E-2</v>
      </c>
      <c r="C432">
        <v>8.5199999999999998E-2</v>
      </c>
      <c r="D432">
        <v>8.2500000000000004E-2</v>
      </c>
      <c r="E432">
        <v>8.4099999999999994E-2</v>
      </c>
      <c r="F432">
        <v>6424954.4500000002</v>
      </c>
      <c r="G432">
        <v>0.96</v>
      </c>
    </row>
    <row r="433" spans="1:7" x14ac:dyDescent="0.25">
      <c r="A433" s="5">
        <v>43968</v>
      </c>
      <c r="B433">
        <v>8.6099999999999996E-2</v>
      </c>
      <c r="C433">
        <v>8.6300000000000002E-2</v>
      </c>
      <c r="D433">
        <v>8.3099999999999993E-2</v>
      </c>
      <c r="E433">
        <v>8.3299999999999999E-2</v>
      </c>
      <c r="F433">
        <v>9246012.5099999998</v>
      </c>
      <c r="G433">
        <v>-3.25</v>
      </c>
    </row>
    <row r="434" spans="1:7" x14ac:dyDescent="0.25">
      <c r="A434" s="5">
        <v>43967</v>
      </c>
      <c r="B434">
        <v>8.1000000000000003E-2</v>
      </c>
      <c r="C434">
        <v>8.6999999999999994E-2</v>
      </c>
      <c r="D434">
        <v>8.0399999999999999E-2</v>
      </c>
      <c r="E434">
        <v>8.6199999999999999E-2</v>
      </c>
      <c r="F434">
        <v>7855927.3300000001</v>
      </c>
      <c r="G434">
        <v>6.42</v>
      </c>
    </row>
    <row r="435" spans="1:7" x14ac:dyDescent="0.25">
      <c r="A435" s="5">
        <v>43966</v>
      </c>
      <c r="B435">
        <v>8.2100000000000006E-2</v>
      </c>
      <c r="C435">
        <v>8.5900000000000004E-2</v>
      </c>
      <c r="D435">
        <v>0.08</v>
      </c>
      <c r="E435">
        <v>8.1000000000000003E-2</v>
      </c>
      <c r="F435">
        <v>9102193.8300000001</v>
      </c>
      <c r="G435">
        <v>-1.34</v>
      </c>
    </row>
    <row r="436" spans="1:7" x14ac:dyDescent="0.25">
      <c r="A436" s="5">
        <v>43965</v>
      </c>
      <c r="B436">
        <v>8.5300000000000001E-2</v>
      </c>
      <c r="C436">
        <v>8.6499999999999994E-2</v>
      </c>
      <c r="D436">
        <v>7.9899999999999999E-2</v>
      </c>
      <c r="E436">
        <v>8.2000000000000003E-2</v>
      </c>
      <c r="F436">
        <v>8407004.4600000009</v>
      </c>
      <c r="G436">
        <v>-3.87</v>
      </c>
    </row>
    <row r="437" spans="1:7" x14ac:dyDescent="0.25">
      <c r="A437" s="5">
        <v>43964</v>
      </c>
      <c r="B437">
        <v>8.1500000000000003E-2</v>
      </c>
      <c r="C437">
        <v>8.6300000000000002E-2</v>
      </c>
      <c r="D437">
        <v>7.9600000000000004E-2</v>
      </c>
      <c r="E437">
        <v>8.5199999999999998E-2</v>
      </c>
      <c r="F437">
        <v>9442030.3100000005</v>
      </c>
      <c r="G437">
        <v>4.54</v>
      </c>
    </row>
    <row r="438" spans="1:7" x14ac:dyDescent="0.25">
      <c r="A438" s="5">
        <v>43963</v>
      </c>
      <c r="B438">
        <v>7.5600000000000001E-2</v>
      </c>
      <c r="C438">
        <v>8.2600000000000007E-2</v>
      </c>
      <c r="D438">
        <v>7.5600000000000001E-2</v>
      </c>
      <c r="E438">
        <v>8.14E-2</v>
      </c>
      <c r="F438">
        <v>8573178.3800000008</v>
      </c>
      <c r="G438">
        <v>7.67</v>
      </c>
    </row>
    <row r="439" spans="1:7" x14ac:dyDescent="0.25">
      <c r="A439" s="5">
        <v>43962</v>
      </c>
      <c r="B439">
        <v>7.7799999999999994E-2</v>
      </c>
      <c r="C439">
        <v>7.9399999999999998E-2</v>
      </c>
      <c r="D439">
        <v>7.1099999999999997E-2</v>
      </c>
      <c r="E439">
        <v>7.5700000000000003E-2</v>
      </c>
      <c r="F439">
        <v>9668466.2100000009</v>
      </c>
      <c r="G439">
        <v>-2.7</v>
      </c>
    </row>
    <row r="440" spans="1:7" x14ac:dyDescent="0.25">
      <c r="A440" s="5">
        <v>43961</v>
      </c>
      <c r="B440">
        <v>8.9499999999999996E-2</v>
      </c>
      <c r="C440">
        <v>8.9499999999999996E-2</v>
      </c>
      <c r="D440">
        <v>7.3599999999999999E-2</v>
      </c>
      <c r="E440">
        <v>7.7799999999999994E-2</v>
      </c>
      <c r="F440">
        <v>12090727.029999999</v>
      </c>
      <c r="G440">
        <v>-13.07</v>
      </c>
    </row>
    <row r="441" spans="1:7" x14ac:dyDescent="0.25">
      <c r="A441" s="5">
        <v>43960</v>
      </c>
      <c r="B441">
        <v>9.2200000000000004E-2</v>
      </c>
      <c r="C441">
        <v>9.3600000000000003E-2</v>
      </c>
      <c r="D441">
        <v>8.8800000000000004E-2</v>
      </c>
      <c r="E441">
        <v>8.9399999999999993E-2</v>
      </c>
      <c r="F441">
        <v>10397496.560000001</v>
      </c>
      <c r="G441">
        <v>-3.04</v>
      </c>
    </row>
    <row r="442" spans="1:7" x14ac:dyDescent="0.25">
      <c r="A442" s="5">
        <v>43959</v>
      </c>
      <c r="B442">
        <v>8.5599999999999996E-2</v>
      </c>
      <c r="C442">
        <v>9.5100000000000004E-2</v>
      </c>
      <c r="D442">
        <v>8.5500000000000007E-2</v>
      </c>
      <c r="E442">
        <v>9.2299999999999993E-2</v>
      </c>
      <c r="F442">
        <v>12602065</v>
      </c>
      <c r="G442">
        <v>7.83</v>
      </c>
    </row>
    <row r="443" spans="1:7" x14ac:dyDescent="0.25">
      <c r="A443" s="5">
        <v>43958</v>
      </c>
      <c r="B443">
        <v>8.5500000000000007E-2</v>
      </c>
      <c r="C443">
        <v>8.8599999999999998E-2</v>
      </c>
      <c r="D443">
        <v>8.43E-2</v>
      </c>
      <c r="E443">
        <v>8.5699999999999998E-2</v>
      </c>
      <c r="F443">
        <v>10004755.699999999</v>
      </c>
      <c r="G443">
        <v>0.23</v>
      </c>
    </row>
    <row r="444" spans="1:7" x14ac:dyDescent="0.25">
      <c r="A444" s="5">
        <v>43957</v>
      </c>
      <c r="B444">
        <v>8.9899999999999994E-2</v>
      </c>
      <c r="C444">
        <v>9.1399999999999995E-2</v>
      </c>
      <c r="D444">
        <v>8.5199999999999998E-2</v>
      </c>
      <c r="E444">
        <v>8.5500000000000007E-2</v>
      </c>
      <c r="F444">
        <v>11709051.32</v>
      </c>
      <c r="G444">
        <v>-4.8899999999999997</v>
      </c>
    </row>
    <row r="445" spans="1:7" x14ac:dyDescent="0.25">
      <c r="A445" s="5">
        <v>43956</v>
      </c>
      <c r="B445">
        <v>9.4100000000000003E-2</v>
      </c>
      <c r="C445">
        <v>9.7000000000000003E-2</v>
      </c>
      <c r="D445">
        <v>8.7999999999999995E-2</v>
      </c>
      <c r="E445">
        <v>9.01E-2</v>
      </c>
      <c r="F445">
        <v>11810962.58</v>
      </c>
      <c r="G445">
        <v>-4.25</v>
      </c>
    </row>
    <row r="446" spans="1:7" x14ac:dyDescent="0.25">
      <c r="A446" s="5">
        <v>43955</v>
      </c>
      <c r="B446">
        <v>8.6800000000000002E-2</v>
      </c>
      <c r="C446">
        <v>9.6500000000000002E-2</v>
      </c>
      <c r="D446">
        <v>8.1000000000000003E-2</v>
      </c>
      <c r="E446">
        <v>9.4100000000000003E-2</v>
      </c>
      <c r="F446">
        <v>17016075.870000001</v>
      </c>
      <c r="G446">
        <v>8.41</v>
      </c>
    </row>
    <row r="447" spans="1:7" x14ac:dyDescent="0.25">
      <c r="A447" s="5">
        <v>43954</v>
      </c>
      <c r="B447">
        <v>9.2100000000000001E-2</v>
      </c>
      <c r="C447">
        <v>9.2499999999999999E-2</v>
      </c>
      <c r="D447">
        <v>8.5900000000000004E-2</v>
      </c>
      <c r="E447">
        <v>8.6699999999999999E-2</v>
      </c>
      <c r="F447">
        <v>13158379.949999999</v>
      </c>
      <c r="G447">
        <v>-5.86</v>
      </c>
    </row>
    <row r="448" spans="1:7" x14ac:dyDescent="0.25">
      <c r="A448" s="5">
        <v>43953</v>
      </c>
      <c r="B448">
        <v>9.3100000000000002E-2</v>
      </c>
      <c r="C448">
        <v>9.3600000000000003E-2</v>
      </c>
      <c r="D448">
        <v>8.7999999999999995E-2</v>
      </c>
      <c r="E448">
        <v>9.2200000000000004E-2</v>
      </c>
      <c r="F448">
        <v>11275786.25</v>
      </c>
      <c r="G448">
        <v>-0.97</v>
      </c>
    </row>
    <row r="449" spans="1:7" x14ac:dyDescent="0.25">
      <c r="A449" s="5">
        <v>43952</v>
      </c>
      <c r="B449">
        <v>8.1900000000000001E-2</v>
      </c>
      <c r="C449">
        <v>9.9900000000000003E-2</v>
      </c>
      <c r="D449">
        <v>8.1600000000000006E-2</v>
      </c>
      <c r="E449">
        <v>9.35E-2</v>
      </c>
      <c r="F449">
        <v>23166951.109999999</v>
      </c>
      <c r="G449">
        <v>14.16</v>
      </c>
    </row>
    <row r="450" spans="1:7" x14ac:dyDescent="0.25">
      <c r="A450" s="5">
        <v>43951</v>
      </c>
      <c r="B450">
        <v>8.5900000000000004E-2</v>
      </c>
      <c r="C450">
        <v>8.8999999999999996E-2</v>
      </c>
      <c r="D450">
        <v>7.9000000000000001E-2</v>
      </c>
      <c r="E450">
        <v>8.1699999999999995E-2</v>
      </c>
      <c r="F450">
        <v>12481226.640000001</v>
      </c>
      <c r="G450">
        <v>-4.8899999999999997</v>
      </c>
    </row>
    <row r="451" spans="1:7" x14ac:dyDescent="0.25">
      <c r="A451" s="5">
        <v>43950</v>
      </c>
      <c r="B451">
        <v>8.2600000000000007E-2</v>
      </c>
      <c r="C451">
        <v>8.9800000000000005E-2</v>
      </c>
      <c r="D451">
        <v>8.1900000000000001E-2</v>
      </c>
      <c r="E451">
        <v>8.5900000000000004E-2</v>
      </c>
      <c r="F451">
        <v>13730385.5</v>
      </c>
      <c r="G451">
        <v>4</v>
      </c>
    </row>
    <row r="452" spans="1:7" x14ac:dyDescent="0.25">
      <c r="A452" s="5">
        <v>43949</v>
      </c>
      <c r="B452">
        <v>8.5599999999999996E-2</v>
      </c>
      <c r="C452">
        <v>8.72E-2</v>
      </c>
      <c r="D452">
        <v>8.1500000000000003E-2</v>
      </c>
      <c r="E452">
        <v>8.2199999999999995E-2</v>
      </c>
      <c r="F452">
        <v>12821591.82</v>
      </c>
      <c r="G452">
        <v>-3.97</v>
      </c>
    </row>
    <row r="453" spans="1:7" x14ac:dyDescent="0.25">
      <c r="A453" s="5">
        <v>43948</v>
      </c>
      <c r="B453">
        <v>8.1900000000000001E-2</v>
      </c>
      <c r="C453">
        <v>8.5900000000000004E-2</v>
      </c>
      <c r="D453">
        <v>7.6799999999999993E-2</v>
      </c>
      <c r="E453">
        <v>8.5300000000000001E-2</v>
      </c>
      <c r="F453">
        <v>11240386.810000001</v>
      </c>
      <c r="G453">
        <v>4.1500000000000004</v>
      </c>
    </row>
    <row r="454" spans="1:7" x14ac:dyDescent="0.25">
      <c r="A454" s="5">
        <v>43947</v>
      </c>
      <c r="B454">
        <v>8.2299999999999998E-2</v>
      </c>
      <c r="C454">
        <v>8.6499999999999994E-2</v>
      </c>
      <c r="D454">
        <v>8.0600000000000005E-2</v>
      </c>
      <c r="E454">
        <v>8.1799999999999998E-2</v>
      </c>
      <c r="F454">
        <v>12276548.560000001</v>
      </c>
      <c r="G454">
        <v>-0.61</v>
      </c>
    </row>
    <row r="455" spans="1:7" x14ac:dyDescent="0.25">
      <c r="A455" s="5">
        <v>43946</v>
      </c>
      <c r="B455">
        <v>8.5599999999999996E-2</v>
      </c>
      <c r="C455">
        <v>9.3100000000000002E-2</v>
      </c>
      <c r="D455">
        <v>8.09E-2</v>
      </c>
      <c r="E455">
        <v>8.2400000000000001E-2</v>
      </c>
      <c r="F455">
        <v>20036955.25</v>
      </c>
      <c r="G455">
        <v>-3.74</v>
      </c>
    </row>
    <row r="456" spans="1:7" x14ac:dyDescent="0.25">
      <c r="A456" s="5">
        <v>43945</v>
      </c>
      <c r="B456">
        <v>7.0800000000000002E-2</v>
      </c>
      <c r="C456">
        <v>0.109</v>
      </c>
      <c r="D456">
        <v>7.0800000000000002E-2</v>
      </c>
      <c r="E456">
        <v>8.5599999999999996E-2</v>
      </c>
      <c r="F456">
        <v>48971537.899999999</v>
      </c>
      <c r="G456">
        <v>20.9</v>
      </c>
    </row>
    <row r="457" spans="1:7" x14ac:dyDescent="0.25">
      <c r="A457" s="5">
        <v>43944</v>
      </c>
      <c r="B457">
        <v>6.6400000000000001E-2</v>
      </c>
      <c r="C457">
        <v>7.3400000000000007E-2</v>
      </c>
      <c r="D457">
        <v>6.4699999999999994E-2</v>
      </c>
      <c r="E457">
        <v>7.0900000000000005E-2</v>
      </c>
      <c r="F457">
        <v>10601342.880000001</v>
      </c>
      <c r="G457">
        <v>6.78</v>
      </c>
    </row>
    <row r="458" spans="1:7" x14ac:dyDescent="0.25">
      <c r="A458" s="5">
        <v>43943</v>
      </c>
      <c r="B458">
        <v>5.9700000000000003E-2</v>
      </c>
      <c r="C458">
        <v>6.6799999999999998E-2</v>
      </c>
      <c r="D458">
        <v>5.9200000000000003E-2</v>
      </c>
      <c r="E458">
        <v>6.6400000000000001E-2</v>
      </c>
      <c r="F458">
        <v>7478474.2300000004</v>
      </c>
      <c r="G458">
        <v>11.22</v>
      </c>
    </row>
    <row r="459" spans="1:7" x14ac:dyDescent="0.25">
      <c r="A459" s="5">
        <v>43942</v>
      </c>
      <c r="B459">
        <v>5.9900000000000002E-2</v>
      </c>
      <c r="C459">
        <v>6.1899999999999997E-2</v>
      </c>
      <c r="D459">
        <v>5.8799999999999998E-2</v>
      </c>
      <c r="E459">
        <v>5.9700000000000003E-2</v>
      </c>
      <c r="F459">
        <v>5245724.08</v>
      </c>
      <c r="G459">
        <v>-0.33</v>
      </c>
    </row>
    <row r="460" spans="1:7" x14ac:dyDescent="0.25">
      <c r="A460" s="5">
        <v>43941</v>
      </c>
      <c r="B460">
        <v>6.4100000000000004E-2</v>
      </c>
      <c r="C460">
        <v>6.5799999999999997E-2</v>
      </c>
      <c r="D460">
        <v>5.9499999999999997E-2</v>
      </c>
      <c r="E460">
        <v>5.9900000000000002E-2</v>
      </c>
      <c r="F460">
        <v>6146785.4900000002</v>
      </c>
      <c r="G460">
        <v>-6.55</v>
      </c>
    </row>
    <row r="461" spans="1:7" x14ac:dyDescent="0.25">
      <c r="A461" s="5">
        <v>43940</v>
      </c>
      <c r="B461">
        <v>6.6600000000000006E-2</v>
      </c>
      <c r="C461">
        <v>6.6600000000000006E-2</v>
      </c>
      <c r="D461">
        <v>6.3500000000000001E-2</v>
      </c>
      <c r="E461">
        <v>6.4199999999999993E-2</v>
      </c>
      <c r="F461">
        <v>5872528.7300000004</v>
      </c>
      <c r="G461">
        <v>-3.6</v>
      </c>
    </row>
    <row r="462" spans="1:7" x14ac:dyDescent="0.25">
      <c r="A462" s="5">
        <v>43939</v>
      </c>
      <c r="B462">
        <v>6.4000000000000001E-2</v>
      </c>
      <c r="C462">
        <v>7.0400000000000004E-2</v>
      </c>
      <c r="D462">
        <v>6.4000000000000001E-2</v>
      </c>
      <c r="E462">
        <v>6.6699999999999995E-2</v>
      </c>
      <c r="F462">
        <v>8232331.7000000002</v>
      </c>
      <c r="G462">
        <v>4.22</v>
      </c>
    </row>
    <row r="463" spans="1:7" x14ac:dyDescent="0.25">
      <c r="A463" s="5">
        <v>43938</v>
      </c>
      <c r="B463">
        <v>6.4100000000000004E-2</v>
      </c>
      <c r="C463">
        <v>6.54E-2</v>
      </c>
      <c r="D463">
        <v>6.25E-2</v>
      </c>
      <c r="E463">
        <v>6.4100000000000004E-2</v>
      </c>
      <c r="F463">
        <v>4857352.4000000004</v>
      </c>
      <c r="G463">
        <v>0</v>
      </c>
    </row>
    <row r="464" spans="1:7" x14ac:dyDescent="0.25">
      <c r="A464" s="5">
        <v>43937</v>
      </c>
      <c r="B464">
        <v>6.0699999999999997E-2</v>
      </c>
      <c r="C464">
        <v>6.5000000000000002E-2</v>
      </c>
      <c r="D464">
        <v>5.8599999999999999E-2</v>
      </c>
      <c r="E464">
        <v>6.4100000000000004E-2</v>
      </c>
      <c r="F464">
        <v>6348587.5999999996</v>
      </c>
      <c r="G464">
        <v>5.6</v>
      </c>
    </row>
    <row r="465" spans="1:7" x14ac:dyDescent="0.25">
      <c r="A465" s="5">
        <v>43936</v>
      </c>
      <c r="B465">
        <v>6.3299999999999995E-2</v>
      </c>
      <c r="C465">
        <v>6.4000000000000001E-2</v>
      </c>
      <c r="D465">
        <v>6.0400000000000002E-2</v>
      </c>
      <c r="E465">
        <v>6.0999999999999999E-2</v>
      </c>
      <c r="F465">
        <v>7351679.9699999997</v>
      </c>
      <c r="G465">
        <v>-3.63</v>
      </c>
    </row>
    <row r="466" spans="1:7" x14ac:dyDescent="0.25">
      <c r="A466" s="5">
        <v>43935</v>
      </c>
      <c r="B466">
        <v>6.4399999999999999E-2</v>
      </c>
      <c r="C466">
        <v>6.4699999999999994E-2</v>
      </c>
      <c r="D466">
        <v>6.2199999999999998E-2</v>
      </c>
      <c r="E466">
        <v>6.3399999999999998E-2</v>
      </c>
      <c r="F466">
        <v>4891262.8099999996</v>
      </c>
      <c r="G466">
        <v>-1.55</v>
      </c>
    </row>
    <row r="467" spans="1:7" x14ac:dyDescent="0.25">
      <c r="A467" s="5">
        <v>43934</v>
      </c>
      <c r="B467">
        <v>6.4100000000000004E-2</v>
      </c>
      <c r="C467">
        <v>6.4399999999999999E-2</v>
      </c>
      <c r="D467">
        <v>6.0699999999999997E-2</v>
      </c>
      <c r="E467">
        <v>6.4000000000000001E-2</v>
      </c>
      <c r="F467">
        <v>5855497.1399999997</v>
      </c>
      <c r="G467">
        <v>-0.16</v>
      </c>
    </row>
    <row r="468" spans="1:7" x14ac:dyDescent="0.25">
      <c r="A468" s="5">
        <v>43933</v>
      </c>
      <c r="B468">
        <v>6.4299999999999996E-2</v>
      </c>
      <c r="C468">
        <v>6.8000000000000005E-2</v>
      </c>
      <c r="D468">
        <v>6.2700000000000006E-2</v>
      </c>
      <c r="E468">
        <v>6.4000000000000001E-2</v>
      </c>
      <c r="F468">
        <v>6489580.8200000003</v>
      </c>
      <c r="G468">
        <v>-0.47</v>
      </c>
    </row>
    <row r="469" spans="1:7" x14ac:dyDescent="0.25">
      <c r="A469" s="5">
        <v>43932</v>
      </c>
      <c r="B469">
        <v>6.4799999999999996E-2</v>
      </c>
      <c r="C469">
        <v>6.8099999999999994E-2</v>
      </c>
      <c r="D469">
        <v>6.3E-2</v>
      </c>
      <c r="E469">
        <v>6.4299999999999996E-2</v>
      </c>
      <c r="F469">
        <v>5124486.16</v>
      </c>
      <c r="G469">
        <v>-0.77</v>
      </c>
    </row>
    <row r="470" spans="1:7" x14ac:dyDescent="0.25">
      <c r="A470" s="5">
        <v>43931</v>
      </c>
      <c r="B470">
        <v>7.1999999999999995E-2</v>
      </c>
      <c r="C470">
        <v>8.0299999999999996E-2</v>
      </c>
      <c r="D470">
        <v>0.06</v>
      </c>
      <c r="E470">
        <v>6.4699999999999994E-2</v>
      </c>
      <c r="F470">
        <v>12934216.289999999</v>
      </c>
      <c r="G470">
        <v>-10.14</v>
      </c>
    </row>
    <row r="471" spans="1:7" x14ac:dyDescent="0.25">
      <c r="A471" s="5">
        <v>43930</v>
      </c>
      <c r="B471">
        <v>6.9800000000000001E-2</v>
      </c>
      <c r="C471">
        <v>7.3700000000000002E-2</v>
      </c>
      <c r="D471">
        <v>6.6199999999999995E-2</v>
      </c>
      <c r="E471">
        <v>7.1999999999999995E-2</v>
      </c>
      <c r="F471">
        <v>9026384.5999999996</v>
      </c>
      <c r="G471">
        <v>3.15</v>
      </c>
    </row>
    <row r="472" spans="1:7" x14ac:dyDescent="0.25">
      <c r="A472" s="5">
        <v>43929</v>
      </c>
      <c r="B472">
        <v>6.6699999999999995E-2</v>
      </c>
      <c r="C472">
        <v>6.9900000000000004E-2</v>
      </c>
      <c r="D472">
        <v>6.5799999999999997E-2</v>
      </c>
      <c r="E472">
        <v>6.9800000000000001E-2</v>
      </c>
      <c r="F472">
        <v>6092002.6200000001</v>
      </c>
      <c r="G472">
        <v>4.6500000000000004</v>
      </c>
    </row>
    <row r="473" spans="1:7" x14ac:dyDescent="0.25">
      <c r="A473" s="5">
        <v>43928</v>
      </c>
      <c r="B473">
        <v>6.8500000000000005E-2</v>
      </c>
      <c r="C473">
        <v>7.0999999999999994E-2</v>
      </c>
      <c r="D473">
        <v>6.5199999999999994E-2</v>
      </c>
      <c r="E473">
        <v>6.6799999999999998E-2</v>
      </c>
      <c r="F473">
        <v>7954483.6100000003</v>
      </c>
      <c r="G473">
        <v>-2.48</v>
      </c>
    </row>
    <row r="474" spans="1:7" x14ac:dyDescent="0.25">
      <c r="A474" s="5">
        <v>43927</v>
      </c>
      <c r="B474">
        <v>6.2799999999999995E-2</v>
      </c>
      <c r="C474">
        <v>6.88E-2</v>
      </c>
      <c r="D474">
        <v>6.2700000000000006E-2</v>
      </c>
      <c r="E474">
        <v>6.8500000000000005E-2</v>
      </c>
      <c r="F474">
        <v>8090854.4500000002</v>
      </c>
      <c r="G474">
        <v>9.08</v>
      </c>
    </row>
    <row r="475" spans="1:7" x14ac:dyDescent="0.25">
      <c r="A475" s="5">
        <v>43926</v>
      </c>
      <c r="B475">
        <v>6.4399999999999999E-2</v>
      </c>
      <c r="C475">
        <v>6.54E-2</v>
      </c>
      <c r="D475">
        <v>6.1600000000000002E-2</v>
      </c>
      <c r="E475">
        <v>6.2700000000000006E-2</v>
      </c>
      <c r="F475">
        <v>5773321.5499999998</v>
      </c>
      <c r="G475">
        <v>-2.64</v>
      </c>
    </row>
    <row r="476" spans="1:7" x14ac:dyDescent="0.25">
      <c r="A476" s="5">
        <v>43925</v>
      </c>
      <c r="B476">
        <v>6.5299999999999997E-2</v>
      </c>
      <c r="C476">
        <v>6.6299999999999998E-2</v>
      </c>
      <c r="D476">
        <v>6.3200000000000006E-2</v>
      </c>
      <c r="E476">
        <v>6.4399999999999999E-2</v>
      </c>
      <c r="F476">
        <v>5949196.8799999999</v>
      </c>
      <c r="G476">
        <v>-1.38</v>
      </c>
    </row>
    <row r="477" spans="1:7" x14ac:dyDescent="0.25">
      <c r="A477" s="5">
        <v>43924</v>
      </c>
      <c r="B477">
        <v>6.4799999999999996E-2</v>
      </c>
      <c r="C477">
        <v>6.7900000000000002E-2</v>
      </c>
      <c r="D477">
        <v>6.25E-2</v>
      </c>
      <c r="E477">
        <v>6.5199999999999994E-2</v>
      </c>
      <c r="F477">
        <v>8843671.4000000004</v>
      </c>
      <c r="G477">
        <v>0.62</v>
      </c>
    </row>
    <row r="478" spans="1:7" x14ac:dyDescent="0.25">
      <c r="A478" s="5">
        <v>43923</v>
      </c>
      <c r="B478">
        <v>6.54E-2</v>
      </c>
      <c r="C478">
        <v>6.9800000000000001E-2</v>
      </c>
      <c r="D478">
        <v>6.4100000000000004E-2</v>
      </c>
      <c r="E478">
        <v>6.54E-2</v>
      </c>
      <c r="F478">
        <v>11569576.83</v>
      </c>
      <c r="G478">
        <v>0</v>
      </c>
    </row>
    <row r="479" spans="1:7" x14ac:dyDescent="0.25">
      <c r="A479" s="5">
        <v>43922</v>
      </c>
      <c r="B479">
        <v>5.8900000000000001E-2</v>
      </c>
      <c r="C479">
        <v>6.8000000000000005E-2</v>
      </c>
      <c r="D479">
        <v>5.6800000000000003E-2</v>
      </c>
      <c r="E479">
        <v>6.54E-2</v>
      </c>
      <c r="F479">
        <v>15454574.470000001</v>
      </c>
      <c r="G479">
        <v>11.04</v>
      </c>
    </row>
    <row r="480" spans="1:7" x14ac:dyDescent="0.25">
      <c r="A480" s="5">
        <v>43921</v>
      </c>
      <c r="B480">
        <v>5.8000000000000003E-2</v>
      </c>
      <c r="C480">
        <v>6.0199999999999997E-2</v>
      </c>
      <c r="D480">
        <v>5.6800000000000003E-2</v>
      </c>
      <c r="E480">
        <v>5.8999999999999997E-2</v>
      </c>
      <c r="F480">
        <v>6015517.1100000003</v>
      </c>
      <c r="G480">
        <v>1.72</v>
      </c>
    </row>
    <row r="481" spans="1:7" x14ac:dyDescent="0.25">
      <c r="A481" s="5">
        <v>43920</v>
      </c>
      <c r="B481">
        <v>5.3800000000000001E-2</v>
      </c>
      <c r="C481">
        <v>6.1400000000000003E-2</v>
      </c>
      <c r="D481">
        <v>5.33E-2</v>
      </c>
      <c r="E481">
        <v>5.8299999999999998E-2</v>
      </c>
      <c r="F481">
        <v>7968291.1299999999</v>
      </c>
      <c r="G481">
        <v>8.36</v>
      </c>
    </row>
    <row r="482" spans="1:7" x14ac:dyDescent="0.25">
      <c r="A482" s="5">
        <v>43919</v>
      </c>
      <c r="B482">
        <v>5.8200000000000002E-2</v>
      </c>
      <c r="C482">
        <v>5.8299999999999998E-2</v>
      </c>
      <c r="D482">
        <v>5.2600000000000001E-2</v>
      </c>
      <c r="E482">
        <v>5.3699999999999998E-2</v>
      </c>
      <c r="F482">
        <v>6605792.8799999999</v>
      </c>
      <c r="G482">
        <v>-7.73</v>
      </c>
    </row>
    <row r="483" spans="1:7" x14ac:dyDescent="0.25">
      <c r="A483" s="5">
        <v>43918</v>
      </c>
      <c r="B483">
        <v>5.7700000000000001E-2</v>
      </c>
      <c r="C483">
        <v>5.8799999999999998E-2</v>
      </c>
      <c r="D483">
        <v>5.5500000000000001E-2</v>
      </c>
      <c r="E483">
        <v>5.8299999999999998E-2</v>
      </c>
      <c r="F483">
        <v>7929734.4000000004</v>
      </c>
      <c r="G483">
        <v>1.04</v>
      </c>
    </row>
    <row r="484" spans="1:7" x14ac:dyDescent="0.25">
      <c r="A484" s="5">
        <v>43917</v>
      </c>
      <c r="B484">
        <v>6.1600000000000002E-2</v>
      </c>
      <c r="C484">
        <v>6.6199999999999995E-2</v>
      </c>
      <c r="D484">
        <v>5.7299999999999997E-2</v>
      </c>
      <c r="E484">
        <v>5.8099999999999999E-2</v>
      </c>
      <c r="F484">
        <v>6690463.6100000003</v>
      </c>
      <c r="G484">
        <v>-5.68</v>
      </c>
    </row>
    <row r="485" spans="1:7" x14ac:dyDescent="0.25">
      <c r="A485" s="5">
        <v>43916</v>
      </c>
      <c r="B485">
        <v>5.9799999999999999E-2</v>
      </c>
      <c r="C485">
        <v>6.1499999999999999E-2</v>
      </c>
      <c r="D485">
        <v>5.7599999999999998E-2</v>
      </c>
      <c r="E485">
        <v>6.1499999999999999E-2</v>
      </c>
      <c r="F485">
        <v>4733319.82</v>
      </c>
      <c r="G485">
        <v>2.84</v>
      </c>
    </row>
    <row r="486" spans="1:7" x14ac:dyDescent="0.25">
      <c r="A486" s="5">
        <v>43915</v>
      </c>
      <c r="B486">
        <v>5.8999999999999997E-2</v>
      </c>
      <c r="C486">
        <v>6.0100000000000001E-2</v>
      </c>
      <c r="D486">
        <v>5.5300000000000002E-2</v>
      </c>
      <c r="E486">
        <v>5.9400000000000001E-2</v>
      </c>
      <c r="F486">
        <v>7860833.2699999996</v>
      </c>
      <c r="G486">
        <v>0.68</v>
      </c>
    </row>
    <row r="487" spans="1:7" x14ac:dyDescent="0.25">
      <c r="A487" s="5">
        <v>43914</v>
      </c>
      <c r="B487">
        <v>5.9400000000000001E-2</v>
      </c>
      <c r="C487">
        <v>6.0299999999999999E-2</v>
      </c>
      <c r="D487">
        <v>5.6500000000000002E-2</v>
      </c>
      <c r="E487">
        <v>5.8999999999999997E-2</v>
      </c>
      <c r="F487">
        <v>11503051.01</v>
      </c>
      <c r="G487">
        <v>-0.67</v>
      </c>
    </row>
    <row r="488" spans="1:7" x14ac:dyDescent="0.25">
      <c r="A488" s="5">
        <v>43913</v>
      </c>
      <c r="B488">
        <v>5.5500000000000001E-2</v>
      </c>
      <c r="C488">
        <v>0.06</v>
      </c>
      <c r="D488">
        <v>5.2999999999999999E-2</v>
      </c>
      <c r="E488">
        <v>5.9200000000000003E-2</v>
      </c>
      <c r="F488">
        <v>11255091.890000001</v>
      </c>
      <c r="G488">
        <v>6.67</v>
      </c>
    </row>
    <row r="489" spans="1:7" x14ac:dyDescent="0.25">
      <c r="A489" s="5">
        <v>43912</v>
      </c>
      <c r="B489">
        <v>6.2399999999999997E-2</v>
      </c>
      <c r="C489">
        <v>6.5500000000000003E-2</v>
      </c>
      <c r="D489">
        <v>5.5599999999999997E-2</v>
      </c>
      <c r="E489">
        <v>5.6099999999999997E-2</v>
      </c>
      <c r="F489">
        <v>11438771.65</v>
      </c>
      <c r="G489">
        <v>-10.1</v>
      </c>
    </row>
    <row r="490" spans="1:7" x14ac:dyDescent="0.25">
      <c r="A490" s="5">
        <v>43911</v>
      </c>
      <c r="B490">
        <v>6.1699999999999998E-2</v>
      </c>
      <c r="C490">
        <v>6.5799999999999997E-2</v>
      </c>
      <c r="D490">
        <v>5.7500000000000002E-2</v>
      </c>
      <c r="E490">
        <v>6.2300000000000001E-2</v>
      </c>
      <c r="F490">
        <v>13149176.16</v>
      </c>
      <c r="G490">
        <v>0.97</v>
      </c>
    </row>
    <row r="491" spans="1:7" x14ac:dyDescent="0.25">
      <c r="A491" s="5">
        <v>43910</v>
      </c>
      <c r="B491">
        <v>6.4899999999999999E-2</v>
      </c>
      <c r="C491">
        <v>7.1599999999999997E-2</v>
      </c>
      <c r="D491">
        <v>5.5500000000000001E-2</v>
      </c>
      <c r="E491">
        <v>6.1600000000000002E-2</v>
      </c>
      <c r="F491">
        <v>14272436.76</v>
      </c>
      <c r="G491">
        <v>-5.08</v>
      </c>
    </row>
    <row r="492" spans="1:7" x14ac:dyDescent="0.25">
      <c r="A492" s="5">
        <v>43909</v>
      </c>
      <c r="B492">
        <v>5.3600000000000002E-2</v>
      </c>
      <c r="C492">
        <v>6.7900000000000002E-2</v>
      </c>
      <c r="D492">
        <v>5.3400000000000003E-2</v>
      </c>
      <c r="E492">
        <v>6.4699999999999994E-2</v>
      </c>
      <c r="F492">
        <v>16617486.199999999</v>
      </c>
      <c r="G492">
        <v>20.71</v>
      </c>
    </row>
    <row r="493" spans="1:7" x14ac:dyDescent="0.25">
      <c r="A493" s="5">
        <v>43908</v>
      </c>
      <c r="B493">
        <v>5.3699999999999998E-2</v>
      </c>
      <c r="C493">
        <v>5.5899999999999998E-2</v>
      </c>
      <c r="D493">
        <v>4.8899999999999999E-2</v>
      </c>
      <c r="E493">
        <v>5.3400000000000003E-2</v>
      </c>
      <c r="F493">
        <v>10177003.300000001</v>
      </c>
      <c r="G493">
        <v>-0.56000000000000005</v>
      </c>
    </row>
    <row r="494" spans="1:7" x14ac:dyDescent="0.25">
      <c r="A494" s="5">
        <v>43907</v>
      </c>
      <c r="B494">
        <v>4.9500000000000002E-2</v>
      </c>
      <c r="C494">
        <v>5.6399999999999999E-2</v>
      </c>
      <c r="D494">
        <v>4.8800000000000003E-2</v>
      </c>
      <c r="E494">
        <v>5.3600000000000002E-2</v>
      </c>
      <c r="F494">
        <v>3517789.55</v>
      </c>
      <c r="G494">
        <v>8.2799999999999994</v>
      </c>
    </row>
    <row r="495" spans="1:7" x14ac:dyDescent="0.25">
      <c r="A495" s="5">
        <v>43906</v>
      </c>
      <c r="B495">
        <v>5.7799999999999997E-2</v>
      </c>
      <c r="C495">
        <v>5.79E-2</v>
      </c>
      <c r="D495">
        <v>4.36E-2</v>
      </c>
      <c r="E495">
        <v>4.8500000000000001E-2</v>
      </c>
      <c r="F495">
        <v>8902421.3200000003</v>
      </c>
      <c r="G495">
        <v>-16.09</v>
      </c>
    </row>
    <row r="496" spans="1:7" x14ac:dyDescent="0.25">
      <c r="A496" s="5">
        <v>43905</v>
      </c>
      <c r="B496">
        <v>5.7799999999999997E-2</v>
      </c>
      <c r="C496">
        <v>6.2300000000000001E-2</v>
      </c>
      <c r="D496">
        <v>5.5399999999999998E-2</v>
      </c>
      <c r="E496">
        <v>5.7799999999999997E-2</v>
      </c>
      <c r="F496">
        <v>13801608.220000001</v>
      </c>
      <c r="G496">
        <v>0</v>
      </c>
    </row>
    <row r="497" spans="1:7" x14ac:dyDescent="0.25">
      <c r="A497" s="5">
        <v>43904</v>
      </c>
      <c r="B497">
        <v>6.3500000000000001E-2</v>
      </c>
      <c r="C497">
        <v>6.54E-2</v>
      </c>
      <c r="D497">
        <v>5.6099999999999997E-2</v>
      </c>
      <c r="E497">
        <v>5.7799999999999997E-2</v>
      </c>
      <c r="F497">
        <v>12730345.560000001</v>
      </c>
      <c r="G497">
        <v>-8.98</v>
      </c>
    </row>
    <row r="498" spans="1:7" x14ac:dyDescent="0.25">
      <c r="A498" s="5">
        <v>43903</v>
      </c>
      <c r="B498">
        <v>5.1799999999999999E-2</v>
      </c>
      <c r="C498">
        <v>7.4099999999999999E-2</v>
      </c>
      <c r="D498">
        <v>3.73E-2</v>
      </c>
      <c r="E498">
        <v>6.2399999999999997E-2</v>
      </c>
      <c r="F498">
        <v>12286265.51</v>
      </c>
      <c r="G498">
        <v>20.46</v>
      </c>
    </row>
    <row r="499" spans="1:7" x14ac:dyDescent="0.25">
      <c r="A499" s="5">
        <v>43902</v>
      </c>
      <c r="B499">
        <v>0.10929999999999999</v>
      </c>
      <c r="C499">
        <v>0.1104</v>
      </c>
      <c r="D499">
        <v>5.0099999999999999E-2</v>
      </c>
      <c r="E499">
        <v>5.1400000000000001E-2</v>
      </c>
      <c r="F499">
        <v>19470870.09</v>
      </c>
      <c r="G499">
        <v>-52.97</v>
      </c>
    </row>
    <row r="500" spans="1:7" x14ac:dyDescent="0.25">
      <c r="A500" s="5">
        <v>43901</v>
      </c>
      <c r="B500">
        <v>0.1192</v>
      </c>
      <c r="C500">
        <v>0.12089999999999999</v>
      </c>
      <c r="D500">
        <v>0.1033</v>
      </c>
      <c r="E500">
        <v>0.10920000000000001</v>
      </c>
      <c r="F500">
        <v>12256472.51</v>
      </c>
      <c r="G500">
        <v>-8.39</v>
      </c>
    </row>
    <row r="501" spans="1:7" x14ac:dyDescent="0.25">
      <c r="A501" s="5">
        <v>43900</v>
      </c>
      <c r="B501">
        <v>0.11550000000000001</v>
      </c>
      <c r="C501">
        <v>0.127</v>
      </c>
      <c r="D501">
        <v>0.1138</v>
      </c>
      <c r="E501">
        <v>0.1192</v>
      </c>
      <c r="F501">
        <v>11158156.52</v>
      </c>
      <c r="G501">
        <v>3.2</v>
      </c>
    </row>
    <row r="502" spans="1:7" x14ac:dyDescent="0.25">
      <c r="A502" s="5">
        <v>43899</v>
      </c>
      <c r="B502">
        <v>0.11650000000000001</v>
      </c>
      <c r="C502">
        <v>0.1239</v>
      </c>
      <c r="D502">
        <v>0.1061</v>
      </c>
      <c r="E502">
        <v>0.1159</v>
      </c>
      <c r="F502">
        <v>8421366.2799999993</v>
      </c>
      <c r="G502">
        <v>-0.52</v>
      </c>
    </row>
    <row r="503" spans="1:7" x14ac:dyDescent="0.25">
      <c r="A503" s="5">
        <v>43898</v>
      </c>
      <c r="B503">
        <v>0.14430000000000001</v>
      </c>
      <c r="C503">
        <v>0.14430000000000001</v>
      </c>
      <c r="D503">
        <v>0.11600000000000001</v>
      </c>
      <c r="E503">
        <v>0.1173</v>
      </c>
      <c r="F503">
        <v>9841729.4900000002</v>
      </c>
      <c r="G503">
        <v>-18.71</v>
      </c>
    </row>
    <row r="504" spans="1:7" x14ac:dyDescent="0.25">
      <c r="A504" s="5">
        <v>43897</v>
      </c>
      <c r="B504">
        <v>0.15090000000000001</v>
      </c>
      <c r="C504">
        <v>0.16900000000000001</v>
      </c>
      <c r="D504">
        <v>0.13969999999999999</v>
      </c>
      <c r="E504">
        <v>0.14499999999999999</v>
      </c>
      <c r="F504">
        <v>16241346.359999999</v>
      </c>
      <c r="G504">
        <v>-3.91</v>
      </c>
    </row>
    <row r="505" spans="1:7" x14ac:dyDescent="0.25">
      <c r="A505" s="5">
        <v>43896</v>
      </c>
      <c r="B505">
        <v>0.14480000000000001</v>
      </c>
      <c r="C505">
        <v>0.1537</v>
      </c>
      <c r="D505">
        <v>0.14169999999999999</v>
      </c>
      <c r="E505">
        <v>0.15079999999999999</v>
      </c>
      <c r="F505">
        <v>10130033.529999999</v>
      </c>
      <c r="G505">
        <v>4.1399999999999997</v>
      </c>
    </row>
    <row r="506" spans="1:7" x14ac:dyDescent="0.25">
      <c r="A506" s="5">
        <v>43895</v>
      </c>
      <c r="B506">
        <v>0.13919999999999999</v>
      </c>
      <c r="C506">
        <v>0.1545</v>
      </c>
      <c r="D506">
        <v>0.13639999999999999</v>
      </c>
      <c r="E506">
        <v>0.14560000000000001</v>
      </c>
      <c r="F506">
        <v>13431669.93</v>
      </c>
      <c r="G506">
        <v>4.5999999999999996</v>
      </c>
    </row>
    <row r="507" spans="1:7" x14ac:dyDescent="0.25">
      <c r="A507" s="5">
        <v>43894</v>
      </c>
      <c r="B507">
        <v>0.1447</v>
      </c>
      <c r="C507">
        <v>0.14549999999999999</v>
      </c>
      <c r="D507">
        <v>0.1346</v>
      </c>
      <c r="E507">
        <v>0.13980000000000001</v>
      </c>
      <c r="F507">
        <v>4183926.65</v>
      </c>
      <c r="G507">
        <v>-3.39</v>
      </c>
    </row>
    <row r="508" spans="1:7" x14ac:dyDescent="0.25">
      <c r="A508" s="5">
        <v>43893</v>
      </c>
      <c r="B508">
        <v>0.14760000000000001</v>
      </c>
      <c r="C508">
        <v>0.1525</v>
      </c>
      <c r="D508">
        <v>0.14000000000000001</v>
      </c>
      <c r="E508">
        <v>0.1459</v>
      </c>
      <c r="F508">
        <v>5086735.8</v>
      </c>
      <c r="G508">
        <v>-1.1499999999999999</v>
      </c>
    </row>
    <row r="509" spans="1:7" x14ac:dyDescent="0.25">
      <c r="A509" s="5">
        <v>43892</v>
      </c>
      <c r="B509">
        <v>0.1338</v>
      </c>
      <c r="C509">
        <v>0.1638</v>
      </c>
      <c r="D509">
        <v>0.13020000000000001</v>
      </c>
      <c r="E509">
        <v>0.14760000000000001</v>
      </c>
      <c r="F509">
        <v>9554724.1999999993</v>
      </c>
      <c r="G509">
        <v>10.31</v>
      </c>
    </row>
    <row r="510" spans="1:7" x14ac:dyDescent="0.25">
      <c r="A510" s="5">
        <v>43891</v>
      </c>
      <c r="B510">
        <v>0.1439</v>
      </c>
      <c r="C510">
        <v>0.1469</v>
      </c>
      <c r="D510">
        <v>0.12920000000000001</v>
      </c>
      <c r="E510">
        <v>0.13339999999999999</v>
      </c>
      <c r="F510">
        <v>4073775.09</v>
      </c>
      <c r="G510">
        <v>-7.3</v>
      </c>
    </row>
    <row r="511" spans="1:7" x14ac:dyDescent="0.25">
      <c r="A511" s="5">
        <v>43890</v>
      </c>
      <c r="B511">
        <v>0.14810000000000001</v>
      </c>
      <c r="C511">
        <v>0.153</v>
      </c>
      <c r="D511">
        <v>0.1376</v>
      </c>
      <c r="E511">
        <v>0.14399999999999999</v>
      </c>
      <c r="F511">
        <v>5677786.6200000001</v>
      </c>
      <c r="G511">
        <v>-2.77</v>
      </c>
    </row>
    <row r="512" spans="1:7" x14ac:dyDescent="0.25">
      <c r="A512" s="5">
        <v>43889</v>
      </c>
      <c r="B512">
        <v>0.1615</v>
      </c>
      <c r="C512">
        <v>0.1681</v>
      </c>
      <c r="D512">
        <v>0.14000000000000001</v>
      </c>
      <c r="E512">
        <v>0.1492</v>
      </c>
      <c r="F512">
        <v>6889718.7400000002</v>
      </c>
      <c r="G512">
        <v>-7.62</v>
      </c>
    </row>
    <row r="513" spans="1:7" x14ac:dyDescent="0.25">
      <c r="A513" s="5">
        <v>43888</v>
      </c>
      <c r="B513">
        <v>0.16039999999999999</v>
      </c>
      <c r="C513">
        <v>0.18</v>
      </c>
      <c r="D513">
        <v>0.14899999999999999</v>
      </c>
      <c r="E513">
        <v>0.161</v>
      </c>
      <c r="F513">
        <v>17384981.600000001</v>
      </c>
      <c r="G513">
        <v>0.37</v>
      </c>
    </row>
    <row r="514" spans="1:7" x14ac:dyDescent="0.25">
      <c r="A514" s="5">
        <v>43887</v>
      </c>
      <c r="B514">
        <v>0.1255</v>
      </c>
      <c r="C514">
        <v>0.19009999999999999</v>
      </c>
      <c r="D514">
        <v>0.12429999999999999</v>
      </c>
      <c r="E514">
        <v>0.16039999999999999</v>
      </c>
      <c r="F514">
        <v>38920730.82</v>
      </c>
      <c r="G514">
        <v>27.81</v>
      </c>
    </row>
    <row r="515" spans="1:7" x14ac:dyDescent="0.25">
      <c r="A515" s="5">
        <v>43886</v>
      </c>
      <c r="B515">
        <v>0.14460000000000001</v>
      </c>
      <c r="C515">
        <v>0.1454</v>
      </c>
      <c r="D515">
        <v>0.122</v>
      </c>
      <c r="E515">
        <v>0.12559999999999999</v>
      </c>
      <c r="F515">
        <v>4221866.0199999996</v>
      </c>
      <c r="G515">
        <v>-13.14</v>
      </c>
    </row>
    <row r="516" spans="1:7" x14ac:dyDescent="0.25">
      <c r="A516" s="5">
        <v>43885</v>
      </c>
      <c r="B516">
        <v>0.16209999999999999</v>
      </c>
      <c r="C516">
        <v>0.1656</v>
      </c>
      <c r="D516">
        <v>0.12989999999999999</v>
      </c>
      <c r="E516">
        <v>0.14419999999999999</v>
      </c>
      <c r="F516">
        <v>8481942.6500000004</v>
      </c>
      <c r="G516">
        <v>-11.04</v>
      </c>
    </row>
    <row r="517" spans="1:7" x14ac:dyDescent="0.25">
      <c r="A517" s="5">
        <v>43884</v>
      </c>
      <c r="B517">
        <v>0.1424</v>
      </c>
      <c r="C517">
        <v>0.17169999999999999</v>
      </c>
      <c r="D517">
        <v>0.14219999999999999</v>
      </c>
      <c r="E517">
        <v>0.16209999999999999</v>
      </c>
      <c r="F517">
        <v>13896818.51</v>
      </c>
      <c r="G517">
        <v>13.83</v>
      </c>
    </row>
    <row r="518" spans="1:7" x14ac:dyDescent="0.25">
      <c r="A518" s="5">
        <v>43883</v>
      </c>
      <c r="B518">
        <v>0.13</v>
      </c>
      <c r="C518">
        <v>0.14990000000000001</v>
      </c>
      <c r="D518">
        <v>0.1241</v>
      </c>
      <c r="E518">
        <v>0.1424</v>
      </c>
      <c r="F518">
        <v>4499427.49</v>
      </c>
      <c r="G518">
        <v>9.5399999999999991</v>
      </c>
    </row>
    <row r="519" spans="1:7" x14ac:dyDescent="0.25">
      <c r="A519" s="5">
        <v>43882</v>
      </c>
      <c r="B519">
        <v>0.12379999999999999</v>
      </c>
      <c r="C519">
        <v>0.1404</v>
      </c>
      <c r="D519">
        <v>0.1227</v>
      </c>
      <c r="E519">
        <v>0.1298</v>
      </c>
      <c r="F519">
        <v>3861499.59</v>
      </c>
      <c r="G519">
        <v>4.8499999999999996</v>
      </c>
    </row>
    <row r="520" spans="1:7" x14ac:dyDescent="0.25">
      <c r="A520" s="5">
        <v>43881</v>
      </c>
      <c r="B520">
        <v>0.11650000000000001</v>
      </c>
      <c r="C520">
        <v>0.13270000000000001</v>
      </c>
      <c r="D520">
        <v>0.1137</v>
      </c>
      <c r="E520">
        <v>0.125</v>
      </c>
      <c r="F520">
        <v>3131656.19</v>
      </c>
      <c r="G520">
        <v>7.3</v>
      </c>
    </row>
    <row r="521" spans="1:7" x14ac:dyDescent="0.25">
      <c r="A521" s="5">
        <v>43880</v>
      </c>
      <c r="B521">
        <v>0.1211</v>
      </c>
      <c r="C521">
        <v>0.24</v>
      </c>
      <c r="D521">
        <v>0.111</v>
      </c>
      <c r="E521">
        <v>0.1166</v>
      </c>
      <c r="F521">
        <v>1722922.65</v>
      </c>
      <c r="G521">
        <v>-3.72</v>
      </c>
    </row>
    <row r="522" spans="1:7" x14ac:dyDescent="0.25">
      <c r="A522" s="5"/>
      <c r="C522" s="4"/>
      <c r="D522" s="4"/>
    </row>
    <row r="523" spans="1:7" x14ac:dyDescent="0.25">
      <c r="A523" s="5"/>
      <c r="C523" s="4"/>
      <c r="D523" s="4"/>
    </row>
    <row r="524" spans="1:7" x14ac:dyDescent="0.25">
      <c r="A524" s="5"/>
      <c r="C524" s="4"/>
      <c r="D524" s="4"/>
    </row>
    <row r="525" spans="1:7" x14ac:dyDescent="0.25">
      <c r="A525" s="5"/>
      <c r="C525" s="4"/>
      <c r="D525" s="4"/>
    </row>
    <row r="526" spans="1:7" x14ac:dyDescent="0.25">
      <c r="A526" s="5"/>
      <c r="C526" s="4"/>
      <c r="D526" s="4"/>
    </row>
    <row r="527" spans="1:7" x14ac:dyDescent="0.25">
      <c r="A527" s="5"/>
      <c r="C527" s="4"/>
      <c r="D527" s="4"/>
    </row>
    <row r="528" spans="1:7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2022-01-28T01:13:25Z</dcterms:modified>
</cp:coreProperties>
</file>