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5704BF9-306E-4912-B632-3846AC6F807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74" i="1"/>
  <c r="Q774" i="1" s="1"/>
  <c r="R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74" i="1"/>
  <c r="T77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D118" i="5"/>
  <c r="C116" i="4"/>
  <c r="C122" i="4"/>
  <c r="C133" i="4" s="1"/>
  <c r="C136" i="4" s="1"/>
  <c r="R773" i="1"/>
  <c r="C122" i="3"/>
  <c r="C133" i="3" s="1"/>
  <c r="D136" i="3" s="1"/>
  <c r="C116" i="3"/>
  <c r="C136" i="5" l="1"/>
  <c r="C138" i="5" s="1"/>
  <c r="D136" i="4"/>
  <c r="C138" i="4" s="1"/>
  <c r="R772" i="1"/>
  <c r="S773" i="1"/>
  <c r="T773" i="1" s="1"/>
  <c r="C136" i="3"/>
  <c r="C138" i="3" s="1"/>
  <c r="S772" i="1" l="1"/>
  <c r="T772" i="1" s="1"/>
  <c r="R771" i="1"/>
  <c r="S771" i="1" l="1"/>
  <c r="T771" i="1" s="1"/>
  <c r="R770" i="1"/>
  <c r="S770" i="1" l="1"/>
  <c r="T770" i="1" s="1"/>
  <c r="R769" i="1"/>
  <c r="S769" i="1" l="1"/>
  <c r="T769" i="1" s="1"/>
  <c r="R768" i="1"/>
  <c r="S768" i="1" l="1"/>
  <c r="T768" i="1" s="1"/>
  <c r="R767" i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S756" i="1" l="1"/>
  <c r="T756" i="1" s="1"/>
  <c r="R755" i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S726" i="1" l="1"/>
  <c r="T726" i="1" s="1"/>
  <c r="R725" i="1"/>
  <c r="S725" i="1" l="1"/>
  <c r="T725" i="1" s="1"/>
  <c r="R724" i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S717" i="1" l="1"/>
  <c r="T717" i="1" s="1"/>
  <c r="R716" i="1"/>
  <c r="S716" i="1" l="1"/>
  <c r="T716" i="1" s="1"/>
  <c r="R715" i="1"/>
  <c r="S715" i="1" l="1"/>
  <c r="T715" i="1" s="1"/>
  <c r="R714" i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S699" i="1" l="1"/>
  <c r="T699" i="1" s="1"/>
  <c r="R698" i="1"/>
  <c r="R697" i="1" l="1"/>
  <c r="S698" i="1"/>
  <c r="T698" i="1" s="1"/>
  <c r="S697" i="1" l="1"/>
  <c r="T697" i="1" s="1"/>
  <c r="R696" i="1"/>
  <c r="S696" i="1" l="1"/>
  <c r="T696" i="1" s="1"/>
  <c r="R695" i="1"/>
  <c r="S695" i="1" l="1"/>
  <c r="T695" i="1" s="1"/>
  <c r="R694" i="1"/>
  <c r="R693" i="1" l="1"/>
  <c r="S694" i="1"/>
  <c r="T694" i="1" s="1"/>
  <c r="S693" i="1" l="1"/>
  <c r="T693" i="1" s="1"/>
  <c r="R692" i="1"/>
  <c r="S692" i="1" l="1"/>
  <c r="T692" i="1" s="1"/>
  <c r="R691" i="1"/>
  <c r="R690" i="1" l="1"/>
  <c r="S691" i="1"/>
  <c r="T691" i="1" s="1"/>
  <c r="R689" i="1" l="1"/>
  <c r="S690" i="1"/>
  <c r="T690" i="1" s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S671" i="1" l="1"/>
  <c r="T671" i="1" s="1"/>
  <c r="R670" i="1"/>
  <c r="R669" i="1" l="1"/>
  <c r="S670" i="1"/>
  <c r="T670" i="1" s="1"/>
  <c r="R668" i="1" l="1"/>
  <c r="S669" i="1"/>
  <c r="T669" i="1" s="1"/>
  <c r="S668" i="1" l="1"/>
  <c r="T668" i="1" s="1"/>
  <c r="R667" i="1"/>
  <c r="S667" i="1" l="1"/>
  <c r="T667" i="1" s="1"/>
  <c r="R666" i="1"/>
  <c r="S666" i="1" l="1"/>
  <c r="T666" i="1" s="1"/>
  <c r="R665" i="1"/>
  <c r="R664" i="1" l="1"/>
  <c r="S665" i="1"/>
  <c r="T665" i="1" s="1"/>
  <c r="R663" i="1" l="1"/>
  <c r="S664" i="1"/>
  <c r="T664" i="1" s="1"/>
  <c r="S663" i="1" l="1"/>
  <c r="T663" i="1" s="1"/>
  <c r="R662" i="1"/>
  <c r="S662" i="1" l="1"/>
  <c r="T662" i="1" s="1"/>
  <c r="R661" i="1"/>
  <c r="R660" i="1" l="1"/>
  <c r="S661" i="1"/>
  <c r="T661" i="1" s="1"/>
  <c r="R659" i="1" l="1"/>
  <c r="S660" i="1"/>
  <c r="T660" i="1" s="1"/>
  <c r="S659" i="1" l="1"/>
  <c r="T659" i="1" s="1"/>
  <c r="R658" i="1"/>
  <c r="S658" i="1" l="1"/>
  <c r="T658" i="1" s="1"/>
  <c r="R657" i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S648" i="1" l="1"/>
  <c r="T648" i="1" s="1"/>
  <c r="R647" i="1"/>
  <c r="S647" i="1" l="1"/>
  <c r="T647" i="1" s="1"/>
  <c r="R646" i="1"/>
  <c r="S646" i="1" l="1"/>
  <c r="T646" i="1" s="1"/>
  <c r="R645" i="1"/>
  <c r="R644" i="1" l="1"/>
  <c r="S645" i="1"/>
  <c r="T645" i="1" s="1"/>
  <c r="R643" i="1" l="1"/>
  <c r="S644" i="1"/>
  <c r="T644" i="1" s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S634" i="1" l="1"/>
  <c r="T634" i="1" s="1"/>
  <c r="R633" i="1"/>
  <c r="S633" i="1" l="1"/>
  <c r="T633" i="1" s="1"/>
  <c r="R632" i="1"/>
  <c r="R631" i="1" l="1"/>
  <c r="S632" i="1"/>
  <c r="T632" i="1" s="1"/>
  <c r="R630" i="1" l="1"/>
  <c r="S631" i="1"/>
  <c r="T631" i="1" s="1"/>
  <c r="S630" i="1" l="1"/>
  <c r="T630" i="1" s="1"/>
  <c r="R629" i="1"/>
  <c r="R628" i="1" l="1"/>
  <c r="S629" i="1"/>
  <c r="T629" i="1" s="1"/>
  <c r="S628" i="1" l="1"/>
  <c r="T628" i="1" s="1"/>
  <c r="R627" i="1"/>
  <c r="S627" i="1" l="1"/>
  <c r="T627" i="1" s="1"/>
  <c r="R626" i="1"/>
  <c r="S626" i="1" l="1"/>
  <c r="T626" i="1" s="1"/>
  <c r="R625" i="1"/>
  <c r="R624" i="1" l="1"/>
  <c r="S625" i="1"/>
  <c r="T625" i="1" s="1"/>
  <c r="R623" i="1" l="1"/>
  <c r="S624" i="1"/>
  <c r="T624" i="1" s="1"/>
  <c r="S623" i="1" l="1"/>
  <c r="T623" i="1" s="1"/>
  <c r="R622" i="1"/>
  <c r="R621" i="1" l="1"/>
  <c r="S622" i="1"/>
  <c r="T622" i="1" s="1"/>
  <c r="R620" i="1" l="1"/>
  <c r="S621" i="1"/>
  <c r="T621" i="1" s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S611" i="1" l="1"/>
  <c r="T611" i="1" s="1"/>
  <c r="R610" i="1"/>
  <c r="R609" i="1" l="1"/>
  <c r="S610" i="1"/>
  <c r="T610" i="1" s="1"/>
  <c r="R608" i="1" l="1"/>
  <c r="S609" i="1"/>
  <c r="T609" i="1" s="1"/>
  <c r="S608" i="1" l="1"/>
  <c r="T608" i="1" s="1"/>
  <c r="R607" i="1"/>
  <c r="S607" i="1" l="1"/>
  <c r="T607" i="1" s="1"/>
  <c r="R606" i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S597" i="1" l="1"/>
  <c r="T597" i="1" s="1"/>
  <c r="R596" i="1"/>
  <c r="R595" i="1" l="1"/>
  <c r="S596" i="1"/>
  <c r="T596" i="1" s="1"/>
  <c r="R594" i="1" l="1"/>
  <c r="S595" i="1"/>
  <c r="T595" i="1" s="1"/>
  <c r="S594" i="1" l="1"/>
  <c r="T594" i="1" s="1"/>
  <c r="R593" i="1"/>
  <c r="S593" i="1" l="1"/>
  <c r="T593" i="1" s="1"/>
  <c r="R592" i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R580" i="1" l="1"/>
  <c r="S581" i="1"/>
  <c r="T581" i="1" s="1"/>
  <c r="S580" i="1" l="1"/>
  <c r="T580" i="1" s="1"/>
  <c r="R579" i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S575" i="1" l="1"/>
  <c r="T575" i="1" s="1"/>
  <c r="R574" i="1"/>
  <c r="S574" i="1" l="1"/>
  <c r="T574" i="1" s="1"/>
  <c r="R573" i="1"/>
  <c r="R572" i="1" l="1"/>
  <c r="S573" i="1"/>
  <c r="T573" i="1" s="1"/>
  <c r="R571" i="1" l="1"/>
  <c r="S572" i="1"/>
  <c r="T572" i="1" s="1"/>
  <c r="S571" i="1" l="1"/>
  <c r="T571" i="1" s="1"/>
  <c r="R570" i="1"/>
  <c r="S570" i="1" l="1"/>
  <c r="T570" i="1" s="1"/>
  <c r="R569" i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R521" i="1" l="1"/>
  <c r="S522" i="1"/>
  <c r="T522" i="1" s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R511" i="1" l="1"/>
  <c r="S512" i="1"/>
  <c r="T512" i="1" s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R504" i="1" l="1"/>
  <c r="S505" i="1"/>
  <c r="T505" i="1" s="1"/>
  <c r="R503" i="1" l="1"/>
  <c r="S504" i="1"/>
  <c r="T504" i="1" s="1"/>
  <c r="R502" i="1" l="1"/>
  <c r="S503" i="1"/>
  <c r="T503" i="1" s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R497" i="1" l="1"/>
  <c r="S498" i="1"/>
  <c r="T498" i="1" s="1"/>
  <c r="R496" i="1" l="1"/>
  <c r="S497" i="1"/>
  <c r="T497" i="1" s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S481" i="1" l="1"/>
  <c r="T481" i="1" s="1"/>
  <c r="R480" i="1"/>
  <c r="S480" i="1" l="1"/>
  <c r="T480" i="1" s="1"/>
  <c r="R479" i="1"/>
  <c r="S479" i="1" l="1"/>
  <c r="T479" i="1" s="1"/>
  <c r="R478" i="1"/>
  <c r="S478" i="1" l="1"/>
  <c r="T478" i="1" s="1"/>
  <c r="R477" i="1"/>
  <c r="R476" i="1" l="1"/>
  <c r="S477" i="1"/>
  <c r="T477" i="1" s="1"/>
  <c r="S476" i="1" l="1"/>
  <c r="T476" i="1" s="1"/>
  <c r="R475" i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S466" i="1" l="1"/>
  <c r="T466" i="1" s="1"/>
  <c r="R465" i="1"/>
  <c r="S465" i="1" l="1"/>
  <c r="T465" i="1" s="1"/>
  <c r="R464" i="1"/>
  <c r="R463" i="1" l="1"/>
  <c r="S464" i="1"/>
  <c r="T464" i="1" s="1"/>
  <c r="S463" i="1" l="1"/>
  <c r="T463" i="1" s="1"/>
  <c r="R462" i="1"/>
  <c r="R461" i="1" l="1"/>
  <c r="S462" i="1"/>
  <c r="T462" i="1" s="1"/>
  <c r="S461" i="1" l="1"/>
  <c r="T461" i="1" s="1"/>
  <c r="R460" i="1"/>
  <c r="S460" i="1" l="1"/>
  <c r="T460" i="1" s="1"/>
  <c r="R459" i="1"/>
  <c r="S459" i="1" l="1"/>
  <c r="T459" i="1" s="1"/>
  <c r="R458" i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R436" i="1" l="1"/>
  <c r="S437" i="1"/>
  <c r="T437" i="1" s="1"/>
  <c r="R435" i="1" l="1"/>
  <c r="S436" i="1"/>
  <c r="T436" i="1" s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S421" i="1" l="1"/>
  <c r="T421" i="1" s="1"/>
  <c r="R420" i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S414" i="1" l="1"/>
  <c r="T414" i="1" s="1"/>
  <c r="R413" i="1"/>
  <c r="S413" i="1" l="1"/>
  <c r="T413" i="1" s="1"/>
  <c r="R412" i="1"/>
  <c r="R411" i="1" l="1"/>
  <c r="S412" i="1"/>
  <c r="T412" i="1" s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S377" i="1" l="1"/>
  <c r="T377" i="1" s="1"/>
  <c r="R376" i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S365" i="1" l="1"/>
  <c r="T365" i="1" s="1"/>
  <c r="R364" i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S344" i="1" l="1"/>
  <c r="T344" i="1" s="1"/>
  <c r="R343" i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S338" i="1" l="1"/>
  <c r="T338" i="1" s="1"/>
  <c r="R337" i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S333" i="1" l="1"/>
  <c r="T333" i="1" s="1"/>
  <c r="R332" i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S317" i="1" l="1"/>
  <c r="T317" i="1" s="1"/>
  <c r="R316" i="1"/>
  <c r="R315" i="1" l="1"/>
  <c r="S316" i="1"/>
  <c r="T316" i="1" s="1"/>
  <c r="R314" i="1" l="1"/>
  <c r="S315" i="1"/>
  <c r="T315" i="1" s="1"/>
  <c r="S314" i="1" l="1"/>
  <c r="T314" i="1" s="1"/>
  <c r="R313" i="1"/>
  <c r="R312" i="1" l="1"/>
  <c r="S313" i="1"/>
  <c r="T313" i="1" s="1"/>
  <c r="R311" i="1" l="1"/>
  <c r="S312" i="1"/>
  <c r="T312" i="1" s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R306" i="1" l="1"/>
  <c r="S307" i="1"/>
  <c r="T307" i="1" s="1"/>
  <c r="S306" i="1" l="1"/>
  <c r="T306" i="1" s="1"/>
  <c r="R305" i="1"/>
  <c r="R304" i="1" l="1"/>
  <c r="S305" i="1"/>
  <c r="T305" i="1" s="1"/>
  <c r="S304" i="1" l="1"/>
  <c r="T304" i="1" s="1"/>
  <c r="R303" i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S297" i="1" l="1"/>
  <c r="T297" i="1" s="1"/>
  <c r="R296" i="1"/>
  <c r="R295" i="1" l="1"/>
  <c r="S296" i="1"/>
  <c r="T296" i="1" s="1"/>
  <c r="S295" i="1" l="1"/>
  <c r="T295" i="1" s="1"/>
  <c r="R294" i="1"/>
  <c r="R293" i="1" l="1"/>
  <c r="S294" i="1"/>
  <c r="T294" i="1" s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R288" i="1" l="1"/>
  <c r="S289" i="1"/>
  <c r="T289" i="1" s="1"/>
  <c r="S288" i="1" l="1"/>
  <c r="T288" i="1" s="1"/>
  <c r="R287" i="1"/>
  <c r="S287" i="1" l="1"/>
  <c r="T287" i="1" s="1"/>
  <c r="R286" i="1"/>
  <c r="R285" i="1" l="1"/>
  <c r="S286" i="1"/>
  <c r="T286" i="1" s="1"/>
  <c r="S285" i="1" l="1"/>
  <c r="T285" i="1" s="1"/>
  <c r="R284" i="1"/>
  <c r="R283" i="1" l="1"/>
  <c r="S284" i="1"/>
  <c r="T284" i="1" s="1"/>
  <c r="S283" i="1" l="1"/>
  <c r="T283" i="1" s="1"/>
  <c r="R282" i="1"/>
  <c r="R281" i="1" l="1"/>
  <c r="S282" i="1"/>
  <c r="T282" i="1" s="1"/>
  <c r="S281" i="1" l="1"/>
  <c r="T281" i="1" s="1"/>
  <c r="R280" i="1"/>
  <c r="S280" i="1" l="1"/>
  <c r="T280" i="1" s="1"/>
  <c r="R279" i="1"/>
  <c r="S279" i="1" l="1"/>
  <c r="T279" i="1" s="1"/>
  <c r="R278" i="1"/>
  <c r="S278" i="1" l="1"/>
  <c r="T278" i="1" s="1"/>
  <c r="R277" i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S248" i="1" l="1"/>
  <c r="T248" i="1" s="1"/>
  <c r="R247" i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S226" i="1" l="1"/>
  <c r="T226" i="1" s="1"/>
  <c r="R225" i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S221" i="1" l="1"/>
  <c r="T221" i="1" s="1"/>
  <c r="R220" i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S201" i="1" l="1"/>
  <c r="T201" i="1" s="1"/>
  <c r="R200" i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S193" i="1" l="1"/>
  <c r="T193" i="1" s="1"/>
  <c r="R192" i="1"/>
  <c r="R191" i="1" l="1"/>
  <c r="S192" i="1"/>
  <c r="T192" i="1" s="1"/>
  <c r="S191" i="1" l="1"/>
  <c r="T191" i="1" s="1"/>
  <c r="R190" i="1"/>
  <c r="R189" i="1" l="1"/>
  <c r="S190" i="1"/>
  <c r="T190" i="1" s="1"/>
  <c r="S189" i="1" l="1"/>
  <c r="T189" i="1" s="1"/>
  <c r="R188" i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R183" i="1" l="1"/>
  <c r="S184" i="1"/>
  <c r="T184" i="1" s="1"/>
  <c r="S183" i="1" l="1"/>
  <c r="T183" i="1" s="1"/>
  <c r="R182" i="1"/>
  <c r="S182" i="1" l="1"/>
  <c r="T182" i="1" s="1"/>
  <c r="R181" i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S161" i="1" l="1"/>
  <c r="T161" i="1" s="1"/>
  <c r="R160" i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S141" i="1" l="1"/>
  <c r="T141" i="1" s="1"/>
  <c r="R140" i="1"/>
  <c r="S140" i="1" l="1"/>
  <c r="T140" i="1" s="1"/>
  <c r="R139" i="1"/>
  <c r="S139" i="1" l="1"/>
  <c r="T139" i="1" s="1"/>
  <c r="R138" i="1"/>
  <c r="S138" i="1" l="1"/>
  <c r="T138" i="1" s="1"/>
  <c r="R137" i="1"/>
  <c r="R136" i="1" l="1"/>
  <c r="S137" i="1"/>
  <c r="T137" i="1" s="1"/>
  <c r="S136" i="1" l="1"/>
  <c r="T136" i="1" s="1"/>
  <c r="R135" i="1"/>
  <c r="R134" i="1" l="1"/>
  <c r="S135" i="1"/>
  <c r="T135" i="1" s="1"/>
  <c r="S134" i="1" l="1"/>
  <c r="T134" i="1" s="1"/>
  <c r="R133" i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S121" i="1" l="1"/>
  <c r="T121" i="1" s="1"/>
  <c r="R120" i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S109" i="1" l="1"/>
  <c r="T109" i="1" s="1"/>
  <c r="R108" i="1"/>
  <c r="S108" i="1" l="1"/>
  <c r="T108" i="1" s="1"/>
  <c r="R107" i="1"/>
  <c r="R106" i="1" l="1"/>
  <c r="S107" i="1"/>
  <c r="T107" i="1" s="1"/>
  <c r="S106" i="1" l="1"/>
  <c r="T106" i="1" s="1"/>
  <c r="R105" i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S98" i="1" l="1"/>
  <c r="T98" i="1" s="1"/>
  <c r="R97" i="1"/>
  <c r="R96" i="1" l="1"/>
  <c r="S97" i="1"/>
  <c r="T97" i="1" s="1"/>
  <c r="S96" i="1" l="1"/>
  <c r="T96" i="1" s="1"/>
  <c r="R95" i="1"/>
  <c r="S95" i="1" l="1"/>
  <c r="T95" i="1" s="1"/>
  <c r="R94" i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R87" i="1" l="1"/>
  <c r="S88" i="1"/>
  <c r="T88" i="1" s="1"/>
  <c r="R86" i="1" l="1"/>
  <c r="S87" i="1"/>
  <c r="T87" i="1" s="1"/>
  <c r="S86" i="1" l="1"/>
  <c r="T86" i="1" s="1"/>
  <c r="R85" i="1"/>
  <c r="R84" i="1" l="1"/>
  <c r="S85" i="1"/>
  <c r="T85" i="1" s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S78" i="1" l="1"/>
  <c r="T78" i="1" s="1"/>
  <c r="R77" i="1"/>
  <c r="S77" i="1" l="1"/>
  <c r="T77" i="1" s="1"/>
  <c r="R76" i="1"/>
  <c r="S76" i="1" l="1"/>
  <c r="T76" i="1" s="1"/>
  <c r="R75" i="1"/>
  <c r="S75" i="1" l="1"/>
  <c r="T75" i="1" s="1"/>
  <c r="R74" i="1"/>
  <c r="S74" i="1" l="1"/>
  <c r="T74" i="1" s="1"/>
  <c r="R73" i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S53" i="1" l="1"/>
  <c r="T53" i="1" s="1"/>
  <c r="R52" i="1"/>
  <c r="R51" i="1" l="1"/>
  <c r="S52" i="1"/>
  <c r="T52" i="1" s="1"/>
  <c r="S51" i="1" l="1"/>
  <c r="T51" i="1" s="1"/>
  <c r="R50" i="1"/>
  <c r="S50" i="1" l="1"/>
  <c r="T50" i="1" s="1"/>
  <c r="R49" i="1"/>
  <c r="S49" i="1" l="1"/>
  <c r="T49" i="1" s="1"/>
  <c r="R48" i="1"/>
  <c r="S48" i="1" l="1"/>
  <c r="T48" i="1" s="1"/>
  <c r="R47" i="1"/>
  <c r="R46" i="1" l="1"/>
  <c r="S47" i="1"/>
  <c r="T47" i="1" s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S39" i="1" l="1"/>
  <c r="T39" i="1" s="1"/>
  <c r="R38" i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<sst xmlns="http://schemas.openxmlformats.org/spreadsheetml/2006/main" count="5598" uniqueCount="34">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</sst>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35.799999999999997</c:v>
                </c:pt>
                <c:pt idx="1">
                  <c:v>36.479999999999997</c:v>
                </c:pt>
                <c:pt idx="2">
                  <c:v>36.46</c:v>
                </c:pt>
                <c:pt idx="3">
                  <c:v>35.590000000000003</c:v>
                </c:pt>
                <c:pt idx="4">
                  <c:v>35.99</c:v>
                </c:pt>
                <c:pt idx="5">
                  <c:v>33.44</c:v>
                </c:pt>
                <c:pt idx="6">
                  <c:v>38.520000000000003</c:v>
                </c:pt>
                <c:pt idx="7">
                  <c:v>45.17</c:v>
                </c:pt>
                <c:pt idx="8">
                  <c:v>46.67</c:v>
                </c:pt>
                <c:pt idx="9">
                  <c:v>44.97</c:v>
                </c:pt>
                <c:pt idx="10">
                  <c:v>44.38</c:v>
                </c:pt>
                <c:pt idx="11">
                  <c:v>46.43</c:v>
                </c:pt>
                <c:pt idx="12">
                  <c:v>46</c:v>
                </c:pt>
                <c:pt idx="13">
                  <c:v>44.73</c:v>
                </c:pt>
                <c:pt idx="14">
                  <c:v>40.93</c:v>
                </c:pt>
                <c:pt idx="15">
                  <c:v>41.43</c:v>
                </c:pt>
                <c:pt idx="16">
                  <c:v>39.78</c:v>
                </c:pt>
                <c:pt idx="17">
                  <c:v>38.11</c:v>
                </c:pt>
                <c:pt idx="18">
                  <c:v>37.15</c:v>
                </c:pt>
                <c:pt idx="19">
                  <c:v>35.22</c:v>
                </c:pt>
                <c:pt idx="20">
                  <c:v>35.51</c:v>
                </c:pt>
                <c:pt idx="21">
                  <c:v>38.64</c:v>
                </c:pt>
                <c:pt idx="22">
                  <c:v>38.06</c:v>
                </c:pt>
                <c:pt idx="23">
                  <c:v>41.35</c:v>
                </c:pt>
                <c:pt idx="24">
                  <c:v>40.22</c:v>
                </c:pt>
                <c:pt idx="25">
                  <c:v>40.159999999999997</c:v>
                </c:pt>
                <c:pt idx="26">
                  <c:v>40.200000000000003</c:v>
                </c:pt>
                <c:pt idx="27">
                  <c:v>38.25</c:v>
                </c:pt>
                <c:pt idx="28">
                  <c:v>38.89</c:v>
                </c:pt>
                <c:pt idx="29">
                  <c:v>38.54</c:v>
                </c:pt>
                <c:pt idx="30">
                  <c:v>40.01</c:v>
                </c:pt>
                <c:pt idx="31">
                  <c:v>42.6</c:v>
                </c:pt>
                <c:pt idx="32">
                  <c:v>42.59</c:v>
                </c:pt>
                <c:pt idx="33">
                  <c:v>42.74</c:v>
                </c:pt>
                <c:pt idx="34">
                  <c:v>42.68</c:v>
                </c:pt>
                <c:pt idx="35">
                  <c:v>43.08</c:v>
                </c:pt>
                <c:pt idx="36">
                  <c:v>41.33</c:v>
                </c:pt>
                <c:pt idx="37">
                  <c:v>41.96</c:v>
                </c:pt>
                <c:pt idx="38">
                  <c:v>40.57</c:v>
                </c:pt>
                <c:pt idx="39">
                  <c:v>39.74</c:v>
                </c:pt>
                <c:pt idx="40">
                  <c:v>39.9</c:v>
                </c:pt>
                <c:pt idx="41">
                  <c:v>37.53</c:v>
                </c:pt>
                <c:pt idx="42">
                  <c:v>38.369999999999997</c:v>
                </c:pt>
                <c:pt idx="43">
                  <c:v>39.22</c:v>
                </c:pt>
                <c:pt idx="44">
                  <c:v>38.840000000000003</c:v>
                </c:pt>
                <c:pt idx="45">
                  <c:v>37.71</c:v>
                </c:pt>
                <c:pt idx="46">
                  <c:v>41.26</c:v>
                </c:pt>
                <c:pt idx="47">
                  <c:v>39.01</c:v>
                </c:pt>
                <c:pt idx="48">
                  <c:v>38.65</c:v>
                </c:pt>
                <c:pt idx="49">
                  <c:v>40.19</c:v>
                </c:pt>
                <c:pt idx="50">
                  <c:v>44.05</c:v>
                </c:pt>
                <c:pt idx="51">
                  <c:v>42.86</c:v>
                </c:pt>
                <c:pt idx="52">
                  <c:v>43.94</c:v>
                </c:pt>
                <c:pt idx="53">
                  <c:v>43.84</c:v>
                </c:pt>
                <c:pt idx="54">
                  <c:v>43.94</c:v>
                </c:pt>
                <c:pt idx="55">
                  <c:v>47.04</c:v>
                </c:pt>
                <c:pt idx="56">
                  <c:v>49.37</c:v>
                </c:pt>
                <c:pt idx="57">
                  <c:v>50.81</c:v>
                </c:pt>
                <c:pt idx="58">
                  <c:v>50.65</c:v>
                </c:pt>
                <c:pt idx="59">
                  <c:v>51.65</c:v>
                </c:pt>
                <c:pt idx="60">
                  <c:v>50.87</c:v>
                </c:pt>
                <c:pt idx="61">
                  <c:v>48.04</c:v>
                </c:pt>
                <c:pt idx="62">
                  <c:v>47.6</c:v>
                </c:pt>
                <c:pt idx="63">
                  <c:v>52.99</c:v>
                </c:pt>
                <c:pt idx="64">
                  <c:v>49.65</c:v>
                </c:pt>
                <c:pt idx="65">
                  <c:v>50.52</c:v>
                </c:pt>
                <c:pt idx="66">
                  <c:v>49.37</c:v>
                </c:pt>
                <c:pt idx="67">
                  <c:v>51.78</c:v>
                </c:pt>
                <c:pt idx="68">
                  <c:v>53.38</c:v>
                </c:pt>
                <c:pt idx="69">
                  <c:v>52.42</c:v>
                </c:pt>
                <c:pt idx="70">
                  <c:v>50.27</c:v>
                </c:pt>
                <c:pt idx="71">
                  <c:v>51.55</c:v>
                </c:pt>
                <c:pt idx="72">
                  <c:v>50.32</c:v>
                </c:pt>
                <c:pt idx="73">
                  <c:v>54.92</c:v>
                </c:pt>
                <c:pt idx="74">
                  <c:v>55.99</c:v>
                </c:pt>
                <c:pt idx="75">
                  <c:v>55.69</c:v>
                </c:pt>
                <c:pt idx="76">
                  <c:v>58.02</c:v>
                </c:pt>
                <c:pt idx="77">
                  <c:v>59.17</c:v>
                </c:pt>
                <c:pt idx="78">
                  <c:v>58.95</c:v>
                </c:pt>
                <c:pt idx="79">
                  <c:v>62.36</c:v>
                </c:pt>
                <c:pt idx="80">
                  <c:v>65.25</c:v>
                </c:pt>
                <c:pt idx="81">
                  <c:v>63.99</c:v>
                </c:pt>
                <c:pt idx="82">
                  <c:v>61.47</c:v>
                </c:pt>
                <c:pt idx="83">
                  <c:v>58.85</c:v>
                </c:pt>
                <c:pt idx="84">
                  <c:v>59.64</c:v>
                </c:pt>
                <c:pt idx="85">
                  <c:v>62.49</c:v>
                </c:pt>
                <c:pt idx="86">
                  <c:v>61.16</c:v>
                </c:pt>
                <c:pt idx="87">
                  <c:v>59.12</c:v>
                </c:pt>
                <c:pt idx="88">
                  <c:v>59.36</c:v>
                </c:pt>
                <c:pt idx="89">
                  <c:v>59.54</c:v>
                </c:pt>
                <c:pt idx="90">
                  <c:v>61.42</c:v>
                </c:pt>
                <c:pt idx="91">
                  <c:v>60.22</c:v>
                </c:pt>
                <c:pt idx="92">
                  <c:v>57.97</c:v>
                </c:pt>
                <c:pt idx="93">
                  <c:v>62.73</c:v>
                </c:pt>
                <c:pt idx="94">
                  <c:v>65.73</c:v>
                </c:pt>
                <c:pt idx="95">
                  <c:v>61.81</c:v>
                </c:pt>
                <c:pt idx="96">
                  <c:v>63.41</c:v>
                </c:pt>
                <c:pt idx="97">
                  <c:v>62.88</c:v>
                </c:pt>
                <c:pt idx="98">
                  <c:v>61.6</c:v>
                </c:pt>
                <c:pt idx="99">
                  <c:v>61.36</c:v>
                </c:pt>
                <c:pt idx="100">
                  <c:v>57.08</c:v>
                </c:pt>
                <c:pt idx="101">
                  <c:v>55.5</c:v>
                </c:pt>
                <c:pt idx="102">
                  <c:v>56.38</c:v>
                </c:pt>
                <c:pt idx="103">
                  <c:v>56.33</c:v>
                </c:pt>
                <c:pt idx="104">
                  <c:v>57.03</c:v>
                </c:pt>
                <c:pt idx="105">
                  <c:v>55.47</c:v>
                </c:pt>
                <c:pt idx="106">
                  <c:v>54.08</c:v>
                </c:pt>
                <c:pt idx="107">
                  <c:v>52.81</c:v>
                </c:pt>
                <c:pt idx="108">
                  <c:v>54.53</c:v>
                </c:pt>
                <c:pt idx="109">
                  <c:v>53.4</c:v>
                </c:pt>
                <c:pt idx="110">
                  <c:v>55.98</c:v>
                </c:pt>
                <c:pt idx="111">
                  <c:v>55.14</c:v>
                </c:pt>
                <c:pt idx="112">
                  <c:v>55.74</c:v>
                </c:pt>
                <c:pt idx="113">
                  <c:v>56.77</c:v>
                </c:pt>
                <c:pt idx="114">
                  <c:v>58.84</c:v>
                </c:pt>
                <c:pt idx="115">
                  <c:v>55.96</c:v>
                </c:pt>
                <c:pt idx="116">
                  <c:v>56.85</c:v>
                </c:pt>
                <c:pt idx="117">
                  <c:v>56.11</c:v>
                </c:pt>
                <c:pt idx="118">
                  <c:v>55.23</c:v>
                </c:pt>
                <c:pt idx="119">
                  <c:v>51.68</c:v>
                </c:pt>
                <c:pt idx="120">
                  <c:v>49.92</c:v>
                </c:pt>
                <c:pt idx="121">
                  <c:v>48.14</c:v>
                </c:pt>
                <c:pt idx="122">
                  <c:v>51.66</c:v>
                </c:pt>
                <c:pt idx="123">
                  <c:v>55.82</c:v>
                </c:pt>
                <c:pt idx="124">
                  <c:v>54.84</c:v>
                </c:pt>
                <c:pt idx="125">
                  <c:v>52.9</c:v>
                </c:pt>
                <c:pt idx="126">
                  <c:v>57.6</c:v>
                </c:pt>
                <c:pt idx="127">
                  <c:v>55.78</c:v>
                </c:pt>
                <c:pt idx="128">
                  <c:v>51.37</c:v>
                </c:pt>
                <c:pt idx="129">
                  <c:v>55.46</c:v>
                </c:pt>
                <c:pt idx="130">
                  <c:v>60.79</c:v>
                </c:pt>
                <c:pt idx="131">
                  <c:v>63.73</c:v>
                </c:pt>
                <c:pt idx="132">
                  <c:v>61.57</c:v>
                </c:pt>
                <c:pt idx="133">
                  <c:v>67.45</c:v>
                </c:pt>
                <c:pt idx="134">
                  <c:v>71.13</c:v>
                </c:pt>
                <c:pt idx="135">
                  <c:v>67.680000000000007</c:v>
                </c:pt>
                <c:pt idx="136">
                  <c:v>68.38</c:v>
                </c:pt>
                <c:pt idx="137">
                  <c:v>73.59</c:v>
                </c:pt>
                <c:pt idx="138">
                  <c:v>72.569999999999993</c:v>
                </c:pt>
                <c:pt idx="139">
                  <c:v>72.8</c:v>
                </c:pt>
                <c:pt idx="140">
                  <c:v>79.569999999999993</c:v>
                </c:pt>
                <c:pt idx="141">
                  <c:v>76.27</c:v>
                </c:pt>
                <c:pt idx="142">
                  <c:v>71.11</c:v>
                </c:pt>
                <c:pt idx="143">
                  <c:v>73.349999999999994</c:v>
                </c:pt>
                <c:pt idx="144">
                  <c:v>63.53</c:v>
                </c:pt>
                <c:pt idx="145">
                  <c:v>60.88</c:v>
                </c:pt>
                <c:pt idx="146">
                  <c:v>63.67</c:v>
                </c:pt>
                <c:pt idx="147">
                  <c:v>60.15</c:v>
                </c:pt>
                <c:pt idx="148">
                  <c:v>65.14</c:v>
                </c:pt>
                <c:pt idx="149">
                  <c:v>48.47</c:v>
                </c:pt>
                <c:pt idx="150">
                  <c:v>46.29</c:v>
                </c:pt>
                <c:pt idx="151">
                  <c:v>47.37</c:v>
                </c:pt>
                <c:pt idx="152">
                  <c:v>51.15</c:v>
                </c:pt>
                <c:pt idx="153">
                  <c:v>49.52</c:v>
                </c:pt>
                <c:pt idx="154">
                  <c:v>45.84</c:v>
                </c:pt>
                <c:pt idx="155">
                  <c:v>49.58</c:v>
                </c:pt>
                <c:pt idx="156">
                  <c:v>47.465000000000003</c:v>
                </c:pt>
                <c:pt idx="157">
                  <c:v>50.673000000000002</c:v>
                </c:pt>
                <c:pt idx="158">
                  <c:v>51.033000000000001</c:v>
                </c:pt>
                <c:pt idx="159">
                  <c:v>51.228999999999999</c:v>
                </c:pt>
                <c:pt idx="160">
                  <c:v>50.314999999999998</c:v>
                </c:pt>
                <c:pt idx="161">
                  <c:v>49.755000000000003</c:v>
                </c:pt>
                <c:pt idx="162">
                  <c:v>46.61</c:v>
                </c:pt>
                <c:pt idx="163">
                  <c:v>44.71</c:v>
                </c:pt>
                <c:pt idx="164">
                  <c:v>47.042999999999999</c:v>
                </c:pt>
                <c:pt idx="165">
                  <c:v>51.411000000000001</c:v>
                </c:pt>
                <c:pt idx="166">
                  <c:v>50.155000000000001</c:v>
                </c:pt>
                <c:pt idx="167">
                  <c:v>50.634</c:v>
                </c:pt>
                <c:pt idx="168">
                  <c:v>49.167999999999999</c:v>
                </c:pt>
                <c:pt idx="169">
                  <c:v>50.463999999999999</c:v>
                </c:pt>
                <c:pt idx="170">
                  <c:v>48.884</c:v>
                </c:pt>
                <c:pt idx="171">
                  <c:v>48.779000000000003</c:v>
                </c:pt>
                <c:pt idx="172">
                  <c:v>43.582999999999998</c:v>
                </c:pt>
                <c:pt idx="173">
                  <c:v>44.828000000000003</c:v>
                </c:pt>
                <c:pt idx="174">
                  <c:v>41.203000000000003</c:v>
                </c:pt>
                <c:pt idx="175">
                  <c:v>39.933999999999997</c:v>
                </c:pt>
                <c:pt idx="176">
                  <c:v>37.822000000000003</c:v>
                </c:pt>
                <c:pt idx="177">
                  <c:v>35.947000000000003</c:v>
                </c:pt>
                <c:pt idx="178">
                  <c:v>38.003</c:v>
                </c:pt>
                <c:pt idx="179">
                  <c:v>34.927999999999997</c:v>
                </c:pt>
                <c:pt idx="180">
                  <c:v>35.148000000000003</c:v>
                </c:pt>
                <c:pt idx="181">
                  <c:v>35</c:v>
                </c:pt>
                <c:pt idx="182">
                  <c:v>32.564</c:v>
                </c:pt>
                <c:pt idx="183">
                  <c:v>31.882000000000001</c:v>
                </c:pt>
                <c:pt idx="184">
                  <c:v>31.187000000000001</c:v>
                </c:pt>
                <c:pt idx="185">
                  <c:v>29.754000000000001</c:v>
                </c:pt>
                <c:pt idx="186">
                  <c:v>30.481999999999999</c:v>
                </c:pt>
                <c:pt idx="187">
                  <c:v>30.216000000000001</c:v>
                </c:pt>
                <c:pt idx="188">
                  <c:v>29.577999999999999</c:v>
                </c:pt>
                <c:pt idx="189">
                  <c:v>28.777000000000001</c:v>
                </c:pt>
                <c:pt idx="190">
                  <c:v>28.158999999999999</c:v>
                </c:pt>
                <c:pt idx="191">
                  <c:v>25.797000000000001</c:v>
                </c:pt>
                <c:pt idx="192">
                  <c:v>24.904</c:v>
                </c:pt>
                <c:pt idx="193">
                  <c:v>26.036999999999999</c:v>
                </c:pt>
                <c:pt idx="194">
                  <c:v>26.355</c:v>
                </c:pt>
                <c:pt idx="195">
                  <c:v>25.489000000000001</c:v>
                </c:pt>
                <c:pt idx="196">
                  <c:v>25.940999999999999</c:v>
                </c:pt>
                <c:pt idx="197">
                  <c:v>28.442</c:v>
                </c:pt>
                <c:pt idx="198">
                  <c:v>29.707999999999998</c:v>
                </c:pt>
                <c:pt idx="199">
                  <c:v>30.49</c:v>
                </c:pt>
                <c:pt idx="200">
                  <c:v>30.983000000000001</c:v>
                </c:pt>
                <c:pt idx="201">
                  <c:v>30.164000000000001</c:v>
                </c:pt>
                <c:pt idx="202">
                  <c:v>30.224</c:v>
                </c:pt>
                <c:pt idx="203">
                  <c:v>28.754000000000001</c:v>
                </c:pt>
                <c:pt idx="204">
                  <c:v>30.044</c:v>
                </c:pt>
                <c:pt idx="205">
                  <c:v>28.8</c:v>
                </c:pt>
                <c:pt idx="206">
                  <c:v>25.321000000000002</c:v>
                </c:pt>
                <c:pt idx="207">
                  <c:v>27.465</c:v>
                </c:pt>
                <c:pt idx="208">
                  <c:v>28</c:v>
                </c:pt>
                <c:pt idx="209">
                  <c:v>27.3</c:v>
                </c:pt>
                <c:pt idx="210">
                  <c:v>26.241</c:v>
                </c:pt>
                <c:pt idx="211">
                  <c:v>27.481000000000002</c:v>
                </c:pt>
                <c:pt idx="212">
                  <c:v>26.994</c:v>
                </c:pt>
                <c:pt idx="213">
                  <c:v>25.492000000000001</c:v>
                </c:pt>
                <c:pt idx="214">
                  <c:v>24.594000000000001</c:v>
                </c:pt>
                <c:pt idx="215">
                  <c:v>22.843</c:v>
                </c:pt>
                <c:pt idx="216">
                  <c:v>23.318999999999999</c:v>
                </c:pt>
                <c:pt idx="217">
                  <c:v>26.302</c:v>
                </c:pt>
                <c:pt idx="218">
                  <c:v>26.350999999999999</c:v>
                </c:pt>
                <c:pt idx="219">
                  <c:v>24.870999999999999</c:v>
                </c:pt>
                <c:pt idx="220">
                  <c:v>25.149000000000001</c:v>
                </c:pt>
                <c:pt idx="221">
                  <c:v>29.882000000000001</c:v>
                </c:pt>
                <c:pt idx="222">
                  <c:v>29.56</c:v>
                </c:pt>
                <c:pt idx="223">
                  <c:v>29.754999999999999</c:v>
                </c:pt>
                <c:pt idx="224">
                  <c:v>32.093000000000004</c:v>
                </c:pt>
                <c:pt idx="225">
                  <c:v>31.893999999999998</c:v>
                </c:pt>
                <c:pt idx="226">
                  <c:v>33.834000000000003</c:v>
                </c:pt>
                <c:pt idx="227">
                  <c:v>34.122</c:v>
                </c:pt>
                <c:pt idx="228">
                  <c:v>32.85</c:v>
                </c:pt>
                <c:pt idx="229">
                  <c:v>30.74</c:v>
                </c:pt>
                <c:pt idx="230">
                  <c:v>31.516999999999999</c:v>
                </c:pt>
                <c:pt idx="231">
                  <c:v>32.659999999999997</c:v>
                </c:pt>
                <c:pt idx="232">
                  <c:v>33.643999999999998</c:v>
                </c:pt>
                <c:pt idx="233">
                  <c:v>30.864999999999998</c:v>
                </c:pt>
                <c:pt idx="234">
                  <c:v>31.9</c:v>
                </c:pt>
                <c:pt idx="235">
                  <c:v>33.786999999999999</c:v>
                </c:pt>
                <c:pt idx="236">
                  <c:v>33.508000000000003</c:v>
                </c:pt>
                <c:pt idx="237">
                  <c:v>34.652000000000001</c:v>
                </c:pt>
                <c:pt idx="238">
                  <c:v>36.46</c:v>
                </c:pt>
                <c:pt idx="239">
                  <c:v>34.939</c:v>
                </c:pt>
                <c:pt idx="240">
                  <c:v>33.804000000000002</c:v>
                </c:pt>
                <c:pt idx="241">
                  <c:v>34.026000000000003</c:v>
                </c:pt>
                <c:pt idx="242">
                  <c:v>31.428999999999998</c:v>
                </c:pt>
                <c:pt idx="243">
                  <c:v>30.332999999999998</c:v>
                </c:pt>
                <c:pt idx="244">
                  <c:v>32.225999999999999</c:v>
                </c:pt>
                <c:pt idx="245">
                  <c:v>35.866</c:v>
                </c:pt>
                <c:pt idx="246">
                  <c:v>36.722000000000001</c:v>
                </c:pt>
                <c:pt idx="247">
                  <c:v>33.276000000000003</c:v>
                </c:pt>
                <c:pt idx="248">
                  <c:v>33.268999999999998</c:v>
                </c:pt>
                <c:pt idx="249">
                  <c:v>26.959</c:v>
                </c:pt>
                <c:pt idx="250">
                  <c:v>33.267000000000003</c:v>
                </c:pt>
                <c:pt idx="251">
                  <c:v>36.014000000000003</c:v>
                </c:pt>
                <c:pt idx="252">
                  <c:v>40.686999999999998</c:v>
                </c:pt>
                <c:pt idx="253">
                  <c:v>36.661999999999999</c:v>
                </c:pt>
                <c:pt idx="254">
                  <c:v>50.99</c:v>
                </c:pt>
                <c:pt idx="255">
                  <c:v>50.448</c:v>
                </c:pt>
                <c:pt idx="256">
                  <c:v>54.015000000000001</c:v>
                </c:pt>
                <c:pt idx="257">
                  <c:v>53.3</c:v>
                </c:pt>
                <c:pt idx="258">
                  <c:v>57.863999999999997</c:v>
                </c:pt>
                <c:pt idx="259">
                  <c:v>54.65</c:v>
                </c:pt>
                <c:pt idx="260">
                  <c:v>55.896999999999998</c:v>
                </c:pt>
                <c:pt idx="261">
                  <c:v>61.256999999999998</c:v>
                </c:pt>
                <c:pt idx="262">
                  <c:v>59.194000000000003</c:v>
                </c:pt>
                <c:pt idx="263">
                  <c:v>60.938000000000002</c:v>
                </c:pt>
                <c:pt idx="264">
                  <c:v>61.259</c:v>
                </c:pt>
                <c:pt idx="265">
                  <c:v>58.6</c:v>
                </c:pt>
                <c:pt idx="266">
                  <c:v>57.994</c:v>
                </c:pt>
                <c:pt idx="267">
                  <c:v>58.491999999999997</c:v>
                </c:pt>
                <c:pt idx="268">
                  <c:v>53.844999999999999</c:v>
                </c:pt>
                <c:pt idx="269">
                  <c:v>57.89</c:v>
                </c:pt>
                <c:pt idx="270">
                  <c:v>54.93</c:v>
                </c:pt>
                <c:pt idx="271">
                  <c:v>55.469000000000001</c:v>
                </c:pt>
                <c:pt idx="272">
                  <c:v>54.719000000000001</c:v>
                </c:pt>
                <c:pt idx="273">
                  <c:v>52.383000000000003</c:v>
                </c:pt>
                <c:pt idx="274">
                  <c:v>52.938000000000002</c:v>
                </c:pt>
                <c:pt idx="275">
                  <c:v>53.64</c:v>
                </c:pt>
                <c:pt idx="276">
                  <c:v>50.8</c:v>
                </c:pt>
                <c:pt idx="277">
                  <c:v>46.427999999999997</c:v>
                </c:pt>
                <c:pt idx="278">
                  <c:v>45.493000000000002</c:v>
                </c:pt>
                <c:pt idx="279">
                  <c:v>47.411999999999999</c:v>
                </c:pt>
                <c:pt idx="280">
                  <c:v>48.808999999999997</c:v>
                </c:pt>
                <c:pt idx="281">
                  <c:v>50.886000000000003</c:v>
                </c:pt>
                <c:pt idx="282">
                  <c:v>52.694000000000003</c:v>
                </c:pt>
                <c:pt idx="283">
                  <c:v>49.314</c:v>
                </c:pt>
                <c:pt idx="284">
                  <c:v>50.246000000000002</c:v>
                </c:pt>
                <c:pt idx="285">
                  <c:v>51.593000000000004</c:v>
                </c:pt>
                <c:pt idx="286">
                  <c:v>53.109000000000002</c:v>
                </c:pt>
                <c:pt idx="287">
                  <c:v>56.198</c:v>
                </c:pt>
                <c:pt idx="288">
                  <c:v>56.1</c:v>
                </c:pt>
                <c:pt idx="289">
                  <c:v>55.316000000000003</c:v>
                </c:pt>
                <c:pt idx="290">
                  <c:v>52.825000000000003</c:v>
                </c:pt>
                <c:pt idx="291">
                  <c:v>51.335000000000001</c:v>
                </c:pt>
                <c:pt idx="292">
                  <c:v>49.14</c:v>
                </c:pt>
                <c:pt idx="293">
                  <c:v>49.942</c:v>
                </c:pt>
                <c:pt idx="294">
                  <c:v>48.756999999999998</c:v>
                </c:pt>
                <c:pt idx="295">
                  <c:v>44.435000000000002</c:v>
                </c:pt>
                <c:pt idx="296">
                  <c:v>45.847999999999999</c:v>
                </c:pt>
                <c:pt idx="297">
                  <c:v>43.543999999999997</c:v>
                </c:pt>
                <c:pt idx="298">
                  <c:v>41.383000000000003</c:v>
                </c:pt>
                <c:pt idx="299">
                  <c:v>39.838000000000001</c:v>
                </c:pt>
                <c:pt idx="300">
                  <c:v>41.856999999999999</c:v>
                </c:pt>
                <c:pt idx="301">
                  <c:v>40.604999999999997</c:v>
                </c:pt>
                <c:pt idx="302">
                  <c:v>39.901000000000003</c:v>
                </c:pt>
                <c:pt idx="303">
                  <c:v>40.042000000000002</c:v>
                </c:pt>
                <c:pt idx="304">
                  <c:v>38.662999999999997</c:v>
                </c:pt>
                <c:pt idx="305">
                  <c:v>36.616</c:v>
                </c:pt>
                <c:pt idx="306">
                  <c:v>36.482999999999997</c:v>
                </c:pt>
                <c:pt idx="307">
                  <c:v>35.816000000000003</c:v>
                </c:pt>
                <c:pt idx="308">
                  <c:v>32.667000000000002</c:v>
                </c:pt>
                <c:pt idx="309">
                  <c:v>34.173999999999999</c:v>
                </c:pt>
                <c:pt idx="310">
                  <c:v>36.692999999999998</c:v>
                </c:pt>
                <c:pt idx="311">
                  <c:v>36.771999999999998</c:v>
                </c:pt>
                <c:pt idx="312">
                  <c:v>39.518000000000001</c:v>
                </c:pt>
                <c:pt idx="313">
                  <c:v>40.238</c:v>
                </c:pt>
                <c:pt idx="314">
                  <c:v>40.344000000000001</c:v>
                </c:pt>
                <c:pt idx="315">
                  <c:v>39.765000000000001</c:v>
                </c:pt>
                <c:pt idx="316">
                  <c:v>41.405000000000001</c:v>
                </c:pt>
                <c:pt idx="317">
                  <c:v>40.219000000000001</c:v>
                </c:pt>
                <c:pt idx="318">
                  <c:v>40.460999999999999</c:v>
                </c:pt>
                <c:pt idx="319">
                  <c:v>41.680999999999997</c:v>
                </c:pt>
                <c:pt idx="320">
                  <c:v>40.597999999999999</c:v>
                </c:pt>
                <c:pt idx="321">
                  <c:v>37.046999999999997</c:v>
                </c:pt>
                <c:pt idx="322">
                  <c:v>38.445</c:v>
                </c:pt>
                <c:pt idx="323">
                  <c:v>36.372999999999998</c:v>
                </c:pt>
                <c:pt idx="324">
                  <c:v>37.545000000000002</c:v>
                </c:pt>
                <c:pt idx="325">
                  <c:v>32.048999999999999</c:v>
                </c:pt>
                <c:pt idx="326">
                  <c:v>30.721</c:v>
                </c:pt>
                <c:pt idx="327">
                  <c:v>29.56</c:v>
                </c:pt>
                <c:pt idx="328">
                  <c:v>28.91</c:v>
                </c:pt>
                <c:pt idx="329">
                  <c:v>29.436</c:v>
                </c:pt>
                <c:pt idx="330">
                  <c:v>31.227</c:v>
                </c:pt>
                <c:pt idx="331">
                  <c:v>29.661000000000001</c:v>
                </c:pt>
                <c:pt idx="332">
                  <c:v>29.934000000000001</c:v>
                </c:pt>
                <c:pt idx="333">
                  <c:v>25.914999999999999</c:v>
                </c:pt>
                <c:pt idx="334">
                  <c:v>27.314</c:v>
                </c:pt>
                <c:pt idx="335">
                  <c:v>27.716999999999999</c:v>
                </c:pt>
                <c:pt idx="336">
                  <c:v>28.274000000000001</c:v>
                </c:pt>
                <c:pt idx="337">
                  <c:v>30.114999999999998</c:v>
                </c:pt>
                <c:pt idx="338">
                  <c:v>28.359000000000002</c:v>
                </c:pt>
                <c:pt idx="339">
                  <c:v>33.384999999999998</c:v>
                </c:pt>
                <c:pt idx="340">
                  <c:v>34.192999999999998</c:v>
                </c:pt>
                <c:pt idx="341">
                  <c:v>31.353000000000002</c:v>
                </c:pt>
                <c:pt idx="342">
                  <c:v>34.557000000000002</c:v>
                </c:pt>
                <c:pt idx="343">
                  <c:v>26.193999999999999</c:v>
                </c:pt>
                <c:pt idx="344">
                  <c:v>23.233000000000001</c:v>
                </c:pt>
                <c:pt idx="345">
                  <c:v>20.905000000000001</c:v>
                </c:pt>
                <c:pt idx="346">
                  <c:v>20.216000000000001</c:v>
                </c:pt>
                <c:pt idx="347">
                  <c:v>20.696000000000002</c:v>
                </c:pt>
                <c:pt idx="348">
                  <c:v>20.626000000000001</c:v>
                </c:pt>
                <c:pt idx="349">
                  <c:v>21.158999999999999</c:v>
                </c:pt>
                <c:pt idx="350">
                  <c:v>20.824000000000002</c:v>
                </c:pt>
                <c:pt idx="351">
                  <c:v>20.65</c:v>
                </c:pt>
                <c:pt idx="352">
                  <c:v>18.838000000000001</c:v>
                </c:pt>
                <c:pt idx="353">
                  <c:v>16.797000000000001</c:v>
                </c:pt>
                <c:pt idx="354">
                  <c:v>14.372</c:v>
                </c:pt>
                <c:pt idx="355">
                  <c:v>14.584</c:v>
                </c:pt>
                <c:pt idx="356">
                  <c:v>14.85</c:v>
                </c:pt>
                <c:pt idx="357">
                  <c:v>13.249000000000001</c:v>
                </c:pt>
                <c:pt idx="358">
                  <c:v>13.363</c:v>
                </c:pt>
                <c:pt idx="359">
                  <c:v>12.718</c:v>
                </c:pt>
                <c:pt idx="360">
                  <c:v>11.866</c:v>
                </c:pt>
                <c:pt idx="361">
                  <c:v>11.09</c:v>
                </c:pt>
                <c:pt idx="362">
                  <c:v>11.513999999999999</c:v>
                </c:pt>
                <c:pt idx="363">
                  <c:v>11.839</c:v>
                </c:pt>
                <c:pt idx="364">
                  <c:v>11.587</c:v>
                </c:pt>
                <c:pt idx="365">
                  <c:v>9.5519999999999996</c:v>
                </c:pt>
                <c:pt idx="366">
                  <c:v>10.253</c:v>
                </c:pt>
                <c:pt idx="367">
                  <c:v>9.7989999999999995</c:v>
                </c:pt>
                <c:pt idx="368">
                  <c:v>10.334</c:v>
                </c:pt>
                <c:pt idx="369">
                  <c:v>9.7289999999999992</c:v>
                </c:pt>
                <c:pt idx="370">
                  <c:v>9.8710000000000004</c:v>
                </c:pt>
                <c:pt idx="371">
                  <c:v>8.8320000000000007</c:v>
                </c:pt>
                <c:pt idx="372">
                  <c:v>10.484</c:v>
                </c:pt>
                <c:pt idx="373">
                  <c:v>10.615</c:v>
                </c:pt>
                <c:pt idx="374">
                  <c:v>10.695</c:v>
                </c:pt>
                <c:pt idx="375">
                  <c:v>10.032999999999999</c:v>
                </c:pt>
                <c:pt idx="376">
                  <c:v>9.4280000000000008</c:v>
                </c:pt>
                <c:pt idx="377">
                  <c:v>9.1479999999999997</c:v>
                </c:pt>
                <c:pt idx="378">
                  <c:v>9.6470000000000002</c:v>
                </c:pt>
                <c:pt idx="379">
                  <c:v>9.1660000000000004</c:v>
                </c:pt>
                <c:pt idx="380">
                  <c:v>8.4149999999999991</c:v>
                </c:pt>
                <c:pt idx="381">
                  <c:v>8.5850000000000009</c:v>
                </c:pt>
                <c:pt idx="382">
                  <c:v>9.2840000000000007</c:v>
                </c:pt>
                <c:pt idx="383">
                  <c:v>9.5370000000000008</c:v>
                </c:pt>
                <c:pt idx="384">
                  <c:v>9.3559999999999999</c:v>
                </c:pt>
                <c:pt idx="385">
                  <c:v>9.5709999999999997</c:v>
                </c:pt>
                <c:pt idx="386">
                  <c:v>9.3829999999999991</c:v>
                </c:pt>
                <c:pt idx="387">
                  <c:v>8.6560000000000006</c:v>
                </c:pt>
                <c:pt idx="388">
                  <c:v>7.5350000000000001</c:v>
                </c:pt>
                <c:pt idx="389">
                  <c:v>6.9450000000000003</c:v>
                </c:pt>
                <c:pt idx="390">
                  <c:v>6.2</c:v>
                </c:pt>
                <c:pt idx="391">
                  <c:v>5.806</c:v>
                </c:pt>
                <c:pt idx="392">
                  <c:v>5.758</c:v>
                </c:pt>
                <c:pt idx="393">
                  <c:v>5.7489999999999997</c:v>
                </c:pt>
                <c:pt idx="394">
                  <c:v>5.617</c:v>
                </c:pt>
                <c:pt idx="395">
                  <c:v>5.41</c:v>
                </c:pt>
                <c:pt idx="396">
                  <c:v>5.1429999999999998</c:v>
                </c:pt>
                <c:pt idx="397">
                  <c:v>5.0720000000000001</c:v>
                </c:pt>
                <c:pt idx="398">
                  <c:v>4.9260000000000002</c:v>
                </c:pt>
                <c:pt idx="399">
                  <c:v>4.875</c:v>
                </c:pt>
                <c:pt idx="400">
                  <c:v>4.7460000000000004</c:v>
                </c:pt>
                <c:pt idx="401">
                  <c:v>4.9740000000000002</c:v>
                </c:pt>
                <c:pt idx="402">
                  <c:v>4.8220000000000001</c:v>
                </c:pt>
                <c:pt idx="403">
                  <c:v>4.9790000000000001</c:v>
                </c:pt>
                <c:pt idx="404">
                  <c:v>5.0439999999999996</c:v>
                </c:pt>
                <c:pt idx="405">
                  <c:v>4.92</c:v>
                </c:pt>
                <c:pt idx="406">
                  <c:v>4.867</c:v>
                </c:pt>
                <c:pt idx="407">
                  <c:v>4.8650000000000002</c:v>
                </c:pt>
                <c:pt idx="408">
                  <c:v>4.6379999999999999</c:v>
                </c:pt>
                <c:pt idx="409">
                  <c:v>4.5389999999999997</c:v>
                </c:pt>
                <c:pt idx="410">
                  <c:v>4.4569999999999999</c:v>
                </c:pt>
                <c:pt idx="411">
                  <c:v>4.258</c:v>
                </c:pt>
                <c:pt idx="412">
                  <c:v>4.1050000000000004</c:v>
                </c:pt>
                <c:pt idx="413">
                  <c:v>4.218</c:v>
                </c:pt>
                <c:pt idx="414">
                  <c:v>4.3220000000000001</c:v>
                </c:pt>
                <c:pt idx="415">
                  <c:v>4.218</c:v>
                </c:pt>
                <c:pt idx="416">
                  <c:v>4.4749999999999996</c:v>
                </c:pt>
                <c:pt idx="417">
                  <c:v>4.5309999999999997</c:v>
                </c:pt>
                <c:pt idx="418">
                  <c:v>4.4960000000000004</c:v>
                </c:pt>
                <c:pt idx="419">
                  <c:v>4.3289999999999997</c:v>
                </c:pt>
                <c:pt idx="420">
                  <c:v>4.593</c:v>
                </c:pt>
                <c:pt idx="421">
                  <c:v>4.51</c:v>
                </c:pt>
                <c:pt idx="422">
                  <c:v>4.4950000000000001</c:v>
                </c:pt>
                <c:pt idx="423">
                  <c:v>4.681</c:v>
                </c:pt>
                <c:pt idx="424">
                  <c:v>4.2919999999999998</c:v>
                </c:pt>
                <c:pt idx="425">
                  <c:v>4.109</c:v>
                </c:pt>
                <c:pt idx="426">
                  <c:v>3.9860000000000002</c:v>
                </c:pt>
                <c:pt idx="427">
                  <c:v>3.9180000000000001</c:v>
                </c:pt>
                <c:pt idx="428">
                  <c:v>4.1669999999999998</c:v>
                </c:pt>
                <c:pt idx="429">
                  <c:v>4.3659999999999997</c:v>
                </c:pt>
                <c:pt idx="430">
                  <c:v>4.226</c:v>
                </c:pt>
                <c:pt idx="431">
                  <c:v>4.0739999999999998</c:v>
                </c:pt>
                <c:pt idx="432">
                  <c:v>4.0629999999999997</c:v>
                </c:pt>
                <c:pt idx="433">
                  <c:v>3.96</c:v>
                </c:pt>
                <c:pt idx="434">
                  <c:v>3.7549999999999999</c:v>
                </c:pt>
                <c:pt idx="435">
                  <c:v>3.7930000000000001</c:v>
                </c:pt>
                <c:pt idx="436">
                  <c:v>3.843</c:v>
                </c:pt>
                <c:pt idx="437">
                  <c:v>3.6880000000000002</c:v>
                </c:pt>
                <c:pt idx="438">
                  <c:v>3.589</c:v>
                </c:pt>
                <c:pt idx="439">
                  <c:v>3.6579999999999999</c:v>
                </c:pt>
                <c:pt idx="440">
                  <c:v>3.7360000000000002</c:v>
                </c:pt>
                <c:pt idx="441">
                  <c:v>3.6880000000000002</c:v>
                </c:pt>
                <c:pt idx="442">
                  <c:v>3.6890000000000001</c:v>
                </c:pt>
                <c:pt idx="443">
                  <c:v>3.6520000000000001</c:v>
                </c:pt>
                <c:pt idx="444">
                  <c:v>3.5419999999999998</c:v>
                </c:pt>
                <c:pt idx="445">
                  <c:v>3.544</c:v>
                </c:pt>
                <c:pt idx="446">
                  <c:v>3.4169999999999998</c:v>
                </c:pt>
                <c:pt idx="447">
                  <c:v>3.6320000000000001</c:v>
                </c:pt>
                <c:pt idx="448">
                  <c:v>3.5219999999999998</c:v>
                </c:pt>
                <c:pt idx="449">
                  <c:v>3.3929999999999998</c:v>
                </c:pt>
                <c:pt idx="450">
                  <c:v>3.4670000000000001</c:v>
                </c:pt>
                <c:pt idx="451">
                  <c:v>3.4980000000000002</c:v>
                </c:pt>
                <c:pt idx="452">
                  <c:v>3.641</c:v>
                </c:pt>
                <c:pt idx="453">
                  <c:v>3.7050000000000001</c:v>
                </c:pt>
                <c:pt idx="454">
                  <c:v>3.7250000000000001</c:v>
                </c:pt>
                <c:pt idx="455">
                  <c:v>3.85</c:v>
                </c:pt>
                <c:pt idx="456">
                  <c:v>3.7570000000000001</c:v>
                </c:pt>
                <c:pt idx="457">
                  <c:v>4.0199999999999996</c:v>
                </c:pt>
                <c:pt idx="458">
                  <c:v>3.9279999999999999</c:v>
                </c:pt>
                <c:pt idx="459">
                  <c:v>3.8809999999999998</c:v>
                </c:pt>
                <c:pt idx="460">
                  <c:v>3.94</c:v>
                </c:pt>
                <c:pt idx="461">
                  <c:v>3.8860000000000001</c:v>
                </c:pt>
                <c:pt idx="462">
                  <c:v>3.8839999999999999</c:v>
                </c:pt>
                <c:pt idx="463">
                  <c:v>3.7480000000000002</c:v>
                </c:pt>
                <c:pt idx="464">
                  <c:v>3.573</c:v>
                </c:pt>
                <c:pt idx="465">
                  <c:v>3.6139999999999999</c:v>
                </c:pt>
                <c:pt idx="466">
                  <c:v>3.605</c:v>
                </c:pt>
                <c:pt idx="467">
                  <c:v>3.556</c:v>
                </c:pt>
                <c:pt idx="468">
                  <c:v>3.528</c:v>
                </c:pt>
                <c:pt idx="469">
                  <c:v>3.6440000000000001</c:v>
                </c:pt>
                <c:pt idx="470">
                  <c:v>3.6509999999999998</c:v>
                </c:pt>
                <c:pt idx="471">
                  <c:v>3.657</c:v>
                </c:pt>
                <c:pt idx="472">
                  <c:v>3.641</c:v>
                </c:pt>
                <c:pt idx="473">
                  <c:v>3.532</c:v>
                </c:pt>
                <c:pt idx="474">
                  <c:v>3.51</c:v>
                </c:pt>
                <c:pt idx="475">
                  <c:v>3.5539999999999998</c:v>
                </c:pt>
                <c:pt idx="476">
                  <c:v>3.4740000000000002</c:v>
                </c:pt>
                <c:pt idx="477">
                  <c:v>3.41</c:v>
                </c:pt>
                <c:pt idx="478">
                  <c:v>3.4129999999999998</c:v>
                </c:pt>
                <c:pt idx="479">
                  <c:v>3.5409999999999999</c:v>
                </c:pt>
                <c:pt idx="480">
                  <c:v>3.552</c:v>
                </c:pt>
                <c:pt idx="481">
                  <c:v>3.5419999999999998</c:v>
                </c:pt>
                <c:pt idx="482">
                  <c:v>3.5329999999999999</c:v>
                </c:pt>
                <c:pt idx="483">
                  <c:v>3.6110000000000002</c:v>
                </c:pt>
                <c:pt idx="484">
                  <c:v>3.6539999999999999</c:v>
                </c:pt>
                <c:pt idx="485">
                  <c:v>3.6720000000000002</c:v>
                </c:pt>
                <c:pt idx="486">
                  <c:v>3.5990000000000002</c:v>
                </c:pt>
                <c:pt idx="487">
                  <c:v>3.6179999999999999</c:v>
                </c:pt>
                <c:pt idx="488">
                  <c:v>3.6429999999999998</c:v>
                </c:pt>
                <c:pt idx="489">
                  <c:v>3.6309999999999998</c:v>
                </c:pt>
                <c:pt idx="490">
                  <c:v>3.6469999999999998</c:v>
                </c:pt>
                <c:pt idx="491">
                  <c:v>3.4390000000000001</c:v>
                </c:pt>
                <c:pt idx="492">
                  <c:v>3.6160000000000001</c:v>
                </c:pt>
                <c:pt idx="493">
                  <c:v>3.5910000000000002</c:v>
                </c:pt>
                <c:pt idx="494">
                  <c:v>3.7490000000000001</c:v>
                </c:pt>
                <c:pt idx="495">
                  <c:v>3.8490000000000002</c:v>
                </c:pt>
                <c:pt idx="496">
                  <c:v>3.85</c:v>
                </c:pt>
                <c:pt idx="497">
                  <c:v>3.8530000000000002</c:v>
                </c:pt>
                <c:pt idx="498">
                  <c:v>3.8260000000000001</c:v>
                </c:pt>
                <c:pt idx="499">
                  <c:v>3.8220000000000001</c:v>
                </c:pt>
                <c:pt idx="500">
                  <c:v>4.0819999999999999</c:v>
                </c:pt>
                <c:pt idx="501">
                  <c:v>3.98</c:v>
                </c:pt>
                <c:pt idx="502">
                  <c:v>4.0090000000000003</c:v>
                </c:pt>
                <c:pt idx="503">
                  <c:v>3.8340000000000001</c:v>
                </c:pt>
                <c:pt idx="504">
                  <c:v>3.7909999999999999</c:v>
                </c:pt>
                <c:pt idx="505">
                  <c:v>3.7280000000000002</c:v>
                </c:pt>
                <c:pt idx="506">
                  <c:v>3.593</c:v>
                </c:pt>
                <c:pt idx="507">
                  <c:v>3.6789999999999998</c:v>
                </c:pt>
                <c:pt idx="508">
                  <c:v>3.6539999999999999</c:v>
                </c:pt>
                <c:pt idx="509">
                  <c:v>3.3330000000000002</c:v>
                </c:pt>
                <c:pt idx="510">
                  <c:v>3.6549999999999998</c:v>
                </c:pt>
                <c:pt idx="511">
                  <c:v>3.6150000000000002</c:v>
                </c:pt>
                <c:pt idx="512">
                  <c:v>4.2389999999999999</c:v>
                </c:pt>
                <c:pt idx="513">
                  <c:v>4.4790000000000001</c:v>
                </c:pt>
                <c:pt idx="514">
                  <c:v>4.2080000000000002</c:v>
                </c:pt>
                <c:pt idx="515">
                  <c:v>4.2089999999999996</c:v>
                </c:pt>
                <c:pt idx="516">
                  <c:v>3.9630000000000001</c:v>
                </c:pt>
                <c:pt idx="517">
                  <c:v>3.8109999999999999</c:v>
                </c:pt>
                <c:pt idx="518">
                  <c:v>3.5830000000000002</c:v>
                </c:pt>
                <c:pt idx="519">
                  <c:v>3.621</c:v>
                </c:pt>
                <c:pt idx="520">
                  <c:v>3.4769999999999999</c:v>
                </c:pt>
                <c:pt idx="521">
                  <c:v>3.4769999999999999</c:v>
                </c:pt>
                <c:pt idx="522">
                  <c:v>3.371</c:v>
                </c:pt>
                <c:pt idx="523">
                  <c:v>3.3460000000000001</c:v>
                </c:pt>
                <c:pt idx="524">
                  <c:v>3.2679999999999998</c:v>
                </c:pt>
                <c:pt idx="525">
                  <c:v>3.4470000000000001</c:v>
                </c:pt>
                <c:pt idx="526">
                  <c:v>3.3410000000000002</c:v>
                </c:pt>
                <c:pt idx="527">
                  <c:v>3.5009999999999999</c:v>
                </c:pt>
                <c:pt idx="528">
                  <c:v>3.528</c:v>
                </c:pt>
                <c:pt idx="529">
                  <c:v>3.4489999999999998</c:v>
                </c:pt>
                <c:pt idx="530">
                  <c:v>3.45</c:v>
                </c:pt>
                <c:pt idx="531">
                  <c:v>3.5070000000000001</c:v>
                </c:pt>
                <c:pt idx="532">
                  <c:v>3.456</c:v>
                </c:pt>
                <c:pt idx="533">
                  <c:v>3.355</c:v>
                </c:pt>
                <c:pt idx="534">
                  <c:v>3.31</c:v>
                </c:pt>
                <c:pt idx="535">
                  <c:v>3.508</c:v>
                </c:pt>
                <c:pt idx="536">
                  <c:v>3.45</c:v>
                </c:pt>
                <c:pt idx="537">
                  <c:v>3.5</c:v>
                </c:pt>
                <c:pt idx="538">
                  <c:v>3.4249999999999998</c:v>
                </c:pt>
                <c:pt idx="539">
                  <c:v>3.5289999999999999</c:v>
                </c:pt>
                <c:pt idx="540">
                  <c:v>3.6070000000000002</c:v>
                </c:pt>
                <c:pt idx="541">
                  <c:v>3.4769999999999999</c:v>
                </c:pt>
                <c:pt idx="542">
                  <c:v>3.5459999999999998</c:v>
                </c:pt>
                <c:pt idx="543">
                  <c:v>3.351</c:v>
                </c:pt>
                <c:pt idx="544">
                  <c:v>3.4929999999999999</c:v>
                </c:pt>
                <c:pt idx="545">
                  <c:v>3.4169999999999998</c:v>
                </c:pt>
                <c:pt idx="546">
                  <c:v>3.323</c:v>
                </c:pt>
                <c:pt idx="547">
                  <c:v>3.3260000000000001</c:v>
                </c:pt>
                <c:pt idx="548">
                  <c:v>3.3220000000000001</c:v>
                </c:pt>
                <c:pt idx="549">
                  <c:v>3.4249999999999998</c:v>
                </c:pt>
                <c:pt idx="550">
                  <c:v>3.1190000000000002</c:v>
                </c:pt>
                <c:pt idx="551">
                  <c:v>3.0379999999999998</c:v>
                </c:pt>
                <c:pt idx="552">
                  <c:v>2.9780000000000002</c:v>
                </c:pt>
                <c:pt idx="553">
                  <c:v>3.0059999999999998</c:v>
                </c:pt>
                <c:pt idx="554">
                  <c:v>2.9969999999999999</c:v>
                </c:pt>
                <c:pt idx="555">
                  <c:v>2.9860000000000002</c:v>
                </c:pt>
                <c:pt idx="556">
                  <c:v>2.8860000000000001</c:v>
                </c:pt>
                <c:pt idx="557">
                  <c:v>2.9249999999999998</c:v>
                </c:pt>
                <c:pt idx="558">
                  <c:v>2.923</c:v>
                </c:pt>
                <c:pt idx="559">
                  <c:v>2.94</c:v>
                </c:pt>
                <c:pt idx="560">
                  <c:v>2.9780000000000002</c:v>
                </c:pt>
                <c:pt idx="561">
                  <c:v>3.052</c:v>
                </c:pt>
                <c:pt idx="562">
                  <c:v>3.1030000000000002</c:v>
                </c:pt>
                <c:pt idx="563">
                  <c:v>3.11</c:v>
                </c:pt>
                <c:pt idx="564">
                  <c:v>3.1139999999999999</c:v>
                </c:pt>
                <c:pt idx="565">
                  <c:v>3.0539999999999998</c:v>
                </c:pt>
                <c:pt idx="566">
                  <c:v>3.0350000000000001</c:v>
                </c:pt>
                <c:pt idx="567">
                  <c:v>3.0139999999999998</c:v>
                </c:pt>
                <c:pt idx="568">
                  <c:v>3.0670000000000002</c:v>
                </c:pt>
                <c:pt idx="569">
                  <c:v>2.9740000000000002</c:v>
                </c:pt>
                <c:pt idx="570">
                  <c:v>2.9950000000000001</c:v>
                </c:pt>
                <c:pt idx="571">
                  <c:v>2.8620000000000001</c:v>
                </c:pt>
                <c:pt idx="572">
                  <c:v>2.88</c:v>
                </c:pt>
                <c:pt idx="573">
                  <c:v>2.8570000000000002</c:v>
                </c:pt>
                <c:pt idx="574">
                  <c:v>2.8679999999999999</c:v>
                </c:pt>
                <c:pt idx="575">
                  <c:v>2.9329999999999998</c:v>
                </c:pt>
                <c:pt idx="576">
                  <c:v>2.891</c:v>
                </c:pt>
                <c:pt idx="577">
                  <c:v>2.9039999999999999</c:v>
                </c:pt>
                <c:pt idx="578">
                  <c:v>2.8679999999999999</c:v>
                </c:pt>
                <c:pt idx="579">
                  <c:v>2.8279999999999998</c:v>
                </c:pt>
                <c:pt idx="580">
                  <c:v>2.9079999999999999</c:v>
                </c:pt>
                <c:pt idx="581">
                  <c:v>2.9369999999999998</c:v>
                </c:pt>
                <c:pt idx="582">
                  <c:v>2.9470000000000001</c:v>
                </c:pt>
                <c:pt idx="583">
                  <c:v>3.0430000000000001</c:v>
                </c:pt>
                <c:pt idx="584">
                  <c:v>3.0630000000000002</c:v>
                </c:pt>
                <c:pt idx="585">
                  <c:v>2.9660000000000002</c:v>
                </c:pt>
                <c:pt idx="586">
                  <c:v>2.9790000000000001</c:v>
                </c:pt>
                <c:pt idx="587">
                  <c:v>2.9670000000000001</c:v>
                </c:pt>
                <c:pt idx="588">
                  <c:v>3.0059999999999998</c:v>
                </c:pt>
                <c:pt idx="589">
                  <c:v>3.0270000000000001</c:v>
                </c:pt>
                <c:pt idx="590">
                  <c:v>3.0070000000000001</c:v>
                </c:pt>
                <c:pt idx="591">
                  <c:v>3.0230000000000001</c:v>
                </c:pt>
                <c:pt idx="592">
                  <c:v>2.8460000000000001</c:v>
                </c:pt>
                <c:pt idx="593">
                  <c:v>2.891</c:v>
                </c:pt>
                <c:pt idx="594">
                  <c:v>2.8679999999999999</c:v>
                </c:pt>
                <c:pt idx="595">
                  <c:v>2.806</c:v>
                </c:pt>
                <c:pt idx="596">
                  <c:v>2.98</c:v>
                </c:pt>
                <c:pt idx="597">
                  <c:v>3.004</c:v>
                </c:pt>
                <c:pt idx="598">
                  <c:v>2.9990000000000001</c:v>
                </c:pt>
                <c:pt idx="599">
                  <c:v>2.9849999999999999</c:v>
                </c:pt>
                <c:pt idx="600">
                  <c:v>2.9830000000000001</c:v>
                </c:pt>
                <c:pt idx="601">
                  <c:v>2.9649999999999999</c:v>
                </c:pt>
                <c:pt idx="602">
                  <c:v>2.992</c:v>
                </c:pt>
                <c:pt idx="603">
                  <c:v>2.984</c:v>
                </c:pt>
                <c:pt idx="604">
                  <c:v>2.9369999999999998</c:v>
                </c:pt>
                <c:pt idx="605">
                  <c:v>3.1179999999999999</c:v>
                </c:pt>
                <c:pt idx="606">
                  <c:v>2.9470000000000001</c:v>
                </c:pt>
                <c:pt idx="607">
                  <c:v>3.0470000000000002</c:v>
                </c:pt>
                <c:pt idx="608">
                  <c:v>2.931</c:v>
                </c:pt>
                <c:pt idx="609">
                  <c:v>2.9649999999999999</c:v>
                </c:pt>
                <c:pt idx="610">
                  <c:v>2.8660000000000001</c:v>
                </c:pt>
                <c:pt idx="611">
                  <c:v>2.8140000000000001</c:v>
                </c:pt>
                <c:pt idx="612">
                  <c:v>2.7839999999999998</c:v>
                </c:pt>
                <c:pt idx="613">
                  <c:v>2.7090000000000001</c:v>
                </c:pt>
                <c:pt idx="614">
                  <c:v>2.8450000000000002</c:v>
                </c:pt>
                <c:pt idx="615">
                  <c:v>2.863</c:v>
                </c:pt>
                <c:pt idx="616">
                  <c:v>2.7909999999999999</c:v>
                </c:pt>
                <c:pt idx="617">
                  <c:v>2.9420000000000002</c:v>
                </c:pt>
                <c:pt idx="618">
                  <c:v>3.056</c:v>
                </c:pt>
                <c:pt idx="619">
                  <c:v>3.0310000000000001</c:v>
                </c:pt>
                <c:pt idx="620">
                  <c:v>2.9849999999999999</c:v>
                </c:pt>
                <c:pt idx="621">
                  <c:v>2.9180000000000001</c:v>
                </c:pt>
                <c:pt idx="622">
                  <c:v>2.8690000000000002</c:v>
                </c:pt>
                <c:pt idx="623">
                  <c:v>3</c:v>
                </c:pt>
                <c:pt idx="624">
                  <c:v>2.9140000000000001</c:v>
                </c:pt>
                <c:pt idx="625">
                  <c:v>2.8079999999999998</c:v>
                </c:pt>
                <c:pt idx="626">
                  <c:v>2.72</c:v>
                </c:pt>
                <c:pt idx="627">
                  <c:v>2.7570000000000001</c:v>
                </c:pt>
                <c:pt idx="628">
                  <c:v>3.0209999999999999</c:v>
                </c:pt>
                <c:pt idx="629">
                  <c:v>3.1070000000000002</c:v>
                </c:pt>
                <c:pt idx="630">
                  <c:v>3.1760000000000002</c:v>
                </c:pt>
                <c:pt idx="631">
                  <c:v>3.0190000000000001</c:v>
                </c:pt>
                <c:pt idx="632">
                  <c:v>3.1579999999999999</c:v>
                </c:pt>
                <c:pt idx="633">
                  <c:v>3.13</c:v>
                </c:pt>
                <c:pt idx="634">
                  <c:v>3.1520000000000001</c:v>
                </c:pt>
                <c:pt idx="635">
                  <c:v>3.198</c:v>
                </c:pt>
                <c:pt idx="636">
                  <c:v>3.1890000000000001</c:v>
                </c:pt>
                <c:pt idx="637">
                  <c:v>3.093</c:v>
                </c:pt>
                <c:pt idx="638">
                  <c:v>3.141</c:v>
                </c:pt>
                <c:pt idx="639">
                  <c:v>2.8860000000000001</c:v>
                </c:pt>
                <c:pt idx="640">
                  <c:v>2.887</c:v>
                </c:pt>
                <c:pt idx="641">
                  <c:v>2.8559999999999999</c:v>
                </c:pt>
                <c:pt idx="642">
                  <c:v>2.831</c:v>
                </c:pt>
                <c:pt idx="643">
                  <c:v>2.78</c:v>
                </c:pt>
                <c:pt idx="644">
                  <c:v>2.7789999999999999</c:v>
                </c:pt>
                <c:pt idx="645">
                  <c:v>2.718</c:v>
                </c:pt>
                <c:pt idx="646">
                  <c:v>2.5760000000000001</c:v>
                </c:pt>
                <c:pt idx="647">
                  <c:v>2.58</c:v>
                </c:pt>
                <c:pt idx="648">
                  <c:v>2.738</c:v>
                </c:pt>
                <c:pt idx="649">
                  <c:v>2.7949999999999999</c:v>
                </c:pt>
                <c:pt idx="650">
                  <c:v>2.6970000000000001</c:v>
                </c:pt>
                <c:pt idx="651">
                  <c:v>2.7090000000000001</c:v>
                </c:pt>
                <c:pt idx="652">
                  <c:v>2.5070000000000001</c:v>
                </c:pt>
                <c:pt idx="653">
                  <c:v>2.637</c:v>
                </c:pt>
                <c:pt idx="654">
                  <c:v>2.5680000000000001</c:v>
                </c:pt>
                <c:pt idx="655">
                  <c:v>2.5550000000000002</c:v>
                </c:pt>
                <c:pt idx="656">
                  <c:v>2.5369999999999999</c:v>
                </c:pt>
                <c:pt idx="657">
                  <c:v>2.516</c:v>
                </c:pt>
                <c:pt idx="658">
                  <c:v>2.7130000000000001</c:v>
                </c:pt>
                <c:pt idx="659">
                  <c:v>2.742</c:v>
                </c:pt>
                <c:pt idx="660">
                  <c:v>2.669</c:v>
                </c:pt>
                <c:pt idx="661">
                  <c:v>2.7829999999999999</c:v>
                </c:pt>
                <c:pt idx="662">
                  <c:v>2.5179999999999998</c:v>
                </c:pt>
                <c:pt idx="663">
                  <c:v>2.532</c:v>
                </c:pt>
                <c:pt idx="664">
                  <c:v>2.4849999999999999</c:v>
                </c:pt>
                <c:pt idx="665">
                  <c:v>2.4860000000000002</c:v>
                </c:pt>
                <c:pt idx="666">
                  <c:v>2.4449999999999998</c:v>
                </c:pt>
                <c:pt idx="667">
                  <c:v>2.4020000000000001</c:v>
                </c:pt>
                <c:pt idx="668">
                  <c:v>2.395</c:v>
                </c:pt>
                <c:pt idx="669">
                  <c:v>2.1840000000000002</c:v>
                </c:pt>
                <c:pt idx="670">
                  <c:v>2.3170000000000002</c:v>
                </c:pt>
                <c:pt idx="671">
                  <c:v>2.35</c:v>
                </c:pt>
                <c:pt idx="672">
                  <c:v>2.504</c:v>
                </c:pt>
                <c:pt idx="673">
                  <c:v>2.4580000000000002</c:v>
                </c:pt>
                <c:pt idx="674">
                  <c:v>2.4910000000000001</c:v>
                </c:pt>
                <c:pt idx="675">
                  <c:v>2.448</c:v>
                </c:pt>
                <c:pt idx="676">
                  <c:v>2.2349999999999999</c:v>
                </c:pt>
                <c:pt idx="677">
                  <c:v>2.383</c:v>
                </c:pt>
                <c:pt idx="678">
                  <c:v>2.3780000000000001</c:v>
                </c:pt>
                <c:pt idx="679">
                  <c:v>2.423</c:v>
                </c:pt>
                <c:pt idx="680">
                  <c:v>2.1179999999999999</c:v>
                </c:pt>
                <c:pt idx="681">
                  <c:v>2.1070000000000002</c:v>
                </c:pt>
                <c:pt idx="682">
                  <c:v>2.016</c:v>
                </c:pt>
                <c:pt idx="683">
                  <c:v>2.0910000000000002</c:v>
                </c:pt>
                <c:pt idx="684">
                  <c:v>2.0299999999999998</c:v>
                </c:pt>
                <c:pt idx="685">
                  <c:v>2.0529999999999999</c:v>
                </c:pt>
                <c:pt idx="686">
                  <c:v>2.085</c:v>
                </c:pt>
                <c:pt idx="687">
                  <c:v>2.383</c:v>
                </c:pt>
                <c:pt idx="688">
                  <c:v>2.4500000000000002</c:v>
                </c:pt>
                <c:pt idx="689">
                  <c:v>2.4089999999999998</c:v>
                </c:pt>
                <c:pt idx="690">
                  <c:v>2.4260000000000002</c:v>
                </c:pt>
                <c:pt idx="691">
                  <c:v>2.6720000000000002</c:v>
                </c:pt>
                <c:pt idx="692">
                  <c:v>2.8039999999999998</c:v>
                </c:pt>
                <c:pt idx="693">
                  <c:v>2.726</c:v>
                </c:pt>
                <c:pt idx="694">
                  <c:v>2.633</c:v>
                </c:pt>
                <c:pt idx="695">
                  <c:v>2.6389999999999998</c:v>
                </c:pt>
                <c:pt idx="696">
                  <c:v>2.6779999999999999</c:v>
                </c:pt>
                <c:pt idx="697">
                  <c:v>2.556</c:v>
                </c:pt>
                <c:pt idx="698">
                  <c:v>2.5760000000000001</c:v>
                </c:pt>
                <c:pt idx="699">
                  <c:v>2.617</c:v>
                </c:pt>
                <c:pt idx="700">
                  <c:v>2.448</c:v>
                </c:pt>
                <c:pt idx="701">
                  <c:v>2.2850000000000001</c:v>
                </c:pt>
                <c:pt idx="702">
                  <c:v>2.46</c:v>
                </c:pt>
                <c:pt idx="703">
                  <c:v>2.6339999999999999</c:v>
                </c:pt>
                <c:pt idx="704">
                  <c:v>2.7559999999999998</c:v>
                </c:pt>
                <c:pt idx="705">
                  <c:v>2.673</c:v>
                </c:pt>
                <c:pt idx="706">
                  <c:v>2.6880000000000002</c:v>
                </c:pt>
                <c:pt idx="707">
                  <c:v>2.6280000000000001</c:v>
                </c:pt>
                <c:pt idx="708">
                  <c:v>2.6520000000000001</c:v>
                </c:pt>
                <c:pt idx="709">
                  <c:v>2.85</c:v>
                </c:pt>
                <c:pt idx="710">
                  <c:v>2.7280000000000002</c:v>
                </c:pt>
                <c:pt idx="711">
                  <c:v>2.952</c:v>
                </c:pt>
                <c:pt idx="712">
                  <c:v>2.5219999999999998</c:v>
                </c:pt>
                <c:pt idx="713">
                  <c:v>2.5619999999999998</c:v>
                </c:pt>
                <c:pt idx="714">
                  <c:v>2.52</c:v>
                </c:pt>
                <c:pt idx="715">
                  <c:v>2.5779999999999998</c:v>
                </c:pt>
                <c:pt idx="716">
                  <c:v>2.5569999999999999</c:v>
                </c:pt>
                <c:pt idx="717">
                  <c:v>2.492</c:v>
                </c:pt>
                <c:pt idx="718">
                  <c:v>2.4089999999999998</c:v>
                </c:pt>
                <c:pt idx="719">
                  <c:v>2.3820000000000001</c:v>
                </c:pt>
                <c:pt idx="720">
                  <c:v>2.3879999999999999</c:v>
                </c:pt>
                <c:pt idx="721">
                  <c:v>2.4129999999999998</c:v>
                </c:pt>
                <c:pt idx="722">
                  <c:v>2.3420000000000001</c:v>
                </c:pt>
                <c:pt idx="723">
                  <c:v>2.2480000000000002</c:v>
                </c:pt>
                <c:pt idx="724">
                  <c:v>2.302</c:v>
                </c:pt>
                <c:pt idx="725">
                  <c:v>2.3180000000000001</c:v>
                </c:pt>
                <c:pt idx="726">
                  <c:v>2.351</c:v>
                </c:pt>
                <c:pt idx="727">
                  <c:v>2.367</c:v>
                </c:pt>
                <c:pt idx="728">
                  <c:v>2.4039999999999999</c:v>
                </c:pt>
                <c:pt idx="729">
                  <c:v>2.3479999999999999</c:v>
                </c:pt>
                <c:pt idx="730">
                  <c:v>2.4460000000000002</c:v>
                </c:pt>
                <c:pt idx="731">
                  <c:v>2.3719999999999999</c:v>
                </c:pt>
                <c:pt idx="732">
                  <c:v>2.2839999999999998</c:v>
                </c:pt>
                <c:pt idx="733">
                  <c:v>2.2240000000000002</c:v>
                </c:pt>
                <c:pt idx="734">
                  <c:v>2.2559999999999998</c:v>
                </c:pt>
                <c:pt idx="735">
                  <c:v>2.2360000000000002</c:v>
                </c:pt>
                <c:pt idx="736">
                  <c:v>2.3149999999999999</c:v>
                </c:pt>
                <c:pt idx="737">
                  <c:v>2.351</c:v>
                </c:pt>
                <c:pt idx="738">
                  <c:v>2.266</c:v>
                </c:pt>
                <c:pt idx="739">
                  <c:v>2.2839999999999998</c:v>
                </c:pt>
                <c:pt idx="740">
                  <c:v>2.3769999999999998</c:v>
                </c:pt>
                <c:pt idx="741">
                  <c:v>2.3860000000000001</c:v>
                </c:pt>
                <c:pt idx="742">
                  <c:v>2.4</c:v>
                </c:pt>
                <c:pt idx="743">
                  <c:v>2.367</c:v>
                </c:pt>
                <c:pt idx="744">
                  <c:v>2.1760000000000002</c:v>
                </c:pt>
                <c:pt idx="745">
                  <c:v>2.1549999999999998</c:v>
                </c:pt>
                <c:pt idx="746">
                  <c:v>2.1829999999999998</c:v>
                </c:pt>
                <c:pt idx="747">
                  <c:v>2.1469999999999998</c:v>
                </c:pt>
                <c:pt idx="748">
                  <c:v>2.2280000000000002</c:v>
                </c:pt>
                <c:pt idx="749">
                  <c:v>2.161</c:v>
                </c:pt>
                <c:pt idx="750">
                  <c:v>2.1760000000000002</c:v>
                </c:pt>
                <c:pt idx="751">
                  <c:v>2.1659999999999999</c:v>
                </c:pt>
                <c:pt idx="752">
                  <c:v>2.1829999999999998</c:v>
                </c:pt>
                <c:pt idx="753">
                  <c:v>2.1389999999999998</c:v>
                </c:pt>
                <c:pt idx="754">
                  <c:v>2.1640000000000001</c:v>
                </c:pt>
                <c:pt idx="755">
                  <c:v>2.2040000000000002</c:v>
                </c:pt>
                <c:pt idx="756">
                  <c:v>2.1419999999999999</c:v>
                </c:pt>
                <c:pt idx="757">
                  <c:v>2.1440000000000001</c:v>
                </c:pt>
                <c:pt idx="758">
                  <c:v>2.1440000000000001</c:v>
                </c:pt>
                <c:pt idx="759">
                  <c:v>2.1669999999999998</c:v>
                </c:pt>
                <c:pt idx="760">
                  <c:v>2.21</c:v>
                </c:pt>
                <c:pt idx="761">
                  <c:v>2.181</c:v>
                </c:pt>
                <c:pt idx="762">
                  <c:v>2.149</c:v>
                </c:pt>
                <c:pt idx="763">
                  <c:v>2.141</c:v>
                </c:pt>
                <c:pt idx="764">
                  <c:v>2.141</c:v>
                </c:pt>
                <c:pt idx="765">
                  <c:v>2.161</c:v>
                </c:pt>
                <c:pt idx="766">
                  <c:v>2.1909999999999998</c:v>
                </c:pt>
                <c:pt idx="767">
                  <c:v>2.2749999999999999</c:v>
                </c:pt>
                <c:pt idx="768">
                  <c:v>2.149</c:v>
                </c:pt>
                <c:pt idx="769">
                  <c:v>2.1549999999999998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8-489D-8248-C0B8E5C9567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0.33543915586479234</c:v>
                </c:pt>
                <c:pt idx="1">
                  <c:v>0.33598186583635198</c:v>
                </c:pt>
                <c:pt idx="2">
                  <c:v>0.34045227563948588</c:v>
                </c:pt>
                <c:pt idx="3">
                  <c:v>0.33630710332375546</c:v>
                </c:pt>
                <c:pt idx="4">
                  <c:v>0.32671136297928949</c:v>
                </c:pt>
                <c:pt idx="5">
                  <c:v>0.32015671890548753</c:v>
                </c:pt>
                <c:pt idx="6">
                  <c:v>0.32916422348761687</c:v>
                </c:pt>
                <c:pt idx="7">
                  <c:v>0.34308743702168404</c:v>
                </c:pt>
                <c:pt idx="8">
                  <c:v>0.35299995971565995</c:v>
                </c:pt>
                <c:pt idx="9">
                  <c:v>0.34455331655597404</c:v>
                </c:pt>
                <c:pt idx="10">
                  <c:v>0.33995613154680371</c:v>
                </c:pt>
                <c:pt idx="11">
                  <c:v>0.34440137225614631</c:v>
                </c:pt>
                <c:pt idx="12">
                  <c:v>0.33931030644568883</c:v>
                </c:pt>
                <c:pt idx="13">
                  <c:v>0.3404336282630801</c:v>
                </c:pt>
                <c:pt idx="14">
                  <c:v>0.32806319138721807</c:v>
                </c:pt>
                <c:pt idx="15">
                  <c:v>0.33193424113402659</c:v>
                </c:pt>
                <c:pt idx="16">
                  <c:v>0.32804163346402659</c:v>
                </c:pt>
                <c:pt idx="17">
                  <c:v>0.32120266716950602</c:v>
                </c:pt>
                <c:pt idx="18">
                  <c:v>0.31370795726819456</c:v>
                </c:pt>
                <c:pt idx="19">
                  <c:v>0.31084926569009236</c:v>
                </c:pt>
                <c:pt idx="20">
                  <c:v>0.31044685646622372</c:v>
                </c:pt>
                <c:pt idx="21">
                  <c:v>0.31734638988508229</c:v>
                </c:pt>
                <c:pt idx="22">
                  <c:v>0.310764708533731</c:v>
                </c:pt>
                <c:pt idx="23">
                  <c:v>0.32144485506514459</c:v>
                </c:pt>
                <c:pt idx="24">
                  <c:v>0.3238473155528746</c:v>
                </c:pt>
                <c:pt idx="25">
                  <c:v>0.32763012179146378</c:v>
                </c:pt>
                <c:pt idx="26">
                  <c:v>0.32683562430489665</c:v>
                </c:pt>
                <c:pt idx="27">
                  <c:v>0.32348287936440884</c:v>
                </c:pt>
                <c:pt idx="28">
                  <c:v>0.32841984875765778</c:v>
                </c:pt>
                <c:pt idx="29">
                  <c:v>0.32994219584731294</c:v>
                </c:pt>
                <c:pt idx="30">
                  <c:v>0.3328719577613754</c:v>
                </c:pt>
                <c:pt idx="31">
                  <c:v>0.33661171448669186</c:v>
                </c:pt>
                <c:pt idx="32">
                  <c:v>0.3384934488428562</c:v>
                </c:pt>
                <c:pt idx="33">
                  <c:v>0.33756561771294968</c:v>
                </c:pt>
                <c:pt idx="34">
                  <c:v>0.33791449127009254</c:v>
                </c:pt>
                <c:pt idx="35">
                  <c:v>0.33989387949509253</c:v>
                </c:pt>
                <c:pt idx="36">
                  <c:v>0.3362014893115719</c:v>
                </c:pt>
                <c:pt idx="37">
                  <c:v>0.33949279152157186</c:v>
                </c:pt>
                <c:pt idx="38">
                  <c:v>0.33736069342697728</c:v>
                </c:pt>
                <c:pt idx="39">
                  <c:v>0.33305877323466954</c:v>
                </c:pt>
                <c:pt idx="40">
                  <c:v>0.33510704340652586</c:v>
                </c:pt>
                <c:pt idx="41">
                  <c:v>0.33259062646496745</c:v>
                </c:pt>
                <c:pt idx="42">
                  <c:v>0.33200756022808098</c:v>
                </c:pt>
                <c:pt idx="43">
                  <c:v>0.3355084685265658</c:v>
                </c:pt>
                <c:pt idx="44">
                  <c:v>0.33296447281020214</c:v>
                </c:pt>
                <c:pt idx="45">
                  <c:v>0.33055603278035139</c:v>
                </c:pt>
                <c:pt idx="46">
                  <c:v>0.3346568352585077</c:v>
                </c:pt>
                <c:pt idx="47">
                  <c:v>0.33327701800744391</c:v>
                </c:pt>
                <c:pt idx="48">
                  <c:v>0.33291846063025093</c:v>
                </c:pt>
                <c:pt idx="49">
                  <c:v>0.33733659828728518</c:v>
                </c:pt>
                <c:pt idx="50">
                  <c:v>0.34253260333935492</c:v>
                </c:pt>
                <c:pt idx="51">
                  <c:v>0.33727916092565624</c:v>
                </c:pt>
                <c:pt idx="52">
                  <c:v>0.33972420485422766</c:v>
                </c:pt>
                <c:pt idx="53">
                  <c:v>0.33361341531256095</c:v>
                </c:pt>
                <c:pt idx="54">
                  <c:v>0.33134218968756096</c:v>
                </c:pt>
                <c:pt idx="55">
                  <c:v>0.32727773640227426</c:v>
                </c:pt>
                <c:pt idx="56">
                  <c:v>0.32885455414652204</c:v>
                </c:pt>
                <c:pt idx="57">
                  <c:v>0.3293939113314277</c:v>
                </c:pt>
                <c:pt idx="58">
                  <c:v>0.32756917137402858</c:v>
                </c:pt>
                <c:pt idx="59">
                  <c:v>0.3299112701740286</c:v>
                </c:pt>
                <c:pt idx="60">
                  <c:v>0.32778284373101785</c:v>
                </c:pt>
                <c:pt idx="61">
                  <c:v>0.32201568943715286</c:v>
                </c:pt>
                <c:pt idx="62">
                  <c:v>0.32359040338715284</c:v>
                </c:pt>
                <c:pt idx="63">
                  <c:v>0.33003901115190326</c:v>
                </c:pt>
                <c:pt idx="64">
                  <c:v>0.32456556373460121</c:v>
                </c:pt>
                <c:pt idx="65">
                  <c:v>0.32519801268366949</c:v>
                </c:pt>
                <c:pt idx="66">
                  <c:v>0.3228340129089613</c:v>
                </c:pt>
                <c:pt idx="67">
                  <c:v>0.32485331320694794</c:v>
                </c:pt>
                <c:pt idx="68">
                  <c:v>0.32750103670176656</c:v>
                </c:pt>
                <c:pt idx="69">
                  <c:v>0.32263283936941362</c:v>
                </c:pt>
                <c:pt idx="70">
                  <c:v>0.31824966304633673</c:v>
                </c:pt>
                <c:pt idx="71">
                  <c:v>0.3152149508672426</c:v>
                </c:pt>
                <c:pt idx="72">
                  <c:v>0.30892065124108875</c:v>
                </c:pt>
                <c:pt idx="73">
                  <c:v>0.31736998199219008</c:v>
                </c:pt>
                <c:pt idx="74">
                  <c:v>0.32506390290866516</c:v>
                </c:pt>
                <c:pt idx="75">
                  <c:v>0.32224101066667615</c:v>
                </c:pt>
                <c:pt idx="76">
                  <c:v>0.33095254879524766</c:v>
                </c:pt>
                <c:pt idx="77">
                  <c:v>0.3291054838780601</c:v>
                </c:pt>
                <c:pt idx="78">
                  <c:v>0.33190099839773884</c:v>
                </c:pt>
                <c:pt idx="79">
                  <c:v>0.34171808638362844</c:v>
                </c:pt>
                <c:pt idx="80">
                  <c:v>0.34681997608108384</c:v>
                </c:pt>
                <c:pt idx="81">
                  <c:v>0.33582867780347192</c:v>
                </c:pt>
                <c:pt idx="82">
                  <c:v>0.32438005223350097</c:v>
                </c:pt>
                <c:pt idx="83">
                  <c:v>0.3158721221181976</c:v>
                </c:pt>
                <c:pt idx="84">
                  <c:v>0.31764540195977059</c:v>
                </c:pt>
                <c:pt idx="85">
                  <c:v>0.32179472213093341</c:v>
                </c:pt>
                <c:pt idx="86">
                  <c:v>0.31582284600599764</c:v>
                </c:pt>
                <c:pt idx="87">
                  <c:v>0.30280362664300836</c:v>
                </c:pt>
                <c:pt idx="88">
                  <c:v>0.29952454460872269</c:v>
                </c:pt>
                <c:pt idx="89">
                  <c:v>0.29698426594377797</c:v>
                </c:pt>
                <c:pt idx="90">
                  <c:v>0.30073285365543445</c:v>
                </c:pt>
                <c:pt idx="91">
                  <c:v>0.29634235171215084</c:v>
                </c:pt>
                <c:pt idx="92">
                  <c:v>0.29702630579215084</c:v>
                </c:pt>
                <c:pt idx="93">
                  <c:v>0.31231309957624465</c:v>
                </c:pt>
                <c:pt idx="94">
                  <c:v>0.33194376698338762</c:v>
                </c:pt>
                <c:pt idx="95">
                  <c:v>0.31956772087666108</c:v>
                </c:pt>
                <c:pt idx="96">
                  <c:v>0.31966893103294525</c:v>
                </c:pt>
                <c:pt idx="97">
                  <c:v>0.3118600662202064</c:v>
                </c:pt>
                <c:pt idx="98">
                  <c:v>0.32340214336206208</c:v>
                </c:pt>
                <c:pt idx="99">
                  <c:v>0.37081244815406206</c:v>
                </c:pt>
                <c:pt idx="100">
                  <c:v>0.35620085028157883</c:v>
                </c:pt>
                <c:pt idx="101">
                  <c:v>0.34997239804578933</c:v>
                </c:pt>
                <c:pt idx="102">
                  <c:v>0.35052146832460979</c:v>
                </c:pt>
                <c:pt idx="103">
                  <c:v>0.3487110618443281</c:v>
                </c:pt>
                <c:pt idx="104">
                  <c:v>0.35469155518345852</c:v>
                </c:pt>
                <c:pt idx="105">
                  <c:v>0.34960327815012515</c:v>
                </c:pt>
                <c:pt idx="106">
                  <c:v>0.34785887304954377</c:v>
                </c:pt>
                <c:pt idx="107">
                  <c:v>0.33695623255415919</c:v>
                </c:pt>
                <c:pt idx="108">
                  <c:v>0.3370982097553496</c:v>
                </c:pt>
                <c:pt idx="109">
                  <c:v>0.33471793065719463</c:v>
                </c:pt>
                <c:pt idx="110">
                  <c:v>0.34099849917200947</c:v>
                </c:pt>
                <c:pt idx="111">
                  <c:v>0.33862072191117998</c:v>
                </c:pt>
                <c:pt idx="112">
                  <c:v>0.34771463541832281</c:v>
                </c:pt>
                <c:pt idx="113">
                  <c:v>0.35439653471766919</c:v>
                </c:pt>
                <c:pt idx="114">
                  <c:v>0.36880557660757063</c:v>
                </c:pt>
                <c:pt idx="115">
                  <c:v>0.35087183489361712</c:v>
                </c:pt>
                <c:pt idx="116">
                  <c:v>0.34023583391523876</c:v>
                </c:pt>
                <c:pt idx="117">
                  <c:v>0.3415650405588142</c:v>
                </c:pt>
                <c:pt idx="118">
                  <c:v>0.33748762787097347</c:v>
                </c:pt>
                <c:pt idx="119">
                  <c:v>0.32081912808095503</c:v>
                </c:pt>
                <c:pt idx="120">
                  <c:v>0.31545328585500559</c:v>
                </c:pt>
                <c:pt idx="121">
                  <c:v>0.31759292395778338</c:v>
                </c:pt>
                <c:pt idx="122">
                  <c:v>0.34133669400511163</c:v>
                </c:pt>
                <c:pt idx="123">
                  <c:v>0.36435772448688658</c:v>
                </c:pt>
                <c:pt idx="124">
                  <c:v>0.35090191781940194</c:v>
                </c:pt>
                <c:pt idx="125">
                  <c:v>0.33587440159812532</c:v>
                </c:pt>
                <c:pt idx="126">
                  <c:v>0.34057409112085257</c:v>
                </c:pt>
                <c:pt idx="127">
                  <c:v>0.34259823050908789</c:v>
                </c:pt>
                <c:pt idx="128">
                  <c:v>0.32971186074708259</c:v>
                </c:pt>
                <c:pt idx="129">
                  <c:v>0.34739745990853993</c:v>
                </c:pt>
                <c:pt idx="130">
                  <c:v>0.35721636349930475</c:v>
                </c:pt>
                <c:pt idx="131">
                  <c:v>0.3651816717546239</c:v>
                </c:pt>
                <c:pt idx="132">
                  <c:v>0.3707942886938152</c:v>
                </c:pt>
                <c:pt idx="133">
                  <c:v>0.3805070131359205</c:v>
                </c:pt>
                <c:pt idx="134">
                  <c:v>0.38740358236866385</c:v>
                </c:pt>
                <c:pt idx="135">
                  <c:v>0.38572453641182936</c:v>
                </c:pt>
                <c:pt idx="136">
                  <c:v>0.38256391280613827</c:v>
                </c:pt>
                <c:pt idx="137">
                  <c:v>0.39052094969393558</c:v>
                </c:pt>
                <c:pt idx="138">
                  <c:v>0.39729380485068488</c:v>
                </c:pt>
                <c:pt idx="139">
                  <c:v>0.41930236326772202</c:v>
                </c:pt>
                <c:pt idx="140">
                  <c:v>0.45725015280901699</c:v>
                </c:pt>
                <c:pt idx="141">
                  <c:v>0.45519105130997967</c:v>
                </c:pt>
                <c:pt idx="142">
                  <c:v>0.39600267166781106</c:v>
                </c:pt>
                <c:pt idx="143">
                  <c:v>0.38509397130866119</c:v>
                </c:pt>
                <c:pt idx="144">
                  <c:v>0.34945618917532795</c:v>
                </c:pt>
                <c:pt idx="145">
                  <c:v>0.33842172928536252</c:v>
                </c:pt>
                <c:pt idx="146">
                  <c:v>0.36691793787823423</c:v>
                </c:pt>
                <c:pt idx="147">
                  <c:v>0.3583410726116007</c:v>
                </c:pt>
                <c:pt idx="148">
                  <c:v>0.44111912307018808</c:v>
                </c:pt>
                <c:pt idx="149">
                  <c:v>0.3481372883644635</c:v>
                </c:pt>
                <c:pt idx="150">
                  <c:v>0.35103055351562634</c:v>
                </c:pt>
                <c:pt idx="151">
                  <c:v>0.36350321495069482</c:v>
                </c:pt>
                <c:pt idx="152">
                  <c:v>0.40404101761510175</c:v>
                </c:pt>
                <c:pt idx="153">
                  <c:v>0.40203491422133125</c:v>
                </c:pt>
                <c:pt idx="154">
                  <c:v>0.39411085434604742</c:v>
                </c:pt>
                <c:pt idx="155">
                  <c:v>0.39994661551540001</c:v>
                </c:pt>
                <c:pt idx="156">
                  <c:v>0.39395967628861039</c:v>
                </c:pt>
                <c:pt idx="157">
                  <c:v>0.39601927148210525</c:v>
                </c:pt>
                <c:pt idx="158">
                  <c:v>0.40085336897203971</c:v>
                </c:pt>
                <c:pt idx="159">
                  <c:v>0.40161424049098338</c:v>
                </c:pt>
                <c:pt idx="160">
                  <c:v>0.39431199858792521</c:v>
                </c:pt>
                <c:pt idx="161">
                  <c:v>0.40366440818476318</c:v>
                </c:pt>
                <c:pt idx="162">
                  <c:v>0.3923201593936948</c:v>
                </c:pt>
                <c:pt idx="163">
                  <c:v>0.38627954269671189</c:v>
                </c:pt>
                <c:pt idx="164">
                  <c:v>0.40703393347425204</c:v>
                </c:pt>
                <c:pt idx="165">
                  <c:v>0.43253237194126287</c:v>
                </c:pt>
                <c:pt idx="166">
                  <c:v>0.4247020861440256</c:v>
                </c:pt>
                <c:pt idx="167">
                  <c:v>0.39612362056809913</c:v>
                </c:pt>
                <c:pt idx="168">
                  <c:v>0.40319958983159065</c:v>
                </c:pt>
                <c:pt idx="169">
                  <c:v>0.40349666594892658</c:v>
                </c:pt>
                <c:pt idx="170">
                  <c:v>0.40461661317745695</c:v>
                </c:pt>
                <c:pt idx="171">
                  <c:v>0.40457594140752001</c:v>
                </c:pt>
                <c:pt idx="172">
                  <c:v>0.39724527346281896</c:v>
                </c:pt>
                <c:pt idx="173">
                  <c:v>0.39910027342295962</c:v>
                </c:pt>
                <c:pt idx="174">
                  <c:v>0.39369486669158571</c:v>
                </c:pt>
                <c:pt idx="175">
                  <c:v>0.39138404464635518</c:v>
                </c:pt>
                <c:pt idx="176">
                  <c:v>0.3897395914044014</c:v>
                </c:pt>
                <c:pt idx="177">
                  <c:v>0.38585783607753871</c:v>
                </c:pt>
                <c:pt idx="178">
                  <c:v>0.38947525544758982</c:v>
                </c:pt>
                <c:pt idx="179">
                  <c:v>0.38604344533754598</c:v>
                </c:pt>
                <c:pt idx="180">
                  <c:v>0.38738930689742312</c:v>
                </c:pt>
                <c:pt idx="181">
                  <c:v>0.3859866052384433</c:v>
                </c:pt>
                <c:pt idx="182">
                  <c:v>0.38122665682599793</c:v>
                </c:pt>
                <c:pt idx="183">
                  <c:v>0.37965362059164459</c:v>
                </c:pt>
                <c:pt idx="184">
                  <c:v>0.37777178761506974</c:v>
                </c:pt>
                <c:pt idx="185">
                  <c:v>0.36021540843200617</c:v>
                </c:pt>
                <c:pt idx="186">
                  <c:v>0.37496357428124011</c:v>
                </c:pt>
                <c:pt idx="187">
                  <c:v>0.37285509633934855</c:v>
                </c:pt>
                <c:pt idx="188">
                  <c:v>0.37132416076347169</c:v>
                </c:pt>
                <c:pt idx="189">
                  <c:v>0.36789622977347169</c:v>
                </c:pt>
                <c:pt idx="190">
                  <c:v>0.36554406345494594</c:v>
                </c:pt>
                <c:pt idx="191">
                  <c:v>0.35823979160239422</c:v>
                </c:pt>
                <c:pt idx="192">
                  <c:v>0.35006722278146146</c:v>
                </c:pt>
                <c:pt idx="193">
                  <c:v>0.3519844202310064</c:v>
                </c:pt>
                <c:pt idx="194">
                  <c:v>0.35355573328392542</c:v>
                </c:pt>
                <c:pt idx="195">
                  <c:v>0.3530074219577416</c:v>
                </c:pt>
                <c:pt idx="196">
                  <c:v>0.35035443681567552</c:v>
                </c:pt>
                <c:pt idx="197">
                  <c:v>0.35514917162086584</c:v>
                </c:pt>
                <c:pt idx="198">
                  <c:v>0.3574620474632012</c:v>
                </c:pt>
                <c:pt idx="199">
                  <c:v>0.35913622808877499</c:v>
                </c:pt>
                <c:pt idx="200">
                  <c:v>0.36147105739669089</c:v>
                </c:pt>
                <c:pt idx="201">
                  <c:v>0.36080912013169347</c:v>
                </c:pt>
                <c:pt idx="202">
                  <c:v>0.36074654477763268</c:v>
                </c:pt>
                <c:pt idx="203">
                  <c:v>0.35845224973427886</c:v>
                </c:pt>
                <c:pt idx="204">
                  <c:v>0.35940492745788494</c:v>
                </c:pt>
                <c:pt idx="205">
                  <c:v>0.35607518350701739</c:v>
                </c:pt>
                <c:pt idx="206">
                  <c:v>0.33689011324651297</c:v>
                </c:pt>
                <c:pt idx="207">
                  <c:v>0.34744003377854316</c:v>
                </c:pt>
                <c:pt idx="208">
                  <c:v>0.34680302486566306</c:v>
                </c:pt>
                <c:pt idx="209">
                  <c:v>0.3441202520963359</c:v>
                </c:pt>
                <c:pt idx="210">
                  <c:v>0.34038675249009026</c:v>
                </c:pt>
                <c:pt idx="211">
                  <c:v>0.34108696233473651</c:v>
                </c:pt>
                <c:pt idx="212">
                  <c:v>0.3398187842356129</c:v>
                </c:pt>
                <c:pt idx="213">
                  <c:v>0.33826655999630345</c:v>
                </c:pt>
                <c:pt idx="214">
                  <c:v>0.33722113767433165</c:v>
                </c:pt>
                <c:pt idx="215">
                  <c:v>0.33541718726704789</c:v>
                </c:pt>
                <c:pt idx="216">
                  <c:v>0.33561061286231297</c:v>
                </c:pt>
                <c:pt idx="217">
                  <c:v>0.33911443318603418</c:v>
                </c:pt>
                <c:pt idx="218">
                  <c:v>0.33860777475498371</c:v>
                </c:pt>
                <c:pt idx="219">
                  <c:v>0.33754714658468782</c:v>
                </c:pt>
                <c:pt idx="220">
                  <c:v>0.33619690860650386</c:v>
                </c:pt>
                <c:pt idx="221">
                  <c:v>0.3399561897283615</c:v>
                </c:pt>
                <c:pt idx="222">
                  <c:v>0.33843392014662765</c:v>
                </c:pt>
                <c:pt idx="223">
                  <c:v>0.33883075581886402</c:v>
                </c:pt>
                <c:pt idx="224">
                  <c:v>0.3420556771598382</c:v>
                </c:pt>
                <c:pt idx="225">
                  <c:v>0.34243518092142755</c:v>
                </c:pt>
                <c:pt idx="226">
                  <c:v>0.34541742435017198</c:v>
                </c:pt>
                <c:pt idx="227">
                  <c:v>0.34687224092375979</c:v>
                </c:pt>
                <c:pt idx="228">
                  <c:v>0.34315671333402531</c:v>
                </c:pt>
                <c:pt idx="229">
                  <c:v>0.34170997593622088</c:v>
                </c:pt>
                <c:pt idx="230">
                  <c:v>0.34134604480186576</c:v>
                </c:pt>
                <c:pt idx="231">
                  <c:v>0.34321161154272595</c:v>
                </c:pt>
                <c:pt idx="232">
                  <c:v>0.34456010144624005</c:v>
                </c:pt>
                <c:pt idx="233">
                  <c:v>0.33896394019175796</c:v>
                </c:pt>
                <c:pt idx="234">
                  <c:v>0.33797207723307282</c:v>
                </c:pt>
                <c:pt idx="235">
                  <c:v>0.34154592250358895</c:v>
                </c:pt>
                <c:pt idx="236">
                  <c:v>0.34226903758950777</c:v>
                </c:pt>
                <c:pt idx="237">
                  <c:v>0.34687776043835139</c:v>
                </c:pt>
                <c:pt idx="238">
                  <c:v>0.3471100429384521</c:v>
                </c:pt>
                <c:pt idx="239">
                  <c:v>0.3450898402854754</c:v>
                </c:pt>
                <c:pt idx="240">
                  <c:v>0.34419071519013367</c:v>
                </c:pt>
                <c:pt idx="241">
                  <c:v>0.34406886381267288</c:v>
                </c:pt>
                <c:pt idx="242">
                  <c:v>0.3395526788649797</c:v>
                </c:pt>
                <c:pt idx="243">
                  <c:v>0.33904452472711794</c:v>
                </c:pt>
                <c:pt idx="244">
                  <c:v>0.34076606161274109</c:v>
                </c:pt>
                <c:pt idx="245">
                  <c:v>0.34241828269114216</c:v>
                </c:pt>
                <c:pt idx="246">
                  <c:v>0.3421164081628979</c:v>
                </c:pt>
                <c:pt idx="247">
                  <c:v>0.33758563876354108</c:v>
                </c:pt>
                <c:pt idx="248">
                  <c:v>0.3359732885881766</c:v>
                </c:pt>
                <c:pt idx="249">
                  <c:v>0.33047588021139751</c:v>
                </c:pt>
                <c:pt idx="250">
                  <c:v>0.33355761428998026</c:v>
                </c:pt>
                <c:pt idx="251">
                  <c:v>0.33636032504480645</c:v>
                </c:pt>
                <c:pt idx="252">
                  <c:v>0.33812276044025141</c:v>
                </c:pt>
                <c:pt idx="253">
                  <c:v>0.3337876222038752</c:v>
                </c:pt>
                <c:pt idx="254">
                  <c:v>0.34435399653225118</c:v>
                </c:pt>
                <c:pt idx="255">
                  <c:v>0.34689981793687702</c:v>
                </c:pt>
                <c:pt idx="256">
                  <c:v>0.34781235296025625</c:v>
                </c:pt>
                <c:pt idx="257">
                  <c:v>0.3472829841660543</c:v>
                </c:pt>
                <c:pt idx="258">
                  <c:v>0.35163674411296736</c:v>
                </c:pt>
                <c:pt idx="259">
                  <c:v>0.34825153247708934</c:v>
                </c:pt>
                <c:pt idx="260">
                  <c:v>0.35025955356145977</c:v>
                </c:pt>
                <c:pt idx="261">
                  <c:v>0.35659421562548183</c:v>
                </c:pt>
                <c:pt idx="262">
                  <c:v>0.3529211442984389</c:v>
                </c:pt>
                <c:pt idx="263">
                  <c:v>0.3533755324548154</c:v>
                </c:pt>
                <c:pt idx="264">
                  <c:v>0.35191202917803061</c:v>
                </c:pt>
                <c:pt idx="265">
                  <c:v>0.34841002715251129</c:v>
                </c:pt>
                <c:pt idx="266">
                  <c:v>0.34677811058851971</c:v>
                </c:pt>
                <c:pt idx="267">
                  <c:v>0.34595990122878939</c:v>
                </c:pt>
                <c:pt idx="268">
                  <c:v>0.34198780884113889</c:v>
                </c:pt>
                <c:pt idx="269">
                  <c:v>0.34816797720417464</c:v>
                </c:pt>
                <c:pt idx="270">
                  <c:v>0.3432674442217471</c:v>
                </c:pt>
                <c:pt idx="271">
                  <c:v>0.34224516729929177</c:v>
                </c:pt>
                <c:pt idx="272">
                  <c:v>0.33937196802090663</c:v>
                </c:pt>
                <c:pt idx="273">
                  <c:v>0.33498094876148604</c:v>
                </c:pt>
                <c:pt idx="274">
                  <c:v>0.33540049105208902</c:v>
                </c:pt>
                <c:pt idx="275">
                  <c:v>0.33476631021313535</c:v>
                </c:pt>
                <c:pt idx="276">
                  <c:v>0.3281713410758722</c:v>
                </c:pt>
                <c:pt idx="277">
                  <c:v>0.32230538177831786</c:v>
                </c:pt>
                <c:pt idx="278">
                  <c:v>0.32151874158855137</c:v>
                </c:pt>
                <c:pt idx="279">
                  <c:v>0.32224278289577007</c:v>
                </c:pt>
                <c:pt idx="280">
                  <c:v>0.30380104479433512</c:v>
                </c:pt>
                <c:pt idx="281">
                  <c:v>0.30998719039639544</c:v>
                </c:pt>
                <c:pt idx="282">
                  <c:v>0.31652049152287515</c:v>
                </c:pt>
                <c:pt idx="283">
                  <c:v>0.30651771250410109</c:v>
                </c:pt>
                <c:pt idx="284">
                  <c:v>0.31073316887728275</c:v>
                </c:pt>
                <c:pt idx="285">
                  <c:v>0.30559281583873865</c:v>
                </c:pt>
                <c:pt idx="286">
                  <c:v>0.30978564448678647</c:v>
                </c:pt>
                <c:pt idx="287">
                  <c:v>0.31500990172564569</c:v>
                </c:pt>
                <c:pt idx="288">
                  <c:v>0.31834143568118323</c:v>
                </c:pt>
                <c:pt idx="289">
                  <c:v>0.3217045992029649</c:v>
                </c:pt>
                <c:pt idx="290">
                  <c:v>0.31162171784801757</c:v>
                </c:pt>
                <c:pt idx="291">
                  <c:v>0.31474790073390929</c:v>
                </c:pt>
                <c:pt idx="292">
                  <c:v>0.30929105312117722</c:v>
                </c:pt>
                <c:pt idx="293">
                  <c:v>0.31278023564948954</c:v>
                </c:pt>
                <c:pt idx="294">
                  <c:v>0.30556228086045761</c:v>
                </c:pt>
                <c:pt idx="295">
                  <c:v>0.29744900834881377</c:v>
                </c:pt>
                <c:pt idx="296">
                  <c:v>0.29969039390588414</c:v>
                </c:pt>
                <c:pt idx="297">
                  <c:v>0.29164311215503547</c:v>
                </c:pt>
                <c:pt idx="298">
                  <c:v>0.28760117721746026</c:v>
                </c:pt>
                <c:pt idx="299">
                  <c:v>0.28627398824021422</c:v>
                </c:pt>
                <c:pt idx="300">
                  <c:v>0.29057079385671064</c:v>
                </c:pt>
                <c:pt idx="301">
                  <c:v>0.28791133478521241</c:v>
                </c:pt>
                <c:pt idx="302">
                  <c:v>0.28529031482545197</c:v>
                </c:pt>
                <c:pt idx="303">
                  <c:v>0.28489012268535241</c:v>
                </c:pt>
                <c:pt idx="304">
                  <c:v>0.28359463950216957</c:v>
                </c:pt>
                <c:pt idx="305">
                  <c:v>0.28227699238793114</c:v>
                </c:pt>
                <c:pt idx="306">
                  <c:v>0.28069423404301752</c:v>
                </c:pt>
                <c:pt idx="307">
                  <c:v>0.27942603901304597</c:v>
                </c:pt>
                <c:pt idx="308">
                  <c:v>0.27510403068304601</c:v>
                </c:pt>
                <c:pt idx="309">
                  <c:v>0.27646609020914242</c:v>
                </c:pt>
                <c:pt idx="310">
                  <c:v>0.27982207133914239</c:v>
                </c:pt>
                <c:pt idx="311">
                  <c:v>0.27938970290906889</c:v>
                </c:pt>
                <c:pt idx="312">
                  <c:v>0.28174172847679063</c:v>
                </c:pt>
                <c:pt idx="313">
                  <c:v>0.2819138568307582</c:v>
                </c:pt>
                <c:pt idx="314">
                  <c:v>0.28366614462744161</c:v>
                </c:pt>
                <c:pt idx="315">
                  <c:v>0.28321413886521757</c:v>
                </c:pt>
                <c:pt idx="316">
                  <c:v>0.28455506810158426</c:v>
                </c:pt>
                <c:pt idx="317">
                  <c:v>0.28090038992654248</c:v>
                </c:pt>
                <c:pt idx="318">
                  <c:v>0.27755998387318787</c:v>
                </c:pt>
                <c:pt idx="319">
                  <c:v>0.27967863964021006</c:v>
                </c:pt>
                <c:pt idx="320">
                  <c:v>0.27885426743559777</c:v>
                </c:pt>
                <c:pt idx="321">
                  <c:v>0.27466002540669271</c:v>
                </c:pt>
                <c:pt idx="322">
                  <c:v>0.27498273182254512</c:v>
                </c:pt>
                <c:pt idx="323">
                  <c:v>0.27072742046868548</c:v>
                </c:pt>
                <c:pt idx="324">
                  <c:v>0.27011429721115304</c:v>
                </c:pt>
                <c:pt idx="325">
                  <c:v>0.26178167185876905</c:v>
                </c:pt>
                <c:pt idx="326">
                  <c:v>0.25904228581193312</c:v>
                </c:pt>
                <c:pt idx="327">
                  <c:v>0.25763975723640142</c:v>
                </c:pt>
                <c:pt idx="328">
                  <c:v>0.25620283588926018</c:v>
                </c:pt>
                <c:pt idx="329">
                  <c:v>0.25554276009265059</c:v>
                </c:pt>
                <c:pt idx="330">
                  <c:v>0.25801378969772371</c:v>
                </c:pt>
                <c:pt idx="331">
                  <c:v>0.25814462954417505</c:v>
                </c:pt>
                <c:pt idx="332">
                  <c:v>0.2609704947891876</c:v>
                </c:pt>
                <c:pt idx="333">
                  <c:v>0.25368872058346947</c:v>
                </c:pt>
                <c:pt idx="334">
                  <c:v>0.25443054698016326</c:v>
                </c:pt>
                <c:pt idx="335">
                  <c:v>0.25738379256637611</c:v>
                </c:pt>
                <c:pt idx="336">
                  <c:v>0.25765050928266459</c:v>
                </c:pt>
                <c:pt idx="337">
                  <c:v>0.26348405937687336</c:v>
                </c:pt>
                <c:pt idx="338">
                  <c:v>0.25935606745511086</c:v>
                </c:pt>
                <c:pt idx="339">
                  <c:v>0.2629266632273356</c:v>
                </c:pt>
                <c:pt idx="340">
                  <c:v>0.25362893744623644</c:v>
                </c:pt>
                <c:pt idx="341">
                  <c:v>0.24903194924054911</c:v>
                </c:pt>
                <c:pt idx="342">
                  <c:v>0.25393010759836532</c:v>
                </c:pt>
                <c:pt idx="343">
                  <c:v>0.23740280633108163</c:v>
                </c:pt>
                <c:pt idx="344">
                  <c:v>0.229124822940064</c:v>
                </c:pt>
                <c:pt idx="345">
                  <c:v>0.22419489354085251</c:v>
                </c:pt>
                <c:pt idx="346">
                  <c:v>0.2233139900198228</c:v>
                </c:pt>
                <c:pt idx="347">
                  <c:v>0.22066522917464756</c:v>
                </c:pt>
                <c:pt idx="348">
                  <c:v>0.22231006752500726</c:v>
                </c:pt>
                <c:pt idx="349">
                  <c:v>0.2210835936979734</c:v>
                </c:pt>
                <c:pt idx="350">
                  <c:v>0.21777038211650901</c:v>
                </c:pt>
                <c:pt idx="351">
                  <c:v>0.21704477778122361</c:v>
                </c:pt>
                <c:pt idx="352">
                  <c:v>0.2176581360018861</c:v>
                </c:pt>
                <c:pt idx="353">
                  <c:v>0.21052702609036678</c:v>
                </c:pt>
                <c:pt idx="354">
                  <c:v>0.20743105390927433</c:v>
                </c:pt>
                <c:pt idx="355">
                  <c:v>0.20563816847386893</c:v>
                </c:pt>
                <c:pt idx="356">
                  <c:v>0.20968798501296912</c:v>
                </c:pt>
                <c:pt idx="357">
                  <c:v>0.20641855715296914</c:v>
                </c:pt>
                <c:pt idx="358">
                  <c:v>0.2062081869563169</c:v>
                </c:pt>
                <c:pt idx="359">
                  <c:v>0.2040343671658644</c:v>
                </c:pt>
                <c:pt idx="360">
                  <c:v>0.20198428955763814</c:v>
                </c:pt>
                <c:pt idx="361">
                  <c:v>0.19941254178713813</c:v>
                </c:pt>
                <c:pt idx="362">
                  <c:v>0.2000935137108259</c:v>
                </c:pt>
                <c:pt idx="363">
                  <c:v>0.20011908336674558</c:v>
                </c:pt>
                <c:pt idx="364">
                  <c:v>0.20081602742925167</c:v>
                </c:pt>
                <c:pt idx="365">
                  <c:v>0.19524580404756944</c:v>
                </c:pt>
                <c:pt idx="366">
                  <c:v>0.19581711040205099</c:v>
                </c:pt>
                <c:pt idx="367">
                  <c:v>0.19321266342212395</c:v>
                </c:pt>
                <c:pt idx="368">
                  <c:v>0.19537955666797766</c:v>
                </c:pt>
                <c:pt idx="369">
                  <c:v>0.19333200262697045</c:v>
                </c:pt>
                <c:pt idx="370">
                  <c:v>0.19341424323829615</c:v>
                </c:pt>
                <c:pt idx="371">
                  <c:v>0.19059127411123231</c:v>
                </c:pt>
                <c:pt idx="372">
                  <c:v>0.19254418936241258</c:v>
                </c:pt>
                <c:pt idx="373">
                  <c:v>0.19033348223496765</c:v>
                </c:pt>
                <c:pt idx="374">
                  <c:v>0.19234740532296765</c:v>
                </c:pt>
                <c:pt idx="375">
                  <c:v>0.18671634039658416</c:v>
                </c:pt>
                <c:pt idx="376">
                  <c:v>0.18379885978495675</c:v>
                </c:pt>
                <c:pt idx="377">
                  <c:v>0.18351307134470415</c:v>
                </c:pt>
                <c:pt idx="378">
                  <c:v>0.1835464634665139</c:v>
                </c:pt>
                <c:pt idx="379">
                  <c:v>0.1826227846786069</c:v>
                </c:pt>
                <c:pt idx="380">
                  <c:v>0.18005101100319706</c:v>
                </c:pt>
                <c:pt idx="381">
                  <c:v>0.18090574727722208</c:v>
                </c:pt>
                <c:pt idx="382">
                  <c:v>0.17971537011324018</c:v>
                </c:pt>
                <c:pt idx="383">
                  <c:v>0.17960931701471899</c:v>
                </c:pt>
                <c:pt idx="384">
                  <c:v>0.17766784227802343</c:v>
                </c:pt>
                <c:pt idx="385">
                  <c:v>0.17491421116227904</c:v>
                </c:pt>
                <c:pt idx="386">
                  <c:v>0.1744961355765256</c:v>
                </c:pt>
                <c:pt idx="387">
                  <c:v>0.17013718024065602</c:v>
                </c:pt>
                <c:pt idx="388">
                  <c:v>0.16628787823584257</c:v>
                </c:pt>
                <c:pt idx="389">
                  <c:v>0.16222673876579899</c:v>
                </c:pt>
                <c:pt idx="390">
                  <c:v>0.15687035832658991</c:v>
                </c:pt>
                <c:pt idx="391">
                  <c:v>0.16171179285575757</c:v>
                </c:pt>
                <c:pt idx="392">
                  <c:v>0.16162040724498833</c:v>
                </c:pt>
                <c:pt idx="393">
                  <c:v>0.16075994168180155</c:v>
                </c:pt>
                <c:pt idx="394">
                  <c:v>0.15979464022939191</c:v>
                </c:pt>
                <c:pt idx="395">
                  <c:v>0.15694700512745821</c:v>
                </c:pt>
                <c:pt idx="396">
                  <c:v>0.15529454483143174</c:v>
                </c:pt>
                <c:pt idx="397">
                  <c:v>0.15555994437611256</c:v>
                </c:pt>
                <c:pt idx="398">
                  <c:v>0.15478569153089514</c:v>
                </c:pt>
                <c:pt idx="399">
                  <c:v>0.15490477604304703</c:v>
                </c:pt>
                <c:pt idx="400">
                  <c:v>0.15367525668615814</c:v>
                </c:pt>
                <c:pt idx="401">
                  <c:v>0.15412903330506164</c:v>
                </c:pt>
                <c:pt idx="402">
                  <c:v>0.15143171732506167</c:v>
                </c:pt>
                <c:pt idx="403">
                  <c:v>0.15184677644611894</c:v>
                </c:pt>
                <c:pt idx="404">
                  <c:v>0.15212381172890582</c:v>
                </c:pt>
                <c:pt idx="405">
                  <c:v>0.15157074790429753</c:v>
                </c:pt>
                <c:pt idx="406">
                  <c:v>0.15093925348969858</c:v>
                </c:pt>
                <c:pt idx="407">
                  <c:v>0.15207854251486419</c:v>
                </c:pt>
                <c:pt idx="408">
                  <c:v>0.15093998577548917</c:v>
                </c:pt>
                <c:pt idx="409">
                  <c:v>0.14990496246993362</c:v>
                </c:pt>
                <c:pt idx="410">
                  <c:v>0.14895329745237265</c:v>
                </c:pt>
                <c:pt idx="411">
                  <c:v>0.14743514960354911</c:v>
                </c:pt>
                <c:pt idx="412">
                  <c:v>0.14612622356529775</c:v>
                </c:pt>
                <c:pt idx="413">
                  <c:v>0.14698256407708546</c:v>
                </c:pt>
                <c:pt idx="414">
                  <c:v>0.14748575066375214</c:v>
                </c:pt>
                <c:pt idx="415">
                  <c:v>0.14599366272538003</c:v>
                </c:pt>
                <c:pt idx="416">
                  <c:v>0.14835985242877683</c:v>
                </c:pt>
                <c:pt idx="417">
                  <c:v>0.14822656737877685</c:v>
                </c:pt>
                <c:pt idx="418">
                  <c:v>0.14707709613728431</c:v>
                </c:pt>
                <c:pt idx="419">
                  <c:v>0.14544340317728432</c:v>
                </c:pt>
                <c:pt idx="420">
                  <c:v>0.14777398660328434</c:v>
                </c:pt>
                <c:pt idx="421">
                  <c:v>0.14650873328090863</c:v>
                </c:pt>
                <c:pt idx="422">
                  <c:v>0.14561313690246422</c:v>
                </c:pt>
                <c:pt idx="423">
                  <c:v>0.14689933901891991</c:v>
                </c:pt>
                <c:pt idx="424">
                  <c:v>0.1394174667774439</c:v>
                </c:pt>
                <c:pt idx="425">
                  <c:v>0.13839315769134222</c:v>
                </c:pt>
                <c:pt idx="426">
                  <c:v>0.1370236666826086</c:v>
                </c:pt>
                <c:pt idx="427">
                  <c:v>0.13374777728389295</c:v>
                </c:pt>
                <c:pt idx="428">
                  <c:v>0.13374777728389295</c:v>
                </c:pt>
                <c:pt idx="429">
                  <c:v>0.13483633184238691</c:v>
                </c:pt>
                <c:pt idx="430">
                  <c:v>0.1330519764638155</c:v>
                </c:pt>
                <c:pt idx="431">
                  <c:v>0.13080400271584317</c:v>
                </c:pt>
                <c:pt idx="432">
                  <c:v>0.13025511525696676</c:v>
                </c:pt>
                <c:pt idx="433">
                  <c:v>0.12907234148047189</c:v>
                </c:pt>
                <c:pt idx="434">
                  <c:v>0.12790412157727191</c:v>
                </c:pt>
                <c:pt idx="435">
                  <c:v>0.12833021269306139</c:v>
                </c:pt>
                <c:pt idx="436">
                  <c:v>0.12979542822894122</c:v>
                </c:pt>
                <c:pt idx="437">
                  <c:v>0.12876925191445523</c:v>
                </c:pt>
                <c:pt idx="438">
                  <c:v>0.12839804037809158</c:v>
                </c:pt>
                <c:pt idx="439">
                  <c:v>0.12860862851780988</c:v>
                </c:pt>
                <c:pt idx="440">
                  <c:v>0.12863829145831945</c:v>
                </c:pt>
                <c:pt idx="441">
                  <c:v>0.12838388264048811</c:v>
                </c:pt>
                <c:pt idx="442">
                  <c:v>0.12829979366926003</c:v>
                </c:pt>
                <c:pt idx="443">
                  <c:v>0.12890194222259335</c:v>
                </c:pt>
                <c:pt idx="444">
                  <c:v>0.1273451849505822</c:v>
                </c:pt>
                <c:pt idx="445">
                  <c:v>0.1265076331590278</c:v>
                </c:pt>
                <c:pt idx="446">
                  <c:v>0.12518217266885234</c:v>
                </c:pt>
                <c:pt idx="447">
                  <c:v>0.12767772328045729</c:v>
                </c:pt>
                <c:pt idx="448">
                  <c:v>0.12414375660147638</c:v>
                </c:pt>
                <c:pt idx="449">
                  <c:v>0.12099190558013495</c:v>
                </c:pt>
                <c:pt idx="450">
                  <c:v>0.1216075453068473</c:v>
                </c:pt>
                <c:pt idx="451">
                  <c:v>0.1210014336528473</c:v>
                </c:pt>
                <c:pt idx="452">
                  <c:v>0.12327087961145194</c:v>
                </c:pt>
                <c:pt idx="453">
                  <c:v>0.12461290957040846</c:v>
                </c:pt>
                <c:pt idx="454">
                  <c:v>0.12631623406676606</c:v>
                </c:pt>
                <c:pt idx="455">
                  <c:v>0.12784853149218978</c:v>
                </c:pt>
                <c:pt idx="456">
                  <c:v>0.13856870391762316</c:v>
                </c:pt>
                <c:pt idx="457">
                  <c:v>0.14010341459020381</c:v>
                </c:pt>
                <c:pt idx="458">
                  <c:v>0.13954624246408917</c:v>
                </c:pt>
                <c:pt idx="459">
                  <c:v>0.13855585271336454</c:v>
                </c:pt>
                <c:pt idx="460">
                  <c:v>0.13888639731941496</c:v>
                </c:pt>
                <c:pt idx="461">
                  <c:v>0.13829859569630384</c:v>
                </c:pt>
                <c:pt idx="462">
                  <c:v>0.13791275937948139</c:v>
                </c:pt>
                <c:pt idx="463">
                  <c:v>0.13645493345621612</c:v>
                </c:pt>
                <c:pt idx="464">
                  <c:v>0.13532989995740657</c:v>
                </c:pt>
                <c:pt idx="465">
                  <c:v>0.13601826952090662</c:v>
                </c:pt>
                <c:pt idx="466">
                  <c:v>0.13552847676968707</c:v>
                </c:pt>
                <c:pt idx="467">
                  <c:v>0.13527454680477799</c:v>
                </c:pt>
                <c:pt idx="468">
                  <c:v>0.1351763073538689</c:v>
                </c:pt>
                <c:pt idx="469">
                  <c:v>0.13582982546424158</c:v>
                </c:pt>
                <c:pt idx="470">
                  <c:v>0.13562192515224161</c:v>
                </c:pt>
                <c:pt idx="471">
                  <c:v>0.13552255425587797</c:v>
                </c:pt>
                <c:pt idx="472">
                  <c:v>0.13464849455352501</c:v>
                </c:pt>
                <c:pt idx="473">
                  <c:v>0.13374678401066789</c:v>
                </c:pt>
                <c:pt idx="474">
                  <c:v>0.13337268692528326</c:v>
                </c:pt>
                <c:pt idx="475">
                  <c:v>0.13467551699667055</c:v>
                </c:pt>
                <c:pt idx="476">
                  <c:v>0.13424857857192479</c:v>
                </c:pt>
                <c:pt idx="477">
                  <c:v>0.13327537367920955</c:v>
                </c:pt>
                <c:pt idx="478">
                  <c:v>0.13220951968648229</c:v>
                </c:pt>
                <c:pt idx="479">
                  <c:v>0.13334193363983488</c:v>
                </c:pt>
                <c:pt idx="480">
                  <c:v>0.13335983197353349</c:v>
                </c:pt>
                <c:pt idx="481">
                  <c:v>0.13349614261496207</c:v>
                </c:pt>
                <c:pt idx="482">
                  <c:v>0.13374645373480334</c:v>
                </c:pt>
                <c:pt idx="483">
                  <c:v>0.13370869409511724</c:v>
                </c:pt>
                <c:pt idx="484">
                  <c:v>0.13151976390090339</c:v>
                </c:pt>
                <c:pt idx="485">
                  <c:v>0.13070186739546863</c:v>
                </c:pt>
                <c:pt idx="486">
                  <c:v>0.12975815171799496</c:v>
                </c:pt>
                <c:pt idx="487">
                  <c:v>0.13096973689799496</c:v>
                </c:pt>
                <c:pt idx="488">
                  <c:v>0.13184407571262308</c:v>
                </c:pt>
                <c:pt idx="489">
                  <c:v>0.13042540722762308</c:v>
                </c:pt>
                <c:pt idx="490">
                  <c:v>0.12985403710433951</c:v>
                </c:pt>
                <c:pt idx="491">
                  <c:v>0.1259965960535287</c:v>
                </c:pt>
                <c:pt idx="492">
                  <c:v>0.12896091735522514</c:v>
                </c:pt>
                <c:pt idx="493">
                  <c:v>0.12888465768093943</c:v>
                </c:pt>
                <c:pt idx="494">
                  <c:v>0.12911517454778723</c:v>
                </c:pt>
                <c:pt idx="495">
                  <c:v>0.12924903406726698</c:v>
                </c:pt>
                <c:pt idx="496">
                  <c:v>0.12886554740204961</c:v>
                </c:pt>
                <c:pt idx="497">
                  <c:v>0.12930698937104962</c:v>
                </c:pt>
                <c:pt idx="498">
                  <c:v>0.12858995306775844</c:v>
                </c:pt>
                <c:pt idx="499">
                  <c:v>0.12766825318358668</c:v>
                </c:pt>
                <c:pt idx="500">
                  <c:v>0.13324445097933135</c:v>
                </c:pt>
                <c:pt idx="501">
                  <c:v>0.13135230247211116</c:v>
                </c:pt>
                <c:pt idx="502">
                  <c:v>0.13111724932481758</c:v>
                </c:pt>
                <c:pt idx="503">
                  <c:v>0.12858771972481756</c:v>
                </c:pt>
                <c:pt idx="504">
                  <c:v>0.12662948469370644</c:v>
                </c:pt>
                <c:pt idx="505">
                  <c:v>0.12807496883616457</c:v>
                </c:pt>
                <c:pt idx="506">
                  <c:v>0.12250136574449155</c:v>
                </c:pt>
                <c:pt idx="507">
                  <c:v>0.12271920604153504</c:v>
                </c:pt>
                <c:pt idx="508">
                  <c:v>0.11574071225147479</c:v>
                </c:pt>
                <c:pt idx="509">
                  <c:v>0.10943916735516349</c:v>
                </c:pt>
                <c:pt idx="510">
                  <c:v>0.11186637319523729</c:v>
                </c:pt>
                <c:pt idx="511">
                  <c:v>0.11074042903694901</c:v>
                </c:pt>
                <c:pt idx="512">
                  <c:v>0.11864699691040805</c:v>
                </c:pt>
                <c:pt idx="513">
                  <c:v>0.11899269982403356</c:v>
                </c:pt>
                <c:pt idx="514">
                  <c:v>0.11094548148325362</c:v>
                </c:pt>
                <c:pt idx="515">
                  <c:v>0.10526699897987331</c:v>
                </c:pt>
                <c:pt idx="516">
                  <c:v>9.88342172959603E-2</c:v>
                </c:pt>
                <c:pt idx="517">
                  <c:v>9.5832263823201674E-2</c:v>
                </c:pt>
                <c:pt idx="518">
                  <c:v>8.9623754249973334E-2</c:v>
                </c:pt>
                <c:pt idx="519">
                  <c:v>8.9722083017401894E-2</c:v>
                </c:pt>
                <c:pt idx="520">
                  <c:v>8.5847400116697656E-2</c:v>
                </c:pt>
                <c:pt idx="521">
                  <c:v>8.3173769268871572E-2</c:v>
                </c:pt>
                <c:pt idx="522">
                  <c:v>8.0904636068871563E-2</c:v>
                </c:pt>
                <c:pt idx="523">
                  <c:v>7.9915662584871566E-2</c:v>
                </c:pt>
                <c:pt idx="524">
                  <c:v>7.8755483930141854E-2</c:v>
                </c:pt>
                <c:pt idx="525">
                  <c:v>8.0861417109105577E-2</c:v>
                </c:pt>
                <c:pt idx="526">
                  <c:v>7.9621441111395658E-2</c:v>
                </c:pt>
                <c:pt idx="527">
                  <c:v>8.0894327323895648E-2</c:v>
                </c:pt>
                <c:pt idx="528">
                  <c:v>8.1316106254167783E-2</c:v>
                </c:pt>
                <c:pt idx="529">
                  <c:v>8.0013245721420989E-2</c:v>
                </c:pt>
                <c:pt idx="530">
                  <c:v>7.8683098805796006E-2</c:v>
                </c:pt>
                <c:pt idx="531">
                  <c:v>8.0632128019562224E-2</c:v>
                </c:pt>
                <c:pt idx="532">
                  <c:v>7.9347993247920426E-2</c:v>
                </c:pt>
                <c:pt idx="533">
                  <c:v>7.5230970057011348E-2</c:v>
                </c:pt>
                <c:pt idx="534">
                  <c:v>7.2032932082238627E-2</c:v>
                </c:pt>
                <c:pt idx="535">
                  <c:v>7.4159739036266895E-2</c:v>
                </c:pt>
                <c:pt idx="536">
                  <c:v>7.3294840583325721E-2</c:v>
                </c:pt>
                <c:pt idx="537">
                  <c:v>7.3463964707941101E-2</c:v>
                </c:pt>
                <c:pt idx="538">
                  <c:v>7.2021181837941081E-2</c:v>
                </c:pt>
                <c:pt idx="539">
                  <c:v>7.4539132204206174E-2</c:v>
                </c:pt>
                <c:pt idx="540">
                  <c:v>7.608380134996888E-2</c:v>
                </c:pt>
                <c:pt idx="541">
                  <c:v>7.1347878561787051E-2</c:v>
                </c:pt>
                <c:pt idx="542">
                  <c:v>7.3719154724522479E-2</c:v>
                </c:pt>
                <c:pt idx="543">
                  <c:v>6.5851031410966945E-2</c:v>
                </c:pt>
                <c:pt idx="544">
                  <c:v>7.2717246048466952E-2</c:v>
                </c:pt>
                <c:pt idx="545">
                  <c:v>6.3245130929921511E-2</c:v>
                </c:pt>
                <c:pt idx="546">
                  <c:v>5.8508973160301285E-2</c:v>
                </c:pt>
                <c:pt idx="547">
                  <c:v>5.7262428801605633E-2</c:v>
                </c:pt>
                <c:pt idx="548">
                  <c:v>5.9921694349956117E-2</c:v>
                </c:pt>
                <c:pt idx="549">
                  <c:v>6.3979381846374042E-2</c:v>
                </c:pt>
                <c:pt idx="550">
                  <c:v>5.0993911437264131E-2</c:v>
                </c:pt>
                <c:pt idx="551">
                  <c:v>4.7836187569322938E-2</c:v>
                </c:pt>
                <c:pt idx="552">
                  <c:v>4.3177175552864655E-2</c:v>
                </c:pt>
                <c:pt idx="553">
                  <c:v>4.3283332504646804E-2</c:v>
                </c:pt>
                <c:pt idx="554">
                  <c:v>4.2912883422146851E-2</c:v>
                </c:pt>
                <c:pt idx="555">
                  <c:v>4.2384707397368097E-2</c:v>
                </c:pt>
                <c:pt idx="556">
                  <c:v>3.997529718655727E-2</c:v>
                </c:pt>
                <c:pt idx="557">
                  <c:v>4.055623288412484E-2</c:v>
                </c:pt>
                <c:pt idx="558">
                  <c:v>4.0426753589310041E-2</c:v>
                </c:pt>
                <c:pt idx="559">
                  <c:v>4.058361258033568E-2</c:v>
                </c:pt>
                <c:pt idx="560">
                  <c:v>4.1440764960335684E-2</c:v>
                </c:pt>
                <c:pt idx="561">
                  <c:v>4.2035976520335673E-2</c:v>
                </c:pt>
                <c:pt idx="562">
                  <c:v>4.2624869279159198E-2</c:v>
                </c:pt>
                <c:pt idx="563">
                  <c:v>4.2150216510041548E-2</c:v>
                </c:pt>
                <c:pt idx="564">
                  <c:v>4.2088910567972586E-2</c:v>
                </c:pt>
                <c:pt idx="565">
                  <c:v>4.1718191264604167E-2</c:v>
                </c:pt>
                <c:pt idx="566">
                  <c:v>4.1346841987937505E-2</c:v>
                </c:pt>
                <c:pt idx="567">
                  <c:v>4.0508503630625671E-2</c:v>
                </c:pt>
                <c:pt idx="568">
                  <c:v>4.0679657041934082E-2</c:v>
                </c:pt>
                <c:pt idx="569">
                  <c:v>3.8897176742304453E-2</c:v>
                </c:pt>
                <c:pt idx="570">
                  <c:v>3.9116753206304443E-2</c:v>
                </c:pt>
                <c:pt idx="571">
                  <c:v>3.7868390013890647E-2</c:v>
                </c:pt>
                <c:pt idx="572">
                  <c:v>3.7744431188176358E-2</c:v>
                </c:pt>
                <c:pt idx="573">
                  <c:v>3.7701502705676362E-2</c:v>
                </c:pt>
                <c:pt idx="574">
                  <c:v>3.8262819079426344E-2</c:v>
                </c:pt>
                <c:pt idx="575">
                  <c:v>3.8604524240134309E-2</c:v>
                </c:pt>
                <c:pt idx="576">
                  <c:v>3.8039859944455301E-2</c:v>
                </c:pt>
                <c:pt idx="577">
                  <c:v>3.7860606820751597E-2</c:v>
                </c:pt>
                <c:pt idx="578">
                  <c:v>3.7572754498383175E-2</c:v>
                </c:pt>
                <c:pt idx="579">
                  <c:v>3.7404994157307914E-2</c:v>
                </c:pt>
                <c:pt idx="580">
                  <c:v>3.7547808806801586E-2</c:v>
                </c:pt>
                <c:pt idx="581">
                  <c:v>3.7588138802854214E-2</c:v>
                </c:pt>
                <c:pt idx="582">
                  <c:v>3.7274957379913043E-2</c:v>
                </c:pt>
                <c:pt idx="583">
                  <c:v>3.7788826871271067E-2</c:v>
                </c:pt>
                <c:pt idx="584">
                  <c:v>3.7933349543131531E-2</c:v>
                </c:pt>
                <c:pt idx="585">
                  <c:v>3.7626256528712931E-2</c:v>
                </c:pt>
                <c:pt idx="586">
                  <c:v>3.778935623171293E-2</c:v>
                </c:pt>
                <c:pt idx="587">
                  <c:v>3.7694638721373942E-2</c:v>
                </c:pt>
                <c:pt idx="588">
                  <c:v>3.7883288386135847E-2</c:v>
                </c:pt>
                <c:pt idx="589">
                  <c:v>3.7891750937451639E-2</c:v>
                </c:pt>
                <c:pt idx="590">
                  <c:v>3.7408316248956061E-2</c:v>
                </c:pt>
                <c:pt idx="591">
                  <c:v>3.7432696795622729E-2</c:v>
                </c:pt>
                <c:pt idx="592">
                  <c:v>3.5797382738886621E-2</c:v>
                </c:pt>
                <c:pt idx="593">
                  <c:v>3.5917527562789056E-2</c:v>
                </c:pt>
                <c:pt idx="594">
                  <c:v>3.5657330446122383E-2</c:v>
                </c:pt>
                <c:pt idx="595">
                  <c:v>3.5306669026996168E-2</c:v>
                </c:pt>
                <c:pt idx="596">
                  <c:v>3.5658336906996171E-2</c:v>
                </c:pt>
                <c:pt idx="597">
                  <c:v>3.5819007860329509E-2</c:v>
                </c:pt>
                <c:pt idx="598">
                  <c:v>3.564114112977395E-2</c:v>
                </c:pt>
                <c:pt idx="599">
                  <c:v>3.5201708278721315E-2</c:v>
                </c:pt>
                <c:pt idx="600">
                  <c:v>3.4983493793128095E-2</c:v>
                </c:pt>
                <c:pt idx="601">
                  <c:v>3.4788474718051167E-2</c:v>
                </c:pt>
                <c:pt idx="602">
                  <c:v>3.5935425491640922E-2</c:v>
                </c:pt>
                <c:pt idx="603">
                  <c:v>3.5689333583339027E-2</c:v>
                </c:pt>
                <c:pt idx="604">
                  <c:v>3.5459820489302331E-2</c:v>
                </c:pt>
                <c:pt idx="605">
                  <c:v>3.5886963190920454E-2</c:v>
                </c:pt>
                <c:pt idx="606">
                  <c:v>3.5389735388887261E-2</c:v>
                </c:pt>
                <c:pt idx="607">
                  <c:v>3.5628425904987888E-2</c:v>
                </c:pt>
                <c:pt idx="608">
                  <c:v>3.5243733934290214E-2</c:v>
                </c:pt>
                <c:pt idx="609">
                  <c:v>3.5321670524113224E-2</c:v>
                </c:pt>
                <c:pt idx="610">
                  <c:v>3.4399779421014638E-2</c:v>
                </c:pt>
                <c:pt idx="611">
                  <c:v>3.349209004540487E-2</c:v>
                </c:pt>
                <c:pt idx="612">
                  <c:v>3.2730710099920998E-2</c:v>
                </c:pt>
                <c:pt idx="613">
                  <c:v>3.2376003828102816E-2</c:v>
                </c:pt>
                <c:pt idx="614">
                  <c:v>3.2980177768102817E-2</c:v>
                </c:pt>
                <c:pt idx="615">
                  <c:v>3.3174526859055198E-2</c:v>
                </c:pt>
                <c:pt idx="616">
                  <c:v>3.213461216244503E-2</c:v>
                </c:pt>
                <c:pt idx="617">
                  <c:v>3.2990997029011551E-2</c:v>
                </c:pt>
                <c:pt idx="618">
                  <c:v>3.3260105296906289E-2</c:v>
                </c:pt>
                <c:pt idx="619">
                  <c:v>3.1915367426662386E-2</c:v>
                </c:pt>
                <c:pt idx="620">
                  <c:v>3.1819299386662385E-2</c:v>
                </c:pt>
                <c:pt idx="621">
                  <c:v>3.1795879205485912E-2</c:v>
                </c:pt>
                <c:pt idx="622">
                  <c:v>3.1780180031003157E-2</c:v>
                </c:pt>
                <c:pt idx="623">
                  <c:v>3.2805857503530621E-2</c:v>
                </c:pt>
                <c:pt idx="624">
                  <c:v>3.2558844060277606E-2</c:v>
                </c:pt>
                <c:pt idx="625">
                  <c:v>3.2131656538849036E-2</c:v>
                </c:pt>
                <c:pt idx="626">
                  <c:v>3.1740856979558266E-2</c:v>
                </c:pt>
                <c:pt idx="627">
                  <c:v>3.1621370250842308E-2</c:v>
                </c:pt>
                <c:pt idx="628">
                  <c:v>3.2944831276088687E-2</c:v>
                </c:pt>
                <c:pt idx="629">
                  <c:v>3.3524187926088689E-2</c:v>
                </c:pt>
                <c:pt idx="630">
                  <c:v>3.4375168129906861E-2</c:v>
                </c:pt>
                <c:pt idx="631">
                  <c:v>3.3183511533565392E-2</c:v>
                </c:pt>
                <c:pt idx="632">
                  <c:v>3.5156267192388915E-2</c:v>
                </c:pt>
                <c:pt idx="633">
                  <c:v>3.5005668912472955E-2</c:v>
                </c:pt>
                <c:pt idx="634">
                  <c:v>3.4709333377589233E-2</c:v>
                </c:pt>
                <c:pt idx="635">
                  <c:v>3.4832961093196169E-2</c:v>
                </c:pt>
                <c:pt idx="636">
                  <c:v>3.4405082852348723E-2</c:v>
                </c:pt>
                <c:pt idx="637">
                  <c:v>3.4126686660450906E-2</c:v>
                </c:pt>
                <c:pt idx="638">
                  <c:v>3.5439455904113702E-2</c:v>
                </c:pt>
                <c:pt idx="639">
                  <c:v>3.3810764102817401E-2</c:v>
                </c:pt>
                <c:pt idx="640">
                  <c:v>3.3577798148271935E-2</c:v>
                </c:pt>
                <c:pt idx="641">
                  <c:v>3.2851771045146937E-2</c:v>
                </c:pt>
                <c:pt idx="642">
                  <c:v>3.2659016220822623E-2</c:v>
                </c:pt>
                <c:pt idx="643">
                  <c:v>3.2646589637930053E-2</c:v>
                </c:pt>
                <c:pt idx="644">
                  <c:v>3.3081439317043992E-2</c:v>
                </c:pt>
                <c:pt idx="645">
                  <c:v>3.3004976273350292E-2</c:v>
                </c:pt>
                <c:pt idx="646">
                  <c:v>3.2410105658041651E-2</c:v>
                </c:pt>
                <c:pt idx="647">
                  <c:v>3.3160522672675802E-2</c:v>
                </c:pt>
                <c:pt idx="648">
                  <c:v>3.4321383978478268E-2</c:v>
                </c:pt>
                <c:pt idx="649">
                  <c:v>3.4417422808656839E-2</c:v>
                </c:pt>
                <c:pt idx="650">
                  <c:v>3.3834884179063343E-2</c:v>
                </c:pt>
                <c:pt idx="651">
                  <c:v>3.3986665596624312E-2</c:v>
                </c:pt>
                <c:pt idx="652">
                  <c:v>3.2463267968717339E-2</c:v>
                </c:pt>
                <c:pt idx="653">
                  <c:v>3.2864620967451512E-2</c:v>
                </c:pt>
                <c:pt idx="654">
                  <c:v>3.2779492211713807E-2</c:v>
                </c:pt>
                <c:pt idx="655">
                  <c:v>3.2125685898019542E-2</c:v>
                </c:pt>
                <c:pt idx="656">
                  <c:v>3.2210979604284602E-2</c:v>
                </c:pt>
                <c:pt idx="657">
                  <c:v>3.2132205608959921E-2</c:v>
                </c:pt>
                <c:pt idx="658">
                  <c:v>3.2551733367508315E-2</c:v>
                </c:pt>
                <c:pt idx="659">
                  <c:v>3.2492377012053771E-2</c:v>
                </c:pt>
                <c:pt idx="660">
                  <c:v>3.2157801927843246E-2</c:v>
                </c:pt>
                <c:pt idx="661">
                  <c:v>3.2885272349712412E-2</c:v>
                </c:pt>
                <c:pt idx="662">
                  <c:v>3.2092528407790692E-2</c:v>
                </c:pt>
                <c:pt idx="663">
                  <c:v>3.2071208695000006E-2</c:v>
                </c:pt>
                <c:pt idx="664">
                  <c:v>3.1933973155629923E-2</c:v>
                </c:pt>
                <c:pt idx="665">
                  <c:v>3.2040219500265685E-2</c:v>
                </c:pt>
                <c:pt idx="666">
                  <c:v>3.2439353525496449E-2</c:v>
                </c:pt>
                <c:pt idx="667">
                  <c:v>3.1423967406514416E-2</c:v>
                </c:pt>
                <c:pt idx="668">
                  <c:v>3.193088619222869E-2</c:v>
                </c:pt>
                <c:pt idx="669">
                  <c:v>3.1029448896356802E-2</c:v>
                </c:pt>
                <c:pt idx="670">
                  <c:v>3.1598987093736111E-2</c:v>
                </c:pt>
                <c:pt idx="671">
                  <c:v>3.0953743529736105E-2</c:v>
                </c:pt>
                <c:pt idx="672">
                  <c:v>3.1305586142014584E-2</c:v>
                </c:pt>
                <c:pt idx="673">
                  <c:v>3.0902555901853295E-2</c:v>
                </c:pt>
                <c:pt idx="674">
                  <c:v>3.1257601343209214E-2</c:v>
                </c:pt>
                <c:pt idx="675">
                  <c:v>3.1471521342183569E-2</c:v>
                </c:pt>
                <c:pt idx="676">
                  <c:v>2.4130382811274498E-2</c:v>
                </c:pt>
                <c:pt idx="677">
                  <c:v>3.9357165549614159E-2</c:v>
                </c:pt>
                <c:pt idx="678">
                  <c:v>3.7598134323829399E-2</c:v>
                </c:pt>
                <c:pt idx="679">
                  <c:v>3.864584490937395E-2</c:v>
                </c:pt>
                <c:pt idx="680">
                  <c:v>3.1199463751873945E-2</c:v>
                </c:pt>
                <c:pt idx="681">
                  <c:v>1.581132733818981E-2</c:v>
                </c:pt>
                <c:pt idx="682">
                  <c:v>9.261755776617437E-3</c:v>
                </c:pt>
                <c:pt idx="683">
                  <c:v>1.6405484782386646E-2</c:v>
                </c:pt>
                <c:pt idx="684">
                  <c:v>2.253593330152948E-2</c:v>
                </c:pt>
                <c:pt idx="685">
                  <c:v>2.4663734423444529E-2</c:v>
                </c:pt>
                <c:pt idx="686">
                  <c:v>3.6397903670851203E-2</c:v>
                </c:pt>
                <c:pt idx="687">
                  <c:v>3.6121815407994064E-2</c:v>
                </c:pt>
                <c:pt idx="688">
                  <c:v>3.6030451305136921E-2</c:v>
                </c:pt>
                <c:pt idx="689">
                  <c:v>3.5873267210234948E-2</c:v>
                </c:pt>
                <c:pt idx="690">
                  <c:v>3.5670064799708641E-2</c:v>
                </c:pt>
                <c:pt idx="691">
                  <c:v>3.6669731917320578E-2</c:v>
                </c:pt>
                <c:pt idx="692">
                  <c:v>3.7040404393504783E-2</c:v>
                </c:pt>
                <c:pt idx="693">
                  <c:v>3.6414432415929038E-2</c:v>
                </c:pt>
                <c:pt idx="694">
                  <c:v>3.6185534397132041E-2</c:v>
                </c:pt>
                <c:pt idx="695">
                  <c:v>3.6562947079724628E-2</c:v>
                </c:pt>
                <c:pt idx="696">
                  <c:v>3.6932419310493861E-2</c:v>
                </c:pt>
                <c:pt idx="697">
                  <c:v>3.5507403463293868E-2</c:v>
                </c:pt>
                <c:pt idx="698">
                  <c:v>3.6033046364678481E-2</c:v>
                </c:pt>
                <c:pt idx="699">
                  <c:v>3.7245454324678483E-2</c:v>
                </c:pt>
                <c:pt idx="700">
                  <c:v>3.536343543056681E-2</c:v>
                </c:pt>
                <c:pt idx="701">
                  <c:v>2.9902260183423953E-2</c:v>
                </c:pt>
                <c:pt idx="702">
                  <c:v>3.2205181829586732E-2</c:v>
                </c:pt>
                <c:pt idx="703">
                  <c:v>3.6896890459373978E-2</c:v>
                </c:pt>
                <c:pt idx="704">
                  <c:v>3.7151293893247853E-2</c:v>
                </c:pt>
                <c:pt idx="705">
                  <c:v>3.6825824862304457E-2</c:v>
                </c:pt>
                <c:pt idx="706">
                  <c:v>3.6726353577087069E-2</c:v>
                </c:pt>
                <c:pt idx="707">
                  <c:v>3.627120167147959E-2</c:v>
                </c:pt>
                <c:pt idx="708">
                  <c:v>3.5937128860100268E-2</c:v>
                </c:pt>
                <c:pt idx="709">
                  <c:v>3.4543737238890211E-2</c:v>
                </c:pt>
                <c:pt idx="710">
                  <c:v>3.3241477691304006E-2</c:v>
                </c:pt>
                <c:pt idx="711">
                  <c:v>3.3495589732063215E-2</c:v>
                </c:pt>
                <c:pt idx="712">
                  <c:v>4.4211505370713181E-2</c:v>
                </c:pt>
                <c:pt idx="713">
                  <c:v>4.3425212338261576E-2</c:v>
                </c:pt>
                <c:pt idx="714">
                  <c:v>4.2643245067338499E-2</c:v>
                </c:pt>
                <c:pt idx="715">
                  <c:v>4.2783148625012916E-2</c:v>
                </c:pt>
                <c:pt idx="716">
                  <c:v>4.2551343728822445E-2</c:v>
                </c:pt>
                <c:pt idx="717">
                  <c:v>3.9881948441419852E-2</c:v>
                </c:pt>
                <c:pt idx="718">
                  <c:v>3.4955045073108738E-2</c:v>
                </c:pt>
                <c:pt idx="719">
                  <c:v>3.3846766285608745E-2</c:v>
                </c:pt>
                <c:pt idx="720">
                  <c:v>3.3538186463894455E-2</c:v>
                </c:pt>
                <c:pt idx="721">
                  <c:v>3.4885732221649576E-2</c:v>
                </c:pt>
                <c:pt idx="722">
                  <c:v>3.1767059507363873E-2</c:v>
                </c:pt>
                <c:pt idx="723">
                  <c:v>2.9881306667565201E-2</c:v>
                </c:pt>
                <c:pt idx="724">
                  <c:v>3.0839151490409229E-2</c:v>
                </c:pt>
                <c:pt idx="725">
                  <c:v>3.3177121738114136E-2</c:v>
                </c:pt>
                <c:pt idx="726">
                  <c:v>3.3830754548640457E-2</c:v>
                </c:pt>
                <c:pt idx="727">
                  <c:v>3.4032060185197832E-2</c:v>
                </c:pt>
                <c:pt idx="728">
                  <c:v>3.3870684614061473E-2</c:v>
                </c:pt>
                <c:pt idx="729">
                  <c:v>2.9864150483381854E-2</c:v>
                </c:pt>
                <c:pt idx="730">
                  <c:v>3.5287216351638735E-2</c:v>
                </c:pt>
                <c:pt idx="731">
                  <c:v>2.8816518021638732E-2</c:v>
                </c:pt>
                <c:pt idx="732">
                  <c:v>2.7136522196595257E-2</c:v>
                </c:pt>
                <c:pt idx="733">
                  <c:v>2.4408681133413455E-2</c:v>
                </c:pt>
                <c:pt idx="734">
                  <c:v>2.4621218309709748E-2</c:v>
                </c:pt>
                <c:pt idx="735">
                  <c:v>2.4274171328840185E-2</c:v>
                </c:pt>
                <c:pt idx="736">
                  <c:v>2.5869800678201878E-2</c:v>
                </c:pt>
                <c:pt idx="737">
                  <c:v>2.6473502237268551E-2</c:v>
                </c:pt>
                <c:pt idx="738">
                  <c:v>2.3345043687935208E-2</c:v>
                </c:pt>
                <c:pt idx="739">
                  <c:v>2.2471032158389755E-2</c:v>
                </c:pt>
                <c:pt idx="740">
                  <c:v>2.4468794846279205E-2</c:v>
                </c:pt>
                <c:pt idx="741">
                  <c:v>2.4568118659200576E-2</c:v>
                </c:pt>
                <c:pt idx="742">
                  <c:v>2.1739868513781069E-2</c:v>
                </c:pt>
                <c:pt idx="743">
                  <c:v>1.7742657473781068E-2</c:v>
                </c:pt>
                <c:pt idx="744">
                  <c:v>6.2243957156159196E-3</c:v>
                </c:pt>
                <c:pt idx="745">
                  <c:v>6.686615627282534E-3</c:v>
                </c:pt>
                <c:pt idx="746">
                  <c:v>6.9624320244254037E-3</c:v>
                </c:pt>
                <c:pt idx="747">
                  <c:v>5.982049474425411E-3</c:v>
                </c:pt>
                <c:pt idx="748">
                  <c:v>7.8860809744254121E-3</c:v>
                </c:pt>
                <c:pt idx="749">
                  <c:v>5.4256211555574856E-3</c:v>
                </c:pt>
                <c:pt idx="750">
                  <c:v>4.4817339860837918E-3</c:v>
                </c:pt>
                <c:pt idx="751">
                  <c:v>2.2737479202013773E-3</c:v>
                </c:pt>
                <c:pt idx="752">
                  <c:v>4.0840124877013885E-3</c:v>
                </c:pt>
                <c:pt idx="753">
                  <c:v>3.3287139815195719E-3</c:v>
                </c:pt>
                <c:pt idx="754">
                  <c:v>3.7476797836734185E-3</c:v>
                </c:pt>
                <c:pt idx="755">
                  <c:v>4.0152988265305589E-3</c:v>
                </c:pt>
                <c:pt idx="756">
                  <c:v>3.4372435609391588E-3</c:v>
                </c:pt>
                <c:pt idx="757">
                  <c:v>4.8150990809391597E-3</c:v>
                </c:pt>
                <c:pt idx="758">
                  <c:v>5.0787594595105828E-3</c:v>
                </c:pt>
                <c:pt idx="759">
                  <c:v>5.8952753958742094E-3</c:v>
                </c:pt>
                <c:pt idx="760">
                  <c:v>6.1671527218742101E-3</c:v>
                </c:pt>
                <c:pt idx="761">
                  <c:v>6.143917582362015E-3</c:v>
                </c:pt>
                <c:pt idx="762">
                  <c:v>5.779852020256754E-3</c:v>
                </c:pt>
                <c:pt idx="763">
                  <c:v>6.4993376978324975E-3</c:v>
                </c:pt>
                <c:pt idx="764">
                  <c:v>7.3274876411052172E-3</c:v>
                </c:pt>
                <c:pt idx="765">
                  <c:v>7.6437224255496592E-3</c:v>
                </c:pt>
                <c:pt idx="766">
                  <c:v>8.0129307515814027E-3</c:v>
                </c:pt>
                <c:pt idx="767">
                  <c:v>1.9901362620966066E-2</c:v>
                </c:pt>
                <c:pt idx="768">
                  <c:v>6.6589637109660668E-3</c:v>
                </c:pt>
                <c:pt idx="769">
                  <c:v>6.3916443752517847E-3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8-489D-8248-C0B8E5C95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561312"/>
        <c:axId val="304656256"/>
      </c:lineChart>
      <c:dateAx>
        <c:axId val="315561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56256"/>
        <c:crosses val="autoZero"/>
        <c:auto val="1"/>
        <c:lblOffset val="100"/>
        <c:baseTimeUnit val="days"/>
      </c:dateAx>
      <c:valAx>
        <c:axId val="30465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6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671089A-1654-49F3-97CA-A48E25F4CEED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15657A-57E8-4DE7-B426-EF85A832682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85.74</v>
      </c>
      <c r="D2" s="4">
        <f>MIN(D3:D1912)</f>
        <v>0.5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36.479999999999997</v>
      </c>
      <c r="C5">
        <v>36.85</v>
      </c>
      <c r="D5">
        <v>35.76</v>
      </c>
      <c r="E5">
        <v>35.799999999999997</v>
      </c>
      <c r="F5">
        <v>58569.69</v>
      </c>
      <c r="G5">
        <v>35.799999999999997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-0.92660550458715774</v>
      </c>
      <c r="Q5">
        <f t="shared" ref="Q5" si="1">F5*P5</f>
        <v>-54270.997155963407</v>
      </c>
      <c r="R5">
        <f t="shared" ref="R5" si="2">R6+Q5</f>
        <v>33543915.586479232</v>
      </c>
      <c r="S5">
        <f t="shared" ref="S5" si="3">R5/100000</f>
        <v>335.43915586479233</v>
      </c>
      <c r="T5">
        <f t="shared" ref="T5" si="4">S5/1000</f>
        <v>0.33543915586479234</v>
      </c>
    </row>
    <row r="6" spans="1:20" x14ac:dyDescent="0.25">
      <c r="A6" s="5">
        <v>44587</v>
      </c>
      <c r="B6">
        <v>36.479999999999997</v>
      </c>
      <c r="C6">
        <v>38.92</v>
      </c>
      <c r="D6">
        <v>35.409999999999997</v>
      </c>
      <c r="E6">
        <v>36.479999999999997</v>
      </c>
      <c r="F6">
        <v>1145338.57</v>
      </c>
      <c r="G6">
        <v>36.479999999999997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-0.39031339031339102</v>
      </c>
      <c r="Q6">
        <f t="shared" ref="Q6" si="6">F6*P6</f>
        <v>-447040.98031339113</v>
      </c>
      <c r="R6">
        <f t="shared" ref="R6" si="7">R7+Q6</f>
        <v>33598186.583635196</v>
      </c>
      <c r="S6">
        <f t="shared" ref="S6" si="8">R6/100000</f>
        <v>335.98186583635197</v>
      </c>
      <c r="T6">
        <f t="shared" ref="T6" si="9">S6/1000</f>
        <v>0.33598186583635198</v>
      </c>
    </row>
    <row r="7" spans="1:20" x14ac:dyDescent="0.25">
      <c r="A7" s="5">
        <v>44586</v>
      </c>
      <c r="B7">
        <v>35.590000000000003</v>
      </c>
      <c r="C7">
        <v>37.15</v>
      </c>
      <c r="D7">
        <v>34.479999999999997</v>
      </c>
      <c r="E7">
        <v>36.46</v>
      </c>
      <c r="F7">
        <v>857954.27</v>
      </c>
      <c r="G7">
        <v>36.46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0.48314606741573235</v>
      </c>
      <c r="Q7">
        <f t="shared" ref="Q7" si="11">F7*P7</f>
        <v>414517.23157303542</v>
      </c>
      <c r="R7">
        <f t="shared" ref="R7" si="12">R8+Q7</f>
        <v>34045227.563948587</v>
      </c>
      <c r="S7">
        <f t="shared" ref="S7" si="13">R7/100000</f>
        <v>340.45227563948589</v>
      </c>
      <c r="T7">
        <f t="shared" ref="T7" si="14">S7/1000</f>
        <v>0.34045227563948588</v>
      </c>
    </row>
    <row r="8" spans="1:20" x14ac:dyDescent="0.25">
      <c r="A8" s="5">
        <v>44585</v>
      </c>
      <c r="B8">
        <v>35.979999999999997</v>
      </c>
      <c r="C8">
        <v>36.33</v>
      </c>
      <c r="D8">
        <v>31.18</v>
      </c>
      <c r="E8">
        <v>35.590000000000003</v>
      </c>
      <c r="F8">
        <v>1346541.22</v>
      </c>
      <c r="G8">
        <v>35.590000000000003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0.71262135922330283</v>
      </c>
      <c r="Q8">
        <f t="shared" ref="Q8" si="16">F8*P8</f>
        <v>959574.03444660443</v>
      </c>
      <c r="R8">
        <f t="shared" ref="R8" si="17">R9+Q8</f>
        <v>33630710.332375549</v>
      </c>
      <c r="S8">
        <f t="shared" ref="S8" si="18">R8/100000</f>
        <v>336.30710332375548</v>
      </c>
      <c r="T8">
        <f t="shared" ref="T8" si="19">S8/1000</f>
        <v>0.33630710332375546</v>
      </c>
    </row>
    <row r="9" spans="1:20" x14ac:dyDescent="0.25">
      <c r="A9" s="5">
        <v>44584</v>
      </c>
      <c r="B9">
        <v>33.43</v>
      </c>
      <c r="C9">
        <v>36.42</v>
      </c>
      <c r="D9">
        <v>33.29</v>
      </c>
      <c r="E9">
        <v>35.99</v>
      </c>
      <c r="F9">
        <v>903790.13</v>
      </c>
      <c r="G9">
        <v>35.99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0.72523961661341896</v>
      </c>
      <c r="Q9">
        <f t="shared" ref="Q9" si="21">F9*P9</f>
        <v>655464.40738019207</v>
      </c>
      <c r="R9">
        <f t="shared" ref="R9" si="22">R10+Q9</f>
        <v>32671136.297928948</v>
      </c>
      <c r="S9">
        <f t="shared" ref="S9" si="23">R9/100000</f>
        <v>326.7113629792895</v>
      </c>
      <c r="T9">
        <f t="shared" ref="T9" si="24">S9/1000</f>
        <v>0.32671136297928949</v>
      </c>
    </row>
    <row r="10" spans="1:20" x14ac:dyDescent="0.25">
      <c r="A10" s="5">
        <v>44583</v>
      </c>
      <c r="B10">
        <v>38.5</v>
      </c>
      <c r="C10">
        <v>39.39</v>
      </c>
      <c r="D10">
        <v>31.5</v>
      </c>
      <c r="E10">
        <v>33.44</v>
      </c>
      <c r="F10">
        <v>1772299.53</v>
      </c>
      <c r="G10">
        <v>33.44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-0.50823827629911345</v>
      </c>
      <c r="Q10">
        <f t="shared" ref="Q10" si="26">F10*P10</f>
        <v>-900750.45821292896</v>
      </c>
      <c r="R10">
        <f t="shared" ref="R10" si="27">R11+Q10</f>
        <v>32015671.890548754</v>
      </c>
      <c r="S10">
        <f t="shared" ref="S10" si="28">R10/100000</f>
        <v>320.15671890548754</v>
      </c>
      <c r="T10">
        <f t="shared" ref="T10" si="29">S10/1000</f>
        <v>0.32015671890548753</v>
      </c>
    </row>
    <row r="11" spans="1:20" x14ac:dyDescent="0.25">
      <c r="A11" s="5">
        <v>44582</v>
      </c>
      <c r="B11">
        <v>45.15</v>
      </c>
      <c r="C11">
        <v>45.95</v>
      </c>
      <c r="D11">
        <v>37.32</v>
      </c>
      <c r="E11">
        <v>38.520000000000003</v>
      </c>
      <c r="F11">
        <v>1928689.13</v>
      </c>
      <c r="G11">
        <v>38.520000000000003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-0.7219003476245649</v>
      </c>
      <c r="Q11">
        <f t="shared" ref="Q11" si="31">F11*P11</f>
        <v>-1392321.3534067196</v>
      </c>
      <c r="R11">
        <f t="shared" ref="R11" si="32">R12+Q11</f>
        <v>32916422.348761685</v>
      </c>
      <c r="S11">
        <f t="shared" ref="S11" si="33">R11/100000</f>
        <v>329.16422348761688</v>
      </c>
      <c r="T11">
        <f t="shared" ref="T11" si="34">S11/1000</f>
        <v>0.32916422348761687</v>
      </c>
    </row>
    <row r="12" spans="1:20" x14ac:dyDescent="0.25">
      <c r="A12" s="5">
        <v>44581</v>
      </c>
      <c r="B12">
        <v>46.67</v>
      </c>
      <c r="C12">
        <v>49.95</v>
      </c>
      <c r="D12">
        <v>44.97</v>
      </c>
      <c r="E12">
        <v>45.17</v>
      </c>
      <c r="F12">
        <v>1077824.52</v>
      </c>
      <c r="G12">
        <v>45.17</v>
      </c>
      <c r="L12" t="s">
        <v>8</v>
      </c>
      <c r="M12" t="s">
        <v>8</v>
      </c>
      <c r="N12" t="s">
        <v>8</v>
      </c>
      <c r="P12">
        <f t="shared" ref="P12" si="35">IF(C12=D12,0,((E12-D12)-(C12-E12))/(C12-D12))</f>
        <v>-0.91967871485943664</v>
      </c>
      <c r="Q12">
        <f t="shared" ref="Q12" si="36">F12*P12</f>
        <v>-991252.26939758915</v>
      </c>
      <c r="R12">
        <f t="shared" ref="R12" si="37">R13+Q12</f>
        <v>34308743.702168405</v>
      </c>
      <c r="S12">
        <f t="shared" ref="S12" si="38">R12/100000</f>
        <v>343.08743702168402</v>
      </c>
      <c r="T12">
        <f t="shared" ref="T12" si="39">S12/1000</f>
        <v>0.34308743702168404</v>
      </c>
    </row>
    <row r="13" spans="1:20" x14ac:dyDescent="0.25">
      <c r="A13" s="5">
        <v>44580</v>
      </c>
      <c r="B13">
        <v>44.93</v>
      </c>
      <c r="C13">
        <v>46.99</v>
      </c>
      <c r="D13">
        <v>43.17</v>
      </c>
      <c r="E13">
        <v>46.67</v>
      </c>
      <c r="F13">
        <v>1014659.65</v>
      </c>
      <c r="G13">
        <v>46.67</v>
      </c>
      <c r="L13" t="s">
        <v>8</v>
      </c>
      <c r="M13" t="s">
        <v>8</v>
      </c>
      <c r="N13" t="s">
        <v>8</v>
      </c>
      <c r="P13">
        <f t="shared" ref="P13" si="40">IF(C13=D13,0,((E13-D13)-(C13-E13))/(C13-D13))</f>
        <v>0.83246073298429302</v>
      </c>
      <c r="Q13">
        <f t="shared" ref="Q13" si="41">F13*P13</f>
        <v>844664.31596858625</v>
      </c>
      <c r="R13">
        <f t="shared" ref="R13" si="42">R14+Q13</f>
        <v>35299995.971565992</v>
      </c>
      <c r="S13">
        <f t="shared" ref="S13" si="43">R13/100000</f>
        <v>352.99995971565994</v>
      </c>
      <c r="T13">
        <f t="shared" ref="T13" si="44">S13/1000</f>
        <v>0.35299995971565995</v>
      </c>
    </row>
    <row r="14" spans="1:20" x14ac:dyDescent="0.25">
      <c r="A14" s="5">
        <v>44579</v>
      </c>
      <c r="B14">
        <v>44.37</v>
      </c>
      <c r="C14">
        <v>45.22</v>
      </c>
      <c r="D14">
        <v>42.93</v>
      </c>
      <c r="E14">
        <v>44.97</v>
      </c>
      <c r="F14">
        <v>588131.49</v>
      </c>
      <c r="G14">
        <v>44.97</v>
      </c>
      <c r="L14" t="s">
        <v>7</v>
      </c>
      <c r="M14" t="s">
        <v>8</v>
      </c>
      <c r="N14" t="s">
        <v>8</v>
      </c>
      <c r="P14">
        <f t="shared" ref="P14" si="45">IF(C14=D14,0,((E14-D14)-(C14-E14))/(C14-D14))</f>
        <v>0.78165938864628814</v>
      </c>
      <c r="Q14">
        <f t="shared" ref="Q14" si="46">F14*P14</f>
        <v>459718.5009170305</v>
      </c>
      <c r="R14">
        <f t="shared" ref="R14" si="47">R15+Q14</f>
        <v>34455331.655597404</v>
      </c>
      <c r="S14">
        <f t="shared" ref="S14" si="48">R14/100000</f>
        <v>344.55331655597405</v>
      </c>
      <c r="T14">
        <f t="shared" ref="T14" si="49">S14/1000</f>
        <v>0.34455331655597404</v>
      </c>
    </row>
    <row r="15" spans="1:20" x14ac:dyDescent="0.25">
      <c r="A15" s="5">
        <v>44578</v>
      </c>
      <c r="B15">
        <v>46.43</v>
      </c>
      <c r="C15">
        <v>46.6</v>
      </c>
      <c r="D15">
        <v>43.71</v>
      </c>
      <c r="E15">
        <v>44.38</v>
      </c>
      <c r="F15">
        <v>828822.3</v>
      </c>
      <c r="G15">
        <v>44.38</v>
      </c>
      <c r="L15" t="s">
        <v>7</v>
      </c>
      <c r="M15" t="s">
        <v>8</v>
      </c>
      <c r="N15" t="s">
        <v>8</v>
      </c>
      <c r="P15">
        <f t="shared" ref="P15" si="50">IF(C15=D15,0,((E15-D15)-(C15-E15))/(C15-D15))</f>
        <v>-0.53633217993079474</v>
      </c>
      <c r="Q15">
        <f t="shared" ref="Q15" si="51">F15*P15</f>
        <v>-444524.07093425514</v>
      </c>
      <c r="R15">
        <f t="shared" ref="R15" si="52">R16+Q15</f>
        <v>33995613.154680371</v>
      </c>
      <c r="S15">
        <f t="shared" ref="S15" si="53">R15/100000</f>
        <v>339.9561315468037</v>
      </c>
      <c r="T15">
        <f t="shared" ref="T15" si="54">S15/1000</f>
        <v>0.33995613154680371</v>
      </c>
    </row>
    <row r="16" spans="1:20" x14ac:dyDescent="0.25">
      <c r="A16" s="5">
        <v>44577</v>
      </c>
      <c r="B16">
        <v>45.99</v>
      </c>
      <c r="C16">
        <v>46.63</v>
      </c>
      <c r="D16">
        <v>45.1</v>
      </c>
      <c r="E16">
        <v>46.43</v>
      </c>
      <c r="F16">
        <v>689321.3</v>
      </c>
      <c r="G16">
        <v>46.43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0.73856209150326446</v>
      </c>
      <c r="Q16">
        <f t="shared" ref="Q16" si="56">F16*P16</f>
        <v>509106.58104574925</v>
      </c>
      <c r="R16">
        <f t="shared" ref="R16" si="57">R17+Q16</f>
        <v>34440137.22561463</v>
      </c>
      <c r="S16">
        <f t="shared" ref="S16" si="58">R16/100000</f>
        <v>344.40137225614632</v>
      </c>
      <c r="T16">
        <f t="shared" ref="T16" si="59">S16/1000</f>
        <v>0.34440137225614631</v>
      </c>
    </row>
    <row r="17" spans="1:20" x14ac:dyDescent="0.25">
      <c r="A17" s="5">
        <v>44576</v>
      </c>
      <c r="B17">
        <v>44.73</v>
      </c>
      <c r="C17">
        <v>48</v>
      </c>
      <c r="D17">
        <v>44.32</v>
      </c>
      <c r="E17">
        <v>46</v>
      </c>
      <c r="F17">
        <v>1291820.0900000001</v>
      </c>
      <c r="G17">
        <v>46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-8.6956521739130516E-2</v>
      </c>
      <c r="Q17">
        <f t="shared" ref="Q17" si="61">F17*P17</f>
        <v>-112332.18173913055</v>
      </c>
      <c r="R17">
        <f t="shared" ref="R17" si="62">R18+Q17</f>
        <v>33931030.644568883</v>
      </c>
      <c r="S17">
        <f t="shared" ref="S17" si="63">R17/100000</f>
        <v>339.31030644568881</v>
      </c>
      <c r="T17">
        <f t="shared" ref="T17" si="64">S17/1000</f>
        <v>0.33931030644568883</v>
      </c>
    </row>
    <row r="18" spans="1:20" x14ac:dyDescent="0.25">
      <c r="A18" s="5">
        <v>44575</v>
      </c>
      <c r="B18">
        <v>40.909999999999997</v>
      </c>
      <c r="C18">
        <v>44.75</v>
      </c>
      <c r="D18">
        <v>40.69</v>
      </c>
      <c r="E18">
        <v>44.73</v>
      </c>
      <c r="F18">
        <v>1249352.58</v>
      </c>
      <c r="G18">
        <v>44.73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0.99014778325122998</v>
      </c>
      <c r="Q18">
        <f t="shared" ref="Q18" si="66">F18*P18</f>
        <v>1237043.6875862051</v>
      </c>
      <c r="R18">
        <f t="shared" ref="R18" si="67">R19+Q18</f>
        <v>34043362.826308012</v>
      </c>
      <c r="S18">
        <f t="shared" ref="S18" si="68">R18/100000</f>
        <v>340.4336282630801</v>
      </c>
      <c r="T18">
        <f t="shared" ref="T18" si="69">S18/1000</f>
        <v>0.3404336282630801</v>
      </c>
    </row>
    <row r="19" spans="1:20" x14ac:dyDescent="0.25">
      <c r="A19" s="5">
        <v>44574</v>
      </c>
      <c r="B19">
        <v>41.45</v>
      </c>
      <c r="C19">
        <v>42.48</v>
      </c>
      <c r="D19">
        <v>40.6</v>
      </c>
      <c r="E19">
        <v>40.93</v>
      </c>
      <c r="F19">
        <v>596522.42000000004</v>
      </c>
      <c r="G19">
        <v>40.93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-0.64893617021276695</v>
      </c>
      <c r="Q19">
        <f t="shared" ref="Q19" si="71">F19*P19</f>
        <v>-387104.97468085168</v>
      </c>
      <c r="R19">
        <f t="shared" ref="R19" si="72">R20+Q19</f>
        <v>32806319.138721809</v>
      </c>
      <c r="S19">
        <f t="shared" ref="S19" si="73">R19/100000</f>
        <v>328.06319138721807</v>
      </c>
      <c r="T19">
        <f t="shared" ref="T19" si="74">S19/1000</f>
        <v>0.32806319138721807</v>
      </c>
    </row>
    <row r="20" spans="1:20" x14ac:dyDescent="0.25">
      <c r="A20" s="5">
        <v>44573</v>
      </c>
      <c r="B20">
        <v>39.76</v>
      </c>
      <c r="C20">
        <v>41.76</v>
      </c>
      <c r="D20">
        <v>39.56</v>
      </c>
      <c r="E20">
        <v>41.43</v>
      </c>
      <c r="F20">
        <v>556086.81000000006</v>
      </c>
      <c r="G20">
        <v>41.43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0.70000000000000095</v>
      </c>
      <c r="Q20">
        <f t="shared" ref="Q20" si="76">F20*P20</f>
        <v>389260.76700000057</v>
      </c>
      <c r="R20">
        <f t="shared" ref="R20" si="77">R21+Q20</f>
        <v>33193424.113402661</v>
      </c>
      <c r="S20">
        <f t="shared" ref="S20" si="78">R20/100000</f>
        <v>331.93424113402659</v>
      </c>
      <c r="T20">
        <f t="shared" ref="T20" si="79">S20/1000</f>
        <v>0.33193424113402659</v>
      </c>
    </row>
    <row r="21" spans="1:20" x14ac:dyDescent="0.25">
      <c r="A21" s="5">
        <v>44572</v>
      </c>
      <c r="B21">
        <v>38.090000000000003</v>
      </c>
      <c r="C21">
        <v>39.93</v>
      </c>
      <c r="D21">
        <v>37.74</v>
      </c>
      <c r="E21">
        <v>39.78</v>
      </c>
      <c r="F21">
        <v>792451.65</v>
      </c>
      <c r="G21">
        <v>39.78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0.8630136986301381</v>
      </c>
      <c r="Q21">
        <f t="shared" ref="Q21" si="81">F21*P21</f>
        <v>683896.62945205567</v>
      </c>
      <c r="R21">
        <f t="shared" ref="R21" si="82">R22+Q21</f>
        <v>32804163.34640266</v>
      </c>
      <c r="S21">
        <f t="shared" ref="S21" si="83">R21/100000</f>
        <v>328.04163346402657</v>
      </c>
      <c r="T21">
        <f t="shared" ref="T21" si="84">S21/1000</f>
        <v>0.32804163346402659</v>
      </c>
    </row>
    <row r="22" spans="1:20" x14ac:dyDescent="0.25">
      <c r="A22" s="5">
        <v>44571</v>
      </c>
      <c r="B22">
        <v>37.17</v>
      </c>
      <c r="C22">
        <v>38.33</v>
      </c>
      <c r="D22">
        <v>35.28</v>
      </c>
      <c r="E22">
        <v>38.11</v>
      </c>
      <c r="F22">
        <v>875818.59</v>
      </c>
      <c r="G22">
        <v>38.11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0.85573770491803336</v>
      </c>
      <c r="Q22">
        <f t="shared" ref="Q22" si="86">F22*P22</f>
        <v>749470.99013114802</v>
      </c>
      <c r="R22">
        <f t="shared" ref="R22" si="87">R23+Q22</f>
        <v>32120266.716950603</v>
      </c>
      <c r="S22">
        <f t="shared" ref="S22" si="88">R22/100000</f>
        <v>321.20266716950601</v>
      </c>
      <c r="T22">
        <f t="shared" ref="T22" si="89">S22/1000</f>
        <v>0.32120266716950602</v>
      </c>
    </row>
    <row r="23" spans="1:20" x14ac:dyDescent="0.25">
      <c r="A23" s="5">
        <v>44570</v>
      </c>
      <c r="B23">
        <v>35.21</v>
      </c>
      <c r="C23">
        <v>37.729999999999997</v>
      </c>
      <c r="D23">
        <v>34.99</v>
      </c>
      <c r="E23">
        <v>37.15</v>
      </c>
      <c r="F23">
        <v>495747.78</v>
      </c>
      <c r="G23">
        <v>37.15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0.57664233576642376</v>
      </c>
      <c r="Q23">
        <f t="shared" ref="Q23" si="91">F23*P23</f>
        <v>285869.15781021921</v>
      </c>
      <c r="R23">
        <f t="shared" ref="R23" si="92">R24+Q23</f>
        <v>31370795.726819456</v>
      </c>
      <c r="S23">
        <f t="shared" ref="S23" si="93">R23/100000</f>
        <v>313.70795726819455</v>
      </c>
      <c r="T23">
        <f t="shared" ref="T23" si="94">S23/1000</f>
        <v>0.31370795726819456</v>
      </c>
    </row>
    <row r="24" spans="1:20" x14ac:dyDescent="0.25">
      <c r="A24" s="5">
        <v>44569</v>
      </c>
      <c r="B24">
        <v>35.51</v>
      </c>
      <c r="C24">
        <v>36.5</v>
      </c>
      <c r="D24">
        <v>33.76</v>
      </c>
      <c r="E24">
        <v>35.22</v>
      </c>
      <c r="F24">
        <v>612556.26300000004</v>
      </c>
      <c r="G24">
        <v>35.22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6.5693430656934157E-2</v>
      </c>
      <c r="Q24">
        <f t="shared" ref="Q24" si="96">F24*P24</f>
        <v>40240.922386861224</v>
      </c>
      <c r="R24">
        <f t="shared" ref="R24" si="97">R25+Q24</f>
        <v>31084926.569009237</v>
      </c>
      <c r="S24">
        <f t="shared" ref="S24" si="98">R24/100000</f>
        <v>310.84926569009235</v>
      </c>
      <c r="T24">
        <f t="shared" ref="T24" si="99">S24/1000</f>
        <v>0.31084926569009236</v>
      </c>
    </row>
    <row r="25" spans="1:20" x14ac:dyDescent="0.25">
      <c r="A25" s="5">
        <v>44568</v>
      </c>
      <c r="B25">
        <v>38.6</v>
      </c>
      <c r="C25">
        <v>38.659999999999997</v>
      </c>
      <c r="D25">
        <v>34.630000000000003</v>
      </c>
      <c r="E25">
        <v>35.51</v>
      </c>
      <c r="F25">
        <v>1224895.1399999999</v>
      </c>
      <c r="G25">
        <v>35.51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-0.56327543424317783</v>
      </c>
      <c r="Q25">
        <f t="shared" ref="Q25" si="101">F25*P25</f>
        <v>-689953.3418858581</v>
      </c>
      <c r="R25">
        <f t="shared" ref="R25" si="102">R26+Q25</f>
        <v>31044685.646622375</v>
      </c>
      <c r="S25">
        <f t="shared" ref="S25" si="103">R25/100000</f>
        <v>310.44685646622372</v>
      </c>
      <c r="T25">
        <f t="shared" ref="T25" si="104">S25/1000</f>
        <v>0.31044685646622372</v>
      </c>
    </row>
    <row r="26" spans="1:20" x14ac:dyDescent="0.25">
      <c r="A26" s="5">
        <v>44567</v>
      </c>
      <c r="B26">
        <v>38.06</v>
      </c>
      <c r="C26">
        <v>39.369999999999997</v>
      </c>
      <c r="D26">
        <v>36.409999999999997</v>
      </c>
      <c r="E26">
        <v>38.64</v>
      </c>
      <c r="F26">
        <v>1298785.1200000001</v>
      </c>
      <c r="G26">
        <v>38.64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0.50675675675675902</v>
      </c>
      <c r="Q26">
        <f t="shared" ref="Q26" si="106">F26*P26</f>
        <v>658168.13513513817</v>
      </c>
      <c r="R26">
        <f t="shared" ref="R26" si="107">R27+Q26</f>
        <v>31734638.988508232</v>
      </c>
      <c r="S26">
        <f t="shared" ref="S26" si="108">R26/100000</f>
        <v>317.34638988508232</v>
      </c>
      <c r="T26">
        <f t="shared" ref="T26" si="109">S26/1000</f>
        <v>0.31734638988508229</v>
      </c>
    </row>
    <row r="27" spans="1:20" x14ac:dyDescent="0.25">
      <c r="A27" s="5">
        <v>44566</v>
      </c>
      <c r="B27">
        <v>41.36</v>
      </c>
      <c r="C27">
        <v>42.8</v>
      </c>
      <c r="D27">
        <v>37.07</v>
      </c>
      <c r="E27">
        <v>38.06</v>
      </c>
      <c r="F27">
        <v>1631926.39</v>
      </c>
      <c r="G27">
        <v>38.06</v>
      </c>
      <c r="L27" t="s">
        <v>7</v>
      </c>
      <c r="M27" t="s">
        <v>8</v>
      </c>
      <c r="N27" t="s">
        <v>7</v>
      </c>
      <c r="P27">
        <f t="shared" ref="P27" si="110">IF(C27=D27,0,((E27-D27)-(C27-E27))/(C27-D27))</f>
        <v>-0.65445026178010379</v>
      </c>
      <c r="Q27">
        <f t="shared" ref="Q27" si="111">F27*P27</f>
        <v>-1068014.6531413598</v>
      </c>
      <c r="R27">
        <f t="shared" ref="R27" si="112">R28+Q27</f>
        <v>31076470.853373095</v>
      </c>
      <c r="S27">
        <f t="shared" ref="S27" si="113">R27/100000</f>
        <v>310.76470853373098</v>
      </c>
      <c r="T27">
        <f t="shared" ref="T27" si="114">S27/1000</f>
        <v>0.310764708533731</v>
      </c>
    </row>
    <row r="28" spans="1:20" x14ac:dyDescent="0.25">
      <c r="A28" s="5">
        <v>44565</v>
      </c>
      <c r="B28">
        <v>40.200000000000003</v>
      </c>
      <c r="C28">
        <v>44.1</v>
      </c>
      <c r="D28">
        <v>39.21</v>
      </c>
      <c r="E28">
        <v>41.35</v>
      </c>
      <c r="F28">
        <v>1925906.85</v>
      </c>
      <c r="G28">
        <v>41.35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-0.12474437627811848</v>
      </c>
      <c r="Q28">
        <f t="shared" ref="Q28" si="116">F28*P28</f>
        <v>-240246.0487730059</v>
      </c>
      <c r="R28">
        <f t="shared" ref="R28" si="117">R29+Q28</f>
        <v>32144485.506514456</v>
      </c>
      <c r="S28">
        <f t="shared" ref="S28" si="118">R28/100000</f>
        <v>321.44485506514457</v>
      </c>
      <c r="T28">
        <f t="shared" ref="T28" si="119">S28/1000</f>
        <v>0.32144485506514459</v>
      </c>
    </row>
    <row r="29" spans="1:20" x14ac:dyDescent="0.25">
      <c r="A29" s="5">
        <v>44564</v>
      </c>
      <c r="B29">
        <v>40.14</v>
      </c>
      <c r="C29">
        <v>41.76</v>
      </c>
      <c r="D29">
        <v>39.35</v>
      </c>
      <c r="E29">
        <v>40.22</v>
      </c>
      <c r="F29">
        <v>1360681.05</v>
      </c>
      <c r="G29">
        <v>40.22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-0.27800829875518784</v>
      </c>
      <c r="Q29">
        <f t="shared" ref="Q29" si="121">F29*P29</f>
        <v>-378280.62385892269</v>
      </c>
      <c r="R29">
        <f t="shared" ref="R29" si="122">R30+Q29</f>
        <v>32384731.555287462</v>
      </c>
      <c r="S29">
        <f t="shared" ref="S29" si="123">R29/100000</f>
        <v>323.84731555287459</v>
      </c>
      <c r="T29">
        <f t="shared" ref="T29" si="124">S29/1000</f>
        <v>0.3238473155528746</v>
      </c>
    </row>
    <row r="30" spans="1:20" x14ac:dyDescent="0.25">
      <c r="A30" s="5">
        <v>44563</v>
      </c>
      <c r="B30">
        <v>40.17</v>
      </c>
      <c r="C30">
        <v>40.659999999999997</v>
      </c>
      <c r="D30">
        <v>39.32</v>
      </c>
      <c r="E30">
        <v>40.159999999999997</v>
      </c>
      <c r="F30">
        <v>313125.48</v>
      </c>
      <c r="G30">
        <v>40.159999999999997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0.25373134328358005</v>
      </c>
      <c r="Q30">
        <f t="shared" ref="Q30" si="126">F30*P30</f>
        <v>79449.748656715776</v>
      </c>
      <c r="R30">
        <f t="shared" ref="R30" si="127">R31+Q30</f>
        <v>32763012.179146383</v>
      </c>
      <c r="S30">
        <f t="shared" ref="S30" si="128">R30/100000</f>
        <v>327.63012179146381</v>
      </c>
      <c r="T30">
        <f t="shared" ref="T30" si="129">S30/1000</f>
        <v>0.32763012179146378</v>
      </c>
    </row>
    <row r="31" spans="1:20" x14ac:dyDescent="0.25">
      <c r="A31" s="5">
        <v>44562</v>
      </c>
      <c r="B31">
        <v>38.229999999999997</v>
      </c>
      <c r="C31">
        <v>40.28</v>
      </c>
      <c r="D31">
        <v>38.229999999999997</v>
      </c>
      <c r="E31">
        <v>40.200000000000003</v>
      </c>
      <c r="F31">
        <v>363657.52</v>
      </c>
      <c r="G31">
        <v>40.200000000000003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0.92195121951219694</v>
      </c>
      <c r="Q31">
        <f t="shared" ref="Q31" si="131">F31*P31</f>
        <v>335274.49404878117</v>
      </c>
      <c r="R31">
        <f t="shared" ref="R31" si="132">R32+Q31</f>
        <v>32683562.430489667</v>
      </c>
      <c r="S31">
        <f t="shared" ref="S31" si="133">R31/100000</f>
        <v>326.83562430489667</v>
      </c>
      <c r="T31">
        <f t="shared" ref="T31" si="134">S31/1000</f>
        <v>0.32683562430489665</v>
      </c>
    </row>
    <row r="32" spans="1:20" x14ac:dyDescent="0.25">
      <c r="A32" s="5">
        <v>44561</v>
      </c>
      <c r="B32">
        <v>38.869999999999997</v>
      </c>
      <c r="C32">
        <v>40.33</v>
      </c>
      <c r="D32">
        <v>37.96</v>
      </c>
      <c r="E32">
        <v>38.25</v>
      </c>
      <c r="F32">
        <v>653665.78</v>
      </c>
      <c r="G32">
        <v>38.25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-0.75527426160337596</v>
      </c>
      <c r="Q32">
        <f t="shared" ref="Q32" si="136">F32*P32</f>
        <v>-493696.9393248948</v>
      </c>
      <c r="R32">
        <f t="shared" ref="R32" si="137">R33+Q32</f>
        <v>32348287.936440885</v>
      </c>
      <c r="S32">
        <f t="shared" ref="S32" si="138">R32/100000</f>
        <v>323.48287936440886</v>
      </c>
      <c r="T32">
        <f t="shared" ref="T32" si="139">S32/1000</f>
        <v>0.32348287936440884</v>
      </c>
    </row>
    <row r="33" spans="1:20" x14ac:dyDescent="0.25">
      <c r="A33" s="5">
        <v>44560</v>
      </c>
      <c r="B33">
        <v>38.520000000000003</v>
      </c>
      <c r="C33">
        <v>40.369999999999997</v>
      </c>
      <c r="D33">
        <v>38.049999999999997</v>
      </c>
      <c r="E33">
        <v>38.89</v>
      </c>
      <c r="F33">
        <v>551850.81999999995</v>
      </c>
      <c r="G33">
        <v>38.89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-0.27586206896551441</v>
      </c>
      <c r="Q33">
        <f t="shared" ref="Q33" si="141">F33*P33</f>
        <v>-152234.70896551566</v>
      </c>
      <c r="R33">
        <f t="shared" ref="R33" si="142">R34+Q33</f>
        <v>32841984.875765778</v>
      </c>
      <c r="S33">
        <f t="shared" ref="S33" si="143">R33/100000</f>
        <v>328.4198487576578</v>
      </c>
      <c r="T33">
        <f t="shared" ref="T33" si="144">S33/1000</f>
        <v>0.32841984875765778</v>
      </c>
    </row>
    <row r="34" spans="1:20" x14ac:dyDescent="0.25">
      <c r="A34" s="5">
        <v>44559</v>
      </c>
      <c r="B34">
        <v>40.049999999999997</v>
      </c>
      <c r="C34">
        <v>40.57</v>
      </c>
      <c r="D34">
        <v>38.01</v>
      </c>
      <c r="E34">
        <v>38.54</v>
      </c>
      <c r="F34">
        <v>500012.7</v>
      </c>
      <c r="G34">
        <v>38.54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-0.58593749999999944</v>
      </c>
      <c r="Q34">
        <f t="shared" ref="Q34" si="146">F34*P34</f>
        <v>-292976.19140624971</v>
      </c>
      <c r="R34">
        <f t="shared" ref="R34" si="147">R35+Q34</f>
        <v>32994219.584731292</v>
      </c>
      <c r="S34">
        <f t="shared" ref="S34" si="148">R34/100000</f>
        <v>329.94219584731292</v>
      </c>
      <c r="T34">
        <f t="shared" ref="T34" si="149">S34/1000</f>
        <v>0.32994219584731294</v>
      </c>
    </row>
    <row r="35" spans="1:20" x14ac:dyDescent="0.25">
      <c r="A35" s="5">
        <v>44558</v>
      </c>
      <c r="B35">
        <v>42.57</v>
      </c>
      <c r="C35">
        <v>42.57</v>
      </c>
      <c r="D35">
        <v>39.409999999999997</v>
      </c>
      <c r="E35">
        <v>40.01</v>
      </c>
      <c r="F35">
        <v>602940.37</v>
      </c>
      <c r="G35">
        <v>40.01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-0.62025316455696156</v>
      </c>
      <c r="Q35">
        <f t="shared" ref="Q35" si="151">F35*P35</f>
        <v>-373975.67253164528</v>
      </c>
      <c r="R35">
        <f t="shared" ref="R35" si="152">R36+Q35</f>
        <v>33287195.776137542</v>
      </c>
      <c r="S35">
        <f t="shared" ref="S35" si="153">R35/100000</f>
        <v>332.87195776137543</v>
      </c>
      <c r="T35">
        <f t="shared" ref="T35" si="154">S35/1000</f>
        <v>0.3328719577613754</v>
      </c>
    </row>
    <row r="36" spans="1:20" x14ac:dyDescent="0.25">
      <c r="A36" s="5">
        <v>44557</v>
      </c>
      <c r="B36">
        <v>42.59</v>
      </c>
      <c r="C36">
        <v>43.65</v>
      </c>
      <c r="D36">
        <v>42.19</v>
      </c>
      <c r="E36">
        <v>42.6</v>
      </c>
      <c r="F36">
        <v>429270.65</v>
      </c>
      <c r="G36">
        <v>42.6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-0.4383561643835569</v>
      </c>
      <c r="Q36">
        <f t="shared" ref="Q36" si="156">F36*P36</f>
        <v>-188173.43561643633</v>
      </c>
      <c r="R36">
        <f t="shared" ref="R36" si="157">R37+Q36</f>
        <v>33661171.448669188</v>
      </c>
      <c r="S36">
        <f t="shared" ref="S36" si="158">R36/100000</f>
        <v>336.61171448669188</v>
      </c>
      <c r="T36">
        <f t="shared" ref="T36" si="159">S36/1000</f>
        <v>0.33661171448669186</v>
      </c>
    </row>
    <row r="37" spans="1:20" x14ac:dyDescent="0.25">
      <c r="A37" s="5">
        <v>44556</v>
      </c>
      <c r="B37">
        <v>42.75</v>
      </c>
      <c r="C37">
        <v>42.97</v>
      </c>
      <c r="D37">
        <v>41.9</v>
      </c>
      <c r="E37">
        <v>42.59</v>
      </c>
      <c r="F37">
        <v>320251.39</v>
      </c>
      <c r="G37">
        <v>42.59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0.28971962616823299</v>
      </c>
      <c r="Q37">
        <f t="shared" ref="Q37" si="161">F37*P37</f>
        <v>92783.112990656999</v>
      </c>
      <c r="R37">
        <f t="shared" ref="R37" si="162">R38+Q37</f>
        <v>33849344.884285621</v>
      </c>
      <c r="S37">
        <f t="shared" ref="S37" si="163">R37/100000</f>
        <v>338.4934488428562</v>
      </c>
      <c r="T37">
        <f t="shared" ref="T37" si="164">S37/1000</f>
        <v>0.3384934488428562</v>
      </c>
    </row>
    <row r="38" spans="1:20" x14ac:dyDescent="0.25">
      <c r="A38" s="5">
        <v>44555</v>
      </c>
      <c r="B38">
        <v>42.69</v>
      </c>
      <c r="C38">
        <v>43.18</v>
      </c>
      <c r="D38">
        <v>42.41</v>
      </c>
      <c r="E38">
        <v>42.74</v>
      </c>
      <c r="F38">
        <v>244211.49</v>
      </c>
      <c r="G38">
        <v>42.74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-0.1428571428571323</v>
      </c>
      <c r="Q38">
        <f t="shared" ref="Q38" si="166">F38*P38</f>
        <v>-34887.355714283134</v>
      </c>
      <c r="R38">
        <f t="shared" ref="R38" si="167">R39+Q38</f>
        <v>33756561.771294966</v>
      </c>
      <c r="S38">
        <f t="shared" ref="S38" si="168">R38/100000</f>
        <v>337.56561771294969</v>
      </c>
      <c r="T38">
        <f t="shared" ref="T38" si="169">S38/1000</f>
        <v>0.33756561771294968</v>
      </c>
    </row>
    <row r="39" spans="1:20" x14ac:dyDescent="0.25">
      <c r="A39" s="5">
        <v>44554</v>
      </c>
      <c r="B39">
        <v>43.1</v>
      </c>
      <c r="C39">
        <v>43.67</v>
      </c>
      <c r="D39">
        <v>42.23</v>
      </c>
      <c r="E39">
        <v>42.68</v>
      </c>
      <c r="F39">
        <v>527836.86</v>
      </c>
      <c r="G39">
        <v>42.68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-0.37499999999999817</v>
      </c>
      <c r="Q39">
        <f t="shared" ref="Q39" si="171">F39*P39</f>
        <v>-197938.82249999902</v>
      </c>
      <c r="R39">
        <f t="shared" ref="R39" si="172">R40+Q39</f>
        <v>33791449.12700925</v>
      </c>
      <c r="S39">
        <f t="shared" ref="S39" si="173">R39/100000</f>
        <v>337.91449127009253</v>
      </c>
      <c r="T39">
        <f t="shared" ref="T39" si="174">S39/1000</f>
        <v>0.33791449127009254</v>
      </c>
    </row>
    <row r="40" spans="1:20" x14ac:dyDescent="0.25">
      <c r="A40" s="5">
        <v>44553</v>
      </c>
      <c r="B40">
        <v>41.35</v>
      </c>
      <c r="C40">
        <v>43.43</v>
      </c>
      <c r="D40">
        <v>40.76</v>
      </c>
      <c r="E40">
        <v>43.08</v>
      </c>
      <c r="F40">
        <v>500440.7</v>
      </c>
      <c r="G40">
        <v>43.08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0.73782771535580438</v>
      </c>
      <c r="Q40">
        <f t="shared" ref="Q40" si="176">F40*P40</f>
        <v>369239.01835205953</v>
      </c>
      <c r="R40">
        <f t="shared" ref="R40" si="177">R41+Q40</f>
        <v>33989387.949509248</v>
      </c>
      <c r="S40">
        <f t="shared" ref="S40" si="178">R40/100000</f>
        <v>339.89387949509251</v>
      </c>
      <c r="T40">
        <f t="shared" ref="T40" si="179">S40/1000</f>
        <v>0.33989387949509253</v>
      </c>
    </row>
    <row r="41" spans="1:20" x14ac:dyDescent="0.25">
      <c r="A41" s="5">
        <v>44552</v>
      </c>
      <c r="B41">
        <v>41.98</v>
      </c>
      <c r="C41">
        <v>42.69</v>
      </c>
      <c r="D41">
        <v>41.09</v>
      </c>
      <c r="E41">
        <v>41.33</v>
      </c>
      <c r="F41">
        <v>470186.03</v>
      </c>
      <c r="G41">
        <v>41.33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-0.70000000000000528</v>
      </c>
      <c r="Q41">
        <f t="shared" ref="Q41" si="181">F41*P41</f>
        <v>-329130.22100000252</v>
      </c>
      <c r="R41">
        <f t="shared" ref="R41" si="182">R42+Q41</f>
        <v>33620148.931157187</v>
      </c>
      <c r="S41">
        <f t="shared" ref="S41" si="183">R41/100000</f>
        <v>336.20148931157189</v>
      </c>
      <c r="T41">
        <f t="shared" ref="T41" si="184">S41/1000</f>
        <v>0.3362014893115719</v>
      </c>
    </row>
    <row r="42" spans="1:20" x14ac:dyDescent="0.25">
      <c r="A42" s="5">
        <v>44551</v>
      </c>
      <c r="B42">
        <v>40.590000000000003</v>
      </c>
      <c r="C42">
        <v>42.62</v>
      </c>
      <c r="D42">
        <v>40.4</v>
      </c>
      <c r="E42">
        <v>41.96</v>
      </c>
      <c r="F42">
        <v>525917.53</v>
      </c>
      <c r="G42">
        <v>41.96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0.40540540540540815</v>
      </c>
      <c r="Q42">
        <f t="shared" ref="Q42" si="186">F42*P42</f>
        <v>213209.8094594609</v>
      </c>
      <c r="R42">
        <f t="shared" ref="R42" si="187">R43+Q42</f>
        <v>33949279.152157187</v>
      </c>
      <c r="S42">
        <f t="shared" ref="S42" si="188">R42/100000</f>
        <v>339.49279152157186</v>
      </c>
      <c r="T42">
        <f t="shared" ref="T42" si="189">S42/1000</f>
        <v>0.33949279152157186</v>
      </c>
    </row>
    <row r="43" spans="1:20" x14ac:dyDescent="0.25">
      <c r="A43" s="5">
        <v>44550</v>
      </c>
      <c r="B43">
        <v>39.74</v>
      </c>
      <c r="C43">
        <v>40.74</v>
      </c>
      <c r="D43">
        <v>38.53</v>
      </c>
      <c r="E43">
        <v>40.57</v>
      </c>
      <c r="F43">
        <v>508408.75</v>
      </c>
      <c r="G43">
        <v>40.57</v>
      </c>
      <c r="L43" t="s">
        <v>8</v>
      </c>
      <c r="M43" t="s">
        <v>7</v>
      </c>
      <c r="N43" t="s">
        <v>7</v>
      </c>
      <c r="P43">
        <f t="shared" ref="P43" si="190">IF(C43=D43,0,((E43-D43)-(C43-E43))/(C43-D43))</f>
        <v>0.8461538461538447</v>
      </c>
      <c r="Q43">
        <f t="shared" ref="Q43" si="191">F43*P43</f>
        <v>430192.01923076849</v>
      </c>
      <c r="R43">
        <f t="shared" ref="R43" si="192">R44+Q43</f>
        <v>33736069.342697725</v>
      </c>
      <c r="S43">
        <f t="shared" ref="S43" si="193">R43/100000</f>
        <v>337.36069342697726</v>
      </c>
      <c r="T43">
        <f t="shared" ref="T43" si="194">S43/1000</f>
        <v>0.33736069342697728</v>
      </c>
    </row>
    <row r="44" spans="1:20" x14ac:dyDescent="0.25">
      <c r="A44" s="5">
        <v>44549</v>
      </c>
      <c r="B44">
        <v>39.880000000000003</v>
      </c>
      <c r="C44">
        <v>41.13</v>
      </c>
      <c r="D44">
        <v>39.46</v>
      </c>
      <c r="E44">
        <v>39.74</v>
      </c>
      <c r="F44">
        <v>308163.17</v>
      </c>
      <c r="G44">
        <v>39.74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-0.66467065868263375</v>
      </c>
      <c r="Q44">
        <f t="shared" ref="Q44" si="196">F44*P44</f>
        <v>-204827.01718562844</v>
      </c>
      <c r="R44">
        <f t="shared" ref="R44" si="197">R45+Q44</f>
        <v>33305877.323466957</v>
      </c>
      <c r="S44">
        <f t="shared" ref="S44" si="198">R44/100000</f>
        <v>333.05877323466956</v>
      </c>
      <c r="T44">
        <f t="shared" ref="T44" si="199">S44/1000</f>
        <v>0.33305877323466954</v>
      </c>
    </row>
    <row r="45" spans="1:20" x14ac:dyDescent="0.25">
      <c r="A45" s="5">
        <v>44548</v>
      </c>
      <c r="B45">
        <v>37.520000000000003</v>
      </c>
      <c r="C45">
        <v>40.380000000000003</v>
      </c>
      <c r="D45">
        <v>37.299999999999997</v>
      </c>
      <c r="E45">
        <v>39.9</v>
      </c>
      <c r="F45">
        <v>365592.65</v>
      </c>
      <c r="G45">
        <v>39.9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0.68831168831168632</v>
      </c>
      <c r="Q45">
        <f t="shared" ref="Q45" si="201">F45*P45</f>
        <v>251641.69415584343</v>
      </c>
      <c r="R45">
        <f t="shared" ref="R45" si="202">R46+Q45</f>
        <v>33510704.340652585</v>
      </c>
      <c r="S45">
        <f t="shared" ref="S45" si="203">R45/100000</f>
        <v>335.10704340652586</v>
      </c>
      <c r="T45">
        <f t="shared" ref="T45" si="204">S45/1000</f>
        <v>0.33510704340652586</v>
      </c>
    </row>
    <row r="46" spans="1:20" x14ac:dyDescent="0.25">
      <c r="A46" s="5">
        <v>44547</v>
      </c>
      <c r="B46">
        <v>38.36</v>
      </c>
      <c r="C46">
        <v>38.69</v>
      </c>
      <c r="D46">
        <v>35.96</v>
      </c>
      <c r="E46">
        <v>37.53</v>
      </c>
      <c r="F46">
        <v>388236.78700000001</v>
      </c>
      <c r="G46">
        <v>37.53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0.1501831501831517</v>
      </c>
      <c r="Q46">
        <f t="shared" ref="Q46" si="206">F46*P46</f>
        <v>58306.623688645283</v>
      </c>
      <c r="R46">
        <f t="shared" ref="R46" si="207">R47+Q46</f>
        <v>33259062.646496743</v>
      </c>
      <c r="S46">
        <f t="shared" ref="S46" si="208">R46/100000</f>
        <v>332.59062646496744</v>
      </c>
      <c r="T46">
        <f t="shared" ref="T46" si="209">S46/1000</f>
        <v>0.33259062646496745</v>
      </c>
    </row>
    <row r="47" spans="1:20" x14ac:dyDescent="0.25">
      <c r="A47" s="5">
        <v>44546</v>
      </c>
      <c r="B47">
        <v>39.22</v>
      </c>
      <c r="C47">
        <v>39.619999999999997</v>
      </c>
      <c r="D47">
        <v>38.299999999999997</v>
      </c>
      <c r="E47">
        <v>38.369999999999997</v>
      </c>
      <c r="F47">
        <v>391627.03</v>
      </c>
      <c r="G47">
        <v>38.369999999999997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-0.89393939393939348</v>
      </c>
      <c r="Q47">
        <f t="shared" ref="Q47" si="211">F47*P47</f>
        <v>-350090.82984848472</v>
      </c>
      <c r="R47">
        <f t="shared" ref="R47" si="212">R48+Q47</f>
        <v>33200756.022808097</v>
      </c>
      <c r="S47">
        <f t="shared" ref="S47" si="213">R47/100000</f>
        <v>332.00756022808099</v>
      </c>
      <c r="T47">
        <f t="shared" ref="T47" si="214">S47/1000</f>
        <v>0.33200756022808098</v>
      </c>
    </row>
    <row r="48" spans="1:20" x14ac:dyDescent="0.25">
      <c r="A48" s="5">
        <v>44545</v>
      </c>
      <c r="B48">
        <v>38.82</v>
      </c>
      <c r="C48">
        <v>39.85</v>
      </c>
      <c r="D48">
        <v>36.770000000000003</v>
      </c>
      <c r="E48">
        <v>39.22</v>
      </c>
      <c r="F48">
        <v>430522.35200000001</v>
      </c>
      <c r="G48">
        <v>39.22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0.59090909090908905</v>
      </c>
      <c r="Q48">
        <f t="shared" ref="Q48" si="216">F48*P48</f>
        <v>254399.57163636285</v>
      </c>
      <c r="R48">
        <f t="shared" ref="R48" si="217">R49+Q48</f>
        <v>33550846.852656581</v>
      </c>
      <c r="S48">
        <f t="shared" ref="S48" si="218">R48/100000</f>
        <v>335.50846852656582</v>
      </c>
      <c r="T48">
        <f t="shared" ref="T48" si="219">S48/1000</f>
        <v>0.3355084685265658</v>
      </c>
    </row>
    <row r="49" spans="1:20" x14ac:dyDescent="0.25">
      <c r="A49" s="5">
        <v>44544</v>
      </c>
      <c r="B49">
        <v>37.71</v>
      </c>
      <c r="C49">
        <v>39.17</v>
      </c>
      <c r="D49">
        <v>37.159999999999997</v>
      </c>
      <c r="E49">
        <v>38.840000000000003</v>
      </c>
      <c r="F49">
        <v>358589.96</v>
      </c>
      <c r="G49">
        <v>38.840000000000003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0.67164179104477861</v>
      </c>
      <c r="Q49">
        <f t="shared" ref="Q49" si="221">F49*P49</f>
        <v>240844.00298507552</v>
      </c>
      <c r="R49">
        <f t="shared" ref="R49" si="222">R50+Q49</f>
        <v>33296447.281020217</v>
      </c>
      <c r="S49">
        <f t="shared" ref="S49" si="223">R49/100000</f>
        <v>332.96447281020215</v>
      </c>
      <c r="T49">
        <f t="shared" ref="T49" si="224">S49/1000</f>
        <v>0.33296447281020214</v>
      </c>
    </row>
    <row r="50" spans="1:20" x14ac:dyDescent="0.25">
      <c r="A50" s="5">
        <v>44543</v>
      </c>
      <c r="B50">
        <v>41.23</v>
      </c>
      <c r="C50">
        <v>42.06</v>
      </c>
      <c r="D50">
        <v>37.07</v>
      </c>
      <c r="E50">
        <v>37.71</v>
      </c>
      <c r="F50">
        <v>551563.46</v>
      </c>
      <c r="G50">
        <v>37.71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-0.74348697394789565</v>
      </c>
      <c r="Q50">
        <f t="shared" ref="Q50" si="226">F50*P50</f>
        <v>-410080.24781563116</v>
      </c>
      <c r="R50">
        <f t="shared" ref="R50" si="227">R51+Q50</f>
        <v>33055603.278035142</v>
      </c>
      <c r="S50">
        <f t="shared" ref="S50" si="228">R50/100000</f>
        <v>330.55603278035142</v>
      </c>
      <c r="T50">
        <f t="shared" ref="T50" si="229">S50/1000</f>
        <v>0.33055603278035139</v>
      </c>
    </row>
    <row r="51" spans="1:20" x14ac:dyDescent="0.25">
      <c r="A51" s="5">
        <v>44542</v>
      </c>
      <c r="B51">
        <v>40.450000000000003</v>
      </c>
      <c r="C51">
        <v>41.76</v>
      </c>
      <c r="D51">
        <v>39.880000000000003</v>
      </c>
      <c r="E51">
        <v>41.26</v>
      </c>
      <c r="F51">
        <v>294779.14</v>
      </c>
      <c r="G51">
        <v>41.26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0.46808510638297746</v>
      </c>
      <c r="Q51">
        <f t="shared" ref="Q51" si="231">F51*P51</f>
        <v>137981.72510638263</v>
      </c>
      <c r="R51">
        <f t="shared" ref="R51" si="232">R52+Q51</f>
        <v>33465683.525850773</v>
      </c>
      <c r="S51">
        <f t="shared" ref="S51" si="233">R51/100000</f>
        <v>334.65683525850773</v>
      </c>
      <c r="T51">
        <f t="shared" ref="T51" si="234">S51/1000</f>
        <v>0.3346568352585077</v>
      </c>
    </row>
    <row r="52" spans="1:20" x14ac:dyDescent="0.25">
      <c r="A52" s="5">
        <v>44541</v>
      </c>
      <c r="B52">
        <v>38.630000000000003</v>
      </c>
      <c r="C52">
        <v>39.229999999999997</v>
      </c>
      <c r="D52">
        <v>38.090000000000003</v>
      </c>
      <c r="E52">
        <v>39.01</v>
      </c>
      <c r="F52">
        <v>58393.63</v>
      </c>
      <c r="G52">
        <v>39.01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0.61403508771929804</v>
      </c>
      <c r="Q52">
        <f t="shared" ref="Q52" si="236">F52*P52</f>
        <v>35855.737719298231</v>
      </c>
      <c r="R52">
        <f t="shared" ref="R52" si="237">R53+Q52</f>
        <v>33327701.800744392</v>
      </c>
      <c r="S52">
        <f t="shared" ref="S52" si="238">R52/100000</f>
        <v>333.27701800744393</v>
      </c>
      <c r="T52">
        <f t="shared" ref="T52" si="239">S52/1000</f>
        <v>0.33327701800744391</v>
      </c>
    </row>
    <row r="53" spans="1:20" x14ac:dyDescent="0.25">
      <c r="A53" s="5">
        <v>44540</v>
      </c>
      <c r="B53">
        <v>40.17</v>
      </c>
      <c r="C53">
        <v>41.05</v>
      </c>
      <c r="D53">
        <v>38.42</v>
      </c>
      <c r="E53">
        <v>38.65</v>
      </c>
      <c r="F53">
        <v>535470.14</v>
      </c>
      <c r="G53">
        <v>38.65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-0.82509505703422259</v>
      </c>
      <c r="Q53">
        <f t="shared" ref="Q53" si="241">F53*P53</f>
        <v>-441813.76570342318</v>
      </c>
      <c r="R53">
        <f t="shared" ref="R53" si="242">R54+Q53</f>
        <v>33291846.063025095</v>
      </c>
      <c r="S53">
        <f t="shared" ref="S53" si="243">R53/100000</f>
        <v>332.91846063025093</v>
      </c>
      <c r="T53">
        <f t="shared" ref="T53" si="244">S53/1000</f>
        <v>0.33291846063025093</v>
      </c>
    </row>
    <row r="54" spans="1:20" x14ac:dyDescent="0.25">
      <c r="A54" s="5">
        <v>44539</v>
      </c>
      <c r="B54">
        <v>44.05</v>
      </c>
      <c r="C54">
        <v>44.29</v>
      </c>
      <c r="D54">
        <v>39.700000000000003</v>
      </c>
      <c r="E54">
        <v>40.19</v>
      </c>
      <c r="F54">
        <v>660655.49</v>
      </c>
      <c r="G54">
        <v>40.19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-0.78649237472767086</v>
      </c>
      <c r="Q54">
        <f t="shared" ref="Q54" si="246">F54*P54</f>
        <v>-519600.505206973</v>
      </c>
      <c r="R54">
        <f t="shared" ref="R54" si="247">R55+Q54</f>
        <v>33733659.828728519</v>
      </c>
      <c r="S54">
        <f t="shared" ref="S54" si="248">R54/100000</f>
        <v>337.3365982872852</v>
      </c>
      <c r="T54">
        <f t="shared" ref="T54" si="249">S54/1000</f>
        <v>0.33733659828728518</v>
      </c>
    </row>
    <row r="55" spans="1:20" x14ac:dyDescent="0.25">
      <c r="A55" s="5">
        <v>44538</v>
      </c>
      <c r="B55">
        <v>42.87</v>
      </c>
      <c r="C55">
        <v>44.19</v>
      </c>
      <c r="D55">
        <v>41.27</v>
      </c>
      <c r="E55">
        <v>44.05</v>
      </c>
      <c r="F55">
        <v>581062.56999999995</v>
      </c>
      <c r="G55">
        <v>44.05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0.90410958904109529</v>
      </c>
      <c r="Q55">
        <f t="shared" ref="Q55" si="251">F55*P55</f>
        <v>525344.24136986258</v>
      </c>
      <c r="R55">
        <f t="shared" ref="R55" si="252">R56+Q55</f>
        <v>34253260.333935492</v>
      </c>
      <c r="S55">
        <f t="shared" ref="S55" si="253">R55/100000</f>
        <v>342.53260333935492</v>
      </c>
      <c r="T55">
        <f t="shared" ref="T55" si="254">S55/1000</f>
        <v>0.34253260333935492</v>
      </c>
    </row>
    <row r="56" spans="1:20" x14ac:dyDescent="0.25">
      <c r="A56" s="5">
        <v>44537</v>
      </c>
      <c r="B56">
        <v>43.94</v>
      </c>
      <c r="C56">
        <v>44.8</v>
      </c>
      <c r="D56">
        <v>42.42</v>
      </c>
      <c r="E56">
        <v>42.86</v>
      </c>
      <c r="F56">
        <v>387946.97</v>
      </c>
      <c r="G56">
        <v>42.86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-0.63025210084033734</v>
      </c>
      <c r="Q56">
        <f t="shared" ref="Q56" si="256">F56*P56</f>
        <v>-244504.39285714331</v>
      </c>
      <c r="R56">
        <f t="shared" ref="R56" si="257">R57+Q56</f>
        <v>33727916.092565626</v>
      </c>
      <c r="S56">
        <f t="shared" ref="S56" si="258">R56/100000</f>
        <v>337.27916092565624</v>
      </c>
      <c r="T56">
        <f t="shared" ref="T56" si="259">S56/1000</f>
        <v>0.33727916092565624</v>
      </c>
    </row>
    <row r="57" spans="1:20" x14ac:dyDescent="0.25">
      <c r="A57" s="5">
        <v>44536</v>
      </c>
      <c r="B57">
        <v>43.84</v>
      </c>
      <c r="C57">
        <v>44.4</v>
      </c>
      <c r="D57">
        <v>40.08</v>
      </c>
      <c r="E57">
        <v>43.94</v>
      </c>
      <c r="F57">
        <v>776429.73</v>
      </c>
      <c r="G57">
        <v>43.94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0.78703703703703665</v>
      </c>
      <c r="Q57">
        <f t="shared" ref="Q57" si="261">F57*P57</f>
        <v>611078.95416666637</v>
      </c>
      <c r="R57">
        <f t="shared" ref="R57" si="262">R58+Q57</f>
        <v>33972420.485422768</v>
      </c>
      <c r="S57">
        <f t="shared" ref="S57" si="263">R57/100000</f>
        <v>339.72420485422765</v>
      </c>
      <c r="T57">
        <f t="shared" ref="T57" si="264">S57/1000</f>
        <v>0.33972420485422766</v>
      </c>
    </row>
    <row r="58" spans="1:20" x14ac:dyDescent="0.25">
      <c r="A58" s="5">
        <v>44535</v>
      </c>
      <c r="B58">
        <v>43.95</v>
      </c>
      <c r="C58">
        <v>44.7</v>
      </c>
      <c r="D58">
        <v>41.82</v>
      </c>
      <c r="E58">
        <v>43.84</v>
      </c>
      <c r="F58">
        <v>563890.5</v>
      </c>
      <c r="G58">
        <v>43.84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0.40277777777777868</v>
      </c>
      <c r="Q58">
        <f t="shared" ref="Q58" si="266">F58*P58</f>
        <v>227122.56250000049</v>
      </c>
      <c r="R58">
        <f t="shared" ref="R58" si="267">R59+Q58</f>
        <v>33361341.531256098</v>
      </c>
      <c r="S58">
        <f t="shared" ref="S58" si="268">R58/100000</f>
        <v>333.61341531256096</v>
      </c>
      <c r="T58">
        <f t="shared" ref="T58" si="269">S58/1000</f>
        <v>0.33361341531256095</v>
      </c>
    </row>
    <row r="59" spans="1:20" x14ac:dyDescent="0.25">
      <c r="A59" s="5">
        <v>44534</v>
      </c>
      <c r="B59">
        <v>47.04</v>
      </c>
      <c r="C59">
        <v>47.28</v>
      </c>
      <c r="D59">
        <v>37.69</v>
      </c>
      <c r="E59">
        <v>43.94</v>
      </c>
      <c r="F59">
        <v>1339453.8489999999</v>
      </c>
      <c r="G59">
        <v>43.94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0.30344108446298179</v>
      </c>
      <c r="Q59">
        <f t="shared" ref="Q59" si="271">F59*P59</f>
        <v>406445.32852867502</v>
      </c>
      <c r="R59">
        <f t="shared" ref="R59" si="272">R60+Q59</f>
        <v>33134218.968756098</v>
      </c>
      <c r="S59">
        <f t="shared" ref="S59" si="273">R59/100000</f>
        <v>331.34218968756096</v>
      </c>
      <c r="T59">
        <f t="shared" ref="T59" si="274">S59/1000</f>
        <v>0.33134218968756096</v>
      </c>
    </row>
    <row r="60" spans="1:20" x14ac:dyDescent="0.25">
      <c r="A60" s="5">
        <v>44533</v>
      </c>
      <c r="B60">
        <v>49.34</v>
      </c>
      <c r="C60">
        <v>49.88</v>
      </c>
      <c r="D60">
        <v>45.36</v>
      </c>
      <c r="E60">
        <v>47.04</v>
      </c>
      <c r="F60">
        <v>614415.18999999994</v>
      </c>
      <c r="G60">
        <v>47.04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-0.25663716814159354</v>
      </c>
      <c r="Q60">
        <f t="shared" ref="Q60" si="276">F60*P60</f>
        <v>-157681.77442477914</v>
      </c>
      <c r="R60">
        <f t="shared" ref="R60" si="277">R61+Q60</f>
        <v>32727773.640227422</v>
      </c>
      <c r="S60">
        <f t="shared" ref="S60" si="278">R60/100000</f>
        <v>327.27773640227423</v>
      </c>
      <c r="T60">
        <f t="shared" ref="T60" si="279">S60/1000</f>
        <v>0.32727773640227426</v>
      </c>
    </row>
    <row r="61" spans="1:20" x14ac:dyDescent="0.25">
      <c r="A61" s="5">
        <v>44532</v>
      </c>
      <c r="B61">
        <v>50.79</v>
      </c>
      <c r="C61">
        <v>50.8</v>
      </c>
      <c r="D61">
        <v>48.15</v>
      </c>
      <c r="E61">
        <v>49.37</v>
      </c>
      <c r="F61">
        <v>680617.4</v>
      </c>
      <c r="G61">
        <v>49.37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-7.9245283018868296E-2</v>
      </c>
      <c r="Q61">
        <f t="shared" ref="Q61" si="281">F61*P61</f>
        <v>-53935.718490566294</v>
      </c>
      <c r="R61">
        <f t="shared" ref="R61" si="282">R62+Q61</f>
        <v>32885455.414652202</v>
      </c>
      <c r="S61">
        <f t="shared" ref="S61" si="283">R61/100000</f>
        <v>328.85455414652205</v>
      </c>
      <c r="T61">
        <f t="shared" ref="T61" si="284">S61/1000</f>
        <v>0.32885455414652204</v>
      </c>
    </row>
    <row r="62" spans="1:20" x14ac:dyDescent="0.25">
      <c r="A62" s="5">
        <v>44531</v>
      </c>
      <c r="B62">
        <v>50.67</v>
      </c>
      <c r="C62">
        <v>51.65</v>
      </c>
      <c r="D62">
        <v>49.42</v>
      </c>
      <c r="E62">
        <v>50.81</v>
      </c>
      <c r="F62">
        <v>739849.11</v>
      </c>
      <c r="G62">
        <v>50.81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0.2466367713004507</v>
      </c>
      <c r="Q62">
        <f t="shared" ref="Q62" si="286">F62*P62</f>
        <v>182473.99573991197</v>
      </c>
      <c r="R62">
        <f t="shared" ref="R62" si="287">R63+Q62</f>
        <v>32939391.133142769</v>
      </c>
      <c r="S62">
        <f t="shared" ref="S62" si="288">R62/100000</f>
        <v>329.39391133142772</v>
      </c>
      <c r="T62">
        <f t="shared" ref="T62" si="289">S62/1000</f>
        <v>0.3293939113314277</v>
      </c>
    </row>
    <row r="63" spans="1:20" x14ac:dyDescent="0.25">
      <c r="A63" s="5">
        <v>44530</v>
      </c>
      <c r="B63">
        <v>51.67</v>
      </c>
      <c r="C63">
        <v>52.52</v>
      </c>
      <c r="D63">
        <v>49.86</v>
      </c>
      <c r="E63">
        <v>50.65</v>
      </c>
      <c r="F63">
        <v>576850.26</v>
      </c>
      <c r="G63">
        <v>50.65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-0.40601503759398644</v>
      </c>
      <c r="Q63">
        <f t="shared" ref="Q63" si="291">F63*P63</f>
        <v>-234209.88000000085</v>
      </c>
      <c r="R63">
        <f t="shared" ref="R63" si="292">R64+Q63</f>
        <v>32756917.137402859</v>
      </c>
      <c r="S63">
        <f t="shared" ref="S63" si="293">R63/100000</f>
        <v>327.5691713740286</v>
      </c>
      <c r="T63">
        <f t="shared" ref="T63" si="294">S63/1000</f>
        <v>0.32756917137402858</v>
      </c>
    </row>
    <row r="64" spans="1:20" x14ac:dyDescent="0.25">
      <c r="A64" s="5">
        <v>44529</v>
      </c>
      <c r="B64">
        <v>50.87</v>
      </c>
      <c r="C64">
        <v>52.02</v>
      </c>
      <c r="D64">
        <v>50.16</v>
      </c>
      <c r="E64">
        <v>51.65</v>
      </c>
      <c r="F64">
        <v>353470.82</v>
      </c>
      <c r="G64">
        <v>51.65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0.60215053763440507</v>
      </c>
      <c r="Q64">
        <f t="shared" ref="Q64" si="296">F64*P64</f>
        <v>212842.64430107403</v>
      </c>
      <c r="R64">
        <f t="shared" ref="R64" si="297">R65+Q64</f>
        <v>32991127.017402861</v>
      </c>
      <c r="S64">
        <f t="shared" ref="S64" si="298">R64/100000</f>
        <v>329.91127017402863</v>
      </c>
      <c r="T64">
        <f t="shared" ref="T64" si="299">S64/1000</f>
        <v>0.3299112701740286</v>
      </c>
    </row>
    <row r="65" spans="1:20" x14ac:dyDescent="0.25">
      <c r="A65" s="5">
        <v>44528</v>
      </c>
      <c r="B65">
        <v>48.03</v>
      </c>
      <c r="C65">
        <v>50.91</v>
      </c>
      <c r="D65">
        <v>46.02</v>
      </c>
      <c r="E65">
        <v>50.87</v>
      </c>
      <c r="F65">
        <v>586307.37</v>
      </c>
      <c r="G65">
        <v>50.87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0.98364008179959128</v>
      </c>
      <c r="Q65">
        <f t="shared" ref="Q65" si="301">F65*P65</f>
        <v>576715.42938650318</v>
      </c>
      <c r="R65">
        <f t="shared" ref="R65" si="302">R66+Q65</f>
        <v>32778284.373101786</v>
      </c>
      <c r="S65">
        <f t="shared" ref="S65" si="303">R65/100000</f>
        <v>327.78284373101786</v>
      </c>
      <c r="T65">
        <f t="shared" ref="T65" si="304">S65/1000</f>
        <v>0.32778284373101785</v>
      </c>
    </row>
    <row r="66" spans="1:20" x14ac:dyDescent="0.25">
      <c r="A66" s="5">
        <v>44527</v>
      </c>
      <c r="B66">
        <v>47.6</v>
      </c>
      <c r="C66">
        <v>49.14</v>
      </c>
      <c r="D66">
        <v>47.38</v>
      </c>
      <c r="E66">
        <v>48.04</v>
      </c>
      <c r="F66">
        <v>629885.57999999996</v>
      </c>
      <c r="G66">
        <v>48.04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-0.25000000000000305</v>
      </c>
      <c r="Q66">
        <f t="shared" ref="Q66" si="306">F66*P66</f>
        <v>-157471.39500000191</v>
      </c>
      <c r="R66">
        <f t="shared" ref="R66" si="307">R67+Q66</f>
        <v>32201568.943715282</v>
      </c>
      <c r="S66">
        <f t="shared" ref="S66" si="308">R66/100000</f>
        <v>322.01568943715284</v>
      </c>
      <c r="T66">
        <f t="shared" ref="T66" si="309">S66/1000</f>
        <v>0.32201568943715286</v>
      </c>
    </row>
    <row r="67" spans="1:20" x14ac:dyDescent="0.25">
      <c r="A67" s="5">
        <v>44526</v>
      </c>
      <c r="B67">
        <v>52.99</v>
      </c>
      <c r="C67">
        <v>53.13</v>
      </c>
      <c r="D67">
        <v>46.52</v>
      </c>
      <c r="E67">
        <v>47.6</v>
      </c>
      <c r="F67">
        <v>957871.85</v>
      </c>
      <c r="G67">
        <v>47.6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-0.67322239031770092</v>
      </c>
      <c r="Q67">
        <f t="shared" ref="Q67" si="311">F67*P67</f>
        <v>-644860.77647503826</v>
      </c>
      <c r="R67">
        <f t="shared" ref="R67" si="312">R68+Q67</f>
        <v>32359040.338715285</v>
      </c>
      <c r="S67">
        <f t="shared" ref="S67" si="313">R67/100000</f>
        <v>323.59040338715283</v>
      </c>
      <c r="T67">
        <f t="shared" ref="T67" si="314">S67/1000</f>
        <v>0.32359040338715284</v>
      </c>
    </row>
    <row r="68" spans="1:20" x14ac:dyDescent="0.25">
      <c r="A68" s="5">
        <v>44525</v>
      </c>
      <c r="B68">
        <v>50.06</v>
      </c>
      <c r="C68">
        <v>53.24</v>
      </c>
      <c r="D68">
        <v>49.83</v>
      </c>
      <c r="E68">
        <v>52.99</v>
      </c>
      <c r="F68">
        <v>641390.23</v>
      </c>
      <c r="G68">
        <v>52.99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0.85337243401759544</v>
      </c>
      <c r="Q68">
        <f t="shared" ref="Q68" si="316">F68*P68</f>
        <v>547344.74173020537</v>
      </c>
      <c r="R68">
        <f t="shared" ref="R68" si="317">R69+Q68</f>
        <v>33003901.115190323</v>
      </c>
      <c r="S68">
        <f t="shared" ref="S68" si="318">R68/100000</f>
        <v>330.03901115190325</v>
      </c>
      <c r="T68">
        <f t="shared" ref="T68" si="319">S68/1000</f>
        <v>0.33003901115190326</v>
      </c>
    </row>
    <row r="69" spans="1:20" x14ac:dyDescent="0.25">
      <c r="A69" s="5">
        <v>44524</v>
      </c>
      <c r="B69">
        <v>50.49</v>
      </c>
      <c r="C69">
        <v>50.81</v>
      </c>
      <c r="D69">
        <v>49.2</v>
      </c>
      <c r="E69">
        <v>49.65</v>
      </c>
      <c r="F69">
        <v>143414.48000000001</v>
      </c>
      <c r="G69">
        <v>49.65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-0.44099378881988088</v>
      </c>
      <c r="Q69">
        <f t="shared" ref="Q69" si="321">F69*P69</f>
        <v>-63244.894906833033</v>
      </c>
      <c r="R69">
        <f t="shared" ref="R69" si="322">R70+Q69</f>
        <v>32456556.373460118</v>
      </c>
      <c r="S69">
        <f t="shared" ref="S69" si="323">R69/100000</f>
        <v>324.5655637346012</v>
      </c>
      <c r="T69">
        <f t="shared" ref="T69" si="324">S69/1000</f>
        <v>0.32456556373460121</v>
      </c>
    </row>
    <row r="70" spans="1:20" x14ac:dyDescent="0.25">
      <c r="A70" s="5">
        <v>44523</v>
      </c>
      <c r="B70">
        <v>49.37</v>
      </c>
      <c r="C70">
        <v>51.31</v>
      </c>
      <c r="D70">
        <v>48.74</v>
      </c>
      <c r="E70">
        <v>50.52</v>
      </c>
      <c r="F70">
        <v>613684.79</v>
      </c>
      <c r="G70">
        <v>50.52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0.38521400778210191</v>
      </c>
      <c r="Q70">
        <f t="shared" ref="Q70" si="326">F70*P70</f>
        <v>236399.9774708176</v>
      </c>
      <c r="R70">
        <f t="shared" ref="R70" si="327">R71+Q70</f>
        <v>32519801.268366951</v>
      </c>
      <c r="S70">
        <f t="shared" ref="S70" si="328">R70/100000</f>
        <v>325.1980126836695</v>
      </c>
      <c r="T70">
        <f t="shared" ref="T70" si="329">S70/1000</f>
        <v>0.32519801268366949</v>
      </c>
    </row>
    <row r="71" spans="1:20" x14ac:dyDescent="0.25">
      <c r="A71" s="5">
        <v>44522</v>
      </c>
      <c r="B71">
        <v>51.78</v>
      </c>
      <c r="C71">
        <v>51.99</v>
      </c>
      <c r="D71">
        <v>47.52</v>
      </c>
      <c r="E71">
        <v>49.37</v>
      </c>
      <c r="F71">
        <v>1172243.1599999999</v>
      </c>
      <c r="G71">
        <v>49.37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-0.17225950782997995</v>
      </c>
      <c r="Q71">
        <f t="shared" ref="Q71" si="331">F71*P71</f>
        <v>-201930.02979866043</v>
      </c>
      <c r="R71">
        <f t="shared" ref="R71" si="332">R72+Q71</f>
        <v>32283401.290896133</v>
      </c>
      <c r="S71">
        <f t="shared" ref="S71" si="333">R71/100000</f>
        <v>322.83401290896131</v>
      </c>
      <c r="T71">
        <f t="shared" ref="T71" si="334">S71/1000</f>
        <v>0.3228340129089613</v>
      </c>
    </row>
    <row r="72" spans="1:20" x14ac:dyDescent="0.25">
      <c r="A72" s="5">
        <v>44521</v>
      </c>
      <c r="B72">
        <v>53.38</v>
      </c>
      <c r="C72">
        <v>53.44</v>
      </c>
      <c r="D72">
        <v>51.51</v>
      </c>
      <c r="E72">
        <v>51.78</v>
      </c>
      <c r="F72">
        <v>367633.55</v>
      </c>
      <c r="G72">
        <v>51.78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-0.72020725388600704</v>
      </c>
      <c r="Q72">
        <f t="shared" ref="Q72" si="336">F72*P72</f>
        <v>-264772.34948186408</v>
      </c>
      <c r="R72">
        <f t="shared" ref="R72" si="337">R73+Q72</f>
        <v>32485331.320694793</v>
      </c>
      <c r="S72">
        <f t="shared" ref="S72" si="338">R72/100000</f>
        <v>324.85331320694792</v>
      </c>
      <c r="T72">
        <f t="shared" ref="T72" si="339">S72/1000</f>
        <v>0.32485331320694794</v>
      </c>
    </row>
    <row r="73" spans="1:20" x14ac:dyDescent="0.25">
      <c r="A73" s="5">
        <v>44520</v>
      </c>
      <c r="B73">
        <v>52.45</v>
      </c>
      <c r="C73">
        <v>53.48</v>
      </c>
      <c r="D73">
        <v>50.76</v>
      </c>
      <c r="E73">
        <v>53.38</v>
      </c>
      <c r="F73">
        <v>525456.22</v>
      </c>
      <c r="G73">
        <v>53.38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0.92647058823529826</v>
      </c>
      <c r="Q73">
        <f t="shared" ref="Q73" si="341">F73*P73</f>
        <v>486819.73323529627</v>
      </c>
      <c r="R73">
        <f t="shared" ref="R73" si="342">R74+Q73</f>
        <v>32750103.670176659</v>
      </c>
      <c r="S73">
        <f t="shared" ref="S73" si="343">R73/100000</f>
        <v>327.50103670176657</v>
      </c>
      <c r="T73">
        <f t="shared" ref="T73" si="344">S73/1000</f>
        <v>0.32750103670176656</v>
      </c>
    </row>
    <row r="74" spans="1:20" x14ac:dyDescent="0.25">
      <c r="A74" s="5">
        <v>44519</v>
      </c>
      <c r="B74">
        <v>50.27</v>
      </c>
      <c r="C74">
        <v>52.78</v>
      </c>
      <c r="D74">
        <v>49.27</v>
      </c>
      <c r="E74">
        <v>52.42</v>
      </c>
      <c r="F74">
        <v>551431.86</v>
      </c>
      <c r="G74">
        <v>52.42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0.79487179487179505</v>
      </c>
      <c r="Q74">
        <f t="shared" ref="Q74" si="346">F74*P74</f>
        <v>438317.63230769237</v>
      </c>
      <c r="R74">
        <f t="shared" ref="R74" si="347">R75+Q74</f>
        <v>32263283.936941363</v>
      </c>
      <c r="S74">
        <f t="shared" ref="S74" si="348">R74/100000</f>
        <v>322.6328393694136</v>
      </c>
      <c r="T74">
        <f t="shared" ref="T74" si="349">S74/1000</f>
        <v>0.32263283936941362</v>
      </c>
    </row>
    <row r="75" spans="1:20" x14ac:dyDescent="0.25">
      <c r="A75" s="5">
        <v>44518</v>
      </c>
      <c r="B75">
        <v>51.57</v>
      </c>
      <c r="C75">
        <v>52.4</v>
      </c>
      <c r="D75">
        <v>46.66</v>
      </c>
      <c r="E75">
        <v>50.27</v>
      </c>
      <c r="F75">
        <v>1176976.21</v>
      </c>
      <c r="G75">
        <v>50.27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0.25783972125435722</v>
      </c>
      <c r="Q75">
        <f t="shared" ref="Q75" si="351">F75*P75</f>
        <v>303471.21790940978</v>
      </c>
      <c r="R75">
        <f t="shared" ref="R75" si="352">R76+Q75</f>
        <v>31824966.30463367</v>
      </c>
      <c r="S75">
        <f t="shared" ref="S75" si="353">R75/100000</f>
        <v>318.24966304633671</v>
      </c>
      <c r="T75">
        <f t="shared" ref="T75" si="354">S75/1000</f>
        <v>0.31824966304633673</v>
      </c>
    </row>
    <row r="76" spans="1:20" x14ac:dyDescent="0.25">
      <c r="A76" s="5">
        <v>44517</v>
      </c>
      <c r="B76">
        <v>50.32</v>
      </c>
      <c r="C76">
        <v>51.71</v>
      </c>
      <c r="D76">
        <v>49.11</v>
      </c>
      <c r="E76">
        <v>51.55</v>
      </c>
      <c r="F76">
        <v>717771.01</v>
      </c>
      <c r="G76">
        <v>51.55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0.87692307692307414</v>
      </c>
      <c r="Q76">
        <f t="shared" ref="Q76" si="356">F76*P76</f>
        <v>629429.96261538262</v>
      </c>
      <c r="R76">
        <f t="shared" ref="R76" si="357">R77+Q76</f>
        <v>31521495.086724259</v>
      </c>
      <c r="S76">
        <f t="shared" ref="S76" si="358">R76/100000</f>
        <v>315.21495086724258</v>
      </c>
      <c r="T76">
        <f t="shared" ref="T76" si="359">S76/1000</f>
        <v>0.3152149508672426</v>
      </c>
    </row>
    <row r="77" spans="1:20" x14ac:dyDescent="0.25">
      <c r="A77" s="5">
        <v>44516</v>
      </c>
      <c r="B77">
        <v>54.93</v>
      </c>
      <c r="C77">
        <v>55</v>
      </c>
      <c r="D77">
        <v>48.19</v>
      </c>
      <c r="E77">
        <v>50.32</v>
      </c>
      <c r="F77">
        <v>2256468.33</v>
      </c>
      <c r="G77">
        <v>50.32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-0.37444933920704793</v>
      </c>
      <c r="Q77">
        <f t="shared" ref="Q77" si="361">F77*P77</f>
        <v>-844933.07511013094</v>
      </c>
      <c r="R77">
        <f t="shared" ref="R77" si="362">R78+Q77</f>
        <v>30892065.124108877</v>
      </c>
      <c r="S77">
        <f t="shared" ref="S77" si="363">R77/100000</f>
        <v>308.92065124108876</v>
      </c>
      <c r="T77">
        <f t="shared" ref="T77" si="364">S77/1000</f>
        <v>0.30892065124108875</v>
      </c>
    </row>
    <row r="78" spans="1:20" x14ac:dyDescent="0.25">
      <c r="A78" s="5">
        <v>44515</v>
      </c>
      <c r="B78">
        <v>56.01</v>
      </c>
      <c r="C78">
        <v>57.46</v>
      </c>
      <c r="D78">
        <v>54.85</v>
      </c>
      <c r="E78">
        <v>54.92</v>
      </c>
      <c r="F78">
        <v>813001.36</v>
      </c>
      <c r="G78">
        <v>54.92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-0.94636015325670475</v>
      </c>
      <c r="Q78">
        <f t="shared" ref="Q78" si="366">F78*P78</f>
        <v>-769392.09164750937</v>
      </c>
      <c r="R78">
        <f t="shared" ref="R78" si="367">R79+Q78</f>
        <v>31736998.199219007</v>
      </c>
      <c r="S78">
        <f t="shared" ref="S78" si="368">R78/100000</f>
        <v>317.36998199219005</v>
      </c>
      <c r="T78">
        <f t="shared" ref="T78" si="369">S78/1000</f>
        <v>0.31736998199219008</v>
      </c>
    </row>
    <row r="79" spans="1:20" x14ac:dyDescent="0.25">
      <c r="A79" s="5">
        <v>44514</v>
      </c>
      <c r="B79">
        <v>55.68</v>
      </c>
      <c r="C79">
        <v>56.55</v>
      </c>
      <c r="D79">
        <v>54.74</v>
      </c>
      <c r="E79">
        <v>55.99</v>
      </c>
      <c r="F79">
        <v>740497.82</v>
      </c>
      <c r="G79">
        <v>55.99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0.38121546961326336</v>
      </c>
      <c r="Q79">
        <f t="shared" ref="Q79" si="371">F79*P79</f>
        <v>282289.22419889772</v>
      </c>
      <c r="R79">
        <f t="shared" ref="R79" si="372">R80+Q79</f>
        <v>32506390.290866517</v>
      </c>
      <c r="S79">
        <f t="shared" ref="S79" si="373">R79/100000</f>
        <v>325.06390290866517</v>
      </c>
      <c r="T79">
        <f t="shared" ref="T79" si="374">S79/1000</f>
        <v>0.32506390290866516</v>
      </c>
    </row>
    <row r="80" spans="1:20" x14ac:dyDescent="0.25">
      <c r="A80" s="5">
        <v>44513</v>
      </c>
      <c r="B80">
        <v>58.03</v>
      </c>
      <c r="C80">
        <v>58.32</v>
      </c>
      <c r="D80">
        <v>54.4</v>
      </c>
      <c r="E80">
        <v>55.69</v>
      </c>
      <c r="F80">
        <v>2548449.96</v>
      </c>
      <c r="G80">
        <v>55.69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-0.34183673469387826</v>
      </c>
      <c r="Q80">
        <f t="shared" ref="Q80" si="376">F80*P80</f>
        <v>-871153.81285714463</v>
      </c>
      <c r="R80">
        <f t="shared" ref="R80" si="377">R81+Q80</f>
        <v>32224101.06666762</v>
      </c>
      <c r="S80">
        <f t="shared" ref="S80" si="378">R80/100000</f>
        <v>322.24101066667617</v>
      </c>
      <c r="T80">
        <f t="shared" ref="T80" si="379">S80/1000</f>
        <v>0.32224101066667615</v>
      </c>
    </row>
    <row r="81" spans="1:20" x14ac:dyDescent="0.25">
      <c r="A81" s="5">
        <v>44512</v>
      </c>
      <c r="B81">
        <v>59.17</v>
      </c>
      <c r="C81">
        <v>60.12</v>
      </c>
      <c r="D81">
        <v>55</v>
      </c>
      <c r="E81">
        <v>58.02</v>
      </c>
      <c r="F81">
        <v>1027931.78</v>
      </c>
      <c r="G81">
        <v>58.02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0.1796875000000018</v>
      </c>
      <c r="Q81">
        <f t="shared" ref="Q81" si="381">F81*P81</f>
        <v>184706.49171875187</v>
      </c>
      <c r="R81">
        <f t="shared" ref="R81" si="382">R82+Q81</f>
        <v>33095254.879524764</v>
      </c>
      <c r="S81">
        <f t="shared" ref="S81" si="383">R81/100000</f>
        <v>330.95254879524765</v>
      </c>
      <c r="T81">
        <f t="shared" ref="T81" si="384">S81/1000</f>
        <v>0.33095254879524766</v>
      </c>
    </row>
    <row r="82" spans="1:20" x14ac:dyDescent="0.25">
      <c r="A82" s="5">
        <v>44511</v>
      </c>
      <c r="B82">
        <v>58.93</v>
      </c>
      <c r="C82">
        <v>60.86</v>
      </c>
      <c r="D82">
        <v>58.37</v>
      </c>
      <c r="E82">
        <v>59.17</v>
      </c>
      <c r="F82">
        <v>782115.86</v>
      </c>
      <c r="G82">
        <v>59.17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-0.35742971887549907</v>
      </c>
      <c r="Q82">
        <f t="shared" ref="Q82" si="386">F82*P82</f>
        <v>-279551.45196786919</v>
      </c>
      <c r="R82">
        <f t="shared" ref="R82" si="387">R83+Q82</f>
        <v>32910548.387806013</v>
      </c>
      <c r="S82">
        <f t="shared" ref="S82" si="388">R82/100000</f>
        <v>329.10548387806011</v>
      </c>
      <c r="T82">
        <f t="shared" ref="T82" si="389">S82/1000</f>
        <v>0.3291054838780601</v>
      </c>
    </row>
    <row r="83" spans="1:20" x14ac:dyDescent="0.25">
      <c r="A83" s="5">
        <v>44510</v>
      </c>
      <c r="B83">
        <v>62.36</v>
      </c>
      <c r="C83">
        <v>65.5</v>
      </c>
      <c r="D83">
        <v>57.35</v>
      </c>
      <c r="E83">
        <v>58.95</v>
      </c>
      <c r="F83">
        <v>1616348.83</v>
      </c>
      <c r="G83">
        <v>58.95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-0.60736196319018365</v>
      </c>
      <c r="Q83">
        <f t="shared" ref="Q83" si="391">F83*P83</f>
        <v>-981708.79858895647</v>
      </c>
      <c r="R83">
        <f t="shared" ref="R83" si="392">R84+Q83</f>
        <v>33190099.839773882</v>
      </c>
      <c r="S83">
        <f t="shared" ref="S83" si="393">R83/100000</f>
        <v>331.90099839773882</v>
      </c>
      <c r="T83">
        <f t="shared" ref="T83" si="394">S83/1000</f>
        <v>0.33190099839773884</v>
      </c>
    </row>
    <row r="84" spans="1:20" x14ac:dyDescent="0.25">
      <c r="A84" s="5">
        <v>44509</v>
      </c>
      <c r="B84">
        <v>65.260000000000005</v>
      </c>
      <c r="C84">
        <v>65.73</v>
      </c>
      <c r="D84">
        <v>61.8</v>
      </c>
      <c r="E84">
        <v>62.36</v>
      </c>
      <c r="F84">
        <v>713538.31</v>
      </c>
      <c r="G84">
        <v>62.36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-0.71501272264630977</v>
      </c>
      <c r="Q84">
        <f t="shared" ref="Q84" si="396">F84*P84</f>
        <v>-510188.96974554664</v>
      </c>
      <c r="R84">
        <f t="shared" ref="R84" si="397">R85+Q84</f>
        <v>34171808.63836284</v>
      </c>
      <c r="S84">
        <f t="shared" ref="S84" si="398">R84/100000</f>
        <v>341.71808638362842</v>
      </c>
      <c r="T84">
        <f t="shared" ref="T84" si="399">S84/1000</f>
        <v>0.34171808638362844</v>
      </c>
    </row>
    <row r="85" spans="1:20" x14ac:dyDescent="0.25">
      <c r="A85" s="5">
        <v>44508</v>
      </c>
      <c r="B85">
        <v>63.98</v>
      </c>
      <c r="C85">
        <v>65.599999999999994</v>
      </c>
      <c r="D85">
        <v>62.92</v>
      </c>
      <c r="E85">
        <v>65.25</v>
      </c>
      <c r="F85">
        <v>1487711.08</v>
      </c>
      <c r="G85">
        <v>65.25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0.73880597014925731</v>
      </c>
      <c r="Q85">
        <f t="shared" ref="Q85" si="401">F85*P85</f>
        <v>1099129.8277611993</v>
      </c>
      <c r="R85">
        <f t="shared" ref="R85" si="402">R86+Q85</f>
        <v>34681997.608108386</v>
      </c>
      <c r="S85">
        <f t="shared" ref="S85" si="403">R85/100000</f>
        <v>346.81997608108384</v>
      </c>
      <c r="T85">
        <f t="shared" ref="T85" si="404">S85/1000</f>
        <v>0.34681997608108384</v>
      </c>
    </row>
    <row r="86" spans="1:20" x14ac:dyDescent="0.25">
      <c r="A86" s="5">
        <v>44507</v>
      </c>
      <c r="B86">
        <v>61.49</v>
      </c>
      <c r="C86">
        <v>64.38</v>
      </c>
      <c r="D86">
        <v>60.95</v>
      </c>
      <c r="E86">
        <v>63.99</v>
      </c>
      <c r="F86">
        <v>1481840.97</v>
      </c>
      <c r="G86">
        <v>63.99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0.77259475218659224</v>
      </c>
      <c r="Q86">
        <f t="shared" ref="Q86" si="406">F86*P86</f>
        <v>1144862.5569970894</v>
      </c>
      <c r="R86">
        <f t="shared" ref="R86" si="407">R87+Q86</f>
        <v>33582867.780347191</v>
      </c>
      <c r="S86">
        <f t="shared" ref="S86" si="408">R86/100000</f>
        <v>335.82867780347192</v>
      </c>
      <c r="T86">
        <f t="shared" ref="T86" si="409">S86/1000</f>
        <v>0.33582867780347192</v>
      </c>
    </row>
    <row r="87" spans="1:20" x14ac:dyDescent="0.25">
      <c r="A87" s="5">
        <v>44506</v>
      </c>
      <c r="B87">
        <v>58.85</v>
      </c>
      <c r="C87">
        <v>61.5</v>
      </c>
      <c r="D87">
        <v>57.71</v>
      </c>
      <c r="E87">
        <v>61.47</v>
      </c>
      <c r="F87">
        <v>864478.69</v>
      </c>
      <c r="G87">
        <v>61.47</v>
      </c>
      <c r="L87" t="s">
        <v>8</v>
      </c>
      <c r="M87" t="s">
        <v>7</v>
      </c>
      <c r="N87" t="s">
        <v>8</v>
      </c>
      <c r="P87">
        <f t="shared" ref="P87" si="410">IF(C87=D87,0,((E87-D87)-(C87-E87))/(C87-D87))</f>
        <v>0.98416886543535564</v>
      </c>
      <c r="Q87">
        <f t="shared" ref="Q87" si="411">F87*P87</f>
        <v>850793.01153034251</v>
      </c>
      <c r="R87">
        <f t="shared" ref="R87" si="412">R88+Q87</f>
        <v>32438005.2233501</v>
      </c>
      <c r="S87">
        <f t="shared" ref="S87" si="413">R87/100000</f>
        <v>324.38005223350098</v>
      </c>
      <c r="T87">
        <f t="shared" ref="T87" si="414">S87/1000</f>
        <v>0.32438005223350097</v>
      </c>
    </row>
    <row r="88" spans="1:20" x14ac:dyDescent="0.25">
      <c r="A88" s="5">
        <v>44505</v>
      </c>
      <c r="B88">
        <v>59.62</v>
      </c>
      <c r="C88">
        <v>60.47</v>
      </c>
      <c r="D88">
        <v>57.8</v>
      </c>
      <c r="E88">
        <v>58.85</v>
      </c>
      <c r="F88">
        <v>830641.61</v>
      </c>
      <c r="G88">
        <v>58.85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-0.21348314606741303</v>
      </c>
      <c r="Q88">
        <f t="shared" ref="Q88" si="416">F88*P88</f>
        <v>-177327.98415730114</v>
      </c>
      <c r="R88">
        <f t="shared" ref="R88" si="417">R89+Q88</f>
        <v>31587212.211819757</v>
      </c>
      <c r="S88">
        <f t="shared" ref="S88" si="418">R88/100000</f>
        <v>315.87212211819758</v>
      </c>
      <c r="T88">
        <f t="shared" ref="T88" si="419">S88/1000</f>
        <v>0.3158721221181976</v>
      </c>
    </row>
    <row r="89" spans="1:20" x14ac:dyDescent="0.25">
      <c r="A89" s="5">
        <v>44504</v>
      </c>
      <c r="B89">
        <v>62.49</v>
      </c>
      <c r="C89">
        <v>62.67</v>
      </c>
      <c r="D89">
        <v>58.37</v>
      </c>
      <c r="E89">
        <v>59.64</v>
      </c>
      <c r="F89">
        <v>1013754.36</v>
      </c>
      <c r="G89">
        <v>59.64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-0.40930232558139445</v>
      </c>
      <c r="Q89">
        <f t="shared" ref="Q89" si="421">F89*P89</f>
        <v>-414932.01711627818</v>
      </c>
      <c r="R89">
        <f t="shared" ref="R89" si="422">R90+Q89</f>
        <v>31764540.195977058</v>
      </c>
      <c r="S89">
        <f t="shared" ref="S89" si="423">R89/100000</f>
        <v>317.6454019597706</v>
      </c>
      <c r="T89">
        <f t="shared" ref="T89" si="424">S89/1000</f>
        <v>0.31764540195977059</v>
      </c>
    </row>
    <row r="90" spans="1:20" x14ac:dyDescent="0.25">
      <c r="A90" s="5">
        <v>44503</v>
      </c>
      <c r="B90">
        <v>61.18</v>
      </c>
      <c r="C90">
        <v>63.6</v>
      </c>
      <c r="D90">
        <v>59.71</v>
      </c>
      <c r="E90">
        <v>62.49</v>
      </c>
      <c r="F90">
        <v>1391053.78</v>
      </c>
      <c r="G90">
        <v>62.49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0.42930591259640138</v>
      </c>
      <c r="Q90">
        <f t="shared" ref="Q90" si="426">F90*P90</f>
        <v>597187.6124935738</v>
      </c>
      <c r="R90">
        <f t="shared" ref="R90" si="427">R91+Q90</f>
        <v>32179472.213093337</v>
      </c>
      <c r="S90">
        <f t="shared" ref="S90" si="428">R90/100000</f>
        <v>321.79472213093339</v>
      </c>
      <c r="T90">
        <f t="shared" ref="T90" si="429">S90/1000</f>
        <v>0.32179472213093341</v>
      </c>
    </row>
    <row r="91" spans="1:20" x14ac:dyDescent="0.25">
      <c r="A91" s="5">
        <v>44502</v>
      </c>
      <c r="B91">
        <v>59.1</v>
      </c>
      <c r="C91">
        <v>61.27</v>
      </c>
      <c r="D91">
        <v>58.46</v>
      </c>
      <c r="E91">
        <v>61.16</v>
      </c>
      <c r="F91">
        <v>1412509.9</v>
      </c>
      <c r="G91">
        <v>61.16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0.92170818505337615</v>
      </c>
      <c r="Q91">
        <f t="shared" ref="Q91" si="431">F91*P91</f>
        <v>1301921.9362989257</v>
      </c>
      <c r="R91">
        <f t="shared" ref="R91" si="432">R92+Q91</f>
        <v>31582284.600599762</v>
      </c>
      <c r="S91">
        <f t="shared" ref="S91" si="433">R91/100000</f>
        <v>315.82284600599763</v>
      </c>
      <c r="T91">
        <f t="shared" ref="T91" si="434">S91/1000</f>
        <v>0.31582284600599764</v>
      </c>
    </row>
    <row r="92" spans="1:20" x14ac:dyDescent="0.25">
      <c r="A92" s="5">
        <v>44501</v>
      </c>
      <c r="B92">
        <v>59.38</v>
      </c>
      <c r="C92">
        <v>60.05</v>
      </c>
      <c r="D92">
        <v>57.25</v>
      </c>
      <c r="E92">
        <v>59.12</v>
      </c>
      <c r="F92">
        <v>976747.84</v>
      </c>
      <c r="G92">
        <v>59.12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0.33571428571428524</v>
      </c>
      <c r="Q92">
        <f t="shared" ref="Q92" si="436">F92*P92</f>
        <v>327908.20342857094</v>
      </c>
      <c r="R92">
        <f t="shared" ref="R92" si="437">R93+Q92</f>
        <v>30280362.664300837</v>
      </c>
      <c r="S92">
        <f t="shared" ref="S92" si="438">R92/100000</f>
        <v>302.80362664300839</v>
      </c>
      <c r="T92">
        <f t="shared" ref="T92" si="439">S92/1000</f>
        <v>0.30280362664300836</v>
      </c>
    </row>
    <row r="93" spans="1:20" x14ac:dyDescent="0.25">
      <c r="A93" s="5">
        <v>44500</v>
      </c>
      <c r="B93">
        <v>59.57</v>
      </c>
      <c r="C93">
        <v>60.25</v>
      </c>
      <c r="D93">
        <v>57.54</v>
      </c>
      <c r="E93">
        <v>59.36</v>
      </c>
      <c r="F93">
        <v>740231.74</v>
      </c>
      <c r="G93">
        <v>59.36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0.34317343173431714</v>
      </c>
      <c r="Q93">
        <f t="shared" ref="Q93" si="441">F93*P93</f>
        <v>254027.86649446478</v>
      </c>
      <c r="R93">
        <f t="shared" ref="R93" si="442">R94+Q93</f>
        <v>29952454.460872266</v>
      </c>
      <c r="S93">
        <f t="shared" ref="S93" si="443">R93/100000</f>
        <v>299.52454460872269</v>
      </c>
      <c r="T93">
        <f t="shared" ref="T93" si="444">S93/1000</f>
        <v>0.29952454460872269</v>
      </c>
    </row>
    <row r="94" spans="1:20" x14ac:dyDescent="0.25">
      <c r="A94" s="5">
        <v>44499</v>
      </c>
      <c r="B94">
        <v>61.41</v>
      </c>
      <c r="C94">
        <v>62.02</v>
      </c>
      <c r="D94">
        <v>58.76</v>
      </c>
      <c r="E94">
        <v>59.54</v>
      </c>
      <c r="F94">
        <v>718846.82</v>
      </c>
      <c r="G94">
        <v>59.54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-0.52147239263803691</v>
      </c>
      <c r="Q94">
        <f t="shared" ref="Q94" si="446">F94*P94</f>
        <v>-374858.77116564423</v>
      </c>
      <c r="R94">
        <f t="shared" ref="R94" si="447">R95+Q94</f>
        <v>29698426.594377801</v>
      </c>
      <c r="S94">
        <f t="shared" ref="S94" si="448">R94/100000</f>
        <v>296.98426594377798</v>
      </c>
      <c r="T94">
        <f t="shared" ref="T94" si="449">S94/1000</f>
        <v>0.29698426594377797</v>
      </c>
    </row>
    <row r="95" spans="1:20" x14ac:dyDescent="0.25">
      <c r="A95" s="5">
        <v>44498</v>
      </c>
      <c r="B95">
        <v>60.24</v>
      </c>
      <c r="C95">
        <v>61.93</v>
      </c>
      <c r="D95">
        <v>59.92</v>
      </c>
      <c r="E95">
        <v>61.42</v>
      </c>
      <c r="F95">
        <v>891404.94</v>
      </c>
      <c r="G95">
        <v>61.42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0.4925373134328373</v>
      </c>
      <c r="Q95">
        <f t="shared" ref="Q95" si="451">F95*P95</f>
        <v>439050.1943283595</v>
      </c>
      <c r="R95">
        <f t="shared" ref="R95" si="452">R96+Q95</f>
        <v>30073285.365543444</v>
      </c>
      <c r="S95">
        <f t="shared" ref="S95" si="453">R95/100000</f>
        <v>300.73285365543444</v>
      </c>
      <c r="T95">
        <f t="shared" ref="T95" si="454">S95/1000</f>
        <v>0.30073285365543445</v>
      </c>
    </row>
    <row r="96" spans="1:20" x14ac:dyDescent="0.25">
      <c r="A96" s="5">
        <v>44497</v>
      </c>
      <c r="B96">
        <v>57.98</v>
      </c>
      <c r="C96">
        <v>63.6</v>
      </c>
      <c r="D96">
        <v>57.1</v>
      </c>
      <c r="E96">
        <v>60.22</v>
      </c>
      <c r="F96">
        <v>1709885.2</v>
      </c>
      <c r="G96">
        <v>60.22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-4.0000000000000785E-2</v>
      </c>
      <c r="Q96">
        <f t="shared" ref="Q96" si="456">F96*P96</f>
        <v>-68395.408000001335</v>
      </c>
      <c r="R96">
        <f t="shared" ref="R96" si="457">R97+Q96</f>
        <v>29634235.171215083</v>
      </c>
      <c r="S96">
        <f t="shared" ref="S96" si="458">R96/100000</f>
        <v>296.34235171215084</v>
      </c>
      <c r="T96">
        <f t="shared" ref="T96" si="459">S96/1000</f>
        <v>0.29634235171215084</v>
      </c>
    </row>
    <row r="97" spans="1:20" x14ac:dyDescent="0.25">
      <c r="A97" s="5">
        <v>44496</v>
      </c>
      <c r="B97">
        <v>62.74</v>
      </c>
      <c r="C97">
        <v>64.36</v>
      </c>
      <c r="D97">
        <v>56.69</v>
      </c>
      <c r="E97">
        <v>57.97</v>
      </c>
      <c r="F97">
        <v>2294514.84</v>
      </c>
      <c r="G97">
        <v>57.97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-0.66623207301173382</v>
      </c>
      <c r="Q97">
        <f t="shared" ref="Q97" si="461">F97*P97</f>
        <v>-1528679.3784093866</v>
      </c>
      <c r="R97">
        <f t="shared" ref="R97" si="462">R98+Q97</f>
        <v>29702630.579215083</v>
      </c>
      <c r="S97">
        <f t="shared" ref="S97" si="463">R97/100000</f>
        <v>297.02630579215082</v>
      </c>
      <c r="T97">
        <f t="shared" ref="T97" si="464">S97/1000</f>
        <v>0.29702630579215084</v>
      </c>
    </row>
    <row r="98" spans="1:20" x14ac:dyDescent="0.25">
      <c r="A98" s="5">
        <v>44495</v>
      </c>
      <c r="B98">
        <v>65.739999999999995</v>
      </c>
      <c r="C98">
        <v>69.84</v>
      </c>
      <c r="D98">
        <v>62.28</v>
      </c>
      <c r="E98">
        <v>62.73</v>
      </c>
      <c r="F98">
        <v>2228346.0299999998</v>
      </c>
      <c r="G98">
        <v>62.73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-0.88095238095238215</v>
      </c>
      <c r="Q98">
        <f t="shared" ref="Q98" si="466">F98*P98</f>
        <v>-1963066.7407142883</v>
      </c>
      <c r="R98">
        <f t="shared" ref="R98" si="467">R99+Q98</f>
        <v>31231309.957624469</v>
      </c>
      <c r="S98">
        <f t="shared" ref="S98" si="468">R98/100000</f>
        <v>312.31309957624467</v>
      </c>
      <c r="T98">
        <f t="shared" ref="T98" si="469">S98/1000</f>
        <v>0.31231309957624465</v>
      </c>
    </row>
    <row r="99" spans="1:20" x14ac:dyDescent="0.25">
      <c r="A99" s="5">
        <v>44494</v>
      </c>
      <c r="B99">
        <v>61.84</v>
      </c>
      <c r="C99">
        <v>66.05</v>
      </c>
      <c r="D99">
        <v>61.59</v>
      </c>
      <c r="E99">
        <v>65.73</v>
      </c>
      <c r="F99">
        <v>1444951.98</v>
      </c>
      <c r="G99">
        <v>65.73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0.85650224215246917</v>
      </c>
      <c r="Q99">
        <f t="shared" ref="Q99" si="471">F99*P99</f>
        <v>1237604.6106726497</v>
      </c>
      <c r="R99">
        <f t="shared" ref="R99" si="472">R100+Q99</f>
        <v>33194376.698338758</v>
      </c>
      <c r="S99">
        <f t="shared" ref="S99" si="473">R99/100000</f>
        <v>331.9437669833876</v>
      </c>
      <c r="T99">
        <f t="shared" ref="T99" si="474">S99/1000</f>
        <v>0.33194376698338762</v>
      </c>
    </row>
    <row r="100" spans="1:20" x14ac:dyDescent="0.25">
      <c r="A100" s="5">
        <v>44493</v>
      </c>
      <c r="B100">
        <v>63.41</v>
      </c>
      <c r="C100">
        <v>63.66</v>
      </c>
      <c r="D100">
        <v>60</v>
      </c>
      <c r="E100">
        <v>61.81</v>
      </c>
      <c r="F100">
        <v>926072.93</v>
      </c>
      <c r="G100">
        <v>61.81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-1.0928961748631715E-2</v>
      </c>
      <c r="Q100">
        <f t="shared" ref="Q100" si="476">F100*P100</f>
        <v>-10121.015628413295</v>
      </c>
      <c r="R100">
        <f t="shared" ref="R100" si="477">R101+Q100</f>
        <v>31956772.087666109</v>
      </c>
      <c r="S100">
        <f t="shared" ref="S100" si="478">R100/100000</f>
        <v>319.5677208766611</v>
      </c>
      <c r="T100">
        <f t="shared" ref="T100" si="479">S100/1000</f>
        <v>0.31956772087666108</v>
      </c>
    </row>
    <row r="101" spans="1:20" x14ac:dyDescent="0.25">
      <c r="A101" s="5">
        <v>44492</v>
      </c>
      <c r="B101">
        <v>62.85</v>
      </c>
      <c r="C101">
        <v>63.9</v>
      </c>
      <c r="D101">
        <v>60.76</v>
      </c>
      <c r="E101">
        <v>63.41</v>
      </c>
      <c r="F101">
        <v>1135177.57</v>
      </c>
      <c r="G101">
        <v>63.41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0.68789808917197326</v>
      </c>
      <c r="Q101">
        <f t="shared" ref="Q101" si="481">F101*P101</f>
        <v>780886.48127388395</v>
      </c>
      <c r="R101">
        <f t="shared" ref="R101" si="482">R102+Q101</f>
        <v>31966893.103294522</v>
      </c>
      <c r="S101">
        <f t="shared" ref="S101" si="483">R101/100000</f>
        <v>319.66893103294524</v>
      </c>
      <c r="T101">
        <f t="shared" ref="T101" si="484">S101/1000</f>
        <v>0.31966893103294525</v>
      </c>
    </row>
    <row r="102" spans="1:20" x14ac:dyDescent="0.25">
      <c r="A102" s="5">
        <v>44491</v>
      </c>
      <c r="B102">
        <v>61.59</v>
      </c>
      <c r="C102">
        <v>66.41</v>
      </c>
      <c r="D102">
        <v>61.56</v>
      </c>
      <c r="E102">
        <v>62.88</v>
      </c>
      <c r="F102">
        <v>2532989.7799999998</v>
      </c>
      <c r="G102">
        <v>62.88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-0.45567010309278277</v>
      </c>
      <c r="Q102">
        <f t="shared" ref="Q102" si="486">F102*P102</f>
        <v>-1154207.714185565</v>
      </c>
      <c r="R102">
        <f t="shared" ref="R102" si="487">R103+Q102</f>
        <v>31186006.622020639</v>
      </c>
      <c r="S102">
        <f t="shared" ref="S102" si="488">R102/100000</f>
        <v>311.86006622020642</v>
      </c>
      <c r="T102">
        <f t="shared" ref="T102" si="489">S102/1000</f>
        <v>0.3118600662202064</v>
      </c>
    </row>
    <row r="103" spans="1:20" x14ac:dyDescent="0.25">
      <c r="A103" s="5">
        <v>44490</v>
      </c>
      <c r="B103">
        <v>61.37</v>
      </c>
      <c r="C103">
        <v>75</v>
      </c>
      <c r="D103">
        <v>60</v>
      </c>
      <c r="E103">
        <v>61.6</v>
      </c>
      <c r="F103">
        <v>6026733.6600000001</v>
      </c>
      <c r="G103">
        <v>61.6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-0.78666666666666651</v>
      </c>
      <c r="Q103">
        <f t="shared" ref="Q103" si="491">F103*P103</f>
        <v>-4741030.479199999</v>
      </c>
      <c r="R103">
        <f t="shared" ref="R103" si="492">R104+Q103</f>
        <v>32340214.336206205</v>
      </c>
      <c r="S103">
        <f t="shared" ref="S103" si="493">R103/100000</f>
        <v>323.40214336206208</v>
      </c>
      <c r="T103">
        <f t="shared" ref="T103" si="494">S103/1000</f>
        <v>0.32340214336206208</v>
      </c>
    </row>
    <row r="104" spans="1:20" x14ac:dyDescent="0.25">
      <c r="A104" s="5">
        <v>44489</v>
      </c>
      <c r="B104">
        <v>57.09</v>
      </c>
      <c r="C104">
        <v>62.39</v>
      </c>
      <c r="D104">
        <v>56.43</v>
      </c>
      <c r="E104">
        <v>61.36</v>
      </c>
      <c r="F104">
        <v>2232951.88</v>
      </c>
      <c r="G104">
        <v>61.36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0.65436241610738222</v>
      </c>
      <c r="Q104">
        <f t="shared" ref="Q104" si="496">F104*P104</f>
        <v>1461159.7872483213</v>
      </c>
      <c r="R104">
        <f t="shared" ref="R104" si="497">R105+Q104</f>
        <v>37081244.815406203</v>
      </c>
      <c r="S104">
        <f t="shared" ref="S104" si="498">R104/100000</f>
        <v>370.81244815406205</v>
      </c>
      <c r="T104">
        <f t="shared" ref="T104" si="499">S104/1000</f>
        <v>0.37081244815406206</v>
      </c>
    </row>
    <row r="105" spans="1:20" x14ac:dyDescent="0.25">
      <c r="A105" s="5">
        <v>44488</v>
      </c>
      <c r="B105">
        <v>55.5</v>
      </c>
      <c r="C105">
        <v>57.15</v>
      </c>
      <c r="D105">
        <v>55.25</v>
      </c>
      <c r="E105">
        <v>57.08</v>
      </c>
      <c r="F105">
        <v>672389.73</v>
      </c>
      <c r="G105">
        <v>57.08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0.92631578947368387</v>
      </c>
      <c r="Q105">
        <f t="shared" ref="Q105" si="501">F105*P105</f>
        <v>622845.22357894713</v>
      </c>
      <c r="R105">
        <f t="shared" ref="R105" si="502">R106+Q105</f>
        <v>35620085.028157882</v>
      </c>
      <c r="S105">
        <f t="shared" ref="S105" si="503">R105/100000</f>
        <v>356.20085028157882</v>
      </c>
      <c r="T105">
        <f t="shared" ref="T105" si="504">S105/1000</f>
        <v>0.35620085028157883</v>
      </c>
    </row>
    <row r="106" spans="1:20" x14ac:dyDescent="0.25">
      <c r="A106" s="5">
        <v>44487</v>
      </c>
      <c r="B106">
        <v>56.38</v>
      </c>
      <c r="C106">
        <v>57.44</v>
      </c>
      <c r="D106">
        <v>53.71</v>
      </c>
      <c r="E106">
        <v>55.5</v>
      </c>
      <c r="F106">
        <v>1365354.76</v>
      </c>
      <c r="G106">
        <v>55.5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-4.0214477211795899E-2</v>
      </c>
      <c r="Q106">
        <f t="shared" ref="Q106" si="506">F106*P106</f>
        <v>-54907.027882037059</v>
      </c>
      <c r="R106">
        <f t="shared" ref="R106" si="507">R107+Q106</f>
        <v>34997239.804578938</v>
      </c>
      <c r="S106">
        <f t="shared" ref="S106" si="508">R106/100000</f>
        <v>349.97239804578936</v>
      </c>
      <c r="T106">
        <f t="shared" ref="T106" si="509">S106/1000</f>
        <v>0.34997239804578933</v>
      </c>
    </row>
    <row r="107" spans="1:20" x14ac:dyDescent="0.25">
      <c r="A107" s="5">
        <v>44486</v>
      </c>
      <c r="B107">
        <v>56.36</v>
      </c>
      <c r="C107">
        <v>57.38</v>
      </c>
      <c r="D107">
        <v>54.54</v>
      </c>
      <c r="E107">
        <v>56.38</v>
      </c>
      <c r="F107">
        <v>612089.81000000006</v>
      </c>
      <c r="G107">
        <v>56.38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0.29577464788732477</v>
      </c>
      <c r="Q107">
        <f t="shared" ref="Q107" si="511">F107*P107</f>
        <v>181040.64802816953</v>
      </c>
      <c r="R107">
        <f t="shared" ref="R107" si="512">R108+Q107</f>
        <v>35052146.832460977</v>
      </c>
      <c r="S107">
        <f t="shared" ref="S107" si="513">R107/100000</f>
        <v>350.52146832460977</v>
      </c>
      <c r="T107">
        <f t="shared" ref="T107" si="514">S107/1000</f>
        <v>0.35052146832460979</v>
      </c>
    </row>
    <row r="108" spans="1:20" x14ac:dyDescent="0.25">
      <c r="A108" s="5">
        <v>44485</v>
      </c>
      <c r="B108">
        <v>57.04</v>
      </c>
      <c r="C108">
        <v>58.07</v>
      </c>
      <c r="D108">
        <v>56</v>
      </c>
      <c r="E108">
        <v>56.33</v>
      </c>
      <c r="F108">
        <v>877987.32</v>
      </c>
      <c r="G108">
        <v>56.33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-0.68115942028985677</v>
      </c>
      <c r="Q108">
        <f t="shared" ref="Q108" si="516">F108*P108</f>
        <v>-598049.33391304489</v>
      </c>
      <c r="R108">
        <f t="shared" ref="R108" si="517">R109+Q108</f>
        <v>34871106.184432805</v>
      </c>
      <c r="S108">
        <f t="shared" ref="S108" si="518">R108/100000</f>
        <v>348.71106184432807</v>
      </c>
      <c r="T108">
        <f t="shared" ref="T108" si="519">S108/1000</f>
        <v>0.3487110618443281</v>
      </c>
    </row>
    <row r="109" spans="1:20" x14ac:dyDescent="0.25">
      <c r="A109" s="5">
        <v>44484</v>
      </c>
      <c r="B109">
        <v>55.48</v>
      </c>
      <c r="C109">
        <v>58.2</v>
      </c>
      <c r="D109">
        <v>54.69</v>
      </c>
      <c r="E109">
        <v>57.03</v>
      </c>
      <c r="F109">
        <v>1526483.11</v>
      </c>
      <c r="G109">
        <v>57.03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0.33333333333333331</v>
      </c>
      <c r="Q109">
        <f t="shared" ref="Q109" si="521">F109*P109</f>
        <v>508827.70333333337</v>
      </c>
      <c r="R109">
        <f t="shared" ref="R109" si="522">R110+Q109</f>
        <v>35469155.518345848</v>
      </c>
      <c r="S109">
        <f t="shared" ref="S109" si="523">R109/100000</f>
        <v>354.69155518345849</v>
      </c>
      <c r="T109">
        <f t="shared" ref="T109" si="524">S109/1000</f>
        <v>0.35469155518345852</v>
      </c>
    </row>
    <row r="110" spans="1:20" x14ac:dyDescent="0.25">
      <c r="A110" s="5">
        <v>44483</v>
      </c>
      <c r="B110">
        <v>54.1</v>
      </c>
      <c r="C110">
        <v>57</v>
      </c>
      <c r="D110">
        <v>53.56</v>
      </c>
      <c r="E110">
        <v>55.47</v>
      </c>
      <c r="F110">
        <v>1579145.67</v>
      </c>
      <c r="G110">
        <v>55.47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0.11046511627906852</v>
      </c>
      <c r="Q110">
        <f t="shared" ref="Q110" si="526">F110*P110</f>
        <v>174440.51005813756</v>
      </c>
      <c r="R110">
        <f t="shared" ref="R110" si="527">R111+Q110</f>
        <v>34960327.815012515</v>
      </c>
      <c r="S110">
        <f t="shared" ref="S110" si="528">R110/100000</f>
        <v>349.60327815012516</v>
      </c>
      <c r="T110">
        <f t="shared" ref="T110" si="529">S110/1000</f>
        <v>0.34960327815012515</v>
      </c>
    </row>
    <row r="111" spans="1:20" x14ac:dyDescent="0.25">
      <c r="A111" s="5">
        <v>44482</v>
      </c>
      <c r="B111">
        <v>52.81</v>
      </c>
      <c r="C111">
        <v>54.19</v>
      </c>
      <c r="D111">
        <v>51.59</v>
      </c>
      <c r="E111">
        <v>54.08</v>
      </c>
      <c r="F111">
        <v>1191044.76</v>
      </c>
      <c r="G111">
        <v>54.08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0.91538461538461569</v>
      </c>
      <c r="Q111">
        <f t="shared" ref="Q111" si="531">F111*P111</f>
        <v>1090264.049538462</v>
      </c>
      <c r="R111">
        <f t="shared" ref="R111" si="532">R112+Q111</f>
        <v>34785887.30495438</v>
      </c>
      <c r="S111">
        <f t="shared" ref="S111" si="533">R111/100000</f>
        <v>347.85887304954377</v>
      </c>
      <c r="T111">
        <f t="shared" ref="T111" si="534">S111/1000</f>
        <v>0.34785887304954377</v>
      </c>
    </row>
    <row r="112" spans="1:20" x14ac:dyDescent="0.25">
      <c r="A112" s="5">
        <v>44481</v>
      </c>
      <c r="B112">
        <v>54.51</v>
      </c>
      <c r="C112">
        <v>54.51</v>
      </c>
      <c r="D112">
        <v>51.15</v>
      </c>
      <c r="E112">
        <v>52.81</v>
      </c>
      <c r="F112">
        <v>1192608.49</v>
      </c>
      <c r="G112">
        <v>52.81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-1.1904761904759538E-2</v>
      </c>
      <c r="Q112">
        <f t="shared" ref="Q112" si="536">F112*P112</f>
        <v>-14197.720119044796</v>
      </c>
      <c r="R112">
        <f t="shared" ref="R112" si="537">R113+Q112</f>
        <v>33695623.255415916</v>
      </c>
      <c r="S112">
        <f t="shared" ref="S112" si="538">R112/100000</f>
        <v>336.95623255415916</v>
      </c>
      <c r="T112">
        <f t="shared" ref="T112" si="539">S112/1000</f>
        <v>0.33695623255415919</v>
      </c>
    </row>
    <row r="113" spans="1:20" x14ac:dyDescent="0.25">
      <c r="A113" s="5">
        <v>44480</v>
      </c>
      <c r="B113">
        <v>53.4</v>
      </c>
      <c r="C113">
        <v>55.54</v>
      </c>
      <c r="D113">
        <v>52.83</v>
      </c>
      <c r="E113">
        <v>54.53</v>
      </c>
      <c r="F113">
        <v>934863.24</v>
      </c>
      <c r="G113">
        <v>54.53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0.25461254612546297</v>
      </c>
      <c r="Q113">
        <f t="shared" ref="Q113" si="541">F113*P113</f>
        <v>238027.90981549976</v>
      </c>
      <c r="R113">
        <f t="shared" ref="R113" si="542">R114+Q113</f>
        <v>33709820.975534961</v>
      </c>
      <c r="S113">
        <f t="shared" ref="S113" si="543">R113/100000</f>
        <v>337.09820975534961</v>
      </c>
      <c r="T113">
        <f t="shared" ref="T113" si="544">S113/1000</f>
        <v>0.3370982097553496</v>
      </c>
    </row>
    <row r="114" spans="1:20" x14ac:dyDescent="0.25">
      <c r="A114" s="5">
        <v>44479</v>
      </c>
      <c r="B114">
        <v>55.98</v>
      </c>
      <c r="C114">
        <v>56.42</v>
      </c>
      <c r="D114">
        <v>52.91</v>
      </c>
      <c r="E114">
        <v>53.4</v>
      </c>
      <c r="F114">
        <v>871335.79</v>
      </c>
      <c r="G114">
        <v>53.4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-0.72079772079772009</v>
      </c>
      <c r="Q114">
        <f t="shared" ref="Q114" si="546">F114*P114</f>
        <v>-628056.85148148087</v>
      </c>
      <c r="R114">
        <f t="shared" ref="R114" si="547">R115+Q114</f>
        <v>33471793.065719463</v>
      </c>
      <c r="S114">
        <f t="shared" ref="S114" si="548">R114/100000</f>
        <v>334.71793065719464</v>
      </c>
      <c r="T114">
        <f t="shared" ref="T114" si="549">S114/1000</f>
        <v>0.33471793065719463</v>
      </c>
    </row>
    <row r="115" spans="1:20" x14ac:dyDescent="0.25">
      <c r="A115" s="5">
        <v>44478</v>
      </c>
      <c r="B115">
        <v>55.14</v>
      </c>
      <c r="C115">
        <v>56.7</v>
      </c>
      <c r="D115">
        <v>54.53</v>
      </c>
      <c r="E115">
        <v>55.98</v>
      </c>
      <c r="F115">
        <v>706818.72</v>
      </c>
      <c r="G115">
        <v>55.98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0.3364055299539121</v>
      </c>
      <c r="Q115">
        <f t="shared" ref="Q115" si="551">F115*P115</f>
        <v>237777.7260829458</v>
      </c>
      <c r="R115">
        <f t="shared" ref="R115" si="552">R116+Q115</f>
        <v>34099849.917200945</v>
      </c>
      <c r="S115">
        <f t="shared" ref="S115" si="553">R115/100000</f>
        <v>340.99849917200947</v>
      </c>
      <c r="T115">
        <f t="shared" ref="T115" si="554">S115/1000</f>
        <v>0.34099849917200947</v>
      </c>
    </row>
    <row r="116" spans="1:20" x14ac:dyDescent="0.25">
      <c r="A116" s="5">
        <v>44477</v>
      </c>
      <c r="B116">
        <v>55.77</v>
      </c>
      <c r="C116">
        <v>57.48</v>
      </c>
      <c r="D116">
        <v>54.68</v>
      </c>
      <c r="E116">
        <v>55.14</v>
      </c>
      <c r="F116">
        <v>1354412.65</v>
      </c>
      <c r="G116">
        <v>55.14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-0.67142857142857049</v>
      </c>
      <c r="Q116">
        <f t="shared" ref="Q116" si="556">F116*P116</f>
        <v>-909391.35071428434</v>
      </c>
      <c r="R116">
        <f t="shared" ref="R116" si="557">R117+Q116</f>
        <v>33862072.191118002</v>
      </c>
      <c r="S116">
        <f t="shared" ref="S116" si="558">R116/100000</f>
        <v>338.62072191118</v>
      </c>
      <c r="T116">
        <f t="shared" ref="T116" si="559">S116/1000</f>
        <v>0.33862072191117998</v>
      </c>
    </row>
    <row r="117" spans="1:20" x14ac:dyDescent="0.25">
      <c r="A117" s="5">
        <v>44476</v>
      </c>
      <c r="B117">
        <v>56.77</v>
      </c>
      <c r="C117">
        <v>57.71</v>
      </c>
      <c r="D117">
        <v>54.65</v>
      </c>
      <c r="E117">
        <v>55.74</v>
      </c>
      <c r="F117">
        <v>2323478.62</v>
      </c>
      <c r="G117">
        <v>55.74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-0.28758169934640354</v>
      </c>
      <c r="Q117">
        <f t="shared" ref="Q117" si="561">F117*P117</f>
        <v>-668189.92993463669</v>
      </c>
      <c r="R117">
        <f t="shared" ref="R117" si="562">R118+Q117</f>
        <v>34771463.541832283</v>
      </c>
      <c r="S117">
        <f t="shared" ref="S117" si="563">R117/100000</f>
        <v>347.71463541832281</v>
      </c>
      <c r="T117">
        <f t="shared" ref="T117" si="564">S117/1000</f>
        <v>0.34771463541832281</v>
      </c>
    </row>
    <row r="118" spans="1:20" x14ac:dyDescent="0.25">
      <c r="A118" s="5">
        <v>44475</v>
      </c>
      <c r="B118">
        <v>58.84</v>
      </c>
      <c r="C118">
        <v>62</v>
      </c>
      <c r="D118">
        <v>53.88</v>
      </c>
      <c r="E118">
        <v>56.77</v>
      </c>
      <c r="F118">
        <v>5000060.6900000004</v>
      </c>
      <c r="G118">
        <v>56.77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-0.28817733990147748</v>
      </c>
      <c r="Q118">
        <f t="shared" ref="Q118" si="566">F118*P118</f>
        <v>-1440904.1889901462</v>
      </c>
      <c r="R118">
        <f t="shared" ref="R118" si="567">R119+Q118</f>
        <v>35439653.471766919</v>
      </c>
      <c r="S118">
        <f t="shared" ref="S118" si="568">R118/100000</f>
        <v>354.39653471766917</v>
      </c>
      <c r="T118">
        <f t="shared" ref="T118" si="569">S118/1000</f>
        <v>0.35439653471766919</v>
      </c>
    </row>
    <row r="119" spans="1:20" x14ac:dyDescent="0.25">
      <c r="A119" s="5">
        <v>44474</v>
      </c>
      <c r="B119">
        <v>55.95</v>
      </c>
      <c r="C119">
        <v>59.39</v>
      </c>
      <c r="D119">
        <v>54.66</v>
      </c>
      <c r="E119">
        <v>58.84</v>
      </c>
      <c r="F119">
        <v>2336820.89</v>
      </c>
      <c r="G119">
        <v>58.84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0.76744186046511764</v>
      </c>
      <c r="Q119">
        <f t="shared" ref="Q119" si="571">F119*P119</f>
        <v>1793374.1713953521</v>
      </c>
      <c r="R119">
        <f t="shared" ref="R119" si="572">R120+Q119</f>
        <v>36880557.660757065</v>
      </c>
      <c r="S119">
        <f t="shared" ref="S119" si="573">R119/100000</f>
        <v>368.80557660757063</v>
      </c>
      <c r="T119">
        <f t="shared" ref="T119" si="574">S119/1000</f>
        <v>0.36880557660757063</v>
      </c>
    </row>
    <row r="120" spans="1:20" x14ac:dyDescent="0.25">
      <c r="A120" s="5">
        <v>44473</v>
      </c>
      <c r="B120">
        <v>56.72</v>
      </c>
      <c r="C120">
        <v>57.1</v>
      </c>
      <c r="D120">
        <v>52.66</v>
      </c>
      <c r="E120">
        <v>55.96</v>
      </c>
      <c r="F120">
        <v>2186289.09</v>
      </c>
      <c r="G120">
        <v>55.96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0.48648648648648679</v>
      </c>
      <c r="Q120">
        <f t="shared" ref="Q120" si="576">F120*P120</f>
        <v>1063600.0978378383</v>
      </c>
      <c r="R120">
        <f t="shared" ref="R120" si="577">R121+Q120</f>
        <v>35087183.489361711</v>
      </c>
      <c r="S120">
        <f t="shared" ref="S120" si="578">R120/100000</f>
        <v>350.87183489361712</v>
      </c>
      <c r="T120">
        <f t="shared" ref="T120" si="579">S120/1000</f>
        <v>0.35087183489361712</v>
      </c>
    </row>
    <row r="121" spans="1:20" x14ac:dyDescent="0.25">
      <c r="A121" s="5">
        <v>44472</v>
      </c>
      <c r="B121">
        <v>56.11</v>
      </c>
      <c r="C121">
        <v>58.75</v>
      </c>
      <c r="D121">
        <v>55.17</v>
      </c>
      <c r="E121">
        <v>56.85</v>
      </c>
      <c r="F121">
        <v>2162981.7200000002</v>
      </c>
      <c r="G121">
        <v>56.85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-6.145251396648016E-2</v>
      </c>
      <c r="Q121">
        <f t="shared" ref="Q121" si="581">F121*P121</f>
        <v>-132920.6643575413</v>
      </c>
      <c r="R121">
        <f t="shared" ref="R121" si="582">R122+Q121</f>
        <v>34023583.391523875</v>
      </c>
      <c r="S121">
        <f t="shared" ref="S121" si="583">R121/100000</f>
        <v>340.23583391523874</v>
      </c>
      <c r="T121">
        <f t="shared" ref="T121" si="584">S121/1000</f>
        <v>0.34023583391523876</v>
      </c>
    </row>
    <row r="122" spans="1:20" x14ac:dyDescent="0.25">
      <c r="A122" s="5">
        <v>44471</v>
      </c>
      <c r="B122">
        <v>55.27</v>
      </c>
      <c r="C122">
        <v>58.11</v>
      </c>
      <c r="D122">
        <v>53.34</v>
      </c>
      <c r="E122">
        <v>56.11</v>
      </c>
      <c r="F122">
        <v>2525877.73</v>
      </c>
      <c r="G122">
        <v>56.11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0.16142557651991543</v>
      </c>
      <c r="Q122">
        <f t="shared" ref="Q122" si="586">F122*P122</f>
        <v>407741.26878406527</v>
      </c>
      <c r="R122">
        <f t="shared" ref="R122" si="587">R123+Q122</f>
        <v>34156504.055881418</v>
      </c>
      <c r="S122">
        <f t="shared" ref="S122" si="588">R122/100000</f>
        <v>341.56504055881419</v>
      </c>
      <c r="T122">
        <f t="shared" ref="T122" si="589">S122/1000</f>
        <v>0.3415650405588142</v>
      </c>
    </row>
    <row r="123" spans="1:20" x14ac:dyDescent="0.25">
      <c r="A123" s="5">
        <v>44470</v>
      </c>
      <c r="B123">
        <v>51.69</v>
      </c>
      <c r="C123">
        <v>56.42</v>
      </c>
      <c r="D123">
        <v>51.01</v>
      </c>
      <c r="E123">
        <v>55.23</v>
      </c>
      <c r="F123">
        <v>2976124.88</v>
      </c>
      <c r="G123">
        <v>55.23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0.56007393715341813</v>
      </c>
      <c r="Q123">
        <f t="shared" ref="Q123" si="591">F123*P123</f>
        <v>1666849.9790018441</v>
      </c>
      <c r="R123">
        <f t="shared" ref="R123" si="592">R124+Q123</f>
        <v>33748762.78709735</v>
      </c>
      <c r="S123">
        <f t="shared" ref="S123" si="593">R123/100000</f>
        <v>337.48762787097348</v>
      </c>
      <c r="T123">
        <f t="shared" ref="T123" si="594">S123/1000</f>
        <v>0.33748762787097347</v>
      </c>
    </row>
    <row r="124" spans="1:20" x14ac:dyDescent="0.25">
      <c r="A124" s="5">
        <v>44469</v>
      </c>
      <c r="B124">
        <v>49.92</v>
      </c>
      <c r="C124">
        <v>52.87</v>
      </c>
      <c r="D124">
        <v>49.71</v>
      </c>
      <c r="E124">
        <v>51.68</v>
      </c>
      <c r="F124">
        <v>2173854.0299999998</v>
      </c>
      <c r="G124">
        <v>51.68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0.24683544303797531</v>
      </c>
      <c r="Q124">
        <f t="shared" ref="Q124" si="596">F124*P124</f>
        <v>536584.22259493801</v>
      </c>
      <c r="R124">
        <f t="shared" ref="R124" si="597">R125+Q124</f>
        <v>32081912.808095504</v>
      </c>
      <c r="S124">
        <f t="shared" ref="S124" si="598">R124/100000</f>
        <v>320.81912808095501</v>
      </c>
      <c r="T124">
        <f t="shared" ref="T124" si="599">S124/1000</f>
        <v>0.32081912808095503</v>
      </c>
    </row>
    <row r="125" spans="1:20" x14ac:dyDescent="0.25">
      <c r="A125" s="5">
        <v>44468</v>
      </c>
      <c r="B125">
        <v>48.14</v>
      </c>
      <c r="C125">
        <v>52.29</v>
      </c>
      <c r="D125">
        <v>47.97</v>
      </c>
      <c r="E125">
        <v>49.92</v>
      </c>
      <c r="F125">
        <v>2200770.62</v>
      </c>
      <c r="G125">
        <v>49.92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-9.7222222222220961E-2</v>
      </c>
      <c r="Q125">
        <f t="shared" ref="Q125" si="601">F125*P125</f>
        <v>-213963.81027777502</v>
      </c>
      <c r="R125">
        <f t="shared" ref="R125" si="602">R126+Q125</f>
        <v>31545328.585500564</v>
      </c>
      <c r="S125">
        <f t="shared" ref="S125" si="603">R125/100000</f>
        <v>315.45328585500562</v>
      </c>
      <c r="T125">
        <f t="shared" ref="T125" si="604">S125/1000</f>
        <v>0.31545328585500559</v>
      </c>
    </row>
    <row r="126" spans="1:20" x14ac:dyDescent="0.25">
      <c r="A126" s="5">
        <v>44467</v>
      </c>
      <c r="B126">
        <v>51.63</v>
      </c>
      <c r="C126">
        <v>53.14</v>
      </c>
      <c r="D126">
        <v>47.9</v>
      </c>
      <c r="E126">
        <v>48.14</v>
      </c>
      <c r="F126">
        <v>2613809.98</v>
      </c>
      <c r="G126">
        <v>48.14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-0.90839694656488479</v>
      </c>
      <c r="Q126">
        <f t="shared" ref="Q126" si="606">F126*P126</f>
        <v>-2374377.0047328225</v>
      </c>
      <c r="R126">
        <f t="shared" ref="R126" si="607">R127+Q126</f>
        <v>31759292.395778339</v>
      </c>
      <c r="S126">
        <f t="shared" ref="S126" si="608">R126/100000</f>
        <v>317.5929239577834</v>
      </c>
      <c r="T126">
        <f t="shared" ref="T126" si="609">S126/1000</f>
        <v>0.31759292395778338</v>
      </c>
    </row>
    <row r="127" spans="1:20" x14ac:dyDescent="0.25">
      <c r="A127" s="5">
        <v>44466</v>
      </c>
      <c r="B127">
        <v>55.83</v>
      </c>
      <c r="C127">
        <v>57.89</v>
      </c>
      <c r="D127">
        <v>51.58</v>
      </c>
      <c r="E127">
        <v>51.66</v>
      </c>
      <c r="F127">
        <v>2361995.16</v>
      </c>
      <c r="G127">
        <v>51.66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-0.97464342313787689</v>
      </c>
      <c r="Q127">
        <f t="shared" ref="Q127" si="611">F127*P127</f>
        <v>-2302103.0481774975</v>
      </c>
      <c r="R127">
        <f t="shared" ref="R127" si="612">R128+Q127</f>
        <v>34133669.40051116</v>
      </c>
      <c r="S127">
        <f t="shared" ref="S127" si="613">R127/100000</f>
        <v>341.33669400511161</v>
      </c>
      <c r="T127">
        <f t="shared" ref="T127" si="614">S127/1000</f>
        <v>0.34133669400511163</v>
      </c>
    </row>
    <row r="128" spans="1:20" x14ac:dyDescent="0.25">
      <c r="A128" s="5">
        <v>44465</v>
      </c>
      <c r="B128">
        <v>54.85</v>
      </c>
      <c r="C128">
        <v>59.57</v>
      </c>
      <c r="D128">
        <v>49.79</v>
      </c>
      <c r="E128">
        <v>55.82</v>
      </c>
      <c r="F128">
        <v>5771832.8600000003</v>
      </c>
      <c r="G128">
        <v>55.82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0.23312883435582832</v>
      </c>
      <c r="Q128">
        <f t="shared" ref="Q128" si="616">F128*P128</f>
        <v>1345580.6667484669</v>
      </c>
      <c r="R128">
        <f t="shared" ref="R128" si="617">R129+Q128</f>
        <v>36435772.448688656</v>
      </c>
      <c r="S128">
        <f t="shared" ref="S128" si="618">R128/100000</f>
        <v>364.35772448688658</v>
      </c>
      <c r="T128">
        <f t="shared" ref="T128" si="619">S128/1000</f>
        <v>0.36435772448688658</v>
      </c>
    </row>
    <row r="129" spans="1:20" x14ac:dyDescent="0.25">
      <c r="A129" s="5">
        <v>44464</v>
      </c>
      <c r="B129">
        <v>52.9</v>
      </c>
      <c r="C129">
        <v>56.14</v>
      </c>
      <c r="D129">
        <v>50.5</v>
      </c>
      <c r="E129">
        <v>54.84</v>
      </c>
      <c r="F129">
        <v>2787999.72</v>
      </c>
      <c r="G129">
        <v>54.84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0.53900709219858256</v>
      </c>
      <c r="Q129">
        <f t="shared" ref="Q129" si="621">F129*P129</f>
        <v>1502751.6221276624</v>
      </c>
      <c r="R129">
        <f t="shared" ref="R129" si="622">R130+Q129</f>
        <v>35090191.781940192</v>
      </c>
      <c r="S129">
        <f t="shared" ref="S129" si="623">R129/100000</f>
        <v>350.90191781940194</v>
      </c>
      <c r="T129">
        <f t="shared" ref="T129" si="624">S129/1000</f>
        <v>0.35090191781940194</v>
      </c>
    </row>
    <row r="130" spans="1:20" x14ac:dyDescent="0.25">
      <c r="A130" s="5">
        <v>44463</v>
      </c>
      <c r="B130">
        <v>57.61</v>
      </c>
      <c r="C130">
        <v>57.8</v>
      </c>
      <c r="D130">
        <v>49</v>
      </c>
      <c r="E130">
        <v>52.9</v>
      </c>
      <c r="F130">
        <v>4135726.78</v>
      </c>
      <c r="G130">
        <v>52.9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-0.11363636363636367</v>
      </c>
      <c r="Q130">
        <f t="shared" ref="Q130" si="626">F130*P130</f>
        <v>-469968.95227272739</v>
      </c>
      <c r="R130">
        <f t="shared" ref="R130" si="627">R131+Q130</f>
        <v>33587440.159812532</v>
      </c>
      <c r="S130">
        <f t="shared" ref="S130" si="628">R130/100000</f>
        <v>335.8744015981253</v>
      </c>
      <c r="T130">
        <f t="shared" ref="T130" si="629">S130/1000</f>
        <v>0.33587440159812532</v>
      </c>
    </row>
    <row r="131" spans="1:20" x14ac:dyDescent="0.25">
      <c r="A131" s="5">
        <v>44462</v>
      </c>
      <c r="B131">
        <v>55.77</v>
      </c>
      <c r="C131">
        <v>60.95</v>
      </c>
      <c r="D131">
        <v>54.49</v>
      </c>
      <c r="E131">
        <v>57.6</v>
      </c>
      <c r="F131">
        <v>5448308.5199999996</v>
      </c>
      <c r="G131">
        <v>57.6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-3.7151702786378013E-2</v>
      </c>
      <c r="Q131">
        <f t="shared" ref="Q131" si="631">F131*P131</f>
        <v>-202413.93882353106</v>
      </c>
      <c r="R131">
        <f t="shared" ref="R131" si="632">R132+Q131</f>
        <v>34057409.11208526</v>
      </c>
      <c r="S131">
        <f t="shared" ref="S131" si="633">R131/100000</f>
        <v>340.57409112085259</v>
      </c>
      <c r="T131">
        <f t="shared" ref="T131" si="634">S131/1000</f>
        <v>0.34057409112085257</v>
      </c>
    </row>
    <row r="132" spans="1:20" x14ac:dyDescent="0.25">
      <c r="A132" s="5">
        <v>44461</v>
      </c>
      <c r="B132">
        <v>51.4</v>
      </c>
      <c r="C132">
        <v>58.23</v>
      </c>
      <c r="D132">
        <v>50.65</v>
      </c>
      <c r="E132">
        <v>55.78</v>
      </c>
      <c r="F132">
        <v>3644726.97</v>
      </c>
      <c r="G132">
        <v>55.78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0.35356200527704584</v>
      </c>
      <c r="Q132">
        <f t="shared" ref="Q132" si="636">F132*P132</f>
        <v>1288636.9762005315</v>
      </c>
      <c r="R132">
        <f t="shared" ref="R132" si="637">R133+Q132</f>
        <v>34259823.050908789</v>
      </c>
      <c r="S132">
        <f t="shared" ref="S132" si="638">R132/100000</f>
        <v>342.5982305090879</v>
      </c>
      <c r="T132">
        <f t="shared" ref="T132" si="639">S132/1000</f>
        <v>0.34259823050908789</v>
      </c>
    </row>
    <row r="133" spans="1:20" x14ac:dyDescent="0.25">
      <c r="A133" s="5">
        <v>44460</v>
      </c>
      <c r="B133">
        <v>52.97</v>
      </c>
      <c r="C133">
        <v>58.53</v>
      </c>
      <c r="D133">
        <v>48.1</v>
      </c>
      <c r="E133">
        <v>51.37</v>
      </c>
      <c r="F133">
        <v>4741922.8600000003</v>
      </c>
      <c r="G133">
        <v>51.37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-0.37296260786193747</v>
      </c>
      <c r="Q133">
        <f t="shared" ref="Q133" si="641">F133*P133</f>
        <v>-1768559.9161457371</v>
      </c>
      <c r="R133">
        <f t="shared" ref="R133" si="642">R134+Q133</f>
        <v>32971186.074708257</v>
      </c>
      <c r="S133">
        <f t="shared" ref="S133" si="643">R133/100000</f>
        <v>329.7118607470826</v>
      </c>
      <c r="T133">
        <f t="shared" ref="T133" si="644">S133/1000</f>
        <v>0.32971186074708259</v>
      </c>
    </row>
    <row r="134" spans="1:20" x14ac:dyDescent="0.25">
      <c r="A134" s="5">
        <v>44459</v>
      </c>
      <c r="B134">
        <v>60.77</v>
      </c>
      <c r="C134">
        <v>60.93</v>
      </c>
      <c r="D134">
        <v>54</v>
      </c>
      <c r="E134">
        <v>55.46</v>
      </c>
      <c r="F134">
        <v>1696882.84</v>
      </c>
      <c r="G134">
        <v>55.46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-0.5786435786435784</v>
      </c>
      <c r="Q134">
        <f t="shared" ref="Q134" si="646">F134*P134</f>
        <v>-981890.35907647875</v>
      </c>
      <c r="R134">
        <f t="shared" ref="R134" si="647">R135+Q134</f>
        <v>34739745.990853995</v>
      </c>
      <c r="S134">
        <f t="shared" ref="S134" si="648">R134/100000</f>
        <v>347.39745990853993</v>
      </c>
      <c r="T134">
        <f t="shared" ref="T134" si="649">S134/1000</f>
        <v>0.34739745990853993</v>
      </c>
    </row>
    <row r="135" spans="1:20" x14ac:dyDescent="0.25">
      <c r="A135" s="5">
        <v>44458</v>
      </c>
      <c r="B135">
        <v>63.73</v>
      </c>
      <c r="C135">
        <v>64.069999999999993</v>
      </c>
      <c r="D135">
        <v>59.84</v>
      </c>
      <c r="E135">
        <v>60.79</v>
      </c>
      <c r="F135">
        <v>1446062.4</v>
      </c>
      <c r="G135">
        <v>60.79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-0.55082742316784961</v>
      </c>
      <c r="Q135">
        <f t="shared" ref="Q135" si="651">F135*P135</f>
        <v>-796530.82553191611</v>
      </c>
      <c r="R135">
        <f t="shared" ref="R135" si="652">R136+Q135</f>
        <v>35721636.349930473</v>
      </c>
      <c r="S135">
        <f t="shared" ref="S135" si="653">R135/100000</f>
        <v>357.21636349930475</v>
      </c>
      <c r="T135">
        <f t="shared" ref="T135" si="654">S135/1000</f>
        <v>0.35721636349930475</v>
      </c>
    </row>
    <row r="136" spans="1:20" x14ac:dyDescent="0.25">
      <c r="A136" s="5">
        <v>44457</v>
      </c>
      <c r="B136">
        <v>61.59</v>
      </c>
      <c r="C136">
        <v>67.739999999999995</v>
      </c>
      <c r="D136">
        <v>61.31</v>
      </c>
      <c r="E136">
        <v>63.73</v>
      </c>
      <c r="F136">
        <v>2269756.41</v>
      </c>
      <c r="G136">
        <v>63.73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-0.24727838258164933</v>
      </c>
      <c r="Q136">
        <f t="shared" ref="Q136" si="656">F136*P136</f>
        <v>-561261.69391913095</v>
      </c>
      <c r="R136">
        <f t="shared" ref="R136" si="657">R137+Q136</f>
        <v>36518167.175462388</v>
      </c>
      <c r="S136">
        <f t="shared" ref="S136" si="658">R136/100000</f>
        <v>365.18167175462389</v>
      </c>
      <c r="T136">
        <f t="shared" ref="T136" si="659">S136/1000</f>
        <v>0.3651816717546239</v>
      </c>
    </row>
    <row r="137" spans="1:20" x14ac:dyDescent="0.25">
      <c r="A137" s="5">
        <v>44456</v>
      </c>
      <c r="B137">
        <v>67.430000000000007</v>
      </c>
      <c r="C137">
        <v>68.2</v>
      </c>
      <c r="D137">
        <v>58.51</v>
      </c>
      <c r="E137">
        <v>61.57</v>
      </c>
      <c r="F137">
        <v>2636310.92</v>
      </c>
      <c r="G137">
        <v>61.57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-0.36842105263157882</v>
      </c>
      <c r="Q137">
        <f t="shared" ref="Q137" si="661">F137*P137</f>
        <v>-971272.44421052595</v>
      </c>
      <c r="R137">
        <f t="shared" ref="R137" si="662">R138+Q137</f>
        <v>37079428.869381517</v>
      </c>
      <c r="S137">
        <f t="shared" ref="S137" si="663">R137/100000</f>
        <v>370.79428869381519</v>
      </c>
      <c r="T137">
        <f t="shared" ref="T137" si="664">S137/1000</f>
        <v>0.3707942886938152</v>
      </c>
    </row>
    <row r="138" spans="1:20" x14ac:dyDescent="0.25">
      <c r="A138" s="5">
        <v>44455</v>
      </c>
      <c r="B138">
        <v>71.150000000000006</v>
      </c>
      <c r="C138">
        <v>71.599999999999994</v>
      </c>
      <c r="D138">
        <v>65.95</v>
      </c>
      <c r="E138">
        <v>67.45</v>
      </c>
      <c r="F138">
        <v>1470400.61</v>
      </c>
      <c r="G138">
        <v>67.45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-0.46902654867256555</v>
      </c>
      <c r="Q138">
        <f t="shared" ref="Q138" si="666">F138*P138</f>
        <v>-689656.9232743351</v>
      </c>
      <c r="R138">
        <f t="shared" ref="R138" si="667">R139+Q138</f>
        <v>38050701.313592046</v>
      </c>
      <c r="S138">
        <f t="shared" ref="S138" si="668">R138/100000</f>
        <v>380.50701313592049</v>
      </c>
      <c r="T138">
        <f t="shared" ref="T138" si="669">S138/1000</f>
        <v>0.3805070131359205</v>
      </c>
    </row>
    <row r="139" spans="1:20" x14ac:dyDescent="0.25">
      <c r="A139" s="5">
        <v>44454</v>
      </c>
      <c r="B139">
        <v>67.66</v>
      </c>
      <c r="C139">
        <v>75</v>
      </c>
      <c r="D139">
        <v>66.66</v>
      </c>
      <c r="E139">
        <v>71.13</v>
      </c>
      <c r="F139">
        <v>2333873.88</v>
      </c>
      <c r="G139">
        <v>71.13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7.1942446043164757E-2</v>
      </c>
      <c r="Q139">
        <f t="shared" ref="Q139" si="671">F139*P139</f>
        <v>167904.59568345157</v>
      </c>
      <c r="R139">
        <f t="shared" ref="R139" si="672">R140+Q139</f>
        <v>38740358.236866385</v>
      </c>
      <c r="S139">
        <f t="shared" ref="S139" si="673">R139/100000</f>
        <v>387.40358236866382</v>
      </c>
      <c r="T139">
        <f t="shared" ref="T139" si="674">S139/1000</f>
        <v>0.38740358236866385</v>
      </c>
    </row>
    <row r="140" spans="1:20" x14ac:dyDescent="0.25">
      <c r="A140" s="5">
        <v>44453</v>
      </c>
      <c r="B140">
        <v>68.38</v>
      </c>
      <c r="C140">
        <v>69.25</v>
      </c>
      <c r="D140">
        <v>65.56</v>
      </c>
      <c r="E140">
        <v>67.680000000000007</v>
      </c>
      <c r="F140">
        <v>2120491.11</v>
      </c>
      <c r="G140">
        <v>67.680000000000007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0.14905149051490832</v>
      </c>
      <c r="Q140">
        <f t="shared" ref="Q140" si="676">F140*P140</f>
        <v>316062.36056911241</v>
      </c>
      <c r="R140">
        <f t="shared" ref="R140" si="677">R141+Q140</f>
        <v>38572453.641182937</v>
      </c>
      <c r="S140">
        <f t="shared" ref="S140" si="678">R140/100000</f>
        <v>385.72453641182938</v>
      </c>
      <c r="T140">
        <f t="shared" ref="T140" si="679">S140/1000</f>
        <v>0.38572453641182936</v>
      </c>
    </row>
    <row r="141" spans="1:20" x14ac:dyDescent="0.25">
      <c r="A141" s="5">
        <v>44452</v>
      </c>
      <c r="B141">
        <v>73.62</v>
      </c>
      <c r="C141">
        <v>74.19</v>
      </c>
      <c r="D141">
        <v>64.52</v>
      </c>
      <c r="E141">
        <v>68.38</v>
      </c>
      <c r="F141">
        <v>3945874.19</v>
      </c>
      <c r="G141">
        <v>68.38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-0.20165460186142736</v>
      </c>
      <c r="Q141">
        <f t="shared" ref="Q141" si="681">F141*P141</f>
        <v>-795703.68877973221</v>
      </c>
      <c r="R141">
        <f t="shared" ref="R141" si="682">R142+Q141</f>
        <v>38256391.280613825</v>
      </c>
      <c r="S141">
        <f t="shared" ref="S141" si="683">R141/100000</f>
        <v>382.56391280613826</v>
      </c>
      <c r="T141">
        <f t="shared" ref="T141" si="684">S141/1000</f>
        <v>0.38256391280613827</v>
      </c>
    </row>
    <row r="142" spans="1:20" x14ac:dyDescent="0.25">
      <c r="A142" s="5">
        <v>44451</v>
      </c>
      <c r="B142">
        <v>72.569999999999993</v>
      </c>
      <c r="C142">
        <v>78.11</v>
      </c>
      <c r="D142">
        <v>70.849999999999994</v>
      </c>
      <c r="E142">
        <v>73.59</v>
      </c>
      <c r="F142">
        <v>2762411.71</v>
      </c>
      <c r="G142">
        <v>73.59</v>
      </c>
      <c r="L142" t="s">
        <v>8</v>
      </c>
      <c r="M142" t="s">
        <v>7</v>
      </c>
      <c r="N142" t="s">
        <v>8</v>
      </c>
      <c r="P142">
        <f t="shared" ref="P142" si="685">IF(C142=D142,0,((E142-D142)-(C142-E142))/(C142-D142))</f>
        <v>-0.24517906336087958</v>
      </c>
      <c r="Q142">
        <f t="shared" ref="Q142" si="686">F142*P142</f>
        <v>-677285.51567492564</v>
      </c>
      <c r="R142">
        <f t="shared" ref="R142" si="687">R143+Q142</f>
        <v>39052094.969393559</v>
      </c>
      <c r="S142">
        <f t="shared" ref="S142" si="688">R142/100000</f>
        <v>390.52094969393556</v>
      </c>
      <c r="T142">
        <f t="shared" ref="T142" si="689">S142/1000</f>
        <v>0.39052094969393558</v>
      </c>
    </row>
    <row r="143" spans="1:20" x14ac:dyDescent="0.25">
      <c r="A143" s="5">
        <v>44450</v>
      </c>
      <c r="B143">
        <v>72.8</v>
      </c>
      <c r="C143">
        <v>77.209999999999994</v>
      </c>
      <c r="D143">
        <v>71.81</v>
      </c>
      <c r="E143">
        <v>72.569999999999993</v>
      </c>
      <c r="F143">
        <v>3063046.79</v>
      </c>
      <c r="G143">
        <v>72.569999999999993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-0.71851851851852144</v>
      </c>
      <c r="Q143">
        <f t="shared" ref="Q143" si="691">F143*P143</f>
        <v>-2200855.8417037125</v>
      </c>
      <c r="R143">
        <f t="shared" ref="R143" si="692">R144+Q143</f>
        <v>39729380.485068485</v>
      </c>
      <c r="S143">
        <f t="shared" ref="S143" si="693">R143/100000</f>
        <v>397.29380485068486</v>
      </c>
      <c r="T143">
        <f t="shared" ref="T143" si="694">S143/1000</f>
        <v>0.39729380485068488</v>
      </c>
    </row>
    <row r="144" spans="1:20" x14ac:dyDescent="0.25">
      <c r="A144" s="5">
        <v>44449</v>
      </c>
      <c r="B144">
        <v>79.58</v>
      </c>
      <c r="C144">
        <v>83.71</v>
      </c>
      <c r="D144">
        <v>69.81</v>
      </c>
      <c r="E144">
        <v>72.8</v>
      </c>
      <c r="F144">
        <v>6660028.7199999997</v>
      </c>
      <c r="G144">
        <v>72.8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-0.56978417266187098</v>
      </c>
      <c r="Q144">
        <f t="shared" ref="Q144" si="696">F144*P144</f>
        <v>-3794778.9541294994</v>
      </c>
      <c r="R144">
        <f t="shared" ref="R144" si="697">R145+Q144</f>
        <v>41930236.326772198</v>
      </c>
      <c r="S144">
        <f t="shared" ref="S144" si="698">R144/100000</f>
        <v>419.302363267722</v>
      </c>
      <c r="T144">
        <f t="shared" ref="T144" si="699">S144/1000</f>
        <v>0.41930236326772202</v>
      </c>
    </row>
    <row r="145" spans="1:20" x14ac:dyDescent="0.25">
      <c r="A145" s="5">
        <v>44448</v>
      </c>
      <c r="B145">
        <v>76.260000000000005</v>
      </c>
      <c r="C145">
        <v>85.74</v>
      </c>
      <c r="D145">
        <v>73.17</v>
      </c>
      <c r="E145">
        <v>79.569999999999993</v>
      </c>
      <c r="F145">
        <v>11253437.323000001</v>
      </c>
      <c r="G145">
        <v>79.569999999999993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1.8297533810659499E-2</v>
      </c>
      <c r="Q145">
        <f t="shared" ref="Q145" si="701">F145*P145</f>
        <v>205910.14990373002</v>
      </c>
      <c r="R145">
        <f t="shared" ref="R145" si="702">R146+Q145</f>
        <v>45725015.2809017</v>
      </c>
      <c r="S145">
        <f t="shared" ref="S145" si="703">R145/100000</f>
        <v>457.25015280901698</v>
      </c>
      <c r="T145">
        <f t="shared" ref="T145" si="704">S145/1000</f>
        <v>0.45725015280901699</v>
      </c>
    </row>
    <row r="146" spans="1:20" x14ac:dyDescent="0.25">
      <c r="A146" s="5">
        <v>44447</v>
      </c>
      <c r="B146">
        <v>71.13</v>
      </c>
      <c r="C146">
        <v>79</v>
      </c>
      <c r="D146">
        <v>61.57</v>
      </c>
      <c r="E146">
        <v>76.27</v>
      </c>
      <c r="F146">
        <v>8618658.7899999991</v>
      </c>
      <c r="G146">
        <v>76.27</v>
      </c>
      <c r="L146" t="s">
        <v>7</v>
      </c>
      <c r="M146" t="s">
        <v>7</v>
      </c>
      <c r="N146" t="s">
        <v>8</v>
      </c>
      <c r="P146">
        <f t="shared" ref="P146" si="705">IF(C146=D146,0,((E146-D146)-(C146-E146))/(C146-D146))</f>
        <v>0.68674698795180678</v>
      </c>
      <c r="Q146">
        <f t="shared" ref="Q146" si="706">F146*P146</f>
        <v>5918837.9642168628</v>
      </c>
      <c r="R146">
        <f t="shared" ref="R146" si="707">R147+Q146</f>
        <v>45519105.130997971</v>
      </c>
      <c r="S146">
        <f t="shared" ref="S146" si="708">R146/100000</f>
        <v>455.19105130997968</v>
      </c>
      <c r="T146">
        <f t="shared" ref="T146" si="709">S146/1000</f>
        <v>0.45519105130997967</v>
      </c>
    </row>
    <row r="147" spans="1:20" x14ac:dyDescent="0.25">
      <c r="A147" s="5">
        <v>44446</v>
      </c>
      <c r="B147">
        <v>73.36</v>
      </c>
      <c r="C147">
        <v>83.5</v>
      </c>
      <c r="D147">
        <v>56.68</v>
      </c>
      <c r="E147">
        <v>71.11</v>
      </c>
      <c r="F147">
        <v>14341732.530999999</v>
      </c>
      <c r="G147">
        <v>71.11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7.6062639821029052E-2</v>
      </c>
      <c r="Q147">
        <f t="shared" ref="Q147" si="711">F147*P147</f>
        <v>1090870.0359149883</v>
      </c>
      <c r="R147">
        <f t="shared" ref="R147" si="712">R148+Q147</f>
        <v>39600267.166781105</v>
      </c>
      <c r="S147">
        <f t="shared" ref="S147" si="713">R147/100000</f>
        <v>396.00267166781106</v>
      </c>
      <c r="T147">
        <f t="shared" ref="T147" si="714">S147/1000</f>
        <v>0.39600267166781106</v>
      </c>
    </row>
    <row r="148" spans="1:20" x14ac:dyDescent="0.25">
      <c r="A148" s="5">
        <v>44445</v>
      </c>
      <c r="B148">
        <v>63.51</v>
      </c>
      <c r="C148">
        <v>77.5</v>
      </c>
      <c r="D148">
        <v>62.2</v>
      </c>
      <c r="E148">
        <v>73.349999999999994</v>
      </c>
      <c r="F148">
        <v>7789400.9519999996</v>
      </c>
      <c r="G148">
        <v>73.349999999999994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0.4575163398692802</v>
      </c>
      <c r="Q148">
        <f t="shared" ref="Q148" si="716">F148*P148</f>
        <v>3563778.2133333264</v>
      </c>
      <c r="R148">
        <f t="shared" ref="R148" si="717">R149+Q148</f>
        <v>38509397.130866118</v>
      </c>
      <c r="S148">
        <f t="shared" ref="S148" si="718">R148/100000</f>
        <v>385.0939713086612</v>
      </c>
      <c r="T148">
        <f t="shared" ref="T148" si="719">S148/1000</f>
        <v>0.38509397130866119</v>
      </c>
    </row>
    <row r="149" spans="1:20" x14ac:dyDescent="0.25">
      <c r="A149" s="5">
        <v>44444</v>
      </c>
      <c r="B149">
        <v>60.9</v>
      </c>
      <c r="C149">
        <v>65</v>
      </c>
      <c r="D149">
        <v>59.22</v>
      </c>
      <c r="E149">
        <v>63.53</v>
      </c>
      <c r="F149">
        <v>2245745.71</v>
      </c>
      <c r="G149">
        <v>63.53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0.49134948096885861</v>
      </c>
      <c r="Q149">
        <f t="shared" ref="Q149" si="721">F149*P149</f>
        <v>1103445.9889965409</v>
      </c>
      <c r="R149">
        <f t="shared" ref="R149" si="722">R150+Q149</f>
        <v>34945618.917532794</v>
      </c>
      <c r="S149">
        <f t="shared" ref="S149" si="723">R149/100000</f>
        <v>349.45618917532795</v>
      </c>
      <c r="T149">
        <f t="shared" ref="T149" si="724">S149/1000</f>
        <v>0.34945618917532795</v>
      </c>
    </row>
    <row r="150" spans="1:20" x14ac:dyDescent="0.25">
      <c r="A150" s="5">
        <v>44443</v>
      </c>
      <c r="B150">
        <v>63.68</v>
      </c>
      <c r="C150">
        <v>65.5</v>
      </c>
      <c r="D150">
        <v>60.59</v>
      </c>
      <c r="E150">
        <v>60.88</v>
      </c>
      <c r="F150">
        <v>3231325.27</v>
      </c>
      <c r="G150">
        <v>60.88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-0.88187372708757661</v>
      </c>
      <c r="Q150">
        <f t="shared" ref="Q150" si="726">F150*P150</f>
        <v>-2849620.8592871698</v>
      </c>
      <c r="R150">
        <f t="shared" ref="R150" si="727">R151+Q150</f>
        <v>33842172.928536251</v>
      </c>
      <c r="S150">
        <f t="shared" ref="S150" si="728">R150/100000</f>
        <v>338.42172928536252</v>
      </c>
      <c r="T150">
        <f t="shared" ref="T150" si="729">S150/1000</f>
        <v>0.33842172928536252</v>
      </c>
    </row>
    <row r="151" spans="1:20" x14ac:dyDescent="0.25">
      <c r="A151" s="5">
        <v>44442</v>
      </c>
      <c r="B151">
        <v>60.15</v>
      </c>
      <c r="C151">
        <v>68</v>
      </c>
      <c r="D151">
        <v>57.93</v>
      </c>
      <c r="E151">
        <v>63.67</v>
      </c>
      <c r="F151">
        <v>6125463.3499999996</v>
      </c>
      <c r="G151">
        <v>63.67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0.14001986097318805</v>
      </c>
      <c r="Q151">
        <f t="shared" ref="Q151" si="731">F151*P151</f>
        <v>857686.52666335867</v>
      </c>
      <c r="R151">
        <f t="shared" ref="R151" si="732">R152+Q151</f>
        <v>36691793.787823424</v>
      </c>
      <c r="S151">
        <f t="shared" ref="S151" si="733">R151/100000</f>
        <v>366.91793787823423</v>
      </c>
      <c r="T151">
        <f t="shared" ref="T151" si="734">S151/1000</f>
        <v>0.36691793787823423</v>
      </c>
    </row>
    <row r="152" spans="1:20" x14ac:dyDescent="0.25">
      <c r="A152" s="5">
        <v>44441</v>
      </c>
      <c r="B152">
        <v>65.14</v>
      </c>
      <c r="C152">
        <v>70.72</v>
      </c>
      <c r="D152">
        <v>59.11</v>
      </c>
      <c r="E152">
        <v>60.15</v>
      </c>
      <c r="F152">
        <v>10084503.313999999</v>
      </c>
      <c r="G152">
        <v>60.15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-0.82084409991386753</v>
      </c>
      <c r="Q152">
        <f t="shared" ref="Q152" si="736">F152*P152</f>
        <v>-8277805.0458587436</v>
      </c>
      <c r="R152">
        <f t="shared" ref="R152" si="737">R153+Q152</f>
        <v>35834107.261160068</v>
      </c>
      <c r="S152">
        <f t="shared" ref="S152" si="738">R152/100000</f>
        <v>358.34107261160068</v>
      </c>
      <c r="T152">
        <f t="shared" ref="T152" si="739">S152/1000</f>
        <v>0.3583410726116007</v>
      </c>
    </row>
    <row r="153" spans="1:20" x14ac:dyDescent="0.25">
      <c r="A153" s="5">
        <v>44440</v>
      </c>
      <c r="B153">
        <v>48.49</v>
      </c>
      <c r="C153">
        <v>66.58</v>
      </c>
      <c r="D153">
        <v>47.12</v>
      </c>
      <c r="E153">
        <v>65.14</v>
      </c>
      <c r="F153">
        <v>10913308.222999999</v>
      </c>
      <c r="G153">
        <v>65.14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0.85200411099691697</v>
      </c>
      <c r="Q153">
        <f t="shared" ref="Q153" si="741">F153*P153</f>
        <v>9298183.4705724586</v>
      </c>
      <c r="R153">
        <f t="shared" ref="R153" si="742">R154+Q153</f>
        <v>44111912.307018809</v>
      </c>
      <c r="S153">
        <f t="shared" ref="S153" si="743">R153/100000</f>
        <v>441.1191230701881</v>
      </c>
      <c r="T153">
        <f t="shared" ref="T153" si="744">S153/1000</f>
        <v>0.44111912307018808</v>
      </c>
    </row>
    <row r="154" spans="1:20" x14ac:dyDescent="0.25">
      <c r="A154" s="5">
        <v>44439</v>
      </c>
      <c r="B154">
        <v>46.28</v>
      </c>
      <c r="C154">
        <v>52.4</v>
      </c>
      <c r="D154">
        <v>45.09</v>
      </c>
      <c r="E154">
        <v>48.47</v>
      </c>
      <c r="F154">
        <v>3845412.41</v>
      </c>
      <c r="G154">
        <v>48.47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-7.5239398084815959E-2</v>
      </c>
      <c r="Q154">
        <f t="shared" ref="Q154" si="746">F154*P154</f>
        <v>-289326.51511628152</v>
      </c>
      <c r="R154">
        <f t="shared" ref="R154" si="747">R155+Q154</f>
        <v>34813728.836446352</v>
      </c>
      <c r="S154">
        <f t="shared" ref="S154" si="748">R154/100000</f>
        <v>348.13728836446353</v>
      </c>
      <c r="T154">
        <f t="shared" ref="T154" si="749">S154/1000</f>
        <v>0.3481372883644635</v>
      </c>
    </row>
    <row r="155" spans="1:20" x14ac:dyDescent="0.25">
      <c r="A155" s="5">
        <v>44438</v>
      </c>
      <c r="B155">
        <v>47.37</v>
      </c>
      <c r="C155">
        <v>49.2</v>
      </c>
      <c r="D155">
        <v>45.55</v>
      </c>
      <c r="E155">
        <v>46.29</v>
      </c>
      <c r="F155">
        <v>2097936.14</v>
      </c>
      <c r="G155">
        <v>46.29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-0.59452054794520504</v>
      </c>
      <c r="Q155">
        <f t="shared" ref="Q155" si="751">F155*P155</f>
        <v>-1247266.1435068485</v>
      </c>
      <c r="R155">
        <f t="shared" ref="R155" si="752">R156+Q155</f>
        <v>35103055.351562634</v>
      </c>
      <c r="S155">
        <f t="shared" ref="S155" si="753">R155/100000</f>
        <v>351.03055351562637</v>
      </c>
      <c r="T155">
        <f t="shared" ref="T155" si="754">S155/1000</f>
        <v>0.35103055351562634</v>
      </c>
    </row>
    <row r="156" spans="1:20" x14ac:dyDescent="0.25">
      <c r="A156" s="5">
        <v>44437</v>
      </c>
      <c r="B156">
        <v>51.16</v>
      </c>
      <c r="C156">
        <v>51.57</v>
      </c>
      <c r="D156">
        <v>46.85</v>
      </c>
      <c r="E156">
        <v>47.37</v>
      </c>
      <c r="F156">
        <v>5199413.82</v>
      </c>
      <c r="G156">
        <v>47.37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-0.77966101694915413</v>
      </c>
      <c r="Q156">
        <f t="shared" ref="Q156" si="756">F156*P156</f>
        <v>-4053780.2664406863</v>
      </c>
      <c r="R156">
        <f t="shared" ref="R156" si="757">R157+Q156</f>
        <v>36350321.495069481</v>
      </c>
      <c r="S156">
        <f t="shared" ref="S156" si="758">R156/100000</f>
        <v>363.50321495069483</v>
      </c>
      <c r="T156">
        <f t="shared" ref="T156" si="759">S156/1000</f>
        <v>0.36350321495069482</v>
      </c>
    </row>
    <row r="157" spans="1:20" x14ac:dyDescent="0.25">
      <c r="A157" s="5">
        <v>44436</v>
      </c>
      <c r="B157">
        <v>49.53</v>
      </c>
      <c r="C157">
        <v>54.1</v>
      </c>
      <c r="D157">
        <v>48</v>
      </c>
      <c r="E157">
        <v>51.15</v>
      </c>
      <c r="F157">
        <v>6118615.3509999998</v>
      </c>
      <c r="G157">
        <v>51.15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3.2786885245900933E-2</v>
      </c>
      <c r="Q157">
        <f t="shared" ref="Q157" si="761">F157*P157</f>
        <v>200610.33937704485</v>
      </c>
      <c r="R157">
        <f t="shared" ref="R157" si="762">R158+Q157</f>
        <v>40404101.761510171</v>
      </c>
      <c r="S157">
        <f t="shared" ref="S157" si="763">R157/100000</f>
        <v>404.04101761510174</v>
      </c>
      <c r="T157">
        <f t="shared" ref="T157" si="764">S157/1000</f>
        <v>0.40404101761510175</v>
      </c>
    </row>
    <row r="158" spans="1:20" x14ac:dyDescent="0.25">
      <c r="A158" s="5">
        <v>44435</v>
      </c>
      <c r="B158">
        <v>45.82</v>
      </c>
      <c r="C158">
        <v>49.58</v>
      </c>
      <c r="D158">
        <v>45</v>
      </c>
      <c r="E158">
        <v>49.52</v>
      </c>
      <c r="F158">
        <v>813726.32799999998</v>
      </c>
      <c r="G158">
        <v>49.52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0.97379912663755663</v>
      </c>
      <c r="Q158">
        <f t="shared" ref="Q158" si="766">F158*P158</f>
        <v>792405.98752838594</v>
      </c>
      <c r="R158">
        <f t="shared" ref="R158" si="767">R159+Q158</f>
        <v>40203491.422133125</v>
      </c>
      <c r="S158">
        <f t="shared" ref="S158" si="768">R158/100000</f>
        <v>402.03491422133123</v>
      </c>
      <c r="T158">
        <f t="shared" ref="T158" si="769">S158/1000</f>
        <v>0.40203491422133125</v>
      </c>
    </row>
    <row r="159" spans="1:20" x14ac:dyDescent="0.25">
      <c r="A159" s="5">
        <v>44434</v>
      </c>
      <c r="B159">
        <v>49.585999999999999</v>
      </c>
      <c r="C159">
        <v>50.68</v>
      </c>
      <c r="D159">
        <v>44.81</v>
      </c>
      <c r="E159">
        <v>45.84</v>
      </c>
      <c r="F159">
        <v>899105.46100000001</v>
      </c>
      <c r="G159">
        <v>45.84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-0.64906303236797225</v>
      </c>
      <c r="Q159">
        <f t="shared" ref="Q159" si="771">F159*P159</f>
        <v>-583576.11693526362</v>
      </c>
      <c r="R159">
        <f t="shared" ref="R159" si="772">R160+Q159</f>
        <v>39411085.434604742</v>
      </c>
      <c r="S159">
        <f t="shared" ref="S159" si="773">R159/100000</f>
        <v>394.1108543460474</v>
      </c>
      <c r="T159">
        <f t="shared" ref="T159" si="774">S159/1000</f>
        <v>0.39411085434604742</v>
      </c>
    </row>
    <row r="160" spans="1:20" x14ac:dyDescent="0.25">
      <c r="A160" s="5">
        <v>44433</v>
      </c>
      <c r="B160">
        <v>47.499000000000002</v>
      </c>
      <c r="C160">
        <v>50.124000000000002</v>
      </c>
      <c r="D160">
        <v>46.33</v>
      </c>
      <c r="E160">
        <v>49.58</v>
      </c>
      <c r="F160">
        <v>839410.47400000005</v>
      </c>
      <c r="G160">
        <v>49.58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0.71323141802846413</v>
      </c>
      <c r="Q160">
        <f t="shared" ref="Q160" si="776">F160*P160</f>
        <v>598693.92267896526</v>
      </c>
      <c r="R160">
        <f t="shared" ref="R160" si="777">R161+Q160</f>
        <v>39994661.551540002</v>
      </c>
      <c r="S160">
        <f t="shared" ref="S160" si="778">R160/100000</f>
        <v>399.94661551540003</v>
      </c>
      <c r="T160">
        <f t="shared" ref="T160" si="779">S160/1000</f>
        <v>0.39994661551540001</v>
      </c>
    </row>
    <row r="161" spans="1:20" x14ac:dyDescent="0.25">
      <c r="A161" s="5">
        <v>44432</v>
      </c>
      <c r="B161">
        <v>50.695999999999998</v>
      </c>
      <c r="C161">
        <v>51.045999999999999</v>
      </c>
      <c r="D161">
        <v>45.02</v>
      </c>
      <c r="E161">
        <v>47.465000000000003</v>
      </c>
      <c r="F161">
        <v>1092528.2250000001</v>
      </c>
      <c r="G161">
        <v>47.465000000000003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-0.18851642880849592</v>
      </c>
      <c r="Q161">
        <f t="shared" ref="Q161" si="781">F161*P161</f>
        <v>-205959.51934948494</v>
      </c>
      <c r="R161">
        <f t="shared" ref="R161" si="782">R162+Q161</f>
        <v>39395967.62886104</v>
      </c>
      <c r="S161">
        <f t="shared" ref="S161" si="783">R161/100000</f>
        <v>393.95967628861041</v>
      </c>
      <c r="T161">
        <f t="shared" ref="T161" si="784">S161/1000</f>
        <v>0.39395967628861039</v>
      </c>
    </row>
    <row r="162" spans="1:20" x14ac:dyDescent="0.25">
      <c r="A162" s="5">
        <v>44431</v>
      </c>
      <c r="B162">
        <v>50.225999999999999</v>
      </c>
      <c r="C162">
        <v>51.996000000000002</v>
      </c>
      <c r="D162">
        <v>50.162999999999997</v>
      </c>
      <c r="E162">
        <v>50.673000000000002</v>
      </c>
      <c r="F162">
        <v>1089901.6850000001</v>
      </c>
      <c r="G162">
        <v>50.673000000000002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-0.44353518821603538</v>
      </c>
      <c r="Q162">
        <f t="shared" ref="Q162" si="786">F162*P162</f>
        <v>-483409.74899344915</v>
      </c>
      <c r="R162">
        <f t="shared" ref="R162" si="787">R163+Q162</f>
        <v>39601927.148210526</v>
      </c>
      <c r="S162">
        <f t="shared" ref="S162" si="788">R162/100000</f>
        <v>396.01927148210524</v>
      </c>
      <c r="T162">
        <f t="shared" ref="T162" si="789">S162/1000</f>
        <v>0.39601927148210525</v>
      </c>
    </row>
    <row r="163" spans="1:20" x14ac:dyDescent="0.25">
      <c r="A163" s="5">
        <v>44430</v>
      </c>
      <c r="B163">
        <v>51.267000000000003</v>
      </c>
      <c r="C163">
        <v>51.95</v>
      </c>
      <c r="D163">
        <v>50.548999999999999</v>
      </c>
      <c r="E163">
        <v>51.033000000000001</v>
      </c>
      <c r="F163">
        <v>246184.98800000001</v>
      </c>
      <c r="G163">
        <v>51.033000000000001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-0.30906495360456732</v>
      </c>
      <c r="Q163">
        <f t="shared" ref="Q163" si="791">F163*P163</f>
        <v>-76087.15189436097</v>
      </c>
      <c r="R163">
        <f t="shared" ref="R163" si="792">R164+Q163</f>
        <v>40085336.897203974</v>
      </c>
      <c r="S163">
        <f t="shared" ref="S163" si="793">R163/100000</f>
        <v>400.85336897203973</v>
      </c>
      <c r="T163">
        <f t="shared" ref="T163" si="794">S163/1000</f>
        <v>0.40085336897203971</v>
      </c>
    </row>
    <row r="164" spans="1:20" x14ac:dyDescent="0.25">
      <c r="A164" s="5">
        <v>44429</v>
      </c>
      <c r="B164">
        <v>50.329000000000001</v>
      </c>
      <c r="C164">
        <v>52</v>
      </c>
      <c r="D164">
        <v>49.213999999999999</v>
      </c>
      <c r="E164">
        <v>51.228999999999999</v>
      </c>
      <c r="F164">
        <v>1635373.4680000001</v>
      </c>
      <c r="G164">
        <v>51.228999999999999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0.44651830581478791</v>
      </c>
      <c r="Q164">
        <f t="shared" ref="Q164" si="796">F164*P164</f>
        <v>730224.19030581426</v>
      </c>
      <c r="R164">
        <f t="shared" ref="R164" si="797">R165+Q164</f>
        <v>40161424.049098335</v>
      </c>
      <c r="S164">
        <f t="shared" ref="S164" si="798">R164/100000</f>
        <v>401.61424049098338</v>
      </c>
      <c r="T164">
        <f t="shared" ref="T164" si="799">S164/1000</f>
        <v>0.40161424049098338</v>
      </c>
    </row>
    <row r="165" spans="1:20" x14ac:dyDescent="0.25">
      <c r="A165" s="5">
        <v>44428</v>
      </c>
      <c r="B165">
        <v>49.767000000000003</v>
      </c>
      <c r="C165">
        <v>53.792000000000002</v>
      </c>
      <c r="D165">
        <v>47.72</v>
      </c>
      <c r="E165">
        <v>50.314999999999998</v>
      </c>
      <c r="F165">
        <v>6438529.5999999996</v>
      </c>
      <c r="G165">
        <v>50.314999999999998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-0.1452569169960482</v>
      </c>
      <c r="Q165">
        <f t="shared" ref="Q165" si="801">F165*P165</f>
        <v>-935240.95968379942</v>
      </c>
      <c r="R165">
        <f t="shared" ref="R165" si="802">R166+Q165</f>
        <v>39431199.858792521</v>
      </c>
      <c r="S165">
        <f t="shared" ref="S165" si="803">R165/100000</f>
        <v>394.31199858792519</v>
      </c>
      <c r="T165">
        <f t="shared" ref="T165" si="804">S165/1000</f>
        <v>0.39431199858792521</v>
      </c>
    </row>
    <row r="166" spans="1:20" x14ac:dyDescent="0.25">
      <c r="A166" s="5">
        <v>44427</v>
      </c>
      <c r="B166">
        <v>46.637</v>
      </c>
      <c r="C166">
        <v>49.875999999999998</v>
      </c>
      <c r="D166">
        <v>44.728000000000002</v>
      </c>
      <c r="E166">
        <v>49.755000000000003</v>
      </c>
      <c r="F166">
        <v>1190383.057</v>
      </c>
      <c r="G166">
        <v>49.755000000000003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0.95299145299145482</v>
      </c>
      <c r="Q166">
        <f t="shared" ref="Q166" si="806">F166*P166</f>
        <v>1134424.8791068399</v>
      </c>
      <c r="R166">
        <f t="shared" ref="R166" si="807">R167+Q166</f>
        <v>40366440.818476319</v>
      </c>
      <c r="S166">
        <f t="shared" ref="S166" si="808">R166/100000</f>
        <v>403.6644081847632</v>
      </c>
      <c r="T166">
        <f t="shared" ref="T166" si="809">S166/1000</f>
        <v>0.40366440818476318</v>
      </c>
    </row>
    <row r="167" spans="1:20" x14ac:dyDescent="0.25">
      <c r="A167" s="5">
        <v>44426</v>
      </c>
      <c r="B167">
        <v>44.722999999999999</v>
      </c>
      <c r="C167">
        <v>48.118000000000002</v>
      </c>
      <c r="D167">
        <v>43.543999999999997</v>
      </c>
      <c r="E167">
        <v>46.61</v>
      </c>
      <c r="F167">
        <v>1773413.4</v>
      </c>
      <c r="G167">
        <v>46.61</v>
      </c>
      <c r="L167" t="s">
        <v>8</v>
      </c>
      <c r="M167" t="s">
        <v>7</v>
      </c>
      <c r="N167" t="s">
        <v>8</v>
      </c>
      <c r="P167">
        <f t="shared" ref="P167" si="810">IF(C167=D167,0,((E167-D167)-(C167-E167))/(C167-D167))</f>
        <v>0.34062090074333146</v>
      </c>
      <c r="Q167">
        <f t="shared" ref="Q167" si="811">F167*P167</f>
        <v>604061.6696982939</v>
      </c>
      <c r="R167">
        <f t="shared" ref="R167" si="812">R168+Q167</f>
        <v>39232015.939369477</v>
      </c>
      <c r="S167">
        <f t="shared" ref="S167" si="813">R167/100000</f>
        <v>392.32015939369478</v>
      </c>
      <c r="T167">
        <f t="shared" ref="T167" si="814">S167/1000</f>
        <v>0.3923201593936948</v>
      </c>
    </row>
    <row r="168" spans="1:20" x14ac:dyDescent="0.25">
      <c r="A168" s="5">
        <v>44425</v>
      </c>
      <c r="B168">
        <v>47.042999999999999</v>
      </c>
      <c r="C168">
        <v>48.914999999999999</v>
      </c>
      <c r="D168">
        <v>43</v>
      </c>
      <c r="E168">
        <v>44.71</v>
      </c>
      <c r="F168">
        <v>4920329.517</v>
      </c>
      <c r="G168">
        <v>44.71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-0.42180896027049836</v>
      </c>
      <c r="Q168">
        <f t="shared" ref="Q168" si="816">F168*P168</f>
        <v>-2075439.0777540135</v>
      </c>
      <c r="R168">
        <f t="shared" ref="R168" si="817">R169+Q168</f>
        <v>38627954.269671187</v>
      </c>
      <c r="S168">
        <f t="shared" ref="S168" si="818">R168/100000</f>
        <v>386.27954269671187</v>
      </c>
      <c r="T168">
        <f t="shared" ref="T168" si="819">S168/1000</f>
        <v>0.38627954269671189</v>
      </c>
    </row>
    <row r="169" spans="1:20" x14ac:dyDescent="0.25">
      <c r="A169" s="5">
        <v>44424</v>
      </c>
      <c r="B169">
        <v>51.415999999999997</v>
      </c>
      <c r="C169">
        <v>53.491</v>
      </c>
      <c r="D169">
        <v>44.92</v>
      </c>
      <c r="E169">
        <v>47.042999999999999</v>
      </c>
      <c r="F169">
        <v>5053112.5109999999</v>
      </c>
      <c r="G169">
        <v>47.042999999999999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-0.50460856376152186</v>
      </c>
      <c r="Q169">
        <f t="shared" ref="Q169" si="821">F169*P169</f>
        <v>-2549843.8467010874</v>
      </c>
      <c r="R169">
        <f t="shared" ref="R169" si="822">R170+Q169</f>
        <v>40703393.3474252</v>
      </c>
      <c r="S169">
        <f t="shared" ref="S169" si="823">R169/100000</f>
        <v>407.03393347425202</v>
      </c>
      <c r="T169">
        <f t="shared" ref="T169" si="824">S169/1000</f>
        <v>0.40703393347425204</v>
      </c>
    </row>
    <row r="170" spans="1:20" x14ac:dyDescent="0.25">
      <c r="A170" s="5">
        <v>44423</v>
      </c>
      <c r="B170">
        <v>50.155000000000001</v>
      </c>
      <c r="C170">
        <v>52.012999999999998</v>
      </c>
      <c r="D170">
        <v>47</v>
      </c>
      <c r="E170">
        <v>51.411000000000001</v>
      </c>
      <c r="F170">
        <v>1030538.795</v>
      </c>
      <c r="G170">
        <v>51.411000000000001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0.75982445641332652</v>
      </c>
      <c r="Q170">
        <f t="shared" ref="Q170" si="826">F170*P170</f>
        <v>783028.57972371962</v>
      </c>
      <c r="R170">
        <f t="shared" ref="R170" si="827">R171+Q170</f>
        <v>43253237.194126286</v>
      </c>
      <c r="S170">
        <f t="shared" ref="S170" si="828">R170/100000</f>
        <v>432.53237194126285</v>
      </c>
      <c r="T170">
        <f t="shared" ref="T170" si="829">S170/1000</f>
        <v>0.43253237194126287</v>
      </c>
    </row>
    <row r="171" spans="1:20" x14ac:dyDescent="0.25">
      <c r="A171" s="5">
        <v>44422</v>
      </c>
      <c r="B171">
        <v>50.606000000000002</v>
      </c>
      <c r="C171">
        <v>50.664999999999999</v>
      </c>
      <c r="D171">
        <v>46.747</v>
      </c>
      <c r="E171">
        <v>50.155000000000001</v>
      </c>
      <c r="F171">
        <v>3863713.8760000002</v>
      </c>
      <c r="G171">
        <v>50.155000000000001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0.73966309341500858</v>
      </c>
      <c r="Q171">
        <f t="shared" ref="Q171" si="831">F171*P171</f>
        <v>2857846.5575926532</v>
      </c>
      <c r="R171">
        <f t="shared" ref="R171" si="832">R172+Q171</f>
        <v>42470208.614402562</v>
      </c>
      <c r="S171">
        <f t="shared" ref="S171" si="833">R171/100000</f>
        <v>424.7020861440256</v>
      </c>
      <c r="T171">
        <f t="shared" ref="T171" si="834">S171/1000</f>
        <v>0.4247020861440256</v>
      </c>
    </row>
    <row r="172" spans="1:20" x14ac:dyDescent="0.25">
      <c r="A172" s="5">
        <v>44421</v>
      </c>
      <c r="B172">
        <v>49.176000000000002</v>
      </c>
      <c r="C172">
        <v>54.16</v>
      </c>
      <c r="D172">
        <v>48.008000000000003</v>
      </c>
      <c r="E172">
        <v>50.634</v>
      </c>
      <c r="F172">
        <v>4836818.1009999998</v>
      </c>
      <c r="G172">
        <v>50.634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-0.14629388816644984</v>
      </c>
      <c r="Q172">
        <f t="shared" ref="Q172" si="836">F172*P172</f>
        <v>-707596.92634915421</v>
      </c>
      <c r="R172">
        <f t="shared" ref="R172" si="837">R173+Q172</f>
        <v>39612362.05680991</v>
      </c>
      <c r="S172">
        <f t="shared" ref="S172" si="838">R172/100000</f>
        <v>396.12362056809911</v>
      </c>
      <c r="T172">
        <f t="shared" ref="T172" si="839">S172/1000</f>
        <v>0.39612362056809913</v>
      </c>
    </row>
    <row r="173" spans="1:20" x14ac:dyDescent="0.25">
      <c r="A173" s="5">
        <v>44420</v>
      </c>
      <c r="B173">
        <v>50.463999999999999</v>
      </c>
      <c r="C173">
        <v>51.947000000000003</v>
      </c>
      <c r="D173">
        <v>46.737000000000002</v>
      </c>
      <c r="E173">
        <v>49.167999999999999</v>
      </c>
      <c r="F173">
        <v>444760.50900000002</v>
      </c>
      <c r="G173">
        <v>49.167999999999999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-6.6794625719770837E-2</v>
      </c>
      <c r="Q173">
        <f t="shared" ref="Q173" si="841">F173*P173</f>
        <v>-29707.611733589769</v>
      </c>
      <c r="R173">
        <f t="shared" ref="R173" si="842">R174+Q173</f>
        <v>40319958.983159065</v>
      </c>
      <c r="S173">
        <f t="shared" ref="S173" si="843">R173/100000</f>
        <v>403.19958983159063</v>
      </c>
      <c r="T173">
        <f t="shared" ref="T173" si="844">S173/1000</f>
        <v>0.40319958983159065</v>
      </c>
    </row>
    <row r="174" spans="1:20" x14ac:dyDescent="0.25">
      <c r="A174" s="5">
        <v>44419</v>
      </c>
      <c r="B174">
        <v>48.912999999999997</v>
      </c>
      <c r="C174">
        <v>52.741999999999997</v>
      </c>
      <c r="D174">
        <v>48.85</v>
      </c>
      <c r="E174">
        <v>50.463999999999999</v>
      </c>
      <c r="F174">
        <v>656450.99600000004</v>
      </c>
      <c r="G174">
        <v>50.463999999999999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-0.17060637204522153</v>
      </c>
      <c r="Q174">
        <f t="shared" ref="Q174" si="846">F174*P174</f>
        <v>-111994.72285303223</v>
      </c>
      <c r="R174">
        <f t="shared" ref="R174" si="847">R175+Q174</f>
        <v>40349666.594892658</v>
      </c>
      <c r="S174">
        <f t="shared" ref="S174" si="848">R174/100000</f>
        <v>403.49666594892659</v>
      </c>
      <c r="T174">
        <f t="shared" ref="T174" si="849">S174/1000</f>
        <v>0.40349666594892658</v>
      </c>
    </row>
    <row r="175" spans="1:20" x14ac:dyDescent="0.25">
      <c r="A175" s="5">
        <v>44418</v>
      </c>
      <c r="B175">
        <v>48.816000000000003</v>
      </c>
      <c r="C175">
        <v>50.3</v>
      </c>
      <c r="D175">
        <v>47.448999999999998</v>
      </c>
      <c r="E175">
        <v>48.884</v>
      </c>
      <c r="F175">
        <v>610290.61100000003</v>
      </c>
      <c r="G175">
        <v>48.884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6.6643283058595102E-3</v>
      </c>
      <c r="Q175">
        <f t="shared" ref="Q175" si="851">F175*P175</f>
        <v>4067.1769936875958</v>
      </c>
      <c r="R175">
        <f t="shared" ref="R175" si="852">R176+Q175</f>
        <v>40461661.317745693</v>
      </c>
      <c r="S175">
        <f t="shared" ref="S175" si="853">R175/100000</f>
        <v>404.61661317745694</v>
      </c>
      <c r="T175">
        <f t="shared" ref="T175" si="854">S175/1000</f>
        <v>0.40461661317745695</v>
      </c>
    </row>
    <row r="176" spans="1:20" x14ac:dyDescent="0.25">
      <c r="A176" s="5">
        <v>44417</v>
      </c>
      <c r="B176">
        <v>43.563000000000002</v>
      </c>
      <c r="C176">
        <v>49.74</v>
      </c>
      <c r="D176">
        <v>41.860999999999997</v>
      </c>
      <c r="E176">
        <v>48.779000000000003</v>
      </c>
      <c r="F176">
        <v>969587.59</v>
      </c>
      <c r="G176">
        <v>48.779000000000003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0.75606041375809163</v>
      </c>
      <c r="Q176">
        <f t="shared" ref="Q176" si="856">F176*P176</f>
        <v>733066.79447011091</v>
      </c>
      <c r="R176">
        <f t="shared" ref="R176" si="857">R177+Q176</f>
        <v>40457594.140752003</v>
      </c>
      <c r="S176">
        <f t="shared" ref="S176" si="858">R176/100000</f>
        <v>404.57594140752002</v>
      </c>
      <c r="T176">
        <f t="shared" ref="T176" si="859">S176/1000</f>
        <v>0.40457594140752001</v>
      </c>
    </row>
    <row r="177" spans="1:20" x14ac:dyDescent="0.25">
      <c r="A177" s="5">
        <v>44416</v>
      </c>
      <c r="B177">
        <v>44.814999999999998</v>
      </c>
      <c r="C177">
        <v>45.963999999999999</v>
      </c>
      <c r="D177">
        <v>42.552</v>
      </c>
      <c r="E177">
        <v>43.582999999999998</v>
      </c>
      <c r="F177">
        <v>468834.06400000001</v>
      </c>
      <c r="G177">
        <v>43.582999999999998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-0.39566236811254452</v>
      </c>
      <c r="Q177">
        <f t="shared" ref="Q177" si="861">F177*P177</f>
        <v>-185499.99601406825</v>
      </c>
      <c r="R177">
        <f t="shared" ref="R177" si="862">R178+Q177</f>
        <v>39724527.346281894</v>
      </c>
      <c r="S177">
        <f t="shared" ref="S177" si="863">R177/100000</f>
        <v>397.24527346281894</v>
      </c>
      <c r="T177">
        <f t="shared" ref="T177" si="864">S177/1000</f>
        <v>0.39724527346281896</v>
      </c>
    </row>
    <row r="178" spans="1:20" x14ac:dyDescent="0.25">
      <c r="A178" s="5">
        <v>44415</v>
      </c>
      <c r="B178">
        <v>41.232999999999997</v>
      </c>
      <c r="C178">
        <v>44.941000000000003</v>
      </c>
      <c r="D178">
        <v>40.762999999999998</v>
      </c>
      <c r="E178">
        <v>44.828000000000003</v>
      </c>
      <c r="F178">
        <v>571452.15899999999</v>
      </c>
      <c r="G178">
        <v>44.828000000000003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0.94590713259933012</v>
      </c>
      <c r="Q178">
        <f t="shared" ref="Q178" si="866">F178*P178</f>
        <v>540540.67313738645</v>
      </c>
      <c r="R178">
        <f t="shared" ref="R178" si="867">R179+Q178</f>
        <v>39910027.34229596</v>
      </c>
      <c r="S178">
        <f t="shared" ref="S178" si="868">R178/100000</f>
        <v>399.10027342295962</v>
      </c>
      <c r="T178">
        <f t="shared" ref="T178" si="869">S178/1000</f>
        <v>0.39910027342295962</v>
      </c>
    </row>
    <row r="179" spans="1:20" x14ac:dyDescent="0.25">
      <c r="A179" s="5">
        <v>44414</v>
      </c>
      <c r="B179">
        <v>39.933</v>
      </c>
      <c r="C179">
        <v>41.844999999999999</v>
      </c>
      <c r="D179">
        <v>39.264000000000003</v>
      </c>
      <c r="E179">
        <v>41.203000000000003</v>
      </c>
      <c r="F179">
        <v>459848.24200000003</v>
      </c>
      <c r="G179">
        <v>41.203000000000003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0.50251840371949097</v>
      </c>
      <c r="Q179">
        <f t="shared" ref="Q179" si="871">F179*P179</f>
        <v>231082.20452305418</v>
      </c>
      <c r="R179">
        <f t="shared" ref="R179" si="872">R180+Q179</f>
        <v>39369486.66915857</v>
      </c>
      <c r="S179">
        <f t="shared" ref="S179" si="873">R179/100000</f>
        <v>393.69486669158573</v>
      </c>
      <c r="T179">
        <f t="shared" ref="T179" si="874">S179/1000</f>
        <v>0.39369486669158571</v>
      </c>
    </row>
    <row r="180" spans="1:20" x14ac:dyDescent="0.25">
      <c r="A180" s="5">
        <v>44413</v>
      </c>
      <c r="B180">
        <v>37.819000000000003</v>
      </c>
      <c r="C180">
        <v>41</v>
      </c>
      <c r="D180">
        <v>35.718000000000004</v>
      </c>
      <c r="E180">
        <v>39.933999999999997</v>
      </c>
      <c r="F180">
        <v>275746.09600000002</v>
      </c>
      <c r="G180">
        <v>39.933999999999997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0.59636501325255464</v>
      </c>
      <c r="Q180">
        <f t="shared" ref="Q180" si="876">F180*P180</f>
        <v>164445.32419538021</v>
      </c>
      <c r="R180">
        <f t="shared" ref="R180" si="877">R181+Q180</f>
        <v>39138404.464635514</v>
      </c>
      <c r="S180">
        <f t="shared" ref="S180" si="878">R180/100000</f>
        <v>391.38404464635516</v>
      </c>
      <c r="T180">
        <f t="shared" ref="T180" si="879">S180/1000</f>
        <v>0.39138404464635518</v>
      </c>
    </row>
    <row r="181" spans="1:20" x14ac:dyDescent="0.25">
      <c r="A181" s="5">
        <v>44412</v>
      </c>
      <c r="B181">
        <v>35.987000000000002</v>
      </c>
      <c r="C181">
        <v>38.154000000000003</v>
      </c>
      <c r="D181">
        <v>34.411999999999999</v>
      </c>
      <c r="E181">
        <v>37.822000000000003</v>
      </c>
      <c r="F181">
        <v>471914.50400000002</v>
      </c>
      <c r="G181">
        <v>37.822000000000003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0.82255478353821465</v>
      </c>
      <c r="Q181">
        <f t="shared" ref="Q181" si="881">F181*P181</f>
        <v>388175.53268626396</v>
      </c>
      <c r="R181">
        <f t="shared" ref="R181" si="882">R182+Q181</f>
        <v>38973959.140440136</v>
      </c>
      <c r="S181">
        <f t="shared" ref="S181" si="883">R181/100000</f>
        <v>389.73959140440138</v>
      </c>
      <c r="T181">
        <f t="shared" ref="T181" si="884">S181/1000</f>
        <v>0.3897395914044014</v>
      </c>
    </row>
    <row r="182" spans="1:20" x14ac:dyDescent="0.25">
      <c r="A182" s="5">
        <v>44411</v>
      </c>
      <c r="B182">
        <v>38.191000000000003</v>
      </c>
      <c r="C182">
        <v>39.988999999999997</v>
      </c>
      <c r="D182">
        <v>35.290999999999997</v>
      </c>
      <c r="E182">
        <v>35.947000000000003</v>
      </c>
      <c r="F182">
        <v>501908.92499999999</v>
      </c>
      <c r="G182">
        <v>35.947000000000003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-0.72073222647935042</v>
      </c>
      <c r="Q182">
        <f t="shared" ref="Q182" si="886">F182*P182</f>
        <v>-361741.93700510729</v>
      </c>
      <c r="R182">
        <f t="shared" ref="R182" si="887">R183+Q182</f>
        <v>38585783.607753873</v>
      </c>
      <c r="S182">
        <f t="shared" ref="S182" si="888">R182/100000</f>
        <v>385.85783607753871</v>
      </c>
      <c r="T182">
        <f t="shared" ref="T182" si="889">S182/1000</f>
        <v>0.38585783607753871</v>
      </c>
    </row>
    <row r="183" spans="1:20" x14ac:dyDescent="0.25">
      <c r="A183" s="5">
        <v>44410</v>
      </c>
      <c r="B183">
        <v>34.906999999999996</v>
      </c>
      <c r="C183">
        <v>38.207999999999998</v>
      </c>
      <c r="D183">
        <v>34.335000000000001</v>
      </c>
      <c r="E183">
        <v>38.003</v>
      </c>
      <c r="F183">
        <v>383811.74</v>
      </c>
      <c r="G183">
        <v>38.003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0.8941389104053713</v>
      </c>
      <c r="Q183">
        <f t="shared" ref="Q183" si="891">F183*P183</f>
        <v>343181.01100438967</v>
      </c>
      <c r="R183">
        <f t="shared" ref="R183" si="892">R184+Q183</f>
        <v>38947525.544758983</v>
      </c>
      <c r="S183">
        <f t="shared" ref="S183" si="893">R183/100000</f>
        <v>389.4752554475898</v>
      </c>
      <c r="T183">
        <f t="shared" ref="T183" si="894">S183/1000</f>
        <v>0.38947525544758982</v>
      </c>
    </row>
    <row r="184" spans="1:20" x14ac:dyDescent="0.25">
      <c r="A184" s="5">
        <v>44409</v>
      </c>
      <c r="B184">
        <v>35.241</v>
      </c>
      <c r="C184">
        <v>36.305</v>
      </c>
      <c r="D184">
        <v>34.350999999999999</v>
      </c>
      <c r="E184">
        <v>34.927999999999997</v>
      </c>
      <c r="F184">
        <v>328726.68599999999</v>
      </c>
      <c r="G184">
        <v>34.927999999999997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-0.40941658137154757</v>
      </c>
      <c r="Q184">
        <f t="shared" ref="Q184" si="896">F184*P184</f>
        <v>-134586.15598771817</v>
      </c>
      <c r="R184">
        <f t="shared" ref="R184" si="897">R185+Q184</f>
        <v>38604344.533754595</v>
      </c>
      <c r="S184">
        <f t="shared" ref="S184" si="898">R184/100000</f>
        <v>386.04344533754596</v>
      </c>
      <c r="T184">
        <f t="shared" ref="T184" si="899">S184/1000</f>
        <v>0.38604344533754598</v>
      </c>
    </row>
    <row r="185" spans="1:20" x14ac:dyDescent="0.25">
      <c r="A185" s="5">
        <v>44408</v>
      </c>
      <c r="B185">
        <v>34.981000000000002</v>
      </c>
      <c r="C185">
        <v>35.609000000000002</v>
      </c>
      <c r="D185">
        <v>33.874000000000002</v>
      </c>
      <c r="E185">
        <v>35.148000000000003</v>
      </c>
      <c r="F185">
        <v>299346.54100000003</v>
      </c>
      <c r="G185">
        <v>35.148000000000003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0.46858789625360381</v>
      </c>
      <c r="Q185">
        <f t="shared" ref="Q185" si="901">F185*P185</f>
        <v>140270.16589798318</v>
      </c>
      <c r="R185">
        <f t="shared" ref="R185" si="902">R186+Q185</f>
        <v>38738930.689742312</v>
      </c>
      <c r="S185">
        <f t="shared" ref="S185" si="903">R185/100000</f>
        <v>387.38930689742313</v>
      </c>
      <c r="T185">
        <f t="shared" ref="T185" si="904">S185/1000</f>
        <v>0.38738930689742312</v>
      </c>
    </row>
    <row r="186" spans="1:20" x14ac:dyDescent="0.25">
      <c r="A186" s="5">
        <v>44407</v>
      </c>
      <c r="B186">
        <v>32.601999999999997</v>
      </c>
      <c r="C186">
        <v>35.043999999999997</v>
      </c>
      <c r="D186">
        <v>32.295999999999999</v>
      </c>
      <c r="E186">
        <v>35</v>
      </c>
      <c r="F186">
        <v>491742.03899999999</v>
      </c>
      <c r="G186">
        <v>35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0.96797671033479116</v>
      </c>
      <c r="Q186">
        <f t="shared" ref="Q186" si="906">F186*P186</f>
        <v>475994.84124454256</v>
      </c>
      <c r="R186">
        <f t="shared" ref="R186" si="907">R187+Q186</f>
        <v>38598660.523844332</v>
      </c>
      <c r="S186">
        <f t="shared" ref="S186" si="908">R186/100000</f>
        <v>385.9866052384433</v>
      </c>
      <c r="T186">
        <f t="shared" ref="T186" si="909">S186/1000</f>
        <v>0.3859866052384433</v>
      </c>
    </row>
    <row r="187" spans="1:20" x14ac:dyDescent="0.25">
      <c r="A187" s="5">
        <v>44406</v>
      </c>
      <c r="B187">
        <v>31.911999999999999</v>
      </c>
      <c r="C187">
        <v>32.877000000000002</v>
      </c>
      <c r="D187">
        <v>31.292000000000002</v>
      </c>
      <c r="E187">
        <v>32.564</v>
      </c>
      <c r="F187">
        <v>259985.655</v>
      </c>
      <c r="G187">
        <v>32.564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0.60504731861198457</v>
      </c>
      <c r="Q187">
        <f t="shared" ref="Q187" si="911">F187*P187</f>
        <v>157303.62343533049</v>
      </c>
      <c r="R187">
        <f t="shared" ref="R187" si="912">R188+Q187</f>
        <v>38122665.68259979</v>
      </c>
      <c r="S187">
        <f t="shared" ref="S187" si="913">R187/100000</f>
        <v>381.22665682599791</v>
      </c>
      <c r="T187">
        <f t="shared" ref="T187" si="914">S187/1000</f>
        <v>0.38122665682599793</v>
      </c>
    </row>
    <row r="188" spans="1:20" x14ac:dyDescent="0.25">
      <c r="A188" s="5">
        <v>44405</v>
      </c>
      <c r="B188">
        <v>31.183</v>
      </c>
      <c r="C188">
        <v>32.317</v>
      </c>
      <c r="D188">
        <v>30.72</v>
      </c>
      <c r="E188">
        <v>31.882000000000001</v>
      </c>
      <c r="F188">
        <v>413382.01699999999</v>
      </c>
      <c r="G188">
        <v>31.882000000000001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0.45522855353788561</v>
      </c>
      <c r="Q188">
        <f t="shared" ref="Q188" si="916">F188*P188</f>
        <v>188183.29765748364</v>
      </c>
      <c r="R188">
        <f t="shared" ref="R188" si="917">R189+Q188</f>
        <v>37965362.059164457</v>
      </c>
      <c r="S188">
        <f t="shared" ref="S188" si="918">R188/100000</f>
        <v>379.6536205916446</v>
      </c>
      <c r="T188">
        <f t="shared" ref="T188" si="919">S188/1000</f>
        <v>0.37965362059164459</v>
      </c>
    </row>
    <row r="189" spans="1:20" x14ac:dyDescent="0.25">
      <c r="A189" s="5">
        <v>44404</v>
      </c>
      <c r="B189">
        <v>29.741</v>
      </c>
      <c r="C189">
        <v>31.2</v>
      </c>
      <c r="D189">
        <v>28.556000000000001</v>
      </c>
      <c r="E189">
        <v>31.187000000000001</v>
      </c>
      <c r="F189">
        <v>1773073.5889999999</v>
      </c>
      <c r="G189">
        <v>31.187000000000001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0.99016641452345078</v>
      </c>
      <c r="Q189">
        <f t="shared" ref="Q189" si="921">F189*P189</f>
        <v>1755637.9183063565</v>
      </c>
      <c r="R189">
        <f t="shared" ref="R189" si="922">R190+Q189</f>
        <v>37777178.761506975</v>
      </c>
      <c r="S189">
        <f t="shared" ref="S189" si="923">R189/100000</f>
        <v>377.77178761506974</v>
      </c>
      <c r="T189">
        <f t="shared" ref="T189" si="924">S189/1000</f>
        <v>0.37777178761506974</v>
      </c>
    </row>
    <row r="190" spans="1:20" x14ac:dyDescent="0.25">
      <c r="A190" s="5">
        <v>44403</v>
      </c>
      <c r="B190">
        <v>30.488</v>
      </c>
      <c r="C190">
        <v>33.392000000000003</v>
      </c>
      <c r="D190">
        <v>29.58</v>
      </c>
      <c r="E190">
        <v>29.754000000000001</v>
      </c>
      <c r="F190">
        <v>1622979.452</v>
      </c>
      <c r="G190">
        <v>29.754000000000001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-0.90870933892969419</v>
      </c>
      <c r="Q190">
        <f t="shared" ref="Q190" si="926">F190*P190</f>
        <v>-1474816.5849233973</v>
      </c>
      <c r="R190">
        <f t="shared" ref="R190" si="927">R191+Q190</f>
        <v>36021540.843200617</v>
      </c>
      <c r="S190">
        <f t="shared" ref="S190" si="928">R190/100000</f>
        <v>360.21540843200614</v>
      </c>
      <c r="T190">
        <f t="shared" ref="T190" si="929">S190/1000</f>
        <v>0.36021540843200617</v>
      </c>
    </row>
    <row r="191" spans="1:20" x14ac:dyDescent="0.25">
      <c r="A191" s="5">
        <v>44402</v>
      </c>
      <c r="B191">
        <v>30.242999999999999</v>
      </c>
      <c r="C191">
        <v>30.532</v>
      </c>
      <c r="D191">
        <v>28.946000000000002</v>
      </c>
      <c r="E191">
        <v>30.481999999999999</v>
      </c>
      <c r="F191">
        <v>225036.74400000001</v>
      </c>
      <c r="G191">
        <v>30.481999999999999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0.93694829760403431</v>
      </c>
      <c r="Q191">
        <f t="shared" ref="Q191" si="931">F191*P191</f>
        <v>210847.7941891549</v>
      </c>
      <c r="R191">
        <f t="shared" ref="R191" si="932">R192+Q191</f>
        <v>37496357.428124011</v>
      </c>
      <c r="S191">
        <f t="shared" ref="S191" si="933">R191/100000</f>
        <v>374.96357428124008</v>
      </c>
      <c r="T191">
        <f t="shared" ref="T191:T197" si="934">S191/1000</f>
        <v>0.37496357428124011</v>
      </c>
    </row>
    <row r="192" spans="1:20" x14ac:dyDescent="0.25">
      <c r="A192" s="5">
        <v>44401</v>
      </c>
      <c r="B192">
        <v>29.581</v>
      </c>
      <c r="C192">
        <v>30.457999999999998</v>
      </c>
      <c r="D192">
        <v>29.289000000000001</v>
      </c>
      <c r="E192">
        <v>30.216000000000001</v>
      </c>
      <c r="F192">
        <v>261264.772</v>
      </c>
      <c r="G192">
        <v>30.216000000000001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0.58597091531223611</v>
      </c>
      <c r="Q192">
        <f t="shared" ref="Q192" si="936">F192*P192</f>
        <v>153093.55758768268</v>
      </c>
      <c r="R192">
        <f t="shared" ref="R192" si="937">R193+Q192</f>
        <v>37285509.633934855</v>
      </c>
      <c r="S192">
        <f t="shared" ref="S192" si="938">R192/100000</f>
        <v>372.85509633934856</v>
      </c>
      <c r="T192">
        <f t="shared" si="934"/>
        <v>0.37285509633934855</v>
      </c>
    </row>
    <row r="193" spans="1:20" x14ac:dyDescent="0.25">
      <c r="A193" s="5">
        <v>44400</v>
      </c>
      <c r="B193">
        <v>28.773</v>
      </c>
      <c r="C193">
        <v>29.577999999999999</v>
      </c>
      <c r="D193">
        <v>28.08</v>
      </c>
      <c r="E193">
        <v>29.577999999999999</v>
      </c>
      <c r="F193">
        <v>342793.09899999999</v>
      </c>
      <c r="G193">
        <v>29.577999999999999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1</v>
      </c>
      <c r="Q193">
        <f t="shared" ref="Q193" si="940">F193*P193</f>
        <v>342793.09899999999</v>
      </c>
      <c r="R193">
        <f t="shared" ref="R193" si="941">R194+Q193</f>
        <v>37132416.076347172</v>
      </c>
      <c r="S193">
        <f t="shared" ref="S193" si="942">R193/100000</f>
        <v>371.3241607634717</v>
      </c>
      <c r="T193">
        <f t="shared" si="934"/>
        <v>0.37132416076347169</v>
      </c>
    </row>
    <row r="194" spans="1:20" x14ac:dyDescent="0.25">
      <c r="A194" s="5">
        <v>44399</v>
      </c>
      <c r="B194">
        <v>28.175999999999998</v>
      </c>
      <c r="C194">
        <v>29.152000000000001</v>
      </c>
      <c r="D194">
        <v>27.463000000000001</v>
      </c>
      <c r="E194">
        <v>28.777000000000001</v>
      </c>
      <c r="F194">
        <v>423089.34100000001</v>
      </c>
      <c r="G194">
        <v>28.777000000000001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0.55595026642984013</v>
      </c>
      <c r="Q194">
        <f t="shared" ref="Q194" si="944">F194*P194</f>
        <v>235216.63185257549</v>
      </c>
      <c r="R194">
        <f t="shared" ref="R194" si="945">R195+Q194</f>
        <v>36789622.977347173</v>
      </c>
      <c r="S194">
        <f t="shared" ref="S194" si="946">R194/100000</f>
        <v>367.8962297734717</v>
      </c>
      <c r="T194">
        <f t="shared" si="934"/>
        <v>0.36789622977347169</v>
      </c>
    </row>
    <row r="195" spans="1:20" x14ac:dyDescent="0.25">
      <c r="A195" s="5">
        <v>44398</v>
      </c>
      <c r="B195">
        <v>25.805</v>
      </c>
      <c r="C195">
        <v>28.949000000000002</v>
      </c>
      <c r="D195">
        <v>25.375</v>
      </c>
      <c r="E195">
        <v>28.158999999999999</v>
      </c>
      <c r="F195">
        <v>1309200.983</v>
      </c>
      <c r="G195">
        <v>28.158999999999999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0.55791829882484478</v>
      </c>
      <c r="Q195">
        <f t="shared" ref="Q195" si="948">F195*P195</f>
        <v>730427.18525517453</v>
      </c>
      <c r="R195">
        <f t="shared" ref="R195" si="949">R196+Q195</f>
        <v>36554406.345494598</v>
      </c>
      <c r="S195">
        <f t="shared" ref="S195" si="950">R195/100000</f>
        <v>365.54406345494596</v>
      </c>
      <c r="T195">
        <f t="shared" si="934"/>
        <v>0.36554406345494594</v>
      </c>
    </row>
    <row r="196" spans="1:20" x14ac:dyDescent="0.25">
      <c r="A196" s="5">
        <v>44397</v>
      </c>
      <c r="B196">
        <v>24.905000000000001</v>
      </c>
      <c r="C196">
        <v>26.422000000000001</v>
      </c>
      <c r="D196">
        <v>23.613</v>
      </c>
      <c r="E196">
        <v>25.797000000000001</v>
      </c>
      <c r="F196">
        <v>1472530.2</v>
      </c>
      <c r="G196">
        <v>25.797000000000001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0.55500177999288014</v>
      </c>
      <c r="Q196">
        <f t="shared" ref="Q196" si="952">F196*P196</f>
        <v>817256.88209327182</v>
      </c>
      <c r="R196">
        <f t="shared" ref="R196" si="953">R197+Q196</f>
        <v>35823979.160239421</v>
      </c>
      <c r="S196">
        <f t="shared" ref="S196" si="954">R196/100000</f>
        <v>358.23979160239423</v>
      </c>
      <c r="T196">
        <f t="shared" si="934"/>
        <v>0.35823979160239422</v>
      </c>
    </row>
    <row r="197" spans="1:20" x14ac:dyDescent="0.25">
      <c r="A197" s="5">
        <v>44396</v>
      </c>
      <c r="B197">
        <v>26.052</v>
      </c>
      <c r="C197">
        <v>26.251000000000001</v>
      </c>
      <c r="D197">
        <v>24.449000000000002</v>
      </c>
      <c r="E197">
        <v>24.904</v>
      </c>
      <c r="F197">
        <v>387308.27399999998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-0.49500554938956892</v>
      </c>
      <c r="Q197">
        <f t="shared" ref="Q197" si="956">F197*P197</f>
        <v>-191719.74495449569</v>
      </c>
      <c r="R197">
        <f t="shared" ref="R197" si="957">R198+Q197</f>
        <v>35006722.278146148</v>
      </c>
      <c r="S197">
        <f t="shared" ref="S197" si="958">R197/100000</f>
        <v>350.06722278146145</v>
      </c>
      <c r="T197">
        <f t="shared" si="934"/>
        <v>0.35006722278146146</v>
      </c>
    </row>
    <row r="198" spans="1:20" x14ac:dyDescent="0.25">
      <c r="A198" s="5">
        <v>44395</v>
      </c>
      <c r="B198">
        <v>26.382999999999999</v>
      </c>
      <c r="C198">
        <v>27.186</v>
      </c>
      <c r="D198">
        <v>25.754000000000001</v>
      </c>
      <c r="E198">
        <v>26.036999999999999</v>
      </c>
      <c r="F198">
        <v>259829.133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-0.60474860335195812</v>
      </c>
      <c r="Q198">
        <f t="shared" ref="Q198:Q261" si="960">F198*P198</f>
        <v>-157131.30529190018</v>
      </c>
      <c r="R198">
        <f t="shared" ref="R198:R261" si="961">R199+Q198</f>
        <v>35198442.023100644</v>
      </c>
      <c r="S198">
        <f t="shared" ref="S198:S261" si="962">R198/100000</f>
        <v>351.98442023100642</v>
      </c>
      <c r="T198">
        <f t="shared" ref="T198:T261" si="963">S198/1000</f>
        <v>0.3519844202310064</v>
      </c>
    </row>
    <row r="199" spans="1:20" x14ac:dyDescent="0.25">
      <c r="A199" s="5">
        <v>44394</v>
      </c>
      <c r="B199">
        <v>25.489000000000001</v>
      </c>
      <c r="C199">
        <v>27.177</v>
      </c>
      <c r="D199">
        <v>25.382000000000001</v>
      </c>
      <c r="E199">
        <v>26.355</v>
      </c>
      <c r="F199">
        <v>651800.55000000005</v>
      </c>
      <c r="G199">
        <v>0</v>
      </c>
      <c r="L199" t="s">
        <v>8</v>
      </c>
      <c r="M199" t="s">
        <v>7</v>
      </c>
      <c r="N199" t="s">
        <v>8</v>
      </c>
      <c r="P199">
        <f t="shared" si="959"/>
        <v>8.4122562674094681E-2</v>
      </c>
      <c r="Q199">
        <f t="shared" si="960"/>
        <v>54831.132618384385</v>
      </c>
      <c r="R199">
        <f t="shared" si="961"/>
        <v>35355573.328392543</v>
      </c>
      <c r="S199">
        <f t="shared" si="962"/>
        <v>353.55573328392541</v>
      </c>
      <c r="T199">
        <f t="shared" si="963"/>
        <v>0.35355573328392542</v>
      </c>
    </row>
    <row r="200" spans="1:20" x14ac:dyDescent="0.25">
      <c r="A200" s="5">
        <v>44393</v>
      </c>
      <c r="B200">
        <v>25.966000000000001</v>
      </c>
      <c r="C200">
        <v>27.123999999999999</v>
      </c>
      <c r="D200">
        <v>23.31</v>
      </c>
      <c r="E200">
        <v>25.489000000000001</v>
      </c>
      <c r="F200">
        <v>1860015.686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0.14263240692186785</v>
      </c>
      <c r="Q200">
        <f t="shared" si="960"/>
        <v>265298.51420660916</v>
      </c>
      <c r="R200">
        <f t="shared" si="961"/>
        <v>35300742.19577416</v>
      </c>
      <c r="S200">
        <f t="shared" si="962"/>
        <v>353.0074219577416</v>
      </c>
      <c r="T200">
        <f t="shared" si="963"/>
        <v>0.3530074219577416</v>
      </c>
    </row>
    <row r="201" spans="1:20" x14ac:dyDescent="0.25">
      <c r="A201" s="5">
        <v>44392</v>
      </c>
      <c r="B201">
        <v>28.413</v>
      </c>
      <c r="C201">
        <v>28.863</v>
      </c>
      <c r="D201">
        <v>25.710999999999999</v>
      </c>
      <c r="E201">
        <v>25.940999999999999</v>
      </c>
      <c r="F201">
        <v>561404.31299999997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-0.85406091370558357</v>
      </c>
      <c r="Q201">
        <f t="shared" si="960"/>
        <v>-479473.48051903542</v>
      </c>
      <c r="R201">
        <f t="shared" si="961"/>
        <v>35035443.68156755</v>
      </c>
      <c r="S201">
        <f t="shared" si="962"/>
        <v>350.35443681567551</v>
      </c>
      <c r="T201">
        <f t="shared" si="963"/>
        <v>0.35035443681567552</v>
      </c>
    </row>
    <row r="202" spans="1:20" x14ac:dyDescent="0.25">
      <c r="A202" s="5">
        <v>44391</v>
      </c>
      <c r="B202">
        <v>29.728999999999999</v>
      </c>
      <c r="C202">
        <v>29.756</v>
      </c>
      <c r="D202">
        <v>28.146000000000001</v>
      </c>
      <c r="E202">
        <v>28.442</v>
      </c>
      <c r="F202">
        <v>365788.81199999998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-0.63229813664596335</v>
      </c>
      <c r="Q202">
        <f t="shared" si="960"/>
        <v>-231287.58423354058</v>
      </c>
      <c r="R202">
        <f t="shared" si="961"/>
        <v>35514917.162086584</v>
      </c>
      <c r="S202">
        <f t="shared" si="962"/>
        <v>355.14917162086584</v>
      </c>
      <c r="T202">
        <f t="shared" si="963"/>
        <v>0.35514917162086584</v>
      </c>
    </row>
    <row r="203" spans="1:20" x14ac:dyDescent="0.25">
      <c r="A203" s="5">
        <v>44390</v>
      </c>
      <c r="B203">
        <v>30.454000000000001</v>
      </c>
      <c r="C203">
        <v>30.957999999999998</v>
      </c>
      <c r="D203">
        <v>29.25</v>
      </c>
      <c r="E203">
        <v>29.707999999999998</v>
      </c>
      <c r="F203">
        <v>361048.04399999999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-0.46370023419203882</v>
      </c>
      <c r="Q203">
        <f t="shared" si="960"/>
        <v>-167418.06255737753</v>
      </c>
      <c r="R203">
        <f t="shared" si="961"/>
        <v>35746204.746320121</v>
      </c>
      <c r="S203">
        <f t="shared" si="962"/>
        <v>357.4620474632012</v>
      </c>
      <c r="T203">
        <f t="shared" si="963"/>
        <v>0.3574620474632012</v>
      </c>
    </row>
    <row r="204" spans="1:20" x14ac:dyDescent="0.25">
      <c r="A204" s="5">
        <v>44389</v>
      </c>
      <c r="B204">
        <v>30.991</v>
      </c>
      <c r="C204">
        <v>32.118000000000002</v>
      </c>
      <c r="D204">
        <v>30.122</v>
      </c>
      <c r="E204">
        <v>30.49</v>
      </c>
      <c r="F204">
        <v>369866.61099999998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-0.63126252505010205</v>
      </c>
      <c r="Q204">
        <f t="shared" si="960"/>
        <v>-233482.93079158384</v>
      </c>
      <c r="R204">
        <f t="shared" si="961"/>
        <v>35913622.808877498</v>
      </c>
      <c r="S204">
        <f t="shared" si="962"/>
        <v>359.136228088775</v>
      </c>
      <c r="T204">
        <f t="shared" si="963"/>
        <v>0.35913622808877499</v>
      </c>
    </row>
    <row r="205" spans="1:20" x14ac:dyDescent="0.25">
      <c r="A205" s="5">
        <v>44388</v>
      </c>
      <c r="B205">
        <v>30.175000000000001</v>
      </c>
      <c r="C205">
        <v>31.632000000000001</v>
      </c>
      <c r="D205">
        <v>29.757000000000001</v>
      </c>
      <c r="E205">
        <v>30.983000000000001</v>
      </c>
      <c r="F205">
        <v>215100.93100000001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0.30773333333333236</v>
      </c>
      <c r="Q205">
        <f t="shared" si="960"/>
        <v>66193.726499733122</v>
      </c>
      <c r="R205">
        <f t="shared" si="961"/>
        <v>36147105.739669085</v>
      </c>
      <c r="S205">
        <f t="shared" si="962"/>
        <v>361.47105739669087</v>
      </c>
      <c r="T205">
        <f t="shared" si="963"/>
        <v>0.36147105739669089</v>
      </c>
    </row>
    <row r="206" spans="1:20" x14ac:dyDescent="0.25">
      <c r="A206" s="5">
        <v>44387</v>
      </c>
      <c r="B206">
        <v>30.24</v>
      </c>
      <c r="C206">
        <v>30.701000000000001</v>
      </c>
      <c r="D206">
        <v>29.582999999999998</v>
      </c>
      <c r="E206">
        <v>30.164000000000001</v>
      </c>
      <c r="F206">
        <v>158998.28599999999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3.935599284436847E-2</v>
      </c>
      <c r="Q206">
        <f t="shared" si="960"/>
        <v>6257.5354060828513</v>
      </c>
      <c r="R206">
        <f t="shared" si="961"/>
        <v>36080912.013169348</v>
      </c>
      <c r="S206">
        <f t="shared" si="962"/>
        <v>360.80912013169348</v>
      </c>
      <c r="T206">
        <f t="shared" si="963"/>
        <v>0.36080912013169347</v>
      </c>
    </row>
    <row r="207" spans="1:20" x14ac:dyDescent="0.25">
      <c r="A207" s="5">
        <v>44386</v>
      </c>
      <c r="B207">
        <v>28.74</v>
      </c>
      <c r="C207">
        <v>30.472000000000001</v>
      </c>
      <c r="D207">
        <v>28.027000000000001</v>
      </c>
      <c r="E207">
        <v>30.224</v>
      </c>
      <c r="F207">
        <v>287816.90000000002</v>
      </c>
      <c r="G207">
        <v>0</v>
      </c>
      <c r="L207" t="s">
        <v>8</v>
      </c>
      <c r="M207" t="s">
        <v>8</v>
      </c>
      <c r="N207" t="s">
        <v>7</v>
      </c>
      <c r="P207">
        <f t="shared" si="959"/>
        <v>0.79713701431492756</v>
      </c>
      <c r="Q207">
        <f t="shared" si="960"/>
        <v>229429.50433537809</v>
      </c>
      <c r="R207">
        <f t="shared" si="961"/>
        <v>36074654.477763265</v>
      </c>
      <c r="S207">
        <f t="shared" si="962"/>
        <v>360.74654477763266</v>
      </c>
      <c r="T207">
        <f t="shared" si="963"/>
        <v>0.36074654477763268</v>
      </c>
    </row>
    <row r="208" spans="1:20" x14ac:dyDescent="0.25">
      <c r="A208" s="5">
        <v>44385</v>
      </c>
      <c r="B208">
        <v>30.004999999999999</v>
      </c>
      <c r="C208">
        <v>30.125</v>
      </c>
      <c r="D208">
        <v>27.962</v>
      </c>
      <c r="E208">
        <v>28.754000000000001</v>
      </c>
      <c r="F208">
        <v>355896.70400000003</v>
      </c>
      <c r="G208">
        <v>0</v>
      </c>
      <c r="L208" t="s">
        <v>7</v>
      </c>
      <c r="M208" t="s">
        <v>8</v>
      </c>
      <c r="N208" t="s">
        <v>7</v>
      </c>
      <c r="P208">
        <f t="shared" si="959"/>
        <v>-0.26768377253814007</v>
      </c>
      <c r="Q208">
        <f t="shared" si="960"/>
        <v>-95267.772360609772</v>
      </c>
      <c r="R208">
        <f t="shared" si="961"/>
        <v>35845224.973427884</v>
      </c>
      <c r="S208">
        <f t="shared" si="962"/>
        <v>358.45224973427884</v>
      </c>
      <c r="T208">
        <f t="shared" si="963"/>
        <v>0.35845224973427886</v>
      </c>
    </row>
    <row r="209" spans="1:20" x14ac:dyDescent="0.25">
      <c r="A209" s="5">
        <v>44384</v>
      </c>
      <c r="B209">
        <v>28.785</v>
      </c>
      <c r="C209">
        <v>30.533999999999999</v>
      </c>
      <c r="D209">
        <v>28.436</v>
      </c>
      <c r="E209">
        <v>30.044</v>
      </c>
      <c r="F209">
        <v>624848.19400000002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0.53288846520495836</v>
      </c>
      <c r="Q209">
        <f t="shared" si="960"/>
        <v>332974.3950867501</v>
      </c>
      <c r="R209">
        <f t="shared" si="961"/>
        <v>35940492.745788492</v>
      </c>
      <c r="S209">
        <f t="shared" si="962"/>
        <v>359.40492745788492</v>
      </c>
      <c r="T209">
        <f t="shared" si="963"/>
        <v>0.35940492745788494</v>
      </c>
    </row>
    <row r="210" spans="1:20" x14ac:dyDescent="0.25">
      <c r="A210" s="5">
        <v>44383</v>
      </c>
      <c r="B210">
        <v>25.344000000000001</v>
      </c>
      <c r="C210">
        <v>28.899000000000001</v>
      </c>
      <c r="D210">
        <v>25.192</v>
      </c>
      <c r="E210">
        <v>28.8</v>
      </c>
      <c r="F210">
        <v>2026761.341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0.94658753709198806</v>
      </c>
      <c r="Q210">
        <f t="shared" si="960"/>
        <v>1918507.0260504449</v>
      </c>
      <c r="R210">
        <f t="shared" si="961"/>
        <v>35607518.350701742</v>
      </c>
      <c r="S210">
        <f t="shared" si="962"/>
        <v>356.07518350701741</v>
      </c>
      <c r="T210">
        <f t="shared" si="963"/>
        <v>0.35607518350701739</v>
      </c>
    </row>
    <row r="211" spans="1:20" x14ac:dyDescent="0.25">
      <c r="A211" s="5">
        <v>44382</v>
      </c>
      <c r="B211">
        <v>27.459</v>
      </c>
      <c r="C211">
        <v>27.46</v>
      </c>
      <c r="D211">
        <v>25.145</v>
      </c>
      <c r="E211">
        <v>25.321000000000002</v>
      </c>
      <c r="F211">
        <v>1244170.4550000001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-0.84794816414686669</v>
      </c>
      <c r="Q211">
        <f t="shared" si="960"/>
        <v>-1054992.0532030219</v>
      </c>
      <c r="R211">
        <f t="shared" si="961"/>
        <v>33689011.324651293</v>
      </c>
      <c r="S211">
        <f t="shared" si="962"/>
        <v>336.89011324651295</v>
      </c>
      <c r="T211">
        <f t="shared" si="963"/>
        <v>0.33689011324651297</v>
      </c>
    </row>
    <row r="212" spans="1:20" x14ac:dyDescent="0.25">
      <c r="A212" s="5">
        <v>44381</v>
      </c>
      <c r="B212">
        <v>28.030999999999999</v>
      </c>
      <c r="C212">
        <v>28.18</v>
      </c>
      <c r="D212">
        <v>26.687000000000001</v>
      </c>
      <c r="E212">
        <v>27.465</v>
      </c>
      <c r="F212">
        <v>1509610.0109999999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4.2196918955123175E-2</v>
      </c>
      <c r="Q212">
        <f t="shared" si="960"/>
        <v>63700.891288009603</v>
      </c>
      <c r="R212">
        <f t="shared" si="961"/>
        <v>34744003.377854317</v>
      </c>
      <c r="S212">
        <f t="shared" si="962"/>
        <v>347.44003377854318</v>
      </c>
      <c r="T212">
        <f t="shared" si="963"/>
        <v>0.34744003377854316</v>
      </c>
    </row>
    <row r="213" spans="1:20" x14ac:dyDescent="0.25">
      <c r="A213" s="5">
        <v>44380</v>
      </c>
      <c r="B213">
        <v>27.291</v>
      </c>
      <c r="C213">
        <v>28.263000000000002</v>
      </c>
      <c r="D213">
        <v>26.747</v>
      </c>
      <c r="E213">
        <v>28</v>
      </c>
      <c r="F213">
        <v>410816.51699999999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0.65303430079155489</v>
      </c>
      <c r="Q213">
        <f t="shared" si="960"/>
        <v>268277.27693271689</v>
      </c>
      <c r="R213">
        <f t="shared" si="961"/>
        <v>34680302.486566305</v>
      </c>
      <c r="S213">
        <f t="shared" si="962"/>
        <v>346.80302486566308</v>
      </c>
      <c r="T213">
        <f t="shared" si="963"/>
        <v>0.34680302486566306</v>
      </c>
    </row>
    <row r="214" spans="1:20" x14ac:dyDescent="0.25">
      <c r="A214" s="5">
        <v>44379</v>
      </c>
      <c r="B214">
        <v>26.225999999999999</v>
      </c>
      <c r="C214">
        <v>27.332000000000001</v>
      </c>
      <c r="D214">
        <v>25.337</v>
      </c>
      <c r="E214">
        <v>27.3</v>
      </c>
      <c r="F214">
        <v>385724.06599999999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0.96791979949874685</v>
      </c>
      <c r="Q214">
        <f t="shared" si="960"/>
        <v>373349.96062456141</v>
      </c>
      <c r="R214">
        <f t="shared" si="961"/>
        <v>34412025.209633589</v>
      </c>
      <c r="S214">
        <f t="shared" si="962"/>
        <v>344.12025209633589</v>
      </c>
      <c r="T214">
        <f t="shared" si="963"/>
        <v>0.3441202520963359</v>
      </c>
    </row>
    <row r="215" spans="1:20" x14ac:dyDescent="0.25">
      <c r="A215" s="5">
        <v>44378</v>
      </c>
      <c r="B215">
        <v>27.535</v>
      </c>
      <c r="C215">
        <v>27.54</v>
      </c>
      <c r="D215">
        <v>25.646000000000001</v>
      </c>
      <c r="E215">
        <v>26.241</v>
      </c>
      <c r="F215">
        <v>188380.31899999999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-0.37170010559662159</v>
      </c>
      <c r="Q215">
        <f t="shared" si="960"/>
        <v>-70020.98446462526</v>
      </c>
      <c r="R215">
        <f t="shared" si="961"/>
        <v>34038675.249009028</v>
      </c>
      <c r="S215">
        <f t="shared" si="962"/>
        <v>340.38675249009026</v>
      </c>
      <c r="T215">
        <f t="shared" si="963"/>
        <v>0.34038675249009026</v>
      </c>
    </row>
    <row r="216" spans="1:20" x14ac:dyDescent="0.25">
      <c r="A216" s="5">
        <v>44377</v>
      </c>
      <c r="B216">
        <v>26.952000000000002</v>
      </c>
      <c r="C216">
        <v>27.613</v>
      </c>
      <c r="D216">
        <v>25.696000000000002</v>
      </c>
      <c r="E216">
        <v>27.481000000000002</v>
      </c>
      <c r="F216">
        <v>147071.834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0.86228482003130091</v>
      </c>
      <c r="Q216">
        <f t="shared" si="960"/>
        <v>126817.80991236336</v>
      </c>
      <c r="R216">
        <f t="shared" si="961"/>
        <v>34108696.233473651</v>
      </c>
      <c r="S216">
        <f t="shared" si="962"/>
        <v>341.08696233473648</v>
      </c>
      <c r="T216">
        <f t="shared" si="963"/>
        <v>0.34108696233473651</v>
      </c>
    </row>
    <row r="217" spans="1:20" x14ac:dyDescent="0.25">
      <c r="A217" s="5">
        <v>44376</v>
      </c>
      <c r="B217">
        <v>25.538</v>
      </c>
      <c r="C217">
        <v>27.72</v>
      </c>
      <c r="D217">
        <v>25.460999999999999</v>
      </c>
      <c r="E217">
        <v>26.994</v>
      </c>
      <c r="F217">
        <v>434507.38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0.35723771580345376</v>
      </c>
      <c r="Q217">
        <f t="shared" si="960"/>
        <v>155222.4239309433</v>
      </c>
      <c r="R217">
        <f t="shared" si="961"/>
        <v>33981878.42356129</v>
      </c>
      <c r="S217">
        <f t="shared" si="962"/>
        <v>339.8187842356129</v>
      </c>
      <c r="T217">
        <f t="shared" si="963"/>
        <v>0.3398187842356129</v>
      </c>
    </row>
    <row r="218" spans="1:20" x14ac:dyDescent="0.25">
      <c r="A218" s="5">
        <v>44375</v>
      </c>
      <c r="B218">
        <v>24.611999999999998</v>
      </c>
      <c r="C218">
        <v>25.992999999999999</v>
      </c>
      <c r="D218">
        <v>24.289000000000001</v>
      </c>
      <c r="E218">
        <v>25.492000000000001</v>
      </c>
      <c r="F218">
        <v>253760.63200000001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0.41197183098591722</v>
      </c>
      <c r="Q218">
        <f t="shared" si="960"/>
        <v>104542.23219718355</v>
      </c>
      <c r="R218">
        <f t="shared" si="961"/>
        <v>33826655.999630347</v>
      </c>
      <c r="S218">
        <f t="shared" si="962"/>
        <v>338.26655999630344</v>
      </c>
      <c r="T218">
        <f t="shared" si="963"/>
        <v>0.33826655999630345</v>
      </c>
    </row>
    <row r="219" spans="1:20" x14ac:dyDescent="0.25">
      <c r="A219" s="5">
        <v>44374</v>
      </c>
      <c r="B219">
        <v>22.843</v>
      </c>
      <c r="C219">
        <v>24.614999999999998</v>
      </c>
      <c r="D219">
        <v>22.638000000000002</v>
      </c>
      <c r="E219">
        <v>24.594000000000001</v>
      </c>
      <c r="F219">
        <v>184310.592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0.9787556904400635</v>
      </c>
      <c r="Q219">
        <f t="shared" si="960"/>
        <v>180395.04072837686</v>
      </c>
      <c r="R219">
        <f t="shared" si="961"/>
        <v>33722113.767433167</v>
      </c>
      <c r="S219">
        <f t="shared" si="962"/>
        <v>337.22113767433166</v>
      </c>
      <c r="T219">
        <f t="shared" si="963"/>
        <v>0.33722113767433165</v>
      </c>
    </row>
    <row r="220" spans="1:20" x14ac:dyDescent="0.25">
      <c r="A220" s="5">
        <v>44373</v>
      </c>
      <c r="B220">
        <v>23.297999999999998</v>
      </c>
      <c r="C220">
        <v>23.9</v>
      </c>
      <c r="D220">
        <v>21.919</v>
      </c>
      <c r="E220">
        <v>22.843</v>
      </c>
      <c r="F220">
        <v>288102.33399999997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-6.7137809187278769E-2</v>
      </c>
      <c r="Q220">
        <f t="shared" si="960"/>
        <v>-19342.559526501656</v>
      </c>
      <c r="R220">
        <f t="shared" si="961"/>
        <v>33541718.726704791</v>
      </c>
      <c r="S220">
        <f t="shared" si="962"/>
        <v>335.41718726704789</v>
      </c>
      <c r="T220">
        <f t="shared" si="963"/>
        <v>0.33541718726704789</v>
      </c>
    </row>
    <row r="221" spans="1:20" x14ac:dyDescent="0.25">
      <c r="A221" s="5">
        <v>44372</v>
      </c>
      <c r="B221">
        <v>26.303000000000001</v>
      </c>
      <c r="C221">
        <v>26.873999999999999</v>
      </c>
      <c r="D221">
        <v>23.178999999999998</v>
      </c>
      <c r="E221">
        <v>23.318999999999999</v>
      </c>
      <c r="F221">
        <v>379110.28100000002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-0.92422192151556126</v>
      </c>
      <c r="Q221">
        <f t="shared" si="960"/>
        <v>-350382.03237212438</v>
      </c>
      <c r="R221">
        <f t="shared" si="961"/>
        <v>33561061.286231294</v>
      </c>
      <c r="S221">
        <f t="shared" si="962"/>
        <v>335.61061286231296</v>
      </c>
      <c r="T221">
        <f t="shared" si="963"/>
        <v>0.33561061286231297</v>
      </c>
    </row>
    <row r="222" spans="1:20" x14ac:dyDescent="0.25">
      <c r="A222" s="5">
        <v>44371</v>
      </c>
      <c r="B222">
        <v>26.370999999999999</v>
      </c>
      <c r="C222">
        <v>27.068000000000001</v>
      </c>
      <c r="D222">
        <v>25.126000000000001</v>
      </c>
      <c r="E222">
        <v>26.302</v>
      </c>
      <c r="F222">
        <v>239983.09099999999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0.2111225540679694</v>
      </c>
      <c r="Q222">
        <f t="shared" si="960"/>
        <v>50665.843105045918</v>
      </c>
      <c r="R222">
        <f t="shared" si="961"/>
        <v>33911443.318603419</v>
      </c>
      <c r="S222">
        <f t="shared" si="962"/>
        <v>339.1144331860342</v>
      </c>
      <c r="T222">
        <f t="shared" si="963"/>
        <v>0.33911443318603418</v>
      </c>
    </row>
    <row r="223" spans="1:20" x14ac:dyDescent="0.25">
      <c r="A223" s="5">
        <v>44370</v>
      </c>
      <c r="B223">
        <v>24.847000000000001</v>
      </c>
      <c r="C223">
        <v>27.603000000000002</v>
      </c>
      <c r="D223">
        <v>24.222999999999999</v>
      </c>
      <c r="E223">
        <v>26.350999999999999</v>
      </c>
      <c r="F223">
        <v>409237.81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0.25917159763313519</v>
      </c>
      <c r="Q223">
        <f t="shared" si="960"/>
        <v>106062.81702958542</v>
      </c>
      <c r="R223">
        <f t="shared" si="961"/>
        <v>33860777.475498371</v>
      </c>
      <c r="S223">
        <f t="shared" si="962"/>
        <v>338.60777475498372</v>
      </c>
      <c r="T223">
        <f t="shared" si="963"/>
        <v>0.33860777475498371</v>
      </c>
    </row>
    <row r="224" spans="1:20" x14ac:dyDescent="0.25">
      <c r="A224" s="5">
        <v>44369</v>
      </c>
      <c r="B224">
        <v>25.15</v>
      </c>
      <c r="C224">
        <v>26.265999999999998</v>
      </c>
      <c r="D224">
        <v>22.417000000000002</v>
      </c>
      <c r="E224">
        <v>24.870999999999999</v>
      </c>
      <c r="F224">
        <v>490752.217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0.27513639906469173</v>
      </c>
      <c r="Q224">
        <f t="shared" si="960"/>
        <v>135023.7978183942</v>
      </c>
      <c r="R224">
        <f t="shared" si="961"/>
        <v>33754714.658468783</v>
      </c>
      <c r="S224">
        <f t="shared" si="962"/>
        <v>337.54714658468782</v>
      </c>
      <c r="T224">
        <f t="shared" si="963"/>
        <v>0.33754714658468782</v>
      </c>
    </row>
    <row r="225" spans="1:20" x14ac:dyDescent="0.25">
      <c r="A225" s="5">
        <v>44368</v>
      </c>
      <c r="B225">
        <v>29.887</v>
      </c>
      <c r="C225">
        <v>30.123999999999999</v>
      </c>
      <c r="D225">
        <v>24.87</v>
      </c>
      <c r="E225">
        <v>25.149000000000001</v>
      </c>
      <c r="F225">
        <v>420597.59399999998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-0.89379520365435861</v>
      </c>
      <c r="Q225">
        <f t="shared" si="960"/>
        <v>-375928.1121857632</v>
      </c>
      <c r="R225">
        <f t="shared" si="961"/>
        <v>33619690.86065039</v>
      </c>
      <c r="S225">
        <f t="shared" si="962"/>
        <v>336.19690860650388</v>
      </c>
      <c r="T225">
        <f t="shared" si="963"/>
        <v>0.33619690860650386</v>
      </c>
    </row>
    <row r="226" spans="1:20" x14ac:dyDescent="0.25">
      <c r="A226" s="5">
        <v>44367</v>
      </c>
      <c r="B226">
        <v>29.459</v>
      </c>
      <c r="C226">
        <v>30.177</v>
      </c>
      <c r="D226">
        <v>27.696999999999999</v>
      </c>
      <c r="E226">
        <v>29.882000000000001</v>
      </c>
      <c r="F226">
        <v>199747.54300000001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0.76209677419354993</v>
      </c>
      <c r="Q226">
        <f t="shared" si="960"/>
        <v>152226.95817338742</v>
      </c>
      <c r="R226">
        <f t="shared" si="961"/>
        <v>33995618.972836152</v>
      </c>
      <c r="S226">
        <f t="shared" si="962"/>
        <v>339.95618972836149</v>
      </c>
      <c r="T226">
        <f t="shared" si="963"/>
        <v>0.3399561897283615</v>
      </c>
    </row>
    <row r="227" spans="1:20" x14ac:dyDescent="0.25">
      <c r="A227" s="5">
        <v>44366</v>
      </c>
      <c r="B227">
        <v>29.74</v>
      </c>
      <c r="C227">
        <v>30.454999999999998</v>
      </c>
      <c r="D227">
        <v>29.042000000000002</v>
      </c>
      <c r="E227">
        <v>29.56</v>
      </c>
      <c r="F227">
        <v>148734.43100000001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-0.26680820948337108</v>
      </c>
      <c r="Q227">
        <f t="shared" si="960"/>
        <v>-39683.567223638005</v>
      </c>
      <c r="R227">
        <f t="shared" si="961"/>
        <v>33843392.014662765</v>
      </c>
      <c r="S227">
        <f t="shared" si="962"/>
        <v>338.43392014662766</v>
      </c>
      <c r="T227">
        <f t="shared" si="963"/>
        <v>0.33843392014662765</v>
      </c>
    </row>
    <row r="228" spans="1:20" x14ac:dyDescent="0.25">
      <c r="A228" s="5">
        <v>44365</v>
      </c>
      <c r="B228">
        <v>32.067</v>
      </c>
      <c r="C228">
        <v>32.298999999999999</v>
      </c>
      <c r="D228">
        <v>28.972999999999999</v>
      </c>
      <c r="E228">
        <v>29.754999999999999</v>
      </c>
      <c r="F228">
        <v>608745.08400000003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-0.52976548406494295</v>
      </c>
      <c r="Q228">
        <f t="shared" si="960"/>
        <v>-322492.13409741438</v>
      </c>
      <c r="R228">
        <f t="shared" si="961"/>
        <v>33883075.581886403</v>
      </c>
      <c r="S228">
        <f t="shared" si="962"/>
        <v>338.83075581886402</v>
      </c>
      <c r="T228">
        <f t="shared" si="963"/>
        <v>0.33883075581886402</v>
      </c>
    </row>
    <row r="229" spans="1:20" x14ac:dyDescent="0.25">
      <c r="A229" s="5">
        <v>44364</v>
      </c>
      <c r="B229">
        <v>31.904</v>
      </c>
      <c r="C229">
        <v>32.972999999999999</v>
      </c>
      <c r="D229">
        <v>31.463000000000001</v>
      </c>
      <c r="E229">
        <v>32.093000000000004</v>
      </c>
      <c r="F229">
        <v>229220.272</v>
      </c>
      <c r="G229">
        <v>0</v>
      </c>
      <c r="L229" t="s">
        <v>7</v>
      </c>
      <c r="M229" t="s">
        <v>8</v>
      </c>
      <c r="N229" t="s">
        <v>8</v>
      </c>
      <c r="P229">
        <f t="shared" si="959"/>
        <v>-0.16556291390728028</v>
      </c>
      <c r="Q229">
        <f t="shared" si="960"/>
        <v>-37950.376158939369</v>
      </c>
      <c r="R229">
        <f t="shared" si="961"/>
        <v>34205567.715983815</v>
      </c>
      <c r="S229">
        <f t="shared" si="962"/>
        <v>342.05567715983818</v>
      </c>
      <c r="T229">
        <f t="shared" si="963"/>
        <v>0.3420556771598382</v>
      </c>
    </row>
    <row r="230" spans="1:20" x14ac:dyDescent="0.25">
      <c r="A230" s="5">
        <v>44363</v>
      </c>
      <c r="B230">
        <v>33.776000000000003</v>
      </c>
      <c r="C230">
        <v>33.954000000000001</v>
      </c>
      <c r="D230">
        <v>31.692</v>
      </c>
      <c r="E230">
        <v>31.893999999999998</v>
      </c>
      <c r="F230">
        <v>363069.679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-0.82139699381078857</v>
      </c>
      <c r="Q230">
        <f t="shared" si="960"/>
        <v>-298224.34287444799</v>
      </c>
      <c r="R230">
        <f t="shared" si="961"/>
        <v>34243518.092142753</v>
      </c>
      <c r="S230">
        <f t="shared" si="962"/>
        <v>342.43518092142756</v>
      </c>
      <c r="T230">
        <f t="shared" si="963"/>
        <v>0.34243518092142755</v>
      </c>
    </row>
    <row r="231" spans="1:20" x14ac:dyDescent="0.25">
      <c r="A231" s="5">
        <v>44362</v>
      </c>
      <c r="B231">
        <v>34.067</v>
      </c>
      <c r="C231">
        <v>34.753999999999998</v>
      </c>
      <c r="D231">
        <v>33.444000000000003</v>
      </c>
      <c r="E231">
        <v>33.834000000000003</v>
      </c>
      <c r="F231">
        <v>359586.73800000001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-0.40458015267175268</v>
      </c>
      <c r="Q231">
        <f t="shared" si="960"/>
        <v>-145481.65735877753</v>
      </c>
      <c r="R231">
        <f t="shared" si="961"/>
        <v>34541742.435017198</v>
      </c>
      <c r="S231">
        <f t="shared" si="962"/>
        <v>345.41742435017198</v>
      </c>
      <c r="T231">
        <f t="shared" si="963"/>
        <v>0.34541742435017198</v>
      </c>
    </row>
    <row r="232" spans="1:20" x14ac:dyDescent="0.25">
      <c r="A232" s="5">
        <v>44361</v>
      </c>
      <c r="B232">
        <v>32.85</v>
      </c>
      <c r="C232">
        <v>34.241999999999997</v>
      </c>
      <c r="D232">
        <v>32.546999999999997</v>
      </c>
      <c r="E232">
        <v>34.122</v>
      </c>
      <c r="F232">
        <v>432839.81199999998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0.8584070796460207</v>
      </c>
      <c r="Q232">
        <f t="shared" si="960"/>
        <v>371552.75897345261</v>
      </c>
      <c r="R232">
        <f t="shared" si="961"/>
        <v>34687224.092375979</v>
      </c>
      <c r="S232">
        <f t="shared" si="962"/>
        <v>346.87224092375976</v>
      </c>
      <c r="T232">
        <f t="shared" si="963"/>
        <v>0.34687224092375979</v>
      </c>
    </row>
    <row r="233" spans="1:20" x14ac:dyDescent="0.25">
      <c r="A233" s="5">
        <v>44360</v>
      </c>
      <c r="B233">
        <v>30.748000000000001</v>
      </c>
      <c r="C233">
        <v>33.107999999999997</v>
      </c>
      <c r="D233">
        <v>30.102</v>
      </c>
      <c r="E233">
        <v>32.85</v>
      </c>
      <c r="F233">
        <v>174654.32199999999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0.82834331337325628</v>
      </c>
      <c r="Q233">
        <f t="shared" si="960"/>
        <v>144673.73978043959</v>
      </c>
      <c r="R233">
        <f t="shared" si="961"/>
        <v>34315671.333402529</v>
      </c>
      <c r="S233">
        <f t="shared" si="962"/>
        <v>343.15671333402531</v>
      </c>
      <c r="T233">
        <f t="shared" si="963"/>
        <v>0.34315671333402531</v>
      </c>
    </row>
    <row r="234" spans="1:20" x14ac:dyDescent="0.25">
      <c r="A234" s="5">
        <v>44359</v>
      </c>
      <c r="B234">
        <v>31.484999999999999</v>
      </c>
      <c r="C234">
        <v>31.581</v>
      </c>
      <c r="D234">
        <v>29.689</v>
      </c>
      <c r="E234">
        <v>30.74</v>
      </c>
      <c r="F234">
        <v>327884.62199999997</v>
      </c>
      <c r="G234">
        <v>0</v>
      </c>
      <c r="L234" t="s">
        <v>7</v>
      </c>
      <c r="M234" t="s">
        <v>8</v>
      </c>
      <c r="N234" t="s">
        <v>8</v>
      </c>
      <c r="P234">
        <f t="shared" si="959"/>
        <v>0.11099365750528402</v>
      </c>
      <c r="Q234">
        <f t="shared" si="960"/>
        <v>36393.113435517509</v>
      </c>
      <c r="R234">
        <f t="shared" si="961"/>
        <v>34170997.593622088</v>
      </c>
      <c r="S234">
        <f t="shared" si="962"/>
        <v>341.70997593622087</v>
      </c>
      <c r="T234">
        <f t="shared" si="963"/>
        <v>0.34170997593622088</v>
      </c>
    </row>
    <row r="235" spans="1:20" x14ac:dyDescent="0.25">
      <c r="A235" s="5">
        <v>44358</v>
      </c>
      <c r="B235">
        <v>32.68</v>
      </c>
      <c r="C235">
        <v>33.189</v>
      </c>
      <c r="D235">
        <v>31.143000000000001</v>
      </c>
      <c r="E235">
        <v>31.516999999999999</v>
      </c>
      <c r="F235">
        <v>294063.90999999997</v>
      </c>
      <c r="G235">
        <v>0</v>
      </c>
      <c r="L235" t="s">
        <v>7</v>
      </c>
      <c r="M235" t="s">
        <v>8</v>
      </c>
      <c r="N235" t="s">
        <v>8</v>
      </c>
      <c r="P235">
        <f t="shared" si="959"/>
        <v>-0.63440860215053874</v>
      </c>
      <c r="Q235">
        <f t="shared" si="960"/>
        <v>-186556.67408602181</v>
      </c>
      <c r="R235">
        <f t="shared" si="961"/>
        <v>34134604.480186574</v>
      </c>
      <c r="S235">
        <f t="shared" si="962"/>
        <v>341.34604480186573</v>
      </c>
      <c r="T235">
        <f t="shared" si="963"/>
        <v>0.34134604480186576</v>
      </c>
    </row>
    <row r="236" spans="1:20" x14ac:dyDescent="0.25">
      <c r="A236" s="5">
        <v>44357</v>
      </c>
      <c r="B236">
        <v>33.713000000000001</v>
      </c>
      <c r="C236">
        <v>33.956000000000003</v>
      </c>
      <c r="D236">
        <v>32.000999999999998</v>
      </c>
      <c r="E236">
        <v>32.659999999999997</v>
      </c>
      <c r="F236">
        <v>413861.50099999999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-0.32583120204603877</v>
      </c>
      <c r="Q236">
        <f t="shared" si="960"/>
        <v>-134848.99035140788</v>
      </c>
      <c r="R236">
        <f t="shared" si="961"/>
        <v>34321161.154272594</v>
      </c>
      <c r="S236">
        <f t="shared" si="962"/>
        <v>343.21161154272596</v>
      </c>
      <c r="T236">
        <f t="shared" si="963"/>
        <v>0.34321161154272595</v>
      </c>
    </row>
    <row r="237" spans="1:20" x14ac:dyDescent="0.25">
      <c r="A237" s="5">
        <v>44356</v>
      </c>
      <c r="B237">
        <v>30.94</v>
      </c>
      <c r="C237">
        <v>33.814</v>
      </c>
      <c r="D237">
        <v>29.797999999999998</v>
      </c>
      <c r="E237">
        <v>33.643999999999998</v>
      </c>
      <c r="F237">
        <v>611376.05000000005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0.91533864541832588</v>
      </c>
      <c r="Q237">
        <f t="shared" si="960"/>
        <v>559616.12544820667</v>
      </c>
      <c r="R237">
        <f t="shared" si="961"/>
        <v>34456010.144624002</v>
      </c>
      <c r="S237">
        <f t="shared" si="962"/>
        <v>344.56010144624003</v>
      </c>
      <c r="T237">
        <f t="shared" si="963"/>
        <v>0.34456010144624005</v>
      </c>
    </row>
    <row r="238" spans="1:20" x14ac:dyDescent="0.25">
      <c r="A238" s="5">
        <v>44355</v>
      </c>
      <c r="B238">
        <v>31.9</v>
      </c>
      <c r="C238">
        <v>32.414000000000001</v>
      </c>
      <c r="D238">
        <v>28.52</v>
      </c>
      <c r="E238">
        <v>30.864999999999998</v>
      </c>
      <c r="F238">
        <v>485215.37199999997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0.20441705187467782</v>
      </c>
      <c r="Q238">
        <f t="shared" si="960"/>
        <v>99186.295868515095</v>
      </c>
      <c r="R238">
        <f t="shared" si="961"/>
        <v>33896394.019175798</v>
      </c>
      <c r="S238">
        <f t="shared" si="962"/>
        <v>338.96394019175796</v>
      </c>
      <c r="T238">
        <f t="shared" si="963"/>
        <v>0.33896394019175796</v>
      </c>
    </row>
    <row r="239" spans="1:20" x14ac:dyDescent="0.25">
      <c r="A239" s="5">
        <v>44354</v>
      </c>
      <c r="B239">
        <v>33.822000000000003</v>
      </c>
      <c r="C239">
        <v>35.646000000000001</v>
      </c>
      <c r="D239">
        <v>31.616</v>
      </c>
      <c r="E239">
        <v>31.9</v>
      </c>
      <c r="F239">
        <v>416019.53899999999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-0.85905707196029835</v>
      </c>
      <c r="Q239">
        <f t="shared" si="960"/>
        <v>-357384.52705161314</v>
      </c>
      <c r="R239">
        <f t="shared" si="961"/>
        <v>33797207.723307282</v>
      </c>
      <c r="S239">
        <f t="shared" si="962"/>
        <v>337.97207723307281</v>
      </c>
      <c r="T239">
        <f t="shared" si="963"/>
        <v>0.33797207723307282</v>
      </c>
    </row>
    <row r="240" spans="1:20" x14ac:dyDescent="0.25">
      <c r="A240" s="5">
        <v>44353</v>
      </c>
      <c r="B240">
        <v>33.54</v>
      </c>
      <c r="C240">
        <v>34.607999999999997</v>
      </c>
      <c r="D240">
        <v>33.350999999999999</v>
      </c>
      <c r="E240">
        <v>33.786999999999999</v>
      </c>
      <c r="F240">
        <v>236092.38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-0.30628480509148659</v>
      </c>
      <c r="Q240">
        <f t="shared" si="960"/>
        <v>-72311.508591885184</v>
      </c>
      <c r="R240">
        <f t="shared" si="961"/>
        <v>34154592.250358894</v>
      </c>
      <c r="S240">
        <f t="shared" si="962"/>
        <v>341.54592250358894</v>
      </c>
      <c r="T240">
        <f t="shared" si="963"/>
        <v>0.34154592250358895</v>
      </c>
    </row>
    <row r="241" spans="1:20" x14ac:dyDescent="0.25">
      <c r="A241" s="5">
        <v>44352</v>
      </c>
      <c r="B241">
        <v>34.686</v>
      </c>
      <c r="C241">
        <v>36.731000000000002</v>
      </c>
      <c r="D241">
        <v>32.58</v>
      </c>
      <c r="E241">
        <v>33.508000000000003</v>
      </c>
      <c r="F241">
        <v>833586.429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-0.55287882437966585</v>
      </c>
      <c r="Q241">
        <f t="shared" si="960"/>
        <v>-460872.28488436382</v>
      </c>
      <c r="R241">
        <f t="shared" si="961"/>
        <v>34226903.758950777</v>
      </c>
      <c r="S241">
        <f t="shared" si="962"/>
        <v>342.26903758950778</v>
      </c>
      <c r="T241">
        <f t="shared" si="963"/>
        <v>0.34226903758950777</v>
      </c>
    </row>
    <row r="242" spans="1:20" x14ac:dyDescent="0.25">
      <c r="A242" s="5">
        <v>44351</v>
      </c>
      <c r="B242">
        <v>36.481999999999999</v>
      </c>
      <c r="C242">
        <v>36.5</v>
      </c>
      <c r="D242">
        <v>32.926000000000002</v>
      </c>
      <c r="E242">
        <v>34.652000000000001</v>
      </c>
      <c r="F242">
        <v>680473.48800000001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-3.4135422495803008E-2</v>
      </c>
      <c r="Q242">
        <f t="shared" si="960"/>
        <v>-23228.250010072737</v>
      </c>
      <c r="R242">
        <f t="shared" si="961"/>
        <v>34687776.043835141</v>
      </c>
      <c r="S242">
        <f t="shared" si="962"/>
        <v>346.8777604383514</v>
      </c>
      <c r="T242">
        <f t="shared" si="963"/>
        <v>0.34687776043835139</v>
      </c>
    </row>
    <row r="243" spans="1:20" x14ac:dyDescent="0.25">
      <c r="A243" s="5">
        <v>44350</v>
      </c>
      <c r="B243">
        <v>34.914000000000001</v>
      </c>
      <c r="C243">
        <v>36.841000000000001</v>
      </c>
      <c r="D243">
        <v>34.261000000000003</v>
      </c>
      <c r="E243">
        <v>36.46</v>
      </c>
      <c r="F243">
        <v>286695.42599999998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0.70465116279069728</v>
      </c>
      <c r="Q243">
        <f t="shared" si="960"/>
        <v>202020.26529767428</v>
      </c>
      <c r="R243">
        <f t="shared" si="961"/>
        <v>34711004.293845214</v>
      </c>
      <c r="S243">
        <f t="shared" si="962"/>
        <v>347.11004293845212</v>
      </c>
      <c r="T243">
        <f t="shared" si="963"/>
        <v>0.3471100429384521</v>
      </c>
    </row>
    <row r="244" spans="1:20" x14ac:dyDescent="0.25">
      <c r="A244" s="5">
        <v>44349</v>
      </c>
      <c r="B244">
        <v>33.853000000000002</v>
      </c>
      <c r="C244">
        <v>36.222999999999999</v>
      </c>
      <c r="D244">
        <v>32.96</v>
      </c>
      <c r="E244">
        <v>34.939</v>
      </c>
      <c r="F244">
        <v>422135.99800000002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0.21299417713760363</v>
      </c>
      <c r="Q244">
        <f t="shared" si="960"/>
        <v>89912.509534171098</v>
      </c>
      <c r="R244">
        <f t="shared" si="961"/>
        <v>34508984.02854754</v>
      </c>
      <c r="S244">
        <f t="shared" si="962"/>
        <v>345.08984028547542</v>
      </c>
      <c r="T244">
        <f t="shared" si="963"/>
        <v>0.3450898402854754</v>
      </c>
    </row>
    <row r="245" spans="1:20" x14ac:dyDescent="0.25">
      <c r="A245" s="5">
        <v>44348</v>
      </c>
      <c r="B245">
        <v>34</v>
      </c>
      <c r="C245">
        <v>34.787999999999997</v>
      </c>
      <c r="D245">
        <v>32.685000000000002</v>
      </c>
      <c r="E245">
        <v>33.804000000000002</v>
      </c>
      <c r="F245">
        <v>189817.36799999999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6.419400855920375E-2</v>
      </c>
      <c r="Q245">
        <f t="shared" si="960"/>
        <v>12185.137746077527</v>
      </c>
      <c r="R245">
        <f t="shared" si="961"/>
        <v>34419071.519013368</v>
      </c>
      <c r="S245">
        <f t="shared" si="962"/>
        <v>344.19071519013369</v>
      </c>
      <c r="T245">
        <f t="shared" si="963"/>
        <v>0.34419071519013367</v>
      </c>
    </row>
    <row r="246" spans="1:20" x14ac:dyDescent="0.25">
      <c r="A246" s="5">
        <v>44347</v>
      </c>
      <c r="B246">
        <v>31.408000000000001</v>
      </c>
      <c r="C246">
        <v>34.168999999999997</v>
      </c>
      <c r="D246">
        <v>29.86</v>
      </c>
      <c r="E246">
        <v>34.026000000000003</v>
      </c>
      <c r="F246">
        <v>483724.60700000002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0.93362729171501802</v>
      </c>
      <c r="Q246">
        <f t="shared" si="960"/>
        <v>451618.49476932146</v>
      </c>
      <c r="R246">
        <f t="shared" si="961"/>
        <v>34406886.381267287</v>
      </c>
      <c r="S246">
        <f t="shared" si="962"/>
        <v>344.06886381267287</v>
      </c>
      <c r="T246">
        <f t="shared" si="963"/>
        <v>0.34406886381267288</v>
      </c>
    </row>
    <row r="247" spans="1:20" x14ac:dyDescent="0.25">
      <c r="A247" s="5">
        <v>44346</v>
      </c>
      <c r="B247">
        <v>30.350999999999999</v>
      </c>
      <c r="C247">
        <v>32.728999999999999</v>
      </c>
      <c r="D247">
        <v>29.141999999999999</v>
      </c>
      <c r="E247">
        <v>31.428999999999998</v>
      </c>
      <c r="F247">
        <v>184675.67300000001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0.27516030108725908</v>
      </c>
      <c r="Q247">
        <f t="shared" si="960"/>
        <v>50815.413786172205</v>
      </c>
      <c r="R247">
        <f t="shared" si="961"/>
        <v>33955267.886497967</v>
      </c>
      <c r="S247">
        <f t="shared" si="962"/>
        <v>339.55267886497967</v>
      </c>
      <c r="T247">
        <f t="shared" si="963"/>
        <v>0.3395526788649797</v>
      </c>
    </row>
    <row r="248" spans="1:20" x14ac:dyDescent="0.25">
      <c r="A248" s="5">
        <v>44345</v>
      </c>
      <c r="B248">
        <v>32.225000000000001</v>
      </c>
      <c r="C248">
        <v>33.936</v>
      </c>
      <c r="D248">
        <v>29.387</v>
      </c>
      <c r="E248">
        <v>30.332999999999998</v>
      </c>
      <c r="F248">
        <v>294741.11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-0.58408441415695844</v>
      </c>
      <c r="Q248">
        <f t="shared" si="960"/>
        <v>-172153.68856232165</v>
      </c>
      <c r="R248">
        <f t="shared" si="961"/>
        <v>33904452.472711794</v>
      </c>
      <c r="S248">
        <f t="shared" si="962"/>
        <v>339.04452472711796</v>
      </c>
      <c r="T248">
        <f t="shared" si="963"/>
        <v>0.33904452472711794</v>
      </c>
    </row>
    <row r="249" spans="1:20" x14ac:dyDescent="0.25">
      <c r="A249" s="5">
        <v>44344</v>
      </c>
      <c r="B249">
        <v>35.813000000000002</v>
      </c>
      <c r="C249">
        <v>36.277999999999999</v>
      </c>
      <c r="D249">
        <v>31.231000000000002</v>
      </c>
      <c r="E249">
        <v>32.225999999999999</v>
      </c>
      <c r="F249">
        <v>272775.91700000002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-0.60570636021398927</v>
      </c>
      <c r="Q249">
        <f t="shared" si="960"/>
        <v>-165222.10784010324</v>
      </c>
      <c r="R249">
        <f t="shared" si="961"/>
        <v>34076606.161274113</v>
      </c>
      <c r="S249">
        <f t="shared" si="962"/>
        <v>340.76606161274111</v>
      </c>
      <c r="T249">
        <f t="shared" si="963"/>
        <v>0.34076606161274109</v>
      </c>
    </row>
    <row r="250" spans="1:20" x14ac:dyDescent="0.25">
      <c r="A250" s="5">
        <v>44343</v>
      </c>
      <c r="B250">
        <v>36.722000000000001</v>
      </c>
      <c r="C250">
        <v>37.426000000000002</v>
      </c>
      <c r="D250">
        <v>34.020000000000003</v>
      </c>
      <c r="E250">
        <v>35.866</v>
      </c>
      <c r="F250">
        <v>359505.12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8.3969465648853311E-2</v>
      </c>
      <c r="Q250">
        <f t="shared" si="960"/>
        <v>30187.452824426888</v>
      </c>
      <c r="R250">
        <f t="shared" si="961"/>
        <v>34241828.269114219</v>
      </c>
      <c r="S250">
        <f t="shared" si="962"/>
        <v>342.41828269114217</v>
      </c>
      <c r="T250">
        <f t="shared" si="963"/>
        <v>0.34241828269114216</v>
      </c>
    </row>
    <row r="251" spans="1:20" x14ac:dyDescent="0.25">
      <c r="A251" s="5">
        <v>44342</v>
      </c>
      <c r="B251">
        <v>33.268999999999998</v>
      </c>
      <c r="C251">
        <v>37.000999999999998</v>
      </c>
      <c r="D251">
        <v>32.71</v>
      </c>
      <c r="E251">
        <v>36.722000000000001</v>
      </c>
      <c r="F251">
        <v>520801.80800000002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0.86996038219529404</v>
      </c>
      <c r="Q251">
        <f t="shared" si="960"/>
        <v>453076.93993568019</v>
      </c>
      <c r="R251">
        <f t="shared" si="961"/>
        <v>34211640.81628979</v>
      </c>
      <c r="S251">
        <f t="shared" si="962"/>
        <v>342.11640816289793</v>
      </c>
      <c r="T251">
        <f t="shared" si="963"/>
        <v>0.3421164081628979</v>
      </c>
    </row>
    <row r="252" spans="1:20" x14ac:dyDescent="0.25">
      <c r="A252" s="5">
        <v>44341</v>
      </c>
      <c r="B252">
        <v>33.408999999999999</v>
      </c>
      <c r="C252">
        <v>34.667999999999999</v>
      </c>
      <c r="D252">
        <v>30.265000000000001</v>
      </c>
      <c r="E252">
        <v>33.276000000000003</v>
      </c>
      <c r="F252">
        <v>438491.527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0.36770383829207526</v>
      </c>
      <c r="Q252">
        <f t="shared" si="960"/>
        <v>161235.01753645315</v>
      </c>
      <c r="R252">
        <f t="shared" si="961"/>
        <v>33758563.876354113</v>
      </c>
      <c r="S252">
        <f t="shared" si="962"/>
        <v>337.58563876354111</v>
      </c>
      <c r="T252">
        <f t="shared" si="963"/>
        <v>0.33758563876354108</v>
      </c>
    </row>
    <row r="253" spans="1:20" x14ac:dyDescent="0.25">
      <c r="A253" s="5">
        <v>44340</v>
      </c>
      <c r="B253">
        <v>26.928999999999998</v>
      </c>
      <c r="C253">
        <v>33.768000000000001</v>
      </c>
      <c r="D253">
        <v>26.919</v>
      </c>
      <c r="E253">
        <v>33.268999999999998</v>
      </c>
      <c r="F253">
        <v>643509.65599999996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0.85428529712366696</v>
      </c>
      <c r="Q253">
        <f t="shared" si="960"/>
        <v>549740.83767790871</v>
      </c>
      <c r="R253">
        <f t="shared" si="961"/>
        <v>33597328.858817659</v>
      </c>
      <c r="S253">
        <f t="shared" si="962"/>
        <v>335.97328858817662</v>
      </c>
      <c r="T253">
        <f t="shared" si="963"/>
        <v>0.3359732885881766</v>
      </c>
    </row>
    <row r="254" spans="1:20" x14ac:dyDescent="0.25">
      <c r="A254" s="5">
        <v>44339</v>
      </c>
      <c r="B254">
        <v>33.332999999999998</v>
      </c>
      <c r="C254">
        <v>34.024000000000001</v>
      </c>
      <c r="D254">
        <v>22.734000000000002</v>
      </c>
      <c r="E254">
        <v>26.959</v>
      </c>
      <c r="F254">
        <v>1225097.808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-0.25155004428697997</v>
      </c>
      <c r="Q254">
        <f t="shared" si="960"/>
        <v>-308173.40785828209</v>
      </c>
      <c r="R254">
        <f t="shared" si="961"/>
        <v>33047588.021139748</v>
      </c>
      <c r="S254">
        <f t="shared" si="962"/>
        <v>330.47588021139751</v>
      </c>
      <c r="T254">
        <f t="shared" si="963"/>
        <v>0.33047588021139751</v>
      </c>
    </row>
    <row r="255" spans="1:20" x14ac:dyDescent="0.25">
      <c r="A255" s="5">
        <v>44338</v>
      </c>
      <c r="B255">
        <v>36.015000000000001</v>
      </c>
      <c r="C255">
        <v>36.738</v>
      </c>
      <c r="D255">
        <v>32.366</v>
      </c>
      <c r="E255">
        <v>33.267000000000003</v>
      </c>
      <c r="F255">
        <v>476787.99300000002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-0.58783165599267917</v>
      </c>
      <c r="Q255">
        <f t="shared" si="960"/>
        <v>-280271.07548261591</v>
      </c>
      <c r="R255">
        <f t="shared" si="961"/>
        <v>33355761.428998031</v>
      </c>
      <c r="S255">
        <f t="shared" si="962"/>
        <v>333.55761428998028</v>
      </c>
      <c r="T255">
        <f t="shared" si="963"/>
        <v>0.33355761428998026</v>
      </c>
    </row>
    <row r="256" spans="1:20" x14ac:dyDescent="0.25">
      <c r="A256" s="5">
        <v>44337</v>
      </c>
      <c r="B256">
        <v>40.74</v>
      </c>
      <c r="C256">
        <v>42.539000000000001</v>
      </c>
      <c r="D256">
        <v>32.01</v>
      </c>
      <c r="E256">
        <v>36.014000000000003</v>
      </c>
      <c r="F256">
        <v>736084.18400000001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-0.23943394434419155</v>
      </c>
      <c r="Q256">
        <f t="shared" si="960"/>
        <v>-176243.53954449564</v>
      </c>
      <c r="R256">
        <f t="shared" si="961"/>
        <v>33636032.504480645</v>
      </c>
      <c r="S256">
        <f t="shared" si="962"/>
        <v>336.36032504480647</v>
      </c>
      <c r="T256">
        <f t="shared" si="963"/>
        <v>0.33636032504480645</v>
      </c>
    </row>
    <row r="257" spans="1:20" x14ac:dyDescent="0.25">
      <c r="A257" s="5">
        <v>44336</v>
      </c>
      <c r="B257">
        <v>36.661999999999999</v>
      </c>
      <c r="C257">
        <v>43.473999999999997</v>
      </c>
      <c r="D257">
        <v>31.95</v>
      </c>
      <c r="E257">
        <v>40.686999999999998</v>
      </c>
      <c r="F257">
        <v>839632.48800000001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0.5163137799375217</v>
      </c>
      <c r="Q257">
        <f t="shared" si="960"/>
        <v>433513.82363762584</v>
      </c>
      <c r="R257">
        <f t="shared" si="961"/>
        <v>33812276.044025138</v>
      </c>
      <c r="S257">
        <f t="shared" si="962"/>
        <v>338.1227604402514</v>
      </c>
      <c r="T257">
        <f t="shared" si="963"/>
        <v>0.33812276044025141</v>
      </c>
    </row>
    <row r="258" spans="1:20" x14ac:dyDescent="0.25">
      <c r="A258" s="5">
        <v>44335</v>
      </c>
      <c r="B258">
        <v>51.008000000000003</v>
      </c>
      <c r="C258">
        <v>51.805</v>
      </c>
      <c r="D258">
        <v>33.799999999999997</v>
      </c>
      <c r="E258">
        <v>36.661999999999999</v>
      </c>
      <c r="F258">
        <v>1549121.1610000001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-0.68208830880311011</v>
      </c>
      <c r="Q258">
        <f t="shared" si="960"/>
        <v>-1056637.4328376006</v>
      </c>
      <c r="R258">
        <f t="shared" si="961"/>
        <v>33378762.220387515</v>
      </c>
      <c r="S258">
        <f t="shared" si="962"/>
        <v>333.78762220387517</v>
      </c>
      <c r="T258">
        <f t="shared" si="963"/>
        <v>0.3337876222038752</v>
      </c>
    </row>
    <row r="259" spans="1:20" x14ac:dyDescent="0.25">
      <c r="A259" s="5">
        <v>44334</v>
      </c>
      <c r="B259">
        <v>50.445</v>
      </c>
      <c r="C259">
        <v>54</v>
      </c>
      <c r="D259">
        <v>49.884</v>
      </c>
      <c r="E259">
        <v>50.99</v>
      </c>
      <c r="F259">
        <v>550346.68599999999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-0.46258503401360462</v>
      </c>
      <c r="Q259">
        <f t="shared" si="960"/>
        <v>-254582.14046258459</v>
      </c>
      <c r="R259">
        <f t="shared" si="961"/>
        <v>34435399.653225116</v>
      </c>
      <c r="S259">
        <f t="shared" si="962"/>
        <v>344.35399653225119</v>
      </c>
      <c r="T259">
        <f t="shared" si="963"/>
        <v>0.34435399653225118</v>
      </c>
    </row>
    <row r="260" spans="1:20" x14ac:dyDescent="0.25">
      <c r="A260" s="5">
        <v>44333</v>
      </c>
      <c r="B260">
        <v>53.962000000000003</v>
      </c>
      <c r="C260">
        <v>54.118000000000002</v>
      </c>
      <c r="D260">
        <v>47.725999999999999</v>
      </c>
      <c r="E260">
        <v>50.448</v>
      </c>
      <c r="F260">
        <v>615287.32799999998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-0.14831038798498122</v>
      </c>
      <c r="Q260">
        <f t="shared" si="960"/>
        <v>-91253.5023379224</v>
      </c>
      <c r="R260">
        <f t="shared" si="961"/>
        <v>34689981.793687701</v>
      </c>
      <c r="S260">
        <f t="shared" si="962"/>
        <v>346.89981793687701</v>
      </c>
      <c r="T260">
        <f t="shared" si="963"/>
        <v>0.34689981793687702</v>
      </c>
    </row>
    <row r="261" spans="1:20" x14ac:dyDescent="0.25">
      <c r="A261" s="5">
        <v>44332</v>
      </c>
      <c r="B261">
        <v>53.332999999999998</v>
      </c>
      <c r="C261">
        <v>56.779000000000003</v>
      </c>
      <c r="D261">
        <v>50.500999999999998</v>
      </c>
      <c r="E261">
        <v>54.015000000000001</v>
      </c>
      <c r="F261">
        <v>443116.97200000001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0.11946479770627577</v>
      </c>
      <c r="Q261">
        <f t="shared" si="960"/>
        <v>52936.879420197467</v>
      </c>
      <c r="R261">
        <f t="shared" si="961"/>
        <v>34781235.296025626</v>
      </c>
      <c r="S261">
        <f t="shared" si="962"/>
        <v>347.81235296025625</v>
      </c>
      <c r="T261">
        <f t="shared" si="963"/>
        <v>0.34781235296025625</v>
      </c>
    </row>
    <row r="262" spans="1:20" x14ac:dyDescent="0.25">
      <c r="A262" s="5">
        <v>44331</v>
      </c>
      <c r="B262">
        <v>57.823999999999998</v>
      </c>
      <c r="C262">
        <v>58.499000000000002</v>
      </c>
      <c r="D262">
        <v>53.128</v>
      </c>
      <c r="E262">
        <v>53.3</v>
      </c>
      <c r="F262">
        <v>465168.98100000003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-0.93595233662260402</v>
      </c>
      <c r="Q262">
        <f t="shared" ref="Q262:Q325" si="965">F262*P262</f>
        <v>-435375.99469130574</v>
      </c>
      <c r="R262">
        <f t="shared" ref="R262:R325" si="966">R263+Q262</f>
        <v>34728298.416605428</v>
      </c>
      <c r="S262">
        <f t="shared" ref="S262:S325" si="967">R262/100000</f>
        <v>347.28298416605429</v>
      </c>
      <c r="T262">
        <f t="shared" ref="T262:T325" si="968">S262/1000</f>
        <v>0.3472829841660543</v>
      </c>
    </row>
    <row r="263" spans="1:20" x14ac:dyDescent="0.25">
      <c r="A263" s="5">
        <v>44330</v>
      </c>
      <c r="B263">
        <v>54.654000000000003</v>
      </c>
      <c r="C263">
        <v>58.65</v>
      </c>
      <c r="D263">
        <v>53.832000000000001</v>
      </c>
      <c r="E263">
        <v>57.863999999999997</v>
      </c>
      <c r="F263">
        <v>502463.02100000001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0.67372353673723462</v>
      </c>
      <c r="Q263">
        <f t="shared" si="965"/>
        <v>338521.1635877954</v>
      </c>
      <c r="R263">
        <f t="shared" si="966"/>
        <v>35163674.411296733</v>
      </c>
      <c r="S263">
        <f t="shared" si="967"/>
        <v>351.63674411296734</v>
      </c>
      <c r="T263">
        <f t="shared" si="968"/>
        <v>0.35163674411296736</v>
      </c>
    </row>
    <row r="264" spans="1:20" x14ac:dyDescent="0.25">
      <c r="A264" s="5">
        <v>44329</v>
      </c>
      <c r="B264">
        <v>55.896999999999998</v>
      </c>
      <c r="C264">
        <v>58.781999999999996</v>
      </c>
      <c r="D264">
        <v>52</v>
      </c>
      <c r="E264">
        <v>54.65</v>
      </c>
      <c r="F264">
        <v>918920.31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-0.21851961073429668</v>
      </c>
      <c r="Q264">
        <f t="shared" si="965"/>
        <v>-200802.10843703925</v>
      </c>
      <c r="R264">
        <f t="shared" si="966"/>
        <v>34825153.247708939</v>
      </c>
      <c r="S264">
        <f t="shared" si="967"/>
        <v>348.25153247708937</v>
      </c>
      <c r="T264">
        <f t="shared" si="968"/>
        <v>0.34825153247708934</v>
      </c>
    </row>
    <row r="265" spans="1:20" x14ac:dyDescent="0.25">
      <c r="A265" s="5">
        <v>44328</v>
      </c>
      <c r="B265">
        <v>61.262</v>
      </c>
      <c r="C265">
        <v>63.05</v>
      </c>
      <c r="D265">
        <v>55.8</v>
      </c>
      <c r="E265">
        <v>55.896999999999998</v>
      </c>
      <c r="F265">
        <v>650882.93599999999</v>
      </c>
      <c r="G265">
        <v>0</v>
      </c>
      <c r="L265" t="s">
        <v>7</v>
      </c>
      <c r="M265" t="s">
        <v>8</v>
      </c>
      <c r="N265" t="s">
        <v>8</v>
      </c>
      <c r="P265">
        <f t="shared" si="964"/>
        <v>-0.97324137931034449</v>
      </c>
      <c r="Q265">
        <f t="shared" si="965"/>
        <v>-633466.20640220668</v>
      </c>
      <c r="R265">
        <f t="shared" si="966"/>
        <v>35025955.356145978</v>
      </c>
      <c r="S265">
        <f t="shared" si="967"/>
        <v>350.25955356145977</v>
      </c>
      <c r="T265">
        <f t="shared" si="968"/>
        <v>0.35025955356145977</v>
      </c>
    </row>
    <row r="266" spans="1:20" x14ac:dyDescent="0.25">
      <c r="A266" s="5">
        <v>44327</v>
      </c>
      <c r="B266">
        <v>59.115000000000002</v>
      </c>
      <c r="C266">
        <v>61.408999999999999</v>
      </c>
      <c r="D266">
        <v>57.378</v>
      </c>
      <c r="E266">
        <v>61.256999999999998</v>
      </c>
      <c r="F266">
        <v>397267.25300000003</v>
      </c>
      <c r="G266">
        <v>0</v>
      </c>
      <c r="L266" t="s">
        <v>7</v>
      </c>
      <c r="M266" t="s">
        <v>8</v>
      </c>
      <c r="N266" t="s">
        <v>8</v>
      </c>
      <c r="P266">
        <f t="shared" si="964"/>
        <v>0.92458447035475011</v>
      </c>
      <c r="Q266">
        <f t="shared" si="965"/>
        <v>367307.13270429155</v>
      </c>
      <c r="R266">
        <f t="shared" si="966"/>
        <v>35659421.562548183</v>
      </c>
      <c r="S266">
        <f t="shared" si="967"/>
        <v>356.59421562548181</v>
      </c>
      <c r="T266">
        <f t="shared" si="968"/>
        <v>0.35659421562548183</v>
      </c>
    </row>
    <row r="267" spans="1:20" x14ac:dyDescent="0.25">
      <c r="A267" s="5">
        <v>44326</v>
      </c>
      <c r="B267">
        <v>60.94</v>
      </c>
      <c r="C267">
        <v>63.13</v>
      </c>
      <c r="D267">
        <v>55.8</v>
      </c>
      <c r="E267">
        <v>59.194000000000003</v>
      </c>
      <c r="F267">
        <v>614513.87199999997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-7.3942701227830032E-2</v>
      </c>
      <c r="Q267">
        <f t="shared" si="965"/>
        <v>-45438.815637652988</v>
      </c>
      <c r="R267">
        <f t="shared" si="966"/>
        <v>35292114.429843888</v>
      </c>
      <c r="S267">
        <f t="shared" si="967"/>
        <v>352.92114429843889</v>
      </c>
      <c r="T267">
        <f t="shared" si="968"/>
        <v>0.3529211442984389</v>
      </c>
    </row>
    <row r="268" spans="1:20" x14ac:dyDescent="0.25">
      <c r="A268" s="5">
        <v>44325</v>
      </c>
      <c r="B268">
        <v>61.334000000000003</v>
      </c>
      <c r="C268">
        <v>61.698999999999998</v>
      </c>
      <c r="D268">
        <v>59.161000000000001</v>
      </c>
      <c r="E268">
        <v>60.938000000000002</v>
      </c>
      <c r="F268">
        <v>365587.728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0.40031520882584976</v>
      </c>
      <c r="Q268">
        <f t="shared" si="965"/>
        <v>146350.32767848796</v>
      </c>
      <c r="R268">
        <f t="shared" si="966"/>
        <v>35337553.245481543</v>
      </c>
      <c r="S268">
        <f t="shared" si="967"/>
        <v>353.37553245481541</v>
      </c>
      <c r="T268">
        <f t="shared" si="968"/>
        <v>0.3533755324548154</v>
      </c>
    </row>
    <row r="269" spans="1:20" x14ac:dyDescent="0.25">
      <c r="A269" s="5">
        <v>44324</v>
      </c>
      <c r="B269">
        <v>58.478000000000002</v>
      </c>
      <c r="C269">
        <v>61.887999999999998</v>
      </c>
      <c r="D269">
        <v>58.006999999999998</v>
      </c>
      <c r="E269">
        <v>61.259</v>
      </c>
      <c r="F269">
        <v>518157.44799999997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0.6758567379541367</v>
      </c>
      <c r="Q269">
        <f t="shared" si="965"/>
        <v>350200.2025519202</v>
      </c>
      <c r="R269">
        <f t="shared" si="966"/>
        <v>35191202.917803057</v>
      </c>
      <c r="S269">
        <f t="shared" si="967"/>
        <v>351.91202917803059</v>
      </c>
      <c r="T269">
        <f t="shared" si="968"/>
        <v>0.35191202917803061</v>
      </c>
    </row>
    <row r="270" spans="1:20" x14ac:dyDescent="0.25">
      <c r="A270" s="5">
        <v>44323</v>
      </c>
      <c r="B270">
        <v>58</v>
      </c>
      <c r="C270">
        <v>59.798000000000002</v>
      </c>
      <c r="D270">
        <v>56</v>
      </c>
      <c r="E270">
        <v>58.6</v>
      </c>
      <c r="F270">
        <v>442084.10200000001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0.36914165350184319</v>
      </c>
      <c r="Q270">
        <f t="shared" si="965"/>
        <v>163191.65639915751</v>
      </c>
      <c r="R270">
        <f t="shared" si="966"/>
        <v>34841002.715251133</v>
      </c>
      <c r="S270">
        <f t="shared" si="967"/>
        <v>348.4100271525113</v>
      </c>
      <c r="T270">
        <f t="shared" si="968"/>
        <v>0.34841002715251129</v>
      </c>
    </row>
    <row r="271" spans="1:20" x14ac:dyDescent="0.25">
      <c r="A271" s="5">
        <v>44322</v>
      </c>
      <c r="B271">
        <v>58.491999999999997</v>
      </c>
      <c r="C271">
        <v>59.128999999999998</v>
      </c>
      <c r="D271">
        <v>56.384999999999998</v>
      </c>
      <c r="E271">
        <v>57.994</v>
      </c>
      <c r="F271">
        <v>473663.815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0.1727405247813425</v>
      </c>
      <c r="Q271">
        <f t="shared" si="965"/>
        <v>81820.935973032727</v>
      </c>
      <c r="R271">
        <f t="shared" si="966"/>
        <v>34677811.058851972</v>
      </c>
      <c r="S271">
        <f t="shared" si="967"/>
        <v>346.77811058851972</v>
      </c>
      <c r="T271">
        <f t="shared" si="968"/>
        <v>0.34677811058851971</v>
      </c>
    </row>
    <row r="272" spans="1:20" x14ac:dyDescent="0.25">
      <c r="A272" s="5">
        <v>44321</v>
      </c>
      <c r="B272">
        <v>53.829000000000001</v>
      </c>
      <c r="C272">
        <v>58.557000000000002</v>
      </c>
      <c r="D272">
        <v>53.441000000000003</v>
      </c>
      <c r="E272">
        <v>58.491999999999997</v>
      </c>
      <c r="F272">
        <v>407565.67700000003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0.97458952306489255</v>
      </c>
      <c r="Q272">
        <f t="shared" si="965"/>
        <v>397209.23876505008</v>
      </c>
      <c r="R272">
        <f t="shared" si="966"/>
        <v>34595990.122878939</v>
      </c>
      <c r="S272">
        <f t="shared" si="967"/>
        <v>345.95990122878936</v>
      </c>
      <c r="T272">
        <f t="shared" si="968"/>
        <v>0.34595990122878939</v>
      </c>
    </row>
    <row r="273" spans="1:20" x14ac:dyDescent="0.25">
      <c r="A273" s="5">
        <v>44320</v>
      </c>
      <c r="B273">
        <v>57.917000000000002</v>
      </c>
      <c r="C273">
        <v>57.973999999999997</v>
      </c>
      <c r="D273">
        <v>53.112000000000002</v>
      </c>
      <c r="E273">
        <v>53.844999999999999</v>
      </c>
      <c r="F273">
        <v>884805.02300000004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-0.69847799259564058</v>
      </c>
      <c r="Q273">
        <f t="shared" si="965"/>
        <v>-618016.83630357962</v>
      </c>
      <c r="R273">
        <f t="shared" si="966"/>
        <v>34198780.884113885</v>
      </c>
      <c r="S273">
        <f t="shared" si="967"/>
        <v>341.98780884113887</v>
      </c>
      <c r="T273">
        <f t="shared" si="968"/>
        <v>0.34198780884113889</v>
      </c>
    </row>
    <row r="274" spans="1:20" x14ac:dyDescent="0.25">
      <c r="A274" s="5">
        <v>44319</v>
      </c>
      <c r="B274">
        <v>54.917999999999999</v>
      </c>
      <c r="C274">
        <v>58.198999999999998</v>
      </c>
      <c r="D274">
        <v>54.887</v>
      </c>
      <c r="E274">
        <v>57.89</v>
      </c>
      <c r="F274">
        <v>602470.87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0.81340579710145067</v>
      </c>
      <c r="Q274">
        <f t="shared" si="965"/>
        <v>490053.29824275448</v>
      </c>
      <c r="R274">
        <f t="shared" si="966"/>
        <v>34816797.720417462</v>
      </c>
      <c r="S274">
        <f t="shared" si="967"/>
        <v>348.16797720417463</v>
      </c>
      <c r="T274">
        <f t="shared" si="968"/>
        <v>0.34816797720417464</v>
      </c>
    </row>
    <row r="275" spans="1:20" x14ac:dyDescent="0.25">
      <c r="A275" s="5">
        <v>44318</v>
      </c>
      <c r="B275">
        <v>55.469000000000001</v>
      </c>
      <c r="C275">
        <v>55.55</v>
      </c>
      <c r="D275">
        <v>53.594999999999999</v>
      </c>
      <c r="E275">
        <v>54.93</v>
      </c>
      <c r="F275">
        <v>279517.67599999998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0.36572890025575655</v>
      </c>
      <c r="Q275">
        <f t="shared" si="965"/>
        <v>102227.69224552487</v>
      </c>
      <c r="R275">
        <f t="shared" si="966"/>
        <v>34326744.422174707</v>
      </c>
      <c r="S275">
        <f t="shared" si="967"/>
        <v>343.2674442217471</v>
      </c>
      <c r="T275">
        <f t="shared" si="968"/>
        <v>0.3432674442217471</v>
      </c>
    </row>
    <row r="276" spans="1:20" x14ac:dyDescent="0.25">
      <c r="A276" s="5">
        <v>44317</v>
      </c>
      <c r="B276">
        <v>54.719000000000001</v>
      </c>
      <c r="C276">
        <v>55.64</v>
      </c>
      <c r="D276">
        <v>54.191000000000003</v>
      </c>
      <c r="E276">
        <v>55.469000000000001</v>
      </c>
      <c r="F276">
        <v>376085.43400000001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0.76397515527950366</v>
      </c>
      <c r="Q276">
        <f t="shared" si="965"/>
        <v>287319.92783850955</v>
      </c>
      <c r="R276">
        <f t="shared" si="966"/>
        <v>34224516.729929179</v>
      </c>
      <c r="S276">
        <f t="shared" si="967"/>
        <v>342.24516729929178</v>
      </c>
      <c r="T276">
        <f t="shared" si="968"/>
        <v>0.34224516729929177</v>
      </c>
    </row>
    <row r="277" spans="1:20" x14ac:dyDescent="0.25">
      <c r="A277" s="5">
        <v>44316</v>
      </c>
      <c r="B277">
        <v>52.381</v>
      </c>
      <c r="C277">
        <v>54.936999999999998</v>
      </c>
      <c r="D277">
        <v>51.622999999999998</v>
      </c>
      <c r="E277">
        <v>54.719000000000001</v>
      </c>
      <c r="F277">
        <v>505623.27399999998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0.86843693421846924</v>
      </c>
      <c r="Q277">
        <f t="shared" si="965"/>
        <v>439101.92594206502</v>
      </c>
      <c r="R277">
        <f t="shared" si="966"/>
        <v>33937196.802090667</v>
      </c>
      <c r="S277">
        <f t="shared" si="967"/>
        <v>339.37196802090665</v>
      </c>
      <c r="T277">
        <f t="shared" si="968"/>
        <v>0.33937196802090663</v>
      </c>
    </row>
    <row r="278" spans="1:20" x14ac:dyDescent="0.25">
      <c r="A278" s="5">
        <v>44315</v>
      </c>
      <c r="B278">
        <v>52.91</v>
      </c>
      <c r="C278">
        <v>54.277000000000001</v>
      </c>
      <c r="D278">
        <v>50.761000000000003</v>
      </c>
      <c r="E278">
        <v>52.383000000000003</v>
      </c>
      <c r="F278">
        <v>542320.10800000001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-7.7360637087599146E-2</v>
      </c>
      <c r="Q278">
        <f t="shared" si="965"/>
        <v>-41954.229060295576</v>
      </c>
      <c r="R278">
        <f t="shared" si="966"/>
        <v>33498094.876148604</v>
      </c>
      <c r="S278">
        <f t="shared" si="967"/>
        <v>334.98094876148605</v>
      </c>
      <c r="T278">
        <f t="shared" si="968"/>
        <v>0.33498094876148604</v>
      </c>
    </row>
    <row r="279" spans="1:20" x14ac:dyDescent="0.25">
      <c r="A279" s="5">
        <v>44314</v>
      </c>
      <c r="B279">
        <v>53.64</v>
      </c>
      <c r="C279">
        <v>54.460999999999999</v>
      </c>
      <c r="D279">
        <v>51.03</v>
      </c>
      <c r="E279">
        <v>52.938000000000002</v>
      </c>
      <c r="F279">
        <v>565162.19700000004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0.11221218303701702</v>
      </c>
      <c r="Q279">
        <f t="shared" si="965"/>
        <v>63418.083895366675</v>
      </c>
      <c r="R279">
        <f t="shared" si="966"/>
        <v>33540049.1052089</v>
      </c>
      <c r="S279">
        <f t="shared" si="967"/>
        <v>335.40049105208902</v>
      </c>
      <c r="T279">
        <f t="shared" si="968"/>
        <v>0.33540049105208902</v>
      </c>
    </row>
    <row r="280" spans="1:20" x14ac:dyDescent="0.25">
      <c r="A280" s="5">
        <v>44313</v>
      </c>
      <c r="B280">
        <v>50.801000000000002</v>
      </c>
      <c r="C280">
        <v>53.969000000000001</v>
      </c>
      <c r="D280">
        <v>50.264000000000003</v>
      </c>
      <c r="E280">
        <v>53.64</v>
      </c>
      <c r="F280">
        <v>801915.348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0.82240215924426407</v>
      </c>
      <c r="Q280">
        <f t="shared" si="965"/>
        <v>659496.91372631548</v>
      </c>
      <c r="R280">
        <f t="shared" si="966"/>
        <v>33476631.021313533</v>
      </c>
      <c r="S280">
        <f t="shared" si="967"/>
        <v>334.76631021313534</v>
      </c>
      <c r="T280">
        <f t="shared" si="968"/>
        <v>0.33476631021313535</v>
      </c>
    </row>
    <row r="281" spans="1:20" x14ac:dyDescent="0.25">
      <c r="A281" s="5">
        <v>44312</v>
      </c>
      <c r="B281">
        <v>46.433</v>
      </c>
      <c r="C281">
        <v>51.326000000000001</v>
      </c>
      <c r="D281">
        <v>46.173999999999999</v>
      </c>
      <c r="E281">
        <v>50.8</v>
      </c>
      <c r="F281">
        <v>737107.86100000003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0.79580745341614778</v>
      </c>
      <c r="Q281">
        <f t="shared" si="965"/>
        <v>586595.92975543381</v>
      </c>
      <c r="R281">
        <f t="shared" si="966"/>
        <v>32817134.107587218</v>
      </c>
      <c r="S281">
        <f t="shared" si="967"/>
        <v>328.17134107587219</v>
      </c>
      <c r="T281">
        <f t="shared" si="968"/>
        <v>0.3281713410758722</v>
      </c>
    </row>
    <row r="282" spans="1:20" x14ac:dyDescent="0.25">
      <c r="A282" s="5">
        <v>44311</v>
      </c>
      <c r="B282">
        <v>45.595999999999997</v>
      </c>
      <c r="C282">
        <v>48.024999999999999</v>
      </c>
      <c r="D282">
        <v>44</v>
      </c>
      <c r="E282">
        <v>46.427999999999997</v>
      </c>
      <c r="F282">
        <v>381014.05099999998</v>
      </c>
      <c r="G282">
        <v>0</v>
      </c>
      <c r="L282" t="s">
        <v>8</v>
      </c>
      <c r="M282" t="s">
        <v>7</v>
      </c>
      <c r="N282" t="s">
        <v>8</v>
      </c>
      <c r="P282">
        <f t="shared" si="964"/>
        <v>0.20645962732919163</v>
      </c>
      <c r="Q282">
        <f t="shared" si="965"/>
        <v>78664.018976645602</v>
      </c>
      <c r="R282">
        <f t="shared" si="966"/>
        <v>32230538.177831784</v>
      </c>
      <c r="S282">
        <f t="shared" si="967"/>
        <v>322.30538177831784</v>
      </c>
      <c r="T282">
        <f t="shared" si="968"/>
        <v>0.32230538177831786</v>
      </c>
    </row>
    <row r="283" spans="1:20" x14ac:dyDescent="0.25">
      <c r="A283" s="5">
        <v>44310</v>
      </c>
      <c r="B283">
        <v>47.469000000000001</v>
      </c>
      <c r="C283">
        <v>47.515999999999998</v>
      </c>
      <c r="D283">
        <v>44.219000000000001</v>
      </c>
      <c r="E283">
        <v>45.493000000000002</v>
      </c>
      <c r="F283">
        <v>318713.51</v>
      </c>
      <c r="G283">
        <v>0</v>
      </c>
      <c r="L283" t="s">
        <v>8</v>
      </c>
      <c r="M283" t="s">
        <v>7</v>
      </c>
      <c r="N283" t="s">
        <v>8</v>
      </c>
      <c r="P283">
        <f t="shared" si="964"/>
        <v>-0.22717622080679281</v>
      </c>
      <c r="Q283">
        <f t="shared" si="965"/>
        <v>-72404.130721867972</v>
      </c>
      <c r="R283">
        <f t="shared" si="966"/>
        <v>32151874.158855136</v>
      </c>
      <c r="S283">
        <f t="shared" si="967"/>
        <v>321.51874158855139</v>
      </c>
      <c r="T283">
        <f t="shared" si="968"/>
        <v>0.32151874158855137</v>
      </c>
    </row>
    <row r="284" spans="1:20" x14ac:dyDescent="0.25">
      <c r="A284" s="5">
        <v>44309</v>
      </c>
      <c r="B284">
        <v>48.826000000000001</v>
      </c>
      <c r="C284">
        <v>49.52</v>
      </c>
      <c r="D284">
        <v>42.606999999999999</v>
      </c>
      <c r="E284">
        <v>47.411999999999999</v>
      </c>
      <c r="F284">
        <v>4727020.2259999998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0.39013452914798119</v>
      </c>
      <c r="Q284">
        <f t="shared" si="965"/>
        <v>1844173.8101434936</v>
      </c>
      <c r="R284">
        <f t="shared" si="966"/>
        <v>32224278.289577004</v>
      </c>
      <c r="S284">
        <f t="shared" si="967"/>
        <v>322.24278289577006</v>
      </c>
      <c r="T284">
        <f t="shared" si="968"/>
        <v>0.32224278289577007</v>
      </c>
    </row>
    <row r="285" spans="1:20" x14ac:dyDescent="0.25">
      <c r="A285" s="5">
        <v>44308</v>
      </c>
      <c r="B285">
        <v>50.93</v>
      </c>
      <c r="C285">
        <v>53.462000000000003</v>
      </c>
      <c r="D285">
        <v>46.895000000000003</v>
      </c>
      <c r="E285">
        <v>48.808999999999997</v>
      </c>
      <c r="F285">
        <v>1483184.307</v>
      </c>
      <c r="G285">
        <v>0</v>
      </c>
      <c r="L285" t="s">
        <v>7</v>
      </c>
      <c r="M285" t="s">
        <v>8</v>
      </c>
      <c r="N285" t="s">
        <v>8</v>
      </c>
      <c r="P285">
        <f t="shared" si="964"/>
        <v>-0.41708542713568014</v>
      </c>
      <c r="Q285">
        <f t="shared" si="965"/>
        <v>-618614.56020603271</v>
      </c>
      <c r="R285">
        <f t="shared" si="966"/>
        <v>30380104.47943351</v>
      </c>
      <c r="S285">
        <f t="shared" si="967"/>
        <v>303.8010447943351</v>
      </c>
      <c r="T285">
        <f t="shared" si="968"/>
        <v>0.30380104479433512</v>
      </c>
    </row>
    <row r="286" spans="1:20" x14ac:dyDescent="0.25">
      <c r="A286" s="5">
        <v>44307</v>
      </c>
      <c r="B286">
        <v>52.734999999999999</v>
      </c>
      <c r="C286">
        <v>53.591000000000001</v>
      </c>
      <c r="D286">
        <v>50.381</v>
      </c>
      <c r="E286">
        <v>50.886000000000003</v>
      </c>
      <c r="F286">
        <v>953268.02800000005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-0.68535825545171192</v>
      </c>
      <c r="Q286">
        <f t="shared" si="965"/>
        <v>-653330.1126479737</v>
      </c>
      <c r="R286">
        <f t="shared" si="966"/>
        <v>30998719.039639544</v>
      </c>
      <c r="S286">
        <f t="shared" si="967"/>
        <v>309.98719039639542</v>
      </c>
      <c r="T286">
        <f t="shared" si="968"/>
        <v>0.30998719039639544</v>
      </c>
    </row>
    <row r="287" spans="1:20" x14ac:dyDescent="0.25">
      <c r="A287" s="5">
        <v>44306</v>
      </c>
      <c r="B287">
        <v>49.253</v>
      </c>
      <c r="C287">
        <v>52.997</v>
      </c>
      <c r="D287">
        <v>46.3</v>
      </c>
      <c r="E287">
        <v>52.694000000000003</v>
      </c>
      <c r="F287">
        <v>1099796.6029999999</v>
      </c>
      <c r="G287">
        <v>0</v>
      </c>
      <c r="L287" t="s">
        <v>7</v>
      </c>
      <c r="M287" t="s">
        <v>8</v>
      </c>
      <c r="N287" t="s">
        <v>8</v>
      </c>
      <c r="P287">
        <f t="shared" si="964"/>
        <v>0.90951172166641869</v>
      </c>
      <c r="Q287">
        <f t="shared" si="965"/>
        <v>1000277.9018774087</v>
      </c>
      <c r="R287">
        <f t="shared" si="966"/>
        <v>31652049.152287517</v>
      </c>
      <c r="S287">
        <f t="shared" si="967"/>
        <v>316.52049152287515</v>
      </c>
      <c r="T287">
        <f t="shared" si="968"/>
        <v>0.31652049152287515</v>
      </c>
    </row>
    <row r="288" spans="1:20" x14ac:dyDescent="0.25">
      <c r="A288" s="5">
        <v>44305</v>
      </c>
      <c r="B288">
        <v>50.198</v>
      </c>
      <c r="C288">
        <v>52.558999999999997</v>
      </c>
      <c r="D288">
        <v>47.637</v>
      </c>
      <c r="E288">
        <v>49.314</v>
      </c>
      <c r="F288">
        <v>1323244.6599999999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-0.31856968711905703</v>
      </c>
      <c r="Q288">
        <f t="shared" si="965"/>
        <v>-421545.637318163</v>
      </c>
      <c r="R288">
        <f t="shared" si="966"/>
        <v>30651771.25041011</v>
      </c>
      <c r="S288">
        <f t="shared" si="967"/>
        <v>306.5177125041011</v>
      </c>
      <c r="T288">
        <f t="shared" si="968"/>
        <v>0.30651771250410109</v>
      </c>
    </row>
    <row r="289" spans="1:20" x14ac:dyDescent="0.25">
      <c r="A289" s="5">
        <v>44304</v>
      </c>
      <c r="B289">
        <v>51.621000000000002</v>
      </c>
      <c r="C289">
        <v>51.884999999999998</v>
      </c>
      <c r="D289">
        <v>44</v>
      </c>
      <c r="E289">
        <v>50.246000000000002</v>
      </c>
      <c r="F289">
        <v>879784.75600000005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0.58427393785669091</v>
      </c>
      <c r="Q289">
        <f t="shared" si="965"/>
        <v>514035.30385440798</v>
      </c>
      <c r="R289">
        <f t="shared" si="966"/>
        <v>31073316.887728274</v>
      </c>
      <c r="S289">
        <f t="shared" si="967"/>
        <v>310.73316887728276</v>
      </c>
      <c r="T289">
        <f t="shared" si="968"/>
        <v>0.31073316887728275</v>
      </c>
    </row>
    <row r="290" spans="1:20" x14ac:dyDescent="0.25">
      <c r="A290" s="5">
        <v>44303</v>
      </c>
      <c r="B290">
        <v>53.189</v>
      </c>
      <c r="C290">
        <v>54.622</v>
      </c>
      <c r="D290">
        <v>51.067</v>
      </c>
      <c r="E290">
        <v>51.593000000000004</v>
      </c>
      <c r="F290">
        <v>595505.62699999998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-0.70407876230660849</v>
      </c>
      <c r="Q290">
        <f t="shared" si="965"/>
        <v>-419282.86480478081</v>
      </c>
      <c r="R290">
        <f t="shared" si="966"/>
        <v>30559281.583873864</v>
      </c>
      <c r="S290">
        <f t="shared" si="967"/>
        <v>305.59281583873866</v>
      </c>
      <c r="T290">
        <f t="shared" si="968"/>
        <v>0.30559281583873865</v>
      </c>
    </row>
    <row r="291" spans="1:20" x14ac:dyDescent="0.25">
      <c r="A291" s="5">
        <v>44302</v>
      </c>
      <c r="B291">
        <v>56.158999999999999</v>
      </c>
      <c r="C291">
        <v>56.603999999999999</v>
      </c>
      <c r="D291">
        <v>51.73</v>
      </c>
      <c r="E291">
        <v>53.109000000000002</v>
      </c>
      <c r="F291">
        <v>1203356.7949999999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-0.43414033647927608</v>
      </c>
      <c r="Q291">
        <f t="shared" si="965"/>
        <v>-522425.72388592322</v>
      </c>
      <c r="R291">
        <f t="shared" si="966"/>
        <v>30978564.448678646</v>
      </c>
      <c r="S291">
        <f t="shared" si="967"/>
        <v>309.78564448678645</v>
      </c>
      <c r="T291">
        <f t="shared" si="968"/>
        <v>0.30978564448678647</v>
      </c>
    </row>
    <row r="292" spans="1:20" x14ac:dyDescent="0.25">
      <c r="A292" s="5">
        <v>44301</v>
      </c>
      <c r="B292">
        <v>56.098999999999997</v>
      </c>
      <c r="C292">
        <v>58.145000000000003</v>
      </c>
      <c r="D292">
        <v>55.066000000000003</v>
      </c>
      <c r="E292">
        <v>56.198</v>
      </c>
      <c r="F292">
        <v>1258624.9140000001</v>
      </c>
      <c r="G292">
        <v>0</v>
      </c>
      <c r="L292" t="s">
        <v>7</v>
      </c>
      <c r="M292" t="s">
        <v>8</v>
      </c>
      <c r="N292" t="s">
        <v>8</v>
      </c>
      <c r="P292">
        <f t="shared" si="964"/>
        <v>-0.26469632997726689</v>
      </c>
      <c r="Q292">
        <f t="shared" si="965"/>
        <v>-333153.39555375319</v>
      </c>
      <c r="R292">
        <f t="shared" si="966"/>
        <v>31500990.17256457</v>
      </c>
      <c r="S292">
        <f t="shared" si="967"/>
        <v>315.0099017256457</v>
      </c>
      <c r="T292">
        <f t="shared" si="968"/>
        <v>0.31500990172564569</v>
      </c>
    </row>
    <row r="293" spans="1:20" x14ac:dyDescent="0.25">
      <c r="A293" s="5">
        <v>44300</v>
      </c>
      <c r="B293">
        <v>55.317</v>
      </c>
      <c r="C293">
        <v>59.572000000000003</v>
      </c>
      <c r="D293">
        <v>53.442999999999998</v>
      </c>
      <c r="E293">
        <v>56.1</v>
      </c>
      <c r="F293">
        <v>2529181.5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-0.13297438407570519</v>
      </c>
      <c r="Q293">
        <f t="shared" si="965"/>
        <v>-336316.35217816819</v>
      </c>
      <c r="R293">
        <f t="shared" si="966"/>
        <v>31834143.568118323</v>
      </c>
      <c r="S293">
        <f t="shared" si="967"/>
        <v>318.34143568118321</v>
      </c>
      <c r="T293">
        <f t="shared" si="968"/>
        <v>0.31834143568118323</v>
      </c>
    </row>
    <row r="294" spans="1:20" x14ac:dyDescent="0.25">
      <c r="A294" s="5">
        <v>44299</v>
      </c>
      <c r="B294">
        <v>52.771999999999998</v>
      </c>
      <c r="C294">
        <v>55.908999999999999</v>
      </c>
      <c r="D294">
        <v>51.262</v>
      </c>
      <c r="E294">
        <v>55.316000000000003</v>
      </c>
      <c r="F294">
        <v>1353803.804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0.74478157951366619</v>
      </c>
      <c r="Q294">
        <f t="shared" si="965"/>
        <v>1008288.1354947297</v>
      </c>
      <c r="R294">
        <f t="shared" si="966"/>
        <v>32170459.92029649</v>
      </c>
      <c r="S294">
        <f t="shared" si="967"/>
        <v>321.70459920296491</v>
      </c>
      <c r="T294">
        <f t="shared" si="968"/>
        <v>0.3217045992029649</v>
      </c>
    </row>
    <row r="295" spans="1:20" x14ac:dyDescent="0.25">
      <c r="A295" s="5">
        <v>44298</v>
      </c>
      <c r="B295">
        <v>51.328000000000003</v>
      </c>
      <c r="C295">
        <v>55.749000000000002</v>
      </c>
      <c r="D295">
        <v>51</v>
      </c>
      <c r="E295">
        <v>52.825000000000003</v>
      </c>
      <c r="F295">
        <v>1350886.49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-0.23141714045062037</v>
      </c>
      <c r="Q295">
        <f t="shared" si="965"/>
        <v>-312618.28858917556</v>
      </c>
      <c r="R295">
        <f t="shared" si="966"/>
        <v>31162171.784801759</v>
      </c>
      <c r="S295">
        <f t="shared" si="967"/>
        <v>311.62171784801757</v>
      </c>
      <c r="T295">
        <f t="shared" si="968"/>
        <v>0.31162171784801757</v>
      </c>
    </row>
    <row r="296" spans="1:20" x14ac:dyDescent="0.25">
      <c r="A296" s="5">
        <v>44297</v>
      </c>
      <c r="B296">
        <v>49.16</v>
      </c>
      <c r="C296">
        <v>51.343000000000004</v>
      </c>
      <c r="D296">
        <v>48.326999999999998</v>
      </c>
      <c r="E296">
        <v>51.335000000000001</v>
      </c>
      <c r="F296">
        <v>548595.07999999996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0.99469496021219983</v>
      </c>
      <c r="Q296">
        <f t="shared" si="965"/>
        <v>545684.76127320854</v>
      </c>
      <c r="R296">
        <f t="shared" si="966"/>
        <v>31474790.073390935</v>
      </c>
      <c r="S296">
        <f t="shared" si="967"/>
        <v>314.74790073390932</v>
      </c>
      <c r="T296">
        <f t="shared" si="968"/>
        <v>0.31474790073390929</v>
      </c>
    </row>
    <row r="297" spans="1:20" x14ac:dyDescent="0.25">
      <c r="A297" s="5">
        <v>44296</v>
      </c>
      <c r="B297">
        <v>49.951000000000001</v>
      </c>
      <c r="C297">
        <v>52.1</v>
      </c>
      <c r="D297">
        <v>47.744999999999997</v>
      </c>
      <c r="E297">
        <v>49.14</v>
      </c>
      <c r="F297">
        <v>970951.43200000003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-0.35935706084959729</v>
      </c>
      <c r="Q297">
        <f t="shared" si="965"/>
        <v>-348918.25283122761</v>
      </c>
      <c r="R297">
        <f t="shared" si="966"/>
        <v>30929105.312117726</v>
      </c>
      <c r="S297">
        <f t="shared" si="967"/>
        <v>309.29105312117724</v>
      </c>
      <c r="T297">
        <f t="shared" si="968"/>
        <v>0.30929105312117722</v>
      </c>
    </row>
    <row r="298" spans="1:20" x14ac:dyDescent="0.25">
      <c r="A298" s="5">
        <v>44295</v>
      </c>
      <c r="B298">
        <v>48.716999999999999</v>
      </c>
      <c r="C298">
        <v>50.527000000000001</v>
      </c>
      <c r="D298">
        <v>47.427999999999997</v>
      </c>
      <c r="E298">
        <v>49.942</v>
      </c>
      <c r="F298">
        <v>1159587.449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0.62245885769603093</v>
      </c>
      <c r="Q298">
        <f t="shared" si="965"/>
        <v>721795.47890319454</v>
      </c>
      <c r="R298">
        <f t="shared" si="966"/>
        <v>31278023.564948954</v>
      </c>
      <c r="S298">
        <f t="shared" si="967"/>
        <v>312.78023564948955</v>
      </c>
      <c r="T298">
        <f t="shared" si="968"/>
        <v>0.31278023564948954</v>
      </c>
    </row>
    <row r="299" spans="1:20" x14ac:dyDescent="0.25">
      <c r="A299" s="5">
        <v>44294</v>
      </c>
      <c r="B299">
        <v>44.427</v>
      </c>
      <c r="C299">
        <v>48.994999999999997</v>
      </c>
      <c r="D299">
        <v>44.25</v>
      </c>
      <c r="E299">
        <v>48.756999999999998</v>
      </c>
      <c r="F299">
        <v>901791.47499999998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0.89968387776606973</v>
      </c>
      <c r="Q299">
        <f t="shared" si="965"/>
        <v>811327.25116438372</v>
      </c>
      <c r="R299">
        <f t="shared" si="966"/>
        <v>30556228.086045761</v>
      </c>
      <c r="S299">
        <f t="shared" si="967"/>
        <v>305.56228086045763</v>
      </c>
      <c r="T299">
        <f t="shared" si="968"/>
        <v>0.30556228086045761</v>
      </c>
    </row>
    <row r="300" spans="1:20" x14ac:dyDescent="0.25">
      <c r="A300" s="5">
        <v>44293</v>
      </c>
      <c r="B300">
        <v>45.847999999999999</v>
      </c>
      <c r="C300">
        <v>46.55</v>
      </c>
      <c r="D300">
        <v>43</v>
      </c>
      <c r="E300">
        <v>44.435000000000002</v>
      </c>
      <c r="F300">
        <v>1170135.1070000001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-0.19154929577464597</v>
      </c>
      <c r="Q300">
        <f t="shared" si="965"/>
        <v>-224138.55570704001</v>
      </c>
      <c r="R300">
        <f t="shared" si="966"/>
        <v>29744900.834881376</v>
      </c>
      <c r="S300">
        <f t="shared" si="967"/>
        <v>297.44900834881378</v>
      </c>
      <c r="T300">
        <f t="shared" si="968"/>
        <v>0.29744900834881377</v>
      </c>
    </row>
    <row r="301" spans="1:20" x14ac:dyDescent="0.25">
      <c r="A301" s="5">
        <v>44292</v>
      </c>
      <c r="B301">
        <v>43.545999999999999</v>
      </c>
      <c r="C301">
        <v>46.622</v>
      </c>
      <c r="D301">
        <v>42.780999999999999</v>
      </c>
      <c r="E301">
        <v>45.847999999999999</v>
      </c>
      <c r="F301">
        <v>1347998.6569999999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0.59697995313720353</v>
      </c>
      <c r="Q301">
        <f t="shared" si="965"/>
        <v>804728.17508487322</v>
      </c>
      <c r="R301">
        <f t="shared" si="966"/>
        <v>29969039.390588418</v>
      </c>
      <c r="S301">
        <f t="shared" si="967"/>
        <v>299.69039390588415</v>
      </c>
      <c r="T301">
        <f t="shared" si="968"/>
        <v>0.29969039390588414</v>
      </c>
    </row>
    <row r="302" spans="1:20" x14ac:dyDescent="0.25">
      <c r="A302" s="5">
        <v>44291</v>
      </c>
      <c r="B302">
        <v>41.41</v>
      </c>
      <c r="C302">
        <v>43.959000000000003</v>
      </c>
      <c r="D302">
        <v>39.637</v>
      </c>
      <c r="E302">
        <v>43.543999999999997</v>
      </c>
      <c r="F302">
        <v>500264.685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0.80795927811198243</v>
      </c>
      <c r="Q302">
        <f t="shared" si="965"/>
        <v>404193.4937575183</v>
      </c>
      <c r="R302">
        <f t="shared" si="966"/>
        <v>29164311.215503544</v>
      </c>
      <c r="S302">
        <f t="shared" si="967"/>
        <v>291.64311215503545</v>
      </c>
      <c r="T302">
        <f t="shared" si="968"/>
        <v>0.29164311215503547</v>
      </c>
    </row>
    <row r="303" spans="1:20" x14ac:dyDescent="0.25">
      <c r="A303" s="5">
        <v>44290</v>
      </c>
      <c r="B303">
        <v>39.838999999999999</v>
      </c>
      <c r="C303">
        <v>41.537999999999997</v>
      </c>
      <c r="D303">
        <v>39.432000000000002</v>
      </c>
      <c r="E303">
        <v>41.383000000000003</v>
      </c>
      <c r="F303">
        <v>155626.948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0.85280151946819138</v>
      </c>
      <c r="Q303">
        <f t="shared" si="965"/>
        <v>132718.89772459722</v>
      </c>
      <c r="R303">
        <f t="shared" si="966"/>
        <v>28760117.721746024</v>
      </c>
      <c r="S303">
        <f t="shared" si="967"/>
        <v>287.60117721746025</v>
      </c>
      <c r="T303">
        <f t="shared" si="968"/>
        <v>0.28760117721746026</v>
      </c>
    </row>
    <row r="304" spans="1:20" x14ac:dyDescent="0.25">
      <c r="A304" s="5">
        <v>44289</v>
      </c>
      <c r="B304">
        <v>41.896000000000001</v>
      </c>
      <c r="C304">
        <v>42.546999999999997</v>
      </c>
      <c r="D304">
        <v>39.67</v>
      </c>
      <c r="E304">
        <v>39.838000000000001</v>
      </c>
      <c r="F304">
        <v>486497.826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-0.88321167883211715</v>
      </c>
      <c r="Q304">
        <f t="shared" si="965"/>
        <v>-429680.5616496352</v>
      </c>
      <c r="R304">
        <f t="shared" si="966"/>
        <v>28627398.824021425</v>
      </c>
      <c r="S304">
        <f t="shared" si="967"/>
        <v>286.27398824021424</v>
      </c>
      <c r="T304">
        <f t="shared" si="968"/>
        <v>0.28627398824021422</v>
      </c>
    </row>
    <row r="305" spans="1:20" x14ac:dyDescent="0.25">
      <c r="A305" s="5">
        <v>44288</v>
      </c>
      <c r="B305">
        <v>40.621000000000002</v>
      </c>
      <c r="C305">
        <v>41.901000000000003</v>
      </c>
      <c r="D305">
        <v>40.506</v>
      </c>
      <c r="E305">
        <v>41.856999999999999</v>
      </c>
      <c r="F305">
        <v>283851.98200000002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0.93691756272400872</v>
      </c>
      <c r="Q305">
        <f t="shared" si="965"/>
        <v>265945.90714981919</v>
      </c>
      <c r="R305">
        <f t="shared" si="966"/>
        <v>29057079.385671061</v>
      </c>
      <c r="S305">
        <f t="shared" si="967"/>
        <v>290.57079385671062</v>
      </c>
      <c r="T305">
        <f t="shared" si="968"/>
        <v>0.29057079385671064</v>
      </c>
    </row>
    <row r="306" spans="1:20" x14ac:dyDescent="0.25">
      <c r="A306" s="5">
        <v>44287</v>
      </c>
      <c r="B306">
        <v>39.956000000000003</v>
      </c>
      <c r="C306">
        <v>41</v>
      </c>
      <c r="D306">
        <v>39.33</v>
      </c>
      <c r="E306">
        <v>40.604999999999997</v>
      </c>
      <c r="F306">
        <v>497398.10600000003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0.52694610778442785</v>
      </c>
      <c r="Q306">
        <f t="shared" si="965"/>
        <v>262101.99597604628</v>
      </c>
      <c r="R306">
        <f t="shared" si="966"/>
        <v>28791133.478521243</v>
      </c>
      <c r="S306">
        <f t="shared" si="967"/>
        <v>287.91133478521243</v>
      </c>
      <c r="T306">
        <f t="shared" si="968"/>
        <v>0.28791133478521241</v>
      </c>
    </row>
    <row r="307" spans="1:20" x14ac:dyDescent="0.25">
      <c r="A307" s="5">
        <v>44286</v>
      </c>
      <c r="B307">
        <v>40.119</v>
      </c>
      <c r="C307">
        <v>40.591999999999999</v>
      </c>
      <c r="D307">
        <v>38.783999999999999</v>
      </c>
      <c r="E307">
        <v>39.901000000000003</v>
      </c>
      <c r="F307">
        <v>169846.80499999999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0.2356194690265537</v>
      </c>
      <c r="Q307">
        <f t="shared" si="965"/>
        <v>40019.214009956602</v>
      </c>
      <c r="R307">
        <f t="shared" si="966"/>
        <v>28529031.482545197</v>
      </c>
      <c r="S307">
        <f t="shared" si="967"/>
        <v>285.29031482545196</v>
      </c>
      <c r="T307">
        <f t="shared" si="968"/>
        <v>0.28529031482545197</v>
      </c>
    </row>
    <row r="308" spans="1:20" x14ac:dyDescent="0.25">
      <c r="A308" s="5">
        <v>44285</v>
      </c>
      <c r="B308">
        <v>38.709000000000003</v>
      </c>
      <c r="C308">
        <v>40.374000000000002</v>
      </c>
      <c r="D308">
        <v>38.137</v>
      </c>
      <c r="E308">
        <v>40.042000000000002</v>
      </c>
      <c r="F308">
        <v>184233.68599999999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0.70317389360750959</v>
      </c>
      <c r="Q308">
        <f t="shared" si="965"/>
        <v>129548.31831828332</v>
      </c>
      <c r="R308">
        <f t="shared" si="966"/>
        <v>28489012.268535241</v>
      </c>
      <c r="S308">
        <f t="shared" si="967"/>
        <v>284.89012268535242</v>
      </c>
      <c r="T308">
        <f t="shared" si="968"/>
        <v>0.28489012268535241</v>
      </c>
    </row>
    <row r="309" spans="1:20" x14ac:dyDescent="0.25">
      <c r="A309" s="5">
        <v>44284</v>
      </c>
      <c r="B309">
        <v>36.634999999999998</v>
      </c>
      <c r="C309">
        <v>38.987000000000002</v>
      </c>
      <c r="D309">
        <v>36.268999999999998</v>
      </c>
      <c r="E309">
        <v>38.662999999999997</v>
      </c>
      <c r="F309">
        <v>173012.79500000001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0.76158940397350638</v>
      </c>
      <c r="Q309">
        <f t="shared" si="965"/>
        <v>131764.71142384046</v>
      </c>
      <c r="R309">
        <f t="shared" si="966"/>
        <v>28359463.950216956</v>
      </c>
      <c r="S309">
        <f t="shared" si="967"/>
        <v>283.59463950216957</v>
      </c>
      <c r="T309">
        <f t="shared" si="968"/>
        <v>0.28359463950216957</v>
      </c>
    </row>
    <row r="310" spans="1:20" x14ac:dyDescent="0.25">
      <c r="A310" s="5">
        <v>44283</v>
      </c>
      <c r="B310">
        <v>36.457000000000001</v>
      </c>
      <c r="C310">
        <v>36.881999999999998</v>
      </c>
      <c r="D310">
        <v>35.840000000000003</v>
      </c>
      <c r="E310">
        <v>36.616</v>
      </c>
      <c r="F310">
        <v>323379.25400000002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0.48944337811900263</v>
      </c>
      <c r="Q310">
        <f t="shared" si="965"/>
        <v>158275.834491363</v>
      </c>
      <c r="R310">
        <f t="shared" si="966"/>
        <v>28227699.238793116</v>
      </c>
      <c r="S310">
        <f t="shared" si="967"/>
        <v>282.27699238793116</v>
      </c>
      <c r="T310">
        <f t="shared" si="968"/>
        <v>0.28227699238793114</v>
      </c>
    </row>
    <row r="311" spans="1:20" x14ac:dyDescent="0.25">
      <c r="A311" s="5">
        <v>44282</v>
      </c>
      <c r="B311">
        <v>35.814999999999998</v>
      </c>
      <c r="C311">
        <v>36.917999999999999</v>
      </c>
      <c r="D311">
        <v>35.161000000000001</v>
      </c>
      <c r="E311">
        <v>36.482999999999997</v>
      </c>
      <c r="F311">
        <v>251208.41800000001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0.50483779169037812</v>
      </c>
      <c r="Q311">
        <f t="shared" si="965"/>
        <v>126819.50299715344</v>
      </c>
      <c r="R311">
        <f t="shared" si="966"/>
        <v>28069423.404301751</v>
      </c>
      <c r="S311">
        <f t="shared" si="967"/>
        <v>280.6942340430175</v>
      </c>
      <c r="T311">
        <f t="shared" si="968"/>
        <v>0.28069423404301752</v>
      </c>
    </row>
    <row r="312" spans="1:20" x14ac:dyDescent="0.25">
      <c r="A312" s="5">
        <v>44281</v>
      </c>
      <c r="B312">
        <v>32.665999999999997</v>
      </c>
      <c r="C312">
        <v>35.816000000000003</v>
      </c>
      <c r="D312">
        <v>32.630000000000003</v>
      </c>
      <c r="E312">
        <v>35.816000000000003</v>
      </c>
      <c r="F312">
        <v>432200.83299999998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1</v>
      </c>
      <c r="Q312">
        <f t="shared" si="965"/>
        <v>432200.83299999998</v>
      </c>
      <c r="R312">
        <f t="shared" si="966"/>
        <v>27942603.901304599</v>
      </c>
      <c r="S312">
        <f t="shared" si="967"/>
        <v>279.42603901304597</v>
      </c>
      <c r="T312">
        <f t="shared" si="968"/>
        <v>0.27942603901304597</v>
      </c>
    </row>
    <row r="313" spans="1:20" x14ac:dyDescent="0.25">
      <c r="A313" s="5">
        <v>44280</v>
      </c>
      <c r="B313">
        <v>34.152999999999999</v>
      </c>
      <c r="C313">
        <v>34.627000000000002</v>
      </c>
      <c r="D313">
        <v>31.681000000000001</v>
      </c>
      <c r="E313">
        <v>32.667000000000002</v>
      </c>
      <c r="F313">
        <v>411974.06199999998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-0.33061778682959936</v>
      </c>
      <c r="Q313">
        <f t="shared" si="965"/>
        <v>-136205.95260964014</v>
      </c>
      <c r="R313">
        <f t="shared" si="966"/>
        <v>27510403.068304598</v>
      </c>
      <c r="S313">
        <f t="shared" si="967"/>
        <v>275.10403068304601</v>
      </c>
      <c r="T313">
        <f t="shared" si="968"/>
        <v>0.27510403068304601</v>
      </c>
    </row>
    <row r="314" spans="1:20" x14ac:dyDescent="0.25">
      <c r="A314" s="5">
        <v>44279</v>
      </c>
      <c r="B314">
        <v>36.720999999999997</v>
      </c>
      <c r="C314">
        <v>38.573</v>
      </c>
      <c r="D314">
        <v>34.173999999999999</v>
      </c>
      <c r="E314">
        <v>34.173999999999999</v>
      </c>
      <c r="F314">
        <v>335598.11300000001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-1</v>
      </c>
      <c r="Q314">
        <f t="shared" si="965"/>
        <v>-335598.11300000001</v>
      </c>
      <c r="R314">
        <f t="shared" si="966"/>
        <v>27646609.020914238</v>
      </c>
      <c r="S314">
        <f t="shared" si="967"/>
        <v>276.46609020914241</v>
      </c>
      <c r="T314">
        <f t="shared" si="968"/>
        <v>0.27646609020914242</v>
      </c>
    </row>
    <row r="315" spans="1:20" x14ac:dyDescent="0.25">
      <c r="A315" s="5">
        <v>44278</v>
      </c>
      <c r="B315">
        <v>36.790999999999997</v>
      </c>
      <c r="C315">
        <v>38.253999999999998</v>
      </c>
      <c r="D315">
        <v>34.716000000000001</v>
      </c>
      <c r="E315">
        <v>36.692999999999998</v>
      </c>
      <c r="F315">
        <v>367721.03499999997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0.11758055398530164</v>
      </c>
      <c r="Q315">
        <f t="shared" si="965"/>
        <v>43236.843007348492</v>
      </c>
      <c r="R315">
        <f t="shared" si="966"/>
        <v>27982207.13391424</v>
      </c>
      <c r="S315">
        <f t="shared" si="967"/>
        <v>279.82207133914238</v>
      </c>
      <c r="T315">
        <f t="shared" si="968"/>
        <v>0.27982207133914239</v>
      </c>
    </row>
    <row r="316" spans="1:20" x14ac:dyDescent="0.25">
      <c r="A316" s="5">
        <v>44277</v>
      </c>
      <c r="B316">
        <v>39.542000000000002</v>
      </c>
      <c r="C316">
        <v>40.081000000000003</v>
      </c>
      <c r="D316">
        <v>36.631</v>
      </c>
      <c r="E316">
        <v>36.771999999999998</v>
      </c>
      <c r="F316">
        <v>256139.14799999999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-0.91826086956521846</v>
      </c>
      <c r="Q316">
        <f t="shared" si="965"/>
        <v>-235202.55677217417</v>
      </c>
      <c r="R316">
        <f t="shared" si="966"/>
        <v>27938970.290906891</v>
      </c>
      <c r="S316">
        <f t="shared" si="967"/>
        <v>279.38970290906889</v>
      </c>
      <c r="T316">
        <f t="shared" si="968"/>
        <v>0.27938970290906889</v>
      </c>
    </row>
    <row r="317" spans="1:20" x14ac:dyDescent="0.25">
      <c r="A317" s="5">
        <v>44276</v>
      </c>
      <c r="B317">
        <v>40.201000000000001</v>
      </c>
      <c r="C317">
        <v>40.451999999999998</v>
      </c>
      <c r="D317">
        <v>38.722999999999999</v>
      </c>
      <c r="E317">
        <v>39.518000000000001</v>
      </c>
      <c r="F317">
        <v>214107.859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-8.0393290919604316E-2</v>
      </c>
      <c r="Q317">
        <f t="shared" si="965"/>
        <v>-17212.83539676062</v>
      </c>
      <c r="R317">
        <f t="shared" si="966"/>
        <v>28174172.847679064</v>
      </c>
      <c r="S317">
        <f t="shared" si="967"/>
        <v>281.74172847679063</v>
      </c>
      <c r="T317">
        <f t="shared" si="968"/>
        <v>0.28174172847679063</v>
      </c>
    </row>
    <row r="318" spans="1:20" x14ac:dyDescent="0.25">
      <c r="A318" s="5">
        <v>44275</v>
      </c>
      <c r="B318">
        <v>40.322000000000003</v>
      </c>
      <c r="C318">
        <v>41.764000000000003</v>
      </c>
      <c r="D318">
        <v>40.168999999999997</v>
      </c>
      <c r="E318">
        <v>40.238</v>
      </c>
      <c r="F318">
        <v>191825.603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-0.91347962382444847</v>
      </c>
      <c r="Q318">
        <f t="shared" si="965"/>
        <v>-175228.77966833799</v>
      </c>
      <c r="R318">
        <f t="shared" si="966"/>
        <v>28191385.683075823</v>
      </c>
      <c r="S318">
        <f t="shared" si="967"/>
        <v>281.91385683075822</v>
      </c>
      <c r="T318">
        <f t="shared" si="968"/>
        <v>0.2819138568307582</v>
      </c>
    </row>
    <row r="319" spans="1:20" x14ac:dyDescent="0.25">
      <c r="A319" s="5">
        <v>44274</v>
      </c>
      <c r="B319">
        <v>39.723999999999997</v>
      </c>
      <c r="C319">
        <v>41.207000000000001</v>
      </c>
      <c r="D319">
        <v>38.761000000000003</v>
      </c>
      <c r="E319">
        <v>40.344000000000001</v>
      </c>
      <c r="F319">
        <v>153556.402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0.2943581357318068</v>
      </c>
      <c r="Q319">
        <f t="shared" si="965"/>
        <v>45200.576222403892</v>
      </c>
      <c r="R319">
        <f t="shared" si="966"/>
        <v>28366614.462744161</v>
      </c>
      <c r="S319">
        <f t="shared" si="967"/>
        <v>283.66614462744161</v>
      </c>
      <c r="T319">
        <f t="shared" si="968"/>
        <v>0.28366614462744161</v>
      </c>
    </row>
    <row r="320" spans="1:20" x14ac:dyDescent="0.25">
      <c r="A320" s="5">
        <v>44273</v>
      </c>
      <c r="B320">
        <v>41.366999999999997</v>
      </c>
      <c r="C320">
        <v>41.908999999999999</v>
      </c>
      <c r="D320">
        <v>38.930999999999997</v>
      </c>
      <c r="E320">
        <v>39.765000000000001</v>
      </c>
      <c r="F320">
        <v>304831.08899999998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-0.43989254533243605</v>
      </c>
      <c r="Q320">
        <f t="shared" si="965"/>
        <v>-134092.92363666833</v>
      </c>
      <c r="R320">
        <f t="shared" si="966"/>
        <v>28321413.886521757</v>
      </c>
      <c r="S320">
        <f t="shared" si="967"/>
        <v>283.21413886521759</v>
      </c>
      <c r="T320">
        <f t="shared" si="968"/>
        <v>0.28321413886521757</v>
      </c>
    </row>
    <row r="321" spans="1:20" x14ac:dyDescent="0.25">
      <c r="A321" s="5">
        <v>44272</v>
      </c>
      <c r="B321">
        <v>40.219000000000001</v>
      </c>
      <c r="C321">
        <v>41.421999999999997</v>
      </c>
      <c r="D321">
        <v>36.994999999999997</v>
      </c>
      <c r="E321">
        <v>41.405000000000001</v>
      </c>
      <c r="F321">
        <v>368296.38699999999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0.99231985543257473</v>
      </c>
      <c r="Q321">
        <f t="shared" si="965"/>
        <v>365467.81750417961</v>
      </c>
      <c r="R321">
        <f t="shared" si="966"/>
        <v>28455506.810158424</v>
      </c>
      <c r="S321">
        <f t="shared" si="967"/>
        <v>284.55506810158425</v>
      </c>
      <c r="T321">
        <f t="shared" si="968"/>
        <v>0.28455506810158426</v>
      </c>
    </row>
    <row r="322" spans="1:20" x14ac:dyDescent="0.25">
      <c r="A322" s="5">
        <v>44271</v>
      </c>
      <c r="B322">
        <v>40.51</v>
      </c>
      <c r="C322">
        <v>40.738999999999997</v>
      </c>
      <c r="D322">
        <v>37.6</v>
      </c>
      <c r="E322">
        <v>40.219000000000001</v>
      </c>
      <c r="F322">
        <v>499549.05200000003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0.66868429436126364</v>
      </c>
      <c r="Q322">
        <f t="shared" si="965"/>
        <v>334040.60533545824</v>
      </c>
      <c r="R322">
        <f t="shared" si="966"/>
        <v>28090038.992654245</v>
      </c>
      <c r="S322">
        <f t="shared" si="967"/>
        <v>280.90038992654246</v>
      </c>
      <c r="T322">
        <f t="shared" si="968"/>
        <v>0.28090038992654248</v>
      </c>
    </row>
    <row r="323" spans="1:20" x14ac:dyDescent="0.25">
      <c r="A323" s="5">
        <v>44270</v>
      </c>
      <c r="B323">
        <v>41.686999999999998</v>
      </c>
      <c r="C323">
        <v>43.478000000000002</v>
      </c>
      <c r="D323">
        <v>38.79</v>
      </c>
      <c r="E323">
        <v>40.460999999999999</v>
      </c>
      <c r="F323">
        <v>737909.23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-0.28711604095563203</v>
      </c>
      <c r="Q323">
        <f t="shared" si="965"/>
        <v>-211865.57670221888</v>
      </c>
      <c r="R323">
        <f t="shared" si="966"/>
        <v>27755998.387318786</v>
      </c>
      <c r="S323">
        <f t="shared" si="967"/>
        <v>277.55998387318789</v>
      </c>
      <c r="T323">
        <f t="shared" si="968"/>
        <v>0.27755998387318787</v>
      </c>
    </row>
    <row r="324" spans="1:20" x14ac:dyDescent="0.25">
      <c r="A324" s="5">
        <v>44269</v>
      </c>
      <c r="B324">
        <v>40.636000000000003</v>
      </c>
      <c r="C324">
        <v>43</v>
      </c>
      <c r="D324">
        <v>40.033999999999999</v>
      </c>
      <c r="E324">
        <v>41.680999999999997</v>
      </c>
      <c r="F324">
        <v>745453.64599999995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0.11058664868509634</v>
      </c>
      <c r="Q324">
        <f t="shared" si="965"/>
        <v>82437.22046122617</v>
      </c>
      <c r="R324">
        <f t="shared" si="966"/>
        <v>27967863.964021005</v>
      </c>
      <c r="S324">
        <f t="shared" si="967"/>
        <v>279.67863964021006</v>
      </c>
      <c r="T324">
        <f t="shared" si="968"/>
        <v>0.27967863964021006</v>
      </c>
    </row>
    <row r="325" spans="1:20" x14ac:dyDescent="0.25">
      <c r="A325" s="5">
        <v>44268</v>
      </c>
      <c r="B325">
        <v>37.046999999999997</v>
      </c>
      <c r="C325">
        <v>41.082999999999998</v>
      </c>
      <c r="D325">
        <v>36.151000000000003</v>
      </c>
      <c r="E325">
        <v>40.597999999999999</v>
      </c>
      <c r="F325">
        <v>522110.08799999999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0.80332522303325227</v>
      </c>
      <c r="Q325">
        <f t="shared" si="965"/>
        <v>419424.20289051096</v>
      </c>
      <c r="R325">
        <f t="shared" si="966"/>
        <v>27885426.743559778</v>
      </c>
      <c r="S325">
        <f t="shared" si="967"/>
        <v>278.85426743559776</v>
      </c>
      <c r="T325">
        <f t="shared" si="968"/>
        <v>0.27885426743559777</v>
      </c>
    </row>
    <row r="326" spans="1:20" x14ac:dyDescent="0.25">
      <c r="A326" s="5">
        <v>44267</v>
      </c>
      <c r="B326">
        <v>38.454999999999998</v>
      </c>
      <c r="C326">
        <v>38.683999999999997</v>
      </c>
      <c r="D326">
        <v>35.674999999999997</v>
      </c>
      <c r="E326">
        <v>37.046999999999997</v>
      </c>
      <c r="F326">
        <v>366424.00199999998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-8.8069125955467106E-2</v>
      </c>
      <c r="Q326">
        <f t="shared" ref="Q326:Q389" si="970">F326*P326</f>
        <v>-32270.641585244328</v>
      </c>
      <c r="R326">
        <f t="shared" ref="R326:R389" si="971">R327+Q326</f>
        <v>27466002.540669266</v>
      </c>
      <c r="S326">
        <f t="shared" ref="S326:S389" si="972">R326/100000</f>
        <v>274.66002540669268</v>
      </c>
      <c r="T326">
        <f t="shared" ref="T326:T389" si="973">S326/1000</f>
        <v>0.27466002540669271</v>
      </c>
    </row>
    <row r="327" spans="1:20" x14ac:dyDescent="0.25">
      <c r="A327" s="5">
        <v>44266</v>
      </c>
      <c r="B327">
        <v>36.427999999999997</v>
      </c>
      <c r="C327">
        <v>38.831000000000003</v>
      </c>
      <c r="D327">
        <v>35.423999999999999</v>
      </c>
      <c r="E327">
        <v>38.445</v>
      </c>
      <c r="F327">
        <v>550202.87600000005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0.77340769004989585</v>
      </c>
      <c r="Q327">
        <f t="shared" si="970"/>
        <v>425531.1353859693</v>
      </c>
      <c r="R327">
        <f t="shared" si="971"/>
        <v>27498273.182254512</v>
      </c>
      <c r="S327">
        <f t="shared" si="972"/>
        <v>274.98273182254513</v>
      </c>
      <c r="T327">
        <f t="shared" si="973"/>
        <v>0.27498273182254512</v>
      </c>
    </row>
    <row r="328" spans="1:20" x14ac:dyDescent="0.25">
      <c r="A328" s="5">
        <v>44265</v>
      </c>
      <c r="B328">
        <v>37.542999999999999</v>
      </c>
      <c r="C328">
        <v>38.149000000000001</v>
      </c>
      <c r="D328">
        <v>34.218000000000004</v>
      </c>
      <c r="E328">
        <v>36.372999999999998</v>
      </c>
      <c r="F328">
        <v>635933.38399999996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9.6413126430931292E-2</v>
      </c>
      <c r="Q328">
        <f t="shared" si="970"/>
        <v>61312.325753241974</v>
      </c>
      <c r="R328">
        <f t="shared" si="971"/>
        <v>27072742.046868544</v>
      </c>
      <c r="S328">
        <f t="shared" si="972"/>
        <v>270.72742046868547</v>
      </c>
      <c r="T328">
        <f t="shared" si="973"/>
        <v>0.27072742046868548</v>
      </c>
    </row>
    <row r="329" spans="1:20" x14ac:dyDescent="0.25">
      <c r="A329" s="5">
        <v>44264</v>
      </c>
      <c r="B329">
        <v>32.069000000000003</v>
      </c>
      <c r="C329">
        <v>37.588999999999999</v>
      </c>
      <c r="D329">
        <v>31.774999999999999</v>
      </c>
      <c r="E329">
        <v>37.545000000000002</v>
      </c>
      <c r="F329">
        <v>846068.52599999995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0.98486412108703236</v>
      </c>
      <c r="Q329">
        <f t="shared" si="970"/>
        <v>833262.5352383909</v>
      </c>
      <c r="R329">
        <f t="shared" si="971"/>
        <v>27011429.721115302</v>
      </c>
      <c r="S329">
        <f t="shared" si="972"/>
        <v>270.11429721115303</v>
      </c>
      <c r="T329">
        <f t="shared" si="973"/>
        <v>0.27011429721115304</v>
      </c>
    </row>
    <row r="330" spans="1:20" x14ac:dyDescent="0.25">
      <c r="A330" s="5">
        <v>44263</v>
      </c>
      <c r="B330">
        <v>30.800999999999998</v>
      </c>
      <c r="C330">
        <v>32.069000000000003</v>
      </c>
      <c r="D330">
        <v>30.021000000000001</v>
      </c>
      <c r="E330">
        <v>32.048999999999999</v>
      </c>
      <c r="F330">
        <v>279395.549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0.980468749999997</v>
      </c>
      <c r="Q330">
        <f t="shared" si="970"/>
        <v>273938.60468359292</v>
      </c>
      <c r="R330">
        <f t="shared" si="971"/>
        <v>26178167.18587691</v>
      </c>
      <c r="S330">
        <f t="shared" si="972"/>
        <v>261.78167185876907</v>
      </c>
      <c r="T330">
        <f t="shared" si="973"/>
        <v>0.26178167185876905</v>
      </c>
    </row>
    <row r="331" spans="1:20" x14ac:dyDescent="0.25">
      <c r="A331" s="5">
        <v>44262</v>
      </c>
      <c r="B331">
        <v>29.57</v>
      </c>
      <c r="C331">
        <v>30.971</v>
      </c>
      <c r="D331">
        <v>29.57</v>
      </c>
      <c r="E331">
        <v>30.721</v>
      </c>
      <c r="F331">
        <v>218084.63200000001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0.64311206281227684</v>
      </c>
      <c r="Q331">
        <f t="shared" si="970"/>
        <v>140252.85755317629</v>
      </c>
      <c r="R331">
        <f t="shared" si="971"/>
        <v>25904228.581193317</v>
      </c>
      <c r="S331">
        <f t="shared" si="972"/>
        <v>259.04228581193314</v>
      </c>
      <c r="T331">
        <f t="shared" si="973"/>
        <v>0.25904228581193312</v>
      </c>
    </row>
    <row r="332" spans="1:20" x14ac:dyDescent="0.25">
      <c r="A332" s="5">
        <v>44261</v>
      </c>
      <c r="B332">
        <v>28.888000000000002</v>
      </c>
      <c r="C332">
        <v>29.766999999999999</v>
      </c>
      <c r="D332">
        <v>28.053000000000001</v>
      </c>
      <c r="E332">
        <v>29.56</v>
      </c>
      <c r="F332">
        <v>189452.55300000001</v>
      </c>
      <c r="G332">
        <v>0</v>
      </c>
      <c r="L332" t="s">
        <v>7</v>
      </c>
      <c r="M332" t="s">
        <v>8</v>
      </c>
      <c r="N332" t="s">
        <v>7</v>
      </c>
      <c r="P332">
        <f t="shared" si="969"/>
        <v>0.75845974329054733</v>
      </c>
      <c r="Q332">
        <f t="shared" si="970"/>
        <v>143692.13471411882</v>
      </c>
      <c r="R332">
        <f t="shared" si="971"/>
        <v>25763975.72364014</v>
      </c>
      <c r="S332">
        <f t="shared" si="972"/>
        <v>257.63975723640141</v>
      </c>
      <c r="T332">
        <f t="shared" si="973"/>
        <v>0.25763975723640142</v>
      </c>
    </row>
    <row r="333" spans="1:20" x14ac:dyDescent="0.25">
      <c r="A333" s="5">
        <v>44260</v>
      </c>
      <c r="B333">
        <v>29.486999999999998</v>
      </c>
      <c r="C333">
        <v>29.486999999999998</v>
      </c>
      <c r="D333">
        <v>27.968</v>
      </c>
      <c r="E333">
        <v>28.91</v>
      </c>
      <c r="F333">
        <v>274700.03700000001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0.24028966425279946</v>
      </c>
      <c r="Q333">
        <f t="shared" si="970"/>
        <v>66007.579660961594</v>
      </c>
      <c r="R333">
        <f t="shared" si="971"/>
        <v>25620283.588926021</v>
      </c>
      <c r="S333">
        <f t="shared" si="972"/>
        <v>256.2028358892602</v>
      </c>
      <c r="T333">
        <f t="shared" si="973"/>
        <v>0.25620283588926018</v>
      </c>
    </row>
    <row r="334" spans="1:20" x14ac:dyDescent="0.25">
      <c r="A334" s="5">
        <v>44259</v>
      </c>
      <c r="B334">
        <v>31.225999999999999</v>
      </c>
      <c r="C334">
        <v>32.14</v>
      </c>
      <c r="D334">
        <v>28.927</v>
      </c>
      <c r="E334">
        <v>29.436</v>
      </c>
      <c r="F334">
        <v>361704.69799999997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-0.68316215375038891</v>
      </c>
      <c r="Q334">
        <f t="shared" si="970"/>
        <v>-247102.96050731398</v>
      </c>
      <c r="R334">
        <f t="shared" si="971"/>
        <v>25554276.009265058</v>
      </c>
      <c r="S334">
        <f t="shared" si="972"/>
        <v>255.54276009265058</v>
      </c>
      <c r="T334">
        <f t="shared" si="973"/>
        <v>0.25554276009265059</v>
      </c>
    </row>
    <row r="335" spans="1:20" x14ac:dyDescent="0.25">
      <c r="A335" s="5">
        <v>44258</v>
      </c>
      <c r="B335">
        <v>29.625</v>
      </c>
      <c r="C335">
        <v>33.119999999999997</v>
      </c>
      <c r="D335">
        <v>29.451000000000001</v>
      </c>
      <c r="E335">
        <v>31.227</v>
      </c>
      <c r="F335">
        <v>410300.33899999998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-3.1888798037611729E-2</v>
      </c>
      <c r="Q335">
        <f t="shared" si="970"/>
        <v>-13083.984645134626</v>
      </c>
      <c r="R335">
        <f t="shared" si="971"/>
        <v>25801378.969772372</v>
      </c>
      <c r="S335">
        <f t="shared" si="972"/>
        <v>258.01378969772372</v>
      </c>
      <c r="T335">
        <f t="shared" si="973"/>
        <v>0.25801378969772371</v>
      </c>
    </row>
    <row r="336" spans="1:20" x14ac:dyDescent="0.25">
      <c r="A336" s="5">
        <v>44257</v>
      </c>
      <c r="B336">
        <v>29.91</v>
      </c>
      <c r="C336">
        <v>31.248000000000001</v>
      </c>
      <c r="D336">
        <v>28.861999999999998</v>
      </c>
      <c r="E336">
        <v>29.661000000000001</v>
      </c>
      <c r="F336">
        <v>855649.04500000004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-0.33025984911986411</v>
      </c>
      <c r="Q336">
        <f t="shared" si="970"/>
        <v>-282586.52450125583</v>
      </c>
      <c r="R336">
        <f t="shared" si="971"/>
        <v>25814462.954417508</v>
      </c>
      <c r="S336">
        <f t="shared" si="972"/>
        <v>258.14462954417507</v>
      </c>
      <c r="T336">
        <f t="shared" si="973"/>
        <v>0.25814462954417505</v>
      </c>
    </row>
    <row r="337" spans="1:20" x14ac:dyDescent="0.25">
      <c r="A337" s="5">
        <v>44256</v>
      </c>
      <c r="B337">
        <v>25.923999999999999</v>
      </c>
      <c r="C337">
        <v>30.247</v>
      </c>
      <c r="D337">
        <v>25.832999999999998</v>
      </c>
      <c r="E337">
        <v>29.934000000000001</v>
      </c>
      <c r="F337">
        <v>848515.08299999998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0.85817852288174046</v>
      </c>
      <c r="Q337">
        <f t="shared" si="970"/>
        <v>728177.42057181743</v>
      </c>
      <c r="R337">
        <f t="shared" si="971"/>
        <v>26097049.478918765</v>
      </c>
      <c r="S337">
        <f t="shared" si="972"/>
        <v>260.97049478918763</v>
      </c>
      <c r="T337">
        <f t="shared" si="973"/>
        <v>0.2609704947891876</v>
      </c>
    </row>
    <row r="338" spans="1:20" x14ac:dyDescent="0.25">
      <c r="A338" s="5">
        <v>44255</v>
      </c>
      <c r="B338">
        <v>27.335999999999999</v>
      </c>
      <c r="C338">
        <v>27.579000000000001</v>
      </c>
      <c r="D338">
        <v>24.63</v>
      </c>
      <c r="E338">
        <v>25.914999999999999</v>
      </c>
      <c r="F338">
        <v>577215.31499999994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-0.12851814174296411</v>
      </c>
      <c r="Q338">
        <f t="shared" si="970"/>
        <v>-74182.639669379671</v>
      </c>
      <c r="R338">
        <f t="shared" si="971"/>
        <v>25368872.058346946</v>
      </c>
      <c r="S338">
        <f t="shared" si="972"/>
        <v>253.68872058346946</v>
      </c>
      <c r="T338">
        <f t="shared" si="973"/>
        <v>0.25368872058346947</v>
      </c>
    </row>
    <row r="339" spans="1:20" x14ac:dyDescent="0.25">
      <c r="A339" s="5">
        <v>44254</v>
      </c>
      <c r="B339">
        <v>27.728999999999999</v>
      </c>
      <c r="C339">
        <v>28.943000000000001</v>
      </c>
      <c r="D339">
        <v>26.856999999999999</v>
      </c>
      <c r="E339">
        <v>27.314</v>
      </c>
      <c r="F339">
        <v>525637.397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-0.56184084372003806</v>
      </c>
      <c r="Q339">
        <f t="shared" si="970"/>
        <v>-295324.55862128461</v>
      </c>
      <c r="R339">
        <f t="shared" si="971"/>
        <v>25443054.698016327</v>
      </c>
      <c r="S339">
        <f t="shared" si="972"/>
        <v>254.43054698016326</v>
      </c>
      <c r="T339">
        <f t="shared" si="973"/>
        <v>0.25443054698016326</v>
      </c>
    </row>
    <row r="340" spans="1:20" x14ac:dyDescent="0.25">
      <c r="A340" s="5">
        <v>44253</v>
      </c>
      <c r="B340">
        <v>28.271999999999998</v>
      </c>
      <c r="C340">
        <v>29.440999999999999</v>
      </c>
      <c r="D340">
        <v>26.126999999999999</v>
      </c>
      <c r="E340">
        <v>27.716999999999999</v>
      </c>
      <c r="F340">
        <v>659626.26699999999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-4.0434520217260211E-2</v>
      </c>
      <c r="Q340">
        <f t="shared" si="970"/>
        <v>-26671.671628847384</v>
      </c>
      <c r="R340">
        <f t="shared" si="971"/>
        <v>25738379.25663761</v>
      </c>
      <c r="S340">
        <f t="shared" si="972"/>
        <v>257.38379256637609</v>
      </c>
      <c r="T340">
        <f t="shared" si="973"/>
        <v>0.25738379256637611</v>
      </c>
    </row>
    <row r="341" spans="1:20" x14ac:dyDescent="0.25">
      <c r="A341" s="5">
        <v>44252</v>
      </c>
      <c r="B341">
        <v>30.114000000000001</v>
      </c>
      <c r="C341">
        <v>32.521999999999998</v>
      </c>
      <c r="D341">
        <v>27.952999999999999</v>
      </c>
      <c r="E341">
        <v>28.274000000000001</v>
      </c>
      <c r="F341">
        <v>678723.97199999995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-0.85948785292186403</v>
      </c>
      <c r="Q341">
        <f t="shared" si="970"/>
        <v>-583355.0094208793</v>
      </c>
      <c r="R341">
        <f t="shared" si="971"/>
        <v>25765050.928266458</v>
      </c>
      <c r="S341">
        <f t="shared" si="972"/>
        <v>257.65050928266459</v>
      </c>
      <c r="T341">
        <f t="shared" si="973"/>
        <v>0.25765050928266459</v>
      </c>
    </row>
    <row r="342" spans="1:20" x14ac:dyDescent="0.25">
      <c r="A342" s="5">
        <v>44251</v>
      </c>
      <c r="B342">
        <v>28.31</v>
      </c>
      <c r="C342">
        <v>31.300999999999998</v>
      </c>
      <c r="D342">
        <v>27.023</v>
      </c>
      <c r="E342">
        <v>30.114999999999998</v>
      </c>
      <c r="F342">
        <v>926524.10499999998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0.44553529686769505</v>
      </c>
      <c r="Q342">
        <f t="shared" si="970"/>
        <v>412799.19217625045</v>
      </c>
      <c r="R342">
        <f t="shared" si="971"/>
        <v>26348405.937687337</v>
      </c>
      <c r="S342">
        <f t="shared" si="972"/>
        <v>263.48405937687335</v>
      </c>
      <c r="T342">
        <f t="shared" si="973"/>
        <v>0.26348405937687336</v>
      </c>
    </row>
    <row r="343" spans="1:20" x14ac:dyDescent="0.25">
      <c r="A343" s="5">
        <v>44250</v>
      </c>
      <c r="B343">
        <v>33.414000000000001</v>
      </c>
      <c r="C343">
        <v>33.460999999999999</v>
      </c>
      <c r="D343">
        <v>25.55</v>
      </c>
      <c r="E343">
        <v>28.359000000000002</v>
      </c>
      <c r="F343">
        <v>1231878.899</v>
      </c>
      <c r="G343">
        <v>0</v>
      </c>
      <c r="L343" t="s">
        <v>7</v>
      </c>
      <c r="M343" t="s">
        <v>7</v>
      </c>
      <c r="N343" t="s">
        <v>8</v>
      </c>
      <c r="P343">
        <f t="shared" si="969"/>
        <v>-0.28984957653899585</v>
      </c>
      <c r="Q343">
        <f t="shared" si="970"/>
        <v>-357059.57722247444</v>
      </c>
      <c r="R343">
        <f t="shared" si="971"/>
        <v>25935606.745511089</v>
      </c>
      <c r="S343">
        <f t="shared" si="972"/>
        <v>259.35606745511086</v>
      </c>
      <c r="T343">
        <f t="shared" si="973"/>
        <v>0.25935606745511086</v>
      </c>
    </row>
    <row r="344" spans="1:20" x14ac:dyDescent="0.25">
      <c r="A344" s="5">
        <v>44249</v>
      </c>
      <c r="B344">
        <v>34.192</v>
      </c>
      <c r="C344">
        <v>34.487000000000002</v>
      </c>
      <c r="D344">
        <v>27.5</v>
      </c>
      <c r="E344">
        <v>33.384999999999998</v>
      </c>
      <c r="F344">
        <v>1358210.5379999999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0.68455703449262817</v>
      </c>
      <c r="Q344">
        <f t="shared" si="970"/>
        <v>929772.578109917</v>
      </c>
      <c r="R344">
        <f t="shared" si="971"/>
        <v>26292666.322733562</v>
      </c>
      <c r="S344">
        <f t="shared" si="972"/>
        <v>262.92666322733561</v>
      </c>
      <c r="T344">
        <f t="shared" si="973"/>
        <v>0.2629266632273356</v>
      </c>
    </row>
    <row r="345" spans="1:20" x14ac:dyDescent="0.25">
      <c r="A345" s="5">
        <v>44248</v>
      </c>
      <c r="B345">
        <v>31.446999999999999</v>
      </c>
      <c r="C345">
        <v>34.862000000000002</v>
      </c>
      <c r="D345">
        <v>30.882999999999999</v>
      </c>
      <c r="E345">
        <v>34.192999999999998</v>
      </c>
      <c r="F345">
        <v>692594.32299999997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0.66373460668509499</v>
      </c>
      <c r="Q345">
        <f t="shared" si="970"/>
        <v>459698.82056873461</v>
      </c>
      <c r="R345">
        <f t="shared" si="971"/>
        <v>25362893.744623646</v>
      </c>
      <c r="S345">
        <f t="shared" si="972"/>
        <v>253.62893744623645</v>
      </c>
      <c r="T345">
        <f t="shared" si="973"/>
        <v>0.25362893744623644</v>
      </c>
    </row>
    <row r="346" spans="1:20" x14ac:dyDescent="0.25">
      <c r="A346" s="5">
        <v>44247</v>
      </c>
      <c r="B346">
        <v>34.564999999999998</v>
      </c>
      <c r="C346">
        <v>35</v>
      </c>
      <c r="D346">
        <v>29.536999999999999</v>
      </c>
      <c r="E346">
        <v>31.353000000000002</v>
      </c>
      <c r="F346">
        <v>1461422.125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-0.33516382939776601</v>
      </c>
      <c r="Q346">
        <f t="shared" si="970"/>
        <v>-489815.8357816207</v>
      </c>
      <c r="R346">
        <f t="shared" si="971"/>
        <v>24903194.924054913</v>
      </c>
      <c r="S346">
        <f t="shared" si="972"/>
        <v>249.03194924054912</v>
      </c>
      <c r="T346">
        <f t="shared" si="973"/>
        <v>0.24903194924054911</v>
      </c>
    </row>
    <row r="347" spans="1:20" x14ac:dyDescent="0.25">
      <c r="A347" s="5">
        <v>44246</v>
      </c>
      <c r="B347">
        <v>26.276</v>
      </c>
      <c r="C347">
        <v>36.853000000000002</v>
      </c>
      <c r="D347">
        <v>26</v>
      </c>
      <c r="E347">
        <v>34.557000000000002</v>
      </c>
      <c r="F347">
        <v>2864890.6030000001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0.5768911821616145</v>
      </c>
      <c r="Q347">
        <f t="shared" si="970"/>
        <v>1652730.1267283708</v>
      </c>
      <c r="R347">
        <f t="shared" si="971"/>
        <v>25393010.759836532</v>
      </c>
      <c r="S347">
        <f t="shared" si="972"/>
        <v>253.93010759836531</v>
      </c>
      <c r="T347">
        <f t="shared" si="973"/>
        <v>0.25393010759836532</v>
      </c>
    </row>
    <row r="348" spans="1:20" x14ac:dyDescent="0.25">
      <c r="A348" s="5">
        <v>44245</v>
      </c>
      <c r="B348">
        <v>23.271000000000001</v>
      </c>
      <c r="C348">
        <v>26.689</v>
      </c>
      <c r="D348">
        <v>23.170999999999999</v>
      </c>
      <c r="E348">
        <v>26.193999999999999</v>
      </c>
      <c r="F348">
        <v>1151975.6950000001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0.71859010801591761</v>
      </c>
      <c r="Q348">
        <f t="shared" si="970"/>
        <v>827798.33910176181</v>
      </c>
      <c r="R348">
        <f t="shared" si="971"/>
        <v>23740280.633108161</v>
      </c>
      <c r="S348">
        <f t="shared" si="972"/>
        <v>237.40280633108162</v>
      </c>
      <c r="T348">
        <f t="shared" si="973"/>
        <v>0.23740280633108163</v>
      </c>
    </row>
    <row r="349" spans="1:20" x14ac:dyDescent="0.25">
      <c r="A349" s="5">
        <v>44244</v>
      </c>
      <c r="B349">
        <v>20.917000000000002</v>
      </c>
      <c r="C349">
        <v>24</v>
      </c>
      <c r="D349">
        <v>20.373000000000001</v>
      </c>
      <c r="E349">
        <v>23.233000000000001</v>
      </c>
      <c r="F349">
        <v>854316.95799999998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0.57706093189964169</v>
      </c>
      <c r="Q349">
        <f t="shared" si="970"/>
        <v>492992.93992114702</v>
      </c>
      <c r="R349">
        <f t="shared" si="971"/>
        <v>22912482.2940064</v>
      </c>
      <c r="S349">
        <f t="shared" si="972"/>
        <v>229.12482294006401</v>
      </c>
      <c r="T349">
        <f t="shared" si="973"/>
        <v>0.229124822940064</v>
      </c>
    </row>
    <row r="350" spans="1:20" x14ac:dyDescent="0.25">
      <c r="A350" s="5">
        <v>44243</v>
      </c>
      <c r="B350">
        <v>20.218</v>
      </c>
      <c r="C350">
        <v>21.742999999999999</v>
      </c>
      <c r="D350">
        <v>19.722999999999999</v>
      </c>
      <c r="E350">
        <v>20.905000000000001</v>
      </c>
      <c r="F350">
        <v>517274.74200000003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0.1702970297029727</v>
      </c>
      <c r="Q350">
        <f t="shared" si="970"/>
        <v>88090.352102971548</v>
      </c>
      <c r="R350">
        <f t="shared" si="971"/>
        <v>22419489.354085252</v>
      </c>
      <c r="S350">
        <f t="shared" si="972"/>
        <v>224.19489354085252</v>
      </c>
      <c r="T350">
        <f t="shared" si="973"/>
        <v>0.22419489354085251</v>
      </c>
    </row>
    <row r="351" spans="1:20" x14ac:dyDescent="0.25">
      <c r="A351" s="5">
        <v>44242</v>
      </c>
      <c r="B351">
        <v>20.68</v>
      </c>
      <c r="C351">
        <v>20.861000000000001</v>
      </c>
      <c r="D351">
        <v>18.263999999999999</v>
      </c>
      <c r="E351">
        <v>20.216000000000001</v>
      </c>
      <c r="F351">
        <v>526306.95600000001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0.50327300731613456</v>
      </c>
      <c r="Q351">
        <f t="shared" si="970"/>
        <v>264876.0845175205</v>
      </c>
      <c r="R351">
        <f t="shared" si="971"/>
        <v>22331399.001982279</v>
      </c>
      <c r="S351">
        <f t="shared" si="972"/>
        <v>223.3139900198228</v>
      </c>
      <c r="T351">
        <f t="shared" si="973"/>
        <v>0.2233139900198228</v>
      </c>
    </row>
    <row r="352" spans="1:20" x14ac:dyDescent="0.25">
      <c r="A352" s="5">
        <v>44241</v>
      </c>
      <c r="B352">
        <v>20.645</v>
      </c>
      <c r="C352">
        <v>21.492999999999999</v>
      </c>
      <c r="D352">
        <v>20.381</v>
      </c>
      <c r="E352">
        <v>20.696000000000002</v>
      </c>
      <c r="F352">
        <v>379473.08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-0.4334532374100688</v>
      </c>
      <c r="Q352">
        <f t="shared" si="970"/>
        <v>-164483.83503597003</v>
      </c>
      <c r="R352">
        <f t="shared" si="971"/>
        <v>22066522.917464759</v>
      </c>
      <c r="S352">
        <f t="shared" si="972"/>
        <v>220.66522917464758</v>
      </c>
      <c r="T352">
        <f t="shared" si="973"/>
        <v>0.22066522917464756</v>
      </c>
    </row>
    <row r="353" spans="1:20" x14ac:dyDescent="0.25">
      <c r="A353" s="5">
        <v>44240</v>
      </c>
      <c r="B353">
        <v>21.166</v>
      </c>
      <c r="C353">
        <v>21.338000000000001</v>
      </c>
      <c r="D353">
        <v>19.45</v>
      </c>
      <c r="E353">
        <v>20.626000000000001</v>
      </c>
      <c r="F353">
        <v>499047.97100000002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0.24576271186440771</v>
      </c>
      <c r="Q353">
        <f t="shared" si="970"/>
        <v>122647.38270339029</v>
      </c>
      <c r="R353">
        <f t="shared" si="971"/>
        <v>22231006.752500728</v>
      </c>
      <c r="S353">
        <f t="shared" si="972"/>
        <v>222.31006752500727</v>
      </c>
      <c r="T353">
        <f t="shared" si="973"/>
        <v>0.22231006752500726</v>
      </c>
    </row>
    <row r="354" spans="1:20" x14ac:dyDescent="0.25">
      <c r="A354" s="5">
        <v>44239</v>
      </c>
      <c r="B354">
        <v>20.841999999999999</v>
      </c>
      <c r="C354">
        <v>21.372</v>
      </c>
      <c r="D354">
        <v>20.094999999999999</v>
      </c>
      <c r="E354">
        <v>21.158999999999999</v>
      </c>
      <c r="F354">
        <v>497176.40299999999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0.66640563821456411</v>
      </c>
      <c r="Q354">
        <f t="shared" si="970"/>
        <v>331321.15814643633</v>
      </c>
      <c r="R354">
        <f t="shared" si="971"/>
        <v>22108359.369797338</v>
      </c>
      <c r="S354">
        <f t="shared" si="972"/>
        <v>221.08359369797338</v>
      </c>
      <c r="T354">
        <f t="shared" si="973"/>
        <v>0.2210835936979734</v>
      </c>
    </row>
    <row r="355" spans="1:20" x14ac:dyDescent="0.25">
      <c r="A355" s="5">
        <v>44238</v>
      </c>
      <c r="B355">
        <v>20.693999999999999</v>
      </c>
      <c r="C355">
        <v>21.673999999999999</v>
      </c>
      <c r="D355">
        <v>19.658999999999999</v>
      </c>
      <c r="E355">
        <v>20.824000000000002</v>
      </c>
      <c r="F355">
        <v>464156.424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0.15632754342431998</v>
      </c>
      <c r="Q355">
        <f t="shared" si="970"/>
        <v>72560.433528537076</v>
      </c>
      <c r="R355">
        <f t="shared" si="971"/>
        <v>21777038.211650901</v>
      </c>
      <c r="S355">
        <f t="shared" si="972"/>
        <v>217.77038211650901</v>
      </c>
      <c r="T355">
        <f t="shared" si="973"/>
        <v>0.21777038211650901</v>
      </c>
    </row>
    <row r="356" spans="1:20" x14ac:dyDescent="0.25">
      <c r="A356" s="5">
        <v>44237</v>
      </c>
      <c r="B356">
        <v>18.838000000000001</v>
      </c>
      <c r="C356">
        <v>23.294</v>
      </c>
      <c r="D356">
        <v>18.222000000000001</v>
      </c>
      <c r="E356">
        <v>20.65</v>
      </c>
      <c r="F356">
        <v>1440255.97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-4.2586750788644455E-2</v>
      </c>
      <c r="Q356">
        <f t="shared" si="970"/>
        <v>-61335.822066247383</v>
      </c>
      <c r="R356">
        <f t="shared" si="971"/>
        <v>21704477.778122362</v>
      </c>
      <c r="S356">
        <f t="shared" si="972"/>
        <v>217.04477778122362</v>
      </c>
      <c r="T356">
        <f t="shared" si="973"/>
        <v>0.21704477778122361</v>
      </c>
    </row>
    <row r="357" spans="1:20" x14ac:dyDescent="0.25">
      <c r="A357" s="5">
        <v>44236</v>
      </c>
      <c r="B357">
        <v>16.823</v>
      </c>
      <c r="C357">
        <v>19</v>
      </c>
      <c r="D357">
        <v>16.591000000000001</v>
      </c>
      <c r="E357">
        <v>18.838000000000001</v>
      </c>
      <c r="F357">
        <v>823925.36100000003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0.86550435865504438</v>
      </c>
      <c r="Q357">
        <f t="shared" si="970"/>
        <v>713110.991151931</v>
      </c>
      <c r="R357">
        <f t="shared" si="971"/>
        <v>21765813.600188609</v>
      </c>
      <c r="S357">
        <f t="shared" si="972"/>
        <v>217.65813600188611</v>
      </c>
      <c r="T357">
        <f t="shared" si="973"/>
        <v>0.2176581360018861</v>
      </c>
    </row>
    <row r="358" spans="1:20" x14ac:dyDescent="0.25">
      <c r="A358" s="5">
        <v>44235</v>
      </c>
      <c r="B358">
        <v>14.372</v>
      </c>
      <c r="C358">
        <v>16.843</v>
      </c>
      <c r="D358">
        <v>14.106</v>
      </c>
      <c r="E358">
        <v>16.797000000000001</v>
      </c>
      <c r="F358">
        <v>320365.81699999998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0.96638655462184919</v>
      </c>
      <c r="Q358">
        <f t="shared" si="970"/>
        <v>309597.21810924384</v>
      </c>
      <c r="R358">
        <f t="shared" si="971"/>
        <v>21052702.609036677</v>
      </c>
      <c r="S358">
        <f t="shared" si="972"/>
        <v>210.52702609036677</v>
      </c>
      <c r="T358">
        <f t="shared" si="973"/>
        <v>0.21052702609036678</v>
      </c>
    </row>
    <row r="359" spans="1:20" x14ac:dyDescent="0.25">
      <c r="A359" s="5">
        <v>44234</v>
      </c>
      <c r="B359">
        <v>14.577999999999999</v>
      </c>
      <c r="C359">
        <v>14.717000000000001</v>
      </c>
      <c r="D359">
        <v>13.385</v>
      </c>
      <c r="E359">
        <v>14.372</v>
      </c>
      <c r="F359">
        <v>371981.83799999999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0.48198198198198133</v>
      </c>
      <c r="Q359">
        <f t="shared" si="970"/>
        <v>179288.5435405403</v>
      </c>
      <c r="R359">
        <f t="shared" si="971"/>
        <v>20743105.390927434</v>
      </c>
      <c r="S359">
        <f t="shared" si="972"/>
        <v>207.43105390927434</v>
      </c>
      <c r="T359">
        <f t="shared" si="973"/>
        <v>0.20743105390927433</v>
      </c>
    </row>
    <row r="360" spans="1:20" x14ac:dyDescent="0.25">
      <c r="A360" s="5">
        <v>44233</v>
      </c>
      <c r="B360">
        <v>14.840999999999999</v>
      </c>
      <c r="C360">
        <v>15.545999999999999</v>
      </c>
      <c r="D360">
        <v>14.368</v>
      </c>
      <c r="E360">
        <v>14.584</v>
      </c>
      <c r="F360">
        <v>639501.86100000003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-0.63327674023769187</v>
      </c>
      <c r="Q360">
        <f t="shared" si="970"/>
        <v>-404981.65391001757</v>
      </c>
      <c r="R360">
        <f t="shared" si="971"/>
        <v>20563816.847386893</v>
      </c>
      <c r="S360">
        <f t="shared" si="972"/>
        <v>205.63816847386892</v>
      </c>
      <c r="T360">
        <f t="shared" si="973"/>
        <v>0.20563816847386893</v>
      </c>
    </row>
    <row r="361" spans="1:20" x14ac:dyDescent="0.25">
      <c r="A361" s="5">
        <v>44232</v>
      </c>
      <c r="B361">
        <v>13.254</v>
      </c>
      <c r="C361">
        <v>14.85</v>
      </c>
      <c r="D361">
        <v>13.254</v>
      </c>
      <c r="E361">
        <v>14.85</v>
      </c>
      <c r="F361">
        <v>326942.78600000002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1</v>
      </c>
      <c r="Q361">
        <f t="shared" si="970"/>
        <v>326942.78600000002</v>
      </c>
      <c r="R361">
        <f t="shared" si="971"/>
        <v>20968798.501296911</v>
      </c>
      <c r="S361">
        <f t="shared" si="972"/>
        <v>209.68798501296911</v>
      </c>
      <c r="T361">
        <f t="shared" si="973"/>
        <v>0.20968798501296912</v>
      </c>
    </row>
    <row r="362" spans="1:20" x14ac:dyDescent="0.25">
      <c r="A362" s="5">
        <v>44231</v>
      </c>
      <c r="B362">
        <v>13.379</v>
      </c>
      <c r="C362">
        <v>13.669</v>
      </c>
      <c r="D362">
        <v>12.746</v>
      </c>
      <c r="E362">
        <v>13.249000000000001</v>
      </c>
      <c r="F362">
        <v>233941.79699999999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8.9924160346695758E-2</v>
      </c>
      <c r="Q362">
        <f t="shared" si="970"/>
        <v>21037.019665222149</v>
      </c>
      <c r="R362">
        <f t="shared" si="971"/>
        <v>20641855.715296913</v>
      </c>
      <c r="S362">
        <f t="shared" si="972"/>
        <v>206.41855715296913</v>
      </c>
      <c r="T362">
        <f t="shared" si="973"/>
        <v>0.20641855715296914</v>
      </c>
    </row>
    <row r="363" spans="1:20" x14ac:dyDescent="0.25">
      <c r="A363" s="5">
        <v>44230</v>
      </c>
      <c r="B363">
        <v>12.731999999999999</v>
      </c>
      <c r="C363">
        <v>13.374000000000001</v>
      </c>
      <c r="D363">
        <v>12.711</v>
      </c>
      <c r="E363">
        <v>13.363</v>
      </c>
      <c r="F363">
        <v>224842.82699999999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0.96681749622925794</v>
      </c>
      <c r="Q363">
        <f t="shared" si="970"/>
        <v>217381.97904524818</v>
      </c>
      <c r="R363">
        <f t="shared" si="971"/>
        <v>20620818.69563169</v>
      </c>
      <c r="S363">
        <f t="shared" si="972"/>
        <v>206.20818695631689</v>
      </c>
      <c r="T363">
        <f t="shared" si="973"/>
        <v>0.2062081869563169</v>
      </c>
    </row>
    <row r="364" spans="1:20" x14ac:dyDescent="0.25">
      <c r="A364" s="5">
        <v>44229</v>
      </c>
      <c r="B364">
        <v>11.866</v>
      </c>
      <c r="C364">
        <v>12.909000000000001</v>
      </c>
      <c r="D364">
        <v>11.866</v>
      </c>
      <c r="E364">
        <v>12.718</v>
      </c>
      <c r="F364">
        <v>323484.25799999997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0.63374880153403546</v>
      </c>
      <c r="Q364">
        <f t="shared" si="970"/>
        <v>205007.7608226267</v>
      </c>
      <c r="R364">
        <f t="shared" si="971"/>
        <v>20403436.716586441</v>
      </c>
      <c r="S364">
        <f t="shared" si="972"/>
        <v>204.03436716586441</v>
      </c>
      <c r="T364">
        <f t="shared" si="973"/>
        <v>0.2040343671658644</v>
      </c>
    </row>
    <row r="365" spans="1:20" x14ac:dyDescent="0.25">
      <c r="A365" s="5">
        <v>44228</v>
      </c>
      <c r="B365">
        <v>11.101000000000001</v>
      </c>
      <c r="C365">
        <v>11.907999999999999</v>
      </c>
      <c r="D365">
        <v>10.788</v>
      </c>
      <c r="E365">
        <v>11.866</v>
      </c>
      <c r="F365">
        <v>278026.78600000002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0.92500000000000027</v>
      </c>
      <c r="Q365">
        <f t="shared" si="970"/>
        <v>257174.77705000009</v>
      </c>
      <c r="R365">
        <f t="shared" si="971"/>
        <v>20198428.955763813</v>
      </c>
      <c r="S365">
        <f t="shared" si="972"/>
        <v>201.98428955763814</v>
      </c>
      <c r="T365">
        <f t="shared" si="973"/>
        <v>0.20198428955763814</v>
      </c>
    </row>
    <row r="366" spans="1:20" x14ac:dyDescent="0.25">
      <c r="A366" s="5">
        <v>44227</v>
      </c>
      <c r="B366">
        <v>11.521000000000001</v>
      </c>
      <c r="C366">
        <v>11.579000000000001</v>
      </c>
      <c r="D366">
        <v>10.836</v>
      </c>
      <c r="E366">
        <v>11.09</v>
      </c>
      <c r="F366">
        <v>215303.038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-0.31628532974428142</v>
      </c>
      <c r="Q366">
        <f t="shared" si="970"/>
        <v>-68097.192368775548</v>
      </c>
      <c r="R366">
        <f t="shared" si="971"/>
        <v>19941254.178713813</v>
      </c>
      <c r="S366">
        <f t="shared" si="972"/>
        <v>199.41254178713814</v>
      </c>
      <c r="T366">
        <f t="shared" si="973"/>
        <v>0.19941254178713813</v>
      </c>
    </row>
    <row r="367" spans="1:20" x14ac:dyDescent="0.25">
      <c r="A367" s="5">
        <v>44226</v>
      </c>
      <c r="B367">
        <v>11.826000000000001</v>
      </c>
      <c r="C367">
        <v>11.992000000000001</v>
      </c>
      <c r="D367">
        <v>11.045999999999999</v>
      </c>
      <c r="E367">
        <v>11.513999999999999</v>
      </c>
      <c r="F367">
        <v>241888.94500000001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-1.0570824524314532E-2</v>
      </c>
      <c r="Q367">
        <f t="shared" si="970"/>
        <v>-2556.9655919665693</v>
      </c>
      <c r="R367">
        <f t="shared" si="971"/>
        <v>20009351.371082589</v>
      </c>
      <c r="S367">
        <f t="shared" si="972"/>
        <v>200.0935137108259</v>
      </c>
      <c r="T367">
        <f t="shared" si="973"/>
        <v>0.2000935137108259</v>
      </c>
    </row>
    <row r="368" spans="1:20" x14ac:dyDescent="0.25">
      <c r="A368" s="5">
        <v>44225</v>
      </c>
      <c r="B368">
        <v>11.590999999999999</v>
      </c>
      <c r="C368">
        <v>12.936</v>
      </c>
      <c r="D368">
        <v>10.893000000000001</v>
      </c>
      <c r="E368">
        <v>11.839</v>
      </c>
      <c r="F368">
        <v>942951.47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-7.3910915320606882E-2</v>
      </c>
      <c r="Q368">
        <f t="shared" si="970"/>
        <v>-69694.406250611777</v>
      </c>
      <c r="R368">
        <f t="shared" si="971"/>
        <v>20011908.336674556</v>
      </c>
      <c r="S368">
        <f t="shared" si="972"/>
        <v>200.11908336674557</v>
      </c>
      <c r="T368">
        <f t="shared" si="973"/>
        <v>0.20011908336674558</v>
      </c>
    </row>
    <row r="369" spans="1:20" x14ac:dyDescent="0.25">
      <c r="A369" s="5">
        <v>44224</v>
      </c>
      <c r="B369">
        <v>9.5440000000000005</v>
      </c>
      <c r="C369">
        <v>11.869</v>
      </c>
      <c r="D369">
        <v>9.3010000000000002</v>
      </c>
      <c r="E369">
        <v>11.587</v>
      </c>
      <c r="F369">
        <v>713789.10400000005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0.78037383177570085</v>
      </c>
      <c r="Q369">
        <f t="shared" si="970"/>
        <v>557022.33816822432</v>
      </c>
      <c r="R369">
        <f t="shared" si="971"/>
        <v>20081602.742925167</v>
      </c>
      <c r="S369">
        <f t="shared" si="972"/>
        <v>200.81602742925168</v>
      </c>
      <c r="T369">
        <f t="shared" si="973"/>
        <v>0.20081602742925167</v>
      </c>
    </row>
    <row r="370" spans="1:20" x14ac:dyDescent="0.25">
      <c r="A370" s="5">
        <v>44223</v>
      </c>
      <c r="B370">
        <v>10.266999999999999</v>
      </c>
      <c r="C370">
        <v>10.268000000000001</v>
      </c>
      <c r="D370">
        <v>9.1300000000000008</v>
      </c>
      <c r="E370">
        <v>9.5519999999999996</v>
      </c>
      <c r="F370">
        <v>221138.31</v>
      </c>
      <c r="G370">
        <v>0</v>
      </c>
      <c r="L370" t="s">
        <v>7</v>
      </c>
      <c r="M370" t="s">
        <v>8</v>
      </c>
      <c r="N370" t="s">
        <v>8</v>
      </c>
      <c r="P370">
        <f t="shared" si="969"/>
        <v>-0.25834797891037109</v>
      </c>
      <c r="Q370">
        <f t="shared" si="970"/>
        <v>-57130.635448155102</v>
      </c>
      <c r="R370">
        <f t="shared" si="971"/>
        <v>19524580.404756945</v>
      </c>
      <c r="S370">
        <f t="shared" si="972"/>
        <v>195.24580404756944</v>
      </c>
      <c r="T370">
        <f t="shared" si="973"/>
        <v>0.19524580404756944</v>
      </c>
    </row>
    <row r="371" spans="1:20" x14ac:dyDescent="0.25">
      <c r="A371" s="5">
        <v>44222</v>
      </c>
      <c r="B371">
        <v>9.7810000000000006</v>
      </c>
      <c r="C371">
        <v>10.295</v>
      </c>
      <c r="D371">
        <v>9.3360000000000003</v>
      </c>
      <c r="E371">
        <v>10.253</v>
      </c>
      <c r="F371">
        <v>285447.38900000002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0.91240875912408792</v>
      </c>
      <c r="Q371">
        <f t="shared" si="970"/>
        <v>260444.69799270085</v>
      </c>
      <c r="R371">
        <f t="shared" si="971"/>
        <v>19581711.040205099</v>
      </c>
      <c r="S371">
        <f t="shared" si="972"/>
        <v>195.81711040205099</v>
      </c>
      <c r="T371">
        <f t="shared" si="973"/>
        <v>0.19581711040205099</v>
      </c>
    </row>
    <row r="372" spans="1:20" x14ac:dyDescent="0.25">
      <c r="A372" s="5">
        <v>44221</v>
      </c>
      <c r="B372">
        <v>10.355</v>
      </c>
      <c r="C372">
        <v>10.753</v>
      </c>
      <c r="D372">
        <v>9.6460000000000008</v>
      </c>
      <c r="E372">
        <v>9.7989999999999995</v>
      </c>
      <c r="F372">
        <v>299469.516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-0.72357723577235988</v>
      </c>
      <c r="Q372">
        <f t="shared" si="970"/>
        <v>-216689.3245853665</v>
      </c>
      <c r="R372">
        <f t="shared" si="971"/>
        <v>19321266.342212398</v>
      </c>
      <c r="S372">
        <f t="shared" si="972"/>
        <v>193.21266342212397</v>
      </c>
      <c r="T372">
        <f t="shared" si="973"/>
        <v>0.19321266342212395</v>
      </c>
    </row>
    <row r="373" spans="1:20" x14ac:dyDescent="0.25">
      <c r="A373" s="5">
        <v>44220</v>
      </c>
      <c r="B373">
        <v>9.7370000000000001</v>
      </c>
      <c r="C373">
        <v>10.349</v>
      </c>
      <c r="D373">
        <v>9.6539999999999999</v>
      </c>
      <c r="E373">
        <v>10.334</v>
      </c>
      <c r="F373">
        <v>213992.49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0.9568345323740991</v>
      </c>
      <c r="Q373">
        <f t="shared" si="970"/>
        <v>204755.40410071908</v>
      </c>
      <c r="R373">
        <f t="shared" si="971"/>
        <v>19537955.666797765</v>
      </c>
      <c r="S373">
        <f t="shared" si="972"/>
        <v>195.37955666797765</v>
      </c>
      <c r="T373">
        <f t="shared" si="973"/>
        <v>0.19537955666797766</v>
      </c>
    </row>
    <row r="374" spans="1:20" x14ac:dyDescent="0.25">
      <c r="A374" s="5">
        <v>44219</v>
      </c>
      <c r="B374">
        <v>9.8710000000000004</v>
      </c>
      <c r="C374">
        <v>10.050000000000001</v>
      </c>
      <c r="D374">
        <v>9.4390000000000001</v>
      </c>
      <c r="E374">
        <v>9.7289999999999992</v>
      </c>
      <c r="F374">
        <v>162093.592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-5.0736497545011992E-2</v>
      </c>
      <c r="Q374">
        <f t="shared" si="970"/>
        <v>-8224.0611325701757</v>
      </c>
      <c r="R374">
        <f t="shared" si="971"/>
        <v>19333200.262697045</v>
      </c>
      <c r="S374">
        <f t="shared" si="972"/>
        <v>193.33200262697045</v>
      </c>
      <c r="T374">
        <f t="shared" si="973"/>
        <v>0.19333200262697045</v>
      </c>
    </row>
    <row r="375" spans="1:20" x14ac:dyDescent="0.25">
      <c r="A375" s="5">
        <v>44218</v>
      </c>
      <c r="B375">
        <v>8.8620000000000001</v>
      </c>
      <c r="C375">
        <v>10.145</v>
      </c>
      <c r="D375">
        <v>8.2650000000000006</v>
      </c>
      <c r="E375">
        <v>9.8710000000000004</v>
      </c>
      <c r="F375">
        <v>398437.08399999997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0.70851063829787309</v>
      </c>
      <c r="Q375">
        <f t="shared" si="970"/>
        <v>282296.91270638327</v>
      </c>
      <c r="R375">
        <f t="shared" si="971"/>
        <v>19341424.323829614</v>
      </c>
      <c r="S375">
        <f t="shared" si="972"/>
        <v>193.41424323829614</v>
      </c>
      <c r="T375">
        <f t="shared" si="973"/>
        <v>0.19341424323829615</v>
      </c>
    </row>
    <row r="376" spans="1:20" x14ac:dyDescent="0.25">
      <c r="A376" s="5">
        <v>44217</v>
      </c>
      <c r="B376">
        <v>10.484999999999999</v>
      </c>
      <c r="C376">
        <v>10.534000000000001</v>
      </c>
      <c r="D376">
        <v>8.67</v>
      </c>
      <c r="E376">
        <v>8.8320000000000007</v>
      </c>
      <c r="F376">
        <v>236378.83300000001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-0.82618025751072877</v>
      </c>
      <c r="Q376">
        <f t="shared" si="970"/>
        <v>-195291.52511802557</v>
      </c>
      <c r="R376">
        <f t="shared" si="971"/>
        <v>19059127.411123231</v>
      </c>
      <c r="S376">
        <f t="shared" si="972"/>
        <v>190.59127411123231</v>
      </c>
      <c r="T376">
        <f t="shared" si="973"/>
        <v>0.19059127411123231</v>
      </c>
    </row>
    <row r="377" spans="1:20" x14ac:dyDescent="0.25">
      <c r="A377" s="5">
        <v>44216</v>
      </c>
      <c r="B377">
        <v>10.606999999999999</v>
      </c>
      <c r="C377">
        <v>10.744</v>
      </c>
      <c r="D377">
        <v>9.609</v>
      </c>
      <c r="E377">
        <v>10.484</v>
      </c>
      <c r="F377">
        <v>407992.29100000003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0.54185022026431751</v>
      </c>
      <c r="Q377">
        <f t="shared" si="970"/>
        <v>221070.71274449353</v>
      </c>
      <c r="R377">
        <f t="shared" si="971"/>
        <v>19254418.936241258</v>
      </c>
      <c r="S377">
        <f t="shared" si="972"/>
        <v>192.54418936241257</v>
      </c>
      <c r="T377">
        <f t="shared" si="973"/>
        <v>0.19254418936241258</v>
      </c>
    </row>
    <row r="378" spans="1:20" x14ac:dyDescent="0.25">
      <c r="A378" s="5">
        <v>44215</v>
      </c>
      <c r="B378">
        <v>10.696</v>
      </c>
      <c r="C378">
        <v>11.3</v>
      </c>
      <c r="D378">
        <v>10.5</v>
      </c>
      <c r="E378">
        <v>10.615</v>
      </c>
      <c r="F378">
        <v>282655.87199999997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-0.71249999999999969</v>
      </c>
      <c r="Q378">
        <f t="shared" si="970"/>
        <v>-201392.30879999988</v>
      </c>
      <c r="R378">
        <f t="shared" si="971"/>
        <v>19033348.223496765</v>
      </c>
      <c r="S378">
        <f t="shared" si="972"/>
        <v>190.33348223496765</v>
      </c>
      <c r="T378">
        <f t="shared" si="973"/>
        <v>0.19033348223496765</v>
      </c>
    </row>
    <row r="379" spans="1:20" x14ac:dyDescent="0.25">
      <c r="A379" s="5">
        <v>44214</v>
      </c>
      <c r="B379">
        <v>10.029999999999999</v>
      </c>
      <c r="C379">
        <v>10.734</v>
      </c>
      <c r="D379">
        <v>9.91</v>
      </c>
      <c r="E379">
        <v>10.695</v>
      </c>
      <c r="F379">
        <v>621983.57900000003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0.90533980582524343</v>
      </c>
      <c r="Q379">
        <f t="shared" si="970"/>
        <v>563106.49263835</v>
      </c>
      <c r="R379">
        <f t="shared" si="971"/>
        <v>19234740.532296766</v>
      </c>
      <c r="S379">
        <f t="shared" si="972"/>
        <v>192.34740532296766</v>
      </c>
      <c r="T379">
        <f t="shared" si="973"/>
        <v>0.19234740532296765</v>
      </c>
    </row>
    <row r="380" spans="1:20" x14ac:dyDescent="0.25">
      <c r="A380" s="5">
        <v>44213</v>
      </c>
      <c r="B380">
        <v>9.42</v>
      </c>
      <c r="C380">
        <v>10.282</v>
      </c>
      <c r="D380">
        <v>8.8810000000000002</v>
      </c>
      <c r="E380">
        <v>10.032999999999999</v>
      </c>
      <c r="F380">
        <v>452645.663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0.64453961456102704</v>
      </c>
      <c r="Q380">
        <f t="shared" si="970"/>
        <v>291748.06116274052</v>
      </c>
      <c r="R380">
        <f t="shared" si="971"/>
        <v>18671634.039658416</v>
      </c>
      <c r="S380">
        <f t="shared" si="972"/>
        <v>186.71634039658417</v>
      </c>
      <c r="T380">
        <f t="shared" si="973"/>
        <v>0.18671634039658416</v>
      </c>
    </row>
    <row r="381" spans="1:20" x14ac:dyDescent="0.25">
      <c r="A381" s="5">
        <v>44212</v>
      </c>
      <c r="B381">
        <v>9.1509999999999998</v>
      </c>
      <c r="C381">
        <v>9.7230000000000008</v>
      </c>
      <c r="D381">
        <v>9.0500000000000007</v>
      </c>
      <c r="E381">
        <v>9.4280000000000008</v>
      </c>
      <c r="F381">
        <v>231729.663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0.12332838038633014</v>
      </c>
      <c r="Q381">
        <f t="shared" si="970"/>
        <v>28578.844025260092</v>
      </c>
      <c r="R381">
        <f t="shared" si="971"/>
        <v>18379885.978495676</v>
      </c>
      <c r="S381">
        <f t="shared" si="972"/>
        <v>183.79885978495676</v>
      </c>
      <c r="T381">
        <f t="shared" si="973"/>
        <v>0.18379885978495675</v>
      </c>
    </row>
    <row r="382" spans="1:20" x14ac:dyDescent="0.25">
      <c r="A382" s="5">
        <v>44211</v>
      </c>
      <c r="B382">
        <v>9.6669999999999998</v>
      </c>
      <c r="C382">
        <v>9.8070000000000004</v>
      </c>
      <c r="D382">
        <v>8.5139999999999993</v>
      </c>
      <c r="E382">
        <v>9.1479999999999997</v>
      </c>
      <c r="F382">
        <v>172704.054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-1.9334880123743493E-2</v>
      </c>
      <c r="Q382">
        <f t="shared" si="970"/>
        <v>-3339.2121809745231</v>
      </c>
      <c r="R382">
        <f t="shared" si="971"/>
        <v>18351307.134470414</v>
      </c>
      <c r="S382">
        <f t="shared" si="972"/>
        <v>183.51307134470414</v>
      </c>
      <c r="T382">
        <f t="shared" si="973"/>
        <v>0.18351307134470415</v>
      </c>
    </row>
    <row r="383" spans="1:20" x14ac:dyDescent="0.25">
      <c r="A383" s="5">
        <v>44210</v>
      </c>
      <c r="B383">
        <v>9.1890000000000001</v>
      </c>
      <c r="C383">
        <v>9.8889999999999993</v>
      </c>
      <c r="D383">
        <v>8.9429999999999996</v>
      </c>
      <c r="E383">
        <v>9.6470000000000002</v>
      </c>
      <c r="F383">
        <v>189134.228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0.48837209302325757</v>
      </c>
      <c r="Q383">
        <f t="shared" si="970"/>
        <v>92367.878790698014</v>
      </c>
      <c r="R383">
        <f t="shared" si="971"/>
        <v>18354646.34665139</v>
      </c>
      <c r="S383">
        <f t="shared" si="972"/>
        <v>183.5464634665139</v>
      </c>
      <c r="T383">
        <f t="shared" si="973"/>
        <v>0.1835464634665139</v>
      </c>
    </row>
    <row r="384" spans="1:20" x14ac:dyDescent="0.25">
      <c r="A384" s="5">
        <v>44209</v>
      </c>
      <c r="B384">
        <v>8.391</v>
      </c>
      <c r="C384">
        <v>9.23</v>
      </c>
      <c r="D384">
        <v>8.01</v>
      </c>
      <c r="E384">
        <v>9.1660000000000004</v>
      </c>
      <c r="F384">
        <v>287322.7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0.89508196721311473</v>
      </c>
      <c r="Q384">
        <f t="shared" si="970"/>
        <v>257177.3675409836</v>
      </c>
      <c r="R384">
        <f t="shared" si="971"/>
        <v>18262278.467860691</v>
      </c>
      <c r="S384">
        <f t="shared" si="972"/>
        <v>182.62278467860691</v>
      </c>
      <c r="T384">
        <f t="shared" si="973"/>
        <v>0.1826227846786069</v>
      </c>
    </row>
    <row r="385" spans="1:20" x14ac:dyDescent="0.25">
      <c r="A385" s="5">
        <v>44208</v>
      </c>
      <c r="B385">
        <v>8.593</v>
      </c>
      <c r="C385">
        <v>9.1280000000000001</v>
      </c>
      <c r="D385">
        <v>8.01</v>
      </c>
      <c r="E385">
        <v>8.4149999999999991</v>
      </c>
      <c r="F385">
        <v>310258.16700000002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-0.27549194991055592</v>
      </c>
      <c r="Q385">
        <f t="shared" si="970"/>
        <v>-85473.627402504892</v>
      </c>
      <c r="R385">
        <f t="shared" si="971"/>
        <v>18005101.100319706</v>
      </c>
      <c r="S385">
        <f t="shared" si="972"/>
        <v>180.05101100319706</v>
      </c>
      <c r="T385">
        <f t="shared" si="973"/>
        <v>0.18005101100319706</v>
      </c>
    </row>
    <row r="386" spans="1:20" x14ac:dyDescent="0.25">
      <c r="A386" s="5">
        <v>44207</v>
      </c>
      <c r="B386">
        <v>9.2859999999999996</v>
      </c>
      <c r="C386">
        <v>9.31</v>
      </c>
      <c r="D386">
        <v>7.1</v>
      </c>
      <c r="E386">
        <v>8.5850000000000009</v>
      </c>
      <c r="F386">
        <v>346149.14899999998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0.34389140271493268</v>
      </c>
      <c r="Q386">
        <f t="shared" si="970"/>
        <v>119037.71639819023</v>
      </c>
      <c r="R386">
        <f t="shared" si="971"/>
        <v>18090574.727722209</v>
      </c>
      <c r="S386">
        <f t="shared" si="972"/>
        <v>180.90574727722208</v>
      </c>
      <c r="T386">
        <f t="shared" si="973"/>
        <v>0.18090574727722208</v>
      </c>
    </row>
    <row r="387" spans="1:20" x14ac:dyDescent="0.25">
      <c r="A387" s="5">
        <v>44206</v>
      </c>
      <c r="B387">
        <v>9.5410000000000004</v>
      </c>
      <c r="C387">
        <v>9.9469999999999992</v>
      </c>
      <c r="D387">
        <v>8.5540000000000003</v>
      </c>
      <c r="E387">
        <v>9.2840000000000007</v>
      </c>
      <c r="F387">
        <v>220495.47200000001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4.8097631012205315E-2</v>
      </c>
      <c r="Q387">
        <f t="shared" si="970"/>
        <v>10605.309852118049</v>
      </c>
      <c r="R387">
        <f t="shared" si="971"/>
        <v>17971537.011324018</v>
      </c>
      <c r="S387">
        <f t="shared" si="972"/>
        <v>179.71537011324017</v>
      </c>
      <c r="T387">
        <f t="shared" si="973"/>
        <v>0.17971537011324018</v>
      </c>
    </row>
    <row r="388" spans="1:20" x14ac:dyDescent="0.25">
      <c r="A388" s="5">
        <v>44205</v>
      </c>
      <c r="B388">
        <v>9.3480000000000008</v>
      </c>
      <c r="C388">
        <v>9.6170000000000009</v>
      </c>
      <c r="D388">
        <v>8.6940000000000008</v>
      </c>
      <c r="E388">
        <v>9.5370000000000008</v>
      </c>
      <c r="F388">
        <v>234859.91899999999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0.82665222101841807</v>
      </c>
      <c r="Q388">
        <f t="shared" si="970"/>
        <v>194147.47366955577</v>
      </c>
      <c r="R388">
        <f t="shared" si="971"/>
        <v>17960931.701471899</v>
      </c>
      <c r="S388">
        <f t="shared" si="972"/>
        <v>179.60931701471898</v>
      </c>
      <c r="T388">
        <f t="shared" si="973"/>
        <v>0.17960931701471899</v>
      </c>
    </row>
    <row r="389" spans="1:20" x14ac:dyDescent="0.25">
      <c r="A389" s="5">
        <v>44204</v>
      </c>
      <c r="B389">
        <v>9.577</v>
      </c>
      <c r="C389">
        <v>9.75</v>
      </c>
      <c r="D389">
        <v>8.0440000000000005</v>
      </c>
      <c r="E389">
        <v>9.3559999999999999</v>
      </c>
      <c r="F389">
        <v>511731.44699999999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0.53810082063305953</v>
      </c>
      <c r="Q389">
        <f t="shared" si="970"/>
        <v>275363.111574443</v>
      </c>
      <c r="R389">
        <f t="shared" si="971"/>
        <v>17766784.227802344</v>
      </c>
      <c r="S389">
        <f t="shared" si="972"/>
        <v>177.66784227802344</v>
      </c>
      <c r="T389">
        <f t="shared" si="973"/>
        <v>0.17766784227802343</v>
      </c>
    </row>
    <row r="390" spans="1:20" x14ac:dyDescent="0.25">
      <c r="A390" s="5">
        <v>44203</v>
      </c>
      <c r="B390">
        <v>9.4039999999999999</v>
      </c>
      <c r="C390">
        <v>10.090999999999999</v>
      </c>
      <c r="D390">
        <v>8.923</v>
      </c>
      <c r="E390">
        <v>9.5709999999999997</v>
      </c>
      <c r="F390">
        <v>381493.97200000001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0.10958904109589057</v>
      </c>
      <c r="Q390">
        <f t="shared" ref="Q390:Q453" si="975">F390*P390</f>
        <v>41807.558575342526</v>
      </c>
      <c r="R390">
        <f t="shared" ref="R390:R453" si="976">R391+Q390</f>
        <v>17491421.116227902</v>
      </c>
      <c r="S390">
        <f t="shared" ref="S390:S453" si="977">R390/100000</f>
        <v>174.91421116227903</v>
      </c>
      <c r="T390">
        <f t="shared" ref="T390:T453" si="978">S390/1000</f>
        <v>0.17491421116227904</v>
      </c>
    </row>
    <row r="391" spans="1:20" x14ac:dyDescent="0.25">
      <c r="A391" s="5">
        <v>44202</v>
      </c>
      <c r="B391">
        <v>8.6359999999999992</v>
      </c>
      <c r="C391">
        <v>9.4039999999999999</v>
      </c>
      <c r="D391">
        <v>8.3000000000000007</v>
      </c>
      <c r="E391">
        <v>9.3829999999999991</v>
      </c>
      <c r="F391">
        <v>453134.34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0.96195652173912893</v>
      </c>
      <c r="Q391">
        <f t="shared" si="975"/>
        <v>435895.53358695586</v>
      </c>
      <c r="R391">
        <f t="shared" si="976"/>
        <v>17449613.557652559</v>
      </c>
      <c r="S391">
        <f t="shared" si="977"/>
        <v>174.4961355765256</v>
      </c>
      <c r="T391">
        <f t="shared" si="978"/>
        <v>0.1744961355765256</v>
      </c>
    </row>
    <row r="392" spans="1:20" x14ac:dyDescent="0.25">
      <c r="A392" s="5">
        <v>44201</v>
      </c>
      <c r="B392">
        <v>7.532</v>
      </c>
      <c r="C392">
        <v>8.7270000000000003</v>
      </c>
      <c r="D392">
        <v>7.0650000000000004</v>
      </c>
      <c r="E392">
        <v>8.6560000000000006</v>
      </c>
      <c r="F392">
        <v>420890.78499999997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0.91456077015643833</v>
      </c>
      <c r="Q392">
        <f t="shared" si="975"/>
        <v>384930.20048134786</v>
      </c>
      <c r="R392">
        <f t="shared" si="976"/>
        <v>17013718.024065603</v>
      </c>
      <c r="S392">
        <f t="shared" si="977"/>
        <v>170.13718024065602</v>
      </c>
      <c r="T392">
        <f t="shared" si="978"/>
        <v>0.17013718024065602</v>
      </c>
    </row>
    <row r="393" spans="1:20" x14ac:dyDescent="0.25">
      <c r="A393" s="5">
        <v>44200</v>
      </c>
      <c r="B393">
        <v>6.9509999999999996</v>
      </c>
      <c r="C393">
        <v>7.6360000000000001</v>
      </c>
      <c r="D393">
        <v>6.2590000000000003</v>
      </c>
      <c r="E393">
        <v>7.5350000000000001</v>
      </c>
      <c r="F393">
        <v>475930.98300000001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0.85330428467683372</v>
      </c>
      <c r="Q393">
        <f t="shared" si="975"/>
        <v>406113.94700435729</v>
      </c>
      <c r="R393">
        <f t="shared" si="976"/>
        <v>16628787.823584255</v>
      </c>
      <c r="S393">
        <f t="shared" si="977"/>
        <v>166.28787823584256</v>
      </c>
      <c r="T393">
        <f t="shared" si="978"/>
        <v>0.16628787823584257</v>
      </c>
    </row>
    <row r="394" spans="1:20" x14ac:dyDescent="0.25">
      <c r="A394" s="5">
        <v>44199</v>
      </c>
      <c r="B394">
        <v>6.2009999999999996</v>
      </c>
      <c r="C394">
        <v>7.04</v>
      </c>
      <c r="D394">
        <v>6.1550000000000002</v>
      </c>
      <c r="E394">
        <v>6.9450000000000003</v>
      </c>
      <c r="F394">
        <v>682071.46600000001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0.78531073446327737</v>
      </c>
      <c r="Q394">
        <f t="shared" si="975"/>
        <v>535638.04392090428</v>
      </c>
      <c r="R394">
        <f t="shared" si="976"/>
        <v>16222673.876579897</v>
      </c>
      <c r="S394">
        <f t="shared" si="977"/>
        <v>162.22673876579898</v>
      </c>
      <c r="T394">
        <f t="shared" si="978"/>
        <v>0.16222673876579899</v>
      </c>
    </row>
    <row r="395" spans="1:20" x14ac:dyDescent="0.25">
      <c r="A395" s="5">
        <v>44198</v>
      </c>
      <c r="B395">
        <v>5.8019999999999996</v>
      </c>
      <c r="C395">
        <v>10.840999999999999</v>
      </c>
      <c r="D395">
        <v>5.7229999999999999</v>
      </c>
      <c r="E395">
        <v>6.2</v>
      </c>
      <c r="F395">
        <v>595063.92700000003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-0.81359906213364586</v>
      </c>
      <c r="Q395">
        <f t="shared" si="975"/>
        <v>-484143.4529167643</v>
      </c>
      <c r="R395">
        <f t="shared" si="976"/>
        <v>15687035.832658993</v>
      </c>
      <c r="S395">
        <f t="shared" si="977"/>
        <v>156.87035832658992</v>
      </c>
      <c r="T395">
        <f t="shared" si="978"/>
        <v>0.15687035832658991</v>
      </c>
    </row>
    <row r="396" spans="1:20" x14ac:dyDescent="0.25">
      <c r="A396" s="5">
        <v>44197</v>
      </c>
      <c r="B396">
        <v>5.7619999999999996</v>
      </c>
      <c r="C396">
        <v>5.9059999999999997</v>
      </c>
      <c r="D396">
        <v>5.6980000000000004</v>
      </c>
      <c r="E396">
        <v>5.806</v>
      </c>
      <c r="F396">
        <v>237602.58799999999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3.8461538461538623E-2</v>
      </c>
      <c r="Q396">
        <f t="shared" si="975"/>
        <v>9138.5610769231153</v>
      </c>
      <c r="R396">
        <f t="shared" si="976"/>
        <v>16171179.285575757</v>
      </c>
      <c r="S396">
        <f t="shared" si="977"/>
        <v>161.71179285575758</v>
      </c>
      <c r="T396">
        <f t="shared" si="978"/>
        <v>0.16171179285575757</v>
      </c>
    </row>
    <row r="397" spans="1:20" x14ac:dyDescent="0.25">
      <c r="A397" s="5">
        <v>44196</v>
      </c>
      <c r="B397">
        <v>5.7690000000000001</v>
      </c>
      <c r="C397">
        <v>5.8319999999999999</v>
      </c>
      <c r="D397">
        <v>5.5590000000000002</v>
      </c>
      <c r="E397">
        <v>5.758</v>
      </c>
      <c r="F397">
        <v>187925.679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0.45787545787545841</v>
      </c>
      <c r="Q397">
        <f t="shared" si="975"/>
        <v>86046.556318681425</v>
      </c>
      <c r="R397">
        <f t="shared" si="976"/>
        <v>16162040.724498834</v>
      </c>
      <c r="S397">
        <f t="shared" si="977"/>
        <v>161.62040724498834</v>
      </c>
      <c r="T397">
        <f t="shared" si="978"/>
        <v>0.16162040724498833</v>
      </c>
    </row>
    <row r="398" spans="1:20" x14ac:dyDescent="0.25">
      <c r="A398" s="5">
        <v>44195</v>
      </c>
      <c r="B398">
        <v>5.6269999999999998</v>
      </c>
      <c r="C398">
        <v>5.7850000000000001</v>
      </c>
      <c r="D398">
        <v>5.5359999999999996</v>
      </c>
      <c r="E398">
        <v>5.7489999999999997</v>
      </c>
      <c r="F398">
        <v>135796.64499999999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0.71084337349397275</v>
      </c>
      <c r="Q398">
        <f t="shared" si="975"/>
        <v>96530.145240963422</v>
      </c>
      <c r="R398">
        <f t="shared" si="976"/>
        <v>16075994.168180153</v>
      </c>
      <c r="S398">
        <f t="shared" si="977"/>
        <v>160.75994168180154</v>
      </c>
      <c r="T398">
        <f t="shared" si="978"/>
        <v>0.16075994168180155</v>
      </c>
    </row>
    <row r="399" spans="1:20" x14ac:dyDescent="0.25">
      <c r="A399" s="5">
        <v>44194</v>
      </c>
      <c r="B399">
        <v>5.4059999999999997</v>
      </c>
      <c r="C399">
        <v>5.625</v>
      </c>
      <c r="D399">
        <v>5.2629999999999999</v>
      </c>
      <c r="E399">
        <v>5.617</v>
      </c>
      <c r="F399">
        <v>297931.76500000001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0.95580110497237569</v>
      </c>
      <c r="Q399">
        <f t="shared" si="975"/>
        <v>284763.51019337017</v>
      </c>
      <c r="R399">
        <f t="shared" si="976"/>
        <v>15979464.02293919</v>
      </c>
      <c r="S399">
        <f t="shared" si="977"/>
        <v>159.79464022939192</v>
      </c>
      <c r="T399">
        <f t="shared" si="978"/>
        <v>0.15979464022939191</v>
      </c>
    </row>
    <row r="400" spans="1:20" x14ac:dyDescent="0.25">
      <c r="A400" s="5">
        <v>44193</v>
      </c>
      <c r="B400">
        <v>5.1509999999999998</v>
      </c>
      <c r="C400">
        <v>5.431</v>
      </c>
      <c r="D400">
        <v>5.1289999999999996</v>
      </c>
      <c r="E400">
        <v>5.41</v>
      </c>
      <c r="F400">
        <v>191939.61900000001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0.86092715231788164</v>
      </c>
      <c r="Q400">
        <f t="shared" si="975"/>
        <v>165246.02960264919</v>
      </c>
      <c r="R400">
        <f t="shared" si="976"/>
        <v>15694700.51274582</v>
      </c>
      <c r="S400">
        <f t="shared" si="977"/>
        <v>156.9470051274582</v>
      </c>
      <c r="T400">
        <f t="shared" si="978"/>
        <v>0.15694700512745821</v>
      </c>
    </row>
    <row r="401" spans="1:20" x14ac:dyDescent="0.25">
      <c r="A401" s="5">
        <v>44192</v>
      </c>
      <c r="B401">
        <v>5.0919999999999996</v>
      </c>
      <c r="C401">
        <v>5.3540000000000001</v>
      </c>
      <c r="D401">
        <v>4.9779999999999998</v>
      </c>
      <c r="E401">
        <v>5.1429999999999998</v>
      </c>
      <c r="F401">
        <v>216935.28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-0.12234042553191549</v>
      </c>
      <c r="Q401">
        <f t="shared" si="975"/>
        <v>-26539.954468085234</v>
      </c>
      <c r="R401">
        <f t="shared" si="976"/>
        <v>15529454.483143171</v>
      </c>
      <c r="S401">
        <f t="shared" si="977"/>
        <v>155.29454483143172</v>
      </c>
      <c r="T401">
        <f t="shared" si="978"/>
        <v>0.15529454483143174</v>
      </c>
    </row>
    <row r="402" spans="1:20" x14ac:dyDescent="0.25">
      <c r="A402" s="5">
        <v>44191</v>
      </c>
      <c r="B402">
        <v>4.9390000000000001</v>
      </c>
      <c r="C402">
        <v>5.17</v>
      </c>
      <c r="D402">
        <v>4.8479999999999999</v>
      </c>
      <c r="E402">
        <v>5.0720000000000001</v>
      </c>
      <c r="F402">
        <v>197864.61600000001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0.39130434782608792</v>
      </c>
      <c r="Q402">
        <f t="shared" si="975"/>
        <v>77425.284521739319</v>
      </c>
      <c r="R402">
        <f t="shared" si="976"/>
        <v>15555994.437611256</v>
      </c>
      <c r="S402">
        <f t="shared" si="977"/>
        <v>155.55994437611255</v>
      </c>
      <c r="T402">
        <f t="shared" si="978"/>
        <v>0.15555994437611256</v>
      </c>
    </row>
    <row r="403" spans="1:20" x14ac:dyDescent="0.25">
      <c r="A403" s="5">
        <v>44190</v>
      </c>
      <c r="B403">
        <v>4.8810000000000002</v>
      </c>
      <c r="C403">
        <v>5.0510000000000002</v>
      </c>
      <c r="D403">
        <v>4.8140000000000001</v>
      </c>
      <c r="E403">
        <v>4.9260000000000002</v>
      </c>
      <c r="F403">
        <v>217100.226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-5.4852320675105044E-2</v>
      </c>
      <c r="Q403">
        <f t="shared" si="975"/>
        <v>-11908.451215189778</v>
      </c>
      <c r="R403">
        <f t="shared" si="976"/>
        <v>15478569.153089516</v>
      </c>
      <c r="S403">
        <f t="shared" si="977"/>
        <v>154.78569153089515</v>
      </c>
      <c r="T403">
        <f t="shared" si="978"/>
        <v>0.15478569153089514</v>
      </c>
    </row>
    <row r="404" spans="1:20" x14ac:dyDescent="0.25">
      <c r="A404" s="5">
        <v>44189</v>
      </c>
      <c r="B404">
        <v>4.74</v>
      </c>
      <c r="C404">
        <v>4.9029999999999996</v>
      </c>
      <c r="D404">
        <v>4.633</v>
      </c>
      <c r="E404">
        <v>4.875</v>
      </c>
      <c r="F404">
        <v>155126.274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0.7925925925925954</v>
      </c>
      <c r="Q404">
        <f t="shared" si="975"/>
        <v>122951.93568888932</v>
      </c>
      <c r="R404">
        <f t="shared" si="976"/>
        <v>15490477.604304705</v>
      </c>
      <c r="S404">
        <f t="shared" si="977"/>
        <v>154.90477604304704</v>
      </c>
      <c r="T404">
        <f t="shared" si="978"/>
        <v>0.15490477604304703</v>
      </c>
    </row>
    <row r="405" spans="1:20" x14ac:dyDescent="0.25">
      <c r="A405" s="5">
        <v>44188</v>
      </c>
      <c r="B405">
        <v>4.9729999999999999</v>
      </c>
      <c r="C405">
        <v>5.0229999999999997</v>
      </c>
      <c r="D405">
        <v>4.5670000000000002</v>
      </c>
      <c r="E405">
        <v>4.7460000000000004</v>
      </c>
      <c r="F405">
        <v>211145.03899999999</v>
      </c>
      <c r="G405">
        <v>0</v>
      </c>
      <c r="L405" t="s">
        <v>7</v>
      </c>
      <c r="M405" t="s">
        <v>8</v>
      </c>
      <c r="N405" t="s">
        <v>8</v>
      </c>
      <c r="P405">
        <f t="shared" si="974"/>
        <v>-0.21491228070175236</v>
      </c>
      <c r="Q405">
        <f t="shared" si="975"/>
        <v>-45377.66189035045</v>
      </c>
      <c r="R405">
        <f t="shared" si="976"/>
        <v>15367525.668615816</v>
      </c>
      <c r="S405">
        <f t="shared" si="977"/>
        <v>153.67525668615815</v>
      </c>
      <c r="T405">
        <f t="shared" si="978"/>
        <v>0.15367525668615814</v>
      </c>
    </row>
    <row r="406" spans="1:20" x14ac:dyDescent="0.25">
      <c r="A406" s="5">
        <v>44187</v>
      </c>
      <c r="B406">
        <v>4.7969999999999997</v>
      </c>
      <c r="C406">
        <v>4.9740000000000002</v>
      </c>
      <c r="D406">
        <v>4.6260000000000003</v>
      </c>
      <c r="E406">
        <v>4.9740000000000002</v>
      </c>
      <c r="F406">
        <v>269731.598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1</v>
      </c>
      <c r="Q406">
        <f t="shared" si="975"/>
        <v>269731.598</v>
      </c>
      <c r="R406">
        <f t="shared" si="976"/>
        <v>15412903.330506166</v>
      </c>
      <c r="S406">
        <f t="shared" si="977"/>
        <v>154.12903330506165</v>
      </c>
      <c r="T406">
        <f t="shared" si="978"/>
        <v>0.15412903330506164</v>
      </c>
    </row>
    <row r="407" spans="1:20" x14ac:dyDescent="0.25">
      <c r="A407" s="5">
        <v>44186</v>
      </c>
      <c r="B407">
        <v>4.9489999999999998</v>
      </c>
      <c r="C407">
        <v>5.0970000000000004</v>
      </c>
      <c r="D407">
        <v>4.6429999999999998</v>
      </c>
      <c r="E407">
        <v>4.8220000000000001</v>
      </c>
      <c r="F407">
        <v>196288.37599999999</v>
      </c>
      <c r="G407">
        <v>0</v>
      </c>
      <c r="L407" t="s">
        <v>7</v>
      </c>
      <c r="M407" t="s">
        <v>8</v>
      </c>
      <c r="N407" t="s">
        <v>8</v>
      </c>
      <c r="P407">
        <f t="shared" si="974"/>
        <v>-0.21145374449339197</v>
      </c>
      <c r="Q407">
        <f t="shared" si="975"/>
        <v>-41505.912105726849</v>
      </c>
      <c r="R407">
        <f t="shared" si="976"/>
        <v>15143171.732506167</v>
      </c>
      <c r="S407">
        <f t="shared" si="977"/>
        <v>151.43171732506167</v>
      </c>
      <c r="T407">
        <f t="shared" si="978"/>
        <v>0.15143171732506167</v>
      </c>
    </row>
    <row r="408" spans="1:20" x14ac:dyDescent="0.25">
      <c r="A408" s="5">
        <v>44185</v>
      </c>
      <c r="B408">
        <v>5.0449999999999999</v>
      </c>
      <c r="C408">
        <v>5.1260000000000003</v>
      </c>
      <c r="D408">
        <v>4.8819999999999997</v>
      </c>
      <c r="E408">
        <v>4.9790000000000001</v>
      </c>
      <c r="F408">
        <v>135193.21799999999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-0.20491803278688397</v>
      </c>
      <c r="Q408">
        <f t="shared" si="975"/>
        <v>-27703.528278688351</v>
      </c>
      <c r="R408">
        <f t="shared" si="976"/>
        <v>15184677.644611893</v>
      </c>
      <c r="S408">
        <f t="shared" si="977"/>
        <v>151.84677644611892</v>
      </c>
      <c r="T408">
        <f t="shared" si="978"/>
        <v>0.15184677644611894</v>
      </c>
    </row>
    <row r="409" spans="1:20" x14ac:dyDescent="0.25">
      <c r="A409" s="5">
        <v>44184</v>
      </c>
      <c r="B409">
        <v>4.9119999999999999</v>
      </c>
      <c r="C409">
        <v>5.1079999999999997</v>
      </c>
      <c r="D409">
        <v>4.891</v>
      </c>
      <c r="E409">
        <v>5.0439999999999996</v>
      </c>
      <c r="F409">
        <v>134848.14600000001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0.41013824884792477</v>
      </c>
      <c r="Q409">
        <f t="shared" si="975"/>
        <v>55306.382460829293</v>
      </c>
      <c r="R409">
        <f t="shared" si="976"/>
        <v>15212381.172890581</v>
      </c>
      <c r="S409">
        <f t="shared" si="977"/>
        <v>152.12381172890582</v>
      </c>
      <c r="T409">
        <f t="shared" si="978"/>
        <v>0.15212381172890582</v>
      </c>
    </row>
    <row r="410" spans="1:20" x14ac:dyDescent="0.25">
      <c r="A410" s="5">
        <v>44183</v>
      </c>
      <c r="B410">
        <v>4.867</v>
      </c>
      <c r="C410">
        <v>4.9630000000000001</v>
      </c>
      <c r="D410">
        <v>4.7759999999999998</v>
      </c>
      <c r="E410">
        <v>4.92</v>
      </c>
      <c r="F410">
        <v>116920.253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0.5401069518716568</v>
      </c>
      <c r="Q410">
        <f t="shared" si="975"/>
        <v>63149.441459892936</v>
      </c>
      <c r="R410">
        <f t="shared" si="976"/>
        <v>15157074.790429752</v>
      </c>
      <c r="S410">
        <f t="shared" si="977"/>
        <v>151.57074790429752</v>
      </c>
      <c r="T410">
        <f t="shared" si="978"/>
        <v>0.15157074790429753</v>
      </c>
    </row>
    <row r="411" spans="1:20" x14ac:dyDescent="0.25">
      <c r="A411" s="5">
        <v>44182</v>
      </c>
      <c r="B411">
        <v>4.867</v>
      </c>
      <c r="C411">
        <v>5.0579999999999998</v>
      </c>
      <c r="D411">
        <v>4.7560000000000002</v>
      </c>
      <c r="E411">
        <v>4.867</v>
      </c>
      <c r="F411">
        <v>430081.60700000002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-0.2649006622516562</v>
      </c>
      <c r="Q411">
        <f t="shared" si="975"/>
        <v>-113928.90251655654</v>
      </c>
      <c r="R411">
        <f t="shared" si="976"/>
        <v>15093925.34896986</v>
      </c>
      <c r="S411">
        <f t="shared" si="977"/>
        <v>150.93925348969859</v>
      </c>
      <c r="T411">
        <f t="shared" si="978"/>
        <v>0.15093925348969858</v>
      </c>
    </row>
    <row r="412" spans="1:20" x14ac:dyDescent="0.25">
      <c r="A412" s="5">
        <v>44181</v>
      </c>
      <c r="B412">
        <v>4.6310000000000002</v>
      </c>
      <c r="C412">
        <v>4.9420000000000002</v>
      </c>
      <c r="D412">
        <v>4.59</v>
      </c>
      <c r="E412">
        <v>4.8650000000000002</v>
      </c>
      <c r="F412">
        <v>202410.087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0.56250000000000067</v>
      </c>
      <c r="Q412">
        <f t="shared" si="975"/>
        <v>113855.67393750013</v>
      </c>
      <c r="R412">
        <f t="shared" si="976"/>
        <v>15207854.251486417</v>
      </c>
      <c r="S412">
        <f t="shared" si="977"/>
        <v>152.07854251486418</v>
      </c>
      <c r="T412">
        <f t="shared" si="978"/>
        <v>0.15207854251486419</v>
      </c>
    </row>
    <row r="413" spans="1:20" x14ac:dyDescent="0.25">
      <c r="A413" s="5">
        <v>44180</v>
      </c>
      <c r="B413">
        <v>4.5469999999999997</v>
      </c>
      <c r="C413">
        <v>4.6459999999999999</v>
      </c>
      <c r="D413">
        <v>4.5199999999999996</v>
      </c>
      <c r="E413">
        <v>4.6379999999999999</v>
      </c>
      <c r="F413">
        <v>118557.215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0.87301587301587324</v>
      </c>
      <c r="Q413">
        <f t="shared" si="975"/>
        <v>103502.33055555559</v>
      </c>
      <c r="R413">
        <f t="shared" si="976"/>
        <v>15093998.577548917</v>
      </c>
      <c r="S413">
        <f t="shared" si="977"/>
        <v>150.93998577548916</v>
      </c>
      <c r="T413">
        <f t="shared" si="978"/>
        <v>0.15093998577548917</v>
      </c>
    </row>
    <row r="414" spans="1:20" x14ac:dyDescent="0.25">
      <c r="A414" s="5">
        <v>44179</v>
      </c>
      <c r="B414">
        <v>4.4589999999999996</v>
      </c>
      <c r="C414">
        <v>4.556</v>
      </c>
      <c r="D414">
        <v>4.4329999999999998</v>
      </c>
      <c r="E414">
        <v>4.5389999999999997</v>
      </c>
      <c r="F414">
        <v>131522.24400000001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0.72357723577235256</v>
      </c>
      <c r="Q414">
        <f t="shared" si="975"/>
        <v>95166.501756096884</v>
      </c>
      <c r="R414">
        <f t="shared" si="976"/>
        <v>14990496.246993361</v>
      </c>
      <c r="S414">
        <f t="shared" si="977"/>
        <v>149.90496246993362</v>
      </c>
      <c r="T414">
        <f t="shared" si="978"/>
        <v>0.14990496246993362</v>
      </c>
    </row>
    <row r="415" spans="1:20" x14ac:dyDescent="0.25">
      <c r="A415" s="5">
        <v>44178</v>
      </c>
      <c r="B415">
        <v>4.258</v>
      </c>
      <c r="C415">
        <v>4.492</v>
      </c>
      <c r="D415">
        <v>4.2370000000000001</v>
      </c>
      <c r="E415">
        <v>4.4569999999999999</v>
      </c>
      <c r="F415">
        <v>209258.217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0.72549019607843013</v>
      </c>
      <c r="Q415">
        <f t="shared" si="975"/>
        <v>151814.78488235269</v>
      </c>
      <c r="R415">
        <f t="shared" si="976"/>
        <v>14895329.745237265</v>
      </c>
      <c r="S415">
        <f t="shared" si="977"/>
        <v>148.95329745237265</v>
      </c>
      <c r="T415">
        <f t="shared" si="978"/>
        <v>0.14895329745237265</v>
      </c>
    </row>
    <row r="416" spans="1:20" x14ac:dyDescent="0.25">
      <c r="A416" s="5">
        <v>44177</v>
      </c>
      <c r="B416">
        <v>4.1070000000000002</v>
      </c>
      <c r="C416">
        <v>4.2869999999999999</v>
      </c>
      <c r="D416">
        <v>4.1040000000000001</v>
      </c>
      <c r="E416">
        <v>4.258</v>
      </c>
      <c r="F416">
        <v>191626.772</v>
      </c>
      <c r="G416">
        <v>0</v>
      </c>
      <c r="L416" t="s">
        <v>7</v>
      </c>
      <c r="M416" t="s">
        <v>7</v>
      </c>
      <c r="N416" t="s">
        <v>8</v>
      </c>
      <c r="P416">
        <f t="shared" si="974"/>
        <v>0.68306010928961813</v>
      </c>
      <c r="Q416">
        <f t="shared" si="975"/>
        <v>130892.60382513673</v>
      </c>
      <c r="R416">
        <f t="shared" si="976"/>
        <v>14743514.960354913</v>
      </c>
      <c r="S416">
        <f t="shared" si="977"/>
        <v>147.43514960354912</v>
      </c>
      <c r="T416">
        <f t="shared" si="978"/>
        <v>0.14743514960354911</v>
      </c>
    </row>
    <row r="417" spans="1:20" x14ac:dyDescent="0.25">
      <c r="A417" s="5">
        <v>44176</v>
      </c>
      <c r="B417">
        <v>4.226</v>
      </c>
      <c r="C417">
        <v>4.226</v>
      </c>
      <c r="D417">
        <v>4.0469999999999997</v>
      </c>
      <c r="E417">
        <v>4.1050000000000004</v>
      </c>
      <c r="F417">
        <v>243309.44699999999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-0.3519553072625628</v>
      </c>
      <c r="Q417">
        <f t="shared" si="975"/>
        <v>-85634.051178769238</v>
      </c>
      <c r="R417">
        <f t="shared" si="976"/>
        <v>14612622.356529776</v>
      </c>
      <c r="S417">
        <f t="shared" si="977"/>
        <v>146.12622356529775</v>
      </c>
      <c r="T417">
        <f t="shared" si="978"/>
        <v>0.14612622356529775</v>
      </c>
    </row>
    <row r="418" spans="1:20" x14ac:dyDescent="0.25">
      <c r="A418" s="5">
        <v>44175</v>
      </c>
      <c r="B418">
        <v>4.3220000000000001</v>
      </c>
      <c r="C418">
        <v>4.3280000000000003</v>
      </c>
      <c r="D418">
        <v>4.1479999999999997</v>
      </c>
      <c r="E418">
        <v>4.218</v>
      </c>
      <c r="F418">
        <v>226433.96400000001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-0.22222222222222168</v>
      </c>
      <c r="Q418">
        <f t="shared" si="975"/>
        <v>-50318.658666666546</v>
      </c>
      <c r="R418">
        <f t="shared" si="976"/>
        <v>14698256.407708546</v>
      </c>
      <c r="S418">
        <f t="shared" si="977"/>
        <v>146.98256407708547</v>
      </c>
      <c r="T418">
        <f t="shared" si="978"/>
        <v>0.14698256407708546</v>
      </c>
    </row>
    <row r="419" spans="1:20" x14ac:dyDescent="0.25">
      <c r="A419" s="5">
        <v>44174</v>
      </c>
      <c r="B419">
        <v>4.2160000000000002</v>
      </c>
      <c r="C419">
        <v>4.3460000000000001</v>
      </c>
      <c r="D419">
        <v>4.0880000000000001</v>
      </c>
      <c r="E419">
        <v>4.3220000000000001</v>
      </c>
      <c r="F419">
        <v>183313.66099999999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0.81395348837209291</v>
      </c>
      <c r="Q419">
        <f t="shared" si="975"/>
        <v>149208.79383720929</v>
      </c>
      <c r="R419">
        <f t="shared" si="976"/>
        <v>14748575.066375213</v>
      </c>
      <c r="S419">
        <f t="shared" si="977"/>
        <v>147.48575066375213</v>
      </c>
      <c r="T419">
        <f t="shared" si="978"/>
        <v>0.14748575066375214</v>
      </c>
    </row>
    <row r="420" spans="1:20" x14ac:dyDescent="0.25">
      <c r="A420" s="5">
        <v>44173</v>
      </c>
      <c r="B420">
        <v>4.4749999999999996</v>
      </c>
      <c r="C420">
        <v>4.4870000000000001</v>
      </c>
      <c r="D420">
        <v>4.1719999999999997</v>
      </c>
      <c r="E420">
        <v>4.218</v>
      </c>
      <c r="F420">
        <v>334237.55900000001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-0.70793650793650664</v>
      </c>
      <c r="Q420">
        <f t="shared" si="975"/>
        <v>-236618.9703396821</v>
      </c>
      <c r="R420">
        <f t="shared" si="976"/>
        <v>14599366.272538003</v>
      </c>
      <c r="S420">
        <f t="shared" si="977"/>
        <v>145.99366272538003</v>
      </c>
      <c r="T420">
        <f t="shared" si="978"/>
        <v>0.14599366272538003</v>
      </c>
    </row>
    <row r="421" spans="1:20" x14ac:dyDescent="0.25">
      <c r="A421" s="5">
        <v>44172</v>
      </c>
      <c r="B421">
        <v>4.5339999999999998</v>
      </c>
      <c r="C421">
        <v>4.5369999999999999</v>
      </c>
      <c r="D421">
        <v>4.3979999999999997</v>
      </c>
      <c r="E421">
        <v>4.4749999999999996</v>
      </c>
      <c r="F421">
        <v>123510.81299999999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0.10791366906474571</v>
      </c>
      <c r="Q421">
        <f t="shared" si="975"/>
        <v>13328.504999999692</v>
      </c>
      <c r="R421">
        <f t="shared" si="976"/>
        <v>14835985.242877685</v>
      </c>
      <c r="S421">
        <f t="shared" si="977"/>
        <v>148.35985242877683</v>
      </c>
      <c r="T421">
        <f t="shared" si="978"/>
        <v>0.14835985242877683</v>
      </c>
    </row>
    <row r="422" spans="1:20" x14ac:dyDescent="0.25">
      <c r="A422" s="5">
        <v>44171</v>
      </c>
      <c r="B422">
        <v>4.4950000000000001</v>
      </c>
      <c r="C422">
        <v>4.5510000000000002</v>
      </c>
      <c r="D422">
        <v>4.4169999999999998</v>
      </c>
      <c r="E422">
        <v>4.5309999999999997</v>
      </c>
      <c r="F422">
        <v>163860.79399999999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0.70149253731342676</v>
      </c>
      <c r="Q422">
        <f t="shared" si="975"/>
        <v>114947.12414925273</v>
      </c>
      <c r="R422">
        <f t="shared" si="976"/>
        <v>14822656.737877686</v>
      </c>
      <c r="S422">
        <f t="shared" si="977"/>
        <v>148.22656737877685</v>
      </c>
      <c r="T422">
        <f t="shared" si="978"/>
        <v>0.14822656737877685</v>
      </c>
    </row>
    <row r="423" spans="1:20" x14ac:dyDescent="0.25">
      <c r="A423" s="5">
        <v>44170</v>
      </c>
      <c r="B423">
        <v>4.327</v>
      </c>
      <c r="C423">
        <v>4.4960000000000004</v>
      </c>
      <c r="D423">
        <v>4.2830000000000004</v>
      </c>
      <c r="E423">
        <v>4.4960000000000004</v>
      </c>
      <c r="F423">
        <v>163369.296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1</v>
      </c>
      <c r="Q423">
        <f t="shared" si="975"/>
        <v>163369.296</v>
      </c>
      <c r="R423">
        <f t="shared" si="976"/>
        <v>14707709.613728432</v>
      </c>
      <c r="S423">
        <f t="shared" si="977"/>
        <v>147.07709613728431</v>
      </c>
      <c r="T423">
        <f t="shared" si="978"/>
        <v>0.14707709613728431</v>
      </c>
    </row>
    <row r="424" spans="1:20" x14ac:dyDescent="0.25">
      <c r="A424" s="5">
        <v>44169</v>
      </c>
      <c r="B424">
        <v>4.5830000000000002</v>
      </c>
      <c r="C424">
        <v>4.6150000000000002</v>
      </c>
      <c r="D424">
        <v>4.3</v>
      </c>
      <c r="E424">
        <v>4.3289999999999997</v>
      </c>
      <c r="F424">
        <v>285655.16700000002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-0.81587301587301664</v>
      </c>
      <c r="Q424">
        <f t="shared" si="975"/>
        <v>-233058.34260000024</v>
      </c>
      <c r="R424">
        <f t="shared" si="976"/>
        <v>14544340.317728432</v>
      </c>
      <c r="S424">
        <f t="shared" si="977"/>
        <v>145.44340317728432</v>
      </c>
      <c r="T424">
        <f t="shared" si="978"/>
        <v>0.14544340317728432</v>
      </c>
    </row>
    <row r="425" spans="1:20" x14ac:dyDescent="0.25">
      <c r="A425" s="5">
        <v>44168</v>
      </c>
      <c r="B425">
        <v>4.5199999999999996</v>
      </c>
      <c r="C425">
        <v>4.6070000000000002</v>
      </c>
      <c r="D425">
        <v>4.4260000000000002</v>
      </c>
      <c r="E425">
        <v>4.593</v>
      </c>
      <c r="F425">
        <v>149680.29500000001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0.84530386740331231</v>
      </c>
      <c r="Q425">
        <f t="shared" si="975"/>
        <v>126525.33223756868</v>
      </c>
      <c r="R425">
        <f t="shared" si="976"/>
        <v>14777398.660328433</v>
      </c>
      <c r="S425">
        <f t="shared" si="977"/>
        <v>147.77398660328433</v>
      </c>
      <c r="T425">
        <f t="shared" si="978"/>
        <v>0.14777398660328434</v>
      </c>
    </row>
    <row r="426" spans="1:20" x14ac:dyDescent="0.25">
      <c r="A426" s="5">
        <v>44167</v>
      </c>
      <c r="B426">
        <v>4.4770000000000003</v>
      </c>
      <c r="C426">
        <v>4.5869999999999997</v>
      </c>
      <c r="D426">
        <v>4.407</v>
      </c>
      <c r="E426">
        <v>4.51</v>
      </c>
      <c r="F426">
        <v>620028.26199999999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0.14444444444444357</v>
      </c>
      <c r="Q426">
        <f t="shared" si="975"/>
        <v>89559.637844443903</v>
      </c>
      <c r="R426">
        <f t="shared" si="976"/>
        <v>14650873.328090865</v>
      </c>
      <c r="S426">
        <f t="shared" si="977"/>
        <v>146.50873328090864</v>
      </c>
      <c r="T426">
        <f t="shared" si="978"/>
        <v>0.14650873328090863</v>
      </c>
    </row>
    <row r="427" spans="1:20" x14ac:dyDescent="0.25">
      <c r="A427" s="5">
        <v>44166</v>
      </c>
      <c r="B427">
        <v>4.6959999999999997</v>
      </c>
      <c r="C427">
        <v>4.774</v>
      </c>
      <c r="D427">
        <v>4.3</v>
      </c>
      <c r="E427">
        <v>4.4950000000000001</v>
      </c>
      <c r="F427">
        <v>725785.48</v>
      </c>
      <c r="G427">
        <v>0</v>
      </c>
      <c r="L427" t="s">
        <v>7</v>
      </c>
      <c r="M427" t="s">
        <v>8</v>
      </c>
      <c r="N427" t="s">
        <v>8</v>
      </c>
      <c r="P427">
        <f t="shared" si="974"/>
        <v>-0.17721518987341686</v>
      </c>
      <c r="Q427">
        <f t="shared" si="975"/>
        <v>-128620.211645569</v>
      </c>
      <c r="R427">
        <f t="shared" si="976"/>
        <v>14561313.690246422</v>
      </c>
      <c r="S427">
        <f t="shared" si="977"/>
        <v>145.61313690246422</v>
      </c>
      <c r="T427">
        <f t="shared" si="978"/>
        <v>0.14561313690246422</v>
      </c>
    </row>
    <row r="428" spans="1:20" x14ac:dyDescent="0.25">
      <c r="A428" s="5">
        <v>44165</v>
      </c>
      <c r="B428">
        <v>4.3040000000000003</v>
      </c>
      <c r="C428">
        <v>4.6900000000000004</v>
      </c>
      <c r="D428">
        <v>4.1479999999999997</v>
      </c>
      <c r="E428">
        <v>4.681</v>
      </c>
      <c r="F428">
        <v>773888.31200000003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0.96678966789667775</v>
      </c>
      <c r="Q428">
        <f t="shared" si="975"/>
        <v>748187.22414760059</v>
      </c>
      <c r="R428">
        <f t="shared" si="976"/>
        <v>14689933.901891991</v>
      </c>
      <c r="S428">
        <f t="shared" si="977"/>
        <v>146.8993390189199</v>
      </c>
      <c r="T428">
        <f t="shared" si="978"/>
        <v>0.14689933901891991</v>
      </c>
    </row>
    <row r="429" spans="1:20" x14ac:dyDescent="0.25">
      <c r="A429" s="5">
        <v>44164</v>
      </c>
      <c r="B429">
        <v>4.1139999999999999</v>
      </c>
      <c r="C429">
        <v>4.3019999999999996</v>
      </c>
      <c r="D429">
        <v>4.0659999999999998</v>
      </c>
      <c r="E429">
        <v>4.2919999999999998</v>
      </c>
      <c r="F429">
        <v>111915.25199999999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0.91525423728813726</v>
      </c>
      <c r="Q429">
        <f t="shared" si="975"/>
        <v>102430.90861016967</v>
      </c>
      <c r="R429">
        <f t="shared" si="976"/>
        <v>13941746.67774439</v>
      </c>
      <c r="S429">
        <f t="shared" si="977"/>
        <v>139.41746677744391</v>
      </c>
      <c r="T429">
        <f t="shared" si="978"/>
        <v>0.1394174667774439</v>
      </c>
    </row>
    <row r="430" spans="1:20" x14ac:dyDescent="0.25">
      <c r="A430" s="5">
        <v>44163</v>
      </c>
      <c r="B430">
        <v>3.9929999999999999</v>
      </c>
      <c r="C430">
        <v>4.1660000000000004</v>
      </c>
      <c r="D430">
        <v>3.9369999999999998</v>
      </c>
      <c r="E430">
        <v>4.109</v>
      </c>
      <c r="F430">
        <v>272707.34000000003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0.50218340611353496</v>
      </c>
      <c r="Q430">
        <f t="shared" si="975"/>
        <v>136949.10087336187</v>
      </c>
      <c r="R430">
        <f t="shared" si="976"/>
        <v>13839315.769134222</v>
      </c>
      <c r="S430">
        <f t="shared" si="977"/>
        <v>138.39315769134222</v>
      </c>
      <c r="T430">
        <f t="shared" si="978"/>
        <v>0.13839315769134222</v>
      </c>
    </row>
    <row r="431" spans="1:20" x14ac:dyDescent="0.25">
      <c r="A431" s="5">
        <v>44162</v>
      </c>
      <c r="B431">
        <v>3.9249999999999998</v>
      </c>
      <c r="C431">
        <v>4.0119999999999996</v>
      </c>
      <c r="D431">
        <v>3.794</v>
      </c>
      <c r="E431">
        <v>3.9860000000000002</v>
      </c>
      <c r="F431">
        <v>430207.16200000001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0.76146788990826231</v>
      </c>
      <c r="Q431">
        <f t="shared" si="975"/>
        <v>327588.939871562</v>
      </c>
      <c r="R431">
        <f t="shared" si="976"/>
        <v>13702366.668260859</v>
      </c>
      <c r="S431">
        <f t="shared" si="977"/>
        <v>137.02366668260859</v>
      </c>
      <c r="T431">
        <f t="shared" si="978"/>
        <v>0.1370236666826086</v>
      </c>
    </row>
    <row r="432" spans="1:20" x14ac:dyDescent="0.25">
      <c r="A432" s="5">
        <v>44161</v>
      </c>
      <c r="B432">
        <v>4.1580000000000004</v>
      </c>
      <c r="C432">
        <v>4.2169999999999996</v>
      </c>
      <c r="D432">
        <v>3.6190000000000002</v>
      </c>
      <c r="E432">
        <v>3.9180000000000001</v>
      </c>
      <c r="F432">
        <v>1419528.6980000001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7.4262409673923583E-16</v>
      </c>
      <c r="Q432">
        <f t="shared" si="975"/>
        <v>1.0541762171476735E-9</v>
      </c>
      <c r="R432">
        <f t="shared" si="976"/>
        <v>13374777.728389297</v>
      </c>
      <c r="S432">
        <f t="shared" si="977"/>
        <v>133.74777728389296</v>
      </c>
      <c r="T432">
        <f t="shared" si="978"/>
        <v>0.13374777728389295</v>
      </c>
    </row>
    <row r="433" spans="1:20" x14ac:dyDescent="0.25">
      <c r="A433" s="5">
        <v>44160</v>
      </c>
      <c r="B433">
        <v>4.3630000000000004</v>
      </c>
      <c r="C433">
        <v>4.4119999999999999</v>
      </c>
      <c r="D433">
        <v>4.08</v>
      </c>
      <c r="E433">
        <v>4.1669999999999998</v>
      </c>
      <c r="F433">
        <v>228734.24900000001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-0.47590361445783264</v>
      </c>
      <c r="Q433">
        <f t="shared" si="975"/>
        <v>-108855.4558493979</v>
      </c>
      <c r="R433">
        <f t="shared" si="976"/>
        <v>13374777.728389295</v>
      </c>
      <c r="S433">
        <f t="shared" si="977"/>
        <v>133.74777728389296</v>
      </c>
      <c r="T433">
        <f t="shared" si="978"/>
        <v>0.13374777728389295</v>
      </c>
    </row>
    <row r="434" spans="1:20" x14ac:dyDescent="0.25">
      <c r="A434" s="5">
        <v>44159</v>
      </c>
      <c r="B434">
        <v>4.226</v>
      </c>
      <c r="C434">
        <v>4.4039999999999999</v>
      </c>
      <c r="D434">
        <v>4.1379999999999999</v>
      </c>
      <c r="E434">
        <v>4.3659999999999997</v>
      </c>
      <c r="F434">
        <v>249809.753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0.71428571428571241</v>
      </c>
      <c r="Q434">
        <f t="shared" si="975"/>
        <v>178435.53785714239</v>
      </c>
      <c r="R434">
        <f t="shared" si="976"/>
        <v>13483633.184238693</v>
      </c>
      <c r="S434">
        <f t="shared" si="977"/>
        <v>134.83633184238693</v>
      </c>
      <c r="T434">
        <f t="shared" si="978"/>
        <v>0.13483633184238691</v>
      </c>
    </row>
    <row r="435" spans="1:20" x14ac:dyDescent="0.25">
      <c r="A435" s="5">
        <v>44158</v>
      </c>
      <c r="B435">
        <v>4.08</v>
      </c>
      <c r="C435">
        <v>4.2300000000000004</v>
      </c>
      <c r="D435">
        <v>4.0129999999999999</v>
      </c>
      <c r="E435">
        <v>4.226</v>
      </c>
      <c r="F435">
        <v>233402.05900000001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0.96313364055299133</v>
      </c>
      <c r="Q435">
        <f t="shared" si="975"/>
        <v>224797.37479723408</v>
      </c>
      <c r="R435">
        <f t="shared" si="976"/>
        <v>13305197.64638155</v>
      </c>
      <c r="S435">
        <f t="shared" si="977"/>
        <v>133.05197646381549</v>
      </c>
      <c r="T435">
        <f t="shared" si="978"/>
        <v>0.1330519764638155</v>
      </c>
    </row>
    <row r="436" spans="1:20" x14ac:dyDescent="0.25">
      <c r="A436" s="5">
        <v>44157</v>
      </c>
      <c r="B436">
        <v>4.0629999999999997</v>
      </c>
      <c r="C436">
        <v>4.1559999999999997</v>
      </c>
      <c r="D436">
        <v>3.8</v>
      </c>
      <c r="E436">
        <v>4.0739999999999998</v>
      </c>
      <c r="F436">
        <v>101772.883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0.53932584269662986</v>
      </c>
      <c r="Q436">
        <f t="shared" si="975"/>
        <v>54888.745887640514</v>
      </c>
      <c r="R436">
        <f t="shared" si="976"/>
        <v>13080400.271584315</v>
      </c>
      <c r="S436">
        <f t="shared" si="977"/>
        <v>130.80400271584315</v>
      </c>
      <c r="T436">
        <f t="shared" si="978"/>
        <v>0.13080400271584317</v>
      </c>
    </row>
    <row r="437" spans="1:20" x14ac:dyDescent="0.25">
      <c r="A437" s="5">
        <v>44156</v>
      </c>
      <c r="B437">
        <v>3.956</v>
      </c>
      <c r="C437">
        <v>4.0679999999999996</v>
      </c>
      <c r="D437">
        <v>3.8740000000000001</v>
      </c>
      <c r="E437">
        <v>4.0629999999999997</v>
      </c>
      <c r="F437">
        <v>124705.496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0.94845360824742364</v>
      </c>
      <c r="Q437">
        <f t="shared" si="975"/>
        <v>118277.37764948465</v>
      </c>
      <c r="R437">
        <f t="shared" si="976"/>
        <v>13025511.525696674</v>
      </c>
      <c r="S437">
        <f t="shared" si="977"/>
        <v>130.25511525696675</v>
      </c>
      <c r="T437">
        <f t="shared" si="978"/>
        <v>0.13025511525696676</v>
      </c>
    </row>
    <row r="438" spans="1:20" x14ac:dyDescent="0.25">
      <c r="A438" s="5">
        <v>44155</v>
      </c>
      <c r="B438">
        <v>3.7549999999999999</v>
      </c>
      <c r="C438">
        <v>3.9780000000000002</v>
      </c>
      <c r="D438">
        <v>3.7530000000000001</v>
      </c>
      <c r="E438">
        <v>3.96</v>
      </c>
      <c r="F438">
        <v>139073.79800000001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0.83999999999999797</v>
      </c>
      <c r="Q438">
        <f t="shared" si="975"/>
        <v>116821.99031999972</v>
      </c>
      <c r="R438">
        <f t="shared" si="976"/>
        <v>12907234.14804719</v>
      </c>
      <c r="S438">
        <f t="shared" si="977"/>
        <v>129.07234148047189</v>
      </c>
      <c r="T438">
        <f t="shared" si="978"/>
        <v>0.12907234148047189</v>
      </c>
    </row>
    <row r="439" spans="1:20" x14ac:dyDescent="0.25">
      <c r="A439" s="5">
        <v>44154</v>
      </c>
      <c r="B439">
        <v>3.79</v>
      </c>
      <c r="C439">
        <v>3.827</v>
      </c>
      <c r="D439">
        <v>3.7130000000000001</v>
      </c>
      <c r="E439">
        <v>3.7549999999999999</v>
      </c>
      <c r="F439">
        <v>161914.62400000001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-0.26315789473684459</v>
      </c>
      <c r="Q439">
        <f t="shared" si="975"/>
        <v>-42609.11157894777</v>
      </c>
      <c r="R439">
        <f t="shared" si="976"/>
        <v>12790412.157727191</v>
      </c>
      <c r="S439">
        <f t="shared" si="977"/>
        <v>127.90412157727191</v>
      </c>
      <c r="T439">
        <f t="shared" si="978"/>
        <v>0.12790412157727191</v>
      </c>
    </row>
    <row r="440" spans="1:20" x14ac:dyDescent="0.25">
      <c r="A440" s="5">
        <v>44153</v>
      </c>
      <c r="B440">
        <v>3.8410000000000002</v>
      </c>
      <c r="C440">
        <v>3.9510000000000001</v>
      </c>
      <c r="D440">
        <v>3.718</v>
      </c>
      <c r="E440">
        <v>3.7930000000000001</v>
      </c>
      <c r="F440">
        <v>411319.54200000002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-0.356223175965664</v>
      </c>
      <c r="Q440">
        <f t="shared" si="975"/>
        <v>-146521.55358798231</v>
      </c>
      <c r="R440">
        <f t="shared" si="976"/>
        <v>12833021.269306138</v>
      </c>
      <c r="S440">
        <f t="shared" si="977"/>
        <v>128.33021269306138</v>
      </c>
      <c r="T440">
        <f t="shared" si="978"/>
        <v>0.12833021269306139</v>
      </c>
    </row>
    <row r="441" spans="1:20" x14ac:dyDescent="0.25">
      <c r="A441" s="5">
        <v>44152</v>
      </c>
      <c r="B441">
        <v>3.6880000000000002</v>
      </c>
      <c r="C441">
        <v>3.899</v>
      </c>
      <c r="D441">
        <v>3.6850000000000001</v>
      </c>
      <c r="E441">
        <v>3.843</v>
      </c>
      <c r="F441">
        <v>215295.815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0.47663551401869103</v>
      </c>
      <c r="Q441">
        <f t="shared" si="975"/>
        <v>102617.63144859801</v>
      </c>
      <c r="R441">
        <f t="shared" si="976"/>
        <v>12979542.822894121</v>
      </c>
      <c r="S441">
        <f t="shared" si="977"/>
        <v>129.7954282289412</v>
      </c>
      <c r="T441">
        <f t="shared" si="978"/>
        <v>0.12979542822894122</v>
      </c>
    </row>
    <row r="442" spans="1:20" x14ac:dyDescent="0.25">
      <c r="A442" s="5">
        <v>44151</v>
      </c>
      <c r="B442">
        <v>3.5880000000000001</v>
      </c>
      <c r="C442">
        <v>3.73</v>
      </c>
      <c r="D442">
        <v>3.5760000000000001</v>
      </c>
      <c r="E442">
        <v>3.6880000000000002</v>
      </c>
      <c r="F442">
        <v>81666.538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0.45454545454545664</v>
      </c>
      <c r="Q442">
        <f t="shared" si="975"/>
        <v>37121.153636363808</v>
      </c>
      <c r="R442">
        <f t="shared" si="976"/>
        <v>12876925.191445522</v>
      </c>
      <c r="S442">
        <f t="shared" si="977"/>
        <v>128.76925191445523</v>
      </c>
      <c r="T442">
        <f t="shared" si="978"/>
        <v>0.12876925191445523</v>
      </c>
    </row>
    <row r="443" spans="1:20" x14ac:dyDescent="0.25">
      <c r="A443" s="5">
        <v>44150</v>
      </c>
      <c r="B443">
        <v>3.661</v>
      </c>
      <c r="C443">
        <v>3.6819999999999999</v>
      </c>
      <c r="D443">
        <v>3.54</v>
      </c>
      <c r="E443">
        <v>3.589</v>
      </c>
      <c r="F443">
        <v>67962.535999999993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-0.30985915492957794</v>
      </c>
      <c r="Q443">
        <f t="shared" si="975"/>
        <v>-21058.813971831016</v>
      </c>
      <c r="R443">
        <f t="shared" si="976"/>
        <v>12839804.037809158</v>
      </c>
      <c r="S443">
        <f t="shared" si="977"/>
        <v>128.39804037809157</v>
      </c>
      <c r="T443">
        <f t="shared" si="978"/>
        <v>0.12839804037809158</v>
      </c>
    </row>
    <row r="444" spans="1:20" x14ac:dyDescent="0.25">
      <c r="A444" s="5">
        <v>44149</v>
      </c>
      <c r="B444">
        <v>3.7389999999999999</v>
      </c>
      <c r="C444">
        <v>3.74</v>
      </c>
      <c r="D444">
        <v>3.5830000000000002</v>
      </c>
      <c r="E444">
        <v>3.6579999999999999</v>
      </c>
      <c r="F444">
        <v>66529.737999999998</v>
      </c>
      <c r="G444">
        <v>0</v>
      </c>
      <c r="L444" t="s">
        <v>8</v>
      </c>
      <c r="M444" t="s">
        <v>7</v>
      </c>
      <c r="N444" t="s">
        <v>8</v>
      </c>
      <c r="P444">
        <f t="shared" si="974"/>
        <v>-4.4585987261150067E-2</v>
      </c>
      <c r="Q444">
        <f t="shared" si="975"/>
        <v>-2966.2940509556515</v>
      </c>
      <c r="R444">
        <f t="shared" si="976"/>
        <v>12860862.851780988</v>
      </c>
      <c r="S444">
        <f t="shared" si="977"/>
        <v>128.60862851780988</v>
      </c>
      <c r="T444">
        <f t="shared" si="978"/>
        <v>0.12860862851780988</v>
      </c>
    </row>
    <row r="445" spans="1:20" x14ac:dyDescent="0.25">
      <c r="A445" s="5">
        <v>44148</v>
      </c>
      <c r="B445">
        <v>3.698</v>
      </c>
      <c r="C445">
        <v>3.7519999999999998</v>
      </c>
      <c r="D445">
        <v>3.669</v>
      </c>
      <c r="E445">
        <v>3.7360000000000002</v>
      </c>
      <c r="F445">
        <v>41403.788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0.6144578313253104</v>
      </c>
      <c r="Q445">
        <f t="shared" si="975"/>
        <v>25440.881783132911</v>
      </c>
      <c r="R445">
        <f t="shared" si="976"/>
        <v>12863829.145831944</v>
      </c>
      <c r="S445">
        <f t="shared" si="977"/>
        <v>128.63829145831946</v>
      </c>
      <c r="T445">
        <f t="shared" si="978"/>
        <v>0.12863829145831945</v>
      </c>
    </row>
    <row r="446" spans="1:20" x14ac:dyDescent="0.25">
      <c r="A446" s="5">
        <v>44147</v>
      </c>
      <c r="B446">
        <v>3.6890000000000001</v>
      </c>
      <c r="C446">
        <v>3.7410000000000001</v>
      </c>
      <c r="D446">
        <v>3.6269999999999998</v>
      </c>
      <c r="E446">
        <v>3.6880000000000002</v>
      </c>
      <c r="F446">
        <v>119826.784</v>
      </c>
      <c r="G446">
        <v>0</v>
      </c>
      <c r="L446" t="s">
        <v>8</v>
      </c>
      <c r="M446" t="s">
        <v>7</v>
      </c>
      <c r="N446" t="s">
        <v>8</v>
      </c>
      <c r="P446">
        <f t="shared" si="974"/>
        <v>7.0175438596494985E-2</v>
      </c>
      <c r="Q446">
        <f t="shared" si="975"/>
        <v>8408.8971228074679</v>
      </c>
      <c r="R446">
        <f t="shared" si="976"/>
        <v>12838388.264048811</v>
      </c>
      <c r="S446">
        <f t="shared" si="977"/>
        <v>128.38388264048811</v>
      </c>
      <c r="T446">
        <f t="shared" si="978"/>
        <v>0.12838388264048811</v>
      </c>
    </row>
    <row r="447" spans="1:20" x14ac:dyDescent="0.25">
      <c r="A447" s="5">
        <v>44146</v>
      </c>
      <c r="B447">
        <v>3.6509999999999998</v>
      </c>
      <c r="C447">
        <v>3.7690000000000001</v>
      </c>
      <c r="D447">
        <v>3.649</v>
      </c>
      <c r="E447">
        <v>3.6890000000000001</v>
      </c>
      <c r="F447">
        <v>180644.56599999999</v>
      </c>
      <c r="G447">
        <v>0</v>
      </c>
      <c r="L447" t="s">
        <v>8</v>
      </c>
      <c r="M447" t="s">
        <v>7</v>
      </c>
      <c r="N447" t="s">
        <v>8</v>
      </c>
      <c r="P447">
        <f t="shared" si="974"/>
        <v>-0.33333333333333331</v>
      </c>
      <c r="Q447">
        <f t="shared" si="975"/>
        <v>-60214.855333333326</v>
      </c>
      <c r="R447">
        <f t="shared" si="976"/>
        <v>12829979.366926003</v>
      </c>
      <c r="S447">
        <f t="shared" si="977"/>
        <v>128.29979366926003</v>
      </c>
      <c r="T447">
        <f t="shared" si="978"/>
        <v>0.12829979366926003</v>
      </c>
    </row>
    <row r="448" spans="1:20" x14ac:dyDescent="0.25">
      <c r="A448" s="5">
        <v>44145</v>
      </c>
      <c r="B448">
        <v>3.5379999999999998</v>
      </c>
      <c r="C448">
        <v>3.6829999999999998</v>
      </c>
      <c r="D448">
        <v>3.504</v>
      </c>
      <c r="E448">
        <v>3.6520000000000001</v>
      </c>
      <c r="F448">
        <v>238170.557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0.65363128491620415</v>
      </c>
      <c r="Q448">
        <f t="shared" si="975"/>
        <v>155675.72720111805</v>
      </c>
      <c r="R448">
        <f t="shared" si="976"/>
        <v>12890194.222259337</v>
      </c>
      <c r="S448">
        <f t="shared" si="977"/>
        <v>128.90194222259336</v>
      </c>
      <c r="T448">
        <f t="shared" si="978"/>
        <v>0.12890194222259335</v>
      </c>
    </row>
    <row r="449" spans="1:20" x14ac:dyDescent="0.25">
      <c r="A449" s="5">
        <v>44144</v>
      </c>
      <c r="B449">
        <v>3.544</v>
      </c>
      <c r="C449">
        <v>3.597</v>
      </c>
      <c r="D449">
        <v>3.4039999999999999</v>
      </c>
      <c r="E449">
        <v>3.5419999999999998</v>
      </c>
      <c r="F449">
        <v>194756.019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0.43005181347150112</v>
      </c>
      <c r="Q449">
        <f t="shared" si="975"/>
        <v>83755.179155440128</v>
      </c>
      <c r="R449">
        <f t="shared" si="976"/>
        <v>12734518.49505822</v>
      </c>
      <c r="S449">
        <f t="shared" si="977"/>
        <v>127.34518495058219</v>
      </c>
      <c r="T449">
        <f t="shared" si="978"/>
        <v>0.1273451849505822</v>
      </c>
    </row>
    <row r="450" spans="1:20" x14ac:dyDescent="0.25">
      <c r="A450" s="5">
        <v>44143</v>
      </c>
      <c r="B450">
        <v>3.411</v>
      </c>
      <c r="C450">
        <v>3.5739999999999998</v>
      </c>
      <c r="D450">
        <v>3.403</v>
      </c>
      <c r="E450">
        <v>3.544</v>
      </c>
      <c r="F450">
        <v>204192.56200000001</v>
      </c>
      <c r="G450">
        <v>0</v>
      </c>
      <c r="L450" t="s">
        <v>8</v>
      </c>
      <c r="M450" t="s">
        <v>7</v>
      </c>
      <c r="N450" t="s">
        <v>8</v>
      </c>
      <c r="P450">
        <f t="shared" si="974"/>
        <v>0.64912280701754577</v>
      </c>
      <c r="Q450">
        <f t="shared" si="975"/>
        <v>132546.04901754425</v>
      </c>
      <c r="R450">
        <f t="shared" si="976"/>
        <v>12650763.315902779</v>
      </c>
      <c r="S450">
        <f t="shared" si="977"/>
        <v>126.50763315902779</v>
      </c>
      <c r="T450">
        <f t="shared" si="978"/>
        <v>0.1265076331590278</v>
      </c>
    </row>
    <row r="451" spans="1:20" x14ac:dyDescent="0.25">
      <c r="A451" s="5">
        <v>44142</v>
      </c>
      <c r="B451">
        <v>3.6309999999999998</v>
      </c>
      <c r="C451">
        <v>3.653</v>
      </c>
      <c r="D451">
        <v>3.3290000000000002</v>
      </c>
      <c r="E451">
        <v>3.4169999999999998</v>
      </c>
      <c r="F451">
        <v>546323.24199999997</v>
      </c>
      <c r="G451">
        <v>0</v>
      </c>
      <c r="L451" t="s">
        <v>7</v>
      </c>
      <c r="M451" t="s">
        <v>7</v>
      </c>
      <c r="N451" t="s">
        <v>8</v>
      </c>
      <c r="P451">
        <f t="shared" si="974"/>
        <v>-0.4567901234567921</v>
      </c>
      <c r="Q451">
        <f t="shared" si="975"/>
        <v>-249555.06116049489</v>
      </c>
      <c r="R451">
        <f t="shared" si="976"/>
        <v>12518217.266885234</v>
      </c>
      <c r="S451">
        <f t="shared" si="977"/>
        <v>125.18217266885235</v>
      </c>
      <c r="T451">
        <f t="shared" si="978"/>
        <v>0.12518217266885234</v>
      </c>
    </row>
    <row r="452" spans="1:20" x14ac:dyDescent="0.25">
      <c r="A452" s="5">
        <v>44141</v>
      </c>
      <c r="B452">
        <v>3.5190000000000001</v>
      </c>
      <c r="C452">
        <v>3.6429999999999998</v>
      </c>
      <c r="D452">
        <v>3.4860000000000002</v>
      </c>
      <c r="E452">
        <v>3.6320000000000001</v>
      </c>
      <c r="F452">
        <v>410987.23599999998</v>
      </c>
      <c r="G452">
        <v>0</v>
      </c>
      <c r="L452" t="s">
        <v>8</v>
      </c>
      <c r="M452" t="s">
        <v>7</v>
      </c>
      <c r="N452" t="s">
        <v>8</v>
      </c>
      <c r="P452">
        <f t="shared" si="974"/>
        <v>0.85987261146497185</v>
      </c>
      <c r="Q452">
        <f t="shared" si="975"/>
        <v>353396.66789809067</v>
      </c>
      <c r="R452">
        <f t="shared" si="976"/>
        <v>12767772.32804573</v>
      </c>
      <c r="S452">
        <f t="shared" si="977"/>
        <v>127.6777232804573</v>
      </c>
      <c r="T452">
        <f t="shared" si="978"/>
        <v>0.12767772328045729</v>
      </c>
    </row>
    <row r="453" spans="1:20" x14ac:dyDescent="0.25">
      <c r="A453" s="5">
        <v>44140</v>
      </c>
      <c r="B453">
        <v>3.3940000000000001</v>
      </c>
      <c r="C453">
        <v>3.5510000000000002</v>
      </c>
      <c r="D453">
        <v>3.387</v>
      </c>
      <c r="E453">
        <v>3.5219999999999998</v>
      </c>
      <c r="F453">
        <v>487644.875</v>
      </c>
      <c r="G453">
        <v>0</v>
      </c>
      <c r="L453" t="s">
        <v>7</v>
      </c>
      <c r="M453" t="s">
        <v>7</v>
      </c>
      <c r="N453" t="s">
        <v>8</v>
      </c>
      <c r="P453">
        <f t="shared" si="974"/>
        <v>0.64634146341463006</v>
      </c>
      <c r="Q453">
        <f t="shared" si="975"/>
        <v>315185.10213414434</v>
      </c>
      <c r="R453">
        <f t="shared" si="976"/>
        <v>12414375.660147639</v>
      </c>
      <c r="S453">
        <f t="shared" si="977"/>
        <v>124.14375660147638</v>
      </c>
      <c r="T453">
        <f t="shared" si="978"/>
        <v>0.12414375660147638</v>
      </c>
    </row>
    <row r="454" spans="1:20" x14ac:dyDescent="0.25">
      <c r="A454" s="5">
        <v>44139</v>
      </c>
      <c r="B454">
        <v>3.47</v>
      </c>
      <c r="C454">
        <v>3.4790000000000001</v>
      </c>
      <c r="D454">
        <v>3.3330000000000002</v>
      </c>
      <c r="E454">
        <v>3.3929999999999998</v>
      </c>
      <c r="F454">
        <v>345705.38500000001</v>
      </c>
      <c r="G454">
        <v>0</v>
      </c>
      <c r="L454" t="s">
        <v>7</v>
      </c>
      <c r="M454" t="s">
        <v>7</v>
      </c>
      <c r="N454" t="s">
        <v>8</v>
      </c>
      <c r="P454">
        <f t="shared" ref="P454:P517" si="979">IF(C454=D454,0,((E454-D454)-(C454-E454))/(C454-D454))</f>
        <v>-0.17808219178082674</v>
      </c>
      <c r="Q454">
        <f t="shared" ref="Q454:Q517" si="980">F454*P454</f>
        <v>-61563.972671234544</v>
      </c>
      <c r="R454">
        <f t="shared" ref="R454:R517" si="981">R455+Q454</f>
        <v>12099190.558013495</v>
      </c>
      <c r="S454">
        <f t="shared" ref="S454:S517" si="982">R454/100000</f>
        <v>120.99190558013495</v>
      </c>
      <c r="T454">
        <f t="shared" ref="T454:T517" si="983">S454/1000</f>
        <v>0.12099190558013495</v>
      </c>
    </row>
    <row r="455" spans="1:20" x14ac:dyDescent="0.25">
      <c r="A455" s="5">
        <v>44138</v>
      </c>
      <c r="B455">
        <v>3.4950000000000001</v>
      </c>
      <c r="C455">
        <v>3.5089999999999999</v>
      </c>
      <c r="D455">
        <v>3.4039999999999999</v>
      </c>
      <c r="E455">
        <v>3.4670000000000001</v>
      </c>
      <c r="F455">
        <v>303055.82699999999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0.2000000000000034</v>
      </c>
      <c r="Q455">
        <f t="shared" si="980"/>
        <v>60611.165400001031</v>
      </c>
      <c r="R455">
        <f t="shared" si="981"/>
        <v>12160754.53068473</v>
      </c>
      <c r="S455">
        <f t="shared" si="982"/>
        <v>121.6075453068473</v>
      </c>
      <c r="T455">
        <f t="shared" si="983"/>
        <v>0.1216075453068473</v>
      </c>
    </row>
    <row r="456" spans="1:20" x14ac:dyDescent="0.25">
      <c r="A456" s="5">
        <v>44137</v>
      </c>
      <c r="B456">
        <v>3.641</v>
      </c>
      <c r="C456">
        <v>3.68</v>
      </c>
      <c r="D456">
        <v>3.4649999999999999</v>
      </c>
      <c r="E456">
        <v>3.4980000000000002</v>
      </c>
      <c r="F456">
        <v>327470.39</v>
      </c>
      <c r="G456">
        <v>0</v>
      </c>
      <c r="L456" t="s">
        <v>7</v>
      </c>
      <c r="M456" t="s">
        <v>7</v>
      </c>
      <c r="N456" t="s">
        <v>8</v>
      </c>
      <c r="P456">
        <f t="shared" si="979"/>
        <v>-0.69302325581395052</v>
      </c>
      <c r="Q456">
        <f t="shared" si="980"/>
        <v>-226944.59586046415</v>
      </c>
      <c r="R456">
        <f t="shared" si="981"/>
        <v>12100143.36528473</v>
      </c>
      <c r="S456">
        <f t="shared" si="982"/>
        <v>121.0014336528473</v>
      </c>
      <c r="T456">
        <f t="shared" si="983"/>
        <v>0.1210014336528473</v>
      </c>
    </row>
    <row r="457" spans="1:20" x14ac:dyDescent="0.25">
      <c r="A457" s="5">
        <v>44136</v>
      </c>
      <c r="B457">
        <v>3.6960000000000002</v>
      </c>
      <c r="C457">
        <v>3.7290000000000001</v>
      </c>
      <c r="D457">
        <v>3.6139999999999999</v>
      </c>
      <c r="E457">
        <v>3.641</v>
      </c>
      <c r="F457">
        <v>253005.64799999999</v>
      </c>
      <c r="G457">
        <v>0</v>
      </c>
      <c r="L457" t="s">
        <v>7</v>
      </c>
      <c r="M457" t="s">
        <v>8</v>
      </c>
      <c r="N457" t="s">
        <v>8</v>
      </c>
      <c r="P457">
        <f t="shared" si="979"/>
        <v>-0.53043478260869414</v>
      </c>
      <c r="Q457">
        <f t="shared" si="980"/>
        <v>-134202.99589565178</v>
      </c>
      <c r="R457">
        <f t="shared" si="981"/>
        <v>12327087.961145194</v>
      </c>
      <c r="S457">
        <f t="shared" si="982"/>
        <v>123.27087961145195</v>
      </c>
      <c r="T457">
        <f t="shared" si="983"/>
        <v>0.12327087961145194</v>
      </c>
    </row>
    <row r="458" spans="1:20" x14ac:dyDescent="0.25">
      <c r="A458" s="5">
        <v>44135</v>
      </c>
      <c r="B458">
        <v>3.722</v>
      </c>
      <c r="C458">
        <v>3.806</v>
      </c>
      <c r="D458">
        <v>3.6549999999999998</v>
      </c>
      <c r="E458">
        <v>3.7050000000000001</v>
      </c>
      <c r="F458">
        <v>504317.64500000002</v>
      </c>
      <c r="G458">
        <v>0</v>
      </c>
      <c r="L458" t="s">
        <v>7</v>
      </c>
      <c r="M458" t="s">
        <v>8</v>
      </c>
      <c r="N458" t="s">
        <v>8</v>
      </c>
      <c r="P458">
        <f t="shared" si="979"/>
        <v>-0.33774834437085849</v>
      </c>
      <c r="Q458">
        <f t="shared" si="980"/>
        <v>-170332.44963576036</v>
      </c>
      <c r="R458">
        <f t="shared" si="981"/>
        <v>12461290.957040846</v>
      </c>
      <c r="S458">
        <f t="shared" si="982"/>
        <v>124.61290957040846</v>
      </c>
      <c r="T458">
        <f t="shared" si="983"/>
        <v>0.12461290957040846</v>
      </c>
    </row>
    <row r="459" spans="1:20" x14ac:dyDescent="0.25">
      <c r="A459" s="5">
        <v>44134</v>
      </c>
      <c r="B459">
        <v>3.8580000000000001</v>
      </c>
      <c r="C459">
        <v>3.879</v>
      </c>
      <c r="D459">
        <v>3.6429999999999998</v>
      </c>
      <c r="E459">
        <v>3.7250000000000001</v>
      </c>
      <c r="F459">
        <v>502253.04499999998</v>
      </c>
      <c r="G459">
        <v>0</v>
      </c>
      <c r="L459" t="s">
        <v>7</v>
      </c>
      <c r="M459" t="s">
        <v>8</v>
      </c>
      <c r="N459" t="s">
        <v>8</v>
      </c>
      <c r="P459">
        <f t="shared" si="979"/>
        <v>-0.30508474576271</v>
      </c>
      <c r="Q459">
        <f t="shared" si="980"/>
        <v>-153229.74254237194</v>
      </c>
      <c r="R459">
        <f t="shared" si="981"/>
        <v>12631623.406676607</v>
      </c>
      <c r="S459">
        <f t="shared" si="982"/>
        <v>126.31623406676607</v>
      </c>
      <c r="T459">
        <f t="shared" si="983"/>
        <v>0.12631623406676606</v>
      </c>
    </row>
    <row r="460" spans="1:20" x14ac:dyDescent="0.25">
      <c r="A460" s="5">
        <v>44133</v>
      </c>
      <c r="B460">
        <v>3.7559999999999998</v>
      </c>
      <c r="C460">
        <v>4.2169999999999996</v>
      </c>
      <c r="D460">
        <v>3.7440000000000002</v>
      </c>
      <c r="E460">
        <v>3.85</v>
      </c>
      <c r="F460">
        <v>1942774.5430000001</v>
      </c>
      <c r="G460">
        <v>0</v>
      </c>
      <c r="L460" t="s">
        <v>8</v>
      </c>
      <c r="M460" t="s">
        <v>8</v>
      </c>
      <c r="N460" t="s">
        <v>8</v>
      </c>
      <c r="P460">
        <f t="shared" si="979"/>
        <v>-0.55179704016913322</v>
      </c>
      <c r="Q460">
        <f t="shared" si="980"/>
        <v>-1072017.2425433404</v>
      </c>
      <c r="R460">
        <f t="shared" si="981"/>
        <v>12784853.149218978</v>
      </c>
      <c r="S460">
        <f t="shared" si="982"/>
        <v>127.84853149218978</v>
      </c>
      <c r="T460">
        <f t="shared" si="983"/>
        <v>0.12784853149218978</v>
      </c>
    </row>
    <row r="461" spans="1:20" x14ac:dyDescent="0.25">
      <c r="A461" s="5">
        <v>44132</v>
      </c>
      <c r="B461">
        <v>4.0179999999999998</v>
      </c>
      <c r="C461">
        <v>4.0449999999999999</v>
      </c>
      <c r="D461">
        <v>3.673</v>
      </c>
      <c r="E461">
        <v>3.7570000000000001</v>
      </c>
      <c r="F461">
        <v>279859.005</v>
      </c>
      <c r="G461">
        <v>0</v>
      </c>
      <c r="L461" t="s">
        <v>7</v>
      </c>
      <c r="M461" t="s">
        <v>8</v>
      </c>
      <c r="N461" t="s">
        <v>8</v>
      </c>
      <c r="P461">
        <f t="shared" si="979"/>
        <v>-0.54838709677419306</v>
      </c>
      <c r="Q461">
        <f t="shared" si="980"/>
        <v>-153471.06725806437</v>
      </c>
      <c r="R461">
        <f t="shared" si="981"/>
        <v>13856870.391762318</v>
      </c>
      <c r="S461">
        <f t="shared" si="982"/>
        <v>138.56870391762317</v>
      </c>
      <c r="T461">
        <f t="shared" si="983"/>
        <v>0.13856870391762316</v>
      </c>
    </row>
    <row r="462" spans="1:20" x14ac:dyDescent="0.25">
      <c r="A462" s="5">
        <v>44131</v>
      </c>
      <c r="B462">
        <v>3.919</v>
      </c>
      <c r="C462">
        <v>4.0759999999999996</v>
      </c>
      <c r="D462">
        <v>3.919</v>
      </c>
      <c r="E462">
        <v>4.0199999999999996</v>
      </c>
      <c r="F462">
        <v>194391.16399999999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0.28662420382165354</v>
      </c>
      <c r="Q462">
        <f t="shared" si="980"/>
        <v>55717.212611464478</v>
      </c>
      <c r="R462">
        <f t="shared" si="981"/>
        <v>14010341.459020382</v>
      </c>
      <c r="S462">
        <f t="shared" si="982"/>
        <v>140.10341459020381</v>
      </c>
      <c r="T462">
        <f t="shared" si="983"/>
        <v>0.14010341459020381</v>
      </c>
    </row>
    <row r="463" spans="1:20" x14ac:dyDescent="0.25">
      <c r="A463" s="5">
        <v>44130</v>
      </c>
      <c r="B463">
        <v>3.879</v>
      </c>
      <c r="C463">
        <v>3.9569999999999999</v>
      </c>
      <c r="D463">
        <v>3.819</v>
      </c>
      <c r="E463">
        <v>3.9279999999999999</v>
      </c>
      <c r="F463">
        <v>170842.23199999999</v>
      </c>
      <c r="G463">
        <v>0</v>
      </c>
      <c r="L463" t="s">
        <v>8</v>
      </c>
      <c r="M463" t="s">
        <v>8</v>
      </c>
      <c r="N463" t="s">
        <v>8</v>
      </c>
      <c r="P463">
        <f t="shared" si="979"/>
        <v>0.57971014492753714</v>
      </c>
      <c r="Q463">
        <f t="shared" si="980"/>
        <v>99038.975072463916</v>
      </c>
      <c r="R463">
        <f t="shared" si="981"/>
        <v>13954624.246408917</v>
      </c>
      <c r="S463">
        <f t="shared" si="982"/>
        <v>139.54624246408918</v>
      </c>
      <c r="T463">
        <f t="shared" si="983"/>
        <v>0.13954624246408917</v>
      </c>
    </row>
    <row r="464" spans="1:20" x14ac:dyDescent="0.25">
      <c r="A464" s="5">
        <v>44129</v>
      </c>
      <c r="B464">
        <v>3.9279999999999999</v>
      </c>
      <c r="C464">
        <v>3.9710000000000001</v>
      </c>
      <c r="D464">
        <v>3.8519999999999999</v>
      </c>
      <c r="E464">
        <v>3.8809999999999998</v>
      </c>
      <c r="F464">
        <v>64483.292000000001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-0.51260504201680901</v>
      </c>
      <c r="Q464">
        <f t="shared" si="980"/>
        <v>-33054.460605042164</v>
      </c>
      <c r="R464">
        <f t="shared" si="981"/>
        <v>13855585.271336453</v>
      </c>
      <c r="S464">
        <f t="shared" si="982"/>
        <v>138.55585271336454</v>
      </c>
      <c r="T464">
        <f t="shared" si="983"/>
        <v>0.13855585271336454</v>
      </c>
    </row>
    <row r="465" spans="1:20" x14ac:dyDescent="0.25">
      <c r="A465" s="5">
        <v>44128</v>
      </c>
      <c r="B465">
        <v>3.8820000000000001</v>
      </c>
      <c r="C465">
        <v>3.9569999999999999</v>
      </c>
      <c r="D465">
        <v>3.867</v>
      </c>
      <c r="E465">
        <v>3.94</v>
      </c>
      <c r="F465">
        <v>94468.118000000002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0.62222222222222379</v>
      </c>
      <c r="Q465">
        <f t="shared" si="980"/>
        <v>58780.162311111257</v>
      </c>
      <c r="R465">
        <f t="shared" si="981"/>
        <v>13888639.731941495</v>
      </c>
      <c r="S465">
        <f t="shared" si="982"/>
        <v>138.88639731941495</v>
      </c>
      <c r="T465">
        <f t="shared" si="983"/>
        <v>0.13888639731941496</v>
      </c>
    </row>
    <row r="466" spans="1:20" x14ac:dyDescent="0.25">
      <c r="A466" s="5">
        <v>44127</v>
      </c>
      <c r="B466">
        <v>3.8839999999999999</v>
      </c>
      <c r="C466">
        <v>3.9169999999999998</v>
      </c>
      <c r="D466">
        <v>3.81</v>
      </c>
      <c r="E466">
        <v>3.8860000000000001</v>
      </c>
      <c r="F466">
        <v>91743.301999999996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0.42056074766355583</v>
      </c>
      <c r="Q466">
        <f t="shared" si="980"/>
        <v>38583.631682243395</v>
      </c>
      <c r="R466">
        <f t="shared" si="981"/>
        <v>13829859.569630384</v>
      </c>
      <c r="S466">
        <f t="shared" si="982"/>
        <v>138.29859569630383</v>
      </c>
      <c r="T466">
        <f t="shared" si="983"/>
        <v>0.13829859569630384</v>
      </c>
    </row>
    <row r="467" spans="1:20" x14ac:dyDescent="0.25">
      <c r="A467" s="5">
        <v>44126</v>
      </c>
      <c r="B467">
        <v>3.742</v>
      </c>
      <c r="C467">
        <v>3.9380000000000002</v>
      </c>
      <c r="D467">
        <v>3.742</v>
      </c>
      <c r="E467">
        <v>3.8839999999999999</v>
      </c>
      <c r="F467">
        <v>324697.592</v>
      </c>
      <c r="G467">
        <v>0</v>
      </c>
      <c r="L467" t="s">
        <v>8</v>
      </c>
      <c r="M467" t="s">
        <v>8</v>
      </c>
      <c r="N467" t="s">
        <v>8</v>
      </c>
      <c r="P467">
        <f t="shared" si="979"/>
        <v>0.44897959183673242</v>
      </c>
      <c r="Q467">
        <f t="shared" si="980"/>
        <v>145782.59232652988</v>
      </c>
      <c r="R467">
        <f t="shared" si="981"/>
        <v>13791275.937948141</v>
      </c>
      <c r="S467">
        <f t="shared" si="982"/>
        <v>137.9127593794814</v>
      </c>
      <c r="T467">
        <f t="shared" si="983"/>
        <v>0.13791275937948139</v>
      </c>
    </row>
    <row r="468" spans="1:20" x14ac:dyDescent="0.25">
      <c r="A468" s="5">
        <v>44125</v>
      </c>
      <c r="B468">
        <v>3.57</v>
      </c>
      <c r="C468">
        <v>3.819</v>
      </c>
      <c r="D468">
        <v>3.5670000000000002</v>
      </c>
      <c r="E468">
        <v>3.7480000000000002</v>
      </c>
      <c r="F468">
        <v>257734.94699999999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0.43650793650793818</v>
      </c>
      <c r="Q468">
        <f t="shared" si="980"/>
        <v>112503.34988095281</v>
      </c>
      <c r="R468">
        <f t="shared" si="981"/>
        <v>13645493.345621612</v>
      </c>
      <c r="S468">
        <f t="shared" si="982"/>
        <v>136.45493345621611</v>
      </c>
      <c r="T468">
        <f t="shared" si="983"/>
        <v>0.13645493345621612</v>
      </c>
    </row>
    <row r="469" spans="1:20" x14ac:dyDescent="0.25">
      <c r="A469" s="5">
        <v>44124</v>
      </c>
      <c r="B469">
        <v>3.6160000000000001</v>
      </c>
      <c r="C469">
        <v>3.6419999999999999</v>
      </c>
      <c r="D469">
        <v>3.5619999999999998</v>
      </c>
      <c r="E469">
        <v>3.573</v>
      </c>
      <c r="F469">
        <v>94947.525999999998</v>
      </c>
      <c r="G469">
        <v>0</v>
      </c>
      <c r="L469" t="s">
        <v>8</v>
      </c>
      <c r="M469" t="s">
        <v>7</v>
      </c>
      <c r="N469" t="s">
        <v>8</v>
      </c>
      <c r="P469">
        <f t="shared" si="979"/>
        <v>-0.7249999999999972</v>
      </c>
      <c r="Q469">
        <f t="shared" si="980"/>
        <v>-68836.956349999731</v>
      </c>
      <c r="R469">
        <f t="shared" si="981"/>
        <v>13532989.99574066</v>
      </c>
      <c r="S469">
        <f t="shared" si="982"/>
        <v>135.32989995740658</v>
      </c>
      <c r="T469">
        <f t="shared" si="983"/>
        <v>0.13532989995740657</v>
      </c>
    </row>
    <row r="470" spans="1:20" x14ac:dyDescent="0.25">
      <c r="A470" s="5">
        <v>44123</v>
      </c>
      <c r="B470">
        <v>3.61</v>
      </c>
      <c r="C470">
        <v>3.6360000000000001</v>
      </c>
      <c r="D470">
        <v>3.5539999999999998</v>
      </c>
      <c r="E470">
        <v>3.6139999999999999</v>
      </c>
      <c r="F470">
        <v>105692.12</v>
      </c>
      <c r="G470">
        <v>0</v>
      </c>
      <c r="L470" t="s">
        <v>8</v>
      </c>
      <c r="M470" t="s">
        <v>7</v>
      </c>
      <c r="N470" t="s">
        <v>8</v>
      </c>
      <c r="P470">
        <f t="shared" si="979"/>
        <v>0.46341463414633749</v>
      </c>
      <c r="Q470">
        <f t="shared" si="980"/>
        <v>48979.275121950799</v>
      </c>
      <c r="R470">
        <f t="shared" si="981"/>
        <v>13601826.95209066</v>
      </c>
      <c r="S470">
        <f t="shared" si="982"/>
        <v>136.01826952090661</v>
      </c>
      <c r="T470">
        <f t="shared" si="983"/>
        <v>0.13601826952090662</v>
      </c>
    </row>
    <row r="471" spans="1:20" x14ac:dyDescent="0.25">
      <c r="A471" s="5">
        <v>44122</v>
      </c>
      <c r="B471">
        <v>3.5550000000000002</v>
      </c>
      <c r="C471">
        <v>3.6080000000000001</v>
      </c>
      <c r="D471">
        <v>3.5529999999999999</v>
      </c>
      <c r="E471">
        <v>3.605</v>
      </c>
      <c r="F471">
        <v>28502.343000000001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0.8909090909090871</v>
      </c>
      <c r="Q471">
        <f t="shared" si="980"/>
        <v>25392.996490908983</v>
      </c>
      <c r="R471">
        <f t="shared" si="981"/>
        <v>13552847.676968709</v>
      </c>
      <c r="S471">
        <f t="shared" si="982"/>
        <v>135.52847676968707</v>
      </c>
      <c r="T471">
        <f t="shared" si="983"/>
        <v>0.13552847676968707</v>
      </c>
    </row>
    <row r="472" spans="1:20" x14ac:dyDescent="0.25">
      <c r="A472" s="5">
        <v>44121</v>
      </c>
      <c r="B472">
        <v>3.532</v>
      </c>
      <c r="C472">
        <v>3.5750000000000002</v>
      </c>
      <c r="D472">
        <v>3.5089999999999999</v>
      </c>
      <c r="E472">
        <v>3.556</v>
      </c>
      <c r="F472">
        <v>23156.441999999999</v>
      </c>
      <c r="G472">
        <v>0</v>
      </c>
      <c r="L472" t="s">
        <v>8</v>
      </c>
      <c r="M472" t="s">
        <v>7</v>
      </c>
      <c r="N472" t="s">
        <v>8</v>
      </c>
      <c r="P472">
        <f t="shared" si="979"/>
        <v>0.42424242424242281</v>
      </c>
      <c r="Q472">
        <f t="shared" si="980"/>
        <v>9823.9450909090574</v>
      </c>
      <c r="R472">
        <f t="shared" si="981"/>
        <v>13527454.6804778</v>
      </c>
      <c r="S472">
        <f t="shared" si="982"/>
        <v>135.274546804778</v>
      </c>
      <c r="T472">
        <f t="shared" si="983"/>
        <v>0.13527454680477799</v>
      </c>
    </row>
    <row r="473" spans="1:20" x14ac:dyDescent="0.25">
      <c r="A473" s="5">
        <v>44120</v>
      </c>
      <c r="B473">
        <v>3.6419999999999999</v>
      </c>
      <c r="C473">
        <v>3.673</v>
      </c>
      <c r="D473">
        <v>3.512</v>
      </c>
      <c r="E473">
        <v>3.528</v>
      </c>
      <c r="F473">
        <v>81563.112999999998</v>
      </c>
      <c r="G473">
        <v>0</v>
      </c>
      <c r="L473" t="s">
        <v>8</v>
      </c>
      <c r="M473" t="s">
        <v>7</v>
      </c>
      <c r="N473" t="s">
        <v>8</v>
      </c>
      <c r="P473">
        <f t="shared" si="979"/>
        <v>-0.80124223602484457</v>
      </c>
      <c r="Q473">
        <f t="shared" si="980"/>
        <v>-65351.811037267064</v>
      </c>
      <c r="R473">
        <f t="shared" si="981"/>
        <v>13517630.735386891</v>
      </c>
      <c r="S473">
        <f t="shared" si="982"/>
        <v>135.17630735386891</v>
      </c>
      <c r="T473">
        <f t="shared" si="983"/>
        <v>0.1351763073538689</v>
      </c>
    </row>
    <row r="474" spans="1:20" x14ac:dyDescent="0.25">
      <c r="A474" s="5">
        <v>44119</v>
      </c>
      <c r="B474">
        <v>3.645</v>
      </c>
      <c r="C474">
        <v>3.6720000000000002</v>
      </c>
      <c r="D474">
        <v>3.5920000000000001</v>
      </c>
      <c r="E474">
        <v>3.6440000000000001</v>
      </c>
      <c r="F474">
        <v>69300.104000000007</v>
      </c>
      <c r="G474">
        <v>0</v>
      </c>
      <c r="L474" t="s">
        <v>8</v>
      </c>
      <c r="M474" t="s">
        <v>7</v>
      </c>
      <c r="N474" t="s">
        <v>8</v>
      </c>
      <c r="P474">
        <f t="shared" si="979"/>
        <v>0.3</v>
      </c>
      <c r="Q474">
        <f t="shared" si="980"/>
        <v>20790.031200000001</v>
      </c>
      <c r="R474">
        <f t="shared" si="981"/>
        <v>13582982.546424158</v>
      </c>
      <c r="S474">
        <f t="shared" si="982"/>
        <v>135.82982546424157</v>
      </c>
      <c r="T474">
        <f t="shared" si="983"/>
        <v>0.13582982546424158</v>
      </c>
    </row>
    <row r="475" spans="1:20" x14ac:dyDescent="0.25">
      <c r="A475" s="5">
        <v>44118</v>
      </c>
      <c r="B475">
        <v>3.6560000000000001</v>
      </c>
      <c r="C475">
        <v>3.6869999999999998</v>
      </c>
      <c r="D475">
        <v>3.5990000000000002</v>
      </c>
      <c r="E475">
        <v>3.6509999999999998</v>
      </c>
      <c r="F475">
        <v>54653.993000000002</v>
      </c>
      <c r="G475">
        <v>0</v>
      </c>
      <c r="L475" t="s">
        <v>8</v>
      </c>
      <c r="M475" t="s">
        <v>7</v>
      </c>
      <c r="N475" t="s">
        <v>8</v>
      </c>
      <c r="P475">
        <f t="shared" si="979"/>
        <v>0.18181818181817769</v>
      </c>
      <c r="Q475">
        <f t="shared" si="980"/>
        <v>9937.089636363411</v>
      </c>
      <c r="R475">
        <f t="shared" si="981"/>
        <v>13562192.515224159</v>
      </c>
      <c r="S475">
        <f t="shared" si="982"/>
        <v>135.6219251522416</v>
      </c>
      <c r="T475">
        <f t="shared" si="983"/>
        <v>0.13562192515224161</v>
      </c>
    </row>
    <row r="476" spans="1:20" x14ac:dyDescent="0.25">
      <c r="A476" s="5">
        <v>44117</v>
      </c>
      <c r="B476">
        <v>3.6379999999999999</v>
      </c>
      <c r="C476">
        <v>3.677</v>
      </c>
      <c r="D476">
        <v>3.609</v>
      </c>
      <c r="E476">
        <v>3.657</v>
      </c>
      <c r="F476">
        <v>212271.64199999999</v>
      </c>
      <c r="G476">
        <v>0</v>
      </c>
      <c r="L476" t="s">
        <v>8</v>
      </c>
      <c r="M476" t="s">
        <v>7</v>
      </c>
      <c r="N476" t="s">
        <v>8</v>
      </c>
      <c r="P476">
        <f t="shared" si="979"/>
        <v>0.41176470588235292</v>
      </c>
      <c r="Q476">
        <f t="shared" si="980"/>
        <v>87405.970235294109</v>
      </c>
      <c r="R476">
        <f t="shared" si="981"/>
        <v>13552255.425587796</v>
      </c>
      <c r="S476">
        <f t="shared" si="982"/>
        <v>135.52255425587796</v>
      </c>
      <c r="T476">
        <f t="shared" si="983"/>
        <v>0.13552255425587797</v>
      </c>
    </row>
    <row r="477" spans="1:20" x14ac:dyDescent="0.25">
      <c r="A477" s="5">
        <v>44116</v>
      </c>
      <c r="B477">
        <v>3.5310000000000001</v>
      </c>
      <c r="C477">
        <v>3.702</v>
      </c>
      <c r="D477">
        <v>3.492</v>
      </c>
      <c r="E477">
        <v>3.641</v>
      </c>
      <c r="F477">
        <v>215180.92499999999</v>
      </c>
      <c r="G477">
        <v>0</v>
      </c>
      <c r="L477" t="s">
        <v>8</v>
      </c>
      <c r="M477" t="s">
        <v>7</v>
      </c>
      <c r="N477" t="s">
        <v>8</v>
      </c>
      <c r="P477">
        <f t="shared" si="979"/>
        <v>0.4190476190476195</v>
      </c>
      <c r="Q477">
        <f t="shared" si="980"/>
        <v>90171.054285714374</v>
      </c>
      <c r="R477">
        <f t="shared" si="981"/>
        <v>13464849.455352502</v>
      </c>
      <c r="S477">
        <f t="shared" si="982"/>
        <v>134.64849455352501</v>
      </c>
      <c r="T477">
        <f t="shared" si="983"/>
        <v>0.13464849455352501</v>
      </c>
    </row>
    <row r="478" spans="1:20" x14ac:dyDescent="0.25">
      <c r="A478" s="5">
        <v>44115</v>
      </c>
      <c r="B478">
        <v>3.51</v>
      </c>
      <c r="C478">
        <v>3.544</v>
      </c>
      <c r="D478">
        <v>3.492</v>
      </c>
      <c r="E478">
        <v>3.532</v>
      </c>
      <c r="F478">
        <v>69475.172999999995</v>
      </c>
      <c r="G478">
        <v>0</v>
      </c>
      <c r="L478" t="s">
        <v>8</v>
      </c>
      <c r="M478" t="s">
        <v>7</v>
      </c>
      <c r="N478" t="s">
        <v>8</v>
      </c>
      <c r="P478">
        <f t="shared" si="979"/>
        <v>0.53846153846153844</v>
      </c>
      <c r="Q478">
        <f t="shared" si="980"/>
        <v>37409.708538461535</v>
      </c>
      <c r="R478">
        <f t="shared" si="981"/>
        <v>13374678.401066788</v>
      </c>
      <c r="S478">
        <f t="shared" si="982"/>
        <v>133.74678401066788</v>
      </c>
      <c r="T478">
        <f t="shared" si="983"/>
        <v>0.13374678401066789</v>
      </c>
    </row>
    <row r="479" spans="1:20" x14ac:dyDescent="0.25">
      <c r="A479" s="5">
        <v>44114</v>
      </c>
      <c r="B479">
        <v>3.5529999999999999</v>
      </c>
      <c r="C479">
        <v>3.6640000000000001</v>
      </c>
      <c r="D479">
        <v>3.4910000000000001</v>
      </c>
      <c r="E479">
        <v>3.51</v>
      </c>
      <c r="F479">
        <v>166955.261</v>
      </c>
      <c r="G479">
        <v>0</v>
      </c>
      <c r="L479" t="s">
        <v>8</v>
      </c>
      <c r="M479" t="s">
        <v>7</v>
      </c>
      <c r="N479" t="s">
        <v>8</v>
      </c>
      <c r="P479">
        <f t="shared" si="979"/>
        <v>-0.78034682080925222</v>
      </c>
      <c r="Q479">
        <f t="shared" si="980"/>
        <v>-130283.00713872894</v>
      </c>
      <c r="R479">
        <f t="shared" si="981"/>
        <v>13337268.692528326</v>
      </c>
      <c r="S479">
        <f t="shared" si="982"/>
        <v>133.37268692528326</v>
      </c>
      <c r="T479">
        <f t="shared" si="983"/>
        <v>0.13337268692528326</v>
      </c>
    </row>
    <row r="480" spans="1:20" x14ac:dyDescent="0.25">
      <c r="A480" s="5">
        <v>44113</v>
      </c>
      <c r="B480">
        <v>3.47</v>
      </c>
      <c r="C480">
        <v>3.5659999999999998</v>
      </c>
      <c r="D480">
        <v>3.448</v>
      </c>
      <c r="E480">
        <v>3.5539999999999998</v>
      </c>
      <c r="F480">
        <v>53594.398000000001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0.79661016949152508</v>
      </c>
      <c r="Q480">
        <f t="shared" si="980"/>
        <v>42693.842474576253</v>
      </c>
      <c r="R480">
        <f t="shared" si="981"/>
        <v>13467551.699667055</v>
      </c>
      <c r="S480">
        <f t="shared" si="982"/>
        <v>134.67551699667055</v>
      </c>
      <c r="T480">
        <f t="shared" si="983"/>
        <v>0.13467551699667055</v>
      </c>
    </row>
    <row r="481" spans="1:20" x14ac:dyDescent="0.25">
      <c r="A481" s="5">
        <v>44112</v>
      </c>
      <c r="B481">
        <v>3.41</v>
      </c>
      <c r="C481">
        <v>3.4769999999999999</v>
      </c>
      <c r="D481">
        <v>3.3260000000000001</v>
      </c>
      <c r="E481">
        <v>3.4740000000000002</v>
      </c>
      <c r="F481">
        <v>101347.54399999999</v>
      </c>
      <c r="G481">
        <v>0</v>
      </c>
      <c r="L481" t="s">
        <v>7</v>
      </c>
      <c r="M481" t="s">
        <v>7</v>
      </c>
      <c r="N481" t="s">
        <v>8</v>
      </c>
      <c r="P481">
        <f t="shared" si="979"/>
        <v>0.960264900662256</v>
      </c>
      <c r="Q481">
        <f t="shared" si="980"/>
        <v>97320.48927152362</v>
      </c>
      <c r="R481">
        <f t="shared" si="981"/>
        <v>13424857.857192479</v>
      </c>
      <c r="S481">
        <f t="shared" si="982"/>
        <v>134.24857857192478</v>
      </c>
      <c r="T481">
        <f t="shared" si="983"/>
        <v>0.13424857857192479</v>
      </c>
    </row>
    <row r="482" spans="1:20" x14ac:dyDescent="0.25">
      <c r="A482" s="5">
        <v>44111</v>
      </c>
      <c r="B482">
        <v>3.4119999999999999</v>
      </c>
      <c r="C482">
        <v>3.4159999999999999</v>
      </c>
      <c r="D482">
        <v>3.3719999999999999</v>
      </c>
      <c r="E482">
        <v>3.41</v>
      </c>
      <c r="F482">
        <v>146554.924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0.7272727272727374</v>
      </c>
      <c r="Q482">
        <f t="shared" si="980"/>
        <v>106585.39927272876</v>
      </c>
      <c r="R482">
        <f t="shared" si="981"/>
        <v>13327537.367920956</v>
      </c>
      <c r="S482">
        <f t="shared" si="982"/>
        <v>133.27537367920957</v>
      </c>
      <c r="T482">
        <f t="shared" si="983"/>
        <v>0.13327537367920955</v>
      </c>
    </row>
    <row r="483" spans="1:20" x14ac:dyDescent="0.25">
      <c r="A483" s="5">
        <v>44110</v>
      </c>
      <c r="B483">
        <v>3.5419999999999998</v>
      </c>
      <c r="C483">
        <v>3.5590000000000002</v>
      </c>
      <c r="D483">
        <v>3.3860000000000001</v>
      </c>
      <c r="E483">
        <v>3.4129999999999998</v>
      </c>
      <c r="F483">
        <v>164628.247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-0.68786127167630418</v>
      </c>
      <c r="Q483">
        <f t="shared" si="980"/>
        <v>-113241.39533526071</v>
      </c>
      <c r="R483">
        <f t="shared" si="981"/>
        <v>13220951.968648227</v>
      </c>
      <c r="S483">
        <f t="shared" si="982"/>
        <v>132.20951968648228</v>
      </c>
      <c r="T483">
        <f t="shared" si="983"/>
        <v>0.13220951968648229</v>
      </c>
    </row>
    <row r="484" spans="1:20" x14ac:dyDescent="0.25">
      <c r="A484" s="5">
        <v>44109</v>
      </c>
      <c r="B484">
        <v>3.552</v>
      </c>
      <c r="C484">
        <v>3.5779999999999998</v>
      </c>
      <c r="D484">
        <v>3.5049999999999999</v>
      </c>
      <c r="E484">
        <v>3.5409999999999999</v>
      </c>
      <c r="F484">
        <v>130657.836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-1.3698630136984802E-2</v>
      </c>
      <c r="Q484">
        <f t="shared" si="980"/>
        <v>-1789.8333698628178</v>
      </c>
      <c r="R484">
        <f t="shared" si="981"/>
        <v>13334193.363983488</v>
      </c>
      <c r="S484">
        <f t="shared" si="982"/>
        <v>133.34193363983488</v>
      </c>
      <c r="T484">
        <f t="shared" si="983"/>
        <v>0.13334193363983488</v>
      </c>
    </row>
    <row r="485" spans="1:20" x14ac:dyDescent="0.25">
      <c r="A485" s="5">
        <v>44108</v>
      </c>
      <c r="B485">
        <v>3.5419999999999998</v>
      </c>
      <c r="C485">
        <v>3.5840000000000001</v>
      </c>
      <c r="D485">
        <v>3.528</v>
      </c>
      <c r="E485">
        <v>3.552</v>
      </c>
      <c r="F485">
        <v>95417.448999999993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-0.14285714285714285</v>
      </c>
      <c r="Q485">
        <f t="shared" si="980"/>
        <v>-13631.064142857142</v>
      </c>
      <c r="R485">
        <f t="shared" si="981"/>
        <v>13335983.19735335</v>
      </c>
      <c r="S485">
        <f t="shared" si="982"/>
        <v>133.35983197353349</v>
      </c>
      <c r="T485">
        <f t="shared" si="983"/>
        <v>0.13335983197353349</v>
      </c>
    </row>
    <row r="486" spans="1:20" x14ac:dyDescent="0.25">
      <c r="A486" s="5">
        <v>44107</v>
      </c>
      <c r="B486">
        <v>3.5329999999999999</v>
      </c>
      <c r="C486">
        <v>3.5790000000000002</v>
      </c>
      <c r="D486">
        <v>3.516</v>
      </c>
      <c r="E486">
        <v>3.5419999999999998</v>
      </c>
      <c r="F486">
        <v>143360.005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-0.17460317460318311</v>
      </c>
      <c r="Q486">
        <f t="shared" si="980"/>
        <v>-25031.111984128205</v>
      </c>
      <c r="R486">
        <f t="shared" si="981"/>
        <v>13349614.261496207</v>
      </c>
      <c r="S486">
        <f t="shared" si="982"/>
        <v>133.49614261496205</v>
      </c>
      <c r="T486">
        <f t="shared" si="983"/>
        <v>0.13349614261496207</v>
      </c>
    </row>
    <row r="487" spans="1:20" x14ac:dyDescent="0.25">
      <c r="A487" s="5">
        <v>44106</v>
      </c>
      <c r="B487">
        <v>3.61</v>
      </c>
      <c r="C487">
        <v>3.6419999999999999</v>
      </c>
      <c r="D487">
        <v>3.419</v>
      </c>
      <c r="E487">
        <v>3.5329999999999999</v>
      </c>
      <c r="F487">
        <v>168407.99299999999</v>
      </c>
      <c r="G487">
        <v>0</v>
      </c>
      <c r="L487" t="s">
        <v>8</v>
      </c>
      <c r="M487" t="s">
        <v>7</v>
      </c>
      <c r="N487" t="s">
        <v>8</v>
      </c>
      <c r="P487">
        <f t="shared" si="979"/>
        <v>2.2421524663676667E-2</v>
      </c>
      <c r="Q487">
        <f t="shared" si="980"/>
        <v>3775.9639686097871</v>
      </c>
      <c r="R487">
        <f t="shared" si="981"/>
        <v>13374645.373480335</v>
      </c>
      <c r="S487">
        <f t="shared" si="982"/>
        <v>133.74645373480334</v>
      </c>
      <c r="T487">
        <f t="shared" si="983"/>
        <v>0.13374645373480334</v>
      </c>
    </row>
    <row r="488" spans="1:20" x14ac:dyDescent="0.25">
      <c r="A488" s="5">
        <v>44105</v>
      </c>
      <c r="B488">
        <v>3.6579999999999999</v>
      </c>
      <c r="C488">
        <v>3.6720000000000002</v>
      </c>
      <c r="D488">
        <v>3.3540000000000001</v>
      </c>
      <c r="E488">
        <v>3.6110000000000002</v>
      </c>
      <c r="F488">
        <v>355142.75599999999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0.61635220125786205</v>
      </c>
      <c r="Q488">
        <f t="shared" si="980"/>
        <v>218893.0194213838</v>
      </c>
      <c r="R488">
        <f t="shared" si="981"/>
        <v>13370869.409511724</v>
      </c>
      <c r="S488">
        <f t="shared" si="982"/>
        <v>133.70869409511724</v>
      </c>
      <c r="T488">
        <f t="shared" si="983"/>
        <v>0.13370869409511724</v>
      </c>
    </row>
    <row r="489" spans="1:20" x14ac:dyDescent="0.25">
      <c r="A489" s="5">
        <v>44104</v>
      </c>
      <c r="B489">
        <v>3.6720000000000002</v>
      </c>
      <c r="C489">
        <v>3.6749999999999998</v>
      </c>
      <c r="D489">
        <v>3.5830000000000002</v>
      </c>
      <c r="E489">
        <v>3.6539999999999999</v>
      </c>
      <c r="F489">
        <v>150492.95699999999</v>
      </c>
      <c r="G489">
        <v>0</v>
      </c>
      <c r="L489" t="s">
        <v>8</v>
      </c>
      <c r="M489" t="s">
        <v>7</v>
      </c>
      <c r="N489" t="s">
        <v>8</v>
      </c>
      <c r="P489">
        <f t="shared" si="979"/>
        <v>0.54347826086956541</v>
      </c>
      <c r="Q489">
        <f t="shared" si="980"/>
        <v>81789.650543478288</v>
      </c>
      <c r="R489">
        <f t="shared" si="981"/>
        <v>13151976.390090341</v>
      </c>
      <c r="S489">
        <f t="shared" si="982"/>
        <v>131.5197639009034</v>
      </c>
      <c r="T489">
        <f t="shared" si="983"/>
        <v>0.13151976390090339</v>
      </c>
    </row>
    <row r="490" spans="1:20" x14ac:dyDescent="0.25">
      <c r="A490" s="5">
        <v>44103</v>
      </c>
      <c r="B490">
        <v>3.5990000000000002</v>
      </c>
      <c r="C490">
        <v>3.6840000000000002</v>
      </c>
      <c r="D490">
        <v>3.589</v>
      </c>
      <c r="E490">
        <v>3.6720000000000002</v>
      </c>
      <c r="F490">
        <v>126271.81600000001</v>
      </c>
      <c r="G490">
        <v>0</v>
      </c>
      <c r="L490" t="s">
        <v>8</v>
      </c>
      <c r="M490" t="s">
        <v>7</v>
      </c>
      <c r="N490" t="s">
        <v>8</v>
      </c>
      <c r="P490">
        <f t="shared" si="979"/>
        <v>0.7473684210526319</v>
      </c>
      <c r="Q490">
        <f t="shared" si="980"/>
        <v>94371.567747368463</v>
      </c>
      <c r="R490">
        <f t="shared" si="981"/>
        <v>13070186.739546863</v>
      </c>
      <c r="S490">
        <f t="shared" si="982"/>
        <v>130.70186739546864</v>
      </c>
      <c r="T490">
        <f t="shared" si="983"/>
        <v>0.13070186739546863</v>
      </c>
    </row>
    <row r="491" spans="1:20" x14ac:dyDescent="0.25">
      <c r="A491" s="5">
        <v>44102</v>
      </c>
      <c r="B491">
        <v>3.6190000000000002</v>
      </c>
      <c r="C491">
        <v>3.6859999999999999</v>
      </c>
      <c r="D491">
        <v>3.5830000000000002</v>
      </c>
      <c r="E491">
        <v>3.5990000000000002</v>
      </c>
      <c r="F491">
        <v>175765.174</v>
      </c>
      <c r="G491">
        <v>0</v>
      </c>
      <c r="L491" t="s">
        <v>8</v>
      </c>
      <c r="M491" t="s">
        <v>7</v>
      </c>
      <c r="N491" t="s">
        <v>8</v>
      </c>
      <c r="P491">
        <f t="shared" si="979"/>
        <v>-0.68932038834951359</v>
      </c>
      <c r="Q491">
        <f t="shared" si="980"/>
        <v>-121158.51799999982</v>
      </c>
      <c r="R491">
        <f t="shared" si="981"/>
        <v>12975815.171799496</v>
      </c>
      <c r="S491">
        <f t="shared" si="982"/>
        <v>129.75815171799496</v>
      </c>
      <c r="T491">
        <f t="shared" si="983"/>
        <v>0.12975815171799496</v>
      </c>
    </row>
    <row r="492" spans="1:20" x14ac:dyDescent="0.25">
      <c r="A492" s="5">
        <v>44101</v>
      </c>
      <c r="B492">
        <v>3.6419999999999999</v>
      </c>
      <c r="C492">
        <v>3.6930000000000001</v>
      </c>
      <c r="D492">
        <v>3.5720000000000001</v>
      </c>
      <c r="E492">
        <v>3.6179999999999999</v>
      </c>
      <c r="F492">
        <v>364810.33299999998</v>
      </c>
      <c r="G492">
        <v>0</v>
      </c>
      <c r="L492" t="s">
        <v>8</v>
      </c>
      <c r="M492" t="s">
        <v>7</v>
      </c>
      <c r="N492" t="s">
        <v>8</v>
      </c>
      <c r="P492">
        <f t="shared" si="979"/>
        <v>-0.23966942148760628</v>
      </c>
      <c r="Q492">
        <f t="shared" si="980"/>
        <v>-87433.881462810998</v>
      </c>
      <c r="R492">
        <f t="shared" si="981"/>
        <v>13096973.689799495</v>
      </c>
      <c r="S492">
        <f t="shared" si="982"/>
        <v>130.96973689799495</v>
      </c>
      <c r="T492">
        <f t="shared" si="983"/>
        <v>0.13096973689799496</v>
      </c>
    </row>
    <row r="493" spans="1:20" x14ac:dyDescent="0.25">
      <c r="A493" s="5">
        <v>44100</v>
      </c>
      <c r="B493">
        <v>3.6320000000000001</v>
      </c>
      <c r="C493">
        <v>3.6640000000000001</v>
      </c>
      <c r="D493">
        <v>3.5960000000000001</v>
      </c>
      <c r="E493">
        <v>3.6429999999999998</v>
      </c>
      <c r="F493">
        <v>371036.37300000002</v>
      </c>
      <c r="G493">
        <v>0</v>
      </c>
      <c r="L493" t="s">
        <v>8</v>
      </c>
      <c r="M493" t="s">
        <v>7</v>
      </c>
      <c r="N493" t="s">
        <v>8</v>
      </c>
      <c r="P493">
        <f t="shared" si="979"/>
        <v>0.38235294117646079</v>
      </c>
      <c r="Q493">
        <f t="shared" si="980"/>
        <v>141866.84849999638</v>
      </c>
      <c r="R493">
        <f t="shared" si="981"/>
        <v>13184407.571262306</v>
      </c>
      <c r="S493">
        <f t="shared" si="982"/>
        <v>131.84407571262307</v>
      </c>
      <c r="T493">
        <f t="shared" si="983"/>
        <v>0.13184407571262308</v>
      </c>
    </row>
    <row r="494" spans="1:20" x14ac:dyDescent="0.25">
      <c r="A494" s="5">
        <v>44099</v>
      </c>
      <c r="B494">
        <v>3.6469999999999998</v>
      </c>
      <c r="C494">
        <v>3.6920000000000002</v>
      </c>
      <c r="D494">
        <v>3.5579999999999998</v>
      </c>
      <c r="E494">
        <v>3.6309999999999998</v>
      </c>
      <c r="F494">
        <v>638029.97100000002</v>
      </c>
      <c r="G494">
        <v>0</v>
      </c>
      <c r="L494" t="s">
        <v>8</v>
      </c>
      <c r="M494" t="s">
        <v>7</v>
      </c>
      <c r="N494" t="s">
        <v>8</v>
      </c>
      <c r="P494">
        <f t="shared" si="979"/>
        <v>8.9552238805966689E-2</v>
      </c>
      <c r="Q494">
        <f t="shared" si="980"/>
        <v>57137.012328356002</v>
      </c>
      <c r="R494">
        <f t="shared" si="981"/>
        <v>13042540.722762309</v>
      </c>
      <c r="S494">
        <f t="shared" si="982"/>
        <v>130.42540722762308</v>
      </c>
      <c r="T494">
        <f t="shared" si="983"/>
        <v>0.13042540722762308</v>
      </c>
    </row>
    <row r="495" spans="1:20" x14ac:dyDescent="0.25">
      <c r="A495" s="5">
        <v>44098</v>
      </c>
      <c r="B495">
        <v>3.4369999999999998</v>
      </c>
      <c r="C495">
        <v>3.6749999999999998</v>
      </c>
      <c r="D495">
        <v>3.4159999999999999</v>
      </c>
      <c r="E495">
        <v>3.6469999999999998</v>
      </c>
      <c r="F495">
        <v>492156.272</v>
      </c>
      <c r="G495">
        <v>0</v>
      </c>
      <c r="L495" t="s">
        <v>8</v>
      </c>
      <c r="M495" t="s">
        <v>7</v>
      </c>
      <c r="N495" t="s">
        <v>8</v>
      </c>
      <c r="P495">
        <f t="shared" si="979"/>
        <v>0.78378378378378355</v>
      </c>
      <c r="Q495">
        <f t="shared" si="980"/>
        <v>385744.10508108098</v>
      </c>
      <c r="R495">
        <f t="shared" si="981"/>
        <v>12985403.710433953</v>
      </c>
      <c r="S495">
        <f t="shared" si="982"/>
        <v>129.85403710433951</v>
      </c>
      <c r="T495">
        <f t="shared" si="983"/>
        <v>0.12985403710433951</v>
      </c>
    </row>
    <row r="496" spans="1:20" x14ac:dyDescent="0.25">
      <c r="A496" s="5">
        <v>44097</v>
      </c>
      <c r="B496">
        <v>3.6110000000000002</v>
      </c>
      <c r="C496">
        <v>3.6179999999999999</v>
      </c>
      <c r="D496">
        <v>3.3940000000000001</v>
      </c>
      <c r="E496">
        <v>3.4390000000000001</v>
      </c>
      <c r="F496">
        <v>495528.337</v>
      </c>
      <c r="G496">
        <v>0</v>
      </c>
      <c r="L496" t="s">
        <v>7</v>
      </c>
      <c r="M496" t="s">
        <v>7</v>
      </c>
      <c r="N496" t="s">
        <v>8</v>
      </c>
      <c r="P496">
        <f t="shared" si="979"/>
        <v>-0.59821428571428592</v>
      </c>
      <c r="Q496">
        <f t="shared" si="980"/>
        <v>-296432.13016964297</v>
      </c>
      <c r="R496">
        <f t="shared" si="981"/>
        <v>12599659.605352871</v>
      </c>
      <c r="S496">
        <f t="shared" si="982"/>
        <v>125.99659605352871</v>
      </c>
      <c r="T496">
        <f t="shared" si="983"/>
        <v>0.1259965960535287</v>
      </c>
    </row>
    <row r="497" spans="1:20" x14ac:dyDescent="0.25">
      <c r="A497" s="5">
        <v>44096</v>
      </c>
      <c r="B497">
        <v>3.593</v>
      </c>
      <c r="C497">
        <v>3.6739999999999999</v>
      </c>
      <c r="D497">
        <v>3.5550000000000002</v>
      </c>
      <c r="E497">
        <v>3.6160000000000001</v>
      </c>
      <c r="F497">
        <v>302496.70799999998</v>
      </c>
      <c r="G497">
        <v>0</v>
      </c>
      <c r="L497" t="s">
        <v>8</v>
      </c>
      <c r="M497" t="s">
        <v>7</v>
      </c>
      <c r="N497" t="s">
        <v>8</v>
      </c>
      <c r="P497">
        <f t="shared" si="979"/>
        <v>2.5210084033614449E-2</v>
      </c>
      <c r="Q497">
        <f t="shared" si="980"/>
        <v>7625.9674285717319</v>
      </c>
      <c r="R497">
        <f t="shared" si="981"/>
        <v>12896091.735522514</v>
      </c>
      <c r="S497">
        <f t="shared" si="982"/>
        <v>128.96091735522515</v>
      </c>
      <c r="T497">
        <f t="shared" si="983"/>
        <v>0.12896091735522514</v>
      </c>
    </row>
    <row r="498" spans="1:20" x14ac:dyDescent="0.25">
      <c r="A498" s="5">
        <v>44095</v>
      </c>
      <c r="B498">
        <v>3.746</v>
      </c>
      <c r="C498">
        <v>3.78</v>
      </c>
      <c r="D498">
        <v>3.4119999999999999</v>
      </c>
      <c r="E498">
        <v>3.5910000000000002</v>
      </c>
      <c r="F498">
        <v>848302.07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-2.7173913043476484E-2</v>
      </c>
      <c r="Q498">
        <f t="shared" si="980"/>
        <v>-23051.6866847811</v>
      </c>
      <c r="R498">
        <f t="shared" si="981"/>
        <v>12888465.768093942</v>
      </c>
      <c r="S498">
        <f t="shared" si="982"/>
        <v>128.88465768093943</v>
      </c>
      <c r="T498">
        <f t="shared" si="983"/>
        <v>0.12888465768093943</v>
      </c>
    </row>
    <row r="499" spans="1:20" x14ac:dyDescent="0.25">
      <c r="A499" s="5">
        <v>44094</v>
      </c>
      <c r="B499">
        <v>3.8460000000000001</v>
      </c>
      <c r="C499">
        <v>3.8460000000000001</v>
      </c>
      <c r="D499">
        <v>3.673</v>
      </c>
      <c r="E499">
        <v>3.7490000000000001</v>
      </c>
      <c r="F499">
        <v>110274.747</v>
      </c>
      <c r="G499">
        <v>0</v>
      </c>
      <c r="L499" t="s">
        <v>7</v>
      </c>
      <c r="M499" t="s">
        <v>8</v>
      </c>
      <c r="N499" t="s">
        <v>8</v>
      </c>
      <c r="P499">
        <f t="shared" si="979"/>
        <v>-0.12138728323699366</v>
      </c>
      <c r="Q499">
        <f t="shared" si="980"/>
        <v>-13385.951947976817</v>
      </c>
      <c r="R499">
        <f t="shared" si="981"/>
        <v>12911517.454778723</v>
      </c>
      <c r="S499">
        <f t="shared" si="982"/>
        <v>129.11517454778723</v>
      </c>
      <c r="T499">
        <f t="shared" si="983"/>
        <v>0.12911517454778723</v>
      </c>
    </row>
    <row r="500" spans="1:20" x14ac:dyDescent="0.25">
      <c r="A500" s="5">
        <v>44093</v>
      </c>
      <c r="B500">
        <v>3.847</v>
      </c>
      <c r="C500">
        <v>3.875</v>
      </c>
      <c r="D500">
        <v>3.7829999999999999</v>
      </c>
      <c r="E500">
        <v>3.8490000000000002</v>
      </c>
      <c r="F500">
        <v>88201.933000000005</v>
      </c>
      <c r="G500">
        <v>0</v>
      </c>
      <c r="L500" t="s">
        <v>7</v>
      </c>
      <c r="M500" t="s">
        <v>8</v>
      </c>
      <c r="N500" t="s">
        <v>8</v>
      </c>
      <c r="P500">
        <f t="shared" si="979"/>
        <v>0.43478260869565699</v>
      </c>
      <c r="Q500">
        <f t="shared" si="980"/>
        <v>38348.666521739557</v>
      </c>
      <c r="R500">
        <f t="shared" si="981"/>
        <v>12924903.406726699</v>
      </c>
      <c r="S500">
        <f t="shared" si="982"/>
        <v>129.24903406726699</v>
      </c>
      <c r="T500">
        <f t="shared" si="983"/>
        <v>0.12924903406726698</v>
      </c>
    </row>
    <row r="501" spans="1:20" x14ac:dyDescent="0.25">
      <c r="A501" s="5">
        <v>44092</v>
      </c>
      <c r="B501">
        <v>3.8530000000000002</v>
      </c>
      <c r="C501">
        <v>3.9420000000000002</v>
      </c>
      <c r="D501">
        <v>3.782</v>
      </c>
      <c r="E501">
        <v>3.85</v>
      </c>
      <c r="F501">
        <v>294294.64600000001</v>
      </c>
      <c r="G501">
        <v>0</v>
      </c>
      <c r="L501" t="s">
        <v>7</v>
      </c>
      <c r="M501" t="s">
        <v>8</v>
      </c>
      <c r="N501" t="s">
        <v>8</v>
      </c>
      <c r="P501">
        <f t="shared" si="979"/>
        <v>-0.15</v>
      </c>
      <c r="Q501">
        <f t="shared" si="980"/>
        <v>-44144.196900000003</v>
      </c>
      <c r="R501">
        <f t="shared" si="981"/>
        <v>12886554.74020496</v>
      </c>
      <c r="S501">
        <f t="shared" si="982"/>
        <v>128.8655474020496</v>
      </c>
      <c r="T501">
        <f t="shared" si="983"/>
        <v>0.12886554740204961</v>
      </c>
    </row>
    <row r="502" spans="1:20" x14ac:dyDescent="0.25">
      <c r="A502" s="5">
        <v>44091</v>
      </c>
      <c r="B502">
        <v>3.8220000000000001</v>
      </c>
      <c r="C502">
        <v>3.91</v>
      </c>
      <c r="D502">
        <v>3.7519999999999998</v>
      </c>
      <c r="E502">
        <v>3.8530000000000002</v>
      </c>
      <c r="F502">
        <v>257481.21799999999</v>
      </c>
      <c r="G502">
        <v>0</v>
      </c>
      <c r="L502" t="s">
        <v>7</v>
      </c>
      <c r="M502" t="s">
        <v>8</v>
      </c>
      <c r="N502" t="s">
        <v>8</v>
      </c>
      <c r="P502">
        <f t="shared" si="979"/>
        <v>0.27848101265823028</v>
      </c>
      <c r="Q502">
        <f t="shared" si="980"/>
        <v>71703.630329114545</v>
      </c>
      <c r="R502">
        <f t="shared" si="981"/>
        <v>12930698.937104961</v>
      </c>
      <c r="S502">
        <f t="shared" si="982"/>
        <v>129.30698937104961</v>
      </c>
      <c r="T502">
        <f t="shared" si="983"/>
        <v>0.12930698937104962</v>
      </c>
    </row>
    <row r="503" spans="1:20" x14ac:dyDescent="0.25">
      <c r="A503" s="5">
        <v>44090</v>
      </c>
      <c r="B503">
        <v>3.8149999999999999</v>
      </c>
      <c r="C503">
        <v>3.8820000000000001</v>
      </c>
      <c r="D503">
        <v>3.7189999999999999</v>
      </c>
      <c r="E503">
        <v>3.8260000000000001</v>
      </c>
      <c r="F503">
        <v>294582.51199999999</v>
      </c>
      <c r="G503">
        <v>0</v>
      </c>
      <c r="L503" t="s">
        <v>7</v>
      </c>
      <c r="M503" t="s">
        <v>8</v>
      </c>
      <c r="N503" t="s">
        <v>8</v>
      </c>
      <c r="P503">
        <f t="shared" si="979"/>
        <v>0.31288343558282256</v>
      </c>
      <c r="Q503">
        <f t="shared" si="980"/>
        <v>92169.988417178043</v>
      </c>
      <c r="R503">
        <f t="shared" si="981"/>
        <v>12858995.306775846</v>
      </c>
      <c r="S503">
        <f t="shared" si="982"/>
        <v>128.58995306775844</v>
      </c>
      <c r="T503">
        <f t="shared" si="983"/>
        <v>0.12858995306775844</v>
      </c>
    </row>
    <row r="504" spans="1:20" x14ac:dyDescent="0.25">
      <c r="A504" s="5">
        <v>44089</v>
      </c>
      <c r="B504">
        <v>4.0819999999999999</v>
      </c>
      <c r="C504">
        <v>4.0830000000000002</v>
      </c>
      <c r="D504">
        <v>3.8010000000000002</v>
      </c>
      <c r="E504">
        <v>3.8220000000000001</v>
      </c>
      <c r="F504">
        <v>655203.24100000004</v>
      </c>
      <c r="G504">
        <v>0</v>
      </c>
      <c r="L504" t="s">
        <v>7</v>
      </c>
      <c r="M504" t="s">
        <v>8</v>
      </c>
      <c r="N504" t="s">
        <v>8</v>
      </c>
      <c r="P504">
        <f t="shared" si="979"/>
        <v>-0.85106382978723472</v>
      </c>
      <c r="Q504">
        <f t="shared" si="980"/>
        <v>-557619.77957446862</v>
      </c>
      <c r="R504">
        <f t="shared" si="981"/>
        <v>12766825.318358667</v>
      </c>
      <c r="S504">
        <f t="shared" si="982"/>
        <v>127.66825318358667</v>
      </c>
      <c r="T504">
        <f t="shared" si="983"/>
        <v>0.12766825318358668</v>
      </c>
    </row>
    <row r="505" spans="1:20" x14ac:dyDescent="0.25">
      <c r="A505" s="5">
        <v>44088</v>
      </c>
      <c r="B505">
        <v>3.9630000000000001</v>
      </c>
      <c r="C505">
        <v>4.1539999999999999</v>
      </c>
      <c r="D505">
        <v>3.8769999999999998</v>
      </c>
      <c r="E505">
        <v>4.0819999999999999</v>
      </c>
      <c r="F505">
        <v>394079.05</v>
      </c>
      <c r="G505">
        <v>0</v>
      </c>
      <c r="L505" t="s">
        <v>7</v>
      </c>
      <c r="M505" t="s">
        <v>8</v>
      </c>
      <c r="N505" t="s">
        <v>8</v>
      </c>
      <c r="P505">
        <f t="shared" si="979"/>
        <v>0.48014440433212974</v>
      </c>
      <c r="Q505">
        <f t="shared" si="980"/>
        <v>189214.85072202157</v>
      </c>
      <c r="R505">
        <f t="shared" si="981"/>
        <v>13324445.097933136</v>
      </c>
      <c r="S505">
        <f t="shared" si="982"/>
        <v>133.24445097933136</v>
      </c>
      <c r="T505">
        <f t="shared" si="983"/>
        <v>0.13324445097933135</v>
      </c>
    </row>
    <row r="506" spans="1:20" x14ac:dyDescent="0.25">
      <c r="A506" s="5">
        <v>44087</v>
      </c>
      <c r="B506">
        <v>4.0090000000000003</v>
      </c>
      <c r="C506">
        <v>4.1870000000000003</v>
      </c>
      <c r="D506">
        <v>3.7509999999999999</v>
      </c>
      <c r="E506">
        <v>3.98</v>
      </c>
      <c r="F506">
        <v>465832.60100000002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5.0458715596329765E-2</v>
      </c>
      <c r="Q506">
        <f t="shared" si="980"/>
        <v>23505.31472935756</v>
      </c>
      <c r="R506">
        <f t="shared" si="981"/>
        <v>13135230.247211114</v>
      </c>
      <c r="S506">
        <f t="shared" si="982"/>
        <v>131.35230247211115</v>
      </c>
      <c r="T506">
        <f t="shared" si="983"/>
        <v>0.13135230247211116</v>
      </c>
    </row>
    <row r="507" spans="1:20" x14ac:dyDescent="0.25">
      <c r="A507" s="5">
        <v>44086</v>
      </c>
      <c r="B507">
        <v>3.8340000000000001</v>
      </c>
      <c r="C507">
        <v>4.0090000000000003</v>
      </c>
      <c r="D507">
        <v>3.827</v>
      </c>
      <c r="E507">
        <v>4.0090000000000003</v>
      </c>
      <c r="F507">
        <v>252952.95999999999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1</v>
      </c>
      <c r="Q507">
        <f t="shared" si="980"/>
        <v>252952.95999999999</v>
      </c>
      <c r="R507">
        <f t="shared" si="981"/>
        <v>13111724.932481756</v>
      </c>
      <c r="S507">
        <f t="shared" si="982"/>
        <v>131.11724932481758</v>
      </c>
      <c r="T507">
        <f t="shared" si="983"/>
        <v>0.13111724932481758</v>
      </c>
    </row>
    <row r="508" spans="1:20" x14ac:dyDescent="0.25">
      <c r="A508" s="5">
        <v>44085</v>
      </c>
      <c r="B508">
        <v>3.7959999999999998</v>
      </c>
      <c r="C508">
        <v>3.843</v>
      </c>
      <c r="D508">
        <v>3.681</v>
      </c>
      <c r="E508">
        <v>3.8340000000000001</v>
      </c>
      <c r="F508">
        <v>220301.44099999999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0.88888888888889006</v>
      </c>
      <c r="Q508">
        <f t="shared" si="980"/>
        <v>195823.50311111135</v>
      </c>
      <c r="R508">
        <f t="shared" si="981"/>
        <v>12858771.972481756</v>
      </c>
      <c r="S508">
        <f t="shared" si="982"/>
        <v>128.58771972481756</v>
      </c>
      <c r="T508">
        <f t="shared" si="983"/>
        <v>0.12858771972481756</v>
      </c>
    </row>
    <row r="509" spans="1:20" x14ac:dyDescent="0.25">
      <c r="A509" s="5">
        <v>44084</v>
      </c>
      <c r="B509">
        <v>3.726</v>
      </c>
      <c r="C509">
        <v>3.903</v>
      </c>
      <c r="D509">
        <v>3.7240000000000002</v>
      </c>
      <c r="E509">
        <v>3.7909999999999999</v>
      </c>
      <c r="F509">
        <v>574981.47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-0.25139664804469508</v>
      </c>
      <c r="Q509">
        <f t="shared" si="980"/>
        <v>-144548.41424581141</v>
      </c>
      <c r="R509">
        <f t="shared" si="981"/>
        <v>12662948.469370645</v>
      </c>
      <c r="S509">
        <f t="shared" si="982"/>
        <v>126.62948469370644</v>
      </c>
      <c r="T509">
        <f t="shared" si="983"/>
        <v>0.12662948469370644</v>
      </c>
    </row>
    <row r="510" spans="1:20" x14ac:dyDescent="0.25">
      <c r="A510" s="5">
        <v>44083</v>
      </c>
      <c r="B510">
        <v>3.5920000000000001</v>
      </c>
      <c r="C510">
        <v>3.7709999999999999</v>
      </c>
      <c r="D510">
        <v>3.508</v>
      </c>
      <c r="E510">
        <v>3.7280000000000002</v>
      </c>
      <c r="F510">
        <v>828168.14300000004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0.67300380228137091</v>
      </c>
      <c r="Q510">
        <f t="shared" si="980"/>
        <v>557360.3091673021</v>
      </c>
      <c r="R510">
        <f t="shared" si="981"/>
        <v>12807496.883616457</v>
      </c>
      <c r="S510">
        <f t="shared" si="982"/>
        <v>128.07496883616457</v>
      </c>
      <c r="T510">
        <f t="shared" si="983"/>
        <v>0.12807496883616457</v>
      </c>
    </row>
    <row r="511" spans="1:20" x14ac:dyDescent="0.25">
      <c r="A511" s="5">
        <v>44082</v>
      </c>
      <c r="B511">
        <v>3.681</v>
      </c>
      <c r="C511">
        <v>3.7109999999999999</v>
      </c>
      <c r="D511">
        <v>3.4809999999999999</v>
      </c>
      <c r="E511">
        <v>3.593</v>
      </c>
      <c r="F511">
        <v>835054.47199999995</v>
      </c>
      <c r="G511">
        <v>0</v>
      </c>
      <c r="L511" t="s">
        <v>8</v>
      </c>
      <c r="M511" t="s">
        <v>7</v>
      </c>
      <c r="N511" t="s">
        <v>8</v>
      </c>
      <c r="P511">
        <f t="shared" si="979"/>
        <v>-2.6086956521738189E-2</v>
      </c>
      <c r="Q511">
        <f t="shared" si="980"/>
        <v>-21784.029704347038</v>
      </c>
      <c r="R511">
        <f t="shared" si="981"/>
        <v>12250136.574449155</v>
      </c>
      <c r="S511">
        <f t="shared" si="982"/>
        <v>122.50136574449155</v>
      </c>
      <c r="T511">
        <f t="shared" si="983"/>
        <v>0.12250136574449155</v>
      </c>
    </row>
    <row r="512" spans="1:20" x14ac:dyDescent="0.25">
      <c r="A512" s="5">
        <v>44081</v>
      </c>
      <c r="B512">
        <v>3.6509999999999998</v>
      </c>
      <c r="C512">
        <v>3.694</v>
      </c>
      <c r="D512">
        <v>3.3620000000000001</v>
      </c>
      <c r="E512">
        <v>3.6789999999999998</v>
      </c>
      <c r="F512">
        <v>767172.16500000004</v>
      </c>
      <c r="G512">
        <v>0</v>
      </c>
      <c r="L512" t="s">
        <v>7</v>
      </c>
      <c r="M512" t="s">
        <v>7</v>
      </c>
      <c r="N512" t="s">
        <v>8</v>
      </c>
      <c r="P512">
        <f t="shared" si="979"/>
        <v>0.90963855421686668</v>
      </c>
      <c r="Q512">
        <f t="shared" si="980"/>
        <v>697849.37900602352</v>
      </c>
      <c r="R512">
        <f t="shared" si="981"/>
        <v>12271920.604153503</v>
      </c>
      <c r="S512">
        <f t="shared" si="982"/>
        <v>122.71920604153503</v>
      </c>
      <c r="T512">
        <f t="shared" si="983"/>
        <v>0.12271920604153504</v>
      </c>
    </row>
    <row r="513" spans="1:20" x14ac:dyDescent="0.25">
      <c r="A513" s="5">
        <v>44080</v>
      </c>
      <c r="B513">
        <v>3.3330000000000002</v>
      </c>
      <c r="C513">
        <v>3.6739999999999999</v>
      </c>
      <c r="D513">
        <v>3.2050000000000001</v>
      </c>
      <c r="E513">
        <v>3.6539999999999999</v>
      </c>
      <c r="F513">
        <v>688910.15300000005</v>
      </c>
      <c r="G513">
        <v>0</v>
      </c>
      <c r="L513" t="s">
        <v>8</v>
      </c>
      <c r="M513" t="s">
        <v>7</v>
      </c>
      <c r="N513" t="s">
        <v>8</v>
      </c>
      <c r="P513">
        <f t="shared" si="979"/>
        <v>0.91471215351812352</v>
      </c>
      <c r="Q513">
        <f t="shared" si="980"/>
        <v>630154.48963113001</v>
      </c>
      <c r="R513">
        <f t="shared" si="981"/>
        <v>11574071.225147478</v>
      </c>
      <c r="S513">
        <f t="shared" si="982"/>
        <v>115.74071225147479</v>
      </c>
      <c r="T513">
        <f t="shared" si="983"/>
        <v>0.11574071225147479</v>
      </c>
    </row>
    <row r="514" spans="1:20" x14ac:dyDescent="0.25">
      <c r="A514" s="5">
        <v>44079</v>
      </c>
      <c r="B514">
        <v>3.6560000000000001</v>
      </c>
      <c r="C514">
        <v>3.71</v>
      </c>
      <c r="D514">
        <v>3.1680000000000001</v>
      </c>
      <c r="E514">
        <v>3.3330000000000002</v>
      </c>
      <c r="F514">
        <v>620540.36100000003</v>
      </c>
      <c r="G514">
        <v>0</v>
      </c>
      <c r="L514" t="s">
        <v>7</v>
      </c>
      <c r="M514" t="s">
        <v>7</v>
      </c>
      <c r="N514" t="s">
        <v>8</v>
      </c>
      <c r="P514">
        <f t="shared" si="979"/>
        <v>-0.39114391143911403</v>
      </c>
      <c r="Q514">
        <f t="shared" si="980"/>
        <v>-242720.58400737986</v>
      </c>
      <c r="R514">
        <f t="shared" si="981"/>
        <v>10943916.735516349</v>
      </c>
      <c r="S514">
        <f t="shared" si="982"/>
        <v>109.43916735516349</v>
      </c>
      <c r="T514">
        <f t="shared" si="983"/>
        <v>0.10943916735516349</v>
      </c>
    </row>
    <row r="515" spans="1:20" x14ac:dyDescent="0.25">
      <c r="A515" s="5">
        <v>44078</v>
      </c>
      <c r="B515">
        <v>3.613</v>
      </c>
      <c r="C515">
        <v>3.8479999999999999</v>
      </c>
      <c r="D515">
        <v>3.4039999999999999</v>
      </c>
      <c r="E515">
        <v>3.6549999999999998</v>
      </c>
      <c r="F515">
        <v>861929.66599999997</v>
      </c>
      <c r="G515">
        <v>0</v>
      </c>
      <c r="L515" t="s">
        <v>7</v>
      </c>
      <c r="M515" t="s">
        <v>7</v>
      </c>
      <c r="N515" t="s">
        <v>8</v>
      </c>
      <c r="P515">
        <f t="shared" si="979"/>
        <v>0.13063063063063027</v>
      </c>
      <c r="Q515">
        <f t="shared" si="980"/>
        <v>112594.41582882851</v>
      </c>
      <c r="R515">
        <f t="shared" si="981"/>
        <v>11186637.319523729</v>
      </c>
      <c r="S515">
        <f t="shared" si="982"/>
        <v>111.86637319523729</v>
      </c>
      <c r="T515">
        <f t="shared" si="983"/>
        <v>0.11186637319523729</v>
      </c>
    </row>
    <row r="516" spans="1:20" x14ac:dyDescent="0.25">
      <c r="A516" s="5">
        <v>44077</v>
      </c>
      <c r="B516">
        <v>4.2439999999999998</v>
      </c>
      <c r="C516">
        <v>4.3099999999999996</v>
      </c>
      <c r="D516">
        <v>3.5409999999999999</v>
      </c>
      <c r="E516">
        <v>3.6150000000000002</v>
      </c>
      <c r="F516">
        <v>979090.28899999999</v>
      </c>
      <c r="G516">
        <v>0</v>
      </c>
      <c r="L516" t="s">
        <v>7</v>
      </c>
      <c r="M516" t="s">
        <v>7</v>
      </c>
      <c r="N516" t="s">
        <v>8</v>
      </c>
      <c r="P516">
        <f t="shared" si="979"/>
        <v>-0.8075422626788028</v>
      </c>
      <c r="Q516">
        <f t="shared" si="980"/>
        <v>-790656.78734590299</v>
      </c>
      <c r="R516">
        <f t="shared" si="981"/>
        <v>11074042.903694902</v>
      </c>
      <c r="S516">
        <f t="shared" si="982"/>
        <v>110.74042903694901</v>
      </c>
      <c r="T516">
        <f t="shared" si="983"/>
        <v>0.11074042903694901</v>
      </c>
    </row>
    <row r="517" spans="1:20" x14ac:dyDescent="0.25">
      <c r="A517" s="5">
        <v>44076</v>
      </c>
      <c r="B517">
        <v>4.4800000000000004</v>
      </c>
      <c r="C517">
        <v>4.5019999999999998</v>
      </c>
      <c r="D517">
        <v>4</v>
      </c>
      <c r="E517">
        <v>4.2389999999999999</v>
      </c>
      <c r="F517">
        <v>723095.26100000006</v>
      </c>
      <c r="G517">
        <v>0</v>
      </c>
      <c r="L517" t="s">
        <v>7</v>
      </c>
      <c r="M517" t="s">
        <v>8</v>
      </c>
      <c r="N517" t="s">
        <v>8</v>
      </c>
      <c r="P517">
        <f t="shared" si="979"/>
        <v>-4.7808764940239105E-2</v>
      </c>
      <c r="Q517">
        <f t="shared" si="980"/>
        <v>-34570.291362549848</v>
      </c>
      <c r="R517">
        <f t="shared" si="981"/>
        <v>11864699.691040805</v>
      </c>
      <c r="S517">
        <f t="shared" si="982"/>
        <v>118.64699691040805</v>
      </c>
      <c r="T517">
        <f t="shared" si="983"/>
        <v>0.11864699691040805</v>
      </c>
    </row>
    <row r="518" spans="1:20" x14ac:dyDescent="0.25">
      <c r="A518" s="5">
        <v>44075</v>
      </c>
      <c r="B518">
        <v>4.2080000000000002</v>
      </c>
      <c r="C518">
        <v>4.5190000000000001</v>
      </c>
      <c r="D518">
        <v>4.16</v>
      </c>
      <c r="E518">
        <v>4.4790000000000001</v>
      </c>
      <c r="F518">
        <v>1035466.446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0.77715877437325886</v>
      </c>
      <c r="Q518">
        <f t="shared" ref="Q518:Q581" si="985">F518*P518</f>
        <v>804721.83407799422</v>
      </c>
      <c r="R518">
        <f t="shared" ref="R518:R581" si="986">R519+Q518</f>
        <v>11899269.982403355</v>
      </c>
      <c r="S518">
        <f t="shared" ref="S518:S581" si="987">R518/100000</f>
        <v>118.99269982403355</v>
      </c>
      <c r="T518">
        <f t="shared" ref="T518:T581" si="988">S518/1000</f>
        <v>0.11899269982403356</v>
      </c>
    </row>
    <row r="519" spans="1:20" x14ac:dyDescent="0.25">
      <c r="A519" s="5">
        <v>44074</v>
      </c>
      <c r="B519">
        <v>4.2089999999999996</v>
      </c>
      <c r="C519">
        <v>4.2370000000000001</v>
      </c>
      <c r="D519">
        <v>4.0949999999999998</v>
      </c>
      <c r="E519">
        <v>4.2080000000000002</v>
      </c>
      <c r="F519">
        <v>959933.94700000004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0.5915492957746501</v>
      </c>
      <c r="Q519">
        <f t="shared" si="985"/>
        <v>567848.25033803028</v>
      </c>
      <c r="R519">
        <f t="shared" si="986"/>
        <v>11094548.148325361</v>
      </c>
      <c r="S519">
        <f t="shared" si="987"/>
        <v>110.94548148325362</v>
      </c>
      <c r="T519">
        <f t="shared" si="988"/>
        <v>0.11094548148325362</v>
      </c>
    </row>
    <row r="520" spans="1:20" x14ac:dyDescent="0.25">
      <c r="A520" s="5">
        <v>44073</v>
      </c>
      <c r="B520">
        <v>3.964</v>
      </c>
      <c r="C520">
        <v>4.2140000000000004</v>
      </c>
      <c r="D520">
        <v>3.9609999999999999</v>
      </c>
      <c r="E520">
        <v>4.2089999999999996</v>
      </c>
      <c r="F520">
        <v>669750.52099999995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0.96047430830038916</v>
      </c>
      <c r="Q520">
        <f t="shared" si="985"/>
        <v>643278.16839130025</v>
      </c>
      <c r="R520">
        <f t="shared" si="986"/>
        <v>10526699.89798733</v>
      </c>
      <c r="S520">
        <f t="shared" si="987"/>
        <v>105.26699897987331</v>
      </c>
      <c r="T520">
        <f t="shared" si="988"/>
        <v>0.10526699897987331</v>
      </c>
    </row>
    <row r="521" spans="1:20" x14ac:dyDescent="0.25">
      <c r="A521" s="5">
        <v>44072</v>
      </c>
      <c r="B521">
        <v>3.8119999999999998</v>
      </c>
      <c r="C521">
        <v>4.01</v>
      </c>
      <c r="D521">
        <v>3.778</v>
      </c>
      <c r="E521">
        <v>3.9630000000000001</v>
      </c>
      <c r="F521">
        <v>504676.23599999998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0.59482758620689868</v>
      </c>
      <c r="Q521">
        <f t="shared" si="985"/>
        <v>300195.34727586311</v>
      </c>
      <c r="R521">
        <f t="shared" si="986"/>
        <v>9883421.72959603</v>
      </c>
      <c r="S521">
        <f t="shared" si="987"/>
        <v>98.8342172959603</v>
      </c>
      <c r="T521">
        <f t="shared" si="988"/>
        <v>9.88342172959603E-2</v>
      </c>
    </row>
    <row r="522" spans="1:20" x14ac:dyDescent="0.25">
      <c r="A522" s="5">
        <v>44071</v>
      </c>
      <c r="B522">
        <v>3.5830000000000002</v>
      </c>
      <c r="C522">
        <v>3.8140000000000001</v>
      </c>
      <c r="D522">
        <v>3.56</v>
      </c>
      <c r="E522">
        <v>3.8109999999999999</v>
      </c>
      <c r="F522">
        <v>635871.54500000004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0.97637795275590467</v>
      </c>
      <c r="Q522">
        <f t="shared" si="985"/>
        <v>620850.95732283418</v>
      </c>
      <c r="R522">
        <f t="shared" si="986"/>
        <v>9583226.3823201675</v>
      </c>
      <c r="S522">
        <f t="shared" si="987"/>
        <v>95.832263823201671</v>
      </c>
      <c r="T522">
        <f t="shared" si="988"/>
        <v>9.5832263823201674E-2</v>
      </c>
    </row>
    <row r="523" spans="1:20" x14ac:dyDescent="0.25">
      <c r="A523" s="5">
        <v>44070</v>
      </c>
      <c r="B523">
        <v>3.6190000000000002</v>
      </c>
      <c r="C523">
        <v>3.69</v>
      </c>
      <c r="D523">
        <v>3.48</v>
      </c>
      <c r="E523">
        <v>3.5830000000000002</v>
      </c>
      <c r="F523">
        <v>516226.02899999998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-1.9047619047616954E-2</v>
      </c>
      <c r="Q523">
        <f t="shared" si="985"/>
        <v>-9832.8767428560623</v>
      </c>
      <c r="R523">
        <f t="shared" si="986"/>
        <v>8962375.4249973334</v>
      </c>
      <c r="S523">
        <f t="shared" si="987"/>
        <v>89.623754249973331</v>
      </c>
      <c r="T523">
        <f t="shared" si="988"/>
        <v>8.9623754249973334E-2</v>
      </c>
    </row>
    <row r="524" spans="1:20" x14ac:dyDescent="0.25">
      <c r="A524" s="5">
        <v>44069</v>
      </c>
      <c r="B524">
        <v>3.4769999999999999</v>
      </c>
      <c r="C524">
        <v>3.67</v>
      </c>
      <c r="D524">
        <v>3.4569999999999999</v>
      </c>
      <c r="E524">
        <v>3.621</v>
      </c>
      <c r="F524">
        <v>717658.65899999999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0.53990610328638577</v>
      </c>
      <c r="Q524">
        <f t="shared" si="985"/>
        <v>387468.2900704231</v>
      </c>
      <c r="R524">
        <f t="shared" si="986"/>
        <v>8972208.30174019</v>
      </c>
      <c r="S524">
        <f t="shared" si="987"/>
        <v>89.7220830174019</v>
      </c>
      <c r="T524">
        <f t="shared" si="988"/>
        <v>8.9722083017401894E-2</v>
      </c>
    </row>
    <row r="525" spans="1:20" x14ac:dyDescent="0.25">
      <c r="A525" s="5">
        <v>44068</v>
      </c>
      <c r="B525">
        <v>3.4750000000000001</v>
      </c>
      <c r="C525">
        <v>3.5129999999999999</v>
      </c>
      <c r="D525">
        <v>3.306</v>
      </c>
      <c r="E525">
        <v>3.4769999999999999</v>
      </c>
      <c r="F525">
        <v>409956.73</v>
      </c>
      <c r="G525">
        <v>0</v>
      </c>
      <c r="L525" t="s">
        <v>8</v>
      </c>
      <c r="M525" t="s">
        <v>8</v>
      </c>
      <c r="N525" t="s">
        <v>8</v>
      </c>
      <c r="P525">
        <f t="shared" si="984"/>
        <v>0.65217391304347772</v>
      </c>
      <c r="Q525">
        <f t="shared" si="985"/>
        <v>267363.08478260844</v>
      </c>
      <c r="R525">
        <f t="shared" si="986"/>
        <v>8584740.0116697662</v>
      </c>
      <c r="S525">
        <f t="shared" si="987"/>
        <v>85.847400116697656</v>
      </c>
      <c r="T525">
        <f t="shared" si="988"/>
        <v>8.5847400116697656E-2</v>
      </c>
    </row>
    <row r="526" spans="1:20" x14ac:dyDescent="0.25">
      <c r="A526" s="5">
        <v>44067</v>
      </c>
      <c r="B526">
        <v>3.3740000000000001</v>
      </c>
      <c r="C526">
        <v>3.4769999999999999</v>
      </c>
      <c r="D526">
        <v>3.35</v>
      </c>
      <c r="E526">
        <v>3.4769999999999999</v>
      </c>
      <c r="F526">
        <v>226913.32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1</v>
      </c>
      <c r="Q526">
        <f t="shared" si="985"/>
        <v>226913.32</v>
      </c>
      <c r="R526">
        <f t="shared" si="986"/>
        <v>8317376.9268871574</v>
      </c>
      <c r="S526">
        <f t="shared" si="987"/>
        <v>83.173769268871567</v>
      </c>
      <c r="T526">
        <f t="shared" si="988"/>
        <v>8.3173769268871572E-2</v>
      </c>
    </row>
    <row r="527" spans="1:20" x14ac:dyDescent="0.25">
      <c r="A527" s="5">
        <v>44066</v>
      </c>
      <c r="B527">
        <v>3.3450000000000002</v>
      </c>
      <c r="C527">
        <v>3.3980000000000001</v>
      </c>
      <c r="D527">
        <v>3.2730000000000001</v>
      </c>
      <c r="E527">
        <v>3.371</v>
      </c>
      <c r="F527">
        <v>174115.05</v>
      </c>
      <c r="G527">
        <v>0</v>
      </c>
      <c r="L527" t="s">
        <v>7</v>
      </c>
      <c r="M527" t="s">
        <v>8</v>
      </c>
      <c r="N527" t="s">
        <v>8</v>
      </c>
      <c r="P527">
        <f t="shared" si="984"/>
        <v>0.56799999999999784</v>
      </c>
      <c r="Q527">
        <f t="shared" si="985"/>
        <v>98897.348399999624</v>
      </c>
      <c r="R527">
        <f t="shared" si="986"/>
        <v>8090463.6068871571</v>
      </c>
      <c r="S527">
        <f t="shared" si="987"/>
        <v>80.904636068871568</v>
      </c>
      <c r="T527">
        <f t="shared" si="988"/>
        <v>8.0904636068871563E-2</v>
      </c>
    </row>
    <row r="528" spans="1:20" x14ac:dyDescent="0.25">
      <c r="A528" s="5">
        <v>44065</v>
      </c>
      <c r="B528">
        <v>3.27</v>
      </c>
      <c r="C528">
        <v>3.3530000000000002</v>
      </c>
      <c r="D528">
        <v>3.2050000000000001</v>
      </c>
      <c r="E528">
        <v>3.3460000000000001</v>
      </c>
      <c r="F528">
        <v>128139.13499999999</v>
      </c>
      <c r="G528">
        <v>0</v>
      </c>
      <c r="L528" t="s">
        <v>7</v>
      </c>
      <c r="M528" t="s">
        <v>8</v>
      </c>
      <c r="N528" t="s">
        <v>8</v>
      </c>
      <c r="P528">
        <f t="shared" si="984"/>
        <v>0.90540540540540393</v>
      </c>
      <c r="Q528">
        <f t="shared" si="985"/>
        <v>116017.86547297279</v>
      </c>
      <c r="R528">
        <f t="shared" si="986"/>
        <v>7991566.2584871575</v>
      </c>
      <c r="S528">
        <f t="shared" si="987"/>
        <v>79.915662584871569</v>
      </c>
      <c r="T528">
        <f t="shared" si="988"/>
        <v>7.9915662584871566E-2</v>
      </c>
    </row>
    <row r="529" spans="1:20" x14ac:dyDescent="0.25">
      <c r="A529" s="5">
        <v>44064</v>
      </c>
      <c r="B529">
        <v>3.4470000000000001</v>
      </c>
      <c r="C529">
        <v>3.4529999999999998</v>
      </c>
      <c r="D529">
        <v>3.26</v>
      </c>
      <c r="E529">
        <v>3.2679999999999998</v>
      </c>
      <c r="F529">
        <v>229630.00200000001</v>
      </c>
      <c r="G529">
        <v>0</v>
      </c>
      <c r="L529" t="s">
        <v>7</v>
      </c>
      <c r="M529" t="s">
        <v>8</v>
      </c>
      <c r="N529" t="s">
        <v>8</v>
      </c>
      <c r="P529">
        <f t="shared" si="984"/>
        <v>-0.91709844559585485</v>
      </c>
      <c r="Q529">
        <f t="shared" si="985"/>
        <v>-210593.31789637305</v>
      </c>
      <c r="R529">
        <f t="shared" si="986"/>
        <v>7875548.3930141851</v>
      </c>
      <c r="S529">
        <f t="shared" si="987"/>
        <v>78.75548393014185</v>
      </c>
      <c r="T529">
        <f t="shared" si="988"/>
        <v>7.8755483930141854E-2</v>
      </c>
    </row>
    <row r="530" spans="1:20" x14ac:dyDescent="0.25">
      <c r="A530" s="5">
        <v>44063</v>
      </c>
      <c r="B530">
        <v>3.3410000000000002</v>
      </c>
      <c r="C530">
        <v>3.4620000000000002</v>
      </c>
      <c r="D530">
        <v>3.331</v>
      </c>
      <c r="E530">
        <v>3.4470000000000001</v>
      </c>
      <c r="F530">
        <v>160828.57</v>
      </c>
      <c r="G530">
        <v>0</v>
      </c>
      <c r="L530" t="s">
        <v>7</v>
      </c>
      <c r="M530" t="s">
        <v>8</v>
      </c>
      <c r="N530" t="s">
        <v>8</v>
      </c>
      <c r="P530">
        <f t="shared" si="984"/>
        <v>0.77099236641221225</v>
      </c>
      <c r="Q530">
        <f t="shared" si="985"/>
        <v>123997.59977099214</v>
      </c>
      <c r="R530">
        <f t="shared" si="986"/>
        <v>8086141.7109105578</v>
      </c>
      <c r="S530">
        <f t="shared" si="987"/>
        <v>80.861417109105574</v>
      </c>
      <c r="T530">
        <f t="shared" si="988"/>
        <v>8.0861417109105577E-2</v>
      </c>
    </row>
    <row r="531" spans="1:20" x14ac:dyDescent="0.25">
      <c r="A531" s="5">
        <v>44062</v>
      </c>
      <c r="B531">
        <v>3.5009999999999999</v>
      </c>
      <c r="C531">
        <v>3.5249999999999999</v>
      </c>
      <c r="D531">
        <v>3.2690000000000001</v>
      </c>
      <c r="E531">
        <v>3.3410000000000002</v>
      </c>
      <c r="F531">
        <v>290945.42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-0.437499999999999</v>
      </c>
      <c r="Q531">
        <f t="shared" si="985"/>
        <v>-127288.62124999971</v>
      </c>
      <c r="R531">
        <f t="shared" si="986"/>
        <v>7962144.1111395657</v>
      </c>
      <c r="S531">
        <f t="shared" si="987"/>
        <v>79.621441111395654</v>
      </c>
      <c r="T531">
        <f t="shared" si="988"/>
        <v>7.9621441111395658E-2</v>
      </c>
    </row>
    <row r="532" spans="1:20" x14ac:dyDescent="0.25">
      <c r="A532" s="5">
        <v>44061</v>
      </c>
      <c r="B532">
        <v>3.528</v>
      </c>
      <c r="C532">
        <v>3.5870000000000002</v>
      </c>
      <c r="D532">
        <v>3.44</v>
      </c>
      <c r="E532">
        <v>3.5009999999999999</v>
      </c>
      <c r="F532">
        <v>248006.011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-0.17006802721088649</v>
      </c>
      <c r="Q532">
        <f t="shared" si="985"/>
        <v>-42177.893027211416</v>
      </c>
      <c r="R532">
        <f t="shared" si="986"/>
        <v>8089432.7323895656</v>
      </c>
      <c r="S532">
        <f t="shared" si="987"/>
        <v>80.894327323895652</v>
      </c>
      <c r="T532">
        <f t="shared" si="988"/>
        <v>8.0894327323895648E-2</v>
      </c>
    </row>
    <row r="533" spans="1:20" x14ac:dyDescent="0.25">
      <c r="A533" s="5">
        <v>44060</v>
      </c>
      <c r="B533">
        <v>3.4550000000000001</v>
      </c>
      <c r="C533">
        <v>3.621</v>
      </c>
      <c r="D533">
        <v>3.3879999999999999</v>
      </c>
      <c r="E533">
        <v>3.528</v>
      </c>
      <c r="F533">
        <v>645886.179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0.20171673819742547</v>
      </c>
      <c r="Q533">
        <f t="shared" si="985"/>
        <v>130286.05327467849</v>
      </c>
      <c r="R533">
        <f t="shared" si="986"/>
        <v>8131610.6254167771</v>
      </c>
      <c r="S533">
        <f t="shared" si="987"/>
        <v>81.316106254167778</v>
      </c>
      <c r="T533">
        <f t="shared" si="988"/>
        <v>8.1316106254167783E-2</v>
      </c>
    </row>
    <row r="534" spans="1:20" x14ac:dyDescent="0.25">
      <c r="A534" s="5">
        <v>44059</v>
      </c>
      <c r="B534">
        <v>3.4449999999999998</v>
      </c>
      <c r="C534">
        <v>3.4580000000000002</v>
      </c>
      <c r="D534">
        <v>3.33</v>
      </c>
      <c r="E534">
        <v>3.4489999999999998</v>
      </c>
      <c r="F534">
        <v>154780.73199999999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0.85937499999999478</v>
      </c>
      <c r="Q534">
        <f t="shared" si="985"/>
        <v>133014.69156249918</v>
      </c>
      <c r="R534">
        <f t="shared" si="986"/>
        <v>8001324.572142099</v>
      </c>
      <c r="S534">
        <f t="shared" si="987"/>
        <v>80.013245721420986</v>
      </c>
      <c r="T534">
        <f t="shared" si="988"/>
        <v>8.0013245721420989E-2</v>
      </c>
    </row>
    <row r="535" spans="1:20" x14ac:dyDescent="0.25">
      <c r="A535" s="5">
        <v>44058</v>
      </c>
      <c r="B535">
        <v>3.5089999999999999</v>
      </c>
      <c r="C535">
        <v>3.5649999999999999</v>
      </c>
      <c r="D535">
        <v>3.411</v>
      </c>
      <c r="E535">
        <v>3.45</v>
      </c>
      <c r="F535">
        <v>394934.86700000003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-0.49350649350649134</v>
      </c>
      <c r="Q535">
        <f t="shared" si="985"/>
        <v>-194902.92137662254</v>
      </c>
      <c r="R535">
        <f t="shared" si="986"/>
        <v>7868309.8805796001</v>
      </c>
      <c r="S535">
        <f t="shared" si="987"/>
        <v>78.683098805796007</v>
      </c>
      <c r="T535">
        <f t="shared" si="988"/>
        <v>7.8683098805796006E-2</v>
      </c>
    </row>
    <row r="536" spans="1:20" x14ac:dyDescent="0.25">
      <c r="A536" s="5">
        <v>44057</v>
      </c>
      <c r="B536">
        <v>3.4580000000000002</v>
      </c>
      <c r="C536">
        <v>3.544</v>
      </c>
      <c r="D536">
        <v>3.41</v>
      </c>
      <c r="E536">
        <v>3.5070000000000001</v>
      </c>
      <c r="F536">
        <v>286790.09899999999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0.44776119402985148</v>
      </c>
      <c r="Q536">
        <f t="shared" si="985"/>
        <v>128413.4771641793</v>
      </c>
      <c r="R536">
        <f t="shared" si="986"/>
        <v>8063212.8019562224</v>
      </c>
      <c r="S536">
        <f t="shared" si="987"/>
        <v>80.632128019562231</v>
      </c>
      <c r="T536">
        <f t="shared" si="988"/>
        <v>8.0632128019562224E-2</v>
      </c>
    </row>
    <row r="537" spans="1:20" x14ac:dyDescent="0.25">
      <c r="A537" s="5">
        <v>44056</v>
      </c>
      <c r="B537">
        <v>3.355</v>
      </c>
      <c r="C537">
        <v>3.4670000000000001</v>
      </c>
      <c r="D537">
        <v>3.2250000000000001</v>
      </c>
      <c r="E537">
        <v>3.456</v>
      </c>
      <c r="F537">
        <v>452872.55099999998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0.90909090909090806</v>
      </c>
      <c r="Q537">
        <f t="shared" si="985"/>
        <v>411702.31909090863</v>
      </c>
      <c r="R537">
        <f t="shared" si="986"/>
        <v>7934799.3247920433</v>
      </c>
      <c r="S537">
        <f t="shared" si="987"/>
        <v>79.347993247920428</v>
      </c>
      <c r="T537">
        <f t="shared" si="988"/>
        <v>7.9347993247920426E-2</v>
      </c>
    </row>
    <row r="538" spans="1:20" x14ac:dyDescent="0.25">
      <c r="A538" s="5">
        <v>44055</v>
      </c>
      <c r="B538">
        <v>3.31</v>
      </c>
      <c r="C538">
        <v>3.3820000000000001</v>
      </c>
      <c r="D538">
        <v>3.206</v>
      </c>
      <c r="E538">
        <v>3.355</v>
      </c>
      <c r="F538">
        <v>461356.29800000001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0.6931818181818169</v>
      </c>
      <c r="Q538">
        <f t="shared" si="985"/>
        <v>319803.79747727216</v>
      </c>
      <c r="R538">
        <f t="shared" si="986"/>
        <v>7523097.0057011349</v>
      </c>
      <c r="S538">
        <f t="shared" si="987"/>
        <v>75.230970057011348</v>
      </c>
      <c r="T538">
        <f t="shared" si="988"/>
        <v>7.5230970057011348E-2</v>
      </c>
    </row>
    <row r="539" spans="1:20" x14ac:dyDescent="0.25">
      <c r="A539" s="5">
        <v>44054</v>
      </c>
      <c r="B539">
        <v>3.508</v>
      </c>
      <c r="C539">
        <v>3.528</v>
      </c>
      <c r="D539">
        <v>3.2450000000000001</v>
      </c>
      <c r="E539">
        <v>3.31</v>
      </c>
      <c r="F539">
        <v>393389.783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-0.54063604240282714</v>
      </c>
      <c r="Q539">
        <f t="shared" si="985"/>
        <v>-212680.69540282697</v>
      </c>
      <c r="R539">
        <f t="shared" si="986"/>
        <v>7203293.2082238626</v>
      </c>
      <c r="S539">
        <f t="shared" si="987"/>
        <v>72.032932082238631</v>
      </c>
      <c r="T539">
        <f t="shared" si="988"/>
        <v>7.2032932082238627E-2</v>
      </c>
    </row>
    <row r="540" spans="1:20" x14ac:dyDescent="0.25">
      <c r="A540" s="5">
        <v>44053</v>
      </c>
      <c r="B540">
        <v>3.448</v>
      </c>
      <c r="C540">
        <v>3.536</v>
      </c>
      <c r="D540">
        <v>3.4</v>
      </c>
      <c r="E540">
        <v>3.508</v>
      </c>
      <c r="F540">
        <v>147032.73699999999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0.58823529411764708</v>
      </c>
      <c r="Q540">
        <f t="shared" si="985"/>
        <v>86489.845294117651</v>
      </c>
      <c r="R540">
        <f t="shared" si="986"/>
        <v>7415973.9036266897</v>
      </c>
      <c r="S540">
        <f t="shared" si="987"/>
        <v>74.159739036266899</v>
      </c>
      <c r="T540">
        <f t="shared" si="988"/>
        <v>7.4159739036266895E-2</v>
      </c>
    </row>
    <row r="541" spans="1:20" x14ac:dyDescent="0.25">
      <c r="A541" s="5">
        <v>44052</v>
      </c>
      <c r="B541">
        <v>3.5</v>
      </c>
      <c r="C541">
        <v>3.5089999999999999</v>
      </c>
      <c r="D541">
        <v>3.4049999999999998</v>
      </c>
      <c r="E541">
        <v>3.45</v>
      </c>
      <c r="F541">
        <v>125635.064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-0.1346153846153782</v>
      </c>
      <c r="Q541">
        <f t="shared" si="985"/>
        <v>-16912.412461537657</v>
      </c>
      <c r="R541">
        <f t="shared" si="986"/>
        <v>7329484.0583325718</v>
      </c>
      <c r="S541">
        <f t="shared" si="987"/>
        <v>73.294840583325723</v>
      </c>
      <c r="T541">
        <f t="shared" si="988"/>
        <v>7.3294840583325721E-2</v>
      </c>
    </row>
    <row r="542" spans="1:20" x14ac:dyDescent="0.25">
      <c r="A542" s="5">
        <v>44051</v>
      </c>
      <c r="B542">
        <v>3.4260000000000002</v>
      </c>
      <c r="C542">
        <v>3.5</v>
      </c>
      <c r="D542">
        <v>3.3849999999999998</v>
      </c>
      <c r="E542">
        <v>3.5</v>
      </c>
      <c r="F542">
        <v>144278.28700000001</v>
      </c>
      <c r="G542">
        <v>0</v>
      </c>
      <c r="L542" t="s">
        <v>7</v>
      </c>
      <c r="M542" t="s">
        <v>8</v>
      </c>
      <c r="N542" t="s">
        <v>8</v>
      </c>
      <c r="P542">
        <f t="shared" si="984"/>
        <v>1</v>
      </c>
      <c r="Q542">
        <f t="shared" si="985"/>
        <v>144278.28700000001</v>
      </c>
      <c r="R542">
        <f t="shared" si="986"/>
        <v>7346396.4707941096</v>
      </c>
      <c r="S542">
        <f t="shared" si="987"/>
        <v>73.463964707941102</v>
      </c>
      <c r="T542">
        <f t="shared" si="988"/>
        <v>7.3463964707941101E-2</v>
      </c>
    </row>
    <row r="543" spans="1:20" x14ac:dyDescent="0.25">
      <c r="A543" s="5">
        <v>44050</v>
      </c>
      <c r="B543">
        <v>3.5289999999999999</v>
      </c>
      <c r="C543">
        <v>3.661</v>
      </c>
      <c r="D543">
        <v>3.3290000000000002</v>
      </c>
      <c r="E543">
        <v>3.4249999999999998</v>
      </c>
      <c r="F543">
        <v>597113.94400000002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-0.42168674698795372</v>
      </c>
      <c r="Q543">
        <f t="shared" si="985"/>
        <v>-251795.03662650718</v>
      </c>
      <c r="R543">
        <f t="shared" si="986"/>
        <v>7202118.1837941092</v>
      </c>
      <c r="S543">
        <f t="shared" si="987"/>
        <v>72.021181837941086</v>
      </c>
      <c r="T543">
        <f t="shared" si="988"/>
        <v>7.2021181837941081E-2</v>
      </c>
    </row>
    <row r="544" spans="1:20" x14ac:dyDescent="0.25">
      <c r="A544" s="5">
        <v>44049</v>
      </c>
      <c r="B544">
        <v>3.6030000000000002</v>
      </c>
      <c r="C544">
        <v>3.6179999999999999</v>
      </c>
      <c r="D544">
        <v>3.5</v>
      </c>
      <c r="E544">
        <v>3.5289999999999999</v>
      </c>
      <c r="F544">
        <v>303784.93199999997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-0.50847457627118742</v>
      </c>
      <c r="Q544">
        <f t="shared" si="985"/>
        <v>-154466.91457627146</v>
      </c>
      <c r="R544">
        <f t="shared" si="986"/>
        <v>7453913.2204206167</v>
      </c>
      <c r="S544">
        <f t="shared" si="987"/>
        <v>74.539132204206169</v>
      </c>
      <c r="T544">
        <f t="shared" si="988"/>
        <v>7.4539132204206174E-2</v>
      </c>
    </row>
    <row r="545" spans="1:20" x14ac:dyDescent="0.25">
      <c r="A545" s="5">
        <v>44048</v>
      </c>
      <c r="B545">
        <v>3.4769999999999999</v>
      </c>
      <c r="C545">
        <v>3.617</v>
      </c>
      <c r="D545">
        <v>3.43</v>
      </c>
      <c r="E545">
        <v>3.6070000000000002</v>
      </c>
      <c r="F545">
        <v>530309.91700000002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0.89304812834224823</v>
      </c>
      <c r="Q545">
        <f t="shared" si="985"/>
        <v>473592.278818183</v>
      </c>
      <c r="R545">
        <f t="shared" si="986"/>
        <v>7608380.1349968882</v>
      </c>
      <c r="S545">
        <f t="shared" si="987"/>
        <v>76.08380134996888</v>
      </c>
      <c r="T545">
        <f t="shared" si="988"/>
        <v>7.608380134996888E-2</v>
      </c>
    </row>
    <row r="546" spans="1:20" x14ac:dyDescent="0.25">
      <c r="A546" s="5">
        <v>44047</v>
      </c>
      <c r="B546">
        <v>3.544</v>
      </c>
      <c r="C546">
        <v>3.6320000000000001</v>
      </c>
      <c r="D546">
        <v>3.4089999999999998</v>
      </c>
      <c r="E546">
        <v>3.4769999999999999</v>
      </c>
      <c r="F546">
        <v>607809.86699999997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-0.39013452914798236</v>
      </c>
      <c r="Q546">
        <f t="shared" si="985"/>
        <v>-237127.61627354278</v>
      </c>
      <c r="R546">
        <f t="shared" si="986"/>
        <v>7134787.8561787056</v>
      </c>
      <c r="S546">
        <f t="shared" si="987"/>
        <v>71.347878561787056</v>
      </c>
      <c r="T546">
        <f t="shared" si="988"/>
        <v>7.1347878561787051E-2</v>
      </c>
    </row>
    <row r="547" spans="1:20" x14ac:dyDescent="0.25">
      <c r="A547" s="5">
        <v>44046</v>
      </c>
      <c r="B547">
        <v>3.3530000000000002</v>
      </c>
      <c r="C547">
        <v>3.5720000000000001</v>
      </c>
      <c r="D547">
        <v>3.302</v>
      </c>
      <c r="E547">
        <v>3.5459999999999998</v>
      </c>
      <c r="F547">
        <v>974492.33700000006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0.80740740740740558</v>
      </c>
      <c r="Q547">
        <f t="shared" si="985"/>
        <v>786812.33135555382</v>
      </c>
      <c r="R547">
        <f t="shared" si="986"/>
        <v>7371915.4724522484</v>
      </c>
      <c r="S547">
        <f t="shared" si="987"/>
        <v>73.719154724522483</v>
      </c>
      <c r="T547">
        <f t="shared" si="988"/>
        <v>7.3719154724522479E-2</v>
      </c>
    </row>
    <row r="548" spans="1:20" x14ac:dyDescent="0.25">
      <c r="A548" s="5">
        <v>44045</v>
      </c>
      <c r="B548">
        <v>3.4929999999999999</v>
      </c>
      <c r="C548">
        <v>3.7010000000000001</v>
      </c>
      <c r="D548">
        <v>3.2530000000000001</v>
      </c>
      <c r="E548">
        <v>3.351</v>
      </c>
      <c r="F548">
        <v>1220660.3799999999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-0.56250000000000056</v>
      </c>
      <c r="Q548">
        <f t="shared" si="985"/>
        <v>-686621.46375000058</v>
      </c>
      <c r="R548">
        <f t="shared" si="986"/>
        <v>6585103.1410966944</v>
      </c>
      <c r="S548">
        <f t="shared" si="987"/>
        <v>65.851031410966939</v>
      </c>
      <c r="T548">
        <f t="shared" si="988"/>
        <v>6.5851031410966945E-2</v>
      </c>
    </row>
    <row r="549" spans="1:20" x14ac:dyDescent="0.25">
      <c r="A549" s="5">
        <v>44044</v>
      </c>
      <c r="B549">
        <v>3.4169999999999998</v>
      </c>
      <c r="C549">
        <v>3.5</v>
      </c>
      <c r="D549">
        <v>3.39</v>
      </c>
      <c r="E549">
        <v>3.4929999999999999</v>
      </c>
      <c r="F549">
        <v>1085346.524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0.87272727272727046</v>
      </c>
      <c r="Q549">
        <f t="shared" si="985"/>
        <v>947211.511854543</v>
      </c>
      <c r="R549">
        <f t="shared" si="986"/>
        <v>7271724.6048466945</v>
      </c>
      <c r="S549">
        <f t="shared" si="987"/>
        <v>72.717246048466947</v>
      </c>
      <c r="T549">
        <f t="shared" si="988"/>
        <v>7.2717246048466952E-2</v>
      </c>
    </row>
    <row r="550" spans="1:20" x14ac:dyDescent="0.25">
      <c r="A550" s="5">
        <v>44043</v>
      </c>
      <c r="B550">
        <v>3.323</v>
      </c>
      <c r="C550">
        <v>3.4470000000000001</v>
      </c>
      <c r="D550">
        <v>3.2890000000000001</v>
      </c>
      <c r="E550">
        <v>3.4169999999999998</v>
      </c>
      <c r="F550">
        <v>763584.62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0.62025316455695867</v>
      </c>
      <c r="Q550">
        <f t="shared" si="985"/>
        <v>473615.77696202276</v>
      </c>
      <c r="R550">
        <f t="shared" si="986"/>
        <v>6324513.0929921512</v>
      </c>
      <c r="S550">
        <f t="shared" si="987"/>
        <v>63.245130929921508</v>
      </c>
      <c r="T550">
        <f t="shared" si="988"/>
        <v>6.3245130929921511E-2</v>
      </c>
    </row>
    <row r="551" spans="1:20" x14ac:dyDescent="0.25">
      <c r="A551" s="5">
        <v>44042</v>
      </c>
      <c r="B551">
        <v>3.3260000000000001</v>
      </c>
      <c r="C551">
        <v>3.3769999999999998</v>
      </c>
      <c r="D551">
        <v>3.2389999999999999</v>
      </c>
      <c r="E551">
        <v>3.323</v>
      </c>
      <c r="F551">
        <v>573410.40500000003</v>
      </c>
      <c r="G551">
        <v>0</v>
      </c>
      <c r="L551" t="s">
        <v>7</v>
      </c>
      <c r="M551" t="s">
        <v>8</v>
      </c>
      <c r="N551" t="s">
        <v>8</v>
      </c>
      <c r="P551">
        <f t="shared" si="984"/>
        <v>0.21739130434782805</v>
      </c>
      <c r="Q551">
        <f t="shared" si="985"/>
        <v>124654.43586956635</v>
      </c>
      <c r="R551">
        <f t="shared" si="986"/>
        <v>5850897.3160301289</v>
      </c>
      <c r="S551">
        <f t="shared" si="987"/>
        <v>58.508973160301288</v>
      </c>
      <c r="T551">
        <f t="shared" si="988"/>
        <v>5.8508973160301285E-2</v>
      </c>
    </row>
    <row r="552" spans="1:20" x14ac:dyDescent="0.25">
      <c r="A552" s="5">
        <v>44041</v>
      </c>
      <c r="B552">
        <v>3.3220000000000001</v>
      </c>
      <c r="C552">
        <v>3.3959999999999999</v>
      </c>
      <c r="D552">
        <v>3.2989999999999999</v>
      </c>
      <c r="E552">
        <v>3.3260000000000001</v>
      </c>
      <c r="F552">
        <v>599880.83299999998</v>
      </c>
      <c r="G552">
        <v>0</v>
      </c>
      <c r="L552" t="s">
        <v>7</v>
      </c>
      <c r="M552" t="s">
        <v>8</v>
      </c>
      <c r="N552" t="s">
        <v>8</v>
      </c>
      <c r="P552">
        <f t="shared" si="984"/>
        <v>-0.44329896907216204</v>
      </c>
      <c r="Q552">
        <f t="shared" si="985"/>
        <v>-265926.55483504978</v>
      </c>
      <c r="R552">
        <f t="shared" si="986"/>
        <v>5726242.8801605627</v>
      </c>
      <c r="S552">
        <f t="shared" si="987"/>
        <v>57.26242880160563</v>
      </c>
      <c r="T552">
        <f t="shared" si="988"/>
        <v>5.7262428801605633E-2</v>
      </c>
    </row>
    <row r="553" spans="1:20" x14ac:dyDescent="0.25">
      <c r="A553" s="5">
        <v>44040</v>
      </c>
      <c r="B553">
        <v>3.4249999999999998</v>
      </c>
      <c r="C553">
        <v>3.5</v>
      </c>
      <c r="D553">
        <v>3.2320000000000002</v>
      </c>
      <c r="E553">
        <v>3.3220000000000001</v>
      </c>
      <c r="F553">
        <v>1235750.2830000001</v>
      </c>
      <c r="G553">
        <v>0</v>
      </c>
      <c r="L553" t="s">
        <v>7</v>
      </c>
      <c r="M553" t="s">
        <v>8</v>
      </c>
      <c r="N553" t="s">
        <v>8</v>
      </c>
      <c r="P553">
        <f t="shared" si="984"/>
        <v>-0.32835820895522444</v>
      </c>
      <c r="Q553">
        <f t="shared" si="985"/>
        <v>-405768.74964179174</v>
      </c>
      <c r="R553">
        <f t="shared" si="986"/>
        <v>5992169.4349956121</v>
      </c>
      <c r="S553">
        <f t="shared" si="987"/>
        <v>59.92169434995612</v>
      </c>
      <c r="T553">
        <f t="shared" si="988"/>
        <v>5.9921694349956117E-2</v>
      </c>
    </row>
    <row r="554" spans="1:20" x14ac:dyDescent="0.25">
      <c r="A554" s="5">
        <v>44039</v>
      </c>
      <c r="B554">
        <v>3.1139999999999999</v>
      </c>
      <c r="C554">
        <v>3.4940000000000002</v>
      </c>
      <c r="D554">
        <v>3.1120000000000001</v>
      </c>
      <c r="E554">
        <v>3.4249999999999998</v>
      </c>
      <c r="F554">
        <v>2032971.1869999999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0.63874345549738021</v>
      </c>
      <c r="Q554">
        <f t="shared" si="985"/>
        <v>1298547.0409109907</v>
      </c>
      <c r="R554">
        <f t="shared" si="986"/>
        <v>6397938.184637404</v>
      </c>
      <c r="S554">
        <f t="shared" si="987"/>
        <v>63.979381846374039</v>
      </c>
      <c r="T554">
        <f t="shared" si="988"/>
        <v>6.3979381846374042E-2</v>
      </c>
    </row>
    <row r="555" spans="1:20" x14ac:dyDescent="0.25">
      <c r="A555" s="5">
        <v>44038</v>
      </c>
      <c r="B555">
        <v>3.0369999999999999</v>
      </c>
      <c r="C555">
        <v>3.145</v>
      </c>
      <c r="D555">
        <v>3.0089999999999999</v>
      </c>
      <c r="E555">
        <v>3.1190000000000002</v>
      </c>
      <c r="F555">
        <v>511250.53100000002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0.61764705882353266</v>
      </c>
      <c r="Q555">
        <f t="shared" si="985"/>
        <v>315772.38679411932</v>
      </c>
      <c r="R555">
        <f t="shared" si="986"/>
        <v>5099391.1437264131</v>
      </c>
      <c r="S555">
        <f t="shared" si="987"/>
        <v>50.993911437264131</v>
      </c>
      <c r="T555">
        <f t="shared" si="988"/>
        <v>5.0993911437264131E-2</v>
      </c>
    </row>
    <row r="556" spans="1:20" x14ac:dyDescent="0.25">
      <c r="A556" s="5">
        <v>44037</v>
      </c>
      <c r="B556">
        <v>2.9780000000000002</v>
      </c>
      <c r="C556">
        <v>3.0550000000000002</v>
      </c>
      <c r="D556">
        <v>2.9590000000000001</v>
      </c>
      <c r="E556">
        <v>3.0379999999999998</v>
      </c>
      <c r="F556">
        <v>721395.40899999999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0.64583333333332638</v>
      </c>
      <c r="Q556">
        <f t="shared" si="985"/>
        <v>465901.20164582832</v>
      </c>
      <c r="R556">
        <f t="shared" si="986"/>
        <v>4783618.756932294</v>
      </c>
      <c r="S556">
        <f t="shared" si="987"/>
        <v>47.836187569322938</v>
      </c>
      <c r="T556">
        <f t="shared" si="988"/>
        <v>4.7836187569322938E-2</v>
      </c>
    </row>
    <row r="557" spans="1:20" x14ac:dyDescent="0.25">
      <c r="A557" s="5">
        <v>44036</v>
      </c>
      <c r="B557">
        <v>3.0059999999999998</v>
      </c>
      <c r="C557">
        <v>3.03</v>
      </c>
      <c r="D557">
        <v>2.9289999999999998</v>
      </c>
      <c r="E557">
        <v>2.9780000000000002</v>
      </c>
      <c r="F557">
        <v>357395.071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-2.9702970297022041E-2</v>
      </c>
      <c r="Q557">
        <f t="shared" si="985"/>
        <v>-10615.695178215083</v>
      </c>
      <c r="R557">
        <f t="shared" si="986"/>
        <v>4317717.5552864652</v>
      </c>
      <c r="S557">
        <f t="shared" si="987"/>
        <v>43.177175552864654</v>
      </c>
      <c r="T557">
        <f t="shared" si="988"/>
        <v>4.3177175552864655E-2</v>
      </c>
    </row>
    <row r="558" spans="1:20" x14ac:dyDescent="0.25">
      <c r="A558" s="5">
        <v>44035</v>
      </c>
      <c r="B558">
        <v>3.0019999999999998</v>
      </c>
      <c r="C558">
        <v>3.0470000000000002</v>
      </c>
      <c r="D558">
        <v>2.9590000000000001</v>
      </c>
      <c r="E558">
        <v>3.0059999999999998</v>
      </c>
      <c r="F558">
        <v>543325.321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6.8181818181810613E-2</v>
      </c>
      <c r="Q558">
        <f t="shared" si="985"/>
        <v>37044.908249995889</v>
      </c>
      <c r="R558">
        <f t="shared" si="986"/>
        <v>4328333.2504646806</v>
      </c>
      <c r="S558">
        <f t="shared" si="987"/>
        <v>43.283332504646808</v>
      </c>
      <c r="T558">
        <f t="shared" si="988"/>
        <v>4.3283332504646804E-2</v>
      </c>
    </row>
    <row r="559" spans="1:20" x14ac:dyDescent="0.25">
      <c r="A559" s="5">
        <v>44034</v>
      </c>
      <c r="B559">
        <v>2.98</v>
      </c>
      <c r="C559">
        <v>3.0390000000000001</v>
      </c>
      <c r="D559">
        <v>2.9260000000000002</v>
      </c>
      <c r="E559">
        <v>2.9969999999999999</v>
      </c>
      <c r="F559">
        <v>205806.52</v>
      </c>
      <c r="G559">
        <v>0</v>
      </c>
      <c r="L559" t="s">
        <v>7</v>
      </c>
      <c r="M559" t="s">
        <v>8</v>
      </c>
      <c r="N559" t="s">
        <v>8</v>
      </c>
      <c r="P559">
        <f t="shared" si="984"/>
        <v>0.25663716814158827</v>
      </c>
      <c r="Q559">
        <f t="shared" si="985"/>
        <v>52817.602477875145</v>
      </c>
      <c r="R559">
        <f t="shared" si="986"/>
        <v>4291288.3422146849</v>
      </c>
      <c r="S559">
        <f t="shared" si="987"/>
        <v>42.912883422146848</v>
      </c>
      <c r="T559">
        <f t="shared" si="988"/>
        <v>4.2912883422146851E-2</v>
      </c>
    </row>
    <row r="560" spans="1:20" x14ac:dyDescent="0.25">
      <c r="A560" s="5">
        <v>44033</v>
      </c>
      <c r="B560">
        <v>2.8839999999999999</v>
      </c>
      <c r="C560">
        <v>3.0049999999999999</v>
      </c>
      <c r="D560">
        <v>2.8570000000000002</v>
      </c>
      <c r="E560">
        <v>2.9860000000000002</v>
      </c>
      <c r="F560">
        <v>324175.19199999998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0.74324324324324698</v>
      </c>
      <c r="Q560">
        <f t="shared" si="985"/>
        <v>240941.02108108229</v>
      </c>
      <c r="R560">
        <f t="shared" si="986"/>
        <v>4238470.7397368094</v>
      </c>
      <c r="S560">
        <f t="shared" si="987"/>
        <v>42.384707397368096</v>
      </c>
      <c r="T560">
        <f t="shared" si="988"/>
        <v>4.2384707397368097E-2</v>
      </c>
    </row>
    <row r="561" spans="1:104" x14ac:dyDescent="0.25">
      <c r="A561" s="5">
        <v>44032</v>
      </c>
      <c r="B561">
        <v>2.931</v>
      </c>
      <c r="C561">
        <v>2.9359999999999999</v>
      </c>
      <c r="D561">
        <v>2.8620000000000001</v>
      </c>
      <c r="E561">
        <v>2.8860000000000001</v>
      </c>
      <c r="F561">
        <v>165343.23699999999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-0.35135135135134943</v>
      </c>
      <c r="Q561">
        <f t="shared" si="985"/>
        <v>-58093.569756756435</v>
      </c>
      <c r="R561">
        <f t="shared" si="986"/>
        <v>3997529.7186557273</v>
      </c>
      <c r="S561">
        <f t="shared" si="987"/>
        <v>39.97529718655727</v>
      </c>
      <c r="T561">
        <f t="shared" si="988"/>
        <v>3.997529718655727E-2</v>
      </c>
      <c r="CZ561" t="s">
        <v>7</v>
      </c>
    </row>
    <row r="562" spans="1:104" x14ac:dyDescent="0.25">
      <c r="A562" s="5">
        <v>44031</v>
      </c>
      <c r="B562">
        <v>2.9260000000000002</v>
      </c>
      <c r="C562">
        <v>2.95</v>
      </c>
      <c r="D562">
        <v>2.8959999999999999</v>
      </c>
      <c r="E562">
        <v>2.9249999999999998</v>
      </c>
      <c r="F562">
        <v>174797.04800000001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7.4074074074065549E-2</v>
      </c>
      <c r="Q562">
        <f t="shared" si="985"/>
        <v>12947.929481479992</v>
      </c>
      <c r="R562">
        <f t="shared" si="986"/>
        <v>4055623.2884124839</v>
      </c>
      <c r="S562">
        <f t="shared" si="987"/>
        <v>40.556232884124839</v>
      </c>
      <c r="T562">
        <f t="shared" si="988"/>
        <v>4.055623288412484E-2</v>
      </c>
      <c r="CZ562" t="s">
        <v>7</v>
      </c>
    </row>
    <row r="563" spans="1:104" x14ac:dyDescent="0.25">
      <c r="A563" s="5">
        <v>44030</v>
      </c>
      <c r="B563">
        <v>2.94</v>
      </c>
      <c r="C563">
        <v>2.9449999999999998</v>
      </c>
      <c r="D563">
        <v>2.9060000000000001</v>
      </c>
      <c r="E563">
        <v>2.923</v>
      </c>
      <c r="F563">
        <v>122350.01300000001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-0.12820512820512645</v>
      </c>
      <c r="Q563">
        <f t="shared" si="985"/>
        <v>-15685.899102563888</v>
      </c>
      <c r="R563">
        <f t="shared" si="986"/>
        <v>4042675.3589310041</v>
      </c>
      <c r="S563">
        <f t="shared" si="987"/>
        <v>40.426753589310039</v>
      </c>
      <c r="T563">
        <f t="shared" si="988"/>
        <v>4.0426753589310041E-2</v>
      </c>
      <c r="CZ563" t="s">
        <v>7</v>
      </c>
    </row>
    <row r="564" spans="1:104" x14ac:dyDescent="0.25">
      <c r="A564" s="5">
        <v>44029</v>
      </c>
      <c r="B564">
        <v>2.9790000000000001</v>
      </c>
      <c r="C564">
        <v>2.9830000000000001</v>
      </c>
      <c r="D564">
        <v>2.9390000000000001</v>
      </c>
      <c r="E564">
        <v>2.94</v>
      </c>
      <c r="F564">
        <v>89796.915999999997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-0.95454545454545958</v>
      </c>
      <c r="Q564">
        <f t="shared" si="985"/>
        <v>-85715.238000000449</v>
      </c>
      <c r="R564">
        <f t="shared" si="986"/>
        <v>4058361.258033568</v>
      </c>
      <c r="S564">
        <f t="shared" si="987"/>
        <v>40.583612580335682</v>
      </c>
      <c r="T564">
        <f t="shared" si="988"/>
        <v>4.058361258033568E-2</v>
      </c>
    </row>
    <row r="565" spans="1:104" x14ac:dyDescent="0.25">
      <c r="A565" s="5">
        <v>44028</v>
      </c>
      <c r="B565">
        <v>3.0550000000000002</v>
      </c>
      <c r="C565">
        <v>3.0619999999999998</v>
      </c>
      <c r="D565">
        <v>2.9359999999999999</v>
      </c>
      <c r="E565">
        <v>2.9780000000000002</v>
      </c>
      <c r="F565">
        <v>178563.46799999999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-0.33333333333332865</v>
      </c>
      <c r="Q565">
        <f t="shared" si="985"/>
        <v>-59521.155999999159</v>
      </c>
      <c r="R565">
        <f t="shared" si="986"/>
        <v>4144076.4960335684</v>
      </c>
      <c r="S565">
        <f t="shared" si="987"/>
        <v>41.440764960335684</v>
      </c>
      <c r="T565">
        <f t="shared" si="988"/>
        <v>4.1440764960335684E-2</v>
      </c>
    </row>
    <row r="566" spans="1:104" x14ac:dyDescent="0.25">
      <c r="A566" s="5">
        <v>44027</v>
      </c>
      <c r="B566">
        <v>3.1</v>
      </c>
      <c r="C566">
        <v>3.1059999999999999</v>
      </c>
      <c r="D566">
        <v>3.0379999999999998</v>
      </c>
      <c r="E566">
        <v>3.052</v>
      </c>
      <c r="F566">
        <v>100111.769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-0.58823529411764053</v>
      </c>
      <c r="Q566">
        <f t="shared" si="985"/>
        <v>-58889.275882352289</v>
      </c>
      <c r="R566">
        <f t="shared" si="986"/>
        <v>4203597.6520335674</v>
      </c>
      <c r="S566">
        <f t="shared" si="987"/>
        <v>42.035976520335673</v>
      </c>
      <c r="T566">
        <f t="shared" si="988"/>
        <v>4.2035976520335673E-2</v>
      </c>
    </row>
    <row r="567" spans="1:104" x14ac:dyDescent="0.25">
      <c r="A567" s="5">
        <v>44026</v>
      </c>
      <c r="B567">
        <v>3.105</v>
      </c>
      <c r="C567">
        <v>3.1240000000000001</v>
      </c>
      <c r="D567">
        <v>3.056</v>
      </c>
      <c r="E567">
        <v>3.1030000000000002</v>
      </c>
      <c r="F567">
        <v>124139.955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0.38235294117647384</v>
      </c>
      <c r="Q567">
        <f t="shared" si="985"/>
        <v>47465.276911765111</v>
      </c>
      <c r="R567">
        <f t="shared" si="986"/>
        <v>4262486.9279159196</v>
      </c>
      <c r="S567">
        <f t="shared" si="987"/>
        <v>42.624869279159199</v>
      </c>
      <c r="T567">
        <f t="shared" si="988"/>
        <v>4.2624869279159198E-2</v>
      </c>
    </row>
    <row r="568" spans="1:104" x14ac:dyDescent="0.25">
      <c r="A568" s="5">
        <v>44025</v>
      </c>
      <c r="B568">
        <v>3.1160000000000001</v>
      </c>
      <c r="C568">
        <v>3.1520000000000001</v>
      </c>
      <c r="D568">
        <v>3.0649999999999999</v>
      </c>
      <c r="E568">
        <v>3.11</v>
      </c>
      <c r="F568">
        <v>177787.23199999999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3.4482758620685783E-2</v>
      </c>
      <c r="Q568">
        <f t="shared" si="985"/>
        <v>6130.594206895863</v>
      </c>
      <c r="R568">
        <f t="shared" si="986"/>
        <v>4215021.6510041542</v>
      </c>
      <c r="S568">
        <f t="shared" si="987"/>
        <v>42.150216510041545</v>
      </c>
      <c r="T568">
        <f t="shared" si="988"/>
        <v>4.2150216510041548E-2</v>
      </c>
    </row>
    <row r="569" spans="1:104" x14ac:dyDescent="0.25">
      <c r="A569" s="5">
        <v>44024</v>
      </c>
      <c r="B569">
        <v>3.048</v>
      </c>
      <c r="C569">
        <v>3.1429999999999998</v>
      </c>
      <c r="D569">
        <v>3.048</v>
      </c>
      <c r="E569">
        <v>3.1139999999999999</v>
      </c>
      <c r="F569">
        <v>95184.686000000002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0.38947368421052653</v>
      </c>
      <c r="Q569">
        <f t="shared" si="985"/>
        <v>37071.930336842124</v>
      </c>
      <c r="R569">
        <f t="shared" si="986"/>
        <v>4208891.0567972586</v>
      </c>
      <c r="S569">
        <f t="shared" si="987"/>
        <v>42.088910567972583</v>
      </c>
      <c r="T569">
        <f t="shared" si="988"/>
        <v>4.2088910567972586E-2</v>
      </c>
    </row>
    <row r="570" spans="1:104" x14ac:dyDescent="0.25">
      <c r="A570" s="5">
        <v>44023</v>
      </c>
      <c r="B570">
        <v>3.0449999999999999</v>
      </c>
      <c r="C570">
        <v>3.0590000000000002</v>
      </c>
      <c r="D570">
        <v>3.0139999999999998</v>
      </c>
      <c r="E570">
        <v>3.0539999999999998</v>
      </c>
      <c r="F570">
        <v>47744.906999999999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0.77777777777776458</v>
      </c>
      <c r="Q570">
        <f t="shared" si="985"/>
        <v>37134.927666666037</v>
      </c>
      <c r="R570">
        <f t="shared" si="986"/>
        <v>4171819.1264604162</v>
      </c>
      <c r="S570">
        <f t="shared" si="987"/>
        <v>41.718191264604165</v>
      </c>
      <c r="T570">
        <f t="shared" si="988"/>
        <v>4.1718191264604167E-2</v>
      </c>
    </row>
    <row r="571" spans="1:104" x14ac:dyDescent="0.25">
      <c r="A571" s="5">
        <v>44022</v>
      </c>
      <c r="B571">
        <v>3.01</v>
      </c>
      <c r="C571">
        <v>3.048</v>
      </c>
      <c r="D571">
        <v>2.9550000000000001</v>
      </c>
      <c r="E571">
        <v>3.0350000000000001</v>
      </c>
      <c r="F571">
        <v>116366.36900000001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0.72043010752688375</v>
      </c>
      <c r="Q571">
        <f t="shared" si="985"/>
        <v>83833.835731183033</v>
      </c>
      <c r="R571">
        <f t="shared" si="986"/>
        <v>4134684.1987937503</v>
      </c>
      <c r="S571">
        <f t="shared" si="987"/>
        <v>41.346841987937502</v>
      </c>
      <c r="T571">
        <f t="shared" si="988"/>
        <v>4.1346841987937505E-2</v>
      </c>
    </row>
    <row r="572" spans="1:104" x14ac:dyDescent="0.25">
      <c r="A572" s="5">
        <v>44021</v>
      </c>
      <c r="B572">
        <v>3.07</v>
      </c>
      <c r="C572">
        <v>3.0720000000000001</v>
      </c>
      <c r="D572">
        <v>2.9649999999999999</v>
      </c>
      <c r="E572">
        <v>3.0139999999999998</v>
      </c>
      <c r="F572">
        <v>203482.389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-8.4112149532713301E-2</v>
      </c>
      <c r="Q572">
        <f t="shared" si="985"/>
        <v>-17115.341130841734</v>
      </c>
      <c r="R572">
        <f t="shared" si="986"/>
        <v>4050850.3630625671</v>
      </c>
      <c r="S572">
        <f t="shared" si="987"/>
        <v>40.508503630625668</v>
      </c>
      <c r="T572">
        <f t="shared" si="988"/>
        <v>4.0508503630625671E-2</v>
      </c>
    </row>
    <row r="573" spans="1:104" x14ac:dyDescent="0.25">
      <c r="A573" s="5">
        <v>44020</v>
      </c>
      <c r="B573">
        <v>2.98</v>
      </c>
      <c r="C573">
        <v>3.08</v>
      </c>
      <c r="D573">
        <v>2.972</v>
      </c>
      <c r="E573">
        <v>3.0670000000000002</v>
      </c>
      <c r="F573">
        <v>234765.698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0.7592592592592613</v>
      </c>
      <c r="Q573">
        <f t="shared" si="985"/>
        <v>178248.02996296345</v>
      </c>
      <c r="R573">
        <f t="shared" si="986"/>
        <v>4067965.7041934086</v>
      </c>
      <c r="S573">
        <f t="shared" si="987"/>
        <v>40.679657041934085</v>
      </c>
      <c r="T573">
        <f t="shared" si="988"/>
        <v>4.0679657041934082E-2</v>
      </c>
    </row>
    <row r="574" spans="1:104" x14ac:dyDescent="0.25">
      <c r="A574" s="5">
        <v>44019</v>
      </c>
      <c r="B574">
        <v>2.9889999999999999</v>
      </c>
      <c r="C574">
        <v>3.0129999999999999</v>
      </c>
      <c r="D574">
        <v>2.948</v>
      </c>
      <c r="E574">
        <v>2.9740000000000002</v>
      </c>
      <c r="F574">
        <v>109788.232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-0.1999999999999918</v>
      </c>
      <c r="Q574">
        <f t="shared" si="985"/>
        <v>-21957.646399999099</v>
      </c>
      <c r="R574">
        <f t="shared" si="986"/>
        <v>3889717.6742304452</v>
      </c>
      <c r="S574">
        <f t="shared" si="987"/>
        <v>38.897176742304453</v>
      </c>
      <c r="T574">
        <f t="shared" si="988"/>
        <v>3.8897176742304453E-2</v>
      </c>
    </row>
    <row r="575" spans="1:104" x14ac:dyDescent="0.25">
      <c r="A575" s="5">
        <v>44018</v>
      </c>
      <c r="B575">
        <v>2.8620000000000001</v>
      </c>
      <c r="C575">
        <v>3</v>
      </c>
      <c r="D575">
        <v>2.855</v>
      </c>
      <c r="E575">
        <v>2.9950000000000001</v>
      </c>
      <c r="F575">
        <v>134083.454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0.93103448275862222</v>
      </c>
      <c r="Q575">
        <f t="shared" si="985"/>
        <v>124836.31924137952</v>
      </c>
      <c r="R575">
        <f t="shared" si="986"/>
        <v>3911675.3206304442</v>
      </c>
      <c r="S575">
        <f t="shared" si="987"/>
        <v>39.116753206304445</v>
      </c>
      <c r="T575">
        <f t="shared" si="988"/>
        <v>3.9116753206304443E-2</v>
      </c>
    </row>
    <row r="576" spans="1:104" x14ac:dyDescent="0.25">
      <c r="A576" s="5">
        <v>44017</v>
      </c>
      <c r="B576">
        <v>2.8849999999999998</v>
      </c>
      <c r="C576">
        <v>2.8919999999999999</v>
      </c>
      <c r="D576">
        <v>2.8079999999999998</v>
      </c>
      <c r="E576">
        <v>2.8620000000000001</v>
      </c>
      <c r="F576">
        <v>43385.589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0.28571428571429103</v>
      </c>
      <c r="Q576">
        <f t="shared" si="985"/>
        <v>12395.882571428801</v>
      </c>
      <c r="R576">
        <f t="shared" si="986"/>
        <v>3786839.0013890648</v>
      </c>
      <c r="S576">
        <f t="shared" si="987"/>
        <v>37.868390013890647</v>
      </c>
      <c r="T576">
        <f t="shared" si="988"/>
        <v>3.7868390013890647E-2</v>
      </c>
    </row>
    <row r="577" spans="1:20" x14ac:dyDescent="0.25">
      <c r="A577" s="5">
        <v>44016</v>
      </c>
      <c r="B577">
        <v>2.8570000000000002</v>
      </c>
      <c r="C577">
        <v>2.9020000000000001</v>
      </c>
      <c r="D577">
        <v>2.8540000000000001</v>
      </c>
      <c r="E577">
        <v>2.88</v>
      </c>
      <c r="F577">
        <v>51514.178999999996</v>
      </c>
      <c r="G577">
        <v>0</v>
      </c>
      <c r="L577" t="s">
        <v>7</v>
      </c>
      <c r="M577" t="s">
        <v>8</v>
      </c>
      <c r="N577" t="s">
        <v>8</v>
      </c>
      <c r="P577">
        <f t="shared" si="984"/>
        <v>8.3333333333324086E-2</v>
      </c>
      <c r="Q577">
        <f t="shared" si="985"/>
        <v>4292.8482499995234</v>
      </c>
      <c r="R577">
        <f t="shared" si="986"/>
        <v>3774443.1188176358</v>
      </c>
      <c r="S577">
        <f t="shared" si="987"/>
        <v>37.744431188176357</v>
      </c>
      <c r="T577">
        <f t="shared" si="988"/>
        <v>3.7744431188176358E-2</v>
      </c>
    </row>
    <row r="578" spans="1:20" x14ac:dyDescent="0.25">
      <c r="A578" s="5">
        <v>44015</v>
      </c>
      <c r="B578">
        <v>2.8650000000000002</v>
      </c>
      <c r="C578">
        <v>2.8839999999999999</v>
      </c>
      <c r="D578">
        <v>2.8519999999999999</v>
      </c>
      <c r="E578">
        <v>2.8570000000000002</v>
      </c>
      <c r="F578">
        <v>81646.017999999996</v>
      </c>
      <c r="G578">
        <v>0</v>
      </c>
      <c r="L578" t="s">
        <v>7</v>
      </c>
      <c r="M578" t="s">
        <v>8</v>
      </c>
      <c r="N578" t="s">
        <v>8</v>
      </c>
      <c r="P578">
        <f t="shared" si="984"/>
        <v>-0.68749999999997913</v>
      </c>
      <c r="Q578">
        <f t="shared" si="985"/>
        <v>-56131.637374998296</v>
      </c>
      <c r="R578">
        <f t="shared" si="986"/>
        <v>3770150.2705676365</v>
      </c>
      <c r="S578">
        <f t="shared" si="987"/>
        <v>37.701502705676361</v>
      </c>
      <c r="T578">
        <f t="shared" si="988"/>
        <v>3.7701502705676362E-2</v>
      </c>
    </row>
    <row r="579" spans="1:20" x14ac:dyDescent="0.25">
      <c r="A579" s="5">
        <v>44014</v>
      </c>
      <c r="B579">
        <v>2.9350000000000001</v>
      </c>
      <c r="C579">
        <v>2.9449999999999998</v>
      </c>
      <c r="D579">
        <v>2.8319999999999999</v>
      </c>
      <c r="E579">
        <v>2.8679999999999999</v>
      </c>
      <c r="F579">
        <v>94177.275999999998</v>
      </c>
      <c r="G579">
        <v>0</v>
      </c>
      <c r="L579" t="s">
        <v>7</v>
      </c>
      <c r="M579" t="s">
        <v>8</v>
      </c>
      <c r="N579" t="s">
        <v>8</v>
      </c>
      <c r="P579">
        <f t="shared" si="984"/>
        <v>-0.36283185840707904</v>
      </c>
      <c r="Q579">
        <f t="shared" si="985"/>
        <v>-34170.516070796402</v>
      </c>
      <c r="R579">
        <f t="shared" si="986"/>
        <v>3826281.9079426345</v>
      </c>
      <c r="S579">
        <f t="shared" si="987"/>
        <v>38.262819079426343</v>
      </c>
      <c r="T579">
        <f t="shared" si="988"/>
        <v>3.8262819079426344E-2</v>
      </c>
    </row>
    <row r="580" spans="1:20" x14ac:dyDescent="0.25">
      <c r="A580" s="5">
        <v>44013</v>
      </c>
      <c r="B580">
        <v>2.879</v>
      </c>
      <c r="C580">
        <v>2.95</v>
      </c>
      <c r="D580">
        <v>2.8690000000000002</v>
      </c>
      <c r="E580">
        <v>2.9329999999999998</v>
      </c>
      <c r="F580">
        <v>97314.485000000001</v>
      </c>
      <c r="G580">
        <v>0</v>
      </c>
      <c r="L580" t="s">
        <v>7</v>
      </c>
      <c r="M580" t="s">
        <v>8</v>
      </c>
      <c r="N580" t="s">
        <v>8</v>
      </c>
      <c r="P580">
        <f t="shared" si="984"/>
        <v>0.58024691358023817</v>
      </c>
      <c r="Q580">
        <f t="shared" si="985"/>
        <v>56466.429567900384</v>
      </c>
      <c r="R580">
        <f t="shared" si="986"/>
        <v>3860452.4240134307</v>
      </c>
      <c r="S580">
        <f t="shared" si="987"/>
        <v>38.60452424013431</v>
      </c>
      <c r="T580">
        <f t="shared" si="988"/>
        <v>3.8604524240134309E-2</v>
      </c>
    </row>
    <row r="581" spans="1:20" x14ac:dyDescent="0.25">
      <c r="A581" s="5">
        <v>44012</v>
      </c>
      <c r="B581">
        <v>2.899</v>
      </c>
      <c r="C581">
        <v>2.907</v>
      </c>
      <c r="D581">
        <v>2.8530000000000002</v>
      </c>
      <c r="E581">
        <v>2.891</v>
      </c>
      <c r="F581">
        <v>43998.493999999999</v>
      </c>
      <c r="G581">
        <v>0</v>
      </c>
      <c r="L581" t="s">
        <v>7</v>
      </c>
      <c r="M581" t="s">
        <v>8</v>
      </c>
      <c r="N581" t="s">
        <v>8</v>
      </c>
      <c r="P581">
        <f t="shared" si="984"/>
        <v>0.407407407407405</v>
      </c>
      <c r="Q581">
        <f t="shared" si="985"/>
        <v>17925.312370370262</v>
      </c>
      <c r="R581">
        <f t="shared" si="986"/>
        <v>3803985.9944455302</v>
      </c>
      <c r="S581">
        <f t="shared" si="987"/>
        <v>38.039859944455301</v>
      </c>
      <c r="T581">
        <f t="shared" si="988"/>
        <v>3.8039859944455301E-2</v>
      </c>
    </row>
    <row r="582" spans="1:20" x14ac:dyDescent="0.25">
      <c r="A582" s="5">
        <v>44011</v>
      </c>
      <c r="B582">
        <v>2.8730000000000002</v>
      </c>
      <c r="C582">
        <v>2.9169999999999998</v>
      </c>
      <c r="D582">
        <v>2.8410000000000002</v>
      </c>
      <c r="E582">
        <v>2.9039999999999999</v>
      </c>
      <c r="F582">
        <v>43753.553</v>
      </c>
      <c r="G582">
        <v>0</v>
      </c>
      <c r="L582" t="s">
        <v>7</v>
      </c>
      <c r="M582" t="s">
        <v>8</v>
      </c>
      <c r="N582" t="s">
        <v>8</v>
      </c>
      <c r="P582">
        <f t="shared" ref="P582:P645" si="989">IF(C582=D582,0,((E582-D582)-(C582-E582))/(C582-D582))</f>
        <v>0.6578947368421062</v>
      </c>
      <c r="Q582">
        <f t="shared" ref="Q582:Q645" si="990">F582*P582</f>
        <v>28785.232236842145</v>
      </c>
      <c r="R582">
        <f t="shared" ref="R582:R645" si="991">R583+Q582</f>
        <v>3786060.6820751601</v>
      </c>
      <c r="S582">
        <f t="shared" ref="S582:S645" si="992">R582/100000</f>
        <v>37.860606820751599</v>
      </c>
      <c r="T582">
        <f t="shared" ref="T582:T645" si="993">S582/1000</f>
        <v>3.7860606820751597E-2</v>
      </c>
    </row>
    <row r="583" spans="1:20" x14ac:dyDescent="0.25">
      <c r="A583" s="5">
        <v>44010</v>
      </c>
      <c r="B583">
        <v>2.827</v>
      </c>
      <c r="C583">
        <v>2.89</v>
      </c>
      <c r="D583">
        <v>2.7970000000000002</v>
      </c>
      <c r="E583">
        <v>2.8679999999999999</v>
      </c>
      <c r="F583">
        <v>31840.227999999999</v>
      </c>
      <c r="G583">
        <v>0</v>
      </c>
      <c r="L583" t="s">
        <v>7</v>
      </c>
      <c r="M583" t="s">
        <v>8</v>
      </c>
      <c r="N583" t="s">
        <v>8</v>
      </c>
      <c r="P583">
        <f t="shared" si="989"/>
        <v>0.52688172043010217</v>
      </c>
      <c r="Q583">
        <f t="shared" si="990"/>
        <v>16776.03410752671</v>
      </c>
      <c r="R583">
        <f t="shared" si="991"/>
        <v>3757275.4498383179</v>
      </c>
      <c r="S583">
        <f t="shared" si="992"/>
        <v>37.572754498383176</v>
      </c>
      <c r="T583">
        <f t="shared" si="993"/>
        <v>3.7572754498383175E-2</v>
      </c>
    </row>
    <row r="584" spans="1:20" x14ac:dyDescent="0.25">
      <c r="A584" s="5">
        <v>44009</v>
      </c>
      <c r="B584">
        <v>2.9119999999999999</v>
      </c>
      <c r="C584">
        <v>2.9279999999999999</v>
      </c>
      <c r="D584">
        <v>2.77</v>
      </c>
      <c r="E584">
        <v>2.8279999999999998</v>
      </c>
      <c r="F584">
        <v>53725.510999999999</v>
      </c>
      <c r="G584">
        <v>0</v>
      </c>
      <c r="L584" t="s">
        <v>7</v>
      </c>
      <c r="M584" t="s">
        <v>8</v>
      </c>
      <c r="N584" t="s">
        <v>8</v>
      </c>
      <c r="P584">
        <f t="shared" si="989"/>
        <v>-0.26582278481012839</v>
      </c>
      <c r="Q584">
        <f t="shared" si="990"/>
        <v>-14281.464949367186</v>
      </c>
      <c r="R584">
        <f t="shared" si="991"/>
        <v>3740499.4157307912</v>
      </c>
      <c r="S584">
        <f t="shared" si="992"/>
        <v>37.404994157307911</v>
      </c>
      <c r="T584">
        <f t="shared" si="993"/>
        <v>3.7404994157307914E-2</v>
      </c>
    </row>
    <row r="585" spans="1:20" x14ac:dyDescent="0.25">
      <c r="A585" s="5">
        <v>44008</v>
      </c>
      <c r="B585">
        <v>2.9239999999999999</v>
      </c>
      <c r="C585">
        <v>2.9510000000000001</v>
      </c>
      <c r="D585">
        <v>2.875</v>
      </c>
      <c r="E585">
        <v>2.9079999999999999</v>
      </c>
      <c r="F585">
        <v>30650.796999999999</v>
      </c>
      <c r="G585">
        <v>0</v>
      </c>
      <c r="L585" t="s">
        <v>8</v>
      </c>
      <c r="M585" t="s">
        <v>8</v>
      </c>
      <c r="N585" t="s">
        <v>8</v>
      </c>
      <c r="P585">
        <f t="shared" si="989"/>
        <v>-0.13157894736842399</v>
      </c>
      <c r="Q585">
        <f t="shared" si="990"/>
        <v>-4032.9996052632478</v>
      </c>
      <c r="R585">
        <f t="shared" si="991"/>
        <v>3754780.8806801583</v>
      </c>
      <c r="S585">
        <f t="shared" si="992"/>
        <v>37.547808806801584</v>
      </c>
      <c r="T585">
        <f t="shared" si="993"/>
        <v>3.7547808806801586E-2</v>
      </c>
    </row>
    <row r="586" spans="1:20" x14ac:dyDescent="0.25">
      <c r="A586" s="5">
        <v>44007</v>
      </c>
      <c r="B586">
        <v>2.9420000000000002</v>
      </c>
      <c r="C586">
        <v>2.9590000000000001</v>
      </c>
      <c r="D586">
        <v>2.8570000000000002</v>
      </c>
      <c r="E586">
        <v>2.9369999999999998</v>
      </c>
      <c r="F586">
        <v>55076.733</v>
      </c>
      <c r="G586">
        <v>0</v>
      </c>
      <c r="L586" t="s">
        <v>8</v>
      </c>
      <c r="M586" t="s">
        <v>8</v>
      </c>
      <c r="N586" t="s">
        <v>8</v>
      </c>
      <c r="P586">
        <f t="shared" si="989"/>
        <v>0.56862745098038692</v>
      </c>
      <c r="Q586">
        <f t="shared" si="990"/>
        <v>31318.142294117359</v>
      </c>
      <c r="R586">
        <f t="shared" si="991"/>
        <v>3758813.8802854214</v>
      </c>
      <c r="S586">
        <f t="shared" si="992"/>
        <v>37.58813880285421</v>
      </c>
      <c r="T586">
        <f t="shared" si="993"/>
        <v>3.7588138802854214E-2</v>
      </c>
    </row>
    <row r="587" spans="1:20" x14ac:dyDescent="0.25">
      <c r="A587" s="5">
        <v>44006</v>
      </c>
      <c r="B587">
        <v>3.0419999999999998</v>
      </c>
      <c r="C587">
        <v>3.0680000000000001</v>
      </c>
      <c r="D587">
        <v>2.9060000000000001</v>
      </c>
      <c r="E587">
        <v>2.9470000000000001</v>
      </c>
      <c r="F587">
        <v>104058.572</v>
      </c>
      <c r="G587">
        <v>0</v>
      </c>
      <c r="L587" t="s">
        <v>8</v>
      </c>
      <c r="M587" t="s">
        <v>8</v>
      </c>
      <c r="N587" t="s">
        <v>8</v>
      </c>
      <c r="P587">
        <f t="shared" si="989"/>
        <v>-0.49382716049382785</v>
      </c>
      <c r="Q587">
        <f t="shared" si="990"/>
        <v>-51386.949135802541</v>
      </c>
      <c r="R587">
        <f t="shared" si="991"/>
        <v>3727495.7379913041</v>
      </c>
      <c r="S587">
        <f t="shared" si="992"/>
        <v>37.27495737991304</v>
      </c>
      <c r="T587">
        <f t="shared" si="993"/>
        <v>3.7274957379913043E-2</v>
      </c>
    </row>
    <row r="588" spans="1:20" x14ac:dyDescent="0.25">
      <c r="A588" s="5">
        <v>44005</v>
      </c>
      <c r="B588">
        <v>3.0649999999999999</v>
      </c>
      <c r="C588">
        <v>3.0710000000000002</v>
      </c>
      <c r="D588">
        <v>3.028</v>
      </c>
      <c r="E588">
        <v>3.0430000000000001</v>
      </c>
      <c r="F588">
        <v>47803.652999999998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-0.30232558139534549</v>
      </c>
      <c r="Q588">
        <f t="shared" si="990"/>
        <v>-14452.267186046351</v>
      </c>
      <c r="R588">
        <f t="shared" si="991"/>
        <v>3778882.6871271068</v>
      </c>
      <c r="S588">
        <f t="shared" si="992"/>
        <v>37.78882687127107</v>
      </c>
      <c r="T588">
        <f t="shared" si="993"/>
        <v>3.7788826871271067E-2</v>
      </c>
    </row>
    <row r="589" spans="1:20" x14ac:dyDescent="0.25">
      <c r="A589" s="5">
        <v>44004</v>
      </c>
      <c r="B589">
        <v>2.9580000000000002</v>
      </c>
      <c r="C589">
        <v>3.0870000000000002</v>
      </c>
      <c r="D589">
        <v>2.9580000000000002</v>
      </c>
      <c r="E589">
        <v>3.0630000000000002</v>
      </c>
      <c r="F589">
        <v>48907.406000000003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0.62790697674418572</v>
      </c>
      <c r="Q589">
        <f t="shared" si="990"/>
        <v>30709.301441860451</v>
      </c>
      <c r="R589">
        <f t="shared" si="991"/>
        <v>3793334.9543131534</v>
      </c>
      <c r="S589">
        <f t="shared" si="992"/>
        <v>37.933349543131534</v>
      </c>
      <c r="T589">
        <f t="shared" si="993"/>
        <v>3.7933349543131531E-2</v>
      </c>
    </row>
    <row r="590" spans="1:20" x14ac:dyDescent="0.25">
      <c r="A590" s="5">
        <v>44003</v>
      </c>
      <c r="B590">
        <v>2.9790000000000001</v>
      </c>
      <c r="C590">
        <v>2.9990000000000001</v>
      </c>
      <c r="D590">
        <v>2.9590000000000001</v>
      </c>
      <c r="E590">
        <v>2.9660000000000002</v>
      </c>
      <c r="F590">
        <v>25092.261999999999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-0.64999999999999447</v>
      </c>
      <c r="Q590">
        <f t="shared" si="990"/>
        <v>-16309.970299999861</v>
      </c>
      <c r="R590">
        <f t="shared" si="991"/>
        <v>3762625.652871293</v>
      </c>
      <c r="S590">
        <f t="shared" si="992"/>
        <v>37.626256528712929</v>
      </c>
      <c r="T590">
        <f t="shared" si="993"/>
        <v>3.7626256528712931E-2</v>
      </c>
    </row>
    <row r="591" spans="1:20" x14ac:dyDescent="0.25">
      <c r="A591" s="5">
        <v>44002</v>
      </c>
      <c r="B591">
        <v>2.97</v>
      </c>
      <c r="C591">
        <v>2.9929999999999999</v>
      </c>
      <c r="D591">
        <v>2.9340000000000002</v>
      </c>
      <c r="E591">
        <v>2.9790000000000001</v>
      </c>
      <c r="F591">
        <v>18026.881000000001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0.52542372881356414</v>
      </c>
      <c r="Q591">
        <f t="shared" si="990"/>
        <v>9471.7510338983921</v>
      </c>
      <c r="R591">
        <f t="shared" si="991"/>
        <v>3778935.6231712927</v>
      </c>
      <c r="S591">
        <f t="shared" si="992"/>
        <v>37.789356231712929</v>
      </c>
      <c r="T591">
        <f t="shared" si="993"/>
        <v>3.778935623171293E-2</v>
      </c>
    </row>
    <row r="592" spans="1:20" x14ac:dyDescent="0.25">
      <c r="A592" s="5">
        <v>44001</v>
      </c>
      <c r="B592">
        <v>3.0059999999999998</v>
      </c>
      <c r="C592">
        <v>3.0150000000000001</v>
      </c>
      <c r="D592">
        <v>2.952</v>
      </c>
      <c r="E592">
        <v>2.9670000000000001</v>
      </c>
      <c r="F592">
        <v>36014.936000000002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-0.52380952380952117</v>
      </c>
      <c r="Q592">
        <f t="shared" si="990"/>
        <v>-18864.96647619038</v>
      </c>
      <c r="R592">
        <f t="shared" si="991"/>
        <v>3769463.8721373943</v>
      </c>
      <c r="S592">
        <f t="shared" si="992"/>
        <v>37.694638721373941</v>
      </c>
      <c r="T592">
        <f t="shared" si="993"/>
        <v>3.7694638721373942E-2</v>
      </c>
    </row>
    <row r="593" spans="1:20" x14ac:dyDescent="0.25">
      <c r="A593" s="5">
        <v>44000</v>
      </c>
      <c r="B593">
        <v>3.0289999999999999</v>
      </c>
      <c r="C593">
        <v>3.0449999999999999</v>
      </c>
      <c r="D593">
        <v>2.9689999999999999</v>
      </c>
      <c r="E593">
        <v>3.0059999999999998</v>
      </c>
      <c r="F593">
        <v>32157.695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-2.6315789473687134E-2</v>
      </c>
      <c r="Q593">
        <f t="shared" si="990"/>
        <v>-846.2551315790414</v>
      </c>
      <c r="R593">
        <f t="shared" si="991"/>
        <v>3788328.8386135846</v>
      </c>
      <c r="S593">
        <f t="shared" si="992"/>
        <v>37.883288386135845</v>
      </c>
      <c r="T593">
        <f t="shared" si="993"/>
        <v>3.7883288386135847E-2</v>
      </c>
    </row>
    <row r="594" spans="1:20" x14ac:dyDescent="0.25">
      <c r="A594" s="5">
        <v>43999</v>
      </c>
      <c r="B594">
        <v>3.0110000000000001</v>
      </c>
      <c r="C594">
        <v>3.036</v>
      </c>
      <c r="D594">
        <v>2.923</v>
      </c>
      <c r="E594">
        <v>3.0270000000000001</v>
      </c>
      <c r="F594">
        <v>57503.284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0.84070796460177177</v>
      </c>
      <c r="Q594">
        <f t="shared" si="990"/>
        <v>48343.468849557627</v>
      </c>
      <c r="R594">
        <f t="shared" si="991"/>
        <v>3789175.0937451636</v>
      </c>
      <c r="S594">
        <f t="shared" si="992"/>
        <v>37.89175093745164</v>
      </c>
      <c r="T594">
        <f t="shared" si="993"/>
        <v>3.7891750937451639E-2</v>
      </c>
    </row>
    <row r="595" spans="1:20" x14ac:dyDescent="0.25">
      <c r="A595" s="5">
        <v>43998</v>
      </c>
      <c r="B595">
        <v>3.0249999999999999</v>
      </c>
      <c r="C595">
        <v>3.06</v>
      </c>
      <c r="D595">
        <v>2.9580000000000002</v>
      </c>
      <c r="E595">
        <v>3.0070000000000001</v>
      </c>
      <c r="F595">
        <v>62170.394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-3.9215686274509887E-2</v>
      </c>
      <c r="Q595">
        <f t="shared" si="990"/>
        <v>-2438.0546666666719</v>
      </c>
      <c r="R595">
        <f t="shared" si="991"/>
        <v>3740831.6248956062</v>
      </c>
      <c r="S595">
        <f t="shared" si="992"/>
        <v>37.408316248956062</v>
      </c>
      <c r="T595">
        <f t="shared" si="993"/>
        <v>3.7408316248956061E-2</v>
      </c>
    </row>
    <row r="596" spans="1:20" x14ac:dyDescent="0.25">
      <c r="A596" s="5">
        <v>43997</v>
      </c>
      <c r="B596">
        <v>2.8330000000000002</v>
      </c>
      <c r="C596">
        <v>3.048</v>
      </c>
      <c r="D596">
        <v>2.76</v>
      </c>
      <c r="E596">
        <v>3.0230000000000001</v>
      </c>
      <c r="F596">
        <v>197886.74299999999</v>
      </c>
      <c r="G596">
        <v>0</v>
      </c>
      <c r="L596" t="s">
        <v>8</v>
      </c>
      <c r="M596" t="s">
        <v>8</v>
      </c>
      <c r="N596" t="s">
        <v>8</v>
      </c>
      <c r="P596">
        <f t="shared" si="989"/>
        <v>0.82638888888888962</v>
      </c>
      <c r="Q596">
        <f t="shared" si="990"/>
        <v>163531.40567361124</v>
      </c>
      <c r="R596">
        <f t="shared" si="991"/>
        <v>3743269.679562273</v>
      </c>
      <c r="S596">
        <f t="shared" si="992"/>
        <v>37.432696795622732</v>
      </c>
      <c r="T596">
        <f t="shared" si="993"/>
        <v>3.7432696795622729E-2</v>
      </c>
    </row>
    <row r="597" spans="1:20" x14ac:dyDescent="0.25">
      <c r="A597" s="5">
        <v>43996</v>
      </c>
      <c r="B597">
        <v>2.891</v>
      </c>
      <c r="C597">
        <v>2.8959999999999999</v>
      </c>
      <c r="D597">
        <v>2.8140000000000001</v>
      </c>
      <c r="E597">
        <v>2.8460000000000001</v>
      </c>
      <c r="F597">
        <v>54732.642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-0.21951219512194911</v>
      </c>
      <c r="Q597">
        <f t="shared" si="990"/>
        <v>-12014.482390243787</v>
      </c>
      <c r="R597">
        <f t="shared" si="991"/>
        <v>3579738.2738886615</v>
      </c>
      <c r="S597">
        <f t="shared" si="992"/>
        <v>35.797382738886618</v>
      </c>
      <c r="T597">
        <f t="shared" si="993"/>
        <v>3.5797382738886621E-2</v>
      </c>
    </row>
    <row r="598" spans="1:20" x14ac:dyDescent="0.25">
      <c r="A598" s="5">
        <v>43995</v>
      </c>
      <c r="B598">
        <v>2.8719999999999999</v>
      </c>
      <c r="C598">
        <v>2.8969999999999998</v>
      </c>
      <c r="D598">
        <v>2.843</v>
      </c>
      <c r="E598">
        <v>2.891</v>
      </c>
      <c r="F598">
        <v>33453.915000000001</v>
      </c>
      <c r="G598">
        <v>0</v>
      </c>
      <c r="L598" t="s">
        <v>7</v>
      </c>
      <c r="M598" t="s">
        <v>8</v>
      </c>
      <c r="N598" t="s">
        <v>8</v>
      </c>
      <c r="P598">
        <f t="shared" si="989"/>
        <v>0.77777777777778512</v>
      </c>
      <c r="Q598">
        <f t="shared" si="990"/>
        <v>26019.711666666914</v>
      </c>
      <c r="R598">
        <f t="shared" si="991"/>
        <v>3591752.7562789051</v>
      </c>
      <c r="S598">
        <f t="shared" si="992"/>
        <v>35.917527562789054</v>
      </c>
      <c r="T598">
        <f t="shared" si="993"/>
        <v>3.5917527562789056E-2</v>
      </c>
    </row>
    <row r="599" spans="1:20" x14ac:dyDescent="0.25">
      <c r="A599" s="5">
        <v>43994</v>
      </c>
      <c r="B599">
        <v>2.7970000000000002</v>
      </c>
      <c r="C599">
        <v>2.8879999999999999</v>
      </c>
      <c r="D599">
        <v>2.7850000000000001</v>
      </c>
      <c r="E599">
        <v>2.8679999999999999</v>
      </c>
      <c r="F599">
        <v>57330.358999999997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0.61165048543689193</v>
      </c>
      <c r="Q599">
        <f t="shared" si="990"/>
        <v>35066.141912621286</v>
      </c>
      <c r="R599">
        <f t="shared" si="991"/>
        <v>3565733.0446122382</v>
      </c>
      <c r="S599">
        <f t="shared" si="992"/>
        <v>35.65733044612238</v>
      </c>
      <c r="T599">
        <f t="shared" si="993"/>
        <v>3.5657330446122383E-2</v>
      </c>
    </row>
    <row r="600" spans="1:20" x14ac:dyDescent="0.25">
      <c r="A600" s="5">
        <v>43993</v>
      </c>
      <c r="B600">
        <v>2.98</v>
      </c>
      <c r="C600">
        <v>3.0070000000000001</v>
      </c>
      <c r="D600">
        <v>2.7389999999999999</v>
      </c>
      <c r="E600">
        <v>2.806</v>
      </c>
      <c r="F600">
        <v>70333.576000000001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-0.49999999999999917</v>
      </c>
      <c r="Q600">
        <f t="shared" si="990"/>
        <v>-35166.787999999942</v>
      </c>
      <c r="R600">
        <f t="shared" si="991"/>
        <v>3530666.9026996167</v>
      </c>
      <c r="S600">
        <f t="shared" si="992"/>
        <v>35.306669026996168</v>
      </c>
      <c r="T600">
        <f t="shared" si="993"/>
        <v>3.5306669026996168E-2</v>
      </c>
    </row>
    <row r="601" spans="1:20" x14ac:dyDescent="0.25">
      <c r="A601" s="5">
        <v>43992</v>
      </c>
      <c r="B601">
        <v>2.9950000000000001</v>
      </c>
      <c r="C601">
        <v>3.04</v>
      </c>
      <c r="D601">
        <v>2.95</v>
      </c>
      <c r="E601">
        <v>2.98</v>
      </c>
      <c r="F601">
        <v>48201.286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-0.33333333333333665</v>
      </c>
      <c r="Q601">
        <f t="shared" si="990"/>
        <v>-16067.095333333493</v>
      </c>
      <c r="R601">
        <f t="shared" si="991"/>
        <v>3565833.6906996169</v>
      </c>
      <c r="S601">
        <f t="shared" si="992"/>
        <v>35.658336906996169</v>
      </c>
      <c r="T601">
        <f t="shared" si="993"/>
        <v>3.5658336906996171E-2</v>
      </c>
    </row>
    <row r="602" spans="1:20" x14ac:dyDescent="0.25">
      <c r="A602" s="5">
        <v>43991</v>
      </c>
      <c r="B602">
        <v>3.0070000000000001</v>
      </c>
      <c r="C602">
        <v>3.0249999999999999</v>
      </c>
      <c r="D602">
        <v>2.9169999999999998</v>
      </c>
      <c r="E602">
        <v>3.004</v>
      </c>
      <c r="F602">
        <v>29105.465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0.61111111111111316</v>
      </c>
      <c r="Q602">
        <f t="shared" si="990"/>
        <v>17786.673055555617</v>
      </c>
      <c r="R602">
        <f t="shared" si="991"/>
        <v>3581900.7860329505</v>
      </c>
      <c r="S602">
        <f t="shared" si="992"/>
        <v>35.819007860329506</v>
      </c>
      <c r="T602">
        <f t="shared" si="993"/>
        <v>3.5819007860329509E-2</v>
      </c>
    </row>
    <row r="603" spans="1:20" x14ac:dyDescent="0.25">
      <c r="A603" s="5">
        <v>43990</v>
      </c>
      <c r="B603">
        <v>2.9809999999999999</v>
      </c>
      <c r="C603">
        <v>3.0030000000000001</v>
      </c>
      <c r="D603">
        <v>2.9460000000000002</v>
      </c>
      <c r="E603">
        <v>2.9990000000000001</v>
      </c>
      <c r="F603">
        <v>51117.699000000001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0.85964912280701722</v>
      </c>
      <c r="Q603">
        <f t="shared" si="990"/>
        <v>43943.285105263145</v>
      </c>
      <c r="R603">
        <f t="shared" si="991"/>
        <v>3564114.1129773948</v>
      </c>
      <c r="S603">
        <f t="shared" si="992"/>
        <v>35.641141129773949</v>
      </c>
      <c r="T603">
        <f t="shared" si="993"/>
        <v>3.564114112977395E-2</v>
      </c>
    </row>
    <row r="604" spans="1:20" x14ac:dyDescent="0.25">
      <c r="A604" s="5">
        <v>43989</v>
      </c>
      <c r="B604">
        <v>2.9670000000000001</v>
      </c>
      <c r="C604">
        <v>2.9889999999999999</v>
      </c>
      <c r="D604">
        <v>2.871</v>
      </c>
      <c r="E604">
        <v>2.9849999999999999</v>
      </c>
      <c r="F604">
        <v>23408.463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0.93220338983050832</v>
      </c>
      <c r="Q604">
        <f t="shared" si="990"/>
        <v>21821.448559322031</v>
      </c>
      <c r="R604">
        <f t="shared" si="991"/>
        <v>3520170.8278721315</v>
      </c>
      <c r="S604">
        <f t="shared" si="992"/>
        <v>35.201708278721313</v>
      </c>
      <c r="T604">
        <f t="shared" si="993"/>
        <v>3.5201708278721315E-2</v>
      </c>
    </row>
    <row r="605" spans="1:20" x14ac:dyDescent="0.25">
      <c r="A605" s="5">
        <v>43988</v>
      </c>
      <c r="B605">
        <v>2.96</v>
      </c>
      <c r="C605">
        <v>3.0009999999999999</v>
      </c>
      <c r="D605">
        <v>2.9359999999999999</v>
      </c>
      <c r="E605">
        <v>2.9830000000000001</v>
      </c>
      <c r="F605">
        <v>43711.171999999999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0.44615384615385206</v>
      </c>
      <c r="Q605">
        <f t="shared" si="990"/>
        <v>19501.907507692566</v>
      </c>
      <c r="R605">
        <f t="shared" si="991"/>
        <v>3498349.3793128096</v>
      </c>
      <c r="S605">
        <f t="shared" si="992"/>
        <v>34.983493793128098</v>
      </c>
      <c r="T605">
        <f t="shared" si="993"/>
        <v>3.4983493793128095E-2</v>
      </c>
    </row>
    <row r="606" spans="1:20" x14ac:dyDescent="0.25">
      <c r="A606" s="5">
        <v>43987</v>
      </c>
      <c r="B606">
        <v>2.988</v>
      </c>
      <c r="C606">
        <v>3.0350000000000001</v>
      </c>
      <c r="D606">
        <v>2.9569999999999999</v>
      </c>
      <c r="E606">
        <v>2.9649999999999999</v>
      </c>
      <c r="F606">
        <v>144293.807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-0.79487179487179549</v>
      </c>
      <c r="Q606">
        <f t="shared" si="990"/>
        <v>-114695.07735897445</v>
      </c>
      <c r="R606">
        <f t="shared" si="991"/>
        <v>3478847.4718051171</v>
      </c>
      <c r="S606">
        <f t="shared" si="992"/>
        <v>34.78847471805117</v>
      </c>
      <c r="T606">
        <f t="shared" si="993"/>
        <v>3.4788474718051167E-2</v>
      </c>
    </row>
    <row r="607" spans="1:20" x14ac:dyDescent="0.25">
      <c r="A607" s="5">
        <v>43986</v>
      </c>
      <c r="B607">
        <v>2.99</v>
      </c>
      <c r="C607">
        <v>3.0190000000000001</v>
      </c>
      <c r="D607">
        <v>2.9129999999999998</v>
      </c>
      <c r="E607">
        <v>2.992</v>
      </c>
      <c r="F607">
        <v>50164.889000000003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0.490566037735848</v>
      </c>
      <c r="Q607">
        <f t="shared" si="990"/>
        <v>24609.190830188629</v>
      </c>
      <c r="R607">
        <f t="shared" si="991"/>
        <v>3593542.5491640917</v>
      </c>
      <c r="S607">
        <f t="shared" si="992"/>
        <v>35.93542549164092</v>
      </c>
      <c r="T607">
        <f t="shared" si="993"/>
        <v>3.5935425491640922E-2</v>
      </c>
    </row>
    <row r="608" spans="1:20" x14ac:dyDescent="0.25">
      <c r="A608" s="5">
        <v>43985</v>
      </c>
      <c r="B608">
        <v>2.9350000000000001</v>
      </c>
      <c r="C608">
        <v>3.0009999999999999</v>
      </c>
      <c r="D608">
        <v>2.8919999999999999</v>
      </c>
      <c r="E608">
        <v>2.984</v>
      </c>
      <c r="F608">
        <v>33355.902999999998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0.6880733944954146</v>
      </c>
      <c r="Q608">
        <f t="shared" si="990"/>
        <v>22951.309403669784</v>
      </c>
      <c r="R608">
        <f t="shared" si="991"/>
        <v>3568933.3583339029</v>
      </c>
      <c r="S608">
        <f t="shared" si="992"/>
        <v>35.689333583339028</v>
      </c>
      <c r="T608">
        <f t="shared" si="993"/>
        <v>3.5689333583339027E-2</v>
      </c>
    </row>
    <row r="609" spans="1:20" x14ac:dyDescent="0.25">
      <c r="A609" s="5">
        <v>43984</v>
      </c>
      <c r="B609">
        <v>3.1269999999999998</v>
      </c>
      <c r="C609">
        <v>3.1389999999999998</v>
      </c>
      <c r="D609">
        <v>2.83</v>
      </c>
      <c r="E609">
        <v>2.9369999999999998</v>
      </c>
      <c r="F609">
        <v>138933.78400000001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-0.30744336569579378</v>
      </c>
      <c r="Q609">
        <f t="shared" si="990"/>
        <v>-42714.270161812427</v>
      </c>
      <c r="R609">
        <f t="shared" si="991"/>
        <v>3545982.0489302333</v>
      </c>
      <c r="S609">
        <f t="shared" si="992"/>
        <v>35.459820489302331</v>
      </c>
      <c r="T609">
        <f t="shared" si="993"/>
        <v>3.5459820489302331E-2</v>
      </c>
    </row>
    <row r="610" spans="1:20" x14ac:dyDescent="0.25">
      <c r="A610" s="5">
        <v>43983</v>
      </c>
      <c r="B610">
        <v>2.9340000000000002</v>
      </c>
      <c r="C610">
        <v>3.1749999999999998</v>
      </c>
      <c r="D610">
        <v>2.9340000000000002</v>
      </c>
      <c r="E610">
        <v>3.1179999999999999</v>
      </c>
      <c r="F610">
        <v>94355.827000000005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0.52697095435684627</v>
      </c>
      <c r="Q610">
        <f t="shared" si="990"/>
        <v>49722.780203319482</v>
      </c>
      <c r="R610">
        <f t="shared" si="991"/>
        <v>3588696.3190920455</v>
      </c>
      <c r="S610">
        <f t="shared" si="992"/>
        <v>35.886963190920454</v>
      </c>
      <c r="T610">
        <f t="shared" si="993"/>
        <v>3.5886963190920454E-2</v>
      </c>
    </row>
    <row r="611" spans="1:20" x14ac:dyDescent="0.25">
      <c r="A611" s="5">
        <v>43982</v>
      </c>
      <c r="B611">
        <v>3.0510000000000002</v>
      </c>
      <c r="C611">
        <v>3.0720000000000001</v>
      </c>
      <c r="D611">
        <v>2.9129999999999998</v>
      </c>
      <c r="E611">
        <v>2.9470000000000001</v>
      </c>
      <c r="F611">
        <v>41705.266000000003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-0.57232704402515477</v>
      </c>
      <c r="Q611">
        <f t="shared" si="990"/>
        <v>-23869.051610062794</v>
      </c>
      <c r="R611">
        <f t="shared" si="991"/>
        <v>3538973.5388887259</v>
      </c>
      <c r="S611">
        <f t="shared" si="992"/>
        <v>35.38973538888726</v>
      </c>
      <c r="T611">
        <f t="shared" si="993"/>
        <v>3.5389735388887261E-2</v>
      </c>
    </row>
    <row r="612" spans="1:20" x14ac:dyDescent="0.25">
      <c r="A612" s="5">
        <v>43981</v>
      </c>
      <c r="B612">
        <v>2.93</v>
      </c>
      <c r="C612">
        <v>3.08</v>
      </c>
      <c r="D612">
        <v>2.9079999999999999</v>
      </c>
      <c r="E612">
        <v>3.0470000000000002</v>
      </c>
      <c r="F612">
        <v>62421.716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0.61627906976744318</v>
      </c>
      <c r="Q612">
        <f t="shared" si="990"/>
        <v>38469.197069767528</v>
      </c>
      <c r="R612">
        <f t="shared" si="991"/>
        <v>3562842.5904987887</v>
      </c>
      <c r="S612">
        <f t="shared" si="992"/>
        <v>35.628425904987886</v>
      </c>
      <c r="T612">
        <f t="shared" si="993"/>
        <v>3.5628425904987888E-2</v>
      </c>
    </row>
    <row r="613" spans="1:20" x14ac:dyDescent="0.25">
      <c r="A613" s="5">
        <v>43980</v>
      </c>
      <c r="B613">
        <v>2.968</v>
      </c>
      <c r="C613">
        <v>2.9950000000000001</v>
      </c>
      <c r="D613">
        <v>2.8820000000000001</v>
      </c>
      <c r="E613">
        <v>2.931</v>
      </c>
      <c r="F613">
        <v>58712.231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-0.13274336283185953</v>
      </c>
      <c r="Q613">
        <f t="shared" si="990"/>
        <v>-7793.6589823009508</v>
      </c>
      <c r="R613">
        <f t="shared" si="991"/>
        <v>3524373.3934290214</v>
      </c>
      <c r="S613">
        <f t="shared" si="992"/>
        <v>35.243733934290212</v>
      </c>
      <c r="T613">
        <f t="shared" si="993"/>
        <v>3.5243733934290214E-2</v>
      </c>
    </row>
    <row r="614" spans="1:20" x14ac:dyDescent="0.25">
      <c r="A614" s="5">
        <v>43979</v>
      </c>
      <c r="B614">
        <v>2.8660000000000001</v>
      </c>
      <c r="C614">
        <v>2.9729999999999999</v>
      </c>
      <c r="D614">
        <v>2.831</v>
      </c>
      <c r="E614">
        <v>2.9649999999999999</v>
      </c>
      <c r="F614">
        <v>103895.664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0.88732394366197165</v>
      </c>
      <c r="Q614">
        <f t="shared" si="990"/>
        <v>92189.110309859141</v>
      </c>
      <c r="R614">
        <f t="shared" si="991"/>
        <v>3532167.0524113225</v>
      </c>
      <c r="S614">
        <f t="shared" si="992"/>
        <v>35.321670524113223</v>
      </c>
      <c r="T614">
        <f t="shared" si="993"/>
        <v>3.5321670524113224E-2</v>
      </c>
    </row>
    <row r="615" spans="1:20" x14ac:dyDescent="0.25">
      <c r="A615" s="5">
        <v>43978</v>
      </c>
      <c r="B615">
        <v>2.8140000000000001</v>
      </c>
      <c r="C615">
        <v>2.887</v>
      </c>
      <c r="D615">
        <v>2.8050000000000002</v>
      </c>
      <c r="E615">
        <v>2.8660000000000001</v>
      </c>
      <c r="F615">
        <v>186076.32199999999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0.48780487804878181</v>
      </c>
      <c r="Q615">
        <f t="shared" si="990"/>
        <v>90768.937560975843</v>
      </c>
      <c r="R615">
        <f t="shared" si="991"/>
        <v>3439977.9421014632</v>
      </c>
      <c r="S615">
        <f t="shared" si="992"/>
        <v>34.399779421014635</v>
      </c>
      <c r="T615">
        <f t="shared" si="993"/>
        <v>3.4399779421014638E-2</v>
      </c>
    </row>
    <row r="616" spans="1:20" x14ac:dyDescent="0.25">
      <c r="A616" s="5">
        <v>43977</v>
      </c>
      <c r="B616">
        <v>2.7839999999999998</v>
      </c>
      <c r="C616">
        <v>2.8260000000000001</v>
      </c>
      <c r="D616">
        <v>2.7639999999999998</v>
      </c>
      <c r="E616">
        <v>2.8140000000000001</v>
      </c>
      <c r="F616">
        <v>124225.149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0.61290322580645296</v>
      </c>
      <c r="Q616">
        <f t="shared" si="990"/>
        <v>76137.994548387273</v>
      </c>
      <c r="R616">
        <f t="shared" si="991"/>
        <v>3349209.0045404872</v>
      </c>
      <c r="S616">
        <f t="shared" si="992"/>
        <v>33.492090045404872</v>
      </c>
      <c r="T616">
        <f t="shared" si="993"/>
        <v>3.349209004540487E-2</v>
      </c>
    </row>
    <row r="617" spans="1:20" x14ac:dyDescent="0.25">
      <c r="A617" s="5">
        <v>43976</v>
      </c>
      <c r="B617">
        <v>2.702</v>
      </c>
      <c r="C617">
        <v>2.806</v>
      </c>
      <c r="D617">
        <v>2.6850000000000001</v>
      </c>
      <c r="E617">
        <v>2.7839999999999998</v>
      </c>
      <c r="F617">
        <v>55739.557000000001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0.63636363636363236</v>
      </c>
      <c r="Q617">
        <f t="shared" si="990"/>
        <v>35470.627181817959</v>
      </c>
      <c r="R617">
        <f t="shared" si="991"/>
        <v>3273071.0099920998</v>
      </c>
      <c r="S617">
        <f t="shared" si="992"/>
        <v>32.730710099920998</v>
      </c>
      <c r="T617">
        <f t="shared" si="993"/>
        <v>3.2730710099920998E-2</v>
      </c>
    </row>
    <row r="618" spans="1:20" x14ac:dyDescent="0.25">
      <c r="A618" s="5">
        <v>43975</v>
      </c>
      <c r="B618">
        <v>2.8359999999999999</v>
      </c>
      <c r="C618">
        <v>2.8969999999999998</v>
      </c>
      <c r="D618">
        <v>2.7090000000000001</v>
      </c>
      <c r="E618">
        <v>2.7090000000000001</v>
      </c>
      <c r="F618">
        <v>60417.394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-1</v>
      </c>
      <c r="Q618">
        <f t="shared" si="990"/>
        <v>-60417.394</v>
      </c>
      <c r="R618">
        <f t="shared" si="991"/>
        <v>3237600.3828102821</v>
      </c>
      <c r="S618">
        <f t="shared" si="992"/>
        <v>32.376003828102817</v>
      </c>
      <c r="T618">
        <f t="shared" si="993"/>
        <v>3.2376003828102816E-2</v>
      </c>
    </row>
    <row r="619" spans="1:20" x14ac:dyDescent="0.25">
      <c r="A619" s="5">
        <v>43974</v>
      </c>
      <c r="B619">
        <v>2.871</v>
      </c>
      <c r="C619">
        <v>2.91</v>
      </c>
      <c r="D619">
        <v>2.8260000000000001</v>
      </c>
      <c r="E619">
        <v>2.8450000000000002</v>
      </c>
      <c r="F619">
        <v>35489.834000000003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-0.54761904761904501</v>
      </c>
      <c r="Q619">
        <f t="shared" si="990"/>
        <v>-19434.909095238003</v>
      </c>
      <c r="R619">
        <f t="shared" si="991"/>
        <v>3298017.7768102819</v>
      </c>
      <c r="S619">
        <f t="shared" si="992"/>
        <v>32.98017776810282</v>
      </c>
      <c r="T619">
        <f t="shared" si="993"/>
        <v>3.2980177768102817E-2</v>
      </c>
    </row>
    <row r="620" spans="1:20" x14ac:dyDescent="0.25">
      <c r="A620" s="5">
        <v>43973</v>
      </c>
      <c r="B620">
        <v>2.7919999999999998</v>
      </c>
      <c r="C620">
        <v>2.887</v>
      </c>
      <c r="D620">
        <v>2.7690000000000001</v>
      </c>
      <c r="E620">
        <v>2.863</v>
      </c>
      <c r="F620">
        <v>175299.90599999999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0.59322033898305004</v>
      </c>
      <c r="Q620">
        <f t="shared" si="990"/>
        <v>103991.4696610168</v>
      </c>
      <c r="R620">
        <f t="shared" si="991"/>
        <v>3317452.6859055199</v>
      </c>
      <c r="S620">
        <f t="shared" si="992"/>
        <v>33.174526859055199</v>
      </c>
      <c r="T620">
        <f t="shared" si="993"/>
        <v>3.3174526859055198E-2</v>
      </c>
    </row>
    <row r="621" spans="1:20" x14ac:dyDescent="0.25">
      <c r="A621" s="5">
        <v>43972</v>
      </c>
      <c r="B621">
        <v>2.9319999999999999</v>
      </c>
      <c r="C621">
        <v>2.9590000000000001</v>
      </c>
      <c r="D621">
        <v>2.726</v>
      </c>
      <c r="E621">
        <v>2.7909999999999999</v>
      </c>
      <c r="F621">
        <v>193725.897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-0.44206008583691053</v>
      </c>
      <c r="Q621">
        <f t="shared" si="990"/>
        <v>-85638.486656652487</v>
      </c>
      <c r="R621">
        <f t="shared" si="991"/>
        <v>3213461.2162445029</v>
      </c>
      <c r="S621">
        <f t="shared" si="992"/>
        <v>32.13461216244503</v>
      </c>
      <c r="T621">
        <f t="shared" si="993"/>
        <v>3.213461216244503E-2</v>
      </c>
    </row>
    <row r="622" spans="1:20" x14ac:dyDescent="0.25">
      <c r="A622" s="5">
        <v>43971</v>
      </c>
      <c r="B622">
        <v>3.0550000000000002</v>
      </c>
      <c r="C622">
        <v>3.0619999999999998</v>
      </c>
      <c r="D622">
        <v>2.891</v>
      </c>
      <c r="E622">
        <v>2.9420000000000002</v>
      </c>
      <c r="F622">
        <v>66692.048999999999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-0.4035087719298221</v>
      </c>
      <c r="Q622">
        <f t="shared" si="990"/>
        <v>-26910.826789473518</v>
      </c>
      <c r="R622">
        <f t="shared" si="991"/>
        <v>3299099.7029011552</v>
      </c>
      <c r="S622">
        <f t="shared" si="992"/>
        <v>32.990997029011552</v>
      </c>
      <c r="T622">
        <f t="shared" si="993"/>
        <v>3.2990997029011551E-2</v>
      </c>
    </row>
    <row r="623" spans="1:20" x14ac:dyDescent="0.25">
      <c r="A623" s="5">
        <v>43970</v>
      </c>
      <c r="B623">
        <v>3.0339999999999998</v>
      </c>
      <c r="C623">
        <v>3.0710000000000002</v>
      </c>
      <c r="D623">
        <v>2.948</v>
      </c>
      <c r="E623">
        <v>3.056</v>
      </c>
      <c r="F623">
        <v>177852.42800000001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0.75609756097560821</v>
      </c>
      <c r="Q623">
        <f t="shared" si="990"/>
        <v>134473.78702438998</v>
      </c>
      <c r="R623">
        <f t="shared" si="991"/>
        <v>3326010.5296906289</v>
      </c>
      <c r="S623">
        <f t="shared" si="992"/>
        <v>33.260105296906289</v>
      </c>
      <c r="T623">
        <f t="shared" si="993"/>
        <v>3.3260105296906289E-2</v>
      </c>
    </row>
    <row r="624" spans="1:20" x14ac:dyDescent="0.25">
      <c r="A624" s="5">
        <v>43969</v>
      </c>
      <c r="B624">
        <v>2.9990000000000001</v>
      </c>
      <c r="C624">
        <v>3.085</v>
      </c>
      <c r="D624">
        <v>2.9609999999999999</v>
      </c>
      <c r="E624">
        <v>3.0310000000000001</v>
      </c>
      <c r="F624">
        <v>74452.731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0.12903225806451971</v>
      </c>
      <c r="Q624">
        <f t="shared" si="990"/>
        <v>9606.8040000002657</v>
      </c>
      <c r="R624">
        <f t="shared" si="991"/>
        <v>3191536.7426662389</v>
      </c>
      <c r="S624">
        <f t="shared" si="992"/>
        <v>31.915367426662389</v>
      </c>
      <c r="T624">
        <f t="shared" si="993"/>
        <v>3.1915367426662386E-2</v>
      </c>
    </row>
    <row r="625" spans="1:20" x14ac:dyDescent="0.25">
      <c r="A625" s="5">
        <v>43968</v>
      </c>
      <c r="B625">
        <v>2.915</v>
      </c>
      <c r="C625">
        <v>3.05</v>
      </c>
      <c r="D625">
        <v>2.9140000000000001</v>
      </c>
      <c r="E625">
        <v>2.9849999999999999</v>
      </c>
      <c r="F625">
        <v>53085.743999999999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4.411764705882204E-2</v>
      </c>
      <c r="Q625">
        <f t="shared" si="990"/>
        <v>2342.0181176469796</v>
      </c>
      <c r="R625">
        <f t="shared" si="991"/>
        <v>3181929.9386662384</v>
      </c>
      <c r="S625">
        <f t="shared" si="992"/>
        <v>31.819299386662383</v>
      </c>
      <c r="T625">
        <f t="shared" si="993"/>
        <v>3.1819299386662385E-2</v>
      </c>
    </row>
    <row r="626" spans="1:20" x14ac:dyDescent="0.25">
      <c r="A626" s="5">
        <v>43967</v>
      </c>
      <c r="B626">
        <v>2.8849999999999998</v>
      </c>
      <c r="C626">
        <v>2.972</v>
      </c>
      <c r="D626">
        <v>2.8559999999999999</v>
      </c>
      <c r="E626">
        <v>2.9180000000000001</v>
      </c>
      <c r="F626">
        <v>22763.803</v>
      </c>
      <c r="G626">
        <v>0</v>
      </c>
      <c r="L626" t="s">
        <v>7</v>
      </c>
      <c r="M626" t="s">
        <v>7</v>
      </c>
      <c r="N626" t="s">
        <v>8</v>
      </c>
      <c r="P626">
        <f t="shared" si="989"/>
        <v>6.896551724138314E-2</v>
      </c>
      <c r="Q626">
        <f t="shared" si="990"/>
        <v>1569.9174482759493</v>
      </c>
      <c r="R626">
        <f t="shared" si="991"/>
        <v>3179587.9205485913</v>
      </c>
      <c r="S626">
        <f t="shared" si="992"/>
        <v>31.795879205485914</v>
      </c>
      <c r="T626">
        <f t="shared" si="993"/>
        <v>3.1795879205485912E-2</v>
      </c>
    </row>
    <row r="627" spans="1:20" x14ac:dyDescent="0.25">
      <c r="A627" s="5">
        <v>43966</v>
      </c>
      <c r="B627">
        <v>3.0030000000000001</v>
      </c>
      <c r="C627">
        <v>3.01</v>
      </c>
      <c r="D627">
        <v>2.8279999999999998</v>
      </c>
      <c r="E627">
        <v>2.8690000000000002</v>
      </c>
      <c r="F627">
        <v>186673.3</v>
      </c>
      <c r="G627">
        <v>0</v>
      </c>
      <c r="L627" t="s">
        <v>7</v>
      </c>
      <c r="M627" t="s">
        <v>7</v>
      </c>
      <c r="N627" t="s">
        <v>8</v>
      </c>
      <c r="P627">
        <f t="shared" si="989"/>
        <v>-0.54945054945054528</v>
      </c>
      <c r="Q627">
        <f t="shared" si="990"/>
        <v>-102567.74725274647</v>
      </c>
      <c r="R627">
        <f t="shared" si="991"/>
        <v>3178018.0031003156</v>
      </c>
      <c r="S627">
        <f t="shared" si="992"/>
        <v>31.780180031003155</v>
      </c>
      <c r="T627">
        <f t="shared" si="993"/>
        <v>3.1780180031003157E-2</v>
      </c>
    </row>
    <row r="628" spans="1:20" x14ac:dyDescent="0.25">
      <c r="A628" s="5">
        <v>43965</v>
      </c>
      <c r="B628">
        <v>2.923</v>
      </c>
      <c r="C628">
        <v>3.0539999999999998</v>
      </c>
      <c r="D628">
        <v>2.8879999999999999</v>
      </c>
      <c r="E628">
        <v>3</v>
      </c>
      <c r="F628">
        <v>70696.951000000001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0.34939759036144757</v>
      </c>
      <c r="Q628">
        <f t="shared" si="990"/>
        <v>24701.344325301332</v>
      </c>
      <c r="R628">
        <f t="shared" si="991"/>
        <v>3280585.7503530621</v>
      </c>
      <c r="S628">
        <f t="shared" si="992"/>
        <v>32.805857503530618</v>
      </c>
      <c r="T628">
        <f t="shared" si="993"/>
        <v>3.2805857503530621E-2</v>
      </c>
    </row>
    <row r="629" spans="1:20" x14ac:dyDescent="0.25">
      <c r="A629" s="5">
        <v>43964</v>
      </c>
      <c r="B629">
        <v>2.8090000000000002</v>
      </c>
      <c r="C629">
        <v>2.9420000000000002</v>
      </c>
      <c r="D629">
        <v>2.7949999999999999</v>
      </c>
      <c r="E629">
        <v>2.9140000000000001</v>
      </c>
      <c r="F629">
        <v>69007.214999999997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0.61904761904761929</v>
      </c>
      <c r="Q629">
        <f t="shared" si="990"/>
        <v>42718.752142857156</v>
      </c>
      <c r="R629">
        <f t="shared" si="991"/>
        <v>3255884.4060277608</v>
      </c>
      <c r="S629">
        <f t="shared" si="992"/>
        <v>32.558844060277607</v>
      </c>
      <c r="T629">
        <f t="shared" si="993"/>
        <v>3.2558844060277606E-2</v>
      </c>
    </row>
    <row r="630" spans="1:20" x14ac:dyDescent="0.25">
      <c r="A630" s="5">
        <v>43963</v>
      </c>
      <c r="B630">
        <v>2.7250000000000001</v>
      </c>
      <c r="C630">
        <v>2.8570000000000002</v>
      </c>
      <c r="D630">
        <v>2.7160000000000002</v>
      </c>
      <c r="E630">
        <v>2.8079999999999998</v>
      </c>
      <c r="F630">
        <v>128145.902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0.30496453900708692</v>
      </c>
      <c r="Q630">
        <f t="shared" si="990"/>
        <v>39079.95592907734</v>
      </c>
      <c r="R630">
        <f t="shared" si="991"/>
        <v>3213165.6538849035</v>
      </c>
      <c r="S630">
        <f t="shared" si="992"/>
        <v>32.131656538849036</v>
      </c>
      <c r="T630">
        <f t="shared" si="993"/>
        <v>3.2131656538849036E-2</v>
      </c>
    </row>
    <row r="631" spans="1:20" x14ac:dyDescent="0.25">
      <c r="A631" s="5">
        <v>43962</v>
      </c>
      <c r="B631">
        <v>2.7549999999999999</v>
      </c>
      <c r="C631">
        <v>2.8439999999999999</v>
      </c>
      <c r="D631">
        <v>2.5870000000000002</v>
      </c>
      <c r="E631">
        <v>2.72</v>
      </c>
      <c r="F631">
        <v>341200.99200000003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3.5019455252919662E-2</v>
      </c>
      <c r="Q631">
        <f t="shared" si="990"/>
        <v>11948.672871595802</v>
      </c>
      <c r="R631">
        <f t="shared" si="991"/>
        <v>3174085.6979558263</v>
      </c>
      <c r="S631">
        <f t="shared" si="992"/>
        <v>31.740856979558263</v>
      </c>
      <c r="T631">
        <f t="shared" si="993"/>
        <v>3.1740856979558266E-2</v>
      </c>
    </row>
    <row r="632" spans="1:20" x14ac:dyDescent="0.25">
      <c r="A632" s="5">
        <v>43961</v>
      </c>
      <c r="B632">
        <v>3.01</v>
      </c>
      <c r="C632">
        <v>3.0129999999999999</v>
      </c>
      <c r="D632">
        <v>2.6680000000000001</v>
      </c>
      <c r="E632">
        <v>2.7570000000000001</v>
      </c>
      <c r="F632">
        <v>273409.61300000001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-0.48405797101449255</v>
      </c>
      <c r="Q632">
        <f t="shared" si="990"/>
        <v>-132346.10252463762</v>
      </c>
      <c r="R632">
        <f t="shared" si="991"/>
        <v>3162137.0250842306</v>
      </c>
      <c r="S632">
        <f t="shared" si="992"/>
        <v>31.621370250842308</v>
      </c>
      <c r="T632">
        <f t="shared" si="993"/>
        <v>3.1621370250842308E-2</v>
      </c>
    </row>
    <row r="633" spans="1:20" x14ac:dyDescent="0.25">
      <c r="A633" s="5">
        <v>43960</v>
      </c>
      <c r="B633">
        <v>3.0960000000000001</v>
      </c>
      <c r="C633">
        <v>3.1309999999999998</v>
      </c>
      <c r="D633">
        <v>3.0110000000000001</v>
      </c>
      <c r="E633">
        <v>3.0209999999999999</v>
      </c>
      <c r="F633">
        <v>69522.797999999995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-0.83333333333333637</v>
      </c>
      <c r="Q633">
        <f t="shared" si="990"/>
        <v>-57935.665000000205</v>
      </c>
      <c r="R633">
        <f t="shared" si="991"/>
        <v>3294483.1276088683</v>
      </c>
      <c r="S633">
        <f t="shared" si="992"/>
        <v>32.944831276088685</v>
      </c>
      <c r="T633">
        <f t="shared" si="993"/>
        <v>3.2944831276088687E-2</v>
      </c>
    </row>
    <row r="634" spans="1:20" x14ac:dyDescent="0.25">
      <c r="A634" s="5">
        <v>43959</v>
      </c>
      <c r="B634">
        <v>3.16</v>
      </c>
      <c r="C634">
        <v>3.2029999999999998</v>
      </c>
      <c r="D634">
        <v>3.093</v>
      </c>
      <c r="E634">
        <v>3.1070000000000002</v>
      </c>
      <c r="F634">
        <v>114155.88099999999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-0.74545454545454093</v>
      </c>
      <c r="Q634">
        <f t="shared" si="990"/>
        <v>-85098.020381817667</v>
      </c>
      <c r="R634">
        <f t="shared" si="991"/>
        <v>3352418.7926088683</v>
      </c>
      <c r="S634">
        <f t="shared" si="992"/>
        <v>33.524187926088686</v>
      </c>
      <c r="T634">
        <f t="shared" si="993"/>
        <v>3.3524187926088689E-2</v>
      </c>
    </row>
    <row r="635" spans="1:20" x14ac:dyDescent="0.25">
      <c r="A635" s="5">
        <v>43958</v>
      </c>
      <c r="B635">
        <v>3.0150000000000001</v>
      </c>
      <c r="C635">
        <v>3.206</v>
      </c>
      <c r="D635">
        <v>2.96</v>
      </c>
      <c r="E635">
        <v>3.1760000000000002</v>
      </c>
      <c r="F635">
        <v>157606.19500000001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0.75609756097561132</v>
      </c>
      <c r="Q635">
        <f t="shared" si="990"/>
        <v>119165.65963414659</v>
      </c>
      <c r="R635">
        <f t="shared" si="991"/>
        <v>3437516.8129906859</v>
      </c>
      <c r="S635">
        <f t="shared" si="992"/>
        <v>34.375168129906861</v>
      </c>
      <c r="T635">
        <f t="shared" si="993"/>
        <v>3.4375168129906861E-2</v>
      </c>
    </row>
    <row r="636" spans="1:20" x14ac:dyDescent="0.25">
      <c r="A636" s="5">
        <v>43957</v>
      </c>
      <c r="B636">
        <v>3.1589999999999998</v>
      </c>
      <c r="C636">
        <v>3.2480000000000002</v>
      </c>
      <c r="D636">
        <v>3.01</v>
      </c>
      <c r="E636">
        <v>3.0190000000000001</v>
      </c>
      <c r="F636">
        <v>213416.29399999999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-0.92436974789915693</v>
      </c>
      <c r="Q636">
        <f t="shared" si="990"/>
        <v>-197275.56588235236</v>
      </c>
      <c r="R636">
        <f t="shared" si="991"/>
        <v>3318351.1533565396</v>
      </c>
      <c r="S636">
        <f t="shared" si="992"/>
        <v>33.183511533565394</v>
      </c>
      <c r="T636">
        <f t="shared" si="993"/>
        <v>3.3183511533565392E-2</v>
      </c>
    </row>
    <row r="637" spans="1:20" x14ac:dyDescent="0.25">
      <c r="A637" s="5">
        <v>43956</v>
      </c>
      <c r="B637">
        <v>3.1360000000000001</v>
      </c>
      <c r="C637">
        <v>3.1989999999999998</v>
      </c>
      <c r="D637">
        <v>3.08</v>
      </c>
      <c r="E637">
        <v>3.1579999999999999</v>
      </c>
      <c r="F637">
        <v>48435.663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0.31092436974789911</v>
      </c>
      <c r="Q637">
        <f t="shared" si="990"/>
        <v>15059.827991596636</v>
      </c>
      <c r="R637">
        <f t="shared" si="991"/>
        <v>3515626.7192388917</v>
      </c>
      <c r="S637">
        <f t="shared" si="992"/>
        <v>35.156267192388917</v>
      </c>
      <c r="T637">
        <f t="shared" si="993"/>
        <v>3.5156267192388915E-2</v>
      </c>
    </row>
    <row r="638" spans="1:20" x14ac:dyDescent="0.25">
      <c r="A638" s="5">
        <v>43955</v>
      </c>
      <c r="B638">
        <v>3.1509999999999998</v>
      </c>
      <c r="C638">
        <v>3.1680000000000001</v>
      </c>
      <c r="D638">
        <v>2.996</v>
      </c>
      <c r="E638">
        <v>3.13</v>
      </c>
      <c r="F638">
        <v>53093.45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0.55813953488371837</v>
      </c>
      <c r="Q638">
        <f t="shared" si="990"/>
        <v>29633.553488371956</v>
      </c>
      <c r="R638">
        <f t="shared" si="991"/>
        <v>3500566.8912472953</v>
      </c>
      <c r="S638">
        <f t="shared" si="992"/>
        <v>35.005668912472956</v>
      </c>
      <c r="T638">
        <f t="shared" si="993"/>
        <v>3.5005668912472955E-2</v>
      </c>
    </row>
    <row r="639" spans="1:20" x14ac:dyDescent="0.25">
      <c r="A639" s="5">
        <v>43954</v>
      </c>
      <c r="B639">
        <v>3.2029999999999998</v>
      </c>
      <c r="C639">
        <v>3.266</v>
      </c>
      <c r="D639">
        <v>3.093</v>
      </c>
      <c r="E639">
        <v>3.1520000000000001</v>
      </c>
      <c r="F639">
        <v>38886.536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-0.31791907514450696</v>
      </c>
      <c r="Q639">
        <f t="shared" si="990"/>
        <v>-12362.771560693574</v>
      </c>
      <c r="R639">
        <f t="shared" si="991"/>
        <v>3470933.3377589234</v>
      </c>
      <c r="S639">
        <f t="shared" si="992"/>
        <v>34.709333377589232</v>
      </c>
      <c r="T639">
        <f t="shared" si="993"/>
        <v>3.4709333377589233E-2</v>
      </c>
    </row>
    <row r="640" spans="1:20" x14ac:dyDescent="0.25">
      <c r="A640" s="5">
        <v>43953</v>
      </c>
      <c r="B640">
        <v>3.1659999999999999</v>
      </c>
      <c r="C640">
        <v>3.2120000000000002</v>
      </c>
      <c r="D640">
        <v>3.153</v>
      </c>
      <c r="E640">
        <v>3.198</v>
      </c>
      <c r="F640">
        <v>81434.891000000003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0.5254237288135527</v>
      </c>
      <c r="Q640">
        <f t="shared" si="990"/>
        <v>42787.824084745225</v>
      </c>
      <c r="R640">
        <f t="shared" si="991"/>
        <v>3483296.109319617</v>
      </c>
      <c r="S640">
        <f t="shared" si="992"/>
        <v>34.832961093196168</v>
      </c>
      <c r="T640">
        <f t="shared" si="993"/>
        <v>3.4832961093196169E-2</v>
      </c>
    </row>
    <row r="641" spans="1:20" x14ac:dyDescent="0.25">
      <c r="A641" s="5">
        <v>43952</v>
      </c>
      <c r="B641">
        <v>3.1</v>
      </c>
      <c r="C641">
        <v>3.2370000000000001</v>
      </c>
      <c r="D641">
        <v>3.1</v>
      </c>
      <c r="E641">
        <v>3.1890000000000001</v>
      </c>
      <c r="F641">
        <v>93025.069000000003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0.29927007299270014</v>
      </c>
      <c r="Q641">
        <f t="shared" si="990"/>
        <v>27839.619189780969</v>
      </c>
      <c r="R641">
        <f t="shared" si="991"/>
        <v>3440508.2852348718</v>
      </c>
      <c r="S641">
        <f t="shared" si="992"/>
        <v>34.40508285234872</v>
      </c>
      <c r="T641">
        <f t="shared" si="993"/>
        <v>3.4405082852348723E-2</v>
      </c>
    </row>
    <row r="642" spans="1:20" x14ac:dyDescent="0.25">
      <c r="A642" s="5">
        <v>43951</v>
      </c>
      <c r="B642">
        <v>3.1349999999999998</v>
      </c>
      <c r="C642">
        <v>3.3540000000000001</v>
      </c>
      <c r="D642">
        <v>3.01</v>
      </c>
      <c r="E642">
        <v>3.093</v>
      </c>
      <c r="F642">
        <v>253703.71900000001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-0.51744186046511564</v>
      </c>
      <c r="Q642">
        <f t="shared" si="990"/>
        <v>-131276.92436627892</v>
      </c>
      <c r="R642">
        <f t="shared" si="991"/>
        <v>3412668.6660450906</v>
      </c>
      <c r="S642">
        <f t="shared" si="992"/>
        <v>34.126686660450908</v>
      </c>
      <c r="T642">
        <f t="shared" si="993"/>
        <v>3.4126686660450906E-2</v>
      </c>
    </row>
    <row r="643" spans="1:20" x14ac:dyDescent="0.25">
      <c r="A643" s="5">
        <v>43950</v>
      </c>
      <c r="B643">
        <v>2.879</v>
      </c>
      <c r="C643">
        <v>3.1960000000000002</v>
      </c>
      <c r="D643">
        <v>2.8719999999999999</v>
      </c>
      <c r="E643">
        <v>3.141</v>
      </c>
      <c r="F643">
        <v>246586.98300000001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0.6604938271604931</v>
      </c>
      <c r="Q643">
        <f t="shared" si="990"/>
        <v>162869.18012962944</v>
      </c>
      <c r="R643">
        <f t="shared" si="991"/>
        <v>3543945.5904113697</v>
      </c>
      <c r="S643">
        <f t="shared" si="992"/>
        <v>35.4394559041137</v>
      </c>
      <c r="T643">
        <f t="shared" si="993"/>
        <v>3.5439455904113702E-2</v>
      </c>
    </row>
    <row r="644" spans="1:20" x14ac:dyDescent="0.25">
      <c r="A644" s="5">
        <v>43949</v>
      </c>
      <c r="B644">
        <v>2.887</v>
      </c>
      <c r="C644">
        <v>2.9089999999999998</v>
      </c>
      <c r="D644">
        <v>2.843</v>
      </c>
      <c r="E644">
        <v>2.8860000000000001</v>
      </c>
      <c r="F644">
        <v>76878.764999999999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0.30303030303031075</v>
      </c>
      <c r="Q644">
        <f t="shared" si="990"/>
        <v>23296.595454546048</v>
      </c>
      <c r="R644">
        <f t="shared" si="991"/>
        <v>3381076.4102817401</v>
      </c>
      <c r="S644">
        <f t="shared" si="992"/>
        <v>33.810764102817402</v>
      </c>
      <c r="T644">
        <f t="shared" si="993"/>
        <v>3.3810764102817401E-2</v>
      </c>
    </row>
    <row r="645" spans="1:20" x14ac:dyDescent="0.25">
      <c r="A645" s="5">
        <v>43948</v>
      </c>
      <c r="B645">
        <v>2.871</v>
      </c>
      <c r="C645">
        <v>2.89</v>
      </c>
      <c r="D645">
        <v>2.794</v>
      </c>
      <c r="E645">
        <v>2.887</v>
      </c>
      <c r="F645">
        <v>77442.891000000003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0.93749999999999767</v>
      </c>
      <c r="Q645">
        <f t="shared" si="990"/>
        <v>72602.710312499825</v>
      </c>
      <c r="R645">
        <f t="shared" si="991"/>
        <v>3357779.814827194</v>
      </c>
      <c r="S645">
        <f t="shared" si="992"/>
        <v>33.577798148271938</v>
      </c>
      <c r="T645">
        <f t="shared" si="993"/>
        <v>3.3577798148271935E-2</v>
      </c>
    </row>
    <row r="646" spans="1:20" x14ac:dyDescent="0.25">
      <c r="A646" s="5">
        <v>43947</v>
      </c>
      <c r="B646">
        <v>2.83</v>
      </c>
      <c r="C646">
        <v>2.875</v>
      </c>
      <c r="D646">
        <v>2.8010000000000002</v>
      </c>
      <c r="E646">
        <v>2.8559999999999999</v>
      </c>
      <c r="F646">
        <v>39621.824999999997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0.48648648648648196</v>
      </c>
      <c r="Q646">
        <f t="shared" ref="Q646:Q709" si="995">F646*P646</f>
        <v>19275.482432432251</v>
      </c>
      <c r="R646">
        <f t="shared" ref="R646:R709" si="996">R647+Q646</f>
        <v>3285177.1045146943</v>
      </c>
      <c r="S646">
        <f t="shared" ref="S646:S709" si="997">R646/100000</f>
        <v>32.85177104514694</v>
      </c>
      <c r="T646">
        <f t="shared" ref="T646:T709" si="998">S646/1000</f>
        <v>3.2851771045146937E-2</v>
      </c>
    </row>
    <row r="647" spans="1:20" x14ac:dyDescent="0.25">
      <c r="A647" s="5">
        <v>43946</v>
      </c>
      <c r="B647">
        <v>2.7890000000000001</v>
      </c>
      <c r="C647">
        <v>2.89</v>
      </c>
      <c r="D647">
        <v>2.7690000000000001</v>
      </c>
      <c r="E647">
        <v>2.831</v>
      </c>
      <c r="F647">
        <v>50120.550999999999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2.4793388429749336E-2</v>
      </c>
      <c r="Q647">
        <f t="shared" si="995"/>
        <v>1242.6582892560616</v>
      </c>
      <c r="R647">
        <f t="shared" si="996"/>
        <v>3265901.6220822618</v>
      </c>
      <c r="S647">
        <f t="shared" si="997"/>
        <v>32.659016220822622</v>
      </c>
      <c r="T647">
        <f t="shared" si="998"/>
        <v>3.2659016220822623E-2</v>
      </c>
    </row>
    <row r="648" spans="1:20" x14ac:dyDescent="0.25">
      <c r="A648" s="5">
        <v>43945</v>
      </c>
      <c r="B648">
        <v>2.78</v>
      </c>
      <c r="C648">
        <v>2.8330000000000002</v>
      </c>
      <c r="D648">
        <v>2.754</v>
      </c>
      <c r="E648">
        <v>2.78</v>
      </c>
      <c r="F648">
        <v>127233.795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-0.34177215189874072</v>
      </c>
      <c r="Q648">
        <f t="shared" si="995"/>
        <v>-43484.967911393236</v>
      </c>
      <c r="R648">
        <f t="shared" si="996"/>
        <v>3264658.9637930058</v>
      </c>
      <c r="S648">
        <f t="shared" si="997"/>
        <v>32.646589637930056</v>
      </c>
      <c r="T648">
        <f t="shared" si="998"/>
        <v>3.2646589637930053E-2</v>
      </c>
    </row>
    <row r="649" spans="1:20" x14ac:dyDescent="0.25">
      <c r="A649" s="5">
        <v>43944</v>
      </c>
      <c r="B649">
        <v>2.7050000000000001</v>
      </c>
      <c r="C649">
        <v>2.8849999999999998</v>
      </c>
      <c r="D649">
        <v>2.6629999999999998</v>
      </c>
      <c r="E649">
        <v>2.7789999999999999</v>
      </c>
      <c r="F649">
        <v>169747.95699999999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4.5045045045046091E-2</v>
      </c>
      <c r="Q649">
        <f t="shared" si="995"/>
        <v>7646.3043693695463</v>
      </c>
      <c r="R649">
        <f t="shared" si="996"/>
        <v>3308143.9317043992</v>
      </c>
      <c r="S649">
        <f t="shared" si="997"/>
        <v>33.081439317043994</v>
      </c>
      <c r="T649">
        <f t="shared" si="998"/>
        <v>3.3081439317043992E-2</v>
      </c>
    </row>
    <row r="650" spans="1:20" x14ac:dyDescent="0.25">
      <c r="A650" s="5">
        <v>43943</v>
      </c>
      <c r="B650">
        <v>2.577</v>
      </c>
      <c r="C650">
        <v>2.7309999999999999</v>
      </c>
      <c r="D650">
        <v>2.569</v>
      </c>
      <c r="E650">
        <v>2.718</v>
      </c>
      <c r="F650">
        <v>70859.588000000003</v>
      </c>
      <c r="G650">
        <v>0</v>
      </c>
      <c r="L650" t="s">
        <v>7</v>
      </c>
      <c r="M650" t="s">
        <v>8</v>
      </c>
      <c r="N650" t="s">
        <v>8</v>
      </c>
      <c r="P650">
        <f t="shared" si="994"/>
        <v>0.83950617283950735</v>
      </c>
      <c r="Q650">
        <f t="shared" si="995"/>
        <v>59487.061530864281</v>
      </c>
      <c r="R650">
        <f t="shared" si="996"/>
        <v>3300497.6273350297</v>
      </c>
      <c r="S650">
        <f t="shared" si="997"/>
        <v>33.004976273350294</v>
      </c>
      <c r="T650">
        <f t="shared" si="998"/>
        <v>3.3004976273350292E-2</v>
      </c>
    </row>
    <row r="651" spans="1:20" x14ac:dyDescent="0.25">
      <c r="A651" s="5">
        <v>43942</v>
      </c>
      <c r="B651">
        <v>2.5779999999999998</v>
      </c>
      <c r="C651">
        <v>2.637</v>
      </c>
      <c r="D651">
        <v>2.5550000000000002</v>
      </c>
      <c r="E651">
        <v>2.5760000000000001</v>
      </c>
      <c r="F651">
        <v>153835.48800000001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-0.48780487804878181</v>
      </c>
      <c r="Q651">
        <f t="shared" si="995"/>
        <v>-75041.701463414836</v>
      </c>
      <c r="R651">
        <f t="shared" si="996"/>
        <v>3241010.5658041653</v>
      </c>
      <c r="S651">
        <f t="shared" si="997"/>
        <v>32.410105658041651</v>
      </c>
      <c r="T651">
        <f t="shared" si="998"/>
        <v>3.2410105658041651E-2</v>
      </c>
    </row>
    <row r="652" spans="1:20" x14ac:dyDescent="0.25">
      <c r="A652" s="5">
        <v>43941</v>
      </c>
      <c r="B652">
        <v>2.7309999999999999</v>
      </c>
      <c r="C652">
        <v>2.7930000000000001</v>
      </c>
      <c r="D652">
        <v>2.5499999999999998</v>
      </c>
      <c r="E652">
        <v>2.58</v>
      </c>
      <c r="F652">
        <v>154147.15700000001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-0.75308641975308466</v>
      </c>
      <c r="Q652">
        <f t="shared" si="995"/>
        <v>-116086.13058024665</v>
      </c>
      <c r="R652">
        <f t="shared" si="996"/>
        <v>3316052.2672675801</v>
      </c>
      <c r="S652">
        <f t="shared" si="997"/>
        <v>33.160522672675803</v>
      </c>
      <c r="T652">
        <f t="shared" si="998"/>
        <v>3.3160522672675802E-2</v>
      </c>
    </row>
    <row r="653" spans="1:20" x14ac:dyDescent="0.25">
      <c r="A653" s="5">
        <v>43940</v>
      </c>
      <c r="B653">
        <v>2.8069999999999999</v>
      </c>
      <c r="C653">
        <v>2.8069999999999999</v>
      </c>
      <c r="D653">
        <v>2.6949999999999998</v>
      </c>
      <c r="E653">
        <v>2.738</v>
      </c>
      <c r="F653">
        <v>41370.572999999997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-0.23214285714285515</v>
      </c>
      <c r="Q653">
        <f t="shared" si="995"/>
        <v>-9603.8830178570606</v>
      </c>
      <c r="R653">
        <f t="shared" si="996"/>
        <v>3432138.3978478266</v>
      </c>
      <c r="S653">
        <f t="shared" si="997"/>
        <v>34.321383978478266</v>
      </c>
      <c r="T653">
        <f t="shared" si="998"/>
        <v>3.4321383978478268E-2</v>
      </c>
    </row>
    <row r="654" spans="1:20" x14ac:dyDescent="0.25">
      <c r="A654" s="5">
        <v>43939</v>
      </c>
      <c r="B654">
        <v>2.6949999999999998</v>
      </c>
      <c r="C654">
        <v>2.8180000000000001</v>
      </c>
      <c r="D654">
        <v>2.6949999999999998</v>
      </c>
      <c r="E654">
        <v>2.7949999999999999</v>
      </c>
      <c r="F654">
        <v>93054.872000000003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0.62601626016260015</v>
      </c>
      <c r="Q654">
        <f t="shared" si="995"/>
        <v>58253.862959349455</v>
      </c>
      <c r="R654">
        <f t="shared" si="996"/>
        <v>3441742.2808656837</v>
      </c>
      <c r="S654">
        <f t="shared" si="997"/>
        <v>34.417422808656838</v>
      </c>
      <c r="T654">
        <f t="shared" si="998"/>
        <v>3.4417422808656839E-2</v>
      </c>
    </row>
    <row r="655" spans="1:20" x14ac:dyDescent="0.25">
      <c r="A655" s="5">
        <v>43938</v>
      </c>
      <c r="B655">
        <v>2.7210000000000001</v>
      </c>
      <c r="C655">
        <v>2.7440000000000002</v>
      </c>
      <c r="D655">
        <v>2.6619999999999999</v>
      </c>
      <c r="E655">
        <v>2.6970000000000001</v>
      </c>
      <c r="F655">
        <v>103717.302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-0.14634146341463375</v>
      </c>
      <c r="Q655">
        <f t="shared" si="995"/>
        <v>-15178.141756097519</v>
      </c>
      <c r="R655">
        <f t="shared" si="996"/>
        <v>3383488.4179063342</v>
      </c>
      <c r="S655">
        <f t="shared" si="997"/>
        <v>33.834884179063344</v>
      </c>
      <c r="T655">
        <f t="shared" si="998"/>
        <v>3.3834884179063343E-2</v>
      </c>
    </row>
    <row r="656" spans="1:20" x14ac:dyDescent="0.25">
      <c r="A656" s="5">
        <v>43937</v>
      </c>
      <c r="B656">
        <v>2.4910000000000001</v>
      </c>
      <c r="C656">
        <v>2.7370000000000001</v>
      </c>
      <c r="D656">
        <v>2.4359999999999999</v>
      </c>
      <c r="E656">
        <v>2.7090000000000001</v>
      </c>
      <c r="F656">
        <v>187160.28</v>
      </c>
      <c r="G656">
        <v>0</v>
      </c>
      <c r="L656" t="s">
        <v>8</v>
      </c>
      <c r="M656" t="s">
        <v>8</v>
      </c>
      <c r="N656" t="s">
        <v>8</v>
      </c>
      <c r="P656">
        <f t="shared" si="994"/>
        <v>0.81395348837209291</v>
      </c>
      <c r="Q656">
        <f t="shared" si="995"/>
        <v>152339.76279069766</v>
      </c>
      <c r="R656">
        <f t="shared" si="996"/>
        <v>3398666.5596624315</v>
      </c>
      <c r="S656">
        <f t="shared" si="997"/>
        <v>33.986665596624313</v>
      </c>
      <c r="T656">
        <f t="shared" si="998"/>
        <v>3.3986665596624312E-2</v>
      </c>
    </row>
    <row r="657" spans="1:20" x14ac:dyDescent="0.25">
      <c r="A657" s="5">
        <v>43936</v>
      </c>
      <c r="B657">
        <v>2.6040000000000001</v>
      </c>
      <c r="C657">
        <v>2.6509999999999998</v>
      </c>
      <c r="D657">
        <v>2.4929999999999999</v>
      </c>
      <c r="E657">
        <v>2.5070000000000001</v>
      </c>
      <c r="F657">
        <v>48779.826000000001</v>
      </c>
      <c r="G657">
        <v>0</v>
      </c>
      <c r="L657" t="s">
        <v>8</v>
      </c>
      <c r="M657" t="s">
        <v>8</v>
      </c>
      <c r="N657" t="s">
        <v>8</v>
      </c>
      <c r="P657">
        <f t="shared" si="994"/>
        <v>-0.82278481012657922</v>
      </c>
      <c r="Q657">
        <f t="shared" si="995"/>
        <v>-40135.299873417571</v>
      </c>
      <c r="R657">
        <f t="shared" si="996"/>
        <v>3246326.7968717339</v>
      </c>
      <c r="S657">
        <f t="shared" si="997"/>
        <v>32.463267968717339</v>
      </c>
      <c r="T657">
        <f t="shared" si="998"/>
        <v>3.2463267968717339E-2</v>
      </c>
    </row>
    <row r="658" spans="1:20" x14ac:dyDescent="0.25">
      <c r="A658" s="5">
        <v>43935</v>
      </c>
      <c r="B658">
        <v>2.5840000000000001</v>
      </c>
      <c r="C658">
        <v>2.6840000000000002</v>
      </c>
      <c r="D658">
        <v>2.5619999999999998</v>
      </c>
      <c r="E658">
        <v>2.637</v>
      </c>
      <c r="F658">
        <v>37091.815000000002</v>
      </c>
      <c r="G658">
        <v>0</v>
      </c>
      <c r="L658" t="s">
        <v>8</v>
      </c>
      <c r="M658" t="s">
        <v>8</v>
      </c>
      <c r="N658" t="s">
        <v>8</v>
      </c>
      <c r="P658">
        <f t="shared" si="994"/>
        <v>0.22950819672131106</v>
      </c>
      <c r="Q658">
        <f t="shared" si="995"/>
        <v>8512.8755737704778</v>
      </c>
      <c r="R658">
        <f t="shared" si="996"/>
        <v>3286462.0967451516</v>
      </c>
      <c r="S658">
        <f t="shared" si="997"/>
        <v>32.864620967451515</v>
      </c>
      <c r="T658">
        <f t="shared" si="998"/>
        <v>3.2864620967451512E-2</v>
      </c>
    </row>
    <row r="659" spans="1:20" x14ac:dyDescent="0.25">
      <c r="A659" s="5">
        <v>43934</v>
      </c>
      <c r="B659">
        <v>2.5510000000000002</v>
      </c>
      <c r="C659">
        <v>2.589</v>
      </c>
      <c r="D659">
        <v>2.4319999999999999</v>
      </c>
      <c r="E659">
        <v>2.5680000000000001</v>
      </c>
      <c r="F659">
        <v>89258.774999999994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0.73248407643312219</v>
      </c>
      <c r="Q659">
        <f t="shared" si="995"/>
        <v>65380.631369426854</v>
      </c>
      <c r="R659">
        <f t="shared" si="996"/>
        <v>3277949.221171381</v>
      </c>
      <c r="S659">
        <f t="shared" si="997"/>
        <v>32.779492211713809</v>
      </c>
      <c r="T659">
        <f t="shared" si="998"/>
        <v>3.2779492211713807E-2</v>
      </c>
    </row>
    <row r="660" spans="1:20" x14ac:dyDescent="0.25">
      <c r="A660" s="5">
        <v>43933</v>
      </c>
      <c r="B660">
        <v>2.5390000000000001</v>
      </c>
      <c r="C660">
        <v>2.6589999999999998</v>
      </c>
      <c r="D660">
        <v>2.4929999999999999</v>
      </c>
      <c r="E660">
        <v>2.5550000000000002</v>
      </c>
      <c r="F660">
        <v>33711.322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-0.2530120481927674</v>
      </c>
      <c r="Q660">
        <f t="shared" si="995"/>
        <v>-8529.3706265059009</v>
      </c>
      <c r="R660">
        <f t="shared" si="996"/>
        <v>3212568.5898019541</v>
      </c>
      <c r="S660">
        <f t="shared" si="997"/>
        <v>32.12568589801954</v>
      </c>
      <c r="T660">
        <f t="shared" si="998"/>
        <v>3.2125685898019542E-2</v>
      </c>
    </row>
    <row r="661" spans="1:20" x14ac:dyDescent="0.25">
      <c r="A661" s="5">
        <v>43932</v>
      </c>
      <c r="B661">
        <v>2.5179999999999998</v>
      </c>
      <c r="C661">
        <v>2.56</v>
      </c>
      <c r="D661">
        <v>2.4830000000000001</v>
      </c>
      <c r="E661">
        <v>2.5369999999999999</v>
      </c>
      <c r="F661">
        <v>19566.444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0.40259740259739885</v>
      </c>
      <c r="Q661">
        <f t="shared" si="995"/>
        <v>7877.3995324674588</v>
      </c>
      <c r="R661">
        <f t="shared" si="996"/>
        <v>3221097.96042846</v>
      </c>
      <c r="S661">
        <f t="shared" si="997"/>
        <v>32.210979604284603</v>
      </c>
      <c r="T661">
        <f t="shared" si="998"/>
        <v>3.2210979604284602E-2</v>
      </c>
    </row>
    <row r="662" spans="1:20" x14ac:dyDescent="0.25">
      <c r="A662" s="5">
        <v>43931</v>
      </c>
      <c r="B662">
        <v>2.7069999999999999</v>
      </c>
      <c r="C662">
        <v>2.722</v>
      </c>
      <c r="D662">
        <v>2.4740000000000002</v>
      </c>
      <c r="E662">
        <v>2.516</v>
      </c>
      <c r="F662">
        <v>63440.783000000003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-0.66129032258064635</v>
      </c>
      <c r="Q662">
        <f t="shared" si="995"/>
        <v>-41952.775854838786</v>
      </c>
      <c r="R662">
        <f t="shared" si="996"/>
        <v>3213220.5608959924</v>
      </c>
      <c r="S662">
        <f t="shared" si="997"/>
        <v>32.132205608959922</v>
      </c>
      <c r="T662">
        <f t="shared" si="998"/>
        <v>3.2132205608959921E-2</v>
      </c>
    </row>
    <row r="663" spans="1:20" x14ac:dyDescent="0.25">
      <c r="A663" s="5">
        <v>43930</v>
      </c>
      <c r="B663">
        <v>2.7370000000000001</v>
      </c>
      <c r="C663">
        <v>2.7490000000000001</v>
      </c>
      <c r="D663">
        <v>2.65</v>
      </c>
      <c r="E663">
        <v>2.7130000000000001</v>
      </c>
      <c r="F663">
        <v>21763.996999999999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0.27272727272727354</v>
      </c>
      <c r="Q663">
        <f t="shared" si="995"/>
        <v>5935.6355454545628</v>
      </c>
      <c r="R663">
        <f t="shared" si="996"/>
        <v>3255173.3367508315</v>
      </c>
      <c r="S663">
        <f t="shared" si="997"/>
        <v>32.551733367508312</v>
      </c>
      <c r="T663">
        <f t="shared" si="998"/>
        <v>3.2551733367508315E-2</v>
      </c>
    </row>
    <row r="664" spans="1:20" x14ac:dyDescent="0.25">
      <c r="A664" s="5">
        <v>43929</v>
      </c>
      <c r="B664">
        <v>2.6659999999999999</v>
      </c>
      <c r="C664">
        <v>2.7690000000000001</v>
      </c>
      <c r="D664">
        <v>2.6549999999999998</v>
      </c>
      <c r="E664">
        <v>2.742</v>
      </c>
      <c r="F664">
        <v>63569.266000000003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0.52631578947368318</v>
      </c>
      <c r="Q664">
        <f t="shared" si="995"/>
        <v>33457.508421052567</v>
      </c>
      <c r="R664">
        <f t="shared" si="996"/>
        <v>3249237.701205377</v>
      </c>
      <c r="S664">
        <f t="shared" si="997"/>
        <v>32.492377012053772</v>
      </c>
      <c r="T664">
        <f t="shared" si="998"/>
        <v>3.2492377012053771E-2</v>
      </c>
    </row>
    <row r="665" spans="1:20" x14ac:dyDescent="0.25">
      <c r="A665" s="5">
        <v>43928</v>
      </c>
      <c r="B665">
        <v>2.782</v>
      </c>
      <c r="C665">
        <v>2.8250000000000002</v>
      </c>
      <c r="D665">
        <v>2.6110000000000002</v>
      </c>
      <c r="E665">
        <v>2.669</v>
      </c>
      <c r="F665">
        <v>158855.78599999999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-0.45794392523364635</v>
      </c>
      <c r="Q665">
        <f t="shared" si="995"/>
        <v>-72747.042186916122</v>
      </c>
      <c r="R665">
        <f t="shared" si="996"/>
        <v>3215780.1927843243</v>
      </c>
      <c r="S665">
        <f t="shared" si="997"/>
        <v>32.157801927843245</v>
      </c>
      <c r="T665">
        <f t="shared" si="998"/>
        <v>3.2157801927843246E-2</v>
      </c>
    </row>
    <row r="666" spans="1:20" x14ac:dyDescent="0.25">
      <c r="A666" s="5">
        <v>43927</v>
      </c>
      <c r="B666">
        <v>2.5089999999999999</v>
      </c>
      <c r="C666">
        <v>2.79</v>
      </c>
      <c r="D666">
        <v>2.5089999999999999</v>
      </c>
      <c r="E666">
        <v>2.7829999999999999</v>
      </c>
      <c r="F666">
        <v>83431.104000000007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0.95017793594305966</v>
      </c>
      <c r="Q666">
        <f t="shared" si="995"/>
        <v>79274.394192170759</v>
      </c>
      <c r="R666">
        <f t="shared" si="996"/>
        <v>3288527.2349712406</v>
      </c>
      <c r="S666">
        <f t="shared" si="997"/>
        <v>32.885272349712409</v>
      </c>
      <c r="T666">
        <f t="shared" si="998"/>
        <v>3.2885272349712412E-2</v>
      </c>
    </row>
    <row r="667" spans="1:20" x14ac:dyDescent="0.25">
      <c r="A667" s="5">
        <v>43926</v>
      </c>
      <c r="B667">
        <v>2.5430000000000001</v>
      </c>
      <c r="C667">
        <v>2.5579999999999998</v>
      </c>
      <c r="D667">
        <v>2.472</v>
      </c>
      <c r="E667">
        <v>2.5179999999999998</v>
      </c>
      <c r="F667">
        <v>30558.255000000001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6.9767441860462714E-2</v>
      </c>
      <c r="Q667">
        <f t="shared" si="995"/>
        <v>2131.971279069694</v>
      </c>
      <c r="R667">
        <f t="shared" si="996"/>
        <v>3209252.8407790698</v>
      </c>
      <c r="S667">
        <f t="shared" si="997"/>
        <v>32.092528407790695</v>
      </c>
      <c r="T667">
        <f t="shared" si="998"/>
        <v>3.2092528407790692E-2</v>
      </c>
    </row>
    <row r="668" spans="1:20" x14ac:dyDescent="0.25">
      <c r="A668" s="5">
        <v>43925</v>
      </c>
      <c r="B668">
        <v>2.4900000000000002</v>
      </c>
      <c r="C668">
        <v>2.5830000000000002</v>
      </c>
      <c r="D668">
        <v>2.456</v>
      </c>
      <c r="E668">
        <v>2.532</v>
      </c>
      <c r="F668">
        <v>69715.653999999995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0.19685039370078636</v>
      </c>
      <c r="Q668">
        <f t="shared" si="995"/>
        <v>13723.5539370078</v>
      </c>
      <c r="R668">
        <f t="shared" si="996"/>
        <v>3207120.8695</v>
      </c>
      <c r="S668">
        <f t="shared" si="997"/>
        <v>32.071208695000003</v>
      </c>
      <c r="T668">
        <f t="shared" si="998"/>
        <v>3.2071208695000006E-2</v>
      </c>
    </row>
    <row r="669" spans="1:20" x14ac:dyDescent="0.25">
      <c r="A669" s="5">
        <v>43924</v>
      </c>
      <c r="B669">
        <v>2.4830000000000001</v>
      </c>
      <c r="C669">
        <v>2.5739999999999998</v>
      </c>
      <c r="D669">
        <v>2.423</v>
      </c>
      <c r="E669">
        <v>2.4849999999999999</v>
      </c>
      <c r="F669">
        <v>59419.252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-0.17880794701986868</v>
      </c>
      <c r="Q669">
        <f t="shared" si="995"/>
        <v>-10624.634463576227</v>
      </c>
      <c r="R669">
        <f t="shared" si="996"/>
        <v>3193397.3155629924</v>
      </c>
      <c r="S669">
        <f t="shared" si="997"/>
        <v>31.933973155629925</v>
      </c>
      <c r="T669">
        <f t="shared" si="998"/>
        <v>3.1933973155629923E-2</v>
      </c>
    </row>
    <row r="670" spans="1:20" x14ac:dyDescent="0.25">
      <c r="A670" s="5">
        <v>43923</v>
      </c>
      <c r="B670">
        <v>2.4449999999999998</v>
      </c>
      <c r="C670">
        <v>2.6150000000000002</v>
      </c>
      <c r="D670">
        <v>2.42</v>
      </c>
      <c r="E670">
        <v>2.4860000000000002</v>
      </c>
      <c r="F670">
        <v>123541.484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-0.32307692307692121</v>
      </c>
      <c r="Q670">
        <f t="shared" si="995"/>
        <v>-39913.402523076693</v>
      </c>
      <c r="R670">
        <f t="shared" si="996"/>
        <v>3204021.9500265685</v>
      </c>
      <c r="S670">
        <f t="shared" si="997"/>
        <v>32.040219500265685</v>
      </c>
      <c r="T670">
        <f t="shared" si="998"/>
        <v>3.2040219500265685E-2</v>
      </c>
    </row>
    <row r="671" spans="1:20" x14ac:dyDescent="0.25">
      <c r="A671" s="5">
        <v>43922</v>
      </c>
      <c r="B671">
        <v>2.411</v>
      </c>
      <c r="C671">
        <v>2.4590000000000001</v>
      </c>
      <c r="D671">
        <v>2.2919999999999998</v>
      </c>
      <c r="E671">
        <v>2.4449999999999998</v>
      </c>
      <c r="F671">
        <v>121992.433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0.83233532934131482</v>
      </c>
      <c r="Q671">
        <f t="shared" si="995"/>
        <v>101538.61189820329</v>
      </c>
      <c r="R671">
        <f t="shared" si="996"/>
        <v>3243935.3525496451</v>
      </c>
      <c r="S671">
        <f t="shared" si="997"/>
        <v>32.43935352549645</v>
      </c>
      <c r="T671">
        <f t="shared" si="998"/>
        <v>3.2439353525496449E-2</v>
      </c>
    </row>
    <row r="672" spans="1:20" x14ac:dyDescent="0.25">
      <c r="A672" s="5">
        <v>43921</v>
      </c>
      <c r="B672">
        <v>2.3889999999999998</v>
      </c>
      <c r="C672">
        <v>2.4449999999999998</v>
      </c>
      <c r="D672">
        <v>2.3889999999999998</v>
      </c>
      <c r="E672">
        <v>2.4020000000000001</v>
      </c>
      <c r="F672">
        <v>94624.84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-0.53571428571427382</v>
      </c>
      <c r="Q672">
        <f t="shared" si="995"/>
        <v>-50691.878571427442</v>
      </c>
      <c r="R672">
        <f t="shared" si="996"/>
        <v>3142396.7406514417</v>
      </c>
      <c r="S672">
        <f t="shared" si="997"/>
        <v>31.423967406514418</v>
      </c>
      <c r="T672">
        <f t="shared" si="998"/>
        <v>3.1423967406514416E-2</v>
      </c>
    </row>
    <row r="673" spans="1:20" x14ac:dyDescent="0.25">
      <c r="A673" s="5">
        <v>43920</v>
      </c>
      <c r="B673">
        <v>2.1880000000000002</v>
      </c>
      <c r="C673">
        <v>2.46</v>
      </c>
      <c r="D673">
        <v>2.1789999999999998</v>
      </c>
      <c r="E673">
        <v>2.395</v>
      </c>
      <c r="F673">
        <v>167750.91399999999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0.53736654804270523</v>
      </c>
      <c r="Q673">
        <f t="shared" si="995"/>
        <v>90143.729587188704</v>
      </c>
      <c r="R673">
        <f t="shared" si="996"/>
        <v>3193088.6192228692</v>
      </c>
      <c r="S673">
        <f t="shared" si="997"/>
        <v>31.930886192228691</v>
      </c>
      <c r="T673">
        <f t="shared" si="998"/>
        <v>3.193088619222869E-2</v>
      </c>
    </row>
    <row r="674" spans="1:20" x14ac:dyDescent="0.25">
      <c r="A674" s="5">
        <v>43919</v>
      </c>
      <c r="B674">
        <v>2.323</v>
      </c>
      <c r="C674">
        <v>2.3260000000000001</v>
      </c>
      <c r="D674">
        <v>2.181</v>
      </c>
      <c r="E674">
        <v>2.1840000000000002</v>
      </c>
      <c r="F674">
        <v>59412.258000000002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-0.95862068965517089</v>
      </c>
      <c r="Q674">
        <f t="shared" si="995"/>
        <v>-56953.819737930942</v>
      </c>
      <c r="R674">
        <f t="shared" si="996"/>
        <v>3102944.8896356802</v>
      </c>
      <c r="S674">
        <f t="shared" si="997"/>
        <v>31.029448896356801</v>
      </c>
      <c r="T674">
        <f t="shared" si="998"/>
        <v>3.1029448896356802E-2</v>
      </c>
    </row>
    <row r="675" spans="1:20" x14ac:dyDescent="0.25">
      <c r="A675" s="5">
        <v>43918</v>
      </c>
      <c r="B675">
        <v>2.34</v>
      </c>
      <c r="C675">
        <v>2.34</v>
      </c>
      <c r="D675">
        <v>2.2250000000000001</v>
      </c>
      <c r="E675">
        <v>2.3170000000000002</v>
      </c>
      <c r="F675">
        <v>107540.594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0.60000000000000464</v>
      </c>
      <c r="Q675">
        <f t="shared" si="995"/>
        <v>64524.356400000499</v>
      </c>
      <c r="R675">
        <f t="shared" si="996"/>
        <v>3159898.709373611</v>
      </c>
      <c r="S675">
        <f t="shared" si="997"/>
        <v>31.59898709373611</v>
      </c>
      <c r="T675">
        <f t="shared" si="998"/>
        <v>3.1598987093736111E-2</v>
      </c>
    </row>
    <row r="676" spans="1:20" x14ac:dyDescent="0.25">
      <c r="A676" s="5">
        <v>43917</v>
      </c>
      <c r="B676">
        <v>2.5259999999999998</v>
      </c>
      <c r="C676">
        <v>2.5270000000000001</v>
      </c>
      <c r="D676">
        <v>2.29</v>
      </c>
      <c r="E676">
        <v>2.35</v>
      </c>
      <c r="F676">
        <v>71270.683000000005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-0.49367088607594911</v>
      </c>
      <c r="Q676">
        <f t="shared" si="995"/>
        <v>-35184.261227848088</v>
      </c>
      <c r="R676">
        <f t="shared" si="996"/>
        <v>3095374.3529736106</v>
      </c>
      <c r="S676">
        <f t="shared" si="997"/>
        <v>30.953743529736105</v>
      </c>
      <c r="T676">
        <f t="shared" si="998"/>
        <v>3.0953743529736105E-2</v>
      </c>
    </row>
    <row r="677" spans="1:20" x14ac:dyDescent="0.25">
      <c r="A677" s="5">
        <v>43916</v>
      </c>
      <c r="B677">
        <v>2.472</v>
      </c>
      <c r="C677">
        <v>2.5329999999999999</v>
      </c>
      <c r="D677">
        <v>2.4089999999999998</v>
      </c>
      <c r="E677">
        <v>2.504</v>
      </c>
      <c r="F677">
        <v>75720.832999999999</v>
      </c>
      <c r="G677">
        <v>0</v>
      </c>
      <c r="L677" t="s">
        <v>7</v>
      </c>
      <c r="M677" t="s">
        <v>8</v>
      </c>
      <c r="N677" t="s">
        <v>8</v>
      </c>
      <c r="P677">
        <f t="shared" si="994"/>
        <v>0.53225806451613078</v>
      </c>
      <c r="Q677">
        <f t="shared" si="995"/>
        <v>40303.024016129166</v>
      </c>
      <c r="R677">
        <f t="shared" si="996"/>
        <v>3130558.6142014586</v>
      </c>
      <c r="S677">
        <f t="shared" si="997"/>
        <v>31.305586142014587</v>
      </c>
      <c r="T677">
        <f t="shared" si="998"/>
        <v>3.1305586142014584E-2</v>
      </c>
    </row>
    <row r="678" spans="1:20" x14ac:dyDescent="0.25">
      <c r="A678" s="5">
        <v>43915</v>
      </c>
      <c r="B678">
        <v>2.4780000000000002</v>
      </c>
      <c r="C678">
        <v>2.5659999999999998</v>
      </c>
      <c r="D678">
        <v>2.3889999999999998</v>
      </c>
      <c r="E678">
        <v>2.4580000000000002</v>
      </c>
      <c r="F678">
        <v>161136.008</v>
      </c>
      <c r="G678">
        <v>0</v>
      </c>
      <c r="L678" t="s">
        <v>7</v>
      </c>
      <c r="M678" t="s">
        <v>8</v>
      </c>
      <c r="N678" t="s">
        <v>8</v>
      </c>
      <c r="P678">
        <f t="shared" si="994"/>
        <v>-0.22033898305084321</v>
      </c>
      <c r="Q678">
        <f t="shared" si="995"/>
        <v>-35504.544135592536</v>
      </c>
      <c r="R678">
        <f t="shared" si="996"/>
        <v>3090255.5901853293</v>
      </c>
      <c r="S678">
        <f t="shared" si="997"/>
        <v>30.902555901853294</v>
      </c>
      <c r="T678">
        <f t="shared" si="998"/>
        <v>3.0902555901853295E-2</v>
      </c>
    </row>
    <row r="679" spans="1:20" x14ac:dyDescent="0.25">
      <c r="A679" s="5">
        <v>43914</v>
      </c>
      <c r="B679">
        <v>2.4500000000000002</v>
      </c>
      <c r="C679">
        <v>2.577</v>
      </c>
      <c r="D679">
        <v>2.4209999999999998</v>
      </c>
      <c r="E679">
        <v>2.4910000000000001</v>
      </c>
      <c r="F679">
        <v>208571.99900000001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-0.10256410256409972</v>
      </c>
      <c r="Q679">
        <f t="shared" si="995"/>
        <v>-21391.999897435304</v>
      </c>
      <c r="R679">
        <f t="shared" si="996"/>
        <v>3125760.1343209217</v>
      </c>
      <c r="S679">
        <f t="shared" si="997"/>
        <v>31.257601343209217</v>
      </c>
      <c r="T679">
        <f t="shared" si="998"/>
        <v>3.1257601343209214E-2</v>
      </c>
    </row>
    <row r="680" spans="1:20" x14ac:dyDescent="0.25">
      <c r="A680" s="5">
        <v>43913</v>
      </c>
      <c r="B680">
        <v>2.2170000000000001</v>
      </c>
      <c r="C680">
        <v>2.4900000000000002</v>
      </c>
      <c r="D680">
        <v>2.1819999999999999</v>
      </c>
      <c r="E680">
        <v>2.448</v>
      </c>
      <c r="F680">
        <v>1009406.548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0.72727272727272585</v>
      </c>
      <c r="Q680">
        <f t="shared" si="995"/>
        <v>734113.85309090756</v>
      </c>
      <c r="R680">
        <f t="shared" si="996"/>
        <v>3147152.134218357</v>
      </c>
      <c r="S680">
        <f t="shared" si="997"/>
        <v>31.471521342183571</v>
      </c>
      <c r="T680">
        <f t="shared" si="998"/>
        <v>3.1471521342183569E-2</v>
      </c>
    </row>
    <row r="681" spans="1:20" x14ac:dyDescent="0.25">
      <c r="A681" s="5">
        <v>43912</v>
      </c>
      <c r="B681">
        <v>2.3660000000000001</v>
      </c>
      <c r="C681">
        <v>2.4689999999999999</v>
      </c>
      <c r="D681">
        <v>2.2040000000000002</v>
      </c>
      <c r="E681">
        <v>2.2349999999999999</v>
      </c>
      <c r="F681">
        <v>1987732.7220000001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-0.76603773584905865</v>
      </c>
      <c r="Q681">
        <f t="shared" si="995"/>
        <v>-1522678.2738339663</v>
      </c>
      <c r="R681">
        <f t="shared" si="996"/>
        <v>2413038.2811274496</v>
      </c>
      <c r="S681">
        <f t="shared" si="997"/>
        <v>24.130382811274497</v>
      </c>
      <c r="T681">
        <f t="shared" si="998"/>
        <v>2.4130382811274498E-2</v>
      </c>
    </row>
    <row r="682" spans="1:20" x14ac:dyDescent="0.25">
      <c r="A682" s="5">
        <v>43911</v>
      </c>
      <c r="B682">
        <v>2.3780000000000001</v>
      </c>
      <c r="C682">
        <v>2.4769999999999999</v>
      </c>
      <c r="D682">
        <v>2.254</v>
      </c>
      <c r="E682">
        <v>2.383</v>
      </c>
      <c r="F682">
        <v>1120754.1810000001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0.15695067264574064</v>
      </c>
      <c r="Q682">
        <f t="shared" si="995"/>
        <v>175903.12257847618</v>
      </c>
      <c r="R682">
        <f t="shared" si="996"/>
        <v>3935716.5549614159</v>
      </c>
      <c r="S682">
        <f t="shared" si="997"/>
        <v>39.357165549614159</v>
      </c>
      <c r="T682">
        <f t="shared" si="998"/>
        <v>3.9357165549614159E-2</v>
      </c>
    </row>
    <row r="683" spans="1:20" x14ac:dyDescent="0.25">
      <c r="A683" s="5">
        <v>43910</v>
      </c>
      <c r="B683">
        <v>2.4239999999999999</v>
      </c>
      <c r="C683">
        <v>2.702</v>
      </c>
      <c r="D683">
        <v>2.0960000000000001</v>
      </c>
      <c r="E683">
        <v>2.3780000000000001</v>
      </c>
      <c r="F683">
        <v>1511696.702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-6.9306930693069022E-2</v>
      </c>
      <c r="Q683">
        <f t="shared" si="995"/>
        <v>-104771.05855445501</v>
      </c>
      <c r="R683">
        <f t="shared" si="996"/>
        <v>3759813.4323829398</v>
      </c>
      <c r="S683">
        <f t="shared" si="997"/>
        <v>37.598134323829399</v>
      </c>
      <c r="T683">
        <f t="shared" si="998"/>
        <v>3.7598134323829399E-2</v>
      </c>
    </row>
    <row r="684" spans="1:20" x14ac:dyDescent="0.25">
      <c r="A684" s="5">
        <v>43909</v>
      </c>
      <c r="B684">
        <v>2.1179999999999999</v>
      </c>
      <c r="C684">
        <v>2.508</v>
      </c>
      <c r="D684">
        <v>2.0840000000000001</v>
      </c>
      <c r="E684">
        <v>2.423</v>
      </c>
      <c r="F684">
        <v>1243017.9569999999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0.59905660377358505</v>
      </c>
      <c r="Q684">
        <f t="shared" si="995"/>
        <v>744638.11575000011</v>
      </c>
      <c r="R684">
        <f t="shared" si="996"/>
        <v>3864584.490937395</v>
      </c>
      <c r="S684">
        <f t="shared" si="997"/>
        <v>38.645844909373949</v>
      </c>
      <c r="T684">
        <f t="shared" si="998"/>
        <v>3.864584490937395E-2</v>
      </c>
    </row>
    <row r="685" spans="1:20" x14ac:dyDescent="0.25">
      <c r="A685" s="5">
        <v>43908</v>
      </c>
      <c r="B685">
        <v>2.1030000000000002</v>
      </c>
      <c r="C685">
        <v>2.1360000000000001</v>
      </c>
      <c r="D685">
        <v>2.0219999999999998</v>
      </c>
      <c r="E685">
        <v>2.1179999999999999</v>
      </c>
      <c r="F685">
        <v>2249035.3220000002</v>
      </c>
      <c r="G685">
        <v>0</v>
      </c>
      <c r="L685" t="s">
        <v>8</v>
      </c>
      <c r="M685" t="s">
        <v>8</v>
      </c>
      <c r="N685" t="s">
        <v>8</v>
      </c>
      <c r="P685">
        <f t="shared" si="994"/>
        <v>0.68421052631578616</v>
      </c>
      <c r="Q685">
        <f t="shared" si="995"/>
        <v>1538813.6413684138</v>
      </c>
      <c r="R685">
        <f t="shared" si="996"/>
        <v>3119946.3751873947</v>
      </c>
      <c r="S685">
        <f t="shared" si="997"/>
        <v>31.199463751873946</v>
      </c>
      <c r="T685">
        <f t="shared" si="998"/>
        <v>3.1199463751873945E-2</v>
      </c>
    </row>
    <row r="686" spans="1:20" x14ac:dyDescent="0.25">
      <c r="A686" s="5">
        <v>43907</v>
      </c>
      <c r="B686">
        <v>2.0249999999999999</v>
      </c>
      <c r="C686">
        <v>2.157</v>
      </c>
      <c r="D686">
        <v>1.998</v>
      </c>
      <c r="E686">
        <v>2.1070000000000002</v>
      </c>
      <c r="F686">
        <v>1765054.031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0.37106918238993947</v>
      </c>
      <c r="Q686">
        <f t="shared" si="995"/>
        <v>654957.1561572369</v>
      </c>
      <c r="R686">
        <f t="shared" si="996"/>
        <v>1581132.7338189809</v>
      </c>
      <c r="S686">
        <f t="shared" si="997"/>
        <v>15.811327338189809</v>
      </c>
      <c r="T686">
        <f t="shared" si="998"/>
        <v>1.581132733818981E-2</v>
      </c>
    </row>
    <row r="687" spans="1:20" x14ac:dyDescent="0.25">
      <c r="A687" s="5">
        <v>43906</v>
      </c>
      <c r="B687">
        <v>2.089</v>
      </c>
      <c r="C687">
        <v>2.09</v>
      </c>
      <c r="D687">
        <v>1.986</v>
      </c>
      <c r="E687">
        <v>2.016</v>
      </c>
      <c r="F687">
        <v>1688517.7649999999</v>
      </c>
      <c r="G687">
        <v>0</v>
      </c>
      <c r="L687" t="s">
        <v>7</v>
      </c>
      <c r="M687" t="s">
        <v>8</v>
      </c>
      <c r="N687" t="s">
        <v>8</v>
      </c>
      <c r="P687">
        <f t="shared" si="994"/>
        <v>-0.42307692307692185</v>
      </c>
      <c r="Q687">
        <f t="shared" si="995"/>
        <v>-714372.90057692095</v>
      </c>
      <c r="R687">
        <f t="shared" si="996"/>
        <v>926175.57766174385</v>
      </c>
      <c r="S687">
        <f t="shared" si="997"/>
        <v>9.2617557766174379</v>
      </c>
      <c r="T687">
        <f t="shared" si="998"/>
        <v>9.261755776617437E-3</v>
      </c>
    </row>
    <row r="688" spans="1:20" x14ac:dyDescent="0.25">
      <c r="A688" s="5">
        <v>43905</v>
      </c>
      <c r="B688">
        <v>2.032</v>
      </c>
      <c r="C688">
        <v>2.2850000000000001</v>
      </c>
      <c r="D688">
        <v>2.0049999999999999</v>
      </c>
      <c r="E688">
        <v>2.0910000000000002</v>
      </c>
      <c r="F688">
        <v>1589375.5419999999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-0.38571428571428412</v>
      </c>
      <c r="Q688">
        <f t="shared" si="995"/>
        <v>-613044.85191428312</v>
      </c>
      <c r="R688">
        <f t="shared" si="996"/>
        <v>1640548.4782386648</v>
      </c>
      <c r="S688">
        <f t="shared" si="997"/>
        <v>16.405484782386647</v>
      </c>
      <c r="T688">
        <f t="shared" si="998"/>
        <v>1.6405484782386646E-2</v>
      </c>
    </row>
    <row r="689" spans="1:20" x14ac:dyDescent="0.25">
      <c r="A689" s="5">
        <v>43904</v>
      </c>
      <c r="B689">
        <v>2.0569999999999999</v>
      </c>
      <c r="C689">
        <v>2.08</v>
      </c>
      <c r="D689">
        <v>1.986</v>
      </c>
      <c r="E689">
        <v>2.0299999999999998</v>
      </c>
      <c r="F689">
        <v>3333555.091</v>
      </c>
      <c r="G689">
        <v>0</v>
      </c>
      <c r="L689" t="s">
        <v>7</v>
      </c>
      <c r="M689" t="s">
        <v>8</v>
      </c>
      <c r="N689" t="s">
        <v>8</v>
      </c>
      <c r="P689">
        <f t="shared" si="994"/>
        <v>-6.382978723404728E-2</v>
      </c>
      <c r="Q689">
        <f t="shared" si="995"/>
        <v>-212780.11219150512</v>
      </c>
      <c r="R689">
        <f t="shared" si="996"/>
        <v>2253593.3301529479</v>
      </c>
      <c r="S689">
        <f t="shared" si="997"/>
        <v>22.535933301529479</v>
      </c>
      <c r="T689">
        <f t="shared" si="998"/>
        <v>2.253593330152948E-2</v>
      </c>
    </row>
    <row r="690" spans="1:20" x14ac:dyDescent="0.25">
      <c r="A690" s="5">
        <v>43903</v>
      </c>
      <c r="B690">
        <v>2.0579999999999998</v>
      </c>
      <c r="C690">
        <v>2.3889999999999998</v>
      </c>
      <c r="D690">
        <v>1.88</v>
      </c>
      <c r="E690">
        <v>2.0529999999999999</v>
      </c>
      <c r="F690">
        <v>3664228.3110000002</v>
      </c>
      <c r="G690">
        <v>0</v>
      </c>
      <c r="L690" t="s">
        <v>8</v>
      </c>
      <c r="M690" t="s">
        <v>8</v>
      </c>
      <c r="N690" t="s">
        <v>8</v>
      </c>
      <c r="P690">
        <f t="shared" si="994"/>
        <v>-0.32023575638506846</v>
      </c>
      <c r="Q690">
        <f t="shared" si="995"/>
        <v>-1173416.924740667</v>
      </c>
      <c r="R690">
        <f t="shared" si="996"/>
        <v>2466373.4423444532</v>
      </c>
      <c r="S690">
        <f t="shared" si="997"/>
        <v>24.663734423444531</v>
      </c>
      <c r="T690">
        <f t="shared" si="998"/>
        <v>2.4663734423444529E-2</v>
      </c>
    </row>
    <row r="691" spans="1:20" x14ac:dyDescent="0.25">
      <c r="A691" s="5">
        <v>43902</v>
      </c>
      <c r="B691">
        <v>2.387</v>
      </c>
      <c r="C691">
        <v>2.39</v>
      </c>
      <c r="D691">
        <v>1.76</v>
      </c>
      <c r="E691">
        <v>2.085</v>
      </c>
      <c r="F691">
        <v>869678.02800000005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3.1746031746031418E-2</v>
      </c>
      <c r="Q691">
        <f t="shared" si="995"/>
        <v>27608.826285714003</v>
      </c>
      <c r="R691">
        <f t="shared" si="996"/>
        <v>3639790.3670851202</v>
      </c>
      <c r="S691">
        <f t="shared" si="997"/>
        <v>36.3979036708512</v>
      </c>
      <c r="T691">
        <f t="shared" si="998"/>
        <v>3.6397903670851203E-2</v>
      </c>
    </row>
    <row r="692" spans="1:20" x14ac:dyDescent="0.25">
      <c r="A692" s="5">
        <v>43901</v>
      </c>
      <c r="B692">
        <v>2.4630000000000001</v>
      </c>
      <c r="C692">
        <v>2.4820000000000002</v>
      </c>
      <c r="D692">
        <v>2.2509999999999999</v>
      </c>
      <c r="E692">
        <v>2.383</v>
      </c>
      <c r="F692">
        <v>63954.872000000003</v>
      </c>
      <c r="G692">
        <v>0</v>
      </c>
      <c r="L692" t="s">
        <v>7</v>
      </c>
      <c r="M692" t="s">
        <v>7</v>
      </c>
      <c r="N692" t="s">
        <v>8</v>
      </c>
      <c r="P692">
        <f t="shared" si="994"/>
        <v>0.14285714285714229</v>
      </c>
      <c r="Q692">
        <f t="shared" si="995"/>
        <v>9136.4102857142498</v>
      </c>
      <c r="R692">
        <f t="shared" si="996"/>
        <v>3612181.5407994064</v>
      </c>
      <c r="S692">
        <f t="shared" si="997"/>
        <v>36.121815407994063</v>
      </c>
      <c r="T692">
        <f t="shared" si="998"/>
        <v>3.6121815407994064E-2</v>
      </c>
    </row>
    <row r="693" spans="1:20" x14ac:dyDescent="0.25">
      <c r="A693" s="5">
        <v>43900</v>
      </c>
      <c r="B693">
        <v>2.4049999999999998</v>
      </c>
      <c r="C693">
        <v>2.4969999999999999</v>
      </c>
      <c r="D693">
        <v>2.395</v>
      </c>
      <c r="E693">
        <v>2.4500000000000002</v>
      </c>
      <c r="F693">
        <v>200409.72099999999</v>
      </c>
      <c r="G693">
        <v>0</v>
      </c>
      <c r="L693" t="s">
        <v>7</v>
      </c>
      <c r="M693" t="s">
        <v>7</v>
      </c>
      <c r="N693" t="s">
        <v>8</v>
      </c>
      <c r="P693">
        <f t="shared" si="994"/>
        <v>7.8431372549024131E-2</v>
      </c>
      <c r="Q693">
        <f t="shared" si="995"/>
        <v>15718.409490196984</v>
      </c>
      <c r="R693">
        <f t="shared" si="996"/>
        <v>3603045.1305136923</v>
      </c>
      <c r="S693">
        <f t="shared" si="997"/>
        <v>36.030451305136921</v>
      </c>
      <c r="T693">
        <f t="shared" si="998"/>
        <v>3.6030451305136921E-2</v>
      </c>
    </row>
    <row r="694" spans="1:20" x14ac:dyDescent="0.25">
      <c r="A694" s="5">
        <v>43899</v>
      </c>
      <c r="B694">
        <v>2.4319999999999999</v>
      </c>
      <c r="C694">
        <v>2.4329999999999998</v>
      </c>
      <c r="D694">
        <v>2.3759999999999999</v>
      </c>
      <c r="E694">
        <v>2.4089999999999998</v>
      </c>
      <c r="F694">
        <v>128694.86</v>
      </c>
      <c r="G694">
        <v>0</v>
      </c>
      <c r="L694" t="s">
        <v>7</v>
      </c>
      <c r="M694" t="s">
        <v>7</v>
      </c>
      <c r="N694" t="s">
        <v>8</v>
      </c>
      <c r="P694">
        <f t="shared" si="994"/>
        <v>0.15789473684210362</v>
      </c>
      <c r="Q694">
        <f t="shared" si="995"/>
        <v>20320.241052631369</v>
      </c>
      <c r="R694">
        <f t="shared" si="996"/>
        <v>3587326.7210234953</v>
      </c>
      <c r="S694">
        <f t="shared" si="997"/>
        <v>35.87326721023495</v>
      </c>
      <c r="T694">
        <f t="shared" si="998"/>
        <v>3.5873267210234948E-2</v>
      </c>
    </row>
    <row r="695" spans="1:20" x14ac:dyDescent="0.25">
      <c r="A695" s="5">
        <v>43898</v>
      </c>
      <c r="B695">
        <v>2.6680000000000001</v>
      </c>
      <c r="C695">
        <v>2.6680000000000001</v>
      </c>
      <c r="D695">
        <v>2.4</v>
      </c>
      <c r="E695">
        <v>2.4260000000000002</v>
      </c>
      <c r="F695">
        <v>124032.772</v>
      </c>
      <c r="G695">
        <v>0</v>
      </c>
      <c r="L695" t="s">
        <v>7</v>
      </c>
      <c r="M695" t="s">
        <v>7</v>
      </c>
      <c r="N695" t="s">
        <v>8</v>
      </c>
      <c r="P695">
        <f t="shared" si="994"/>
        <v>-0.80597014925372967</v>
      </c>
      <c r="Q695">
        <f t="shared" si="995"/>
        <v>-99966.711761193816</v>
      </c>
      <c r="R695">
        <f t="shared" si="996"/>
        <v>3567006.479970864</v>
      </c>
      <c r="S695">
        <f t="shared" si="997"/>
        <v>35.670064799708641</v>
      </c>
      <c r="T695">
        <f t="shared" si="998"/>
        <v>3.5670064799708641E-2</v>
      </c>
    </row>
    <row r="696" spans="1:20" x14ac:dyDescent="0.25">
      <c r="A696" s="5">
        <v>43897</v>
      </c>
      <c r="B696">
        <v>2.806</v>
      </c>
      <c r="C696">
        <v>2.8069999999999999</v>
      </c>
      <c r="D696">
        <v>2.6549999999999998</v>
      </c>
      <c r="E696">
        <v>2.6720000000000002</v>
      </c>
      <c r="F696">
        <v>47747.641000000003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-0.77631578947367985</v>
      </c>
      <c r="Q696">
        <f t="shared" si="995"/>
        <v>-37067.24761842085</v>
      </c>
      <c r="R696">
        <f t="shared" si="996"/>
        <v>3666973.1917320578</v>
      </c>
      <c r="S696">
        <f t="shared" si="997"/>
        <v>36.669731917320576</v>
      </c>
      <c r="T696">
        <f t="shared" si="998"/>
        <v>3.6669731917320578E-2</v>
      </c>
    </row>
    <row r="697" spans="1:20" x14ac:dyDescent="0.25">
      <c r="A697" s="5">
        <v>43896</v>
      </c>
      <c r="B697">
        <v>2.7269999999999999</v>
      </c>
      <c r="C697">
        <v>2.81</v>
      </c>
      <c r="D697">
        <v>2.7109999999999999</v>
      </c>
      <c r="E697">
        <v>2.8039999999999998</v>
      </c>
      <c r="F697">
        <v>71231.293999999994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0.87878787878787445</v>
      </c>
      <c r="Q697">
        <f t="shared" si="995"/>
        <v>62597.197757575443</v>
      </c>
      <c r="R697">
        <f t="shared" si="996"/>
        <v>3704040.4393504788</v>
      </c>
      <c r="S697">
        <f t="shared" si="997"/>
        <v>37.040404393504787</v>
      </c>
      <c r="T697">
        <f t="shared" si="998"/>
        <v>3.7040404393504783E-2</v>
      </c>
    </row>
    <row r="698" spans="1:20" x14ac:dyDescent="0.25">
      <c r="A698" s="5">
        <v>43895</v>
      </c>
      <c r="B698">
        <v>2.6469999999999998</v>
      </c>
      <c r="C698">
        <v>2.78</v>
      </c>
      <c r="D698">
        <v>2.6469999999999998</v>
      </c>
      <c r="E698">
        <v>2.726</v>
      </c>
      <c r="F698">
        <v>121773.746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0.18796992481203273</v>
      </c>
      <c r="Q698">
        <f t="shared" si="995"/>
        <v>22889.801879699571</v>
      </c>
      <c r="R698">
        <f t="shared" si="996"/>
        <v>3641443.2415929032</v>
      </c>
      <c r="S698">
        <f t="shared" si="997"/>
        <v>36.414432415929035</v>
      </c>
      <c r="T698">
        <f t="shared" si="998"/>
        <v>3.6414432415929038E-2</v>
      </c>
    </row>
    <row r="699" spans="1:20" x14ac:dyDescent="0.25">
      <c r="A699" s="5">
        <v>43894</v>
      </c>
      <c r="B699">
        <v>2.6419999999999999</v>
      </c>
      <c r="C699">
        <v>2.6930000000000001</v>
      </c>
      <c r="D699">
        <v>2.6120000000000001</v>
      </c>
      <c r="E699">
        <v>2.633</v>
      </c>
      <c r="F699">
        <v>78385.710999999996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-0.48148148148148351</v>
      </c>
      <c r="Q699">
        <f t="shared" si="995"/>
        <v>-37741.268259259414</v>
      </c>
      <c r="R699">
        <f t="shared" si="996"/>
        <v>3618553.4397132038</v>
      </c>
      <c r="S699">
        <f t="shared" si="997"/>
        <v>36.185534397132038</v>
      </c>
      <c r="T699">
        <f t="shared" si="998"/>
        <v>3.6185534397132041E-2</v>
      </c>
    </row>
    <row r="700" spans="1:20" x14ac:dyDescent="0.25">
      <c r="A700" s="5">
        <v>43893</v>
      </c>
      <c r="B700">
        <v>2.6760000000000002</v>
      </c>
      <c r="C700">
        <v>2.7130000000000001</v>
      </c>
      <c r="D700">
        <v>2.609</v>
      </c>
      <c r="E700">
        <v>2.6389999999999998</v>
      </c>
      <c r="F700">
        <v>87329.8</v>
      </c>
      <c r="G700">
        <v>0</v>
      </c>
      <c r="L700" t="s">
        <v>8</v>
      </c>
      <c r="M700" t="s">
        <v>8</v>
      </c>
      <c r="N700" t="s">
        <v>8</v>
      </c>
      <c r="P700">
        <f t="shared" si="994"/>
        <v>-0.42307692307692735</v>
      </c>
      <c r="Q700">
        <f t="shared" si="995"/>
        <v>-36947.223076923452</v>
      </c>
      <c r="R700">
        <f t="shared" si="996"/>
        <v>3656294.7079724632</v>
      </c>
      <c r="S700">
        <f t="shared" si="997"/>
        <v>36.56294707972463</v>
      </c>
      <c r="T700">
        <f t="shared" si="998"/>
        <v>3.6562947079724628E-2</v>
      </c>
    </row>
    <row r="701" spans="1:20" x14ac:dyDescent="0.25">
      <c r="A701" s="5">
        <v>43892</v>
      </c>
      <c r="B701">
        <v>2.5550000000000002</v>
      </c>
      <c r="C701">
        <v>2.702</v>
      </c>
      <c r="D701">
        <v>2.552</v>
      </c>
      <c r="E701">
        <v>2.6779999999999999</v>
      </c>
      <c r="F701">
        <v>209561.15400000001</v>
      </c>
      <c r="G701">
        <v>0</v>
      </c>
      <c r="L701" t="s">
        <v>8</v>
      </c>
      <c r="M701" t="s">
        <v>8</v>
      </c>
      <c r="N701" t="s">
        <v>8</v>
      </c>
      <c r="P701">
        <f t="shared" si="994"/>
        <v>0.67999999999999949</v>
      </c>
      <c r="Q701">
        <f t="shared" si="995"/>
        <v>142501.5847199999</v>
      </c>
      <c r="R701">
        <f t="shared" si="996"/>
        <v>3693241.9310493865</v>
      </c>
      <c r="S701">
        <f t="shared" si="997"/>
        <v>36.932419310493863</v>
      </c>
      <c r="T701">
        <f t="shared" si="998"/>
        <v>3.6932419310493861E-2</v>
      </c>
    </row>
    <row r="702" spans="1:20" x14ac:dyDescent="0.25">
      <c r="A702" s="5">
        <v>43891</v>
      </c>
      <c r="B702">
        <v>2.573</v>
      </c>
      <c r="C702">
        <v>2.6539999999999999</v>
      </c>
      <c r="D702">
        <v>2.524</v>
      </c>
      <c r="E702">
        <v>2.556</v>
      </c>
      <c r="F702">
        <v>103535.723</v>
      </c>
      <c r="G702">
        <v>0</v>
      </c>
      <c r="L702" t="s">
        <v>8</v>
      </c>
      <c r="M702" t="s">
        <v>8</v>
      </c>
      <c r="N702" t="s">
        <v>8</v>
      </c>
      <c r="P702">
        <f t="shared" si="994"/>
        <v>-0.50769230769230689</v>
      </c>
      <c r="Q702">
        <f t="shared" si="995"/>
        <v>-52564.290138461452</v>
      </c>
      <c r="R702">
        <f t="shared" si="996"/>
        <v>3550740.3463293868</v>
      </c>
      <c r="S702">
        <f t="shared" si="997"/>
        <v>35.507403463293869</v>
      </c>
      <c r="T702">
        <f t="shared" si="998"/>
        <v>3.5507403463293868E-2</v>
      </c>
    </row>
    <row r="703" spans="1:20" x14ac:dyDescent="0.25">
      <c r="A703" s="5">
        <v>43890</v>
      </c>
      <c r="B703">
        <v>2.6190000000000002</v>
      </c>
      <c r="C703">
        <v>2.6869999999999998</v>
      </c>
      <c r="D703">
        <v>2.5760000000000001</v>
      </c>
      <c r="E703">
        <v>2.5760000000000001</v>
      </c>
      <c r="F703">
        <v>121240.796</v>
      </c>
      <c r="G703">
        <v>0</v>
      </c>
      <c r="L703" t="s">
        <v>8</v>
      </c>
      <c r="M703" t="s">
        <v>8</v>
      </c>
      <c r="N703" t="s">
        <v>8</v>
      </c>
      <c r="P703">
        <f t="shared" si="994"/>
        <v>-1</v>
      </c>
      <c r="Q703">
        <f t="shared" si="995"/>
        <v>-121240.796</v>
      </c>
      <c r="R703">
        <f t="shared" si="996"/>
        <v>3603304.6364678484</v>
      </c>
      <c r="S703">
        <f t="shared" si="997"/>
        <v>36.033046364678484</v>
      </c>
      <c r="T703">
        <f t="shared" si="998"/>
        <v>3.6033046364678481E-2</v>
      </c>
    </row>
    <row r="704" spans="1:20" x14ac:dyDescent="0.25">
      <c r="A704" s="5">
        <v>43889</v>
      </c>
      <c r="B704">
        <v>2.448</v>
      </c>
      <c r="C704">
        <v>2.641</v>
      </c>
      <c r="D704">
        <v>2.444</v>
      </c>
      <c r="E704">
        <v>2.617</v>
      </c>
      <c r="F704">
        <v>248830.68599999999</v>
      </c>
      <c r="G704">
        <v>0</v>
      </c>
      <c r="L704" t="s">
        <v>8</v>
      </c>
      <c r="M704" t="s">
        <v>8</v>
      </c>
      <c r="N704" t="s">
        <v>8</v>
      </c>
      <c r="P704">
        <f t="shared" si="994"/>
        <v>0.75634517766497444</v>
      </c>
      <c r="Q704">
        <f t="shared" si="995"/>
        <v>188201.88941116745</v>
      </c>
      <c r="R704">
        <f t="shared" si="996"/>
        <v>3724545.4324678485</v>
      </c>
      <c r="S704">
        <f t="shared" si="997"/>
        <v>37.245454324678484</v>
      </c>
      <c r="T704">
        <f t="shared" si="998"/>
        <v>3.7245454324678483E-2</v>
      </c>
    </row>
    <row r="705" spans="1:20" x14ac:dyDescent="0.25">
      <c r="A705" s="5">
        <v>43888</v>
      </c>
      <c r="B705">
        <v>2.2789999999999999</v>
      </c>
      <c r="C705">
        <v>2.4649999999999999</v>
      </c>
      <c r="D705">
        <v>2.2200000000000002</v>
      </c>
      <c r="E705">
        <v>2.448</v>
      </c>
      <c r="F705">
        <v>634117.505</v>
      </c>
      <c r="G705">
        <v>0</v>
      </c>
      <c r="L705" t="s">
        <v>8</v>
      </c>
      <c r="M705" t="s">
        <v>7</v>
      </c>
      <c r="N705" t="s">
        <v>8</v>
      </c>
      <c r="P705">
        <f t="shared" si="994"/>
        <v>0.86122448979591892</v>
      </c>
      <c r="Q705">
        <f t="shared" si="995"/>
        <v>546117.52471428609</v>
      </c>
      <c r="R705">
        <f t="shared" si="996"/>
        <v>3536343.5430566813</v>
      </c>
      <c r="S705">
        <f t="shared" si="997"/>
        <v>35.36343543056681</v>
      </c>
      <c r="T705">
        <f t="shared" si="998"/>
        <v>3.536343543056681E-2</v>
      </c>
    </row>
    <row r="706" spans="1:20" x14ac:dyDescent="0.25">
      <c r="A706" s="5">
        <v>43887</v>
      </c>
      <c r="B706">
        <v>2.4609999999999999</v>
      </c>
      <c r="C706">
        <v>2.484</v>
      </c>
      <c r="D706">
        <v>2.14</v>
      </c>
      <c r="E706">
        <v>2.2850000000000001</v>
      </c>
      <c r="F706">
        <v>1467046.382</v>
      </c>
      <c r="G706">
        <v>0</v>
      </c>
      <c r="L706" t="s">
        <v>7</v>
      </c>
      <c r="M706" t="s">
        <v>7</v>
      </c>
      <c r="N706" t="s">
        <v>8</v>
      </c>
      <c r="P706">
        <f t="shared" si="994"/>
        <v>-0.15697674418604607</v>
      </c>
      <c r="Q706">
        <f t="shared" si="995"/>
        <v>-230292.16461627843</v>
      </c>
      <c r="R706">
        <f t="shared" si="996"/>
        <v>2990226.0183423953</v>
      </c>
      <c r="S706">
        <f t="shared" si="997"/>
        <v>29.902260183423952</v>
      </c>
      <c r="T706">
        <f t="shared" si="998"/>
        <v>2.9902260183423953E-2</v>
      </c>
    </row>
    <row r="707" spans="1:20" x14ac:dyDescent="0.25">
      <c r="A707" s="5">
        <v>43886</v>
      </c>
      <c r="B707">
        <v>2.6339999999999999</v>
      </c>
      <c r="C707">
        <v>2.6339999999999999</v>
      </c>
      <c r="D707">
        <v>2.4460000000000002</v>
      </c>
      <c r="E707">
        <v>2.46</v>
      </c>
      <c r="F707">
        <v>551275.76399999997</v>
      </c>
      <c r="G707">
        <v>0</v>
      </c>
      <c r="L707" t="s">
        <v>7</v>
      </c>
      <c r="M707" t="s">
        <v>8</v>
      </c>
      <c r="N707" t="s">
        <v>8</v>
      </c>
      <c r="P707">
        <f t="shared" si="994"/>
        <v>-0.85106382978723605</v>
      </c>
      <c r="Q707">
        <f t="shared" si="995"/>
        <v>-469170.86297872447</v>
      </c>
      <c r="R707">
        <f t="shared" si="996"/>
        <v>3220518.1829586737</v>
      </c>
      <c r="S707">
        <f t="shared" si="997"/>
        <v>32.205181829586735</v>
      </c>
      <c r="T707">
        <f t="shared" si="998"/>
        <v>3.2205181829586732E-2</v>
      </c>
    </row>
    <row r="708" spans="1:20" x14ac:dyDescent="0.25">
      <c r="A708" s="5">
        <v>43885</v>
      </c>
      <c r="B708">
        <v>2.7480000000000002</v>
      </c>
      <c r="C708">
        <v>2.7639999999999998</v>
      </c>
      <c r="D708">
        <v>2.5419999999999998</v>
      </c>
      <c r="E708">
        <v>2.6339999999999999</v>
      </c>
      <c r="F708">
        <v>148625.16399999999</v>
      </c>
      <c r="G708">
        <v>0</v>
      </c>
      <c r="L708" t="s">
        <v>7</v>
      </c>
      <c r="M708" t="s">
        <v>8</v>
      </c>
      <c r="N708" t="s">
        <v>8</v>
      </c>
      <c r="P708">
        <f t="shared" si="994"/>
        <v>-0.17117117117117034</v>
      </c>
      <c r="Q708">
        <f t="shared" si="995"/>
        <v>-25440.343387387264</v>
      </c>
      <c r="R708">
        <f t="shared" si="996"/>
        <v>3689689.045937398</v>
      </c>
      <c r="S708">
        <f t="shared" si="997"/>
        <v>36.896890459373978</v>
      </c>
      <c r="T708">
        <f t="shared" si="998"/>
        <v>3.6896890459373978E-2</v>
      </c>
    </row>
    <row r="709" spans="1:20" x14ac:dyDescent="0.25">
      <c r="A709" s="5">
        <v>43884</v>
      </c>
      <c r="B709">
        <v>2.673</v>
      </c>
      <c r="C709">
        <v>2.7730000000000001</v>
      </c>
      <c r="D709">
        <v>2.6669999999999998</v>
      </c>
      <c r="E709">
        <v>2.7559999999999998</v>
      </c>
      <c r="F709">
        <v>47916.273999999998</v>
      </c>
      <c r="G709">
        <v>0</v>
      </c>
      <c r="L709" t="s">
        <v>8</v>
      </c>
      <c r="M709" t="s">
        <v>8</v>
      </c>
      <c r="N709" t="s">
        <v>8</v>
      </c>
      <c r="P709">
        <f t="shared" si="994"/>
        <v>0.67924528301886233</v>
      </c>
      <c r="Q709">
        <f t="shared" si="995"/>
        <v>32546.903094339352</v>
      </c>
      <c r="R709">
        <f t="shared" si="996"/>
        <v>3715129.3893247852</v>
      </c>
      <c r="S709">
        <f t="shared" si="997"/>
        <v>37.151293893247853</v>
      </c>
      <c r="T709">
        <f t="shared" si="998"/>
        <v>3.7151293893247853E-2</v>
      </c>
    </row>
    <row r="710" spans="1:20" x14ac:dyDescent="0.25">
      <c r="A710" s="5">
        <v>43883</v>
      </c>
      <c r="B710">
        <v>2.6789999999999998</v>
      </c>
      <c r="C710">
        <v>2.6920000000000002</v>
      </c>
      <c r="D710">
        <v>2.6459999999999999</v>
      </c>
      <c r="E710">
        <v>2.673</v>
      </c>
      <c r="F710">
        <v>57195.989000000001</v>
      </c>
      <c r="G710">
        <v>0</v>
      </c>
      <c r="L710" t="s">
        <v>8</v>
      </c>
      <c r="M710" t="s">
        <v>8</v>
      </c>
      <c r="N710" t="s">
        <v>8</v>
      </c>
      <c r="P710">
        <f t="shared" ref="P710:P766" si="999">IF(C710=D710,0,((E710-D710)-(C710-E710))/(C710-D710))</f>
        <v>0.17391304347826003</v>
      </c>
      <c r="Q710">
        <f t="shared" ref="Q710:Q766" si="1000">F710*P710</f>
        <v>9947.1285217390832</v>
      </c>
      <c r="R710">
        <f t="shared" ref="R710:R766" si="1001">R711+Q710</f>
        <v>3682582.486230446</v>
      </c>
      <c r="S710">
        <f t="shared" ref="S710:S766" si="1002">R710/100000</f>
        <v>36.825824862304458</v>
      </c>
      <c r="T710">
        <f t="shared" ref="T710:T766" si="1003">S710/1000</f>
        <v>3.6825824862304457E-2</v>
      </c>
    </row>
    <row r="711" spans="1:20" x14ac:dyDescent="0.25">
      <c r="A711" s="5">
        <v>43882</v>
      </c>
      <c r="B711">
        <v>2.6219999999999999</v>
      </c>
      <c r="C711">
        <v>2.722</v>
      </c>
      <c r="D711">
        <v>2.6150000000000002</v>
      </c>
      <c r="E711">
        <v>2.6880000000000002</v>
      </c>
      <c r="F711">
        <v>124875.01</v>
      </c>
      <c r="G711">
        <v>0</v>
      </c>
      <c r="L711" t="s">
        <v>8</v>
      </c>
      <c r="M711" t="s">
        <v>8</v>
      </c>
      <c r="N711" t="s">
        <v>8</v>
      </c>
      <c r="P711">
        <f t="shared" si="999"/>
        <v>0.36448598130841336</v>
      </c>
      <c r="Q711">
        <f t="shared" si="1000"/>
        <v>45515.190560747928</v>
      </c>
      <c r="R711">
        <f t="shared" si="1001"/>
        <v>3672635.357708707</v>
      </c>
      <c r="S711">
        <f t="shared" si="1002"/>
        <v>36.726353577087067</v>
      </c>
      <c r="T711">
        <f t="shared" si="1003"/>
        <v>3.6726353577087069E-2</v>
      </c>
    </row>
    <row r="712" spans="1:20" x14ac:dyDescent="0.25">
      <c r="A712" s="5">
        <v>43881</v>
      </c>
      <c r="B712">
        <v>2.6520000000000001</v>
      </c>
      <c r="C712">
        <v>2.6669999999999998</v>
      </c>
      <c r="D712">
        <v>2.58</v>
      </c>
      <c r="E712">
        <v>2.6280000000000001</v>
      </c>
      <c r="F712">
        <v>322937.05099999998</v>
      </c>
      <c r="G712">
        <v>0</v>
      </c>
      <c r="L712" t="s">
        <v>8</v>
      </c>
      <c r="M712" t="s">
        <v>8</v>
      </c>
      <c r="N712" t="s">
        <v>8</v>
      </c>
      <c r="P712">
        <f t="shared" si="999"/>
        <v>0.1034482758620732</v>
      </c>
      <c r="Q712">
        <f t="shared" si="1000"/>
        <v>33407.281137932398</v>
      </c>
      <c r="R712">
        <f t="shared" si="1001"/>
        <v>3627120.1671479591</v>
      </c>
      <c r="S712">
        <f t="shared" si="1002"/>
        <v>36.271201671479588</v>
      </c>
      <c r="T712">
        <f t="shared" si="1003"/>
        <v>3.627120167147959E-2</v>
      </c>
    </row>
    <row r="713" spans="1:20" x14ac:dyDescent="0.25">
      <c r="A713" s="5">
        <v>43880</v>
      </c>
      <c r="B713">
        <v>2.8410000000000002</v>
      </c>
      <c r="C713">
        <v>2.847</v>
      </c>
      <c r="D713">
        <v>0.5</v>
      </c>
      <c r="E713">
        <v>2.6520000000000001</v>
      </c>
      <c r="F713">
        <v>167107.31400000001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0.83383042181508327</v>
      </c>
      <c r="Q713">
        <f t="shared" si="1000"/>
        <v>139339.16212100559</v>
      </c>
      <c r="R713">
        <f t="shared" si="1001"/>
        <v>3593712.8860100266</v>
      </c>
      <c r="S713">
        <f t="shared" si="1002"/>
        <v>35.937128860100266</v>
      </c>
      <c r="T713">
        <f t="shared" si="1003"/>
        <v>3.5937128860100268E-2</v>
      </c>
    </row>
    <row r="714" spans="1:20" x14ac:dyDescent="0.25">
      <c r="A714" s="5">
        <v>43879</v>
      </c>
      <c r="B714">
        <v>2.7280000000000002</v>
      </c>
      <c r="C714">
        <v>2.8650000000000002</v>
      </c>
      <c r="D714">
        <v>2.6909999999999998</v>
      </c>
      <c r="E714">
        <v>2.85</v>
      </c>
      <c r="F714">
        <v>157356.36199999999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0.82758620689655071</v>
      </c>
      <c r="Q714">
        <f t="shared" si="1000"/>
        <v>130225.95475862053</v>
      </c>
      <c r="R714">
        <f t="shared" si="1001"/>
        <v>3454373.7238890212</v>
      </c>
      <c r="S714">
        <f t="shared" si="1002"/>
        <v>34.543737238890209</v>
      </c>
      <c r="T714">
        <f t="shared" si="1003"/>
        <v>3.4543737238890211E-2</v>
      </c>
    </row>
    <row r="715" spans="1:20" x14ac:dyDescent="0.25">
      <c r="A715" s="5">
        <v>43878</v>
      </c>
      <c r="B715">
        <v>2.9620000000000002</v>
      </c>
      <c r="C715">
        <v>2.9620000000000002</v>
      </c>
      <c r="D715">
        <v>2.5009999999999999</v>
      </c>
      <c r="E715">
        <v>2.7280000000000002</v>
      </c>
      <c r="F715">
        <v>1673509.297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-1.5184381778741146E-2</v>
      </c>
      <c r="Q715">
        <f t="shared" si="1000"/>
        <v>-25411.204075920705</v>
      </c>
      <c r="R715">
        <f t="shared" si="1001"/>
        <v>3324147.7691304008</v>
      </c>
      <c r="S715">
        <f t="shared" si="1002"/>
        <v>33.241477691304006</v>
      </c>
      <c r="T715">
        <f t="shared" si="1003"/>
        <v>3.3241477691304006E-2</v>
      </c>
    </row>
    <row r="716" spans="1:20" x14ac:dyDescent="0.25">
      <c r="A716" s="5">
        <v>43877</v>
      </c>
      <c r="B716">
        <v>2.5089999999999999</v>
      </c>
      <c r="C716">
        <v>3.7450000000000001</v>
      </c>
      <c r="D716">
        <v>2.508</v>
      </c>
      <c r="E716">
        <v>2.952</v>
      </c>
      <c r="F716">
        <v>3798162.6490000002</v>
      </c>
      <c r="G716">
        <v>0</v>
      </c>
      <c r="L716" t="s">
        <v>8</v>
      </c>
      <c r="M716" t="s">
        <v>8</v>
      </c>
      <c r="N716" t="s">
        <v>8</v>
      </c>
      <c r="P716">
        <f t="shared" si="999"/>
        <v>-0.28213419563459996</v>
      </c>
      <c r="Q716">
        <f t="shared" si="1000"/>
        <v>-1071591.5638649964</v>
      </c>
      <c r="R716">
        <f t="shared" si="1001"/>
        <v>3349558.9732063217</v>
      </c>
      <c r="S716">
        <f t="shared" si="1002"/>
        <v>33.495589732063216</v>
      </c>
      <c r="T716">
        <f t="shared" si="1003"/>
        <v>3.3495589732063215E-2</v>
      </c>
    </row>
    <row r="717" spans="1:20" x14ac:dyDescent="0.25">
      <c r="A717" s="5">
        <v>43876</v>
      </c>
      <c r="B717">
        <v>2.5710000000000002</v>
      </c>
      <c r="C717">
        <v>2.58</v>
      </c>
      <c r="D717">
        <v>2.4249999999999998</v>
      </c>
      <c r="E717">
        <v>2.5219999999999998</v>
      </c>
      <c r="F717">
        <v>312501.07699999999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0.2516129032258041</v>
      </c>
      <c r="Q717">
        <f t="shared" si="1000"/>
        <v>78629.303245160554</v>
      </c>
      <c r="R717">
        <f t="shared" si="1001"/>
        <v>4421150.5370713184</v>
      </c>
      <c r="S717">
        <f t="shared" si="1002"/>
        <v>44.211505370713184</v>
      </c>
      <c r="T717">
        <f t="shared" si="1003"/>
        <v>4.4211505370713181E-2</v>
      </c>
    </row>
    <row r="718" spans="1:20" x14ac:dyDescent="0.25">
      <c r="A718" s="5">
        <v>43875</v>
      </c>
      <c r="B718">
        <v>2.5219999999999998</v>
      </c>
      <c r="C718">
        <v>2.5739999999999998</v>
      </c>
      <c r="D718">
        <v>2.5089999999999999</v>
      </c>
      <c r="E718">
        <v>2.5619999999999998</v>
      </c>
      <c r="F718">
        <v>123970.421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0.63076923076923019</v>
      </c>
      <c r="Q718">
        <f t="shared" si="1000"/>
        <v>78196.727092307628</v>
      </c>
      <c r="R718">
        <f t="shared" si="1001"/>
        <v>4342521.2338261576</v>
      </c>
      <c r="S718">
        <f t="shared" si="1002"/>
        <v>43.425212338261574</v>
      </c>
      <c r="T718">
        <f t="shared" si="1003"/>
        <v>4.3425212338261576E-2</v>
      </c>
    </row>
    <row r="719" spans="1:20" x14ac:dyDescent="0.25">
      <c r="A719" s="5">
        <v>43874</v>
      </c>
      <c r="B719">
        <v>2.5710000000000002</v>
      </c>
      <c r="C719">
        <v>2.6080000000000001</v>
      </c>
      <c r="D719">
        <v>2.4359999999999999</v>
      </c>
      <c r="E719">
        <v>2.52</v>
      </c>
      <c r="F719">
        <v>601585.29799999995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-2.3255813953488372E-2</v>
      </c>
      <c r="Q719">
        <f t="shared" si="1000"/>
        <v>-13990.355767441859</v>
      </c>
      <c r="R719">
        <f t="shared" si="1001"/>
        <v>4264324.5067338496</v>
      </c>
      <c r="S719">
        <f t="shared" si="1002"/>
        <v>42.643245067338498</v>
      </c>
      <c r="T719">
        <f t="shared" si="1003"/>
        <v>4.2643245067338499E-2</v>
      </c>
    </row>
    <row r="720" spans="1:20" x14ac:dyDescent="0.25">
      <c r="A720" s="5">
        <v>43873</v>
      </c>
      <c r="B720">
        <v>2.5609999999999999</v>
      </c>
      <c r="C720">
        <v>2.6179999999999999</v>
      </c>
      <c r="D720">
        <v>2.5339999999999998</v>
      </c>
      <c r="E720">
        <v>2.5779999999999998</v>
      </c>
      <c r="F720">
        <v>486790.28200000001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4.7619047619047616E-2</v>
      </c>
      <c r="Q720">
        <f t="shared" si="1000"/>
        <v>23180.489619047617</v>
      </c>
      <c r="R720">
        <f t="shared" si="1001"/>
        <v>4278314.8625012916</v>
      </c>
      <c r="S720">
        <f t="shared" si="1002"/>
        <v>42.783148625012913</v>
      </c>
      <c r="T720">
        <f t="shared" si="1003"/>
        <v>4.2783148625012916E-2</v>
      </c>
    </row>
    <row r="721" spans="1:20" x14ac:dyDescent="0.25">
      <c r="A721" s="5">
        <v>43872</v>
      </c>
      <c r="B721">
        <v>2.492</v>
      </c>
      <c r="C721">
        <v>2.5750000000000002</v>
      </c>
      <c r="D721">
        <v>2.4209999999999998</v>
      </c>
      <c r="E721">
        <v>2.5569999999999999</v>
      </c>
      <c r="F721">
        <v>348378.70699999999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0.76623376623376371</v>
      </c>
      <c r="Q721">
        <f t="shared" si="1000"/>
        <v>266939.52874025889</v>
      </c>
      <c r="R721">
        <f t="shared" si="1001"/>
        <v>4255134.3728822442</v>
      </c>
      <c r="S721">
        <f t="shared" si="1002"/>
        <v>42.551343728822445</v>
      </c>
      <c r="T721">
        <f t="shared" si="1003"/>
        <v>4.2551343728822445E-2</v>
      </c>
    </row>
    <row r="722" spans="1:20" x14ac:dyDescent="0.25">
      <c r="A722" s="5">
        <v>43871</v>
      </c>
      <c r="B722">
        <v>2.4079999999999999</v>
      </c>
      <c r="C722">
        <v>2.5409999999999999</v>
      </c>
      <c r="D722">
        <v>2.3159999999999998</v>
      </c>
      <c r="E722">
        <v>2.492</v>
      </c>
      <c r="F722">
        <v>872876.58100000001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0.56444444444444519</v>
      </c>
      <c r="Q722">
        <f t="shared" si="1000"/>
        <v>492690.33683111175</v>
      </c>
      <c r="R722">
        <f t="shared" si="1001"/>
        <v>3988194.8441419853</v>
      </c>
      <c r="S722">
        <f t="shared" si="1002"/>
        <v>39.881948441419851</v>
      </c>
      <c r="T722">
        <f t="shared" si="1003"/>
        <v>3.9881948441419852E-2</v>
      </c>
    </row>
    <row r="723" spans="1:20" x14ac:dyDescent="0.25">
      <c r="A723" s="5">
        <v>43870</v>
      </c>
      <c r="B723">
        <v>2.3839999999999999</v>
      </c>
      <c r="C723">
        <v>2.4279999999999999</v>
      </c>
      <c r="D723">
        <v>2.3719999999999999</v>
      </c>
      <c r="E723">
        <v>2.4089999999999998</v>
      </c>
      <c r="F723">
        <v>344797.84499999997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0.32142857142856746</v>
      </c>
      <c r="Q723">
        <f t="shared" si="1000"/>
        <v>110827.87874999862</v>
      </c>
      <c r="R723">
        <f t="shared" si="1001"/>
        <v>3495504.5073108734</v>
      </c>
      <c r="S723">
        <f t="shared" si="1002"/>
        <v>34.955045073108735</v>
      </c>
      <c r="T723">
        <f t="shared" si="1003"/>
        <v>3.4955045073108738E-2</v>
      </c>
    </row>
    <row r="724" spans="1:20" x14ac:dyDescent="0.25">
      <c r="A724" s="5">
        <v>43869</v>
      </c>
      <c r="B724">
        <v>2.383</v>
      </c>
      <c r="C724">
        <v>2.4079999999999999</v>
      </c>
      <c r="D724">
        <v>2.3380000000000001</v>
      </c>
      <c r="E724">
        <v>2.3820000000000001</v>
      </c>
      <c r="F724">
        <v>120003.264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0.25714285714286111</v>
      </c>
      <c r="Q724">
        <f t="shared" si="1000"/>
        <v>30857.982171429048</v>
      </c>
      <c r="R724">
        <f t="shared" si="1001"/>
        <v>3384676.6285608746</v>
      </c>
      <c r="S724">
        <f t="shared" si="1002"/>
        <v>33.846766285608744</v>
      </c>
      <c r="T724">
        <f t="shared" si="1003"/>
        <v>3.3846766285608745E-2</v>
      </c>
    </row>
    <row r="725" spans="1:20" x14ac:dyDescent="0.25">
      <c r="A725" s="5">
        <v>43868</v>
      </c>
      <c r="B725">
        <v>2.4129999999999998</v>
      </c>
      <c r="C725">
        <v>2.448</v>
      </c>
      <c r="D725">
        <v>2.35</v>
      </c>
      <c r="E725">
        <v>2.3879999999999999</v>
      </c>
      <c r="F725">
        <v>600270.38300000003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-0.22448979591837012</v>
      </c>
      <c r="Q725">
        <f t="shared" si="1000"/>
        <v>-134754.57577551188</v>
      </c>
      <c r="R725">
        <f t="shared" si="1001"/>
        <v>3353818.6463894458</v>
      </c>
      <c r="S725">
        <f t="shared" si="1002"/>
        <v>33.538186463894455</v>
      </c>
      <c r="T725">
        <f t="shared" si="1003"/>
        <v>3.3538186463894455E-2</v>
      </c>
    </row>
    <row r="726" spans="1:20" x14ac:dyDescent="0.25">
      <c r="A726" s="5">
        <v>43867</v>
      </c>
      <c r="B726">
        <v>2.3439999999999999</v>
      </c>
      <c r="C726">
        <v>2.42</v>
      </c>
      <c r="D726">
        <v>2.3220000000000001</v>
      </c>
      <c r="E726">
        <v>2.4129999999999998</v>
      </c>
      <c r="F726">
        <v>363845.15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0.85714285714285454</v>
      </c>
      <c r="Q726">
        <f t="shared" si="1000"/>
        <v>311867.2714285705</v>
      </c>
      <c r="R726">
        <f t="shared" si="1001"/>
        <v>3488573.2221649578</v>
      </c>
      <c r="S726">
        <f t="shared" si="1002"/>
        <v>34.885732221649576</v>
      </c>
      <c r="T726">
        <f t="shared" si="1003"/>
        <v>3.4885732221649576E-2</v>
      </c>
    </row>
    <row r="727" spans="1:20" x14ac:dyDescent="0.25">
      <c r="A727" s="5">
        <v>43866</v>
      </c>
      <c r="B727">
        <v>2.2480000000000002</v>
      </c>
      <c r="C727">
        <v>2.3879999999999999</v>
      </c>
      <c r="D727">
        <v>2.2389999999999999</v>
      </c>
      <c r="E727">
        <v>2.3420000000000001</v>
      </c>
      <c r="F727">
        <v>492942.40899999999</v>
      </c>
      <c r="G727">
        <v>0</v>
      </c>
      <c r="L727" t="s">
        <v>7</v>
      </c>
      <c r="M727" t="s">
        <v>8</v>
      </c>
      <c r="N727" t="s">
        <v>8</v>
      </c>
      <c r="P727">
        <f t="shared" si="999"/>
        <v>0.3825503355704723</v>
      </c>
      <c r="Q727">
        <f t="shared" si="1000"/>
        <v>188575.283979867</v>
      </c>
      <c r="R727">
        <f t="shared" si="1001"/>
        <v>3176705.9507363872</v>
      </c>
      <c r="S727">
        <f t="shared" si="1002"/>
        <v>31.767059507363872</v>
      </c>
      <c r="T727">
        <f t="shared" si="1003"/>
        <v>3.1767059507363873E-2</v>
      </c>
    </row>
    <row r="728" spans="1:20" x14ac:dyDescent="0.25">
      <c r="A728" s="5">
        <v>43865</v>
      </c>
      <c r="B728">
        <v>2.3010000000000002</v>
      </c>
      <c r="C728">
        <v>2.3180000000000001</v>
      </c>
      <c r="D728">
        <v>2.2090000000000001</v>
      </c>
      <c r="E728">
        <v>2.2480000000000002</v>
      </c>
      <c r="F728">
        <v>336790.59899999999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-0.28440366972476788</v>
      </c>
      <c r="Q728">
        <f t="shared" si="1000"/>
        <v>-95784.482284402737</v>
      </c>
      <c r="R728">
        <f t="shared" si="1001"/>
        <v>2988130.66675652</v>
      </c>
      <c r="S728">
        <f t="shared" si="1002"/>
        <v>29.881306667565202</v>
      </c>
      <c r="T728">
        <f t="shared" si="1003"/>
        <v>2.9881306667565201E-2</v>
      </c>
    </row>
    <row r="729" spans="1:20" x14ac:dyDescent="0.25">
      <c r="A729" s="5">
        <v>43864</v>
      </c>
      <c r="B729">
        <v>2.3149999999999999</v>
      </c>
      <c r="C729">
        <v>2.3839999999999999</v>
      </c>
      <c r="D729">
        <v>2.262</v>
      </c>
      <c r="E729">
        <v>2.302</v>
      </c>
      <c r="F729">
        <v>679124.69099999999</v>
      </c>
      <c r="G729">
        <v>0</v>
      </c>
      <c r="L729" t="s">
        <v>7</v>
      </c>
      <c r="M729" t="s">
        <v>8</v>
      </c>
      <c r="N729" t="s">
        <v>8</v>
      </c>
      <c r="P729">
        <f t="shared" si="999"/>
        <v>-0.34426229508196604</v>
      </c>
      <c r="Q729">
        <f t="shared" si="1000"/>
        <v>-233797.024770491</v>
      </c>
      <c r="R729">
        <f t="shared" si="1001"/>
        <v>3083915.149040923</v>
      </c>
      <c r="S729">
        <f t="shared" si="1002"/>
        <v>30.839151490409229</v>
      </c>
      <c r="T729">
        <f t="shared" si="1003"/>
        <v>3.0839151490409229E-2</v>
      </c>
    </row>
    <row r="730" spans="1:20" x14ac:dyDescent="0.25">
      <c r="A730" s="5">
        <v>43863</v>
      </c>
      <c r="B730">
        <v>2.3359999999999999</v>
      </c>
      <c r="C730">
        <v>2.37</v>
      </c>
      <c r="D730">
        <v>2.294</v>
      </c>
      <c r="E730">
        <v>2.3180000000000001</v>
      </c>
      <c r="F730">
        <v>177414.62</v>
      </c>
      <c r="G730">
        <v>0</v>
      </c>
      <c r="L730" t="s">
        <v>7</v>
      </c>
      <c r="M730" t="s">
        <v>8</v>
      </c>
      <c r="N730" t="s">
        <v>8</v>
      </c>
      <c r="P730">
        <f t="shared" si="999"/>
        <v>-0.36842105263157893</v>
      </c>
      <c r="Q730">
        <f t="shared" si="1000"/>
        <v>-65363.281052631573</v>
      </c>
      <c r="R730">
        <f t="shared" si="1001"/>
        <v>3317712.1738114138</v>
      </c>
      <c r="S730">
        <f t="shared" si="1002"/>
        <v>33.177121738114138</v>
      </c>
      <c r="T730">
        <f t="shared" si="1003"/>
        <v>3.3177121738114136E-2</v>
      </c>
    </row>
    <row r="731" spans="1:20" x14ac:dyDescent="0.25">
      <c r="A731" s="5">
        <v>43862</v>
      </c>
      <c r="B731">
        <v>2.371</v>
      </c>
      <c r="C731">
        <v>2.39</v>
      </c>
      <c r="D731">
        <v>2.3290000000000002</v>
      </c>
      <c r="E731">
        <v>2.351</v>
      </c>
      <c r="F731">
        <v>72233.198999999993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-0.27868852459016991</v>
      </c>
      <c r="Q731">
        <f t="shared" si="1000"/>
        <v>-20130.563655738133</v>
      </c>
      <c r="R731">
        <f t="shared" si="1001"/>
        <v>3383075.4548640456</v>
      </c>
      <c r="S731">
        <f t="shared" si="1002"/>
        <v>33.830754548640456</v>
      </c>
      <c r="T731">
        <f t="shared" si="1003"/>
        <v>3.3830754548640457E-2</v>
      </c>
    </row>
    <row r="732" spans="1:20" x14ac:dyDescent="0.25">
      <c r="A732" s="5">
        <v>43861</v>
      </c>
      <c r="B732">
        <v>2.4060000000000001</v>
      </c>
      <c r="C732">
        <v>2.4079999999999999</v>
      </c>
      <c r="D732">
        <v>2.3199999999999998</v>
      </c>
      <c r="E732">
        <v>2.367</v>
      </c>
      <c r="F732">
        <v>236684.171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6.8181818181820703E-2</v>
      </c>
      <c r="Q732">
        <f t="shared" si="1000"/>
        <v>16137.55711363696</v>
      </c>
      <c r="R732">
        <f t="shared" si="1001"/>
        <v>3403206.0185197839</v>
      </c>
      <c r="S732">
        <f t="shared" si="1002"/>
        <v>34.032060185197835</v>
      </c>
      <c r="T732">
        <f t="shared" si="1003"/>
        <v>3.4032060185197832E-2</v>
      </c>
    </row>
    <row r="733" spans="1:20" x14ac:dyDescent="0.25">
      <c r="A733" s="5">
        <v>43860</v>
      </c>
      <c r="B733">
        <v>2.3460000000000001</v>
      </c>
      <c r="C733">
        <v>2.4209999999999998</v>
      </c>
      <c r="D733">
        <v>2.3180000000000001</v>
      </c>
      <c r="E733">
        <v>2.4039999999999999</v>
      </c>
      <c r="F733">
        <v>598076.83400000003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0.66990291262136026</v>
      </c>
      <c r="Q733">
        <f t="shared" si="1000"/>
        <v>400653.41306796181</v>
      </c>
      <c r="R733">
        <f t="shared" si="1001"/>
        <v>3387068.4614061471</v>
      </c>
      <c r="S733">
        <f t="shared" si="1002"/>
        <v>33.870684614061474</v>
      </c>
      <c r="T733">
        <f t="shared" si="1003"/>
        <v>3.3870684614061473E-2</v>
      </c>
    </row>
    <row r="734" spans="1:20" x14ac:dyDescent="0.25">
      <c r="A734" s="5">
        <v>43859</v>
      </c>
      <c r="B734">
        <v>2.4460000000000002</v>
      </c>
      <c r="C734">
        <v>2.4529999999999998</v>
      </c>
      <c r="D734">
        <v>2.3439999999999999</v>
      </c>
      <c r="E734">
        <v>2.3479999999999999</v>
      </c>
      <c r="F734">
        <v>585261.56400000001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-0.92660550458715585</v>
      </c>
      <c r="Q734">
        <f t="shared" si="1000"/>
        <v>-542306.58682568802</v>
      </c>
      <c r="R734">
        <f t="shared" si="1001"/>
        <v>2986415.0483381855</v>
      </c>
      <c r="S734">
        <f t="shared" si="1002"/>
        <v>29.864150483381856</v>
      </c>
      <c r="T734">
        <f t="shared" si="1003"/>
        <v>2.9864150483381854E-2</v>
      </c>
    </row>
    <row r="735" spans="1:20" x14ac:dyDescent="0.25">
      <c r="A735" s="5">
        <v>43858</v>
      </c>
      <c r="B735">
        <v>2.3759999999999999</v>
      </c>
      <c r="C735">
        <v>2.4460000000000002</v>
      </c>
      <c r="D735">
        <v>2.3340000000000001</v>
      </c>
      <c r="E735">
        <v>2.4460000000000002</v>
      </c>
      <c r="F735">
        <v>647069.83299999998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1</v>
      </c>
      <c r="Q735">
        <f t="shared" si="1000"/>
        <v>647069.83299999998</v>
      </c>
      <c r="R735">
        <f t="shared" si="1001"/>
        <v>3528721.6351638734</v>
      </c>
      <c r="S735">
        <f t="shared" si="1002"/>
        <v>35.287216351638733</v>
      </c>
      <c r="T735">
        <f t="shared" si="1003"/>
        <v>3.5287216351638735E-2</v>
      </c>
    </row>
    <row r="736" spans="1:20" x14ac:dyDescent="0.25">
      <c r="A736" s="5">
        <v>43857</v>
      </c>
      <c r="B736">
        <v>2.2909999999999999</v>
      </c>
      <c r="C736">
        <v>2.403</v>
      </c>
      <c r="D736">
        <v>2.2879999999999998</v>
      </c>
      <c r="E736">
        <v>2.3719999999999999</v>
      </c>
      <c r="F736">
        <v>364527.39600000001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0.46086956521738992</v>
      </c>
      <c r="Q736">
        <f t="shared" si="1000"/>
        <v>167999.58250434732</v>
      </c>
      <c r="R736">
        <f t="shared" si="1001"/>
        <v>2881651.8021638733</v>
      </c>
      <c r="S736">
        <f t="shared" si="1002"/>
        <v>28.816518021638732</v>
      </c>
      <c r="T736">
        <f t="shared" si="1003"/>
        <v>2.8816518021638732E-2</v>
      </c>
    </row>
    <row r="737" spans="1:20" x14ac:dyDescent="0.25">
      <c r="A737" s="5">
        <v>43856</v>
      </c>
      <c r="B737">
        <v>2.21</v>
      </c>
      <c r="C737">
        <v>2.29</v>
      </c>
      <c r="D737">
        <v>2.202</v>
      </c>
      <c r="E737">
        <v>2.2839999999999998</v>
      </c>
      <c r="F737">
        <v>315855.28100000002</v>
      </c>
      <c r="G737">
        <v>0</v>
      </c>
      <c r="L737" t="s">
        <v>7</v>
      </c>
      <c r="M737" t="s">
        <v>8</v>
      </c>
      <c r="N737" t="s">
        <v>8</v>
      </c>
      <c r="P737">
        <f t="shared" si="999"/>
        <v>0.86363636363635854</v>
      </c>
      <c r="Q737">
        <f t="shared" si="1000"/>
        <v>272784.10631818022</v>
      </c>
      <c r="R737">
        <f t="shared" si="1001"/>
        <v>2713652.2196595259</v>
      </c>
      <c r="S737">
        <f t="shared" si="1002"/>
        <v>27.136522196595259</v>
      </c>
      <c r="T737">
        <f t="shared" si="1003"/>
        <v>2.7136522196595257E-2</v>
      </c>
    </row>
    <row r="738" spans="1:20" x14ac:dyDescent="0.25">
      <c r="A738" s="5">
        <v>43855</v>
      </c>
      <c r="B738">
        <v>2.2589999999999999</v>
      </c>
      <c r="C738">
        <v>2.2589999999999999</v>
      </c>
      <c r="D738">
        <v>2.2050000000000001</v>
      </c>
      <c r="E738">
        <v>2.2240000000000002</v>
      </c>
      <c r="F738">
        <v>71731.297000000006</v>
      </c>
      <c r="G738">
        <v>0</v>
      </c>
      <c r="L738" t="s">
        <v>7</v>
      </c>
      <c r="M738" t="s">
        <v>8</v>
      </c>
      <c r="N738" t="s">
        <v>8</v>
      </c>
      <c r="P738">
        <f t="shared" si="999"/>
        <v>-0.29629629629628929</v>
      </c>
      <c r="Q738">
        <f t="shared" si="1000"/>
        <v>-21253.717629629129</v>
      </c>
      <c r="R738">
        <f t="shared" si="1001"/>
        <v>2440868.1133413455</v>
      </c>
      <c r="S738">
        <f t="shared" si="1002"/>
        <v>24.408681133413456</v>
      </c>
      <c r="T738">
        <f t="shared" si="1003"/>
        <v>2.4408681133413455E-2</v>
      </c>
    </row>
    <row r="739" spans="1:20" x14ac:dyDescent="0.25">
      <c r="A739" s="5">
        <v>43854</v>
      </c>
      <c r="B739">
        <v>2.23</v>
      </c>
      <c r="C739">
        <v>2.286</v>
      </c>
      <c r="D739">
        <v>2.194</v>
      </c>
      <c r="E739">
        <v>2.2559999999999998</v>
      </c>
      <c r="F739">
        <v>99776.006999999998</v>
      </c>
      <c r="G739">
        <v>0</v>
      </c>
      <c r="L739" t="s">
        <v>7</v>
      </c>
      <c r="M739" t="s">
        <v>8</v>
      </c>
      <c r="N739" t="s">
        <v>8</v>
      </c>
      <c r="P739">
        <f t="shared" si="999"/>
        <v>0.3478260869565169</v>
      </c>
      <c r="Q739">
        <f t="shared" si="1000"/>
        <v>34704.698086956036</v>
      </c>
      <c r="R739">
        <f t="shared" si="1001"/>
        <v>2462121.8309709746</v>
      </c>
      <c r="S739">
        <f t="shared" si="1002"/>
        <v>24.621218309709747</v>
      </c>
      <c r="T739">
        <f t="shared" si="1003"/>
        <v>2.4621218309709748E-2</v>
      </c>
    </row>
    <row r="740" spans="1:20" x14ac:dyDescent="0.25">
      <c r="A740" s="5">
        <v>43853</v>
      </c>
      <c r="B740">
        <v>2.3210000000000002</v>
      </c>
      <c r="C740">
        <v>2.3210000000000002</v>
      </c>
      <c r="D740">
        <v>2.1800000000000002</v>
      </c>
      <c r="E740">
        <v>2.2360000000000002</v>
      </c>
      <c r="F740">
        <v>775805.99399999995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-0.20567375886524761</v>
      </c>
      <c r="Q740">
        <f t="shared" si="1000"/>
        <v>-159562.93493616971</v>
      </c>
      <c r="R740">
        <f t="shared" si="1001"/>
        <v>2427417.1328840186</v>
      </c>
      <c r="S740">
        <f t="shared" si="1002"/>
        <v>24.274171328840186</v>
      </c>
      <c r="T740">
        <f t="shared" si="1003"/>
        <v>2.4274171328840185E-2</v>
      </c>
    </row>
    <row r="741" spans="1:20" x14ac:dyDescent="0.25">
      <c r="A741" s="5">
        <v>43852</v>
      </c>
      <c r="B741">
        <v>2.3490000000000002</v>
      </c>
      <c r="C741">
        <v>2.3620000000000001</v>
      </c>
      <c r="D741">
        <v>2.2869999999999999</v>
      </c>
      <c r="E741">
        <v>2.3149999999999999</v>
      </c>
      <c r="F741">
        <v>238303.247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-0.25333333333333447</v>
      </c>
      <c r="Q741">
        <f t="shared" si="1000"/>
        <v>-60370.155906666936</v>
      </c>
      <c r="R741">
        <f t="shared" si="1001"/>
        <v>2586980.0678201881</v>
      </c>
      <c r="S741">
        <f t="shared" si="1002"/>
        <v>25.86980067820188</v>
      </c>
      <c r="T741">
        <f t="shared" si="1003"/>
        <v>2.5869800678201878E-2</v>
      </c>
    </row>
    <row r="742" spans="1:20" x14ac:dyDescent="0.25">
      <c r="A742" s="5">
        <v>43851</v>
      </c>
      <c r="B742">
        <v>2.266</v>
      </c>
      <c r="C742">
        <v>2.3519999999999999</v>
      </c>
      <c r="D742">
        <v>2.262</v>
      </c>
      <c r="E742">
        <v>2.351</v>
      </c>
      <c r="F742">
        <v>319955.98800000001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0.97777777777778019</v>
      </c>
      <c r="Q742">
        <f t="shared" si="1000"/>
        <v>312845.85493333411</v>
      </c>
      <c r="R742">
        <f t="shared" si="1001"/>
        <v>2647350.2237268551</v>
      </c>
      <c r="S742">
        <f t="shared" si="1002"/>
        <v>26.473502237268551</v>
      </c>
      <c r="T742">
        <f t="shared" si="1003"/>
        <v>2.6473502237268551E-2</v>
      </c>
    </row>
    <row r="743" spans="1:20" x14ac:dyDescent="0.25">
      <c r="A743" s="5">
        <v>43850</v>
      </c>
      <c r="B743">
        <v>2.2850000000000001</v>
      </c>
      <c r="C743">
        <v>2.2909999999999999</v>
      </c>
      <c r="D743">
        <v>2.2029999999999998</v>
      </c>
      <c r="E743">
        <v>2.266</v>
      </c>
      <c r="F743">
        <v>202402.67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0.43181818181818432</v>
      </c>
      <c r="Q743">
        <f t="shared" si="1000"/>
        <v>87401.152954545963</v>
      </c>
      <c r="R743">
        <f t="shared" si="1001"/>
        <v>2334504.3687935211</v>
      </c>
      <c r="S743">
        <f t="shared" si="1002"/>
        <v>23.34504368793521</v>
      </c>
      <c r="T743">
        <f t="shared" si="1003"/>
        <v>2.3345043687935208E-2</v>
      </c>
    </row>
    <row r="744" spans="1:20" x14ac:dyDescent="0.25">
      <c r="A744" s="5">
        <v>43849</v>
      </c>
      <c r="B744">
        <v>2.371</v>
      </c>
      <c r="C744">
        <v>2.4340000000000002</v>
      </c>
      <c r="D744">
        <v>2.2349999999999999</v>
      </c>
      <c r="E744">
        <v>2.2839999999999998</v>
      </c>
      <c r="F744">
        <v>393618.58899999998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-0.50753768844221248</v>
      </c>
      <c r="Q744">
        <f t="shared" si="1000"/>
        <v>-199776.26878894528</v>
      </c>
      <c r="R744">
        <f t="shared" si="1001"/>
        <v>2247103.2158389753</v>
      </c>
      <c r="S744">
        <f t="shared" si="1002"/>
        <v>22.471032158389754</v>
      </c>
      <c r="T744">
        <f t="shared" si="1003"/>
        <v>2.2471032158389755E-2</v>
      </c>
    </row>
    <row r="745" spans="1:20" x14ac:dyDescent="0.25">
      <c r="A745" s="5">
        <v>43848</v>
      </c>
      <c r="B745">
        <v>2.387</v>
      </c>
      <c r="C745">
        <v>2.423</v>
      </c>
      <c r="D745">
        <v>2.3340000000000001</v>
      </c>
      <c r="E745">
        <v>2.3769999999999998</v>
      </c>
      <c r="F745">
        <v>294660.64500000002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-3.3707865168545605E-2</v>
      </c>
      <c r="Q745">
        <f t="shared" si="1000"/>
        <v>-9932.3812921366825</v>
      </c>
      <c r="R745">
        <f t="shared" si="1001"/>
        <v>2446879.4846279207</v>
      </c>
      <c r="S745">
        <f t="shared" si="1002"/>
        <v>24.468794846279206</v>
      </c>
      <c r="T745">
        <f t="shared" si="1003"/>
        <v>2.4468794846279205E-2</v>
      </c>
    </row>
    <row r="746" spans="1:20" x14ac:dyDescent="0.25">
      <c r="A746" s="5">
        <v>43847</v>
      </c>
      <c r="B746">
        <v>2.3959999999999999</v>
      </c>
      <c r="C746">
        <v>2.4809999999999999</v>
      </c>
      <c r="D746">
        <v>2.04</v>
      </c>
      <c r="E746">
        <v>2.3860000000000001</v>
      </c>
      <c r="F746">
        <v>496915.663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0.56916099773242723</v>
      </c>
      <c r="Q746">
        <f t="shared" si="1000"/>
        <v>282825.0145419506</v>
      </c>
      <c r="R746">
        <f t="shared" si="1001"/>
        <v>2456811.8659200575</v>
      </c>
      <c r="S746">
        <f t="shared" si="1002"/>
        <v>24.568118659200575</v>
      </c>
      <c r="T746">
        <f t="shared" si="1003"/>
        <v>2.4568118659200576E-2</v>
      </c>
    </row>
    <row r="747" spans="1:20" x14ac:dyDescent="0.25">
      <c r="A747" s="5">
        <v>43846</v>
      </c>
      <c r="B747">
        <v>2.3690000000000002</v>
      </c>
      <c r="C747">
        <v>2.4</v>
      </c>
      <c r="D747">
        <v>2.2869999999999999</v>
      </c>
      <c r="E747">
        <v>2.4</v>
      </c>
      <c r="F747">
        <v>399721.10399999999</v>
      </c>
      <c r="G747">
        <v>0</v>
      </c>
      <c r="L747" t="s">
        <v>8</v>
      </c>
      <c r="M747" t="s">
        <v>8</v>
      </c>
      <c r="N747" t="s">
        <v>8</v>
      </c>
      <c r="P747">
        <f t="shared" si="999"/>
        <v>1</v>
      </c>
      <c r="Q747">
        <f t="shared" si="1000"/>
        <v>399721.10399999999</v>
      </c>
      <c r="R747">
        <f t="shared" si="1001"/>
        <v>2173986.851378107</v>
      </c>
      <c r="S747">
        <f t="shared" si="1002"/>
        <v>21.739868513781069</v>
      </c>
      <c r="T747">
        <f t="shared" si="1003"/>
        <v>2.1739868513781069E-2</v>
      </c>
    </row>
    <row r="748" spans="1:20" x14ac:dyDescent="0.25">
      <c r="A748" s="5">
        <v>43845</v>
      </c>
      <c r="B748">
        <v>2.1720000000000002</v>
      </c>
      <c r="C748">
        <v>2.3679999999999999</v>
      </c>
      <c r="D748">
        <v>2.15</v>
      </c>
      <c r="E748">
        <v>2.367</v>
      </c>
      <c r="F748">
        <v>1162491.233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0.99082568807339555</v>
      </c>
      <c r="Q748">
        <f t="shared" si="1000"/>
        <v>1151826.175816515</v>
      </c>
      <c r="R748">
        <f t="shared" si="1001"/>
        <v>1774265.7473781069</v>
      </c>
      <c r="S748">
        <f t="shared" si="1002"/>
        <v>17.742657473781069</v>
      </c>
      <c r="T748">
        <f t="shared" si="1003"/>
        <v>1.7742657473781068E-2</v>
      </c>
    </row>
    <row r="749" spans="1:20" x14ac:dyDescent="0.25">
      <c r="A749" s="5">
        <v>43844</v>
      </c>
      <c r="B749">
        <v>2.15</v>
      </c>
      <c r="C749">
        <v>2.2149999999999999</v>
      </c>
      <c r="D749">
        <v>2.1429999999999998</v>
      </c>
      <c r="E749">
        <v>2.1760000000000002</v>
      </c>
      <c r="F749">
        <v>554663.89399999997</v>
      </c>
      <c r="G749">
        <v>0</v>
      </c>
      <c r="L749" t="s">
        <v>7</v>
      </c>
      <c r="M749" t="s">
        <v>8</v>
      </c>
      <c r="N749" t="s">
        <v>8</v>
      </c>
      <c r="P749">
        <f t="shared" si="999"/>
        <v>-8.3333333333324086E-2</v>
      </c>
      <c r="Q749">
        <f t="shared" si="1000"/>
        <v>-46221.991166661537</v>
      </c>
      <c r="R749">
        <f t="shared" si="1001"/>
        <v>622439.57156159193</v>
      </c>
      <c r="S749">
        <f t="shared" si="1002"/>
        <v>6.2243957156159198</v>
      </c>
      <c r="T749">
        <f t="shared" si="1003"/>
        <v>6.2243957156159196E-3</v>
      </c>
    </row>
    <row r="750" spans="1:20" x14ac:dyDescent="0.25">
      <c r="A750" s="5">
        <v>43843</v>
      </c>
      <c r="B750">
        <v>2.1819999999999999</v>
      </c>
      <c r="C750">
        <v>2.1819999999999999</v>
      </c>
      <c r="D750">
        <v>2.14</v>
      </c>
      <c r="E750">
        <v>2.1549999999999998</v>
      </c>
      <c r="F750">
        <v>96535.739000000001</v>
      </c>
      <c r="G750">
        <v>0</v>
      </c>
      <c r="L750" t="s">
        <v>7</v>
      </c>
      <c r="M750" t="s">
        <v>8</v>
      </c>
      <c r="N750" t="s">
        <v>8</v>
      </c>
      <c r="P750">
        <f t="shared" si="999"/>
        <v>-0.2857142857142978</v>
      </c>
      <c r="Q750">
        <f t="shared" si="1000"/>
        <v>-27581.639714286881</v>
      </c>
      <c r="R750">
        <f t="shared" si="1001"/>
        <v>668661.56272825343</v>
      </c>
      <c r="S750">
        <f t="shared" si="1002"/>
        <v>6.6866156272825341</v>
      </c>
      <c r="T750">
        <f t="shared" si="1003"/>
        <v>6.686615627282534E-3</v>
      </c>
    </row>
    <row r="751" spans="1:20" x14ac:dyDescent="0.25">
      <c r="A751" s="5">
        <v>43842</v>
      </c>
      <c r="B751">
        <v>2.1429999999999998</v>
      </c>
      <c r="C751">
        <v>2.198</v>
      </c>
      <c r="D751">
        <v>2.133</v>
      </c>
      <c r="E751">
        <v>2.1829999999999998</v>
      </c>
      <c r="F751">
        <v>182071.04500000001</v>
      </c>
      <c r="G751">
        <v>0</v>
      </c>
      <c r="L751" t="s">
        <v>7</v>
      </c>
      <c r="M751" t="s">
        <v>8</v>
      </c>
      <c r="N751" t="s">
        <v>8</v>
      </c>
      <c r="P751">
        <f t="shared" si="999"/>
        <v>0.53846153846153422</v>
      </c>
      <c r="Q751">
        <f t="shared" si="1000"/>
        <v>98038.254999999233</v>
      </c>
      <c r="R751">
        <f t="shared" si="1001"/>
        <v>696243.20244254032</v>
      </c>
      <c r="S751">
        <f t="shared" si="1002"/>
        <v>6.9624320244254037</v>
      </c>
      <c r="T751">
        <f t="shared" si="1003"/>
        <v>6.9624320244254037E-3</v>
      </c>
    </row>
    <row r="752" spans="1:20" x14ac:dyDescent="0.25">
      <c r="A752" s="5">
        <v>43841</v>
      </c>
      <c r="B752">
        <v>2.234</v>
      </c>
      <c r="C752">
        <v>2.234</v>
      </c>
      <c r="D752">
        <v>2.1349999999999998</v>
      </c>
      <c r="E752">
        <v>2.1469999999999998</v>
      </c>
      <c r="F752">
        <v>251332.158</v>
      </c>
      <c r="G752">
        <v>0</v>
      </c>
      <c r="L752" t="s">
        <v>7</v>
      </c>
      <c r="M752" t="s">
        <v>8</v>
      </c>
      <c r="N752" t="s">
        <v>8</v>
      </c>
      <c r="P752">
        <f t="shared" si="999"/>
        <v>-0.7575757575757579</v>
      </c>
      <c r="Q752">
        <f t="shared" si="1000"/>
        <v>-190403.15000000008</v>
      </c>
      <c r="R752">
        <f t="shared" si="1001"/>
        <v>598204.94744254113</v>
      </c>
      <c r="S752">
        <f t="shared" si="1002"/>
        <v>5.9820494744254109</v>
      </c>
      <c r="T752">
        <f t="shared" si="1003"/>
        <v>5.982049474425411E-3</v>
      </c>
    </row>
    <row r="753" spans="1:20" x14ac:dyDescent="0.25">
      <c r="A753" s="5">
        <v>43840</v>
      </c>
      <c r="B753">
        <v>2.1589999999999998</v>
      </c>
      <c r="C753">
        <v>2.2400000000000002</v>
      </c>
      <c r="D753">
        <v>2.1339999999999999</v>
      </c>
      <c r="E753">
        <v>2.2280000000000002</v>
      </c>
      <c r="F753">
        <v>318059.44</v>
      </c>
      <c r="G753">
        <v>0</v>
      </c>
      <c r="L753" t="s">
        <v>7</v>
      </c>
      <c r="M753" t="s">
        <v>8</v>
      </c>
      <c r="N753" t="s">
        <v>8</v>
      </c>
      <c r="P753">
        <f t="shared" si="999"/>
        <v>0.77358490566037785</v>
      </c>
      <c r="Q753">
        <f t="shared" si="1000"/>
        <v>246045.98188679261</v>
      </c>
      <c r="R753">
        <f t="shared" si="1001"/>
        <v>788608.09744254116</v>
      </c>
      <c r="S753">
        <f t="shared" si="1002"/>
        <v>7.8860809744254112</v>
      </c>
      <c r="T753">
        <f t="shared" si="1003"/>
        <v>7.8860809744254121E-3</v>
      </c>
    </row>
    <row r="754" spans="1:20" x14ac:dyDescent="0.25">
      <c r="A754" s="5">
        <v>43839</v>
      </c>
      <c r="B754">
        <v>2.173</v>
      </c>
      <c r="C754">
        <v>2.173</v>
      </c>
      <c r="D754">
        <v>2.1349999999999998</v>
      </c>
      <c r="E754">
        <v>2.161</v>
      </c>
      <c r="F754">
        <v>256197.946</v>
      </c>
      <c r="G754">
        <v>0</v>
      </c>
      <c r="L754" t="s">
        <v>7</v>
      </c>
      <c r="M754" t="s">
        <v>8</v>
      </c>
      <c r="N754" t="s">
        <v>8</v>
      </c>
      <c r="P754">
        <f t="shared" si="999"/>
        <v>0.36842105263158265</v>
      </c>
      <c r="Q754">
        <f t="shared" si="1000"/>
        <v>94388.716947369365</v>
      </c>
      <c r="R754">
        <f t="shared" si="1001"/>
        <v>542562.11555574858</v>
      </c>
      <c r="S754">
        <f t="shared" si="1002"/>
        <v>5.4256211555574856</v>
      </c>
      <c r="T754">
        <f t="shared" si="1003"/>
        <v>5.4256211555574856E-3</v>
      </c>
    </row>
    <row r="755" spans="1:20" x14ac:dyDescent="0.25">
      <c r="A755" s="5">
        <v>43838</v>
      </c>
      <c r="B755">
        <v>2.161</v>
      </c>
      <c r="C755">
        <v>2.202</v>
      </c>
      <c r="D755">
        <v>2.1339999999999999</v>
      </c>
      <c r="E755">
        <v>2.1760000000000002</v>
      </c>
      <c r="F755">
        <v>938394.07799999998</v>
      </c>
      <c r="G755">
        <v>0</v>
      </c>
      <c r="L755" t="s">
        <v>7</v>
      </c>
      <c r="M755" t="s">
        <v>8</v>
      </c>
      <c r="N755" t="s">
        <v>8</v>
      </c>
      <c r="P755">
        <f t="shared" si="999"/>
        <v>0.23529411764706534</v>
      </c>
      <c r="Q755">
        <f t="shared" si="1000"/>
        <v>220798.60658824141</v>
      </c>
      <c r="R755">
        <f t="shared" si="1001"/>
        <v>448173.39860837918</v>
      </c>
      <c r="S755">
        <f t="shared" si="1002"/>
        <v>4.4817339860837917</v>
      </c>
      <c r="T755">
        <f t="shared" si="1003"/>
        <v>4.4817339860837918E-3</v>
      </c>
    </row>
    <row r="756" spans="1:20" x14ac:dyDescent="0.25">
      <c r="A756" s="5">
        <v>43837</v>
      </c>
      <c r="B756">
        <v>2.1859999999999999</v>
      </c>
      <c r="C756">
        <v>2.2410000000000001</v>
      </c>
      <c r="D756">
        <v>2.129</v>
      </c>
      <c r="E756">
        <v>2.1659999999999999</v>
      </c>
      <c r="F756">
        <v>533551.66200000001</v>
      </c>
      <c r="G756">
        <v>0</v>
      </c>
      <c r="L756" t="s">
        <v>7</v>
      </c>
      <c r="M756" t="s">
        <v>8</v>
      </c>
      <c r="N756" t="s">
        <v>8</v>
      </c>
      <c r="P756">
        <f t="shared" si="999"/>
        <v>-0.33928571428571624</v>
      </c>
      <c r="Q756">
        <f t="shared" si="1000"/>
        <v>-181026.45675000106</v>
      </c>
      <c r="R756">
        <f t="shared" si="1001"/>
        <v>227374.79202013777</v>
      </c>
      <c r="S756">
        <f t="shared" si="1002"/>
        <v>2.2737479202013775</v>
      </c>
      <c r="T756">
        <f t="shared" si="1003"/>
        <v>2.2737479202013773E-3</v>
      </c>
    </row>
    <row r="757" spans="1:20" x14ac:dyDescent="0.25">
      <c r="A757" s="5">
        <v>43836</v>
      </c>
      <c r="B757">
        <v>2.1379999999999999</v>
      </c>
      <c r="C757">
        <v>2.1909999999999998</v>
      </c>
      <c r="D757">
        <v>2.1360000000000001</v>
      </c>
      <c r="E757">
        <v>2.1829999999999998</v>
      </c>
      <c r="F757">
        <v>106516.45600000001</v>
      </c>
      <c r="G757">
        <v>0</v>
      </c>
      <c r="L757" t="s">
        <v>7</v>
      </c>
      <c r="M757" t="s">
        <v>8</v>
      </c>
      <c r="N757" t="s">
        <v>8</v>
      </c>
      <c r="P757">
        <f t="shared" si="999"/>
        <v>0.70909090909090733</v>
      </c>
      <c r="Q757">
        <f t="shared" si="1000"/>
        <v>75529.850618181634</v>
      </c>
      <c r="R757">
        <f t="shared" si="1001"/>
        <v>408401.24877013883</v>
      </c>
      <c r="S757">
        <f t="shared" si="1002"/>
        <v>4.0840124877013881</v>
      </c>
      <c r="T757">
        <f t="shared" si="1003"/>
        <v>4.0840124877013885E-3</v>
      </c>
    </row>
    <row r="758" spans="1:20" x14ac:dyDescent="0.25">
      <c r="A758" s="5">
        <v>43835</v>
      </c>
      <c r="B758">
        <v>2.1739999999999999</v>
      </c>
      <c r="C758">
        <v>2.2000000000000002</v>
      </c>
      <c r="D758">
        <v>2.1349999999999998</v>
      </c>
      <c r="E758">
        <v>2.1389999999999998</v>
      </c>
      <c r="F758">
        <v>47776.802000000003</v>
      </c>
      <c r="G758">
        <v>0</v>
      </c>
      <c r="L758" t="s">
        <v>7</v>
      </c>
      <c r="M758" t="s">
        <v>8</v>
      </c>
      <c r="N758" t="s">
        <v>8</v>
      </c>
      <c r="P758">
        <f t="shared" si="999"/>
        <v>-0.87692307692307758</v>
      </c>
      <c r="Q758">
        <f t="shared" si="1000"/>
        <v>-41896.580215384653</v>
      </c>
      <c r="R758">
        <f t="shared" si="1001"/>
        <v>332871.3981519572</v>
      </c>
      <c r="S758">
        <f t="shared" si="1002"/>
        <v>3.3287139815195719</v>
      </c>
      <c r="T758">
        <f t="shared" si="1003"/>
        <v>3.3287139815195719E-3</v>
      </c>
    </row>
    <row r="759" spans="1:20" x14ac:dyDescent="0.25">
      <c r="A759" s="5">
        <v>43834</v>
      </c>
      <c r="B759">
        <v>2.2010000000000001</v>
      </c>
      <c r="C759">
        <v>2.206</v>
      </c>
      <c r="D759">
        <v>2.157</v>
      </c>
      <c r="E759">
        <v>2.1640000000000001</v>
      </c>
      <c r="F759">
        <v>37466.665999999997</v>
      </c>
      <c r="G759">
        <v>0</v>
      </c>
      <c r="L759" t="s">
        <v>7</v>
      </c>
      <c r="M759" t="s">
        <v>8</v>
      </c>
      <c r="N759" t="s">
        <v>8</v>
      </c>
      <c r="P759">
        <f t="shared" si="999"/>
        <v>-0.71428571428570908</v>
      </c>
      <c r="Q759">
        <f t="shared" si="1000"/>
        <v>-26761.904285714088</v>
      </c>
      <c r="R759">
        <f t="shared" si="1001"/>
        <v>374767.97836734186</v>
      </c>
      <c r="S759">
        <f t="shared" si="1002"/>
        <v>3.7476797836734184</v>
      </c>
      <c r="T759">
        <f t="shared" si="1003"/>
        <v>3.7476797836734185E-3</v>
      </c>
    </row>
    <row r="760" spans="1:20" x14ac:dyDescent="0.25">
      <c r="A760" s="5">
        <v>43833</v>
      </c>
      <c r="B760">
        <v>2.1429999999999998</v>
      </c>
      <c r="C760">
        <v>2.2330000000000001</v>
      </c>
      <c r="D760">
        <v>2.14</v>
      </c>
      <c r="E760">
        <v>2.2040000000000002</v>
      </c>
      <c r="F760">
        <v>153597.54199999999</v>
      </c>
      <c r="G760">
        <v>0</v>
      </c>
      <c r="L760" t="s">
        <v>7</v>
      </c>
      <c r="M760" t="s">
        <v>8</v>
      </c>
      <c r="N760" t="s">
        <v>8</v>
      </c>
      <c r="P760">
        <f t="shared" si="999"/>
        <v>0.37634408602150704</v>
      </c>
      <c r="Q760">
        <f t="shared" si="1000"/>
        <v>57805.526559140038</v>
      </c>
      <c r="R760">
        <f t="shared" si="1001"/>
        <v>401529.88265305595</v>
      </c>
      <c r="S760">
        <f t="shared" si="1002"/>
        <v>4.0152988265305591</v>
      </c>
      <c r="T760">
        <f t="shared" si="1003"/>
        <v>4.0152988265305589E-3</v>
      </c>
    </row>
    <row r="761" spans="1:20" x14ac:dyDescent="0.25">
      <c r="A761" s="5">
        <v>43832</v>
      </c>
      <c r="B761">
        <v>2.1440000000000001</v>
      </c>
      <c r="C761">
        <v>2.1520000000000001</v>
      </c>
      <c r="D761">
        <v>2.1419999999999999</v>
      </c>
      <c r="E761">
        <v>2.1419999999999999</v>
      </c>
      <c r="F761">
        <v>137785.552</v>
      </c>
      <c r="G761">
        <v>0</v>
      </c>
      <c r="L761" t="s">
        <v>7</v>
      </c>
      <c r="M761" t="s">
        <v>8</v>
      </c>
      <c r="N761" t="s">
        <v>8</v>
      </c>
      <c r="P761">
        <f t="shared" si="999"/>
        <v>-1</v>
      </c>
      <c r="Q761">
        <f t="shared" si="1000"/>
        <v>-137785.552</v>
      </c>
      <c r="R761">
        <f t="shared" si="1001"/>
        <v>343724.35609391588</v>
      </c>
      <c r="S761">
        <f t="shared" si="1002"/>
        <v>3.4372435609391587</v>
      </c>
      <c r="T761">
        <f t="shared" si="1003"/>
        <v>3.4372435609391588E-3</v>
      </c>
    </row>
    <row r="762" spans="1:20" x14ac:dyDescent="0.25">
      <c r="A762" s="5">
        <v>43831</v>
      </c>
      <c r="B762">
        <v>2.1469999999999998</v>
      </c>
      <c r="C762">
        <v>2.1619999999999999</v>
      </c>
      <c r="D762">
        <v>2.141</v>
      </c>
      <c r="E762">
        <v>2.1440000000000001</v>
      </c>
      <c r="F762">
        <v>36912.453000000001</v>
      </c>
      <c r="G762">
        <v>0</v>
      </c>
      <c r="L762" t="s">
        <v>7</v>
      </c>
      <c r="M762" t="s">
        <v>8</v>
      </c>
      <c r="N762" t="s">
        <v>8</v>
      </c>
      <c r="P762">
        <f t="shared" si="999"/>
        <v>-0.7142857142857022</v>
      </c>
      <c r="Q762">
        <f t="shared" si="1000"/>
        <v>-26366.037857142412</v>
      </c>
      <c r="R762">
        <f t="shared" si="1001"/>
        <v>481509.9080939159</v>
      </c>
      <c r="S762">
        <f t="shared" si="1002"/>
        <v>4.8150990809391594</v>
      </c>
      <c r="T762">
        <f t="shared" si="1003"/>
        <v>4.8150990809391597E-3</v>
      </c>
    </row>
    <row r="763" spans="1:20" x14ac:dyDescent="0.25">
      <c r="A763" s="5">
        <v>43830</v>
      </c>
      <c r="B763">
        <v>2.1539999999999999</v>
      </c>
      <c r="C763">
        <v>2.1859999999999999</v>
      </c>
      <c r="D763">
        <v>2.1419999999999999</v>
      </c>
      <c r="E763">
        <v>2.1440000000000001</v>
      </c>
      <c r="F763">
        <v>89816.752999999997</v>
      </c>
      <c r="G763">
        <v>0</v>
      </c>
      <c r="L763" t="s">
        <v>7</v>
      </c>
      <c r="M763" t="s">
        <v>8</v>
      </c>
      <c r="N763" t="s">
        <v>8</v>
      </c>
      <c r="P763">
        <f t="shared" si="999"/>
        <v>-0.90909090909089896</v>
      </c>
      <c r="Q763">
        <f t="shared" si="1000"/>
        <v>-81651.593636362726</v>
      </c>
      <c r="R763">
        <f t="shared" si="1001"/>
        <v>507875.9459510583</v>
      </c>
      <c r="S763">
        <f t="shared" si="1002"/>
        <v>5.0787594595105832</v>
      </c>
      <c r="T763">
        <f t="shared" si="1003"/>
        <v>5.0787594595105828E-3</v>
      </c>
    </row>
    <row r="764" spans="1:20" x14ac:dyDescent="0.25">
      <c r="A764" s="5">
        <v>43829</v>
      </c>
      <c r="B764">
        <v>2.2080000000000002</v>
      </c>
      <c r="C764">
        <v>2.2109999999999999</v>
      </c>
      <c r="D764">
        <v>2.1509999999999998</v>
      </c>
      <c r="E764">
        <v>2.1669999999999998</v>
      </c>
      <c r="F764">
        <v>58259.427000000003</v>
      </c>
      <c r="G764">
        <v>0</v>
      </c>
      <c r="L764" t="s">
        <v>7</v>
      </c>
      <c r="M764" t="s">
        <v>8</v>
      </c>
      <c r="N764" t="s">
        <v>8</v>
      </c>
      <c r="P764">
        <f t="shared" si="999"/>
        <v>-0.46666666666666667</v>
      </c>
      <c r="Q764">
        <f t="shared" si="1000"/>
        <v>-27187.732600000003</v>
      </c>
      <c r="R764">
        <f t="shared" si="1001"/>
        <v>589527.53958742099</v>
      </c>
      <c r="S764">
        <f t="shared" si="1002"/>
        <v>5.8952753958742097</v>
      </c>
      <c r="T764">
        <f t="shared" si="1003"/>
        <v>5.8952753958742094E-3</v>
      </c>
    </row>
    <row r="765" spans="1:20" x14ac:dyDescent="0.25">
      <c r="A765" s="5">
        <v>43828</v>
      </c>
      <c r="B765">
        <v>2.1760000000000002</v>
      </c>
      <c r="C765">
        <v>2.2490000000000001</v>
      </c>
      <c r="D765">
        <v>2.1669999999999998</v>
      </c>
      <c r="E765">
        <v>2.21</v>
      </c>
      <c r="F765">
        <v>47632.036</v>
      </c>
      <c r="G765">
        <v>0</v>
      </c>
      <c r="L765" t="s">
        <v>7</v>
      </c>
      <c r="M765" t="s">
        <v>8</v>
      </c>
      <c r="N765" t="s">
        <v>8</v>
      </c>
      <c r="P765">
        <f t="shared" si="999"/>
        <v>4.8780487804877919E-2</v>
      </c>
      <c r="Q765">
        <f t="shared" si="1000"/>
        <v>2323.513951219506</v>
      </c>
      <c r="R765">
        <f t="shared" si="1001"/>
        <v>616715.27218742098</v>
      </c>
      <c r="S765">
        <f t="shared" si="1002"/>
        <v>6.1671527218742099</v>
      </c>
      <c r="T765">
        <f t="shared" si="1003"/>
        <v>6.1671527218742101E-3</v>
      </c>
    </row>
    <row r="766" spans="1:20" x14ac:dyDescent="0.25">
      <c r="A766" s="5">
        <v>43827</v>
      </c>
      <c r="B766">
        <v>2.15</v>
      </c>
      <c r="C766">
        <v>2.1880000000000002</v>
      </c>
      <c r="D766">
        <v>2.15</v>
      </c>
      <c r="E766">
        <v>2.181</v>
      </c>
      <c r="F766">
        <v>57643.714</v>
      </c>
      <c r="G766">
        <v>0</v>
      </c>
      <c r="L766" t="s">
        <v>7</v>
      </c>
      <c r="M766" t="s">
        <v>8</v>
      </c>
      <c r="N766" t="s">
        <v>8</v>
      </c>
      <c r="P766">
        <f t="shared" si="999"/>
        <v>0.63157894736841735</v>
      </c>
      <c r="Q766">
        <f t="shared" si="1000"/>
        <v>36406.556210526105</v>
      </c>
      <c r="R766">
        <f t="shared" si="1001"/>
        <v>614391.75823620148</v>
      </c>
      <c r="S766">
        <f t="shared" si="1002"/>
        <v>6.1439175823620147</v>
      </c>
      <c r="T766">
        <f t="shared" si="1003"/>
        <v>6.143917582362015E-3</v>
      </c>
    </row>
    <row r="767" spans="1:20" x14ac:dyDescent="0.25">
      <c r="A767" s="5">
        <v>43826</v>
      </c>
      <c r="B767">
        <v>2.141</v>
      </c>
      <c r="C767">
        <v>2.1720000000000002</v>
      </c>
      <c r="D767">
        <v>2.1389999999999998</v>
      </c>
      <c r="E767">
        <v>2.149</v>
      </c>
      <c r="F767">
        <v>182638.67199999999</v>
      </c>
      <c r="G767">
        <v>0</v>
      </c>
      <c r="L767" t="s">
        <v>7</v>
      </c>
      <c r="M767" t="s">
        <v>8</v>
      </c>
      <c r="N767" t="s">
        <v>8</v>
      </c>
      <c r="P767">
        <f t="shared" ref="P767:P774" si="1004">IF(C767=D767,0,((E767-D767)-(C767-E767))/(C767-D767))</f>
        <v>-0.3939393939393866</v>
      </c>
      <c r="Q767">
        <f t="shared" ref="Q767:Q774" si="1005">F767*P767</f>
        <v>-71948.567757574419</v>
      </c>
      <c r="R767">
        <f t="shared" ref="R767:R774" si="1006">R768+Q767</f>
        <v>577985.20202567533</v>
      </c>
      <c r="S767">
        <f t="shared" ref="S767:S774" si="1007">R767/100000</f>
        <v>5.7798520202567536</v>
      </c>
      <c r="T767">
        <f t="shared" ref="T767:T774" si="1008">S767/1000</f>
        <v>5.779852020256754E-3</v>
      </c>
    </row>
    <row r="768" spans="1:20" x14ac:dyDescent="0.25">
      <c r="A768" s="5">
        <v>43825</v>
      </c>
      <c r="B768">
        <v>2.14</v>
      </c>
      <c r="C768">
        <v>2.194</v>
      </c>
      <c r="D768">
        <v>2.1389999999999998</v>
      </c>
      <c r="E768">
        <v>2.141</v>
      </c>
      <c r="F768">
        <v>89310.288</v>
      </c>
      <c r="G768">
        <v>0</v>
      </c>
      <c r="L768" t="s">
        <v>7</v>
      </c>
      <c r="M768" t="s">
        <v>8</v>
      </c>
      <c r="N768" t="s">
        <v>8</v>
      </c>
      <c r="P768">
        <f t="shared" si="1004"/>
        <v>-0.92727272727271937</v>
      </c>
      <c r="Q768">
        <f t="shared" si="1005"/>
        <v>-82814.994327272027</v>
      </c>
      <c r="R768">
        <f t="shared" si="1006"/>
        <v>649933.76978324971</v>
      </c>
      <c r="S768">
        <f t="shared" si="1007"/>
        <v>6.4993376978324973</v>
      </c>
      <c r="T768">
        <f t="shared" si="1008"/>
        <v>6.4993376978324975E-3</v>
      </c>
    </row>
    <row r="769" spans="1:20" x14ac:dyDescent="0.25">
      <c r="A769" s="5">
        <v>43824</v>
      </c>
      <c r="B769">
        <v>2.1589999999999998</v>
      </c>
      <c r="C769">
        <v>2.165</v>
      </c>
      <c r="D769">
        <v>2.1379999999999999</v>
      </c>
      <c r="E769">
        <v>2.141</v>
      </c>
      <c r="F769">
        <v>40658.758000000002</v>
      </c>
      <c r="G769">
        <v>0</v>
      </c>
      <c r="L769" t="s">
        <v>7</v>
      </c>
      <c r="M769" t="s">
        <v>8</v>
      </c>
      <c r="N769" t="s">
        <v>8</v>
      </c>
      <c r="P769">
        <f t="shared" si="1004"/>
        <v>-0.77777777777777046</v>
      </c>
      <c r="Q769">
        <f t="shared" si="1005"/>
        <v>-31623.478444444147</v>
      </c>
      <c r="R769">
        <f t="shared" si="1006"/>
        <v>732748.76411052176</v>
      </c>
      <c r="S769">
        <f t="shared" si="1007"/>
        <v>7.3274876411052174</v>
      </c>
      <c r="T769">
        <f t="shared" si="1008"/>
        <v>7.3274876411052172E-3</v>
      </c>
    </row>
    <row r="770" spans="1:20" x14ac:dyDescent="0.25">
      <c r="A770" s="5">
        <v>43823</v>
      </c>
      <c r="B770">
        <v>2.1869999999999998</v>
      </c>
      <c r="C770">
        <v>2.2010000000000001</v>
      </c>
      <c r="D770">
        <v>2.1379999999999999</v>
      </c>
      <c r="E770">
        <v>2.161</v>
      </c>
      <c r="F770">
        <v>136824.26199999999</v>
      </c>
      <c r="G770">
        <v>0</v>
      </c>
      <c r="L770" t="s">
        <v>7</v>
      </c>
      <c r="M770" t="s">
        <v>8</v>
      </c>
      <c r="N770" t="s">
        <v>8</v>
      </c>
      <c r="P770">
        <f t="shared" si="1004"/>
        <v>-0.26984126984126761</v>
      </c>
      <c r="Q770">
        <f t="shared" si="1005"/>
        <v>-36920.832603174291</v>
      </c>
      <c r="R770">
        <f t="shared" si="1006"/>
        <v>764372.24255496589</v>
      </c>
      <c r="S770">
        <f t="shared" si="1007"/>
        <v>7.643722425549659</v>
      </c>
      <c r="T770">
        <f t="shared" si="1008"/>
        <v>7.6437224255496592E-3</v>
      </c>
    </row>
    <row r="771" spans="1:20" x14ac:dyDescent="0.25">
      <c r="A771" s="5">
        <v>43822</v>
      </c>
      <c r="B771">
        <v>2.2770000000000001</v>
      </c>
      <c r="C771">
        <v>2.3029999999999999</v>
      </c>
      <c r="D771">
        <v>2.173</v>
      </c>
      <c r="E771">
        <v>2.1909999999999998</v>
      </c>
      <c r="F771">
        <v>1644144.8330000001</v>
      </c>
      <c r="G771">
        <v>0</v>
      </c>
      <c r="L771" t="s">
        <v>8</v>
      </c>
      <c r="M771" t="s">
        <v>8</v>
      </c>
      <c r="N771" t="s">
        <v>8</v>
      </c>
      <c r="P771">
        <f t="shared" si="1004"/>
        <v>-0.72307692307692606</v>
      </c>
      <c r="Q771">
        <f t="shared" si="1005"/>
        <v>-1188843.1869384665</v>
      </c>
      <c r="R771">
        <f t="shared" si="1006"/>
        <v>801293.07515814016</v>
      </c>
      <c r="S771">
        <f t="shared" si="1007"/>
        <v>8.0129307515814023</v>
      </c>
      <c r="T771">
        <f t="shared" si="1008"/>
        <v>8.0129307515814027E-3</v>
      </c>
    </row>
    <row r="772" spans="1:20" x14ac:dyDescent="0.25">
      <c r="A772" s="5">
        <v>43821</v>
      </c>
      <c r="B772">
        <v>2.1459999999999999</v>
      </c>
      <c r="C772">
        <v>2.2749999999999999</v>
      </c>
      <c r="D772">
        <v>2.137</v>
      </c>
      <c r="E772">
        <v>2.2749999999999999</v>
      </c>
      <c r="F772">
        <v>1324239.8910000001</v>
      </c>
      <c r="G772">
        <v>0</v>
      </c>
      <c r="L772" t="s">
        <v>8</v>
      </c>
      <c r="M772" t="s">
        <v>8</v>
      </c>
      <c r="N772" t="s">
        <v>8</v>
      </c>
      <c r="P772">
        <f t="shared" si="1004"/>
        <v>1</v>
      </c>
      <c r="Q772">
        <f t="shared" si="1005"/>
        <v>1324239.8910000001</v>
      </c>
      <c r="R772">
        <f t="shared" si="1006"/>
        <v>1990136.2620966067</v>
      </c>
      <c r="S772">
        <f t="shared" si="1007"/>
        <v>19.901362620966065</v>
      </c>
      <c r="T772">
        <f t="shared" si="1008"/>
        <v>1.9901362620966066E-2</v>
      </c>
    </row>
    <row r="773" spans="1:20" x14ac:dyDescent="0.25">
      <c r="A773" s="5">
        <v>43820</v>
      </c>
      <c r="B773">
        <v>2.153</v>
      </c>
      <c r="C773">
        <v>2.157</v>
      </c>
      <c r="D773">
        <v>2.1360000000000001</v>
      </c>
      <c r="E773">
        <v>2.149</v>
      </c>
      <c r="F773">
        <v>112274.121</v>
      </c>
      <c r="G773">
        <v>0</v>
      </c>
      <c r="L773" t="s">
        <v>8</v>
      </c>
      <c r="M773" t="s">
        <v>8</v>
      </c>
      <c r="N773" t="s">
        <v>8</v>
      </c>
      <c r="P773">
        <f t="shared" si="1004"/>
        <v>0.23809523809523406</v>
      </c>
      <c r="Q773">
        <f t="shared" si="1005"/>
        <v>26731.933571428119</v>
      </c>
      <c r="R773">
        <f t="shared" si="1006"/>
        <v>665896.3710966066</v>
      </c>
      <c r="S773">
        <f t="shared" si="1007"/>
        <v>6.6589637109660664</v>
      </c>
      <c r="T773">
        <f t="shared" si="1008"/>
        <v>6.6589637109660668E-3</v>
      </c>
    </row>
    <row r="774" spans="1:20" x14ac:dyDescent="0.25">
      <c r="A774" s="5">
        <v>43819</v>
      </c>
      <c r="B774">
        <v>1.94</v>
      </c>
      <c r="C774">
        <v>2.218</v>
      </c>
      <c r="D774">
        <v>1.94</v>
      </c>
      <c r="E774">
        <v>2.1549999999999998</v>
      </c>
      <c r="F774">
        <v>1168998.1159999999</v>
      </c>
      <c r="G774">
        <v>0</v>
      </c>
      <c r="P774">
        <f t="shared" si="1004"/>
        <v>0.54676258992805638</v>
      </c>
      <c r="Q774">
        <f t="shared" si="1005"/>
        <v>639164.43752517842</v>
      </c>
      <c r="R774">
        <f t="shared" si="1006"/>
        <v>639164.43752517842</v>
      </c>
      <c r="S774">
        <f t="shared" si="1007"/>
        <v>6.3916443752517846</v>
      </c>
      <c r="T774">
        <f t="shared" si="1008"/>
        <v>6.3916443752517847E-3</v>
      </c>
    </row>
    <row r="775" spans="1:20" x14ac:dyDescent="0.25">
      <c r="A775" s="5"/>
      <c r="C775" s="4"/>
      <c r="D775" s="4"/>
    </row>
    <row r="776" spans="1:20" x14ac:dyDescent="0.25">
      <c r="A776" s="5"/>
      <c r="C776" s="4"/>
      <c r="D776" s="4"/>
    </row>
    <row r="777" spans="1:20" x14ac:dyDescent="0.25">
      <c r="A777" s="5"/>
      <c r="C777" s="4"/>
      <c r="D777" s="4"/>
    </row>
    <row r="778" spans="1:20" x14ac:dyDescent="0.25">
      <c r="A778" s="5"/>
      <c r="C778" s="4"/>
      <c r="D778" s="4"/>
    </row>
    <row r="779" spans="1:20" x14ac:dyDescent="0.25">
      <c r="A779" s="5"/>
      <c r="C779" s="4"/>
      <c r="D779" s="4"/>
    </row>
    <row r="780" spans="1:20" x14ac:dyDescent="0.25">
      <c r="A780" s="5"/>
      <c r="C780" s="4"/>
      <c r="D780" s="4"/>
    </row>
    <row r="781" spans="1:20" x14ac:dyDescent="0.25">
      <c r="A781" s="5"/>
      <c r="C781" s="4"/>
      <c r="D781" s="4"/>
    </row>
    <row r="782" spans="1:20" x14ac:dyDescent="0.25">
      <c r="A782" s="5"/>
      <c r="C782" s="4"/>
      <c r="D782" s="4"/>
    </row>
    <row r="783" spans="1:20" x14ac:dyDescent="0.25">
      <c r="A783" s="5"/>
      <c r="C783" s="4"/>
      <c r="D783" s="4"/>
    </row>
    <row r="784" spans="1:20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D406" sqref="JD40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$A$405</v>
      </c>
      <c r="D111" s="1" t="str">
        <f>ADDRESS(C121-1,D121,1,1)</f>
        <v>$JD$405</v>
      </c>
      <c r="E111"/>
    </row>
    <row r="112" spans="1:5" x14ac:dyDescent="0.25">
      <c r="A112" s="7">
        <v>12164.144957890772</v>
      </c>
      <c r="C112" s="1" t="str">
        <f>ADDRESS(C121,1,1,1)</f>
        <v>$A$406</v>
      </c>
      <c r="D112" s="1" t="str">
        <f>ADDRESS(C121,D121-1,1,1)</f>
        <v>$JC$406</v>
      </c>
      <c r="E112"/>
    </row>
    <row r="113" spans="1:5" x14ac:dyDescent="0.25">
      <c r="A113" s="7">
        <v>11925.63231165762</v>
      </c>
      <c r="C113" s="1" t="str">
        <f>ADDRESS(C121+1,1,1,1)</f>
        <v>$A$407</v>
      </c>
      <c r="D113" s="1" t="str">
        <f>ADDRESS(C121-1,D121+1,1,1)</f>
        <v>$JE$405</v>
      </c>
    </row>
    <row r="114" spans="1:5" x14ac:dyDescent="0.25">
      <c r="A114" s="7">
        <v>11691.796383978059</v>
      </c>
      <c r="C114" s="1" t="str">
        <f>ADDRESS(C121,D121,1,1)</f>
        <v>$JD$406</v>
      </c>
      <c r="D114" s="1" t="str">
        <f>ADDRESS(C121+1,D121+1,1,1)</f>
        <v>$JE$407</v>
      </c>
    </row>
    <row r="115" spans="1:5" x14ac:dyDescent="0.25">
      <c r="A115" s="7">
        <v>11462.545474488292</v>
      </c>
      <c r="C115" s="1" t="str">
        <f>ADDRESS(C121+1,D121,1,1)</f>
        <v>$JD$407</v>
      </c>
    </row>
    <row r="116" spans="1:5" x14ac:dyDescent="0.25">
      <c r="A116" s="7">
        <v>11237.789680870874</v>
      </c>
      <c r="C116" s="1">
        <f>C117-1</f>
        <v>405</v>
      </c>
    </row>
    <row r="117" spans="1:5" x14ac:dyDescent="0.25">
      <c r="A117" s="7">
        <v>11017.440863598895</v>
      </c>
      <c r="C117" s="1">
        <f>C121</f>
        <v>406</v>
      </c>
      <c r="D117" s="1">
        <f>D121</f>
        <v>264</v>
      </c>
    </row>
    <row r="118" spans="1:5" x14ac:dyDescent="0.25">
      <c r="A118" s="7">
        <v>10801.412611371465</v>
      </c>
      <c r="C118" s="1">
        <f>C117+1</f>
        <v>407</v>
      </c>
      <c r="D118" s="1">
        <f>D117+1</f>
        <v>265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406</v>
      </c>
      <c r="D121" s="19">
        <v>264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R406</v>
      </c>
      <c r="D123" s="1" t="str">
        <f>"C"&amp;D121</f>
        <v>C264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36.027247984129012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212" x14ac:dyDescent="0.25">
      <c r="A353" s="7">
        <v>102.90588033356946</v>
      </c>
      <c r="B353"/>
      <c r="C353"/>
      <c r="D353"/>
      <c r="E353"/>
    </row>
    <row r="354" spans="1:212" x14ac:dyDescent="0.25">
      <c r="A354" s="7">
        <v>100.88811797408771</v>
      </c>
      <c r="B354"/>
      <c r="C354"/>
      <c r="D354"/>
      <c r="E354"/>
    </row>
    <row r="355" spans="1:212" x14ac:dyDescent="0.25">
      <c r="A355" s="7">
        <v>98.909919582438931</v>
      </c>
      <c r="B355"/>
      <c r="C355"/>
      <c r="D355"/>
      <c r="E355"/>
    </row>
    <row r="356" spans="1:212" x14ac:dyDescent="0.25">
      <c r="A356" s="7">
        <v>96.970509394547975</v>
      </c>
      <c r="B356"/>
      <c r="C356"/>
      <c r="D356"/>
      <c r="E356"/>
    </row>
    <row r="357" spans="1:212" x14ac:dyDescent="0.25">
      <c r="A357" s="7">
        <v>95.069126857399979</v>
      </c>
      <c r="B357"/>
      <c r="C357"/>
      <c r="D357"/>
      <c r="E357"/>
    </row>
    <row r="358" spans="1:212" x14ac:dyDescent="0.25">
      <c r="A358" s="7">
        <v>93.205026330784293</v>
      </c>
      <c r="B358"/>
      <c r="C358"/>
      <c r="D358"/>
      <c r="E358"/>
    </row>
    <row r="359" spans="1:212" x14ac:dyDescent="0.25">
      <c r="A359" s="7">
        <v>91.377476794886562</v>
      </c>
      <c r="B359"/>
      <c r="C359"/>
      <c r="D359"/>
      <c r="E359"/>
    </row>
    <row r="360" spans="1:212" x14ac:dyDescent="0.25">
      <c r="A360" s="7">
        <v>89.58576156361427</v>
      </c>
      <c r="B360"/>
      <c r="C360"/>
      <c r="D360"/>
      <c r="E360"/>
    </row>
    <row r="361" spans="1:212" x14ac:dyDescent="0.25">
      <c r="A361" s="7">
        <v>87.829178003543404</v>
      </c>
      <c r="B361"/>
      <c r="C361"/>
      <c r="D361"/>
      <c r="E361"/>
    </row>
    <row r="362" spans="1:212" x14ac:dyDescent="0.25">
      <c r="A362" s="7">
        <v>86.107037258375883</v>
      </c>
      <c r="B362"/>
      <c r="C362"/>
      <c r="D362"/>
      <c r="E362"/>
    </row>
    <row r="363" spans="1:212" x14ac:dyDescent="0.25">
      <c r="A363" s="7">
        <v>84.418663978799884</v>
      </c>
      <c r="B363"/>
      <c r="C363"/>
      <c r="D363"/>
      <c r="E363"/>
      <c r="HA363" s="27" t="s">
        <v>8</v>
      </c>
    </row>
    <row r="364" spans="1:212" x14ac:dyDescent="0.25">
      <c r="A364" s="7">
        <v>82.763396057646943</v>
      </c>
      <c r="B364"/>
      <c r="C364"/>
      <c r="D364"/>
      <c r="E364"/>
      <c r="GY364" s="27" t="s">
        <v>8</v>
      </c>
      <c r="HA364" s="27" t="s">
        <v>8</v>
      </c>
      <c r="HB364" s="27" t="s">
        <v>7</v>
      </c>
    </row>
    <row r="365" spans="1:212" x14ac:dyDescent="0.25">
      <c r="A365" s="7">
        <v>81.140584370242095</v>
      </c>
      <c r="B365"/>
      <c r="C365"/>
      <c r="D365"/>
      <c r="E365"/>
      <c r="GY365" s="27" t="s">
        <v>8</v>
      </c>
      <c r="GZ365" s="27" t="s">
        <v>7</v>
      </c>
      <c r="HA365" s="27" t="s">
        <v>8</v>
      </c>
      <c r="HB365" s="27" t="s">
        <v>7</v>
      </c>
    </row>
    <row r="366" spans="1:212" x14ac:dyDescent="0.25">
      <c r="A366" s="7">
        <v>79.549592519845191</v>
      </c>
      <c r="B366"/>
      <c r="C366"/>
      <c r="D366"/>
      <c r="E366"/>
      <c r="GY366" s="27" t="s">
        <v>8</v>
      </c>
      <c r="GZ366" s="27" t="s">
        <v>7</v>
      </c>
      <c r="HA366" s="27" t="s">
        <v>8</v>
      </c>
      <c r="HB366" s="27" t="s">
        <v>7</v>
      </c>
    </row>
    <row r="367" spans="1:212" x14ac:dyDescent="0.25">
      <c r="A367" s="7">
        <v>77.989796588083522</v>
      </c>
      <c r="B367"/>
      <c r="C367"/>
      <c r="D367"/>
      <c r="E367"/>
      <c r="GY367" s="27" t="s">
        <v>8</v>
      </c>
      <c r="GZ367" s="27" t="s">
        <v>7</v>
      </c>
      <c r="HA367" s="27" t="s">
        <v>8</v>
      </c>
      <c r="HB367" s="27" t="s">
        <v>7</v>
      </c>
      <c r="HC367" s="27" t="s">
        <v>8</v>
      </c>
    </row>
    <row r="368" spans="1:212" x14ac:dyDescent="0.25">
      <c r="A368" s="7">
        <v>76.460584890277957</v>
      </c>
      <c r="B368"/>
      <c r="C368"/>
      <c r="D368"/>
      <c r="E368"/>
      <c r="GY368" s="27" t="s">
        <v>8</v>
      </c>
      <c r="GZ368" s="27" t="s">
        <v>7</v>
      </c>
      <c r="HA368" s="27" t="s">
        <v>8</v>
      </c>
      <c r="HB368" s="27" t="s">
        <v>7</v>
      </c>
      <c r="HC368" s="27" t="s">
        <v>8</v>
      </c>
      <c r="HD368" s="27" t="s">
        <v>7</v>
      </c>
    </row>
    <row r="369" spans="1:236" x14ac:dyDescent="0.25">
      <c r="A369" s="7">
        <v>74.961357735566622</v>
      </c>
      <c r="B369"/>
      <c r="C369"/>
      <c r="D369"/>
      <c r="E369"/>
      <c r="GY369" s="27" t="s">
        <v>8</v>
      </c>
      <c r="GZ369" s="27" t="s">
        <v>7</v>
      </c>
      <c r="HA369" s="27" t="s">
        <v>8</v>
      </c>
      <c r="HB369" s="27" t="s">
        <v>7</v>
      </c>
      <c r="HC369" s="27" t="s">
        <v>8</v>
      </c>
      <c r="HD369" s="27" t="s">
        <v>7</v>
      </c>
      <c r="HE369" s="27" t="s">
        <v>8</v>
      </c>
      <c r="HS369" s="27" t="s">
        <v>8</v>
      </c>
    </row>
    <row r="370" spans="1:236" x14ac:dyDescent="0.25">
      <c r="A370" s="7">
        <v>73.491527191731976</v>
      </c>
      <c r="B370"/>
      <c r="C370"/>
      <c r="D370"/>
      <c r="E370"/>
      <c r="GY370" s="27" t="s">
        <v>8</v>
      </c>
      <c r="GZ370" s="27" t="s">
        <v>7</v>
      </c>
      <c r="HA370" s="27" t="s">
        <v>8</v>
      </c>
      <c r="HB370" s="27" t="s">
        <v>7</v>
      </c>
      <c r="HC370" s="27" t="s">
        <v>8</v>
      </c>
      <c r="HD370" s="27" t="s">
        <v>7</v>
      </c>
      <c r="HE370" s="27" t="s">
        <v>8</v>
      </c>
      <c r="HF370" s="27" t="s">
        <v>7</v>
      </c>
      <c r="HS370" s="27" t="s">
        <v>8</v>
      </c>
      <c r="HT370" s="27" t="s">
        <v>7</v>
      </c>
    </row>
    <row r="371" spans="1:236" x14ac:dyDescent="0.25">
      <c r="A371" s="7">
        <v>72.050516854639184</v>
      </c>
      <c r="B371"/>
      <c r="C371"/>
      <c r="D371"/>
      <c r="E371"/>
      <c r="GY371" s="27" t="s">
        <v>8</v>
      </c>
      <c r="GZ371" s="27" t="s">
        <v>7</v>
      </c>
      <c r="HA371" s="27" t="s">
        <v>8</v>
      </c>
      <c r="HB371" s="27" t="s">
        <v>7</v>
      </c>
      <c r="HC371" s="27" t="s">
        <v>8</v>
      </c>
      <c r="HD371" s="27" t="s">
        <v>7</v>
      </c>
      <c r="HE371" s="27" t="s">
        <v>8</v>
      </c>
      <c r="HF371" s="27" t="s">
        <v>7</v>
      </c>
      <c r="HS371" s="27" t="s">
        <v>8</v>
      </c>
      <c r="HT371" s="27" t="s">
        <v>7</v>
      </c>
    </row>
    <row r="372" spans="1:236" x14ac:dyDescent="0.25">
      <c r="A372" s="7">
        <v>70.637761622195271</v>
      </c>
      <c r="B372"/>
      <c r="C372"/>
      <c r="D372"/>
      <c r="E372"/>
      <c r="GU372" s="27" t="s">
        <v>8</v>
      </c>
      <c r="GY372" s="27" t="s">
        <v>8</v>
      </c>
      <c r="GZ372" s="27" t="s">
        <v>7</v>
      </c>
      <c r="HA372" s="27" t="s">
        <v>8</v>
      </c>
      <c r="HB372" s="27" t="s">
        <v>7</v>
      </c>
      <c r="HD372" s="27" t="s">
        <v>7</v>
      </c>
      <c r="HE372" s="27" t="s">
        <v>8</v>
      </c>
      <c r="HF372" s="27" t="s">
        <v>7</v>
      </c>
      <c r="HS372" s="27" t="s">
        <v>8</v>
      </c>
      <c r="HT372" s="27" t="s">
        <v>7</v>
      </c>
    </row>
    <row r="373" spans="1:236" x14ac:dyDescent="0.25">
      <c r="A373" s="7">
        <v>69.252707472740454</v>
      </c>
      <c r="B373"/>
      <c r="C373"/>
      <c r="D373"/>
      <c r="E373"/>
      <c r="GU373" s="27" t="s">
        <v>8</v>
      </c>
      <c r="GV373" s="27" t="s">
        <v>7</v>
      </c>
      <c r="GY373" s="27" t="s">
        <v>8</v>
      </c>
      <c r="GZ373" s="27" t="s">
        <v>7</v>
      </c>
      <c r="HA373" s="27" t="s">
        <v>8</v>
      </c>
      <c r="HD373" s="27" t="s">
        <v>7</v>
      </c>
      <c r="HE373" s="27" t="s">
        <v>8</v>
      </c>
      <c r="HF373" s="27" t="s">
        <v>7</v>
      </c>
      <c r="HS373" s="27" t="s">
        <v>8</v>
      </c>
      <c r="HT373" s="27" t="s">
        <v>7</v>
      </c>
      <c r="HU373" s="27" t="s">
        <v>8</v>
      </c>
    </row>
    <row r="374" spans="1:236" x14ac:dyDescent="0.25">
      <c r="A374" s="7">
        <v>67.894811247784759</v>
      </c>
      <c r="B374"/>
      <c r="C374"/>
      <c r="D374"/>
      <c r="E374"/>
      <c r="GU374" s="27" t="s">
        <v>8</v>
      </c>
      <c r="GV374" s="27" t="s">
        <v>7</v>
      </c>
      <c r="GY374" s="27" t="s">
        <v>8</v>
      </c>
      <c r="GZ374" s="27" t="s">
        <v>7</v>
      </c>
      <c r="HA374" s="27" t="s">
        <v>8</v>
      </c>
      <c r="HD374" s="27" t="s">
        <v>7</v>
      </c>
      <c r="HE374" s="27" t="s">
        <v>8</v>
      </c>
      <c r="HF374" s="27" t="s">
        <v>7</v>
      </c>
      <c r="HS374" s="27" t="s">
        <v>8</v>
      </c>
      <c r="HT374" s="27" t="s">
        <v>7</v>
      </c>
      <c r="HU374" s="27" t="s">
        <v>8</v>
      </c>
      <c r="HV374" s="27" t="s">
        <v>7</v>
      </c>
    </row>
    <row r="375" spans="1:236" x14ac:dyDescent="0.25">
      <c r="A375" s="7">
        <v>66.563540439004669</v>
      </c>
      <c r="B375"/>
      <c r="C375"/>
      <c r="D375"/>
      <c r="E375"/>
      <c r="GU375" s="27" t="s">
        <v>8</v>
      </c>
      <c r="GV375" s="27" t="s">
        <v>7</v>
      </c>
      <c r="GY375" s="27" t="s">
        <v>8</v>
      </c>
      <c r="GZ375" s="27" t="s">
        <v>7</v>
      </c>
      <c r="HA375" s="27" t="s">
        <v>8</v>
      </c>
      <c r="HD375" s="27" t="s">
        <v>7</v>
      </c>
      <c r="HE375" s="27" t="s">
        <v>8</v>
      </c>
      <c r="HF375" s="27" t="s">
        <v>7</v>
      </c>
      <c r="HG375" s="27" t="s">
        <v>8</v>
      </c>
      <c r="HS375" s="27" t="s">
        <v>8</v>
      </c>
      <c r="HT375" s="27" t="s">
        <v>7</v>
      </c>
      <c r="HU375" s="27" t="s">
        <v>8</v>
      </c>
      <c r="HV375" s="27" t="s">
        <v>7</v>
      </c>
    </row>
    <row r="376" spans="1:236" x14ac:dyDescent="0.25">
      <c r="A376" s="7">
        <v>65.258372979416336</v>
      </c>
      <c r="B376"/>
      <c r="C376"/>
      <c r="D376"/>
      <c r="E376"/>
      <c r="GU376" s="27" t="s">
        <v>8</v>
      </c>
      <c r="GV376" s="27" t="s">
        <v>7</v>
      </c>
      <c r="GW376" s="27" t="s">
        <v>8</v>
      </c>
      <c r="GY376" s="27" t="s">
        <v>8</v>
      </c>
      <c r="GZ376" s="27" t="s">
        <v>7</v>
      </c>
      <c r="HA376" s="27" t="s">
        <v>8</v>
      </c>
      <c r="HD376" s="27" t="s">
        <v>7</v>
      </c>
      <c r="HF376" s="27" t="s">
        <v>7</v>
      </c>
      <c r="HG376" s="27" t="s">
        <v>8</v>
      </c>
      <c r="HH376" s="27" t="s">
        <v>7</v>
      </c>
      <c r="HS376" s="27" t="s">
        <v>8</v>
      </c>
      <c r="HT376" s="27" t="s">
        <v>7</v>
      </c>
      <c r="HU376" s="27" t="s">
        <v>8</v>
      </c>
      <c r="HV376" s="27" t="s">
        <v>7</v>
      </c>
      <c r="IA376" s="27" t="s">
        <v>8</v>
      </c>
    </row>
    <row r="377" spans="1:236" x14ac:dyDescent="0.25">
      <c r="A377" s="7">
        <v>63.978797038643471</v>
      </c>
      <c r="B377"/>
      <c r="C377"/>
      <c r="D377"/>
      <c r="E377"/>
      <c r="GU377" s="27" t="s">
        <v>8</v>
      </c>
      <c r="GV377" s="27" t="s">
        <v>7</v>
      </c>
      <c r="GW377" s="27" t="s">
        <v>8</v>
      </c>
      <c r="GX377" s="27" t="s">
        <v>7</v>
      </c>
      <c r="GY377" s="27" t="s">
        <v>8</v>
      </c>
      <c r="GZ377" s="27" t="s">
        <v>7</v>
      </c>
      <c r="HA377" s="27" t="s">
        <v>8</v>
      </c>
      <c r="HF377" s="27" t="s">
        <v>7</v>
      </c>
      <c r="HG377" s="27" t="s">
        <v>8</v>
      </c>
      <c r="HH377" s="27" t="s">
        <v>7</v>
      </c>
      <c r="HS377" s="27" t="s">
        <v>8</v>
      </c>
      <c r="HT377" s="27" t="s">
        <v>7</v>
      </c>
      <c r="HU377" s="27" t="s">
        <v>8</v>
      </c>
      <c r="HV377" s="27" t="s">
        <v>7</v>
      </c>
      <c r="IA377" s="27" t="s">
        <v>8</v>
      </c>
      <c r="IB377" s="27" t="s">
        <v>7</v>
      </c>
    </row>
    <row r="378" spans="1:236" x14ac:dyDescent="0.25">
      <c r="A378" s="7">
        <v>62.724310822199477</v>
      </c>
      <c r="B378"/>
      <c r="C378"/>
      <c r="D378"/>
      <c r="E378"/>
      <c r="FA378" s="27" t="s">
        <v>8</v>
      </c>
      <c r="GU378" s="27" t="s">
        <v>8</v>
      </c>
      <c r="GV378" s="27" t="s">
        <v>7</v>
      </c>
      <c r="GW378" s="27" t="s">
        <v>8</v>
      </c>
      <c r="GX378" s="27" t="s">
        <v>7</v>
      </c>
      <c r="GY378" s="27" t="s">
        <v>8</v>
      </c>
      <c r="GZ378" s="27" t="s">
        <v>7</v>
      </c>
      <c r="HF378" s="27" t="s">
        <v>7</v>
      </c>
      <c r="HG378" s="27" t="s">
        <v>8</v>
      </c>
      <c r="HH378" s="27" t="s">
        <v>7</v>
      </c>
      <c r="HS378" s="27" t="s">
        <v>8</v>
      </c>
      <c r="HT378" s="27" t="s">
        <v>7</v>
      </c>
      <c r="HU378" s="27" t="s">
        <v>8</v>
      </c>
      <c r="HV378" s="27" t="s">
        <v>7</v>
      </c>
      <c r="HW378" s="27" t="s">
        <v>8</v>
      </c>
      <c r="HY378" s="27" t="s">
        <v>8</v>
      </c>
      <c r="IA378" s="27" t="s">
        <v>8</v>
      </c>
      <c r="IB378" s="27" t="s">
        <v>7</v>
      </c>
    </row>
    <row r="379" spans="1:236" x14ac:dyDescent="0.25">
      <c r="A379" s="7">
        <v>61.494422374705366</v>
      </c>
      <c r="B379"/>
      <c r="C379"/>
      <c r="D379"/>
      <c r="E379"/>
      <c r="FA379" s="27" t="s">
        <v>8</v>
      </c>
      <c r="FB379" s="27" t="s">
        <v>7</v>
      </c>
      <c r="GU379" s="27" t="s">
        <v>8</v>
      </c>
      <c r="GV379" s="27" t="s">
        <v>7</v>
      </c>
      <c r="GW379" s="27" t="s">
        <v>8</v>
      </c>
      <c r="GX379" s="27" t="s">
        <v>7</v>
      </c>
      <c r="GY379" s="27" t="s">
        <v>8</v>
      </c>
      <c r="HF379" s="27" t="s">
        <v>7</v>
      </c>
      <c r="HG379" s="27" t="s">
        <v>8</v>
      </c>
      <c r="HH379" s="27" t="s">
        <v>7</v>
      </c>
      <c r="HO379" s="27" t="s">
        <v>8</v>
      </c>
      <c r="HS379" s="27" t="s">
        <v>8</v>
      </c>
      <c r="HT379" s="27" t="s">
        <v>7</v>
      </c>
      <c r="HU379" s="27" t="s">
        <v>8</v>
      </c>
      <c r="HV379" s="27" t="s">
        <v>7</v>
      </c>
      <c r="HW379" s="27" t="s">
        <v>8</v>
      </c>
      <c r="HX379" s="27" t="s">
        <v>7</v>
      </c>
      <c r="HY379" s="27" t="s">
        <v>8</v>
      </c>
      <c r="HZ379" s="27" t="s">
        <v>7</v>
      </c>
      <c r="IA379" s="27" t="s">
        <v>8</v>
      </c>
      <c r="IB379" s="27" t="s">
        <v>7</v>
      </c>
    </row>
    <row r="380" spans="1:236" x14ac:dyDescent="0.25">
      <c r="A380" s="7">
        <v>60.288649386966043</v>
      </c>
      <c r="B380"/>
      <c r="C380"/>
      <c r="D380"/>
      <c r="E380"/>
      <c r="FA380" s="27" t="s">
        <v>8</v>
      </c>
      <c r="FB380" s="27" t="s">
        <v>7</v>
      </c>
      <c r="GU380" s="27" t="s">
        <v>8</v>
      </c>
      <c r="GV380" s="27" t="s">
        <v>7</v>
      </c>
      <c r="GW380" s="27" t="s">
        <v>8</v>
      </c>
      <c r="GX380" s="27" t="s">
        <v>7</v>
      </c>
      <c r="HF380" s="27" t="s">
        <v>7</v>
      </c>
      <c r="HG380" s="27" t="s">
        <v>8</v>
      </c>
      <c r="HH380" s="27" t="s">
        <v>7</v>
      </c>
      <c r="HI380" s="27" t="s">
        <v>8</v>
      </c>
      <c r="HO380" s="27" t="s">
        <v>8</v>
      </c>
      <c r="HP380" s="27" t="s">
        <v>7</v>
      </c>
      <c r="HS380" s="27" t="s">
        <v>8</v>
      </c>
      <c r="HT380" s="27" t="s">
        <v>7</v>
      </c>
      <c r="HV380" s="27" t="s">
        <v>7</v>
      </c>
      <c r="HW380" s="27" t="s">
        <v>8</v>
      </c>
      <c r="HX380" s="27" t="s">
        <v>7</v>
      </c>
      <c r="HY380" s="27" t="s">
        <v>8</v>
      </c>
      <c r="HZ380" s="27" t="s">
        <v>7</v>
      </c>
      <c r="IA380" s="27" t="s">
        <v>8</v>
      </c>
      <c r="IB380" s="27" t="s">
        <v>7</v>
      </c>
    </row>
    <row r="381" spans="1:236" x14ac:dyDescent="0.25">
      <c r="A381" s="7">
        <v>59.106519006829451</v>
      </c>
      <c r="B381"/>
      <c r="C381"/>
      <c r="D381"/>
      <c r="E381"/>
      <c r="ES381" s="27" t="s">
        <v>8</v>
      </c>
      <c r="FA381" s="27" t="s">
        <v>8</v>
      </c>
      <c r="FB381" s="27" t="s">
        <v>7</v>
      </c>
      <c r="GU381" s="27" t="s">
        <v>8</v>
      </c>
      <c r="GV381" s="27" t="s">
        <v>7</v>
      </c>
      <c r="GW381" s="27" t="s">
        <v>8</v>
      </c>
      <c r="HF381" s="27" t="s">
        <v>7</v>
      </c>
      <c r="HH381" s="27" t="s">
        <v>7</v>
      </c>
      <c r="HI381" s="27" t="s">
        <v>8</v>
      </c>
      <c r="HJ381" s="27" t="s">
        <v>7</v>
      </c>
      <c r="HK381" s="27" t="s">
        <v>8</v>
      </c>
      <c r="HO381" s="27" t="s">
        <v>8</v>
      </c>
      <c r="HP381" s="27" t="s">
        <v>7</v>
      </c>
      <c r="HS381" s="27" t="s">
        <v>8</v>
      </c>
      <c r="HV381" s="27" t="s">
        <v>7</v>
      </c>
      <c r="HW381" s="27" t="s">
        <v>8</v>
      </c>
      <c r="HX381" s="27" t="s">
        <v>7</v>
      </c>
      <c r="HY381" s="27" t="s">
        <v>8</v>
      </c>
      <c r="HZ381" s="27" t="s">
        <v>7</v>
      </c>
      <c r="IA381" s="27" t="s">
        <v>8</v>
      </c>
      <c r="IB381" s="27" t="s">
        <v>7</v>
      </c>
    </row>
    <row r="382" spans="1:236" x14ac:dyDescent="0.25">
      <c r="A382" s="7">
        <v>57.947567653754362</v>
      </c>
      <c r="B382"/>
      <c r="C382"/>
      <c r="D382"/>
      <c r="E382"/>
      <c r="ES382" s="27" t="s">
        <v>8</v>
      </c>
      <c r="ET382" s="27" t="s">
        <v>7</v>
      </c>
      <c r="EY382" s="27" t="s">
        <v>8</v>
      </c>
      <c r="FA382" s="27" t="s">
        <v>8</v>
      </c>
      <c r="FB382" s="27" t="s">
        <v>7</v>
      </c>
      <c r="FC382" s="27" t="s">
        <v>8</v>
      </c>
      <c r="GU382" s="27" t="s">
        <v>8</v>
      </c>
      <c r="GV382" s="27" t="s">
        <v>7</v>
      </c>
      <c r="HH382" s="27" t="s">
        <v>7</v>
      </c>
      <c r="HI382" s="27" t="s">
        <v>8</v>
      </c>
      <c r="HJ382" s="27" t="s">
        <v>7</v>
      </c>
      <c r="HK382" s="27" t="s">
        <v>8</v>
      </c>
      <c r="HL382" s="27" t="s">
        <v>7</v>
      </c>
      <c r="HM382" s="27" t="s">
        <v>8</v>
      </c>
      <c r="HO382" s="27" t="s">
        <v>8</v>
      </c>
      <c r="HP382" s="27" t="s">
        <v>7</v>
      </c>
      <c r="HQ382" s="27" t="s">
        <v>8</v>
      </c>
      <c r="HS382" s="27" t="s">
        <v>8</v>
      </c>
      <c r="HV382" s="27" t="s">
        <v>7</v>
      </c>
      <c r="HW382" s="27" t="s">
        <v>8</v>
      </c>
      <c r="HX382" s="27" t="s">
        <v>7</v>
      </c>
      <c r="HZ382" s="27" t="s">
        <v>7</v>
      </c>
      <c r="IB382" s="27" t="s">
        <v>7</v>
      </c>
    </row>
    <row r="383" spans="1:236" x14ac:dyDescent="0.25">
      <c r="A383" s="7">
        <v>56.811340837014079</v>
      </c>
      <c r="B383"/>
      <c r="C383"/>
      <c r="D383"/>
      <c r="E383"/>
      <c r="ES383" s="27" t="s">
        <v>8</v>
      </c>
      <c r="ET383" s="27" t="s">
        <v>7</v>
      </c>
      <c r="EY383" s="27" t="s">
        <v>8</v>
      </c>
      <c r="EZ383" s="27" t="s">
        <v>7</v>
      </c>
      <c r="FA383" s="27" t="s">
        <v>8</v>
      </c>
      <c r="FB383" s="27" t="s">
        <v>7</v>
      </c>
      <c r="FC383" s="27" t="s">
        <v>8</v>
      </c>
      <c r="FD383" s="27" t="s">
        <v>7</v>
      </c>
      <c r="GU383" s="27" t="s">
        <v>8</v>
      </c>
      <c r="HH383" s="27" t="s">
        <v>7</v>
      </c>
      <c r="HI383" s="27" t="s">
        <v>8</v>
      </c>
      <c r="HJ383" s="27" t="s">
        <v>7</v>
      </c>
      <c r="HK383" s="27" t="s">
        <v>8</v>
      </c>
      <c r="HL383" s="27" t="s">
        <v>7</v>
      </c>
      <c r="HM383" s="27" t="s">
        <v>8</v>
      </c>
      <c r="HN383" s="27" t="s">
        <v>7</v>
      </c>
      <c r="HO383" s="27" t="s">
        <v>8</v>
      </c>
      <c r="HP383" s="27" t="s">
        <v>7</v>
      </c>
      <c r="HQ383" s="27" t="s">
        <v>8</v>
      </c>
      <c r="HR383" s="27" t="s">
        <v>7</v>
      </c>
      <c r="HS383" s="27" t="s">
        <v>8</v>
      </c>
      <c r="HV383" s="27" t="s">
        <v>7</v>
      </c>
      <c r="IB383" s="27" t="s">
        <v>7</v>
      </c>
    </row>
    <row r="384" spans="1:236" x14ac:dyDescent="0.25">
      <c r="A384" s="7">
        <v>55.69739297746478</v>
      </c>
      <c r="B384"/>
      <c r="C384"/>
      <c r="D384"/>
      <c r="E384"/>
      <c r="EQ384" s="27" t="s">
        <v>8</v>
      </c>
      <c r="ES384" s="27" t="s">
        <v>8</v>
      </c>
      <c r="ET384" s="27" t="s">
        <v>7</v>
      </c>
      <c r="EY384" s="27" t="s">
        <v>8</v>
      </c>
      <c r="EZ384" s="27" t="s">
        <v>7</v>
      </c>
      <c r="FA384" s="27" t="s">
        <v>8</v>
      </c>
      <c r="FB384" s="27" t="s">
        <v>7</v>
      </c>
      <c r="FC384" s="27" t="s">
        <v>8</v>
      </c>
      <c r="FD384" s="27" t="s">
        <v>7</v>
      </c>
      <c r="GU384" s="27" t="s">
        <v>8</v>
      </c>
      <c r="HH384" s="27" t="s">
        <v>7</v>
      </c>
      <c r="HI384" s="27" t="s">
        <v>8</v>
      </c>
      <c r="HJ384" s="27" t="s">
        <v>7</v>
      </c>
      <c r="HK384" s="27" t="s">
        <v>8</v>
      </c>
      <c r="HL384" s="27" t="s">
        <v>7</v>
      </c>
      <c r="HM384" s="27" t="s">
        <v>8</v>
      </c>
      <c r="HN384" s="27" t="s">
        <v>7</v>
      </c>
      <c r="HO384" s="27" t="s">
        <v>8</v>
      </c>
      <c r="HP384" s="27" t="s">
        <v>7</v>
      </c>
      <c r="HQ384" s="27" t="s">
        <v>8</v>
      </c>
      <c r="HR384" s="27" t="s">
        <v>7</v>
      </c>
      <c r="HS384" s="27" t="s">
        <v>8</v>
      </c>
      <c r="IB384" s="27" t="s">
        <v>7</v>
      </c>
    </row>
    <row r="385" spans="1:260" x14ac:dyDescent="0.25">
      <c r="A385" s="7">
        <v>54.605287232808607</v>
      </c>
      <c r="B385"/>
      <c r="C385"/>
      <c r="D385"/>
      <c r="E385"/>
      <c r="EQ385" s="27" t="s">
        <v>8</v>
      </c>
      <c r="ER385" s="27" t="s">
        <v>7</v>
      </c>
      <c r="ES385" s="27" t="s">
        <v>8</v>
      </c>
      <c r="ET385" s="27" t="s">
        <v>7</v>
      </c>
      <c r="EY385" s="27" t="s">
        <v>8</v>
      </c>
      <c r="EZ385" s="27" t="s">
        <v>7</v>
      </c>
      <c r="FA385" s="27" t="s">
        <v>8</v>
      </c>
      <c r="FB385" s="27" t="s">
        <v>7</v>
      </c>
      <c r="FC385" s="27" t="s">
        <v>8</v>
      </c>
      <c r="FD385" s="27" t="s">
        <v>7</v>
      </c>
      <c r="GU385" s="27" t="s">
        <v>8</v>
      </c>
      <c r="HH385" s="27" t="s">
        <v>7</v>
      </c>
      <c r="HI385" s="27" t="s">
        <v>8</v>
      </c>
      <c r="HJ385" s="27" t="s">
        <v>7</v>
      </c>
      <c r="HK385" s="27" t="s">
        <v>8</v>
      </c>
      <c r="HL385" s="27" t="s">
        <v>7</v>
      </c>
      <c r="HM385" s="27" t="s">
        <v>8</v>
      </c>
      <c r="HN385" s="27" t="s">
        <v>7</v>
      </c>
      <c r="HO385" s="27" t="s">
        <v>8</v>
      </c>
      <c r="HP385" s="27" t="s">
        <v>7</v>
      </c>
      <c r="HQ385" s="27" t="s">
        <v>8</v>
      </c>
      <c r="HR385" s="27" t="s">
        <v>7</v>
      </c>
      <c r="IB385" s="27" t="s">
        <v>7</v>
      </c>
    </row>
    <row r="386" spans="1:260" x14ac:dyDescent="0.25">
      <c r="A386" s="7">
        <v>53.534595326282947</v>
      </c>
      <c r="B386"/>
      <c r="C386"/>
      <c r="D386"/>
      <c r="E386"/>
      <c r="EQ386" s="27" t="s">
        <v>8</v>
      </c>
      <c r="ER386" s="27" t="s">
        <v>7</v>
      </c>
      <c r="ES386" s="27" t="s">
        <v>8</v>
      </c>
      <c r="ET386" s="27" t="s">
        <v>7</v>
      </c>
      <c r="EW386" s="27" t="s">
        <v>8</v>
      </c>
      <c r="EY386" s="27" t="s">
        <v>8</v>
      </c>
      <c r="EZ386" s="27" t="s">
        <v>7</v>
      </c>
      <c r="FB386" s="27" t="s">
        <v>7</v>
      </c>
      <c r="FC386" s="27" t="s">
        <v>8</v>
      </c>
      <c r="FD386" s="27" t="s">
        <v>7</v>
      </c>
      <c r="FE386" s="27" t="s">
        <v>8</v>
      </c>
      <c r="GK386" s="27" t="s">
        <v>8</v>
      </c>
      <c r="GO386" s="27" t="s">
        <v>8</v>
      </c>
      <c r="GS386" s="27" t="s">
        <v>8</v>
      </c>
      <c r="GU386" s="27" t="s">
        <v>8</v>
      </c>
      <c r="HH386" s="27" t="s">
        <v>7</v>
      </c>
      <c r="HI386" s="27" t="s">
        <v>8</v>
      </c>
      <c r="HJ386" s="27" t="s">
        <v>7</v>
      </c>
      <c r="HK386" s="27" t="s">
        <v>8</v>
      </c>
      <c r="HL386" s="27" t="s">
        <v>7</v>
      </c>
      <c r="HM386" s="27" t="s">
        <v>8</v>
      </c>
      <c r="HN386" s="27" t="s">
        <v>7</v>
      </c>
      <c r="HP386" s="27" t="s">
        <v>7</v>
      </c>
      <c r="HQ386" s="27" t="s">
        <v>8</v>
      </c>
      <c r="IB386" s="27" t="s">
        <v>7</v>
      </c>
    </row>
    <row r="387" spans="1:260" x14ac:dyDescent="0.25">
      <c r="A387" s="7">
        <v>52.484897378708773</v>
      </c>
      <c r="B387"/>
      <c r="C387"/>
      <c r="D387"/>
      <c r="E387"/>
      <c r="EQ387" s="27" t="s">
        <v>8</v>
      </c>
      <c r="ER387" s="27" t="s">
        <v>7</v>
      </c>
      <c r="ES387" s="27" t="s">
        <v>8</v>
      </c>
      <c r="ET387" s="27" t="s">
        <v>7</v>
      </c>
      <c r="EU387" s="27" t="s">
        <v>8</v>
      </c>
      <c r="EW387" s="27" t="s">
        <v>8</v>
      </c>
      <c r="EX387" s="27" t="s">
        <v>7</v>
      </c>
      <c r="EY387" s="27" t="s">
        <v>8</v>
      </c>
      <c r="FB387" s="27" t="s">
        <v>7</v>
      </c>
      <c r="FD387" s="27" t="s">
        <v>7</v>
      </c>
      <c r="FE387" s="27" t="s">
        <v>8</v>
      </c>
      <c r="FF387" s="27" t="s">
        <v>7</v>
      </c>
      <c r="GI387" s="27" t="s">
        <v>8</v>
      </c>
      <c r="GK387" s="27" t="s">
        <v>8</v>
      </c>
      <c r="GL387" s="27" t="s">
        <v>7</v>
      </c>
      <c r="GM387" s="27" t="s">
        <v>8</v>
      </c>
      <c r="GO387" s="27" t="s">
        <v>8</v>
      </c>
      <c r="GP387" s="27" t="s">
        <v>7</v>
      </c>
      <c r="GS387" s="27" t="s">
        <v>8</v>
      </c>
      <c r="GT387" s="27" t="s">
        <v>7</v>
      </c>
      <c r="GU387" s="27" t="s">
        <v>8</v>
      </c>
      <c r="HH387" s="27" t="s">
        <v>7</v>
      </c>
      <c r="HI387" s="27" t="s">
        <v>8</v>
      </c>
      <c r="HJ387" s="27" t="s">
        <v>7</v>
      </c>
      <c r="HK387" s="27" t="s">
        <v>8</v>
      </c>
      <c r="HL387" s="27" t="s">
        <v>7</v>
      </c>
      <c r="HM387" s="27" t="s">
        <v>8</v>
      </c>
      <c r="HP387" s="27" t="s">
        <v>7</v>
      </c>
      <c r="HQ387" s="27" t="s">
        <v>8</v>
      </c>
      <c r="IB387" s="27" t="s">
        <v>7</v>
      </c>
      <c r="IE387" s="27" t="s">
        <v>8</v>
      </c>
      <c r="IG387" s="27" t="s">
        <v>8</v>
      </c>
      <c r="II387" s="27" t="s">
        <v>8</v>
      </c>
    </row>
    <row r="388" spans="1:260" x14ac:dyDescent="0.25">
      <c r="A388" s="7">
        <v>51.455781743832127</v>
      </c>
      <c r="B388"/>
      <c r="C388"/>
      <c r="D388"/>
      <c r="E388"/>
      <c r="EO388" s="27" t="s">
        <v>8</v>
      </c>
      <c r="EQ388" s="27" t="s">
        <v>8</v>
      </c>
      <c r="ER388" s="27" t="s">
        <v>7</v>
      </c>
      <c r="ET388" s="27" t="s">
        <v>7</v>
      </c>
      <c r="EU388" s="27" t="s">
        <v>8</v>
      </c>
      <c r="EV388" s="27" t="s">
        <v>7</v>
      </c>
      <c r="EW388" s="27" t="s">
        <v>8</v>
      </c>
      <c r="EX388" s="27" t="s">
        <v>7</v>
      </c>
      <c r="EY388" s="27" t="s">
        <v>8</v>
      </c>
      <c r="FD388" s="27" t="s">
        <v>7</v>
      </c>
      <c r="FE388" s="27" t="s">
        <v>8</v>
      </c>
      <c r="FF388" s="27" t="s">
        <v>7</v>
      </c>
      <c r="GI388" s="27" t="s">
        <v>8</v>
      </c>
      <c r="GJ388" s="27" t="s">
        <v>7</v>
      </c>
      <c r="GK388" s="27" t="s">
        <v>8</v>
      </c>
      <c r="GL388" s="27" t="s">
        <v>7</v>
      </c>
      <c r="GM388" s="27" t="s">
        <v>8</v>
      </c>
      <c r="GN388" s="27" t="s">
        <v>7</v>
      </c>
      <c r="GO388" s="27" t="s">
        <v>8</v>
      </c>
      <c r="GP388" s="27" t="s">
        <v>7</v>
      </c>
      <c r="GS388" s="27" t="s">
        <v>8</v>
      </c>
      <c r="GT388" s="27" t="s">
        <v>7</v>
      </c>
      <c r="GU388" s="27" t="s">
        <v>8</v>
      </c>
      <c r="HH388" s="27" t="s">
        <v>7</v>
      </c>
      <c r="HI388" s="27" t="s">
        <v>8</v>
      </c>
      <c r="HJ388" s="27" t="s">
        <v>7</v>
      </c>
      <c r="HK388" s="27" t="s">
        <v>8</v>
      </c>
      <c r="HL388" s="27" t="s">
        <v>7</v>
      </c>
      <c r="HM388" s="27" t="s">
        <v>8</v>
      </c>
      <c r="HP388" s="27" t="s">
        <v>7</v>
      </c>
      <c r="IB388" s="27" t="s">
        <v>7</v>
      </c>
      <c r="IC388" s="27" t="s">
        <v>8</v>
      </c>
      <c r="IE388" s="27" t="s">
        <v>8</v>
      </c>
      <c r="IF388" s="27" t="s">
        <v>7</v>
      </c>
      <c r="IG388" s="27" t="s">
        <v>8</v>
      </c>
      <c r="IH388" s="27" t="s">
        <v>7</v>
      </c>
      <c r="II388" s="27" t="s">
        <v>8</v>
      </c>
      <c r="IJ388" s="27" t="s">
        <v>7</v>
      </c>
    </row>
    <row r="389" spans="1:260" x14ac:dyDescent="0.25">
      <c r="A389" s="7">
        <v>50.446844846894244</v>
      </c>
      <c r="B389"/>
      <c r="C389"/>
      <c r="D389"/>
      <c r="E389"/>
      <c r="EO389" s="27" t="s">
        <v>8</v>
      </c>
      <c r="EP389" s="27" t="s">
        <v>7</v>
      </c>
      <c r="EQ389" s="27" t="s">
        <v>8</v>
      </c>
      <c r="ET389" s="27" t="s">
        <v>7</v>
      </c>
      <c r="EU389" s="27" t="s">
        <v>8</v>
      </c>
      <c r="EV389" s="27" t="s">
        <v>7</v>
      </c>
      <c r="EW389" s="27" t="s">
        <v>8</v>
      </c>
      <c r="EX389" s="27" t="s">
        <v>7</v>
      </c>
      <c r="EY389" s="27" t="s">
        <v>8</v>
      </c>
      <c r="FD389" s="27" t="s">
        <v>7</v>
      </c>
      <c r="FE389" s="27" t="s">
        <v>8</v>
      </c>
      <c r="FF389" s="27" t="s">
        <v>7</v>
      </c>
      <c r="GI389" s="27" t="s">
        <v>8</v>
      </c>
      <c r="GJ389" s="27" t="s">
        <v>7</v>
      </c>
      <c r="GK389" s="27" t="s">
        <v>8</v>
      </c>
      <c r="GL389" s="27" t="s">
        <v>7</v>
      </c>
      <c r="GM389" s="27" t="s">
        <v>8</v>
      </c>
      <c r="GN389" s="27" t="s">
        <v>7</v>
      </c>
      <c r="GO389" s="27" t="s">
        <v>8</v>
      </c>
      <c r="GP389" s="27" t="s">
        <v>7</v>
      </c>
      <c r="GQ389" s="27" t="s">
        <v>8</v>
      </c>
      <c r="GS389" s="27" t="s">
        <v>8</v>
      </c>
      <c r="GT389" s="27" t="s">
        <v>7</v>
      </c>
      <c r="GU389" s="27" t="s">
        <v>8</v>
      </c>
      <c r="HH389" s="27" t="s">
        <v>7</v>
      </c>
      <c r="HI389" s="27" t="s">
        <v>8</v>
      </c>
      <c r="HJ389" s="27" t="s">
        <v>7</v>
      </c>
      <c r="HK389" s="27" t="s">
        <v>8</v>
      </c>
      <c r="HL389" s="27" t="s">
        <v>7</v>
      </c>
      <c r="HM389" s="27" t="s">
        <v>8</v>
      </c>
      <c r="IB389" s="27" t="s">
        <v>7</v>
      </c>
      <c r="IC389" s="27" t="s">
        <v>8</v>
      </c>
      <c r="ID389" s="27" t="s">
        <v>7</v>
      </c>
      <c r="IE389" s="27" t="s">
        <v>8</v>
      </c>
      <c r="IF389" s="27" t="s">
        <v>7</v>
      </c>
      <c r="IG389" s="27" t="s">
        <v>8</v>
      </c>
      <c r="IH389" s="27" t="s">
        <v>7</v>
      </c>
      <c r="II389" s="27" t="s">
        <v>8</v>
      </c>
      <c r="IJ389" s="27" t="s">
        <v>7</v>
      </c>
    </row>
    <row r="390" spans="1:260" x14ac:dyDescent="0.25">
      <c r="A390" s="7">
        <v>49.457691026366902</v>
      </c>
      <c r="B390"/>
      <c r="C390"/>
      <c r="D390"/>
      <c r="E390"/>
      <c r="EO390" s="27" t="s">
        <v>8</v>
      </c>
      <c r="EP390" s="27" t="s">
        <v>7</v>
      </c>
      <c r="EQ390" s="27" t="s">
        <v>8</v>
      </c>
      <c r="ET390" s="27" t="s">
        <v>7</v>
      </c>
      <c r="EU390" s="27" t="s">
        <v>8</v>
      </c>
      <c r="EV390" s="27" t="s">
        <v>7</v>
      </c>
      <c r="EW390" s="27" t="s">
        <v>8</v>
      </c>
      <c r="EX390" s="27" t="s">
        <v>7</v>
      </c>
      <c r="EY390" s="27" t="s">
        <v>8</v>
      </c>
      <c r="FD390" s="27" t="s">
        <v>7</v>
      </c>
      <c r="FE390" s="27" t="s">
        <v>8</v>
      </c>
      <c r="FF390" s="27" t="s">
        <v>7</v>
      </c>
      <c r="GI390" s="27" t="s">
        <v>8</v>
      </c>
      <c r="GJ390" s="27" t="s">
        <v>7</v>
      </c>
      <c r="GK390" s="27" t="s">
        <v>8</v>
      </c>
      <c r="GL390" s="27" t="s">
        <v>7</v>
      </c>
      <c r="GM390" s="27" t="s">
        <v>8</v>
      </c>
      <c r="GN390" s="27" t="s">
        <v>7</v>
      </c>
      <c r="GO390" s="27" t="s">
        <v>8</v>
      </c>
      <c r="GP390" s="27" t="s">
        <v>7</v>
      </c>
      <c r="GQ390" s="27" t="s">
        <v>8</v>
      </c>
      <c r="GR390" s="27" t="s">
        <v>7</v>
      </c>
      <c r="GS390" s="27" t="s">
        <v>8</v>
      </c>
      <c r="GT390" s="27" t="s">
        <v>7</v>
      </c>
      <c r="GU390" s="27" t="s">
        <v>8</v>
      </c>
      <c r="HH390" s="27" t="s">
        <v>7</v>
      </c>
      <c r="HI390" s="27" t="s">
        <v>8</v>
      </c>
      <c r="HJ390" s="27" t="s">
        <v>7</v>
      </c>
      <c r="HL390" s="27" t="s">
        <v>7</v>
      </c>
      <c r="HM390" s="27" t="s">
        <v>8</v>
      </c>
      <c r="IB390" s="27" t="s">
        <v>7</v>
      </c>
      <c r="IC390" s="27" t="s">
        <v>8</v>
      </c>
      <c r="ID390" s="27" t="s">
        <v>7</v>
      </c>
      <c r="IE390" s="27" t="s">
        <v>8</v>
      </c>
      <c r="IF390" s="27" t="s">
        <v>7</v>
      </c>
      <c r="IG390" s="27" t="s">
        <v>8</v>
      </c>
      <c r="IH390" s="27" t="s">
        <v>7</v>
      </c>
      <c r="II390" s="27" t="s">
        <v>8</v>
      </c>
      <c r="IJ390" s="27" t="s">
        <v>7</v>
      </c>
      <c r="IY390" s="27" t="s">
        <v>8</v>
      </c>
    </row>
    <row r="391" spans="1:260" x14ac:dyDescent="0.25">
      <c r="A391" s="7">
        <v>48.487932378791079</v>
      </c>
      <c r="B391"/>
      <c r="C391"/>
      <c r="D391"/>
      <c r="E391"/>
      <c r="EO391" s="27" t="s">
        <v>8</v>
      </c>
      <c r="EP391" s="27" t="s">
        <v>7</v>
      </c>
      <c r="ET391" s="27" t="s">
        <v>7</v>
      </c>
      <c r="EU391" s="27" t="s">
        <v>8</v>
      </c>
      <c r="EV391" s="27" t="s">
        <v>7</v>
      </c>
      <c r="EW391" s="27" t="s">
        <v>8</v>
      </c>
      <c r="EX391" s="27" t="s">
        <v>7</v>
      </c>
      <c r="EY391" s="27" t="s">
        <v>8</v>
      </c>
      <c r="FD391" s="27" t="s">
        <v>7</v>
      </c>
      <c r="FF391" s="27" t="s">
        <v>7</v>
      </c>
      <c r="GI391" s="27" t="s">
        <v>8</v>
      </c>
      <c r="GJ391" s="27" t="s">
        <v>7</v>
      </c>
      <c r="GK391" s="27" t="s">
        <v>8</v>
      </c>
      <c r="GL391" s="27" t="s">
        <v>7</v>
      </c>
      <c r="GM391" s="27" t="s">
        <v>8</v>
      </c>
      <c r="GN391" s="27" t="s">
        <v>7</v>
      </c>
      <c r="GO391" s="27" t="s">
        <v>8</v>
      </c>
      <c r="GP391" s="27" t="s">
        <v>7</v>
      </c>
      <c r="GQ391" s="27" t="s">
        <v>8</v>
      </c>
      <c r="GR391" s="27" t="s">
        <v>7</v>
      </c>
      <c r="GS391" s="27" t="s">
        <v>8</v>
      </c>
      <c r="GT391" s="27" t="s">
        <v>7</v>
      </c>
      <c r="GU391" s="27" t="s">
        <v>8</v>
      </c>
      <c r="HH391" s="27" t="s">
        <v>7</v>
      </c>
      <c r="HL391" s="27" t="s">
        <v>7</v>
      </c>
      <c r="IB391" s="27" t="s">
        <v>7</v>
      </c>
      <c r="ID391" s="27" t="s">
        <v>7</v>
      </c>
      <c r="IE391" s="27" t="s">
        <v>8</v>
      </c>
      <c r="IF391" s="27" t="s">
        <v>7</v>
      </c>
      <c r="IG391" s="27" t="s">
        <v>8</v>
      </c>
      <c r="IH391" s="27" t="s">
        <v>7</v>
      </c>
      <c r="II391" s="27" t="s">
        <v>8</v>
      </c>
      <c r="IJ391" s="27" t="s">
        <v>7</v>
      </c>
      <c r="IY391" s="27" t="s">
        <v>8</v>
      </c>
      <c r="IZ391" s="27" t="s">
        <v>7</v>
      </c>
    </row>
    <row r="392" spans="1:260" x14ac:dyDescent="0.25">
      <c r="A392" s="7">
        <v>47.537188606657921</v>
      </c>
      <c r="B392"/>
      <c r="C392"/>
      <c r="D392"/>
      <c r="E392"/>
      <c r="EO392" s="27" t="s">
        <v>8</v>
      </c>
      <c r="ET392" s="27" t="s">
        <v>7</v>
      </c>
      <c r="EU392" s="27" t="s">
        <v>8</v>
      </c>
      <c r="EV392" s="27" t="s">
        <v>7</v>
      </c>
      <c r="EW392" s="27" t="s">
        <v>8</v>
      </c>
      <c r="EX392" s="27" t="s">
        <v>7</v>
      </c>
      <c r="EY392" s="27" t="s">
        <v>8</v>
      </c>
      <c r="FF392" s="27" t="s">
        <v>7</v>
      </c>
      <c r="GI392" s="27" t="s">
        <v>8</v>
      </c>
      <c r="GJ392" s="27" t="s">
        <v>7</v>
      </c>
      <c r="GL392" s="27" t="s">
        <v>7</v>
      </c>
      <c r="GN392" s="27" t="s">
        <v>7</v>
      </c>
      <c r="GO392" s="27" t="s">
        <v>8</v>
      </c>
      <c r="GP392" s="27" t="s">
        <v>7</v>
      </c>
      <c r="GQ392" s="27" t="s">
        <v>8</v>
      </c>
      <c r="GR392" s="27" t="s">
        <v>7</v>
      </c>
      <c r="GS392" s="27" t="s">
        <v>8</v>
      </c>
      <c r="GT392" s="27" t="s">
        <v>7</v>
      </c>
      <c r="GU392" s="27" t="s">
        <v>8</v>
      </c>
      <c r="ID392" s="27" t="s">
        <v>7</v>
      </c>
      <c r="IF392" s="27" t="s">
        <v>7</v>
      </c>
      <c r="IH392" s="27" t="s">
        <v>7</v>
      </c>
      <c r="II392" s="27" t="s">
        <v>8</v>
      </c>
      <c r="IJ392" s="27" t="s">
        <v>7</v>
      </c>
      <c r="IW392" s="27" t="s">
        <v>8</v>
      </c>
      <c r="IY392" s="27" t="s">
        <v>8</v>
      </c>
      <c r="IZ392" s="27" t="s">
        <v>7</v>
      </c>
    </row>
    <row r="393" spans="1:260" x14ac:dyDescent="0.25">
      <c r="A393" s="7">
        <v>46.605086869272469</v>
      </c>
      <c r="B393"/>
      <c r="C393"/>
      <c r="D393"/>
      <c r="E393"/>
      <c r="EM393" s="27" t="s">
        <v>8</v>
      </c>
      <c r="EO393" s="27" t="s">
        <v>8</v>
      </c>
      <c r="ET393" s="27" t="s">
        <v>7</v>
      </c>
      <c r="EU393" s="27" t="s">
        <v>8</v>
      </c>
      <c r="EV393" s="27" t="s">
        <v>7</v>
      </c>
      <c r="EX393" s="27" t="s">
        <v>7</v>
      </c>
      <c r="EY393" s="27" t="s">
        <v>8</v>
      </c>
      <c r="FF393" s="27" t="s">
        <v>7</v>
      </c>
      <c r="GI393" s="27" t="s">
        <v>8</v>
      </c>
      <c r="GN393" s="27" t="s">
        <v>7</v>
      </c>
      <c r="GO393" s="27" t="s">
        <v>8</v>
      </c>
      <c r="GP393" s="27" t="s">
        <v>7</v>
      </c>
      <c r="GQ393" s="27" t="s">
        <v>8</v>
      </c>
      <c r="GR393" s="27" t="s">
        <v>7</v>
      </c>
      <c r="GS393" s="27" t="s">
        <v>8</v>
      </c>
      <c r="GT393" s="27" t="s">
        <v>7</v>
      </c>
      <c r="GU393" s="27" t="s">
        <v>8</v>
      </c>
      <c r="IH393" s="27" t="s">
        <v>7</v>
      </c>
      <c r="IJ393" s="27" t="s">
        <v>7</v>
      </c>
      <c r="IW393" s="27" t="s">
        <v>8</v>
      </c>
      <c r="IX393" s="27" t="s">
        <v>7</v>
      </c>
      <c r="IY393" s="27" t="s">
        <v>8</v>
      </c>
      <c r="IZ393" s="27" t="s">
        <v>7</v>
      </c>
    </row>
    <row r="394" spans="1:260" x14ac:dyDescent="0.25">
      <c r="A394" s="7">
        <v>45.691261636541633</v>
      </c>
      <c r="B394"/>
      <c r="C394"/>
      <c r="D394"/>
      <c r="E394"/>
      <c r="EM394" s="27" t="s">
        <v>8</v>
      </c>
      <c r="EN394" s="27" t="s">
        <v>7</v>
      </c>
      <c r="EO394" s="27" t="s">
        <v>8</v>
      </c>
      <c r="ET394" s="27" t="s">
        <v>7</v>
      </c>
      <c r="EU394" s="27" t="s">
        <v>8</v>
      </c>
      <c r="EX394" s="27" t="s">
        <v>7</v>
      </c>
      <c r="EY394" s="27" t="s">
        <v>8</v>
      </c>
      <c r="FF394" s="27" t="s">
        <v>7</v>
      </c>
      <c r="GI394" s="27" t="s">
        <v>8</v>
      </c>
      <c r="GN394" s="27" t="s">
        <v>7</v>
      </c>
      <c r="GO394" s="27" t="s">
        <v>8</v>
      </c>
      <c r="GP394" s="27" t="s">
        <v>7</v>
      </c>
      <c r="GR394" s="27" t="s">
        <v>7</v>
      </c>
      <c r="GT394" s="27" t="s">
        <v>7</v>
      </c>
      <c r="IJ394" s="27" t="s">
        <v>7</v>
      </c>
      <c r="IW394" s="27" t="s">
        <v>8</v>
      </c>
      <c r="IX394" s="27" t="s">
        <v>7</v>
      </c>
      <c r="IY394" s="27" t="s">
        <v>8</v>
      </c>
      <c r="IZ394" s="27" t="s">
        <v>7</v>
      </c>
    </row>
    <row r="395" spans="1:260" x14ac:dyDescent="0.25">
      <c r="A395" s="7">
        <v>44.795354545629053</v>
      </c>
      <c r="B395"/>
      <c r="C395"/>
      <c r="D395"/>
      <c r="E395"/>
      <c r="EM395" s="27" t="s">
        <v>8</v>
      </c>
      <c r="EN395" s="27" t="s">
        <v>7</v>
      </c>
      <c r="EO395" s="27" t="s">
        <v>8</v>
      </c>
      <c r="ET395" s="27" t="s">
        <v>7</v>
      </c>
      <c r="EX395" s="27" t="s">
        <v>7</v>
      </c>
      <c r="EY395" s="27" t="s">
        <v>8</v>
      </c>
      <c r="FF395" s="27" t="s">
        <v>7</v>
      </c>
      <c r="GI395" s="27" t="s">
        <v>8</v>
      </c>
      <c r="GN395" s="27" t="s">
        <v>7</v>
      </c>
      <c r="GO395" s="27" t="s">
        <v>8</v>
      </c>
      <c r="IJ395" s="27" t="s">
        <v>7</v>
      </c>
      <c r="IM395" s="27" t="s">
        <v>8</v>
      </c>
      <c r="IW395" s="27" t="s">
        <v>8</v>
      </c>
      <c r="IX395" s="27" t="s">
        <v>7</v>
      </c>
      <c r="IY395" s="27" t="s">
        <v>8</v>
      </c>
      <c r="IZ395" s="27" t="s">
        <v>7</v>
      </c>
    </row>
    <row r="396" spans="1:260" x14ac:dyDescent="0.25">
      <c r="A396" s="7">
        <v>43.917014260420636</v>
      </c>
      <c r="B396"/>
      <c r="C396"/>
      <c r="D396"/>
      <c r="E396"/>
      <c r="EM396" s="27" t="s">
        <v>8</v>
      </c>
      <c r="EN396" s="27" t="s">
        <v>7</v>
      </c>
      <c r="EO396" s="27" t="s">
        <v>8</v>
      </c>
      <c r="EX396" s="27" t="s">
        <v>7</v>
      </c>
      <c r="EY396" s="27" t="s">
        <v>8</v>
      </c>
      <c r="FF396" s="27" t="s">
        <v>7</v>
      </c>
      <c r="GI396" s="27" t="s">
        <v>8</v>
      </c>
      <c r="GN396" s="27" t="s">
        <v>7</v>
      </c>
      <c r="GO396" s="27" t="s">
        <v>8</v>
      </c>
      <c r="IJ396" s="27" t="s">
        <v>7</v>
      </c>
      <c r="IK396" s="27" t="s">
        <v>8</v>
      </c>
      <c r="IM396" s="27" t="s">
        <v>8</v>
      </c>
      <c r="IN396" s="27" t="s">
        <v>7</v>
      </c>
      <c r="IU396" s="27" t="s">
        <v>8</v>
      </c>
      <c r="IW396" s="27" t="s">
        <v>8</v>
      </c>
      <c r="IX396" s="27" t="s">
        <v>7</v>
      </c>
      <c r="IY396" s="27" t="s">
        <v>8</v>
      </c>
      <c r="IZ396" s="27" t="s">
        <v>7</v>
      </c>
    </row>
    <row r="397" spans="1:260" x14ac:dyDescent="0.25">
      <c r="A397" s="7">
        <v>43.055896333745721</v>
      </c>
      <c r="B397"/>
      <c r="C397"/>
      <c r="D397"/>
      <c r="E397"/>
      <c r="EE397" s="27" t="s">
        <v>8</v>
      </c>
      <c r="EM397" s="27" t="s">
        <v>8</v>
      </c>
      <c r="EN397" s="27" t="s">
        <v>7</v>
      </c>
      <c r="EX397" s="27" t="s">
        <v>7</v>
      </c>
      <c r="FF397" s="27" t="s">
        <v>7</v>
      </c>
      <c r="GI397" s="27" t="s">
        <v>8</v>
      </c>
      <c r="GN397" s="27" t="s">
        <v>7</v>
      </c>
      <c r="IJ397" s="27" t="s">
        <v>7</v>
      </c>
      <c r="IK397" s="27" t="s">
        <v>8</v>
      </c>
      <c r="IL397" s="27" t="s">
        <v>7</v>
      </c>
      <c r="IM397" s="27" t="s">
        <v>8</v>
      </c>
      <c r="IN397" s="27" t="s">
        <v>7</v>
      </c>
      <c r="IS397" s="27" t="s">
        <v>8</v>
      </c>
      <c r="IU397" s="27" t="s">
        <v>8</v>
      </c>
      <c r="IV397" s="27" t="s">
        <v>7</v>
      </c>
      <c r="IW397" s="27" t="s">
        <v>8</v>
      </c>
      <c r="IX397" s="27" t="s">
        <v>7</v>
      </c>
      <c r="IZ397" s="27" t="s">
        <v>7</v>
      </c>
    </row>
    <row r="398" spans="1:260" x14ac:dyDescent="0.25">
      <c r="A398" s="7">
        <v>42.211663072299729</v>
      </c>
      <c r="B398"/>
      <c r="C398"/>
      <c r="D398"/>
      <c r="E398"/>
      <c r="EE398" s="27" t="s">
        <v>8</v>
      </c>
      <c r="EF398" s="27" t="s">
        <v>7</v>
      </c>
      <c r="EK398" s="27" t="s">
        <v>8</v>
      </c>
      <c r="EM398" s="27" t="s">
        <v>8</v>
      </c>
      <c r="FF398" s="27" t="s">
        <v>7</v>
      </c>
      <c r="FG398" s="27" t="s">
        <v>8</v>
      </c>
      <c r="GI398" s="27" t="s">
        <v>8</v>
      </c>
      <c r="IJ398" s="27" t="s">
        <v>7</v>
      </c>
      <c r="IK398" s="27" t="s">
        <v>8</v>
      </c>
      <c r="IL398" s="27" t="s">
        <v>7</v>
      </c>
      <c r="IM398" s="27" t="s">
        <v>8</v>
      </c>
      <c r="IN398" s="27" t="s">
        <v>7</v>
      </c>
      <c r="IS398" s="27" t="s">
        <v>8</v>
      </c>
      <c r="IT398" s="27" t="s">
        <v>7</v>
      </c>
      <c r="IU398" s="27" t="s">
        <v>8</v>
      </c>
      <c r="IV398" s="27" t="s">
        <v>7</v>
      </c>
      <c r="IW398" s="27" t="s">
        <v>8</v>
      </c>
      <c r="IZ398" s="27" t="s">
        <v>7</v>
      </c>
    </row>
    <row r="399" spans="1:260" x14ac:dyDescent="0.25">
      <c r="A399" s="7">
        <v>41.383983404215421</v>
      </c>
      <c r="B399"/>
      <c r="C399"/>
      <c r="D399"/>
      <c r="E399"/>
      <c r="EE399" s="27" t="s">
        <v>8</v>
      </c>
      <c r="EF399" s="27" t="s">
        <v>7</v>
      </c>
      <c r="EG399" s="27" t="s">
        <v>8</v>
      </c>
      <c r="EI399" s="27" t="s">
        <v>8</v>
      </c>
      <c r="EK399" s="27" t="s">
        <v>8</v>
      </c>
      <c r="EL399" s="27" t="s">
        <v>7</v>
      </c>
      <c r="EM399" s="27" t="s">
        <v>8</v>
      </c>
      <c r="FF399" s="27" t="s">
        <v>7</v>
      </c>
      <c r="FG399" s="27" t="s">
        <v>8</v>
      </c>
      <c r="FH399" s="27" t="s">
        <v>7</v>
      </c>
      <c r="GI399" s="27" t="s">
        <v>8</v>
      </c>
      <c r="IJ399" s="27" t="s">
        <v>7</v>
      </c>
      <c r="IK399" s="27" t="s">
        <v>8</v>
      </c>
      <c r="IL399" s="27" t="s">
        <v>7</v>
      </c>
      <c r="IM399" s="27" t="s">
        <v>8</v>
      </c>
      <c r="IN399" s="27" t="s">
        <v>7</v>
      </c>
      <c r="IO399" s="27" t="s">
        <v>8</v>
      </c>
      <c r="IS399" s="27" t="s">
        <v>8</v>
      </c>
      <c r="IT399" s="27" t="s">
        <v>7</v>
      </c>
      <c r="IU399" s="27" t="s">
        <v>8</v>
      </c>
      <c r="IV399" s="27" t="s">
        <v>7</v>
      </c>
      <c r="IW399" s="27" t="s">
        <v>8</v>
      </c>
      <c r="IZ399" s="27" t="s">
        <v>7</v>
      </c>
    </row>
    <row r="400" spans="1:260" x14ac:dyDescent="0.25">
      <c r="A400" s="7">
        <v>40.572532749230803</v>
      </c>
      <c r="B400"/>
      <c r="C400"/>
      <c r="D400"/>
      <c r="E400"/>
      <c r="EE400" s="27" t="s">
        <v>8</v>
      </c>
      <c r="EF400" s="27" t="s">
        <v>7</v>
      </c>
      <c r="EG400" s="27" t="s">
        <v>8</v>
      </c>
      <c r="EH400" s="27" t="s">
        <v>7</v>
      </c>
      <c r="EI400" s="27" t="s">
        <v>8</v>
      </c>
      <c r="EJ400" s="27" t="s">
        <v>7</v>
      </c>
      <c r="EK400" s="27" t="s">
        <v>8</v>
      </c>
      <c r="EL400" s="27" t="s">
        <v>7</v>
      </c>
      <c r="EM400" s="27" t="s">
        <v>8</v>
      </c>
      <c r="FF400" s="27" t="s">
        <v>7</v>
      </c>
      <c r="FG400" s="27" t="s">
        <v>8</v>
      </c>
      <c r="FH400" s="27" t="s">
        <v>7</v>
      </c>
      <c r="GI400" s="27" t="s">
        <v>8</v>
      </c>
      <c r="IJ400" s="27" t="s">
        <v>7</v>
      </c>
      <c r="IK400" s="27" t="s">
        <v>8</v>
      </c>
      <c r="IL400" s="27" t="s">
        <v>7</v>
      </c>
      <c r="IN400" s="27" t="s">
        <v>7</v>
      </c>
      <c r="IO400" s="27" t="s">
        <v>8</v>
      </c>
      <c r="IP400" s="27" t="s">
        <v>7</v>
      </c>
      <c r="IS400" s="27" t="s">
        <v>8</v>
      </c>
      <c r="IT400" s="27" t="s">
        <v>7</v>
      </c>
      <c r="IU400" s="27" t="s">
        <v>8</v>
      </c>
      <c r="IV400" s="27" t="s">
        <v>7</v>
      </c>
      <c r="IW400" s="27" t="s">
        <v>8</v>
      </c>
      <c r="IZ400" s="27" t="s">
        <v>7</v>
      </c>
    </row>
    <row r="401" spans="1:264" x14ac:dyDescent="0.25">
      <c r="A401" s="7">
        <v>39.776992891402749</v>
      </c>
      <c r="B401"/>
      <c r="C401"/>
      <c r="D401"/>
      <c r="E401"/>
      <c r="EE401" s="27" t="s">
        <v>8</v>
      </c>
      <c r="EF401" s="27" t="s">
        <v>7</v>
      </c>
      <c r="EG401" s="27" t="s">
        <v>8</v>
      </c>
      <c r="EH401" s="27" t="s">
        <v>7</v>
      </c>
      <c r="EI401" s="27" t="s">
        <v>8</v>
      </c>
      <c r="EJ401" s="27" t="s">
        <v>7</v>
      </c>
      <c r="EK401" s="27" t="s">
        <v>8</v>
      </c>
      <c r="EL401" s="27" t="s">
        <v>7</v>
      </c>
      <c r="FF401" s="27" t="s">
        <v>7</v>
      </c>
      <c r="FG401" s="27" t="s">
        <v>8</v>
      </c>
      <c r="FH401" s="27" t="s">
        <v>7</v>
      </c>
      <c r="GG401" s="27" t="s">
        <v>8</v>
      </c>
      <c r="GI401" s="27" t="s">
        <v>8</v>
      </c>
      <c r="IJ401" s="27" t="s">
        <v>7</v>
      </c>
      <c r="IK401" s="27" t="s">
        <v>8</v>
      </c>
      <c r="IN401" s="27" t="s">
        <v>7</v>
      </c>
      <c r="IO401" s="27" t="s">
        <v>8</v>
      </c>
      <c r="IP401" s="27" t="s">
        <v>7</v>
      </c>
      <c r="IQ401" s="27" t="s">
        <v>8</v>
      </c>
      <c r="IS401" s="27" t="s">
        <v>8</v>
      </c>
      <c r="IT401" s="27" t="s">
        <v>7</v>
      </c>
      <c r="IU401" s="27" t="s">
        <v>8</v>
      </c>
      <c r="IV401" s="27" t="s">
        <v>7</v>
      </c>
      <c r="IW401" s="27" t="s">
        <v>8</v>
      </c>
      <c r="IZ401" s="27" t="s">
        <v>7</v>
      </c>
    </row>
    <row r="402" spans="1:264" x14ac:dyDescent="0.25">
      <c r="A402" s="7">
        <v>38.997051854316418</v>
      </c>
      <c r="B402"/>
      <c r="C402"/>
      <c r="D402"/>
      <c r="E402"/>
      <c r="EE402" s="27" t="s">
        <v>8</v>
      </c>
      <c r="EF402" s="27" t="s">
        <v>7</v>
      </c>
      <c r="EG402" s="27" t="s">
        <v>8</v>
      </c>
      <c r="EH402" s="27" t="s">
        <v>7</v>
      </c>
      <c r="EJ402" s="27" t="s">
        <v>7</v>
      </c>
      <c r="EK402" s="27" t="s">
        <v>8</v>
      </c>
      <c r="FF402" s="27" t="s">
        <v>7</v>
      </c>
      <c r="FG402" s="27" t="s">
        <v>8</v>
      </c>
      <c r="FH402" s="27" t="s">
        <v>7</v>
      </c>
      <c r="GG402" s="27" t="s">
        <v>8</v>
      </c>
      <c r="GH402" s="27" t="s">
        <v>7</v>
      </c>
      <c r="GI402" s="27" t="s">
        <v>8</v>
      </c>
      <c r="IJ402" s="27" t="s">
        <v>7</v>
      </c>
      <c r="IK402" s="27" t="s">
        <v>8</v>
      </c>
      <c r="IN402" s="27" t="s">
        <v>7</v>
      </c>
      <c r="IO402" s="27" t="s">
        <v>8</v>
      </c>
      <c r="IP402" s="27" t="s">
        <v>7</v>
      </c>
      <c r="IQ402" s="27" t="s">
        <v>8</v>
      </c>
      <c r="IR402" s="27" t="s">
        <v>7</v>
      </c>
      <c r="IS402" s="27" t="s">
        <v>8</v>
      </c>
      <c r="IT402" s="27" t="s">
        <v>7</v>
      </c>
      <c r="IU402" s="27" t="s">
        <v>8</v>
      </c>
      <c r="IV402" s="27" t="s">
        <v>7</v>
      </c>
      <c r="IW402" s="27" t="s">
        <v>8</v>
      </c>
      <c r="IZ402" s="27" t="s">
        <v>7</v>
      </c>
    </row>
    <row r="403" spans="1:264" x14ac:dyDescent="0.25">
      <c r="A403" s="7">
        <v>38.232403778741585</v>
      </c>
      <c r="B403"/>
      <c r="C403"/>
      <c r="D403"/>
      <c r="E403"/>
      <c r="EC403" s="27" t="s">
        <v>8</v>
      </c>
      <c r="EE403" s="27" t="s">
        <v>8</v>
      </c>
      <c r="EF403" s="27" t="s">
        <v>7</v>
      </c>
      <c r="EG403" s="27" t="s">
        <v>8</v>
      </c>
      <c r="EJ403" s="27" t="s">
        <v>7</v>
      </c>
      <c r="EK403" s="27" t="s">
        <v>8</v>
      </c>
      <c r="FF403" s="27" t="s">
        <v>7</v>
      </c>
      <c r="FG403" s="27" t="s">
        <v>8</v>
      </c>
      <c r="FH403" s="27" t="s">
        <v>7</v>
      </c>
      <c r="GG403" s="27" t="s">
        <v>8</v>
      </c>
      <c r="GH403" s="27" t="s">
        <v>7</v>
      </c>
      <c r="GI403" s="27" t="s">
        <v>8</v>
      </c>
      <c r="IJ403" s="27" t="s">
        <v>7</v>
      </c>
      <c r="IN403" s="27" t="s">
        <v>7</v>
      </c>
      <c r="IP403" s="27" t="s">
        <v>7</v>
      </c>
      <c r="IQ403" s="27" t="s">
        <v>8</v>
      </c>
      <c r="IR403" s="27" t="s">
        <v>7</v>
      </c>
      <c r="IS403" s="27" t="s">
        <v>8</v>
      </c>
      <c r="IT403" s="27" t="s">
        <v>7</v>
      </c>
      <c r="IV403" s="27" t="s">
        <v>7</v>
      </c>
      <c r="IW403" s="27" t="s">
        <v>8</v>
      </c>
      <c r="IZ403" s="27" t="s">
        <v>7</v>
      </c>
      <c r="JC403" s="27" t="s">
        <v>8</v>
      </c>
    </row>
    <row r="404" spans="1:264" x14ac:dyDescent="0.25">
      <c r="A404" s="7">
        <v>37.48274880268783</v>
      </c>
      <c r="B404"/>
      <c r="C404"/>
      <c r="D404"/>
      <c r="E404"/>
      <c r="EA404" s="27" t="s">
        <v>8</v>
      </c>
      <c r="EC404" s="27" t="s">
        <v>8</v>
      </c>
      <c r="ED404" s="27" t="s">
        <v>7</v>
      </c>
      <c r="EE404" s="27" t="s">
        <v>8</v>
      </c>
      <c r="EF404" s="27" t="s">
        <v>7</v>
      </c>
      <c r="EJ404" s="27" t="s">
        <v>7</v>
      </c>
      <c r="EK404" s="27" t="s">
        <v>8</v>
      </c>
      <c r="FF404" s="27" t="s">
        <v>7</v>
      </c>
      <c r="FG404" s="27" t="s">
        <v>8</v>
      </c>
      <c r="FH404" s="27" t="s">
        <v>7</v>
      </c>
      <c r="GG404" s="27" t="s">
        <v>8</v>
      </c>
      <c r="GH404" s="27" t="s">
        <v>7</v>
      </c>
      <c r="GI404" s="27" t="s">
        <v>8</v>
      </c>
      <c r="IP404" s="27" t="s">
        <v>7</v>
      </c>
      <c r="IR404" s="27" t="s">
        <v>7</v>
      </c>
      <c r="IS404" s="27" t="s">
        <v>8</v>
      </c>
      <c r="IV404" s="27" t="s">
        <v>7</v>
      </c>
      <c r="IW404" s="27" t="s">
        <v>8</v>
      </c>
      <c r="IZ404" s="27" t="s">
        <v>7</v>
      </c>
      <c r="JC404" s="27" t="s">
        <v>8</v>
      </c>
      <c r="JD404" s="27" t="s">
        <v>7</v>
      </c>
    </row>
    <row r="405" spans="1:264" x14ac:dyDescent="0.25">
      <c r="A405" s="7">
        <v>36.747792943811596</v>
      </c>
      <c r="B405"/>
      <c r="C405"/>
      <c r="D405"/>
      <c r="E405"/>
      <c r="DQ405" s="27" t="s">
        <v>8</v>
      </c>
      <c r="EA405" s="27" t="s">
        <v>8</v>
      </c>
      <c r="EB405" s="27" t="s">
        <v>7</v>
      </c>
      <c r="EC405" s="27" t="s">
        <v>8</v>
      </c>
      <c r="ED405" s="27" t="s">
        <v>7</v>
      </c>
      <c r="EE405" s="27" t="s">
        <v>8</v>
      </c>
      <c r="EJ405" s="27" t="s">
        <v>7</v>
      </c>
      <c r="EK405" s="27" t="s">
        <v>8</v>
      </c>
      <c r="FF405" s="27" t="s">
        <v>7</v>
      </c>
      <c r="FG405" s="27" t="s">
        <v>8</v>
      </c>
      <c r="FH405" s="27" t="s">
        <v>7</v>
      </c>
      <c r="FI405" s="27" t="s">
        <v>8</v>
      </c>
      <c r="FK405" s="27" t="s">
        <v>8</v>
      </c>
      <c r="GG405" s="27" t="s">
        <v>8</v>
      </c>
      <c r="GH405" s="27" t="s">
        <v>7</v>
      </c>
      <c r="GI405" s="27" t="s">
        <v>8</v>
      </c>
      <c r="IR405" s="27" t="s">
        <v>7</v>
      </c>
      <c r="IS405" s="27" t="s">
        <v>8</v>
      </c>
      <c r="IV405" s="27" t="s">
        <v>7</v>
      </c>
      <c r="IW405" s="27" t="s">
        <v>8</v>
      </c>
      <c r="IZ405" s="27" t="s">
        <v>7</v>
      </c>
      <c r="JC405" s="27" t="s">
        <v>8</v>
      </c>
      <c r="JD405" s="27" t="s">
        <v>7</v>
      </c>
    </row>
    <row r="406" spans="1:264" x14ac:dyDescent="0.25">
      <c r="A406" s="7">
        <v>36.027247984129012</v>
      </c>
      <c r="B406"/>
      <c r="C406"/>
      <c r="D406"/>
      <c r="E406"/>
      <c r="DQ406" s="27" t="s">
        <v>8</v>
      </c>
      <c r="DR406" s="27" t="s">
        <v>7</v>
      </c>
      <c r="EA406" s="27" t="s">
        <v>8</v>
      </c>
      <c r="EB406" s="27" t="s">
        <v>7</v>
      </c>
      <c r="EC406" s="27" t="s">
        <v>8</v>
      </c>
      <c r="ED406" s="27" t="s">
        <v>7</v>
      </c>
      <c r="EJ406" s="27" t="s">
        <v>7</v>
      </c>
      <c r="EK406" s="27" t="s">
        <v>8</v>
      </c>
      <c r="FF406" s="27" t="s">
        <v>7</v>
      </c>
      <c r="FG406" s="27" t="s">
        <v>8</v>
      </c>
      <c r="FH406" s="27" t="s">
        <v>7</v>
      </c>
      <c r="FI406" s="27" t="s">
        <v>8</v>
      </c>
      <c r="FJ406" s="27" t="s">
        <v>7</v>
      </c>
      <c r="FK406" s="27" t="s">
        <v>8</v>
      </c>
      <c r="FL406" s="27" t="s">
        <v>7</v>
      </c>
      <c r="GG406" s="27" t="s">
        <v>8</v>
      </c>
      <c r="GH406" s="27" t="s">
        <v>7</v>
      </c>
      <c r="GI406" s="27" t="s">
        <v>8</v>
      </c>
      <c r="IR406" s="27" t="s">
        <v>7</v>
      </c>
      <c r="IV406" s="27" t="s">
        <v>7</v>
      </c>
      <c r="IW406" s="27" t="s">
        <v>8</v>
      </c>
      <c r="IZ406" s="27" t="s">
        <v>7</v>
      </c>
      <c r="JA406" s="27" t="s">
        <v>8</v>
      </c>
      <c r="JC406" s="27" t="s">
        <v>8</v>
      </c>
      <c r="JD406" s="27" t="s">
        <v>7</v>
      </c>
    </row>
    <row r="407" spans="1:264" x14ac:dyDescent="0.25">
      <c r="A407" s="7">
        <v>35.320831356989224</v>
      </c>
      <c r="B407"/>
      <c r="C407"/>
      <c r="D407"/>
      <c r="E407"/>
      <c r="DQ407" s="27" t="s">
        <v>8</v>
      </c>
      <c r="DR407" s="27" t="s">
        <v>7</v>
      </c>
      <c r="EA407" s="27" t="s">
        <v>8</v>
      </c>
      <c r="EB407" s="27" t="s">
        <v>7</v>
      </c>
      <c r="EC407" s="27" t="s">
        <v>8</v>
      </c>
      <c r="EJ407" s="27" t="s">
        <v>7</v>
      </c>
      <c r="EK407" s="27" t="s">
        <v>8</v>
      </c>
      <c r="FF407" s="27" t="s">
        <v>7</v>
      </c>
      <c r="FG407" s="27" t="s">
        <v>8</v>
      </c>
      <c r="FH407" s="27" t="s">
        <v>7</v>
      </c>
      <c r="FI407" s="27" t="s">
        <v>8</v>
      </c>
      <c r="FJ407" s="27" t="s">
        <v>7</v>
      </c>
      <c r="FK407" s="27" t="s">
        <v>8</v>
      </c>
      <c r="FL407" s="27" t="s">
        <v>7</v>
      </c>
      <c r="GG407" s="27" t="s">
        <v>8</v>
      </c>
      <c r="GH407" s="27" t="s">
        <v>7</v>
      </c>
      <c r="GI407" s="27" t="s">
        <v>8</v>
      </c>
      <c r="IV407" s="27" t="s">
        <v>7</v>
      </c>
      <c r="IW407" s="27" t="s">
        <v>8</v>
      </c>
      <c r="IZ407" s="27" t="s">
        <v>7</v>
      </c>
      <c r="JA407" s="27" t="s">
        <v>8</v>
      </c>
      <c r="JB407" s="27" t="s">
        <v>7</v>
      </c>
      <c r="JC407" s="27" t="s">
        <v>8</v>
      </c>
    </row>
    <row r="408" spans="1:264" x14ac:dyDescent="0.25">
      <c r="A408" s="7">
        <v>34.628266036263945</v>
      </c>
      <c r="B408"/>
      <c r="C408"/>
      <c r="D408"/>
      <c r="E408"/>
      <c r="DQ408" s="27" t="s">
        <v>8</v>
      </c>
      <c r="DR408" s="27" t="s">
        <v>7</v>
      </c>
      <c r="DS408" s="27" t="s">
        <v>8</v>
      </c>
      <c r="EA408" s="27" t="s">
        <v>8</v>
      </c>
      <c r="EB408" s="27" t="s">
        <v>7</v>
      </c>
      <c r="EJ408" s="27" t="s">
        <v>7</v>
      </c>
      <c r="EK408" s="27" t="s">
        <v>8</v>
      </c>
      <c r="FF408" s="27" t="s">
        <v>7</v>
      </c>
      <c r="FG408" s="27" t="s">
        <v>8</v>
      </c>
      <c r="FH408" s="27" t="s">
        <v>7</v>
      </c>
      <c r="FI408" s="27" t="s">
        <v>8</v>
      </c>
      <c r="FJ408" s="27" t="s">
        <v>7</v>
      </c>
      <c r="FK408" s="27" t="s">
        <v>8</v>
      </c>
      <c r="FL408" s="27" t="s">
        <v>7</v>
      </c>
      <c r="FO408" s="27" t="s">
        <v>8</v>
      </c>
      <c r="GG408" s="27" t="s">
        <v>8</v>
      </c>
      <c r="GH408" s="27" t="s">
        <v>7</v>
      </c>
      <c r="IV408" s="27" t="s">
        <v>7</v>
      </c>
      <c r="IW408" s="27" t="s">
        <v>8</v>
      </c>
      <c r="IZ408" s="27" t="s">
        <v>7</v>
      </c>
      <c r="JA408" s="27" t="s">
        <v>8</v>
      </c>
      <c r="JB408" s="27" t="s">
        <v>7</v>
      </c>
      <c r="JC408" s="27" t="s">
        <v>8</v>
      </c>
    </row>
    <row r="409" spans="1:264" x14ac:dyDescent="0.25">
      <c r="A409" s="7">
        <v>33.949280427709752</v>
      </c>
      <c r="B409"/>
      <c r="C409"/>
      <c r="D409"/>
      <c r="E409"/>
      <c r="DQ409" s="27" t="s">
        <v>8</v>
      </c>
      <c r="DR409" s="27" t="s">
        <v>7</v>
      </c>
      <c r="DS409" s="27" t="s">
        <v>8</v>
      </c>
      <c r="DT409" s="27" t="s">
        <v>7</v>
      </c>
      <c r="EA409" s="27" t="s">
        <v>8</v>
      </c>
      <c r="EJ409" s="27" t="s">
        <v>7</v>
      </c>
      <c r="EK409" s="27" t="s">
        <v>8</v>
      </c>
      <c r="FF409" s="27" t="s">
        <v>7</v>
      </c>
      <c r="FG409" s="27" t="s">
        <v>8</v>
      </c>
      <c r="FH409" s="27" t="s">
        <v>7</v>
      </c>
      <c r="FI409" s="27" t="s">
        <v>8</v>
      </c>
      <c r="FJ409" s="27" t="s">
        <v>7</v>
      </c>
      <c r="FK409" s="27" t="s">
        <v>8</v>
      </c>
      <c r="FL409" s="27" t="s">
        <v>7</v>
      </c>
      <c r="FM409" s="27" t="s">
        <v>8</v>
      </c>
      <c r="FO409" s="27" t="s">
        <v>8</v>
      </c>
      <c r="FP409" s="27" t="s">
        <v>7</v>
      </c>
      <c r="GG409" s="27" t="s">
        <v>8</v>
      </c>
      <c r="IV409" s="27" t="s">
        <v>7</v>
      </c>
      <c r="IZ409" s="27" t="s">
        <v>7</v>
      </c>
      <c r="JA409" s="27" t="s">
        <v>8</v>
      </c>
      <c r="JB409" s="27" t="s">
        <v>7</v>
      </c>
      <c r="JC409" s="27" t="s">
        <v>8</v>
      </c>
    </row>
    <row r="410" spans="1:264" x14ac:dyDescent="0.25">
      <c r="A410" s="7">
        <v>33.28360826246054</v>
      </c>
      <c r="B410"/>
      <c r="C410"/>
      <c r="D410"/>
      <c r="E410"/>
      <c r="DQ410" s="27" t="s">
        <v>8</v>
      </c>
      <c r="DR410" s="27" t="s">
        <v>7</v>
      </c>
      <c r="DS410" s="27" t="s">
        <v>8</v>
      </c>
      <c r="DT410" s="27" t="s">
        <v>7</v>
      </c>
      <c r="EA410" s="27" t="s">
        <v>8</v>
      </c>
      <c r="EJ410" s="27" t="s">
        <v>7</v>
      </c>
      <c r="EK410" s="27" t="s">
        <v>8</v>
      </c>
      <c r="FF410" s="27" t="s">
        <v>7</v>
      </c>
      <c r="FG410" s="27" t="s">
        <v>8</v>
      </c>
      <c r="FH410" s="27" t="s">
        <v>7</v>
      </c>
      <c r="FI410" s="27" t="s">
        <v>8</v>
      </c>
      <c r="FJ410" s="27" t="s">
        <v>7</v>
      </c>
      <c r="FK410" s="27" t="s">
        <v>8</v>
      </c>
      <c r="FL410" s="27" t="s">
        <v>7</v>
      </c>
      <c r="FM410" s="27" t="s">
        <v>8</v>
      </c>
      <c r="FN410" s="27" t="s">
        <v>7</v>
      </c>
      <c r="FO410" s="27" t="s">
        <v>8</v>
      </c>
      <c r="FP410" s="27" t="s">
        <v>7</v>
      </c>
      <c r="GE410" s="27" t="s">
        <v>8</v>
      </c>
      <c r="GG410" s="27" t="s">
        <v>8</v>
      </c>
      <c r="IZ410" s="27" t="s">
        <v>7</v>
      </c>
      <c r="JA410" s="27" t="s">
        <v>8</v>
      </c>
      <c r="JB410" s="27" t="s">
        <v>7</v>
      </c>
      <c r="JC410" s="27" t="s">
        <v>8</v>
      </c>
    </row>
    <row r="411" spans="1:264" x14ac:dyDescent="0.25">
      <c r="A411" s="7">
        <v>32.630988492608374</v>
      </c>
      <c r="B411"/>
      <c r="C411"/>
      <c r="D411"/>
      <c r="E411"/>
      <c r="DQ411" s="27" t="s">
        <v>8</v>
      </c>
      <c r="DR411" s="27" t="s">
        <v>7</v>
      </c>
      <c r="DS411" s="27" t="s">
        <v>8</v>
      </c>
      <c r="DT411" s="27" t="s">
        <v>7</v>
      </c>
      <c r="DY411" s="27" t="s">
        <v>8</v>
      </c>
      <c r="EA411" s="27" t="s">
        <v>8</v>
      </c>
      <c r="EJ411" s="27" t="s">
        <v>7</v>
      </c>
      <c r="EK411" s="27" t="s">
        <v>8</v>
      </c>
      <c r="FF411" s="27" t="s">
        <v>7</v>
      </c>
      <c r="FG411" s="27" t="s">
        <v>8</v>
      </c>
      <c r="FH411" s="27" t="s">
        <v>7</v>
      </c>
      <c r="FI411" s="27" t="s">
        <v>8</v>
      </c>
      <c r="FJ411" s="27" t="s">
        <v>7</v>
      </c>
      <c r="FK411" s="27" t="s">
        <v>8</v>
      </c>
      <c r="FL411" s="27" t="s">
        <v>7</v>
      </c>
      <c r="FM411" s="27" t="s">
        <v>8</v>
      </c>
      <c r="FN411" s="27" t="s">
        <v>7</v>
      </c>
      <c r="FO411" s="27" t="s">
        <v>8</v>
      </c>
      <c r="FP411" s="27" t="s">
        <v>7</v>
      </c>
      <c r="GE411" s="27" t="s">
        <v>8</v>
      </c>
      <c r="GF411" s="27" t="s">
        <v>7</v>
      </c>
      <c r="GG411" s="27" t="s">
        <v>8</v>
      </c>
      <c r="IZ411" s="27" t="s">
        <v>7</v>
      </c>
      <c r="JA411" s="27" t="s">
        <v>8</v>
      </c>
      <c r="JB411" s="27" t="s">
        <v>7</v>
      </c>
      <c r="JC411" s="27" t="s">
        <v>8</v>
      </c>
    </row>
    <row r="412" spans="1:264" x14ac:dyDescent="0.25">
      <c r="A412" s="7">
        <v>31.99116518883174</v>
      </c>
      <c r="B412"/>
      <c r="C412"/>
      <c r="D412"/>
      <c r="E412"/>
      <c r="DQ412" s="27" t="s">
        <v>8</v>
      </c>
      <c r="DR412" s="27" t="s">
        <v>7</v>
      </c>
      <c r="DS412" s="27" t="s">
        <v>8</v>
      </c>
      <c r="DT412" s="27" t="s">
        <v>7</v>
      </c>
      <c r="DU412" s="27" t="s">
        <v>8</v>
      </c>
      <c r="DY412" s="27" t="s">
        <v>8</v>
      </c>
      <c r="DZ412" s="27" t="s">
        <v>7</v>
      </c>
      <c r="EA412" s="27" t="s">
        <v>8</v>
      </c>
      <c r="EJ412" s="27" t="s">
        <v>7</v>
      </c>
      <c r="FF412" s="27" t="s">
        <v>7</v>
      </c>
      <c r="FH412" s="27" t="s">
        <v>7</v>
      </c>
      <c r="FI412" s="27" t="s">
        <v>8</v>
      </c>
      <c r="FJ412" s="27" t="s">
        <v>7</v>
      </c>
      <c r="FK412" s="27" t="s">
        <v>8</v>
      </c>
      <c r="FL412" s="27" t="s">
        <v>7</v>
      </c>
      <c r="FM412" s="27" t="s">
        <v>8</v>
      </c>
      <c r="FN412" s="27" t="s">
        <v>7</v>
      </c>
      <c r="FO412" s="27" t="s">
        <v>8</v>
      </c>
      <c r="FP412" s="27" t="s">
        <v>7</v>
      </c>
      <c r="GA412" s="27" t="s">
        <v>8</v>
      </c>
      <c r="GE412" s="27" t="s">
        <v>8</v>
      </c>
      <c r="GF412" s="27" t="s">
        <v>7</v>
      </c>
      <c r="GG412" s="27" t="s">
        <v>8</v>
      </c>
      <c r="IZ412" s="27" t="s">
        <v>7</v>
      </c>
      <c r="JB412" s="27" t="s">
        <v>7</v>
      </c>
      <c r="JC412" s="27" t="s">
        <v>8</v>
      </c>
    </row>
    <row r="413" spans="1:264" x14ac:dyDescent="0.25">
      <c r="A413" s="7">
        <v>31.363887440031117</v>
      </c>
      <c r="B413"/>
      <c r="C413"/>
      <c r="D413"/>
      <c r="E413"/>
      <c r="DQ413" s="27" t="s">
        <v>8</v>
      </c>
      <c r="DR413" s="27" t="s">
        <v>7</v>
      </c>
      <c r="DS413" s="27" t="s">
        <v>8</v>
      </c>
      <c r="DT413" s="27" t="s">
        <v>7</v>
      </c>
      <c r="DU413" s="27" t="s">
        <v>8</v>
      </c>
      <c r="DV413" s="27" t="s">
        <v>7</v>
      </c>
      <c r="DY413" s="27" t="s">
        <v>8</v>
      </c>
      <c r="DZ413" s="27" t="s">
        <v>7</v>
      </c>
      <c r="EA413" s="27" t="s">
        <v>8</v>
      </c>
      <c r="FH413" s="27" t="s">
        <v>7</v>
      </c>
      <c r="FI413" s="27" t="s">
        <v>8</v>
      </c>
      <c r="FJ413" s="27" t="s">
        <v>7</v>
      </c>
      <c r="FK413" s="27" t="s">
        <v>8</v>
      </c>
      <c r="FL413" s="27" t="s">
        <v>7</v>
      </c>
      <c r="FM413" s="27" t="s">
        <v>8</v>
      </c>
      <c r="FN413" s="27" t="s">
        <v>7</v>
      </c>
      <c r="FO413" s="27" t="s">
        <v>8</v>
      </c>
      <c r="FP413" s="27" t="s">
        <v>7</v>
      </c>
      <c r="GA413" s="27" t="s">
        <v>8</v>
      </c>
      <c r="GB413" s="27" t="s">
        <v>7</v>
      </c>
      <c r="GE413" s="27" t="s">
        <v>8</v>
      </c>
      <c r="GF413" s="27" t="s">
        <v>7</v>
      </c>
      <c r="GG413" s="27" t="s">
        <v>8</v>
      </c>
      <c r="JB413" s="27" t="s">
        <v>7</v>
      </c>
    </row>
    <row r="414" spans="1:264" x14ac:dyDescent="0.25">
      <c r="A414" s="7">
        <v>30.748909254932467</v>
      </c>
      <c r="B414"/>
      <c r="C414"/>
      <c r="D414"/>
      <c r="E414"/>
      <c r="DQ414" s="27" t="s">
        <v>8</v>
      </c>
      <c r="DR414" s="27" t="s">
        <v>7</v>
      </c>
      <c r="DS414" s="27" t="s">
        <v>8</v>
      </c>
      <c r="DT414" s="27" t="s">
        <v>7</v>
      </c>
      <c r="DU414" s="27" t="s">
        <v>8</v>
      </c>
      <c r="DV414" s="27" t="s">
        <v>7</v>
      </c>
      <c r="DY414" s="27" t="s">
        <v>8</v>
      </c>
      <c r="DZ414" s="27" t="s">
        <v>7</v>
      </c>
      <c r="EA414" s="27" t="s">
        <v>8</v>
      </c>
      <c r="FH414" s="27" t="s">
        <v>7</v>
      </c>
      <c r="FI414" s="27" t="s">
        <v>8</v>
      </c>
      <c r="FJ414" s="27" t="s">
        <v>7</v>
      </c>
      <c r="FK414" s="27" t="s">
        <v>8</v>
      </c>
      <c r="FL414" s="27" t="s">
        <v>7</v>
      </c>
      <c r="FM414" s="27" t="s">
        <v>8</v>
      </c>
      <c r="FN414" s="27" t="s">
        <v>7</v>
      </c>
      <c r="FO414" s="27" t="s">
        <v>8</v>
      </c>
      <c r="FP414" s="27" t="s">
        <v>7</v>
      </c>
      <c r="GA414" s="27" t="s">
        <v>8</v>
      </c>
      <c r="GB414" s="27" t="s">
        <v>7</v>
      </c>
      <c r="GE414" s="27" t="s">
        <v>8</v>
      </c>
      <c r="GF414" s="27" t="s">
        <v>7</v>
      </c>
      <c r="GG414" s="27" t="s">
        <v>8</v>
      </c>
    </row>
    <row r="415" spans="1:264" x14ac:dyDescent="0.25">
      <c r="A415" s="7">
        <v>30.145989465620065</v>
      </c>
      <c r="B415"/>
      <c r="C415"/>
      <c r="D415"/>
      <c r="E415"/>
      <c r="DQ415" s="27" t="s">
        <v>8</v>
      </c>
      <c r="DR415" s="27" t="s">
        <v>7</v>
      </c>
      <c r="DS415" s="27" t="s">
        <v>8</v>
      </c>
      <c r="DT415" s="27" t="s">
        <v>7</v>
      </c>
      <c r="DU415" s="27" t="s">
        <v>8</v>
      </c>
      <c r="DV415" s="27" t="s">
        <v>7</v>
      </c>
      <c r="DY415" s="27" t="s">
        <v>8</v>
      </c>
      <c r="DZ415" s="27" t="s">
        <v>7</v>
      </c>
      <c r="EA415" s="27" t="s">
        <v>8</v>
      </c>
      <c r="FH415" s="27" t="s">
        <v>7</v>
      </c>
      <c r="FI415" s="27" t="s">
        <v>8</v>
      </c>
      <c r="FJ415" s="27" t="s">
        <v>7</v>
      </c>
      <c r="FK415" s="27" t="s">
        <v>8</v>
      </c>
      <c r="FL415" s="27" t="s">
        <v>7</v>
      </c>
      <c r="FM415" s="27" t="s">
        <v>8</v>
      </c>
      <c r="FN415" s="27" t="s">
        <v>7</v>
      </c>
      <c r="FP415" s="27" t="s">
        <v>7</v>
      </c>
      <c r="FY415" s="27" t="s">
        <v>8</v>
      </c>
      <c r="GA415" s="27" t="s">
        <v>8</v>
      </c>
      <c r="GB415" s="27" t="s">
        <v>7</v>
      </c>
      <c r="GE415" s="27" t="s">
        <v>8</v>
      </c>
      <c r="GF415" s="27" t="s">
        <v>7</v>
      </c>
      <c r="GG415" s="27" t="s">
        <v>8</v>
      </c>
    </row>
    <row r="416" spans="1:264" x14ac:dyDescent="0.25">
      <c r="A416" s="7">
        <v>29.55489163296085</v>
      </c>
      <c r="B416"/>
      <c r="C416"/>
      <c r="D416"/>
      <c r="E416"/>
      <c r="DQ416" s="27" t="s">
        <v>8</v>
      </c>
      <c r="DR416" s="27" t="s">
        <v>7</v>
      </c>
      <c r="DT416" s="27" t="s">
        <v>7</v>
      </c>
      <c r="DU416" s="27" t="s">
        <v>8</v>
      </c>
      <c r="DV416" s="27" t="s">
        <v>7</v>
      </c>
      <c r="DY416" s="27" t="s">
        <v>8</v>
      </c>
      <c r="DZ416" s="27" t="s">
        <v>7</v>
      </c>
      <c r="EA416" s="27" t="s">
        <v>8</v>
      </c>
      <c r="FH416" s="27" t="s">
        <v>7</v>
      </c>
      <c r="FI416" s="27" t="s">
        <v>8</v>
      </c>
      <c r="FJ416" s="27" t="s">
        <v>7</v>
      </c>
      <c r="FL416" s="27" t="s">
        <v>7</v>
      </c>
      <c r="FM416" s="27" t="s">
        <v>8</v>
      </c>
      <c r="FP416" s="27" t="s">
        <v>7</v>
      </c>
      <c r="FY416" s="27" t="s">
        <v>8</v>
      </c>
      <c r="FZ416" s="27" t="s">
        <v>7</v>
      </c>
      <c r="GA416" s="27" t="s">
        <v>8</v>
      </c>
      <c r="GB416" s="27" t="s">
        <v>7</v>
      </c>
      <c r="GE416" s="27" t="s">
        <v>8</v>
      </c>
      <c r="GF416" s="27" t="s">
        <v>7</v>
      </c>
      <c r="GG416" s="27" t="s">
        <v>8</v>
      </c>
    </row>
    <row r="417" spans="1:188" x14ac:dyDescent="0.25">
      <c r="A417" s="7">
        <v>28.975383953883185</v>
      </c>
      <c r="B417"/>
      <c r="C417"/>
      <c r="D417"/>
      <c r="E417"/>
      <c r="DQ417" s="27" t="s">
        <v>8</v>
      </c>
      <c r="DT417" s="27" t="s">
        <v>7</v>
      </c>
      <c r="DU417" s="27" t="s">
        <v>8</v>
      </c>
      <c r="DV417" s="27" t="s">
        <v>7</v>
      </c>
      <c r="DY417" s="27" t="s">
        <v>8</v>
      </c>
      <c r="DZ417" s="27" t="s">
        <v>7</v>
      </c>
      <c r="EA417" s="27" t="s">
        <v>8</v>
      </c>
      <c r="FH417" s="27" t="s">
        <v>7</v>
      </c>
      <c r="FI417" s="27" t="s">
        <v>8</v>
      </c>
      <c r="FL417" s="27" t="s">
        <v>7</v>
      </c>
      <c r="FP417" s="27" t="s">
        <v>7</v>
      </c>
      <c r="FY417" s="27" t="s">
        <v>8</v>
      </c>
      <c r="FZ417" s="27" t="s">
        <v>7</v>
      </c>
      <c r="GA417" s="27" t="s">
        <v>8</v>
      </c>
      <c r="GB417" s="27" t="s">
        <v>7</v>
      </c>
      <c r="GE417" s="27" t="s">
        <v>8</v>
      </c>
      <c r="GF417" s="27" t="s">
        <v>7</v>
      </c>
    </row>
    <row r="418" spans="1:188" x14ac:dyDescent="0.25">
      <c r="A418" s="7">
        <v>28.407239170473709</v>
      </c>
      <c r="B418"/>
      <c r="C418"/>
      <c r="D418"/>
      <c r="E418"/>
      <c r="DQ418" s="27" t="s">
        <v>8</v>
      </c>
      <c r="DT418" s="27" t="s">
        <v>7</v>
      </c>
      <c r="DU418" s="27" t="s">
        <v>8</v>
      </c>
      <c r="DV418" s="27" t="s">
        <v>7</v>
      </c>
      <c r="DW418" s="27" t="s">
        <v>8</v>
      </c>
      <c r="DY418" s="27" t="s">
        <v>8</v>
      </c>
      <c r="DZ418" s="27" t="s">
        <v>7</v>
      </c>
      <c r="FH418" s="27" t="s">
        <v>7</v>
      </c>
      <c r="FI418" s="27" t="s">
        <v>8</v>
      </c>
      <c r="FP418" s="27" t="s">
        <v>7</v>
      </c>
      <c r="FY418" s="27" t="s">
        <v>8</v>
      </c>
      <c r="FZ418" s="27" t="s">
        <v>7</v>
      </c>
      <c r="GB418" s="27" t="s">
        <v>7</v>
      </c>
      <c r="GE418" s="27" t="s">
        <v>8</v>
      </c>
    </row>
    <row r="419" spans="1:188" x14ac:dyDescent="0.25">
      <c r="A419" s="7">
        <v>27.850234480856578</v>
      </c>
      <c r="B419"/>
      <c r="C419"/>
      <c r="D419"/>
      <c r="E419"/>
      <c r="DQ419" s="27" t="s">
        <v>8</v>
      </c>
      <c r="DT419" s="27" t="s">
        <v>7</v>
      </c>
      <c r="DU419" s="27" t="s">
        <v>8</v>
      </c>
      <c r="DV419" s="27" t="s">
        <v>7</v>
      </c>
      <c r="DW419" s="27" t="s">
        <v>8</v>
      </c>
      <c r="DX419" s="27" t="s">
        <v>7</v>
      </c>
      <c r="DY419" s="27" t="s">
        <v>8</v>
      </c>
      <c r="FH419" s="27" t="s">
        <v>7</v>
      </c>
      <c r="FI419" s="27" t="s">
        <v>8</v>
      </c>
      <c r="FP419" s="27" t="s">
        <v>7</v>
      </c>
      <c r="FW419" s="27" t="s">
        <v>8</v>
      </c>
      <c r="FY419" s="27" t="s">
        <v>8</v>
      </c>
      <c r="GB419" s="27" t="s">
        <v>7</v>
      </c>
      <c r="GE419" s="27" t="s">
        <v>8</v>
      </c>
    </row>
    <row r="420" spans="1:188" x14ac:dyDescent="0.25">
      <c r="A420" s="7">
        <v>27.304151451820175</v>
      </c>
      <c r="B420"/>
      <c r="C420"/>
      <c r="D420"/>
      <c r="E420"/>
      <c r="DQ420" s="27" t="s">
        <v>8</v>
      </c>
      <c r="DT420" s="27" t="s">
        <v>7</v>
      </c>
      <c r="DU420" s="27" t="s">
        <v>8</v>
      </c>
      <c r="DV420" s="27" t="s">
        <v>7</v>
      </c>
      <c r="DW420" s="27" t="s">
        <v>8</v>
      </c>
      <c r="DX420" s="27" t="s">
        <v>7</v>
      </c>
      <c r="DY420" s="27" t="s">
        <v>8</v>
      </c>
      <c r="FH420" s="27" t="s">
        <v>7</v>
      </c>
      <c r="FI420" s="27" t="s">
        <v>8</v>
      </c>
      <c r="FP420" s="27" t="s">
        <v>7</v>
      </c>
      <c r="FQ420" s="27" t="s">
        <v>8</v>
      </c>
      <c r="FS420" s="27" t="s">
        <v>8</v>
      </c>
      <c r="FU420" s="27" t="s">
        <v>8</v>
      </c>
      <c r="FW420" s="27" t="s">
        <v>8</v>
      </c>
      <c r="FX420" s="27" t="s">
        <v>7</v>
      </c>
      <c r="FY420" s="27" t="s">
        <v>8</v>
      </c>
      <c r="GB420" s="27" t="s">
        <v>7</v>
      </c>
      <c r="GE420" s="27" t="s">
        <v>8</v>
      </c>
    </row>
    <row r="421" spans="1:188" x14ac:dyDescent="0.25">
      <c r="A421" s="7">
        <v>26.768775933157034</v>
      </c>
      <c r="B421"/>
      <c r="C421"/>
      <c r="D421"/>
      <c r="E421"/>
      <c r="DQ421" s="27" t="s">
        <v>8</v>
      </c>
      <c r="DT421" s="27" t="s">
        <v>7</v>
      </c>
      <c r="DU421" s="27" t="s">
        <v>8</v>
      </c>
      <c r="DV421" s="27" t="s">
        <v>7</v>
      </c>
      <c r="DW421" s="27" t="s">
        <v>8</v>
      </c>
      <c r="DX421" s="27" t="s">
        <v>7</v>
      </c>
      <c r="DY421" s="27" t="s">
        <v>8</v>
      </c>
      <c r="FH421" s="27" t="s">
        <v>7</v>
      </c>
      <c r="FI421" s="27" t="s">
        <v>8</v>
      </c>
      <c r="FP421" s="27" t="s">
        <v>7</v>
      </c>
      <c r="FQ421" s="27" t="s">
        <v>8</v>
      </c>
      <c r="FR421" s="27" t="s">
        <v>7</v>
      </c>
      <c r="FS421" s="27" t="s">
        <v>8</v>
      </c>
      <c r="FT421" s="27" t="s">
        <v>7</v>
      </c>
      <c r="FU421" s="27" t="s">
        <v>8</v>
      </c>
      <c r="FV421" s="27" t="s">
        <v>7</v>
      </c>
      <c r="FW421" s="27" t="s">
        <v>8</v>
      </c>
      <c r="FX421" s="27" t="s">
        <v>7</v>
      </c>
      <c r="FY421" s="27" t="s">
        <v>8</v>
      </c>
      <c r="GB421" s="27" t="s">
        <v>7</v>
      </c>
      <c r="GC421" s="27" t="s">
        <v>8</v>
      </c>
      <c r="GE421" s="27" t="s">
        <v>8</v>
      </c>
    </row>
    <row r="422" spans="1:188" x14ac:dyDescent="0.25">
      <c r="A422" s="7">
        <v>26.243897973683367</v>
      </c>
      <c r="B422"/>
      <c r="C422"/>
      <c r="D422"/>
      <c r="E422"/>
      <c r="DQ422" s="27" t="s">
        <v>8</v>
      </c>
      <c r="DT422" s="27" t="s">
        <v>7</v>
      </c>
      <c r="DU422" s="27" t="s">
        <v>8</v>
      </c>
      <c r="DV422" s="27" t="s">
        <v>7</v>
      </c>
      <c r="DX422" s="27" t="s">
        <v>7</v>
      </c>
      <c r="DY422" s="27" t="s">
        <v>8</v>
      </c>
      <c r="FH422" s="27" t="s">
        <v>7</v>
      </c>
      <c r="FI422" s="27" t="s">
        <v>8</v>
      </c>
      <c r="FP422" s="27" t="s">
        <v>7</v>
      </c>
      <c r="FQ422" s="27" t="s">
        <v>8</v>
      </c>
      <c r="FR422" s="27" t="s">
        <v>7</v>
      </c>
      <c r="FS422" s="27" t="s">
        <v>8</v>
      </c>
      <c r="FT422" s="27" t="s">
        <v>7</v>
      </c>
      <c r="FU422" s="27" t="s">
        <v>8</v>
      </c>
      <c r="FV422" s="27" t="s">
        <v>7</v>
      </c>
      <c r="FW422" s="27" t="s">
        <v>8</v>
      </c>
      <c r="FX422" s="27" t="s">
        <v>7</v>
      </c>
      <c r="FY422" s="27" t="s">
        <v>8</v>
      </c>
      <c r="GB422" s="27" t="s">
        <v>7</v>
      </c>
      <c r="GC422" s="27" t="s">
        <v>8</v>
      </c>
      <c r="GD422" s="27" t="s">
        <v>7</v>
      </c>
      <c r="GE422" s="27" t="s">
        <v>8</v>
      </c>
    </row>
    <row r="423" spans="1:188" x14ac:dyDescent="0.25">
      <c r="A423" s="7">
        <v>25.729311738905263</v>
      </c>
      <c r="B423"/>
      <c r="C423"/>
      <c r="D423"/>
      <c r="E423"/>
      <c r="DQ423" s="27" t="s">
        <v>8</v>
      </c>
      <c r="DT423" s="27" t="s">
        <v>7</v>
      </c>
      <c r="DX423" s="27" t="s">
        <v>7</v>
      </c>
      <c r="DY423" s="27" t="s">
        <v>8</v>
      </c>
      <c r="FH423" s="27" t="s">
        <v>7</v>
      </c>
      <c r="FI423" s="27" t="s">
        <v>8</v>
      </c>
      <c r="FP423" s="27" t="s">
        <v>7</v>
      </c>
      <c r="FQ423" s="27" t="s">
        <v>8</v>
      </c>
      <c r="FR423" s="27" t="s">
        <v>7</v>
      </c>
      <c r="FS423" s="27" t="s">
        <v>8</v>
      </c>
      <c r="FT423" s="27" t="s">
        <v>7</v>
      </c>
      <c r="FV423" s="27" t="s">
        <v>7</v>
      </c>
      <c r="FX423" s="27" t="s">
        <v>7</v>
      </c>
      <c r="FY423" s="27" t="s">
        <v>8</v>
      </c>
      <c r="GB423" s="27" t="s">
        <v>7</v>
      </c>
      <c r="GC423" s="27" t="s">
        <v>8</v>
      </c>
      <c r="GD423" s="27" t="s">
        <v>7</v>
      </c>
      <c r="GE423" s="27" t="s">
        <v>8</v>
      </c>
    </row>
    <row r="424" spans="1:188" x14ac:dyDescent="0.25">
      <c r="A424" s="7">
        <v>25.224815430299277</v>
      </c>
      <c r="B424"/>
      <c r="C424"/>
      <c r="D424"/>
      <c r="E424"/>
      <c r="DQ424" s="27" t="s">
        <v>8</v>
      </c>
      <c r="DX424" s="27" t="s">
        <v>7</v>
      </c>
      <c r="DY424" s="27" t="s">
        <v>8</v>
      </c>
      <c r="FH424" s="27" t="s">
        <v>7</v>
      </c>
      <c r="FI424" s="27" t="s">
        <v>8</v>
      </c>
      <c r="FP424" s="27" t="s">
        <v>7</v>
      </c>
      <c r="FQ424" s="27" t="s">
        <v>8</v>
      </c>
      <c r="FR424" s="27" t="s">
        <v>7</v>
      </c>
      <c r="FS424" s="27" t="s">
        <v>8</v>
      </c>
      <c r="FX424" s="27" t="s">
        <v>7</v>
      </c>
      <c r="GB424" s="27" t="s">
        <v>7</v>
      </c>
      <c r="GC424" s="27" t="s">
        <v>8</v>
      </c>
      <c r="GD424" s="27" t="s">
        <v>7</v>
      </c>
      <c r="GE424" s="27" t="s">
        <v>8</v>
      </c>
    </row>
    <row r="425" spans="1:188" x14ac:dyDescent="0.25">
      <c r="A425" s="7">
        <v>24.73021120617576</v>
      </c>
      <c r="B425"/>
      <c r="C425"/>
      <c r="D425"/>
      <c r="E425"/>
      <c r="DQ425" s="27" t="s">
        <v>8</v>
      </c>
      <c r="DX425" s="27" t="s">
        <v>7</v>
      </c>
      <c r="FH425" s="27" t="s">
        <v>7</v>
      </c>
      <c r="FI425" s="27" t="s">
        <v>8</v>
      </c>
      <c r="FP425" s="27" t="s">
        <v>7</v>
      </c>
      <c r="FQ425" s="27" t="s">
        <v>8</v>
      </c>
      <c r="FR425" s="27" t="s">
        <v>7</v>
      </c>
      <c r="FS425" s="27" t="s">
        <v>8</v>
      </c>
      <c r="GB425" s="27" t="s">
        <v>7</v>
      </c>
      <c r="GC425" s="27" t="s">
        <v>8</v>
      </c>
      <c r="GD425" s="18" t="s">
        <v>7</v>
      </c>
      <c r="GE425" s="27" t="s">
        <v>8</v>
      </c>
    </row>
    <row r="426" spans="1:188" x14ac:dyDescent="0.25">
      <c r="A426" s="7">
        <v>24.24530510409388</v>
      </c>
      <c r="B426"/>
      <c r="C426"/>
      <c r="D426"/>
      <c r="E426"/>
      <c r="DQ426" s="27" t="s">
        <v>8</v>
      </c>
      <c r="FH426" s="27" t="s">
        <v>7</v>
      </c>
      <c r="FI426" s="27" t="s">
        <v>8</v>
      </c>
      <c r="FP426" s="27" t="s">
        <v>7</v>
      </c>
      <c r="FQ426" s="27" t="s">
        <v>8</v>
      </c>
      <c r="FR426" s="27" t="s">
        <v>7</v>
      </c>
      <c r="FS426" s="27" t="s">
        <v>8</v>
      </c>
      <c r="GB426" s="27" t="s">
        <v>7</v>
      </c>
      <c r="GC426" s="27" t="s">
        <v>8</v>
      </c>
      <c r="GD426" s="27" t="s">
        <v>7</v>
      </c>
      <c r="GE426" s="27" t="s">
        <v>8</v>
      </c>
    </row>
    <row r="427" spans="1:188" x14ac:dyDescent="0.25">
      <c r="A427" s="7">
        <v>23.769906964797922</v>
      </c>
      <c r="B427"/>
      <c r="C427"/>
      <c r="D427"/>
      <c r="E427"/>
      <c r="DQ427" s="27" t="s">
        <v>8</v>
      </c>
      <c r="FH427" s="27" t="s">
        <v>7</v>
      </c>
      <c r="FI427" s="27" t="s">
        <v>8</v>
      </c>
      <c r="FP427" s="27" t="s">
        <v>7</v>
      </c>
      <c r="FQ427" s="27" t="s">
        <v>8</v>
      </c>
      <c r="FR427" s="27" t="s">
        <v>7</v>
      </c>
      <c r="FS427" s="27" t="s">
        <v>8</v>
      </c>
      <c r="GB427" s="27" t="s">
        <v>7</v>
      </c>
      <c r="GD427" s="27" t="s">
        <v>7</v>
      </c>
    </row>
    <row r="428" spans="1:188" x14ac:dyDescent="0.25">
      <c r="A428" s="7">
        <v>23.303830357645023</v>
      </c>
      <c r="B428"/>
      <c r="C428"/>
      <c r="D428"/>
      <c r="E428"/>
      <c r="DQ428" s="27" t="s">
        <v>8</v>
      </c>
      <c r="FH428" s="27" t="s">
        <v>7</v>
      </c>
      <c r="FI428" s="27" t="s">
        <v>8</v>
      </c>
      <c r="FP428" s="27" t="s">
        <v>7</v>
      </c>
      <c r="FQ428" s="27" t="s">
        <v>8</v>
      </c>
      <c r="FR428" s="27" t="s">
        <v>7</v>
      </c>
      <c r="FS428" s="27" t="s">
        <v>8</v>
      </c>
    </row>
    <row r="429" spans="1:188" x14ac:dyDescent="0.25">
      <c r="A429" s="7">
        <v>22.84689250749512</v>
      </c>
      <c r="B429"/>
      <c r="C429"/>
      <c r="D429"/>
      <c r="E429"/>
      <c r="DK429" s="27" t="s">
        <v>8</v>
      </c>
      <c r="DQ429" s="27" t="s">
        <v>8</v>
      </c>
      <c r="FH429" s="27" t="s">
        <v>7</v>
      </c>
      <c r="FP429" s="27" t="s">
        <v>7</v>
      </c>
      <c r="FR429" s="27" t="s">
        <v>7</v>
      </c>
      <c r="FS429" s="27" t="s">
        <v>8</v>
      </c>
    </row>
    <row r="430" spans="1:188" x14ac:dyDescent="0.25">
      <c r="A430" s="7">
        <v>22.398914223034431</v>
      </c>
      <c r="B430"/>
      <c r="C430"/>
      <c r="D430"/>
      <c r="E430"/>
      <c r="DK430" s="27" t="s">
        <v>8</v>
      </c>
      <c r="DL430" s="27" t="s">
        <v>7</v>
      </c>
      <c r="DQ430" s="27" t="s">
        <v>8</v>
      </c>
      <c r="FR430" s="27" t="s">
        <v>7</v>
      </c>
      <c r="FS430" s="27" t="s">
        <v>8</v>
      </c>
    </row>
    <row r="431" spans="1:188" x14ac:dyDescent="0.25">
      <c r="A431" s="7">
        <v>21.959719826504344</v>
      </c>
      <c r="B431"/>
      <c r="C431"/>
      <c r="D431"/>
      <c r="E431"/>
      <c r="DK431" s="27" t="s">
        <v>8</v>
      </c>
      <c r="DL431" s="27" t="s">
        <v>7</v>
      </c>
      <c r="DQ431" s="27" t="s">
        <v>8</v>
      </c>
      <c r="FR431" s="27" t="s">
        <v>7</v>
      </c>
    </row>
    <row r="432" spans="1:188" x14ac:dyDescent="0.25">
      <c r="A432" s="7">
        <v>21.52913708480818</v>
      </c>
      <c r="B432"/>
      <c r="C432"/>
      <c r="D432"/>
      <c r="E432"/>
      <c r="DK432" s="27" t="s">
        <v>8</v>
      </c>
      <c r="DL432" s="27" t="s">
        <v>7</v>
      </c>
      <c r="DQ432" s="27" t="s">
        <v>8</v>
      </c>
    </row>
    <row r="433" spans="1:121" x14ac:dyDescent="0.25">
      <c r="A433" s="7">
        <v>21.106997141968804</v>
      </c>
      <c r="B433"/>
      <c r="C433"/>
      <c r="D433"/>
      <c r="E433"/>
      <c r="DK433" s="27" t="s">
        <v>8</v>
      </c>
      <c r="DL433" s="27" t="s">
        <v>7</v>
      </c>
      <c r="DM433" s="27" t="s">
        <v>8</v>
      </c>
      <c r="DO433" s="27" t="s">
        <v>8</v>
      </c>
      <c r="DQ433" s="27" t="s">
        <v>8</v>
      </c>
    </row>
    <row r="434" spans="1:121" x14ac:dyDescent="0.25">
      <c r="A434" s="7">
        <v>20.693134452910591</v>
      </c>
      <c r="B434"/>
      <c r="C434"/>
      <c r="D434"/>
      <c r="E434"/>
      <c r="DK434" s="27" t="s">
        <v>8</v>
      </c>
      <c r="DL434" s="27" t="s">
        <v>7</v>
      </c>
      <c r="DM434" s="27" t="s">
        <v>8</v>
      </c>
      <c r="DN434" s="27" t="s">
        <v>7</v>
      </c>
      <c r="DO434" s="27" t="s">
        <v>8</v>
      </c>
      <c r="DP434" s="27" t="s">
        <v>7</v>
      </c>
      <c r="DQ434" s="27" t="s">
        <v>8</v>
      </c>
    </row>
    <row r="435" spans="1:121" x14ac:dyDescent="0.25">
      <c r="A435" s="7">
        <v>20.287386718539796</v>
      </c>
      <c r="B435"/>
      <c r="C435"/>
      <c r="D435"/>
      <c r="E435"/>
      <c r="DK435" s="27" t="s">
        <v>8</v>
      </c>
      <c r="DL435" s="27" t="s">
        <v>7</v>
      </c>
      <c r="DM435" s="27" t="s">
        <v>8</v>
      </c>
      <c r="DN435" s="27" t="s">
        <v>7</v>
      </c>
      <c r="DO435" s="27" t="s">
        <v>8</v>
      </c>
      <c r="DP435" s="27" t="s">
        <v>7</v>
      </c>
      <c r="DQ435" s="27" t="s">
        <v>8</v>
      </c>
    </row>
    <row r="436" spans="1:121" x14ac:dyDescent="0.25">
      <c r="A436" s="7">
        <v>19.889594822097838</v>
      </c>
      <c r="B436"/>
      <c r="C436"/>
      <c r="D436"/>
      <c r="E436"/>
      <c r="DK436" s="27" t="s">
        <v>8</v>
      </c>
      <c r="DL436" s="27" t="s">
        <v>7</v>
      </c>
      <c r="DN436" s="27" t="s">
        <v>7</v>
      </c>
      <c r="DO436" s="27" t="s">
        <v>8</v>
      </c>
      <c r="DP436" s="27" t="s">
        <v>7</v>
      </c>
      <c r="DQ436" s="27" t="s">
        <v>8</v>
      </c>
    </row>
    <row r="437" spans="1:121" x14ac:dyDescent="0.25">
      <c r="A437" s="7">
        <v>19.499602766762585</v>
      </c>
      <c r="B437"/>
      <c r="C437"/>
      <c r="D437"/>
      <c r="E437"/>
      <c r="DK437" s="27" t="s">
        <v>8</v>
      </c>
      <c r="DN437" s="27" t="s">
        <v>7</v>
      </c>
      <c r="DP437" s="27" t="s">
        <v>7</v>
      </c>
      <c r="DQ437" s="27" t="s">
        <v>8</v>
      </c>
    </row>
    <row r="438" spans="1:121" x14ac:dyDescent="0.25">
      <c r="A438" s="7">
        <v>19.117257614473122</v>
      </c>
      <c r="B438"/>
      <c r="C438"/>
      <c r="D438"/>
      <c r="E438"/>
      <c r="DK438" s="27" t="s">
        <v>8</v>
      </c>
      <c r="DP438" s="27" t="s">
        <v>7</v>
      </c>
      <c r="DQ438" s="27" t="s">
        <v>8</v>
      </c>
    </row>
    <row r="439" spans="1:121" x14ac:dyDescent="0.25">
      <c r="A439" s="7">
        <v>18.74240942595404</v>
      </c>
      <c r="B439"/>
      <c r="C439"/>
      <c r="D439"/>
      <c r="E439"/>
      <c r="DK439" s="27" t="s">
        <v>8</v>
      </c>
      <c r="DP439" s="27" t="s">
        <v>7</v>
      </c>
      <c r="DQ439" s="27" t="s">
        <v>8</v>
      </c>
    </row>
    <row r="440" spans="1:121" x14ac:dyDescent="0.25">
      <c r="A440" s="7">
        <v>18.374911201915726</v>
      </c>
      <c r="B440"/>
      <c r="C440"/>
      <c r="D440"/>
      <c r="E440"/>
      <c r="DK440" s="27" t="s">
        <v>8</v>
      </c>
      <c r="DP440" s="27" t="s">
        <v>7</v>
      </c>
    </row>
    <row r="441" spans="1:121" x14ac:dyDescent="0.25">
      <c r="A441" s="7">
        <v>18.014618825407574</v>
      </c>
      <c r="B441"/>
      <c r="C441"/>
      <c r="D441"/>
      <c r="E441"/>
      <c r="DK441" s="27" t="s">
        <v>8</v>
      </c>
    </row>
    <row r="442" spans="1:121" x14ac:dyDescent="0.25">
      <c r="A442" s="7">
        <v>17.661391005301542</v>
      </c>
      <c r="B442"/>
      <c r="C442"/>
      <c r="D442"/>
      <c r="E442"/>
      <c r="DK442" s="27" t="s">
        <v>8</v>
      </c>
    </row>
    <row r="443" spans="1:121" x14ac:dyDescent="0.25">
      <c r="A443" s="7">
        <v>17.315089220883866</v>
      </c>
      <c r="B443"/>
      <c r="C443"/>
      <c r="D443"/>
      <c r="E443"/>
      <c r="DK443" s="27" t="s">
        <v>8</v>
      </c>
    </row>
    <row r="444" spans="1:121" x14ac:dyDescent="0.25">
      <c r="A444" s="7">
        <v>16.975577667533202</v>
      </c>
      <c r="B444"/>
      <c r="C444"/>
      <c r="D444"/>
      <c r="E444"/>
      <c r="DK444" s="27" t="s">
        <v>8</v>
      </c>
    </row>
    <row r="445" spans="1:121" x14ac:dyDescent="0.25">
      <c r="A445" s="7">
        <v>16.642723203463923</v>
      </c>
      <c r="B445"/>
      <c r="C445"/>
      <c r="D445"/>
      <c r="E445"/>
      <c r="DK445" s="27" t="s">
        <v>8</v>
      </c>
    </row>
    <row r="446" spans="1:121" x14ac:dyDescent="0.25">
      <c r="A446" s="7">
        <v>16.316395297513651</v>
      </c>
      <c r="B446"/>
      <c r="C446"/>
      <c r="D446"/>
      <c r="E446"/>
      <c r="DK446" s="27" t="s">
        <v>8</v>
      </c>
    </row>
    <row r="447" spans="1:121" x14ac:dyDescent="0.25">
      <c r="A447" s="7">
        <v>15.996465977954561</v>
      </c>
      <c r="B447"/>
      <c r="C447"/>
      <c r="D447"/>
      <c r="E447"/>
      <c r="DK447" s="27" t="s">
        <v>8</v>
      </c>
    </row>
    <row r="448" spans="1:121" x14ac:dyDescent="0.25">
      <c r="A448" s="7">
        <v>15.682809782308393</v>
      </c>
      <c r="B448"/>
      <c r="C448"/>
      <c r="D448"/>
      <c r="E448"/>
      <c r="DK448" s="27" t="s">
        <v>8</v>
      </c>
    </row>
    <row r="449" spans="1:115" x14ac:dyDescent="0.25">
      <c r="A449" s="7">
        <v>15.375303708145482</v>
      </c>
      <c r="B449"/>
      <c r="C449"/>
      <c r="D449"/>
      <c r="E449"/>
      <c r="DI449" s="27" t="s">
        <v>8</v>
      </c>
      <c r="DK449" s="27" t="s">
        <v>8</v>
      </c>
    </row>
    <row r="450" spans="1:115" x14ac:dyDescent="0.25">
      <c r="A450" s="7">
        <v>15.073827164848511</v>
      </c>
      <c r="B450"/>
      <c r="C450"/>
      <c r="D450"/>
      <c r="E450"/>
      <c r="DI450" s="27" t="s">
        <v>8</v>
      </c>
      <c r="DJ450" s="27" t="s">
        <v>7</v>
      </c>
      <c r="DK450" s="27" t="s">
        <v>8</v>
      </c>
    </row>
    <row r="451" spans="1:115" x14ac:dyDescent="0.25">
      <c r="A451" s="7">
        <v>14.77826192632207</v>
      </c>
      <c r="B451"/>
      <c r="C451"/>
      <c r="D451"/>
      <c r="E451"/>
      <c r="DI451" s="27" t="s">
        <v>8</v>
      </c>
      <c r="DJ451" s="27" t="s">
        <v>7</v>
      </c>
      <c r="DK451" s="27" t="s">
        <v>8</v>
      </c>
    </row>
    <row r="452" spans="1:115" x14ac:dyDescent="0.25">
      <c r="A452" s="7">
        <v>14.488492084629481</v>
      </c>
      <c r="B452"/>
      <c r="C452"/>
      <c r="D452"/>
      <c r="E452"/>
      <c r="DI452" s="27" t="s">
        <v>8</v>
      </c>
      <c r="DJ452" s="27" t="s">
        <v>7</v>
      </c>
      <c r="DK452" s="27" t="s">
        <v>8</v>
      </c>
    </row>
    <row r="453" spans="1:115" x14ac:dyDescent="0.25">
      <c r="A453" s="7">
        <v>14.204404004538707</v>
      </c>
      <c r="B453"/>
      <c r="C453"/>
      <c r="D453"/>
      <c r="E453"/>
      <c r="DI453" s="27" t="s">
        <v>8</v>
      </c>
      <c r="DJ453" s="27" t="s">
        <v>7</v>
      </c>
      <c r="DK453" s="27" t="s">
        <v>8</v>
      </c>
    </row>
    <row r="454" spans="1:115" x14ac:dyDescent="0.25">
      <c r="A454" s="7">
        <v>13.925886278959517</v>
      </c>
      <c r="B454"/>
      <c r="C454"/>
      <c r="D454"/>
      <c r="E454"/>
      <c r="DI454" s="27" t="s">
        <v>8</v>
      </c>
      <c r="DJ454" s="27" t="s">
        <v>7</v>
      </c>
      <c r="DK454" s="27" t="s">
        <v>8</v>
      </c>
    </row>
    <row r="455" spans="1:115" x14ac:dyDescent="0.25">
      <c r="A455" s="7">
        <v>13.652829685254428</v>
      </c>
      <c r="B455"/>
      <c r="C455"/>
      <c r="D455"/>
      <c r="E455"/>
      <c r="DI455" s="27" t="s">
        <v>8</v>
      </c>
      <c r="DJ455" s="27" t="s">
        <v>7</v>
      </c>
      <c r="DK455" s="27" t="s">
        <v>8</v>
      </c>
    </row>
    <row r="456" spans="1:115" x14ac:dyDescent="0.25">
      <c r="A456" s="7">
        <v>13.385127142406303</v>
      </c>
      <c r="B456"/>
      <c r="C456"/>
      <c r="D456"/>
      <c r="E456"/>
      <c r="DI456" s="27" t="s">
        <v>8</v>
      </c>
      <c r="DJ456" s="27" t="s">
        <v>7</v>
      </c>
    </row>
    <row r="457" spans="1:115" x14ac:dyDescent="0.25">
      <c r="A457" s="7">
        <v>13.122673669025787</v>
      </c>
      <c r="B457"/>
      <c r="C457"/>
      <c r="D457"/>
      <c r="E457"/>
      <c r="DI457" s="27" t="s">
        <v>8</v>
      </c>
    </row>
    <row r="458" spans="1:115" x14ac:dyDescent="0.25">
      <c r="A458" s="7">
        <v>12.865366342182144</v>
      </c>
      <c r="B458"/>
      <c r="C458"/>
      <c r="D458"/>
      <c r="E458"/>
      <c r="DG458" s="27" t="s">
        <v>8</v>
      </c>
      <c r="DI458" s="27" t="s">
        <v>8</v>
      </c>
    </row>
    <row r="459" spans="1:115" x14ac:dyDescent="0.25">
      <c r="A459" s="7">
        <v>12.613104257041318</v>
      </c>
      <c r="B459"/>
      <c r="C459"/>
      <c r="D459"/>
      <c r="E459"/>
      <c r="DG459" s="27" t="s">
        <v>8</v>
      </c>
      <c r="DH459" s="27" t="s">
        <v>7</v>
      </c>
      <c r="DI459" s="27" t="s">
        <v>8</v>
      </c>
    </row>
    <row r="460" spans="1:115" x14ac:dyDescent="0.25">
      <c r="A460" s="7">
        <v>12.36578848729541</v>
      </c>
      <c r="B460"/>
      <c r="C460"/>
      <c r="D460"/>
      <c r="E460"/>
      <c r="DG460" s="27" t="s">
        <v>8</v>
      </c>
      <c r="DH460" s="27" t="s">
        <v>7</v>
      </c>
      <c r="DI460" s="27" t="s">
        <v>8</v>
      </c>
    </row>
    <row r="461" spans="1:115" x14ac:dyDescent="0.25">
      <c r="A461" s="7">
        <v>12.123322046368049</v>
      </c>
      <c r="B461"/>
      <c r="C461"/>
      <c r="D461"/>
      <c r="E461"/>
      <c r="DG461" s="27" t="s">
        <v>8</v>
      </c>
      <c r="DH461" s="27" t="s">
        <v>7</v>
      </c>
      <c r="DI461" s="27" t="s">
        <v>8</v>
      </c>
    </row>
    <row r="462" spans="1:115" x14ac:dyDescent="0.25">
      <c r="A462" s="7">
        <v>11.88560984938044</v>
      </c>
      <c r="B462"/>
      <c r="C462"/>
      <c r="D462"/>
      <c r="E462"/>
      <c r="DG462" s="27" t="s">
        <v>8</v>
      </c>
      <c r="DH462" s="27" t="s">
        <v>7</v>
      </c>
      <c r="DI462" s="27" t="s">
        <v>8</v>
      </c>
    </row>
    <row r="463" spans="1:115" x14ac:dyDescent="0.25">
      <c r="A463" s="7">
        <v>11.652558675863176</v>
      </c>
      <c r="B463"/>
      <c r="C463"/>
      <c r="D463"/>
      <c r="E463"/>
      <c r="DG463" s="27" t="s">
        <v>8</v>
      </c>
      <c r="DH463" s="27" t="s">
        <v>7</v>
      </c>
      <c r="DI463" s="27" t="s">
        <v>8</v>
      </c>
    </row>
    <row r="464" spans="1:115" x14ac:dyDescent="0.25">
      <c r="A464" s="7">
        <v>11.424077133199193</v>
      </c>
      <c r="B464"/>
      <c r="C464"/>
      <c r="D464"/>
      <c r="E464"/>
      <c r="DG464" s="27" t="s">
        <v>8</v>
      </c>
      <c r="DH464" s="27" t="s">
        <v>7</v>
      </c>
      <c r="DI464" s="27" t="s">
        <v>8</v>
      </c>
    </row>
    <row r="465" spans="1:113" x14ac:dyDescent="0.25">
      <c r="A465" s="7">
        <v>11.200075620783522</v>
      </c>
      <c r="B465"/>
      <c r="C465"/>
      <c r="D465"/>
      <c r="E465"/>
      <c r="DC465" s="27" t="s">
        <v>8</v>
      </c>
      <c r="DG465" s="27" t="s">
        <v>8</v>
      </c>
      <c r="DH465" s="27" t="s">
        <v>7</v>
      </c>
      <c r="DI465" s="27" t="s">
        <v>8</v>
      </c>
    </row>
    <row r="466" spans="1:113" x14ac:dyDescent="0.25">
      <c r="A466" s="7">
        <v>10.980466294885806</v>
      </c>
      <c r="B466"/>
      <c r="C466"/>
      <c r="D466"/>
      <c r="E466"/>
      <c r="DC466" s="27" t="s">
        <v>8</v>
      </c>
      <c r="DD466" s="27" t="s">
        <v>7</v>
      </c>
      <c r="DG466" s="27" t="s">
        <v>8</v>
      </c>
      <c r="DH466" s="27" t="s">
        <v>7</v>
      </c>
    </row>
    <row r="467" spans="1:113" x14ac:dyDescent="0.25">
      <c r="A467" s="7">
        <v>10.765163034201771</v>
      </c>
      <c r="B467"/>
      <c r="C467"/>
      <c r="D467"/>
      <c r="E467"/>
      <c r="CU467" s="27" t="s">
        <v>8</v>
      </c>
      <c r="DC467" s="27" t="s">
        <v>8</v>
      </c>
      <c r="DD467" s="27" t="s">
        <v>7</v>
      </c>
      <c r="DG467" s="27" t="s">
        <v>8</v>
      </c>
    </row>
    <row r="468" spans="1:113" x14ac:dyDescent="0.25">
      <c r="A468" s="7">
        <v>10.554081406080169</v>
      </c>
      <c r="B468"/>
      <c r="C468"/>
      <c r="D468"/>
      <c r="E468"/>
      <c r="CU468" s="27" t="s">
        <v>8</v>
      </c>
      <c r="CV468" s="27" t="s">
        <v>7</v>
      </c>
      <c r="DC468" s="27" t="s">
        <v>8</v>
      </c>
      <c r="DD468" s="27" t="s">
        <v>7</v>
      </c>
      <c r="DE468" s="27" t="s">
        <v>8</v>
      </c>
      <c r="DG468" s="27" t="s">
        <v>8</v>
      </c>
    </row>
    <row r="469" spans="1:113" x14ac:dyDescent="0.25">
      <c r="A469" s="7">
        <v>10.34713863341193</v>
      </c>
      <c r="B469"/>
      <c r="C469"/>
      <c r="D469"/>
      <c r="E469"/>
      <c r="CU469" s="27" t="s">
        <v>8</v>
      </c>
      <c r="CV469" s="27" t="s">
        <v>7</v>
      </c>
      <c r="DC469" s="27" t="s">
        <v>8</v>
      </c>
      <c r="DD469" s="27" t="s">
        <v>7</v>
      </c>
      <c r="DE469" s="27" t="s">
        <v>8</v>
      </c>
      <c r="DF469" s="27" t="s">
        <v>7</v>
      </c>
      <c r="DG469" s="27" t="s">
        <v>8</v>
      </c>
    </row>
    <row r="470" spans="1:113" x14ac:dyDescent="0.25">
      <c r="A470" s="7">
        <v>10.14425356216856</v>
      </c>
      <c r="B470"/>
      <c r="C470"/>
      <c r="D470"/>
      <c r="E470"/>
      <c r="CU470" s="27" t="s">
        <v>8</v>
      </c>
      <c r="CV470" s="27" t="s">
        <v>7</v>
      </c>
      <c r="DC470" s="27" t="s">
        <v>8</v>
      </c>
      <c r="DD470" s="27" t="s">
        <v>7</v>
      </c>
      <c r="DE470" s="27" t="s">
        <v>8</v>
      </c>
      <c r="DF470" s="27" t="s">
        <v>7</v>
      </c>
      <c r="DG470" s="27" t="s">
        <v>8</v>
      </c>
    </row>
    <row r="471" spans="1:113" x14ac:dyDescent="0.25">
      <c r="A471" s="7">
        <v>9.9453466295770188</v>
      </c>
      <c r="B471"/>
      <c r="C471"/>
      <c r="D471"/>
      <c r="E471"/>
      <c r="CU471" s="27" t="s">
        <v>8</v>
      </c>
      <c r="CV471" s="27" t="s">
        <v>7</v>
      </c>
      <c r="CW471" s="27" t="s">
        <v>8</v>
      </c>
      <c r="CY471" s="27" t="s">
        <v>8</v>
      </c>
      <c r="DC471" s="27" t="s">
        <v>8</v>
      </c>
      <c r="DD471" s="27" t="s">
        <v>7</v>
      </c>
      <c r="DE471" s="27" t="s">
        <v>8</v>
      </c>
      <c r="DF471" s="27" t="s">
        <v>7</v>
      </c>
      <c r="DG471" s="27" t="s">
        <v>8</v>
      </c>
    </row>
    <row r="472" spans="1:113" x14ac:dyDescent="0.25">
      <c r="A472" s="7">
        <v>9.7503398329186464</v>
      </c>
      <c r="B472"/>
      <c r="C472"/>
      <c r="D472"/>
      <c r="E472"/>
      <c r="CU472" s="27" t="s">
        <v>8</v>
      </c>
      <c r="CV472" s="27" t="s">
        <v>7</v>
      </c>
      <c r="CW472" s="27" t="s">
        <v>8</v>
      </c>
      <c r="CX472" s="27" t="s">
        <v>7</v>
      </c>
      <c r="CY472" s="27" t="s">
        <v>8</v>
      </c>
      <c r="CZ472" s="27" t="s">
        <v>7</v>
      </c>
      <c r="DA472" s="27" t="s">
        <v>8</v>
      </c>
      <c r="DC472" s="27" t="s">
        <v>8</v>
      </c>
      <c r="DD472" s="27" t="s">
        <v>7</v>
      </c>
      <c r="DE472" s="27" t="s">
        <v>8</v>
      </c>
      <c r="DF472" s="27" t="s">
        <v>7</v>
      </c>
      <c r="DG472" s="27" t="s">
        <v>8</v>
      </c>
    </row>
    <row r="473" spans="1:113" x14ac:dyDescent="0.25">
      <c r="A473" s="7">
        <v>9.5591566989398498</v>
      </c>
      <c r="B473"/>
      <c r="C473"/>
      <c r="D473"/>
      <c r="E473"/>
      <c r="CU473" s="27" t="s">
        <v>8</v>
      </c>
      <c r="CV473" s="27" t="s">
        <v>7</v>
      </c>
      <c r="CW473" s="27" t="s">
        <v>8</v>
      </c>
      <c r="CX473" s="27" t="s">
        <v>7</v>
      </c>
      <c r="CY473" s="27" t="s">
        <v>8</v>
      </c>
      <c r="CZ473" s="27" t="s">
        <v>7</v>
      </c>
      <c r="DA473" s="27" t="s">
        <v>8</v>
      </c>
      <c r="DB473" s="27" t="s">
        <v>7</v>
      </c>
      <c r="DC473" s="27" t="s">
        <v>8</v>
      </c>
      <c r="DD473" s="27" t="s">
        <v>7</v>
      </c>
      <c r="DE473" s="27" t="s">
        <v>8</v>
      </c>
      <c r="DF473" s="27" t="s">
        <v>7</v>
      </c>
      <c r="DG473" s="27" t="s">
        <v>8</v>
      </c>
    </row>
    <row r="474" spans="1:113" x14ac:dyDescent="0.25">
      <c r="A474" s="7">
        <v>9.3717222538625968</v>
      </c>
      <c r="B474"/>
      <c r="C474"/>
      <c r="D474"/>
      <c r="E474"/>
      <c r="CU474" s="27" t="s">
        <v>8</v>
      </c>
      <c r="CV474" s="27" t="s">
        <v>7</v>
      </c>
      <c r="CW474" s="27" t="s">
        <v>8</v>
      </c>
      <c r="CX474" s="27" t="s">
        <v>7</v>
      </c>
      <c r="CY474" s="27" t="s">
        <v>8</v>
      </c>
      <c r="CZ474" s="27" t="s">
        <v>7</v>
      </c>
      <c r="DA474" s="27" t="s">
        <v>8</v>
      </c>
      <c r="DB474" s="27" t="s">
        <v>7</v>
      </c>
      <c r="DC474" s="27" t="s">
        <v>8</v>
      </c>
      <c r="DD474" s="27" t="s">
        <v>7</v>
      </c>
      <c r="DE474" s="27" t="s">
        <v>8</v>
      </c>
      <c r="DF474" s="27" t="s">
        <v>7</v>
      </c>
      <c r="DG474" s="27" t="s">
        <v>8</v>
      </c>
    </row>
    <row r="475" spans="1:113" x14ac:dyDescent="0.25">
      <c r="A475" s="7">
        <v>9.1879629939829375</v>
      </c>
      <c r="B475"/>
      <c r="C475"/>
      <c r="D475"/>
      <c r="E475"/>
      <c r="CU475" s="27" t="s">
        <v>8</v>
      </c>
      <c r="CV475" s="27" t="s">
        <v>7</v>
      </c>
      <c r="CW475" s="27" t="s">
        <v>8</v>
      </c>
      <c r="CX475" s="27" t="s">
        <v>7</v>
      </c>
      <c r="CY475" s="27" t="s">
        <v>8</v>
      </c>
      <c r="CZ475" s="27" t="s">
        <v>7</v>
      </c>
      <c r="DA475" s="27" t="s">
        <v>8</v>
      </c>
      <c r="DB475" s="27" t="s">
        <v>7</v>
      </c>
      <c r="DC475" s="27" t="s">
        <v>8</v>
      </c>
      <c r="DD475" s="27" t="s">
        <v>7</v>
      </c>
      <c r="DE475" s="27" t="s">
        <v>8</v>
      </c>
      <c r="DF475" s="27" t="s">
        <v>7</v>
      </c>
    </row>
    <row r="476" spans="1:113" x14ac:dyDescent="0.25">
      <c r="A476" s="7">
        <v>9.0078068568460168</v>
      </c>
      <c r="B476"/>
      <c r="C476"/>
      <c r="D476"/>
      <c r="E476"/>
      <c r="CU476" s="27" t="s">
        <v>8</v>
      </c>
      <c r="CV476" s="27" t="s">
        <v>7</v>
      </c>
      <c r="CW476" s="27" t="s">
        <v>8</v>
      </c>
      <c r="CX476" s="27" t="s">
        <v>7</v>
      </c>
      <c r="CY476" s="27" t="s">
        <v>8</v>
      </c>
      <c r="CZ476" s="27" t="s">
        <v>7</v>
      </c>
      <c r="DA476" s="27" t="s">
        <v>8</v>
      </c>
      <c r="DB476" s="27" t="s">
        <v>7</v>
      </c>
      <c r="DC476" s="27" t="s">
        <v>8</v>
      </c>
      <c r="DD476" s="27" t="s">
        <v>7</v>
      </c>
      <c r="DE476" s="27" t="s">
        <v>8</v>
      </c>
    </row>
    <row r="477" spans="1:113" x14ac:dyDescent="0.25">
      <c r="A477" s="7">
        <v>8.8311831929862912</v>
      </c>
      <c r="B477"/>
      <c r="C477"/>
      <c r="D477"/>
      <c r="E477"/>
      <c r="CU477" s="27" t="s">
        <v>8</v>
      </c>
      <c r="CV477" s="27" t="s">
        <v>7</v>
      </c>
      <c r="CW477" s="27" t="s">
        <v>8</v>
      </c>
      <c r="CX477" s="27" t="s">
        <v>7</v>
      </c>
      <c r="CY477" s="27" t="s">
        <v>8</v>
      </c>
      <c r="CZ477" s="27" t="s">
        <v>7</v>
      </c>
      <c r="DA477" s="27" t="s">
        <v>8</v>
      </c>
      <c r="DB477" s="27" t="s">
        <v>7</v>
      </c>
      <c r="DC477" s="27" t="s">
        <v>8</v>
      </c>
      <c r="DD477" s="27" t="s">
        <v>7</v>
      </c>
      <c r="DE477" s="27" t="s">
        <v>8</v>
      </c>
    </row>
    <row r="478" spans="1:113" x14ac:dyDescent="0.25">
      <c r="A478" s="7">
        <v>8.6580227382218542</v>
      </c>
      <c r="B478"/>
      <c r="C478"/>
      <c r="D478"/>
      <c r="E478"/>
      <c r="CU478" s="27" t="s">
        <v>8</v>
      </c>
      <c r="CV478" s="27" t="s">
        <v>7</v>
      </c>
      <c r="CW478" s="27" t="s">
        <v>8</v>
      </c>
      <c r="CX478" s="27" t="s">
        <v>7</v>
      </c>
      <c r="CY478" s="27" t="s">
        <v>8</v>
      </c>
      <c r="CZ478" s="27" t="s">
        <v>7</v>
      </c>
      <c r="DA478" s="27" t="s">
        <v>8</v>
      </c>
      <c r="DB478" s="27" t="s">
        <v>7</v>
      </c>
      <c r="DD478" s="27" t="s">
        <v>7</v>
      </c>
      <c r="DE478" s="27" t="s">
        <v>8</v>
      </c>
    </row>
    <row r="479" spans="1:113" x14ac:dyDescent="0.25">
      <c r="A479" s="7">
        <v>8.4882575864920131</v>
      </c>
      <c r="B479"/>
      <c r="C479"/>
      <c r="D479"/>
      <c r="E479"/>
      <c r="CU479" s="27" t="s">
        <v>8</v>
      </c>
      <c r="CV479" s="27" t="s">
        <v>7</v>
      </c>
      <c r="CW479" s="27" t="s">
        <v>8</v>
      </c>
      <c r="CX479" s="27" t="s">
        <v>7</v>
      </c>
      <c r="CY479" s="27" t="s">
        <v>8</v>
      </c>
      <c r="CZ479" s="27" t="s">
        <v>7</v>
      </c>
      <c r="DA479" s="27" t="s">
        <v>8</v>
      </c>
      <c r="DD479" s="27" t="s">
        <v>7</v>
      </c>
      <c r="DE479" s="27" t="s">
        <v>8</v>
      </c>
    </row>
    <row r="480" spans="1:113" x14ac:dyDescent="0.25">
      <c r="A480" s="7">
        <v>8.3218211632274635</v>
      </c>
      <c r="B480"/>
      <c r="C480"/>
      <c r="D480"/>
      <c r="E480"/>
      <c r="CU480" s="27" t="s">
        <v>8</v>
      </c>
      <c r="CV480" s="27" t="s">
        <v>7</v>
      </c>
      <c r="CW480" s="27" t="s">
        <v>8</v>
      </c>
      <c r="CX480" s="27" t="s">
        <v>7</v>
      </c>
      <c r="CY480" s="27" t="s">
        <v>8</v>
      </c>
      <c r="CZ480" s="27" t="s">
        <v>7</v>
      </c>
      <c r="DA480" s="27" t="s">
        <v>8</v>
      </c>
      <c r="DD480" s="27" t="s">
        <v>7</v>
      </c>
    </row>
    <row r="481" spans="1:105" x14ac:dyDescent="0.25">
      <c r="A481" s="7">
        <v>8.1586481992426112</v>
      </c>
      <c r="B481"/>
      <c r="C481"/>
      <c r="D481"/>
      <c r="E481"/>
      <c r="CU481" s="27" t="s">
        <v>8</v>
      </c>
      <c r="CV481" s="27" t="s">
        <v>7</v>
      </c>
      <c r="CW481" s="27" t="s">
        <v>8</v>
      </c>
      <c r="CX481" s="27" t="s">
        <v>7</v>
      </c>
      <c r="CZ481" s="27" t="s">
        <v>7</v>
      </c>
      <c r="DA481" s="27" t="s">
        <v>8</v>
      </c>
    </row>
    <row r="482" spans="1:105" x14ac:dyDescent="0.25">
      <c r="A482" s="7">
        <v>7.9986747051398144</v>
      </c>
      <c r="B482"/>
      <c r="C482"/>
      <c r="D482"/>
      <c r="E482"/>
      <c r="CU482" s="27" t="s">
        <v>8</v>
      </c>
      <c r="CV482" s="27" t="s">
        <v>7</v>
      </c>
      <c r="CW482" s="27" t="s">
        <v>8</v>
      </c>
      <c r="CZ482" s="27" t="s">
        <v>7</v>
      </c>
      <c r="DA482" s="27" t="s">
        <v>8</v>
      </c>
    </row>
    <row r="483" spans="1:105" x14ac:dyDescent="0.25">
      <c r="A483" s="7">
        <v>7.8418379462155041</v>
      </c>
      <c r="B483"/>
      <c r="C483"/>
      <c r="D483"/>
      <c r="E483"/>
      <c r="CU483" s="27" t="s">
        <v>8</v>
      </c>
      <c r="CV483" s="27" t="s">
        <v>7</v>
      </c>
      <c r="CW483" s="27" t="s">
        <v>8</v>
      </c>
      <c r="CZ483" s="27" t="s">
        <v>7</v>
      </c>
      <c r="DA483" s="27" t="s">
        <v>8</v>
      </c>
    </row>
    <row r="484" spans="1:105" x14ac:dyDescent="0.25">
      <c r="A484" s="7">
        <v>7.688076417858337</v>
      </c>
      <c r="B484"/>
      <c r="C484"/>
      <c r="D484"/>
      <c r="E484"/>
      <c r="CU484" s="27" t="s">
        <v>8</v>
      </c>
      <c r="CV484" s="27" t="s">
        <v>7</v>
      </c>
      <c r="CW484" s="27" t="s">
        <v>8</v>
      </c>
      <c r="CZ484" s="27" t="s">
        <v>7</v>
      </c>
      <c r="DA484" s="27" t="s">
        <v>8</v>
      </c>
    </row>
    <row r="485" spans="1:105" x14ac:dyDescent="0.25">
      <c r="A485" s="7">
        <v>7.5373298214297417</v>
      </c>
      <c r="B485"/>
      <c r="C485"/>
      <c r="D485"/>
      <c r="E485"/>
      <c r="CU485" s="27" t="s">
        <v>8</v>
      </c>
      <c r="CV485" s="27" t="s">
        <v>7</v>
      </c>
      <c r="CW485" s="27" t="s">
        <v>8</v>
      </c>
      <c r="CZ485" s="27" t="s">
        <v>7</v>
      </c>
      <c r="DA485" s="27" t="s">
        <v>8</v>
      </c>
    </row>
    <row r="486" spans="1:105" x14ac:dyDescent="0.25">
      <c r="A486" s="7">
        <v>7.389539040617394</v>
      </c>
      <c r="B486"/>
      <c r="C486"/>
      <c r="D486"/>
      <c r="E486"/>
      <c r="CU486" s="27" t="s">
        <v>8</v>
      </c>
      <c r="CV486" s="27" t="s">
        <v>7</v>
      </c>
      <c r="CW486" s="27" t="s">
        <v>8</v>
      </c>
      <c r="CZ486" s="27" t="s">
        <v>7</v>
      </c>
      <c r="DA486" s="27" t="s">
        <v>8</v>
      </c>
    </row>
    <row r="487" spans="1:105" x14ac:dyDescent="0.25">
      <c r="A487" s="7">
        <v>7.2446461182523469</v>
      </c>
      <c r="B487"/>
      <c r="C487"/>
      <c r="D487"/>
      <c r="E487"/>
      <c r="CU487" s="27" t="s">
        <v>8</v>
      </c>
      <c r="CV487" s="27" t="s">
        <v>7</v>
      </c>
      <c r="CW487" s="27" t="s">
        <v>8</v>
      </c>
      <c r="CZ487" s="27" t="s">
        <v>7</v>
      </c>
      <c r="DA487" s="27" t="s">
        <v>8</v>
      </c>
    </row>
    <row r="488" spans="1:105" x14ac:dyDescent="0.25">
      <c r="A488" s="7">
        <v>7.1025942335807324</v>
      </c>
      <c r="B488"/>
      <c r="C488"/>
      <c r="D488"/>
      <c r="E488"/>
      <c r="CU488" s="27" t="s">
        <v>8</v>
      </c>
      <c r="CV488" s="27" t="s">
        <v>7</v>
      </c>
      <c r="CW488" s="27" t="s">
        <v>8</v>
      </c>
      <c r="CZ488" s="27" t="s">
        <v>7</v>
      </c>
    </row>
    <row r="489" spans="1:105" x14ac:dyDescent="0.25">
      <c r="A489" s="7">
        <v>6.9633276799811101</v>
      </c>
      <c r="B489"/>
      <c r="C489"/>
      <c r="D489"/>
      <c r="E489"/>
      <c r="CU489" s="27" t="s">
        <v>8</v>
      </c>
      <c r="CV489" s="27" t="s">
        <v>7</v>
      </c>
      <c r="CW489" s="27" t="s">
        <v>8</v>
      </c>
    </row>
    <row r="490" spans="1:105" x14ac:dyDescent="0.25">
      <c r="A490" s="7">
        <v>6.8267918431187349</v>
      </c>
      <c r="B490"/>
      <c r="C490"/>
      <c r="D490"/>
      <c r="E490"/>
      <c r="CU490" s="27" t="s">
        <v>8</v>
      </c>
      <c r="CV490" s="27" t="s">
        <v>7</v>
      </c>
      <c r="CW490" s="27" t="s">
        <v>8</v>
      </c>
    </row>
    <row r="491" spans="1:105" x14ac:dyDescent="0.25">
      <c r="A491" s="7">
        <v>6.692933179528171</v>
      </c>
      <c r="B491"/>
      <c r="C491"/>
      <c r="D491"/>
      <c r="E491"/>
      <c r="CU491" s="27" t="s">
        <v>8</v>
      </c>
      <c r="CV491" s="27" t="s">
        <v>7</v>
      </c>
      <c r="CW491" s="27" t="s">
        <v>8</v>
      </c>
    </row>
    <row r="492" spans="1:105" x14ac:dyDescent="0.25">
      <c r="A492" s="7">
        <v>6.5616991956158541</v>
      </c>
      <c r="B492"/>
      <c r="C492"/>
      <c r="D492"/>
      <c r="E492"/>
      <c r="CU492" s="27" t="s">
        <v>8</v>
      </c>
      <c r="CV492" s="27" t="s">
        <v>7</v>
      </c>
      <c r="CW492" s="27" t="s">
        <v>8</v>
      </c>
    </row>
    <row r="493" spans="1:105" x14ac:dyDescent="0.25">
      <c r="A493" s="7">
        <v>6.4330384270743668</v>
      </c>
      <c r="B493"/>
      <c r="C493"/>
      <c r="D493"/>
      <c r="E493"/>
      <c r="CU493" s="27" t="s">
        <v>8</v>
      </c>
      <c r="CV493" s="27" t="s">
        <v>7</v>
      </c>
      <c r="CW493" s="27" t="s">
        <v>8</v>
      </c>
    </row>
    <row r="494" spans="1:105" x14ac:dyDescent="0.25">
      <c r="A494" s="7">
        <v>6.3069004187003594</v>
      </c>
      <c r="B494"/>
      <c r="C494"/>
      <c r="D494"/>
      <c r="E494"/>
      <c r="CU494" s="27" t="s">
        <v>8</v>
      </c>
      <c r="CV494" s="27" t="s">
        <v>7</v>
      </c>
      <c r="CW494" s="27" t="s">
        <v>8</v>
      </c>
    </row>
    <row r="495" spans="1:105" x14ac:dyDescent="0.25">
      <c r="A495" s="7">
        <v>6.1832357046081956</v>
      </c>
      <c r="B495"/>
      <c r="C495"/>
      <c r="D495"/>
      <c r="E495"/>
      <c r="CU495" s="27" t="s">
        <v>8</v>
      </c>
      <c r="CV495" s="27" t="s">
        <v>7</v>
      </c>
    </row>
    <row r="496" spans="1:105" x14ac:dyDescent="0.25">
      <c r="A496" s="7">
        <v>6.0619957888315641</v>
      </c>
      <c r="B496"/>
      <c r="C496"/>
      <c r="D496"/>
      <c r="E496"/>
      <c r="CU496" s="27" t="s">
        <v>8</v>
      </c>
    </row>
    <row r="497" spans="1:99" x14ac:dyDescent="0.25">
      <c r="A497" s="7">
        <v>5.9431331263054545</v>
      </c>
      <c r="B497"/>
      <c r="C497"/>
      <c r="D497"/>
      <c r="E497"/>
      <c r="CU497" s="27" t="s">
        <v>8</v>
      </c>
    </row>
    <row r="498" spans="1:99" x14ac:dyDescent="0.25">
      <c r="A498" s="7">
        <v>5.8266011042210337</v>
      </c>
      <c r="B498"/>
      <c r="C498"/>
      <c r="D498"/>
      <c r="E498"/>
      <c r="CU498" s="27" t="s">
        <v>8</v>
      </c>
    </row>
    <row r="499" spans="1:99" x14ac:dyDescent="0.25">
      <c r="A499" s="7">
        <v>5.7123540237461112</v>
      </c>
      <c r="B499"/>
      <c r="C499"/>
      <c r="D499"/>
      <c r="E499"/>
      <c r="CU499" s="27" t="s">
        <v>8</v>
      </c>
    </row>
    <row r="500" spans="1:99" x14ac:dyDescent="0.25">
      <c r="A500" s="7">
        <v>5.6003470821040304</v>
      </c>
      <c r="B500"/>
      <c r="C500"/>
      <c r="D500"/>
      <c r="E500"/>
      <c r="CU500" s="27" t="s">
        <v>8</v>
      </c>
    </row>
    <row r="501" spans="1:99" x14ac:dyDescent="0.25">
      <c r="A501" s="7">
        <v>5.4905363550039512</v>
      </c>
      <c r="B501"/>
      <c r="C501"/>
      <c r="D501"/>
      <c r="E501"/>
      <c r="CU501" s="27" t="s">
        <v>8</v>
      </c>
    </row>
    <row r="502" spans="1:99" x14ac:dyDescent="0.25">
      <c r="A502" s="7">
        <v>5.3828787794156385</v>
      </c>
      <c r="B502"/>
      <c r="C502"/>
      <c r="D502"/>
      <c r="E502"/>
      <c r="CU502" s="27" t="s">
        <v>8</v>
      </c>
    </row>
    <row r="503" spans="1:99" x14ac:dyDescent="0.25">
      <c r="A503" s="7">
        <v>5.2773321366819985</v>
      </c>
      <c r="B503"/>
      <c r="C503"/>
      <c r="D503"/>
      <c r="E503"/>
      <c r="CU503" s="27" t="s">
        <v>8</v>
      </c>
    </row>
    <row r="504" spans="1:99" x14ac:dyDescent="0.25">
      <c r="A504" s="7">
        <v>5.1738550359627435</v>
      </c>
      <c r="B504"/>
      <c r="C504"/>
      <c r="D504"/>
      <c r="E504"/>
      <c r="CU504" s="27" t="s">
        <v>8</v>
      </c>
    </row>
    <row r="505" spans="1:99" x14ac:dyDescent="0.25">
      <c r="A505" s="7">
        <v>5.07240689800269</v>
      </c>
      <c r="B505"/>
      <c r="C505"/>
      <c r="D505"/>
      <c r="E505"/>
      <c r="CQ505" s="27" t="s">
        <v>8</v>
      </c>
      <c r="CU505" s="27" t="s">
        <v>8</v>
      </c>
    </row>
    <row r="506" spans="1:99" x14ac:dyDescent="0.25">
      <c r="A506" s="7">
        <v>4.9729479392183231</v>
      </c>
      <c r="B506"/>
      <c r="C506"/>
      <c r="D506"/>
      <c r="E506"/>
      <c r="CQ506" s="27" t="s">
        <v>8</v>
      </c>
      <c r="CR506" s="27" t="s">
        <v>7</v>
      </c>
      <c r="CS506" s="27" t="s">
        <v>8</v>
      </c>
      <c r="CU506" s="27" t="s">
        <v>8</v>
      </c>
    </row>
    <row r="507" spans="1:99" x14ac:dyDescent="0.25">
      <c r="A507" s="7">
        <v>4.8754391560963954</v>
      </c>
      <c r="B507"/>
      <c r="C507"/>
      <c r="D507"/>
      <c r="E507"/>
      <c r="CQ507" s="27" t="s">
        <v>8</v>
      </c>
      <c r="CR507" s="27" t="s">
        <v>7</v>
      </c>
      <c r="CS507" s="27" t="s">
        <v>8</v>
      </c>
      <c r="CT507" s="27" t="s">
        <v>7</v>
      </c>
      <c r="CU507" s="27" t="s">
        <v>8</v>
      </c>
    </row>
    <row r="508" spans="1:99" x14ac:dyDescent="0.25">
      <c r="A508" s="7">
        <v>4.7798423098984264</v>
      </c>
      <c r="B508"/>
      <c r="C508"/>
      <c r="D508"/>
      <c r="E508"/>
      <c r="CQ508" s="27" t="s">
        <v>8</v>
      </c>
      <c r="CR508" s="27" t="s">
        <v>7</v>
      </c>
      <c r="CS508" s="27" t="s">
        <v>8</v>
      </c>
      <c r="CT508" s="27" t="s">
        <v>7</v>
      </c>
      <c r="CU508" s="27" t="s">
        <v>8</v>
      </c>
    </row>
    <row r="509" spans="1:99" x14ac:dyDescent="0.25">
      <c r="A509" s="7">
        <v>4.6861199116651235</v>
      </c>
      <c r="B509"/>
      <c r="C509"/>
      <c r="D509"/>
      <c r="E509"/>
      <c r="CM509" s="27" t="s">
        <v>8</v>
      </c>
      <c r="CQ509" s="27" t="s">
        <v>8</v>
      </c>
      <c r="CR509" s="27" t="s">
        <v>7</v>
      </c>
      <c r="CT509" s="27" t="s">
        <v>7</v>
      </c>
      <c r="CU509" s="27" t="s">
        <v>8</v>
      </c>
    </row>
    <row r="510" spans="1:99" x14ac:dyDescent="0.25">
      <c r="A510" s="7">
        <v>4.5942352075148269</v>
      </c>
      <c r="B510"/>
      <c r="C510"/>
      <c r="D510"/>
      <c r="E510"/>
      <c r="CM510" s="27" t="s">
        <v>8</v>
      </c>
      <c r="CN510" s="27" t="s">
        <v>7</v>
      </c>
      <c r="CO510" s="27" t="s">
        <v>8</v>
      </c>
      <c r="CQ510" s="27" t="s">
        <v>8</v>
      </c>
      <c r="CT510" s="27" t="s">
        <v>7</v>
      </c>
    </row>
    <row r="511" spans="1:99" x14ac:dyDescent="0.25">
      <c r="A511" s="7">
        <v>4.5041521642302227</v>
      </c>
      <c r="B511"/>
      <c r="C511"/>
      <c r="D511"/>
      <c r="E511"/>
      <c r="BQ511" s="27" t="s">
        <v>8</v>
      </c>
      <c r="CM511" s="27" t="s">
        <v>8</v>
      </c>
      <c r="CN511" s="27" t="s">
        <v>7</v>
      </c>
      <c r="CO511" s="27" t="s">
        <v>8</v>
      </c>
      <c r="CP511" s="27" t="s">
        <v>7</v>
      </c>
      <c r="CQ511" s="27" t="s">
        <v>8</v>
      </c>
    </row>
    <row r="512" spans="1:99" x14ac:dyDescent="0.25">
      <c r="A512" s="7">
        <v>4.4158354551276693</v>
      </c>
      <c r="B512"/>
      <c r="C512"/>
      <c r="D512"/>
      <c r="E512"/>
      <c r="BQ512" s="27" t="s">
        <v>8</v>
      </c>
      <c r="BR512" s="27" t="s">
        <v>7</v>
      </c>
      <c r="CM512" s="27" t="s">
        <v>8</v>
      </c>
      <c r="CN512" s="27" t="s">
        <v>7</v>
      </c>
      <c r="CO512" s="27" t="s">
        <v>8</v>
      </c>
      <c r="CP512" s="27" t="s">
        <v>7</v>
      </c>
      <c r="CQ512" s="27" t="s">
        <v>8</v>
      </c>
    </row>
    <row r="513" spans="1:95" x14ac:dyDescent="0.25">
      <c r="A513" s="7">
        <v>4.3292504462035977</v>
      </c>
      <c r="B513"/>
      <c r="C513"/>
      <c r="D513"/>
      <c r="E513"/>
      <c r="BQ513" s="27" t="s">
        <v>8</v>
      </c>
      <c r="BR513" s="27" t="s">
        <v>7</v>
      </c>
      <c r="CK513" s="27" t="s">
        <v>8</v>
      </c>
      <c r="CM513" s="27" t="s">
        <v>8</v>
      </c>
      <c r="CN513" s="27" t="s">
        <v>7</v>
      </c>
      <c r="CP513" s="27" t="s">
        <v>7</v>
      </c>
      <c r="CQ513" s="27" t="s">
        <v>8</v>
      </c>
    </row>
    <row r="514" spans="1:95" x14ac:dyDescent="0.25">
      <c r="A514" s="7">
        <v>4.2443631825525463</v>
      </c>
      <c r="B514"/>
      <c r="C514"/>
      <c r="D514"/>
      <c r="E514"/>
      <c r="BQ514" s="27" t="s">
        <v>8</v>
      </c>
      <c r="BR514" s="27" t="s">
        <v>7</v>
      </c>
      <c r="CK514" s="27" t="s">
        <v>8</v>
      </c>
      <c r="CL514" s="27" t="s">
        <v>7</v>
      </c>
      <c r="CM514" s="27" t="s">
        <v>8</v>
      </c>
      <c r="CP514" s="27" t="s">
        <v>7</v>
      </c>
      <c r="CQ514" s="27" t="s">
        <v>8</v>
      </c>
    </row>
    <row r="515" spans="1:95" x14ac:dyDescent="0.25">
      <c r="A515" s="7">
        <v>4.1611403750515157</v>
      </c>
      <c r="B515"/>
      <c r="C515"/>
      <c r="D515"/>
      <c r="E515"/>
      <c r="BQ515" s="27" t="s">
        <v>8</v>
      </c>
      <c r="BR515" s="27" t="s">
        <v>7</v>
      </c>
      <c r="BU515" s="27" t="s">
        <v>8</v>
      </c>
      <c r="CE515" s="27" t="s">
        <v>8</v>
      </c>
      <c r="CK515" s="27" t="s">
        <v>8</v>
      </c>
      <c r="CL515" s="27" t="s">
        <v>7</v>
      </c>
      <c r="CM515" s="27" t="s">
        <v>8</v>
      </c>
      <c r="CP515" s="27" t="s">
        <v>7</v>
      </c>
      <c r="CQ515" s="27" t="s">
        <v>8</v>
      </c>
    </row>
    <row r="516" spans="1:95" x14ac:dyDescent="0.25">
      <c r="A516" s="7">
        <v>4.0795493873054074</v>
      </c>
      <c r="B516"/>
      <c r="C516"/>
      <c r="D516"/>
      <c r="E516"/>
      <c r="BQ516" s="27" t="s">
        <v>8</v>
      </c>
      <c r="BR516" s="27" t="s">
        <v>7</v>
      </c>
      <c r="BU516" s="27" t="s">
        <v>8</v>
      </c>
      <c r="BV516" s="27" t="s">
        <v>7</v>
      </c>
      <c r="CE516" s="27" t="s">
        <v>8</v>
      </c>
      <c r="CF516" s="27" t="s">
        <v>7</v>
      </c>
      <c r="CK516" s="27" t="s">
        <v>8</v>
      </c>
      <c r="CL516" s="27" t="s">
        <v>7</v>
      </c>
      <c r="CM516" s="27" t="s">
        <v>8</v>
      </c>
      <c r="CP516" s="27" t="s">
        <v>7</v>
      </c>
    </row>
    <row r="517" spans="1:95" x14ac:dyDescent="0.25">
      <c r="A517" s="7">
        <v>3.9995582228484383</v>
      </c>
      <c r="B517"/>
      <c r="C517"/>
      <c r="D517"/>
      <c r="E517"/>
      <c r="BQ517" s="27" t="s">
        <v>8</v>
      </c>
      <c r="BR517" s="27" t="s">
        <v>7</v>
      </c>
      <c r="BU517" s="27" t="s">
        <v>8</v>
      </c>
      <c r="BV517" s="27" t="s">
        <v>7</v>
      </c>
      <c r="CC517" s="27" t="s">
        <v>8</v>
      </c>
      <c r="CE517" s="27" t="s">
        <v>8</v>
      </c>
      <c r="CF517" s="27" t="s">
        <v>7</v>
      </c>
      <c r="CK517" s="27" t="s">
        <v>8</v>
      </c>
      <c r="CL517" s="27" t="s">
        <v>7</v>
      </c>
      <c r="CM517" s="27" t="s">
        <v>8</v>
      </c>
    </row>
    <row r="518" spans="1:95" x14ac:dyDescent="0.25">
      <c r="A518" s="7">
        <v>3.9211355125965079</v>
      </c>
      <c r="B518"/>
      <c r="C518"/>
      <c r="D518"/>
      <c r="E518"/>
      <c r="BQ518" s="27" t="s">
        <v>8</v>
      </c>
      <c r="BR518" s="27" t="s">
        <v>7</v>
      </c>
      <c r="BU518" s="27" t="s">
        <v>8</v>
      </c>
      <c r="BV518" s="27" t="s">
        <v>7</v>
      </c>
      <c r="CC518" s="27" t="s">
        <v>8</v>
      </c>
      <c r="CD518" s="27" t="s">
        <v>7</v>
      </c>
      <c r="CE518" s="27" t="s">
        <v>8</v>
      </c>
      <c r="CF518" s="27" t="s">
        <v>7</v>
      </c>
      <c r="CK518" s="27" t="s">
        <v>8</v>
      </c>
      <c r="CL518" s="27" t="s">
        <v>7</v>
      </c>
      <c r="CM518" s="27" t="s">
        <v>8</v>
      </c>
    </row>
    <row r="519" spans="1:95" x14ac:dyDescent="0.25">
      <c r="A519" s="7">
        <v>3.844250502545596</v>
      </c>
      <c r="B519"/>
      <c r="C519"/>
      <c r="D519"/>
      <c r="E519"/>
      <c r="BQ519" s="27" t="s">
        <v>8</v>
      </c>
      <c r="BR519" s="27" t="s">
        <v>7</v>
      </c>
      <c r="BU519" s="27" t="s">
        <v>8</v>
      </c>
      <c r="BV519" s="27" t="s">
        <v>7</v>
      </c>
      <c r="CC519" s="27" t="s">
        <v>8</v>
      </c>
      <c r="CD519" s="27" t="s">
        <v>7</v>
      </c>
      <c r="CE519" s="27" t="s">
        <v>8</v>
      </c>
      <c r="CF519" s="27" t="s">
        <v>7</v>
      </c>
      <c r="CK519" s="27" t="s">
        <v>8</v>
      </c>
      <c r="CL519" s="27" t="s">
        <v>7</v>
      </c>
      <c r="CM519" s="27" t="s">
        <v>8</v>
      </c>
    </row>
    <row r="520" spans="1:95" x14ac:dyDescent="0.25">
      <c r="A520" s="7">
        <v>3.7688730417113687</v>
      </c>
      <c r="B520"/>
      <c r="C520"/>
      <c r="D520"/>
      <c r="E520"/>
      <c r="BQ520" s="27" t="s">
        <v>8</v>
      </c>
      <c r="BR520" s="27" t="s">
        <v>7</v>
      </c>
      <c r="BU520" s="27" t="s">
        <v>8</v>
      </c>
      <c r="BV520" s="27" t="s">
        <v>7</v>
      </c>
      <c r="CC520" s="27" t="s">
        <v>8</v>
      </c>
      <c r="CD520" s="27" t="s">
        <v>7</v>
      </c>
      <c r="CE520" s="27" t="s">
        <v>8</v>
      </c>
      <c r="CF520" s="27" t="s">
        <v>7</v>
      </c>
      <c r="CI520" s="27" t="s">
        <v>8</v>
      </c>
      <c r="CK520" s="27" t="s">
        <v>8</v>
      </c>
      <c r="CL520" s="27" t="s">
        <v>7</v>
      </c>
      <c r="CM520" s="27" t="s">
        <v>8</v>
      </c>
    </row>
    <row r="521" spans="1:95" x14ac:dyDescent="0.25">
      <c r="A521" s="7">
        <v>3.6949735703052635</v>
      </c>
      <c r="B521"/>
      <c r="C521"/>
      <c r="D521"/>
      <c r="E521"/>
      <c r="O521" s="27" t="s">
        <v>8</v>
      </c>
      <c r="BI521" s="27" t="s">
        <v>8</v>
      </c>
      <c r="BQ521" s="27" t="s">
        <v>8</v>
      </c>
      <c r="BR521" s="27" t="s">
        <v>7</v>
      </c>
      <c r="BU521" s="27" t="s">
        <v>8</v>
      </c>
      <c r="BV521" s="27" t="s">
        <v>7</v>
      </c>
      <c r="CC521" s="27" t="s">
        <v>8</v>
      </c>
      <c r="CD521" s="27" t="s">
        <v>7</v>
      </c>
      <c r="CF521" s="27" t="s">
        <v>7</v>
      </c>
      <c r="CI521" s="27" t="s">
        <v>8</v>
      </c>
      <c r="CJ521" s="27" t="s">
        <v>7</v>
      </c>
      <c r="CK521" s="27" t="s">
        <v>8</v>
      </c>
      <c r="CL521" s="27" t="s">
        <v>7</v>
      </c>
      <c r="CM521" s="27" t="s">
        <v>8</v>
      </c>
    </row>
    <row r="522" spans="1:95" x14ac:dyDescent="0.25">
      <c r="A522" s="7">
        <v>3.6225231081424152</v>
      </c>
      <c r="B522"/>
      <c r="C522"/>
      <c r="D522"/>
      <c r="E522"/>
      <c r="O522" s="27" t="s">
        <v>8</v>
      </c>
      <c r="P522" s="27" t="s">
        <v>7</v>
      </c>
      <c r="BI522" s="27" t="s">
        <v>8</v>
      </c>
      <c r="BJ522" s="27" t="s">
        <v>7</v>
      </c>
      <c r="BK522" s="27" t="s">
        <v>8</v>
      </c>
      <c r="BQ522" s="27" t="s">
        <v>8</v>
      </c>
      <c r="BR522" s="27" t="s">
        <v>7</v>
      </c>
      <c r="BS522" s="27" t="s">
        <v>8</v>
      </c>
      <c r="BU522" s="27" t="s">
        <v>8</v>
      </c>
      <c r="BV522" s="27" t="s">
        <v>7</v>
      </c>
      <c r="BW522" s="27" t="s">
        <v>8</v>
      </c>
      <c r="BY522" s="27" t="s">
        <v>8</v>
      </c>
      <c r="CA522" s="27" t="s">
        <v>8</v>
      </c>
      <c r="CC522" s="27" t="s">
        <v>8</v>
      </c>
      <c r="CF522" s="27" t="s">
        <v>7</v>
      </c>
      <c r="CG522" s="27" t="s">
        <v>8</v>
      </c>
      <c r="CI522" s="27" t="s">
        <v>8</v>
      </c>
      <c r="CJ522" s="27" t="s">
        <v>7</v>
      </c>
      <c r="CK522" s="27" t="s">
        <v>8</v>
      </c>
      <c r="CL522" s="27" t="s">
        <v>7</v>
      </c>
    </row>
    <row r="523" spans="1:95" x14ac:dyDescent="0.25">
      <c r="A523" s="7">
        <v>3.5514932432768775</v>
      </c>
      <c r="B523"/>
      <c r="C523"/>
      <c r="D523"/>
      <c r="E523"/>
      <c r="O523" s="27" t="s">
        <v>8</v>
      </c>
      <c r="P523" s="27" t="s">
        <v>7</v>
      </c>
      <c r="BI523" s="27" t="s">
        <v>8</v>
      </c>
      <c r="BJ523" s="27" t="s">
        <v>7</v>
      </c>
      <c r="BK523" s="27" t="s">
        <v>8</v>
      </c>
      <c r="BL523" s="27" t="s">
        <v>7</v>
      </c>
      <c r="BM523" s="27" t="s">
        <v>8</v>
      </c>
      <c r="BO523" s="27" t="s">
        <v>8</v>
      </c>
      <c r="BQ523" s="27" t="s">
        <v>8</v>
      </c>
      <c r="BR523" s="27" t="s">
        <v>7</v>
      </c>
      <c r="BS523" s="27" t="s">
        <v>8</v>
      </c>
      <c r="BT523" s="27" t="s">
        <v>7</v>
      </c>
      <c r="BU523" s="27" t="s">
        <v>8</v>
      </c>
      <c r="BV523" s="27" t="s">
        <v>7</v>
      </c>
      <c r="BW523" s="27" t="s">
        <v>8</v>
      </c>
      <c r="BX523" s="27" t="s">
        <v>7</v>
      </c>
      <c r="BY523" s="27" t="s">
        <v>8</v>
      </c>
      <c r="BZ523" s="27" t="s">
        <v>7</v>
      </c>
      <c r="CA523" s="27" t="s">
        <v>8</v>
      </c>
      <c r="CB523" s="27" t="s">
        <v>7</v>
      </c>
      <c r="CC523" s="27" t="s">
        <v>8</v>
      </c>
      <c r="CF523" s="27" t="s">
        <v>7</v>
      </c>
      <c r="CG523" s="27" t="s">
        <v>8</v>
      </c>
      <c r="CH523" s="27" t="s">
        <v>7</v>
      </c>
      <c r="CI523" s="27" t="s">
        <v>8</v>
      </c>
      <c r="CJ523" s="27" t="s">
        <v>7</v>
      </c>
    </row>
    <row r="524" spans="1:95" x14ac:dyDescent="0.25">
      <c r="A524" s="7">
        <v>3.4818561208596837</v>
      </c>
      <c r="B524"/>
      <c r="C524"/>
      <c r="D524"/>
      <c r="E524"/>
      <c r="O524" s="27" t="s">
        <v>8</v>
      </c>
      <c r="P524" s="27" t="s">
        <v>7</v>
      </c>
      <c r="BG524" s="27" t="s">
        <v>8</v>
      </c>
      <c r="BI524" s="27" t="s">
        <v>8</v>
      </c>
      <c r="BJ524" s="27" t="s">
        <v>7</v>
      </c>
      <c r="BK524" s="27" t="s">
        <v>8</v>
      </c>
      <c r="BL524" s="27" t="s">
        <v>7</v>
      </c>
      <c r="BM524" s="27" t="s">
        <v>8</v>
      </c>
      <c r="BN524" s="27" t="s">
        <v>7</v>
      </c>
      <c r="BO524" s="27" t="s">
        <v>8</v>
      </c>
      <c r="BP524" s="27" t="s">
        <v>7</v>
      </c>
      <c r="BQ524" s="27" t="s">
        <v>8</v>
      </c>
      <c r="BR524" s="27" t="s">
        <v>7</v>
      </c>
      <c r="BS524" s="27" t="s">
        <v>8</v>
      </c>
      <c r="BT524" s="27" t="s">
        <v>7</v>
      </c>
      <c r="BU524" s="27" t="s">
        <v>8</v>
      </c>
      <c r="BV524" s="27" t="s">
        <v>7</v>
      </c>
      <c r="BW524" s="27" t="s">
        <v>8</v>
      </c>
      <c r="BX524" s="27" t="s">
        <v>7</v>
      </c>
      <c r="BY524" s="27" t="s">
        <v>8</v>
      </c>
      <c r="BZ524" s="27" t="s">
        <v>7</v>
      </c>
      <c r="CA524" s="27" t="s">
        <v>8</v>
      </c>
      <c r="CB524" s="27" t="s">
        <v>7</v>
      </c>
      <c r="CC524" s="27" t="s">
        <v>8</v>
      </c>
      <c r="CF524" s="27" t="s">
        <v>7</v>
      </c>
      <c r="CG524" s="27" t="s">
        <v>8</v>
      </c>
      <c r="CH524" s="27" t="s">
        <v>7</v>
      </c>
      <c r="CI524" s="27" t="s">
        <v>8</v>
      </c>
    </row>
    <row r="525" spans="1:95" x14ac:dyDescent="0.25">
      <c r="A525" s="7">
        <v>3.4135844322153761</v>
      </c>
      <c r="B525"/>
      <c r="C525"/>
      <c r="D525"/>
      <c r="E525"/>
      <c r="O525" s="27" t="s">
        <v>8</v>
      </c>
      <c r="P525" s="27" t="s">
        <v>7</v>
      </c>
      <c r="BG525" s="27" t="s">
        <v>8</v>
      </c>
      <c r="BH525" s="27" t="s">
        <v>7</v>
      </c>
      <c r="BI525" s="27" t="s">
        <v>8</v>
      </c>
      <c r="BJ525" s="27" t="s">
        <v>7</v>
      </c>
      <c r="BK525" s="27" t="s">
        <v>8</v>
      </c>
      <c r="BL525" s="27" t="s">
        <v>7</v>
      </c>
      <c r="BM525" s="27" t="s">
        <v>8</v>
      </c>
      <c r="BN525" s="27" t="s">
        <v>7</v>
      </c>
      <c r="BO525" s="27" t="s">
        <v>8</v>
      </c>
      <c r="BP525" s="27" t="s">
        <v>7</v>
      </c>
      <c r="BQ525" s="27" t="s">
        <v>8</v>
      </c>
      <c r="BR525" s="27" t="s">
        <v>7</v>
      </c>
      <c r="BS525" s="27" t="s">
        <v>8</v>
      </c>
      <c r="BT525" s="27" t="s">
        <v>7</v>
      </c>
      <c r="BV525" s="27" t="s">
        <v>7</v>
      </c>
      <c r="BX525" s="27" t="s">
        <v>7</v>
      </c>
      <c r="BZ525" s="27" t="s">
        <v>7</v>
      </c>
      <c r="CB525" s="27" t="s">
        <v>7</v>
      </c>
      <c r="CC525" s="27" t="s">
        <v>8</v>
      </c>
      <c r="CF525" s="27" t="s">
        <v>7</v>
      </c>
      <c r="CG525" s="27" t="s">
        <v>8</v>
      </c>
      <c r="CH525" s="27" t="s">
        <v>7</v>
      </c>
      <c r="CI525" s="27" t="s">
        <v>8</v>
      </c>
    </row>
    <row r="526" spans="1:95" x14ac:dyDescent="0.25">
      <c r="A526" s="7">
        <v>3.3466514041327216</v>
      </c>
      <c r="B526"/>
      <c r="C526"/>
      <c r="D526"/>
      <c r="E526"/>
      <c r="O526" s="27" t="s">
        <v>8</v>
      </c>
      <c r="P526" s="27" t="s">
        <v>7</v>
      </c>
      <c r="AO526" s="27" t="s">
        <v>8</v>
      </c>
      <c r="BG526" s="27" t="s">
        <v>8</v>
      </c>
      <c r="BH526" s="27" t="s">
        <v>7</v>
      </c>
      <c r="BI526" s="27" t="s">
        <v>8</v>
      </c>
      <c r="BJ526" s="27" t="s">
        <v>7</v>
      </c>
      <c r="BL526" s="27" t="s">
        <v>7</v>
      </c>
      <c r="BM526" s="27" t="s">
        <v>8</v>
      </c>
      <c r="BN526" s="27" t="s">
        <v>7</v>
      </c>
      <c r="BP526" s="27" t="s">
        <v>7</v>
      </c>
      <c r="BQ526" s="27" t="s">
        <v>8</v>
      </c>
      <c r="BR526" s="27" t="s">
        <v>7</v>
      </c>
      <c r="BS526" s="27" t="s">
        <v>8</v>
      </c>
      <c r="CB526" s="27" t="s">
        <v>7</v>
      </c>
      <c r="CF526" s="27" t="s">
        <v>7</v>
      </c>
      <c r="CH526" s="27" t="s">
        <v>7</v>
      </c>
    </row>
    <row r="527" spans="1:95" x14ac:dyDescent="0.25">
      <c r="A527" s="7">
        <v>3.2810307883654133</v>
      </c>
      <c r="B527"/>
      <c r="C527"/>
      <c r="D527"/>
      <c r="E527"/>
      <c r="O527" s="27" t="s">
        <v>8</v>
      </c>
      <c r="P527" s="27" t="s">
        <v>7</v>
      </c>
      <c r="AO527" s="27" t="s">
        <v>8</v>
      </c>
      <c r="AP527" s="27" t="s">
        <v>7</v>
      </c>
      <c r="BG527" s="27" t="s">
        <v>8</v>
      </c>
      <c r="BH527" s="27" t="s">
        <v>7</v>
      </c>
      <c r="BL527" s="27" t="s">
        <v>7</v>
      </c>
      <c r="BM527" s="27" t="s">
        <v>8</v>
      </c>
      <c r="BP527" s="27" t="s">
        <v>7</v>
      </c>
      <c r="BQ527" s="27" t="s">
        <v>8</v>
      </c>
      <c r="BR527" s="27" t="s">
        <v>7</v>
      </c>
      <c r="BS527" s="27" t="s">
        <v>8</v>
      </c>
    </row>
    <row r="528" spans="1:95" x14ac:dyDescent="0.25">
      <c r="A528" s="7">
        <v>3.2166968513386403</v>
      </c>
      <c r="B528"/>
      <c r="C528"/>
      <c r="D528"/>
      <c r="E528"/>
      <c r="O528" s="27" t="s">
        <v>8</v>
      </c>
      <c r="P528" s="27" t="s">
        <v>7</v>
      </c>
      <c r="AO528" s="27" t="s">
        <v>8</v>
      </c>
      <c r="AP528" s="27" t="s">
        <v>7</v>
      </c>
      <c r="AQ528" s="27" t="s">
        <v>8</v>
      </c>
      <c r="BG528" s="27" t="s">
        <v>8</v>
      </c>
      <c r="BL528" s="27" t="s">
        <v>7</v>
      </c>
      <c r="BP528" s="27" t="s">
        <v>7</v>
      </c>
      <c r="BR528" s="27" t="s">
        <v>7</v>
      </c>
    </row>
    <row r="529" spans="1:59" x14ac:dyDescent="0.25">
      <c r="A529" s="7">
        <v>3.1536243640574906</v>
      </c>
      <c r="B529"/>
      <c r="C529"/>
      <c r="D529"/>
      <c r="E529"/>
      <c r="O529" s="27" t="s">
        <v>8</v>
      </c>
      <c r="P529" s="27" t="s">
        <v>7</v>
      </c>
      <c r="AO529" s="27" t="s">
        <v>8</v>
      </c>
      <c r="AP529" s="27" t="s">
        <v>7</v>
      </c>
      <c r="AQ529" s="27" t="s">
        <v>8</v>
      </c>
      <c r="AR529" s="27" t="s">
        <v>7</v>
      </c>
      <c r="AS529" s="27" t="s">
        <v>8</v>
      </c>
      <c r="AY529" s="27" t="s">
        <v>8</v>
      </c>
      <c r="BG529" s="27" t="s">
        <v>8</v>
      </c>
    </row>
    <row r="530" spans="1:59" x14ac:dyDescent="0.25">
      <c r="A530" s="7">
        <v>3.0917885922132262</v>
      </c>
      <c r="B530"/>
      <c r="C530"/>
      <c r="D530"/>
      <c r="E530"/>
      <c r="O530" s="27" t="s">
        <v>8</v>
      </c>
      <c r="P530" s="27" t="s">
        <v>7</v>
      </c>
      <c r="AO530" s="27" t="s">
        <v>8</v>
      </c>
      <c r="AP530" s="27" t="s">
        <v>7</v>
      </c>
      <c r="AQ530" s="27" t="s">
        <v>8</v>
      </c>
      <c r="AR530" s="27" t="s">
        <v>7</v>
      </c>
      <c r="AS530" s="27" t="s">
        <v>8</v>
      </c>
      <c r="AT530" s="27" t="s">
        <v>7</v>
      </c>
      <c r="AY530" s="27" t="s">
        <v>8</v>
      </c>
      <c r="AZ530" s="27" t="s">
        <v>7</v>
      </c>
      <c r="BE530" s="27" t="s">
        <v>8</v>
      </c>
      <c r="BG530" s="27" t="s">
        <v>8</v>
      </c>
    </row>
    <row r="531" spans="1:59" x14ac:dyDescent="0.25">
      <c r="A531" s="7">
        <v>3.0311652864835552</v>
      </c>
      <c r="B531"/>
      <c r="C531"/>
      <c r="D531"/>
      <c r="E531"/>
      <c r="O531" s="27" t="s">
        <v>8</v>
      </c>
      <c r="P531" s="27" t="s">
        <v>7</v>
      </c>
      <c r="AO531" s="27" t="s">
        <v>8</v>
      </c>
      <c r="AP531" s="27" t="s">
        <v>7</v>
      </c>
      <c r="AR531" s="27" t="s">
        <v>7</v>
      </c>
      <c r="AS531" s="27" t="s">
        <v>8</v>
      </c>
      <c r="AT531" s="27" t="s">
        <v>7</v>
      </c>
      <c r="AU531" s="27" t="s">
        <v>8</v>
      </c>
      <c r="AW531" s="27" t="s">
        <v>8</v>
      </c>
      <c r="AY531" s="27" t="s">
        <v>8</v>
      </c>
      <c r="AZ531" s="27" t="s">
        <v>7</v>
      </c>
      <c r="BA531" s="27" t="s">
        <v>8</v>
      </c>
      <c r="BC531" s="27" t="s">
        <v>8</v>
      </c>
      <c r="BE531" s="27" t="s">
        <v>8</v>
      </c>
      <c r="BF531" s="27" t="s">
        <v>7</v>
      </c>
      <c r="BG531" s="27" t="s">
        <v>8</v>
      </c>
    </row>
    <row r="532" spans="1:59" x14ac:dyDescent="0.25">
      <c r="A532" s="7">
        <v>2.9717306730230932</v>
      </c>
      <c r="B532"/>
      <c r="C532"/>
      <c r="D532"/>
      <c r="E532"/>
      <c r="O532" s="27" t="s">
        <v>8</v>
      </c>
      <c r="P532" s="27" t="s">
        <v>7</v>
      </c>
      <c r="AO532" s="27" t="s">
        <v>8</v>
      </c>
      <c r="AR532" s="27" t="s">
        <v>7</v>
      </c>
      <c r="AT532" s="27" t="s">
        <v>7</v>
      </c>
      <c r="AU532" s="27" t="s">
        <v>8</v>
      </c>
      <c r="AV532" s="27" t="s">
        <v>7</v>
      </c>
      <c r="AW532" s="27" t="s">
        <v>8</v>
      </c>
      <c r="AX532" s="27" t="s">
        <v>7</v>
      </c>
      <c r="AY532" s="27" t="s">
        <v>8</v>
      </c>
      <c r="AZ532" s="27" t="s">
        <v>7</v>
      </c>
      <c r="BA532" s="27" t="s">
        <v>8</v>
      </c>
      <c r="BB532" s="27" t="s">
        <v>7</v>
      </c>
      <c r="BC532" s="27" t="s">
        <v>8</v>
      </c>
      <c r="BD532" s="27" t="s">
        <v>7</v>
      </c>
      <c r="BE532" s="27" t="s">
        <v>8</v>
      </c>
      <c r="BF532" s="27" t="s">
        <v>7</v>
      </c>
      <c r="BG532" s="27" t="s">
        <v>8</v>
      </c>
    </row>
    <row r="533" spans="1:59" x14ac:dyDescent="0.25">
      <c r="A533" s="7">
        <v>2.9134614441402875</v>
      </c>
      <c r="B533"/>
      <c r="C533"/>
      <c r="D533"/>
      <c r="E533"/>
      <c r="O533" s="27" t="s">
        <v>8</v>
      </c>
      <c r="P533" s="27" t="s">
        <v>7</v>
      </c>
      <c r="AO533" s="27" t="s">
        <v>8</v>
      </c>
      <c r="AT533" s="27" t="s">
        <v>7</v>
      </c>
      <c r="AU533" s="27" t="s">
        <v>8</v>
      </c>
      <c r="AV533" s="27" t="s">
        <v>7</v>
      </c>
      <c r="AW533" s="27" t="s">
        <v>8</v>
      </c>
      <c r="AX533" s="27" t="s">
        <v>7</v>
      </c>
      <c r="AY533" s="27" t="s">
        <v>8</v>
      </c>
      <c r="AZ533" s="27" t="s">
        <v>7</v>
      </c>
      <c r="BA533" s="27" t="s">
        <v>8</v>
      </c>
      <c r="BB533" s="27" t="s">
        <v>7</v>
      </c>
      <c r="BC533" s="27" t="s">
        <v>8</v>
      </c>
      <c r="BD533" s="27" t="s">
        <v>7</v>
      </c>
      <c r="BE533" s="27" t="s">
        <v>8</v>
      </c>
      <c r="BF533" s="27" t="s">
        <v>7</v>
      </c>
    </row>
    <row r="534" spans="1:59" x14ac:dyDescent="0.25">
      <c r="A534" s="7">
        <v>2.8563347491571447</v>
      </c>
      <c r="B534"/>
      <c r="C534"/>
      <c r="D534"/>
      <c r="E534"/>
      <c r="O534" s="27" t="s">
        <v>8</v>
      </c>
      <c r="P534" s="27" t="s">
        <v>7</v>
      </c>
      <c r="Q534" s="27" t="s">
        <v>8</v>
      </c>
      <c r="AO534" s="27" t="s">
        <v>8</v>
      </c>
      <c r="AT534" s="27" t="s">
        <v>7</v>
      </c>
      <c r="AU534" s="27" t="s">
        <v>8</v>
      </c>
      <c r="AV534" s="27" t="s">
        <v>7</v>
      </c>
      <c r="AX534" s="27" t="s">
        <v>7</v>
      </c>
      <c r="AY534" s="27" t="s">
        <v>8</v>
      </c>
      <c r="AZ534" s="27" t="s">
        <v>7</v>
      </c>
      <c r="BB534" s="27" t="s">
        <v>7</v>
      </c>
      <c r="BC534" s="27" t="s">
        <v>8</v>
      </c>
      <c r="BD534" s="27" t="s">
        <v>7</v>
      </c>
      <c r="BE534" s="27" t="s">
        <v>8</v>
      </c>
    </row>
    <row r="535" spans="1:59" x14ac:dyDescent="0.25">
      <c r="A535" s="7">
        <v>2.8003281854481812</v>
      </c>
      <c r="B535"/>
      <c r="C535"/>
      <c r="D535"/>
      <c r="E535"/>
      <c r="O535" s="27" t="s">
        <v>8</v>
      </c>
      <c r="P535" s="27" t="s">
        <v>7</v>
      </c>
      <c r="Q535" s="27" t="s">
        <v>8</v>
      </c>
      <c r="R535" s="27" t="s">
        <v>7</v>
      </c>
      <c r="U535" s="27" t="s">
        <v>8</v>
      </c>
      <c r="AI535" s="27" t="s">
        <v>8</v>
      </c>
      <c r="AM535" s="27" t="s">
        <v>8</v>
      </c>
      <c r="AO535" s="27" t="s">
        <v>8</v>
      </c>
      <c r="AT535" s="27" t="s">
        <v>7</v>
      </c>
      <c r="AU535" s="27" t="s">
        <v>8</v>
      </c>
      <c r="AX535" s="27" t="s">
        <v>7</v>
      </c>
      <c r="AY535" s="27" t="s">
        <v>8</v>
      </c>
      <c r="BB535" s="27" t="s">
        <v>7</v>
      </c>
      <c r="BC535" s="27" t="s">
        <v>8</v>
      </c>
      <c r="BD535" s="27" t="s">
        <v>7</v>
      </c>
    </row>
    <row r="536" spans="1:59" x14ac:dyDescent="0.25">
      <c r="A536" s="7">
        <v>2.7454197896550796</v>
      </c>
      <c r="B536"/>
      <c r="C536"/>
      <c r="D536"/>
      <c r="E536"/>
      <c r="O536" s="27" t="s">
        <v>8</v>
      </c>
      <c r="P536" s="27" t="s">
        <v>7</v>
      </c>
      <c r="Q536" s="27" t="s">
        <v>8</v>
      </c>
      <c r="R536" s="27" t="s">
        <v>7</v>
      </c>
      <c r="S536" s="27" t="s">
        <v>8</v>
      </c>
      <c r="U536" s="27" t="s">
        <v>8</v>
      </c>
      <c r="V536" s="27" t="s">
        <v>7</v>
      </c>
      <c r="AI536" s="27" t="s">
        <v>8</v>
      </c>
      <c r="AJ536" s="27" t="s">
        <v>7</v>
      </c>
      <c r="AM536" s="27" t="s">
        <v>8</v>
      </c>
      <c r="AN536" s="27" t="s">
        <v>7</v>
      </c>
      <c r="AO536" s="27" t="s">
        <v>8</v>
      </c>
      <c r="AT536" s="27" t="s">
        <v>7</v>
      </c>
      <c r="AU536" s="27" t="s">
        <v>8</v>
      </c>
      <c r="AX536" s="27" t="s">
        <v>7</v>
      </c>
      <c r="AY536" s="27" t="s">
        <v>8</v>
      </c>
      <c r="BB536" s="27" t="s">
        <v>7</v>
      </c>
    </row>
    <row r="537" spans="1:59" x14ac:dyDescent="0.25">
      <c r="A537" s="7">
        <v>2.6915880290736074</v>
      </c>
      <c r="B537"/>
      <c r="C537"/>
      <c r="D537"/>
      <c r="E537"/>
      <c r="O537" s="27" t="s">
        <v>8</v>
      </c>
      <c r="P537" s="27" t="s">
        <v>7</v>
      </c>
      <c r="Q537" s="27" t="s">
        <v>8</v>
      </c>
      <c r="R537" s="27" t="s">
        <v>7</v>
      </c>
      <c r="S537" s="27" t="s">
        <v>8</v>
      </c>
      <c r="T537" s="27" t="s">
        <v>7</v>
      </c>
      <c r="U537" s="27" t="s">
        <v>8</v>
      </c>
      <c r="V537" s="27" t="s">
        <v>7</v>
      </c>
      <c r="AA537" s="27" t="s">
        <v>8</v>
      </c>
      <c r="AI537" s="27" t="s">
        <v>8</v>
      </c>
      <c r="AJ537" s="27" t="s">
        <v>7</v>
      </c>
      <c r="AM537" s="27" t="s">
        <v>8</v>
      </c>
      <c r="AN537" s="27" t="s">
        <v>7</v>
      </c>
      <c r="AO537" s="27" t="s">
        <v>8</v>
      </c>
      <c r="AT537" s="27" t="s">
        <v>7</v>
      </c>
      <c r="AU537" s="27" t="s">
        <v>8</v>
      </c>
      <c r="AX537" s="27" t="s">
        <v>7</v>
      </c>
    </row>
    <row r="538" spans="1:59" x14ac:dyDescent="0.25">
      <c r="A538" s="7">
        <v>2.6388117932094191</v>
      </c>
      <c r="B538"/>
      <c r="C538"/>
      <c r="D538"/>
      <c r="E538"/>
      <c r="O538" s="27" t="s">
        <v>8</v>
      </c>
      <c r="P538" s="27" t="s">
        <v>7</v>
      </c>
      <c r="Q538" s="27" t="s">
        <v>8</v>
      </c>
      <c r="R538" s="27" t="s">
        <v>7</v>
      </c>
      <c r="S538" s="27" t="s">
        <v>8</v>
      </c>
      <c r="T538" s="27" t="s">
        <v>7</v>
      </c>
      <c r="U538" s="27" t="s">
        <v>8</v>
      </c>
      <c r="V538" s="27" t="s">
        <v>7</v>
      </c>
      <c r="AA538" s="27" t="s">
        <v>8</v>
      </c>
      <c r="AB538" s="27" t="s">
        <v>7</v>
      </c>
      <c r="AI538" s="27" t="s">
        <v>8</v>
      </c>
      <c r="AJ538" s="27" t="s">
        <v>7</v>
      </c>
      <c r="AK538" s="27" t="s">
        <v>8</v>
      </c>
      <c r="AM538" s="27" t="s">
        <v>8</v>
      </c>
      <c r="AN538" s="27" t="s">
        <v>7</v>
      </c>
      <c r="AO538" s="27" t="s">
        <v>8</v>
      </c>
      <c r="AT538" s="27" t="s">
        <v>7</v>
      </c>
      <c r="AU538" s="27" t="s">
        <v>8</v>
      </c>
    </row>
    <row r="539" spans="1:59" x14ac:dyDescent="0.25">
      <c r="A539" s="7">
        <v>2.5870703854994304</v>
      </c>
      <c r="B539"/>
      <c r="C539"/>
      <c r="D539"/>
      <c r="E539"/>
      <c r="M539" s="27" t="s">
        <v>8</v>
      </c>
      <c r="O539" s="27" t="s">
        <v>8</v>
      </c>
      <c r="P539" s="27" t="s">
        <v>7</v>
      </c>
      <c r="Q539" s="27" t="s">
        <v>8</v>
      </c>
      <c r="R539" s="27" t="s">
        <v>7</v>
      </c>
      <c r="S539" s="27" t="s">
        <v>8</v>
      </c>
      <c r="T539" s="27" t="s">
        <v>7</v>
      </c>
      <c r="U539" s="27" t="s">
        <v>8</v>
      </c>
      <c r="V539" s="27" t="s">
        <v>7</v>
      </c>
      <c r="AA539" s="27" t="s">
        <v>8</v>
      </c>
      <c r="AB539" s="27" t="s">
        <v>7</v>
      </c>
      <c r="AG539" s="27" t="s">
        <v>8</v>
      </c>
      <c r="AI539" s="27" t="s">
        <v>8</v>
      </c>
      <c r="AJ539" s="27" t="s">
        <v>7</v>
      </c>
      <c r="AK539" s="27" t="s">
        <v>8</v>
      </c>
      <c r="AL539" s="27" t="s">
        <v>7</v>
      </c>
      <c r="AM539" s="27" t="s">
        <v>8</v>
      </c>
      <c r="AN539" s="27" t="s">
        <v>7</v>
      </c>
      <c r="AT539" s="27" t="s">
        <v>7</v>
      </c>
    </row>
    <row r="540" spans="1:59" x14ac:dyDescent="0.25">
      <c r="A540" s="7">
        <v>2.53634351519552</v>
      </c>
      <c r="B540"/>
      <c r="C540"/>
      <c r="D540"/>
      <c r="E540"/>
      <c r="M540" s="27" t="s">
        <v>8</v>
      </c>
      <c r="N540" s="27" t="s">
        <v>7</v>
      </c>
      <c r="O540" s="27" t="s">
        <v>8</v>
      </c>
      <c r="P540" s="27" t="s">
        <v>7</v>
      </c>
      <c r="R540" s="27" t="s">
        <v>7</v>
      </c>
      <c r="S540" s="27" t="s">
        <v>8</v>
      </c>
      <c r="T540" s="27" t="s">
        <v>7</v>
      </c>
      <c r="U540" s="27" t="s">
        <v>8</v>
      </c>
      <c r="V540" s="27" t="s">
        <v>7</v>
      </c>
      <c r="AA540" s="27" t="s">
        <v>8</v>
      </c>
      <c r="AB540" s="27" t="s">
        <v>7</v>
      </c>
      <c r="AC540" s="27" t="s">
        <v>8</v>
      </c>
      <c r="AG540" s="27" t="s">
        <v>8</v>
      </c>
      <c r="AH540" s="27" t="s">
        <v>7</v>
      </c>
      <c r="AI540" s="27" t="s">
        <v>8</v>
      </c>
      <c r="AJ540" s="27" t="s">
        <v>7</v>
      </c>
      <c r="AK540" s="27" t="s">
        <v>8</v>
      </c>
      <c r="AL540" s="27" t="s">
        <v>7</v>
      </c>
      <c r="AM540" s="27" t="s">
        <v>8</v>
      </c>
    </row>
    <row r="541" spans="1:59" x14ac:dyDescent="0.25">
      <c r="A541" s="7">
        <v>2.4866112894073726</v>
      </c>
      <c r="B541"/>
      <c r="C541"/>
      <c r="D541"/>
      <c r="E541"/>
      <c r="M541" s="27" t="s">
        <v>8</v>
      </c>
      <c r="N541" s="27" t="s">
        <v>7</v>
      </c>
      <c r="O541" s="27" t="s">
        <v>8</v>
      </c>
      <c r="R541" s="27" t="s">
        <v>7</v>
      </c>
      <c r="S541" s="27" t="s">
        <v>8</v>
      </c>
      <c r="T541" s="27" t="s">
        <v>7</v>
      </c>
      <c r="U541" s="27" t="s">
        <v>8</v>
      </c>
      <c r="V541" s="27" t="s">
        <v>7</v>
      </c>
      <c r="AA541" s="27" t="s">
        <v>8</v>
      </c>
      <c r="AB541" s="27" t="s">
        <v>7</v>
      </c>
      <c r="AC541" s="27" t="s">
        <v>8</v>
      </c>
      <c r="AD541" s="27" t="s">
        <v>7</v>
      </c>
      <c r="AG541" s="27" t="s">
        <v>8</v>
      </c>
      <c r="AH541" s="27" t="s">
        <v>7</v>
      </c>
      <c r="AI541" s="27" t="s">
        <v>8</v>
      </c>
      <c r="AJ541" s="27" t="s">
        <v>7</v>
      </c>
      <c r="AL541" s="27" t="s">
        <v>7</v>
      </c>
      <c r="AM541" s="27" t="s">
        <v>8</v>
      </c>
    </row>
    <row r="542" spans="1:59" x14ac:dyDescent="0.25">
      <c r="A542" s="7">
        <v>2.4378542053013459</v>
      </c>
      <c r="B542"/>
      <c r="C542"/>
      <c r="D542"/>
      <c r="E542"/>
      <c r="G542" s="27" t="s">
        <v>8</v>
      </c>
      <c r="K542" s="27" t="s">
        <v>8</v>
      </c>
      <c r="M542" s="27" t="s">
        <v>8</v>
      </c>
      <c r="N542" s="27" t="s">
        <v>7</v>
      </c>
      <c r="R542" s="27" t="s">
        <v>7</v>
      </c>
      <c r="S542" s="27" t="s">
        <v>8</v>
      </c>
      <c r="T542" s="27" t="s">
        <v>7</v>
      </c>
      <c r="U542" s="27" t="s">
        <v>8</v>
      </c>
      <c r="V542" s="27" t="s">
        <v>7</v>
      </c>
      <c r="AA542" s="27" t="s">
        <v>8</v>
      </c>
      <c r="AB542" s="27" t="s">
        <v>7</v>
      </c>
      <c r="AC542" s="27" t="s">
        <v>8</v>
      </c>
      <c r="AD542" s="27" t="s">
        <v>7</v>
      </c>
      <c r="AE542" s="27" t="s">
        <v>8</v>
      </c>
      <c r="AG542" s="27" t="s">
        <v>8</v>
      </c>
      <c r="AH542" s="27" t="s">
        <v>7</v>
      </c>
      <c r="AL542" s="27" t="s">
        <v>7</v>
      </c>
    </row>
    <row r="543" spans="1:59" x14ac:dyDescent="0.25">
      <c r="A543" s="7">
        <v>2.3900531424522997</v>
      </c>
      <c r="B543"/>
      <c r="C543"/>
      <c r="D543"/>
      <c r="E543"/>
      <c r="G543" s="27" t="s">
        <v>8</v>
      </c>
      <c r="H543" s="27" t="s">
        <v>7</v>
      </c>
      <c r="K543" s="27" t="s">
        <v>8</v>
      </c>
      <c r="L543" s="27" t="s">
        <v>7</v>
      </c>
      <c r="M543" s="27" t="s">
        <v>8</v>
      </c>
      <c r="R543" s="27" t="s">
        <v>7</v>
      </c>
      <c r="S543" s="27" t="s">
        <v>8</v>
      </c>
      <c r="T543" s="27" t="s">
        <v>7</v>
      </c>
      <c r="U543" s="27" t="s">
        <v>8</v>
      </c>
      <c r="V543" s="27" t="s">
        <v>7</v>
      </c>
      <c r="AA543" s="27" t="s">
        <v>8</v>
      </c>
      <c r="AB543" s="27" t="s">
        <v>7</v>
      </c>
      <c r="AC543" s="27" t="s">
        <v>8</v>
      </c>
      <c r="AD543" s="27" t="s">
        <v>7</v>
      </c>
      <c r="AE543" s="27" t="s">
        <v>8</v>
      </c>
      <c r="AF543" s="27" t="s">
        <v>7</v>
      </c>
      <c r="AG543" s="27" t="s">
        <v>8</v>
      </c>
    </row>
    <row r="544" spans="1:59" x14ac:dyDescent="0.25">
      <c r="A544" s="7">
        <v>2.343189355345392</v>
      </c>
      <c r="B544"/>
      <c r="C544"/>
      <c r="D544"/>
      <c r="E544"/>
      <c r="G544" s="27" t="s">
        <v>8</v>
      </c>
      <c r="H544" s="27" t="s">
        <v>7</v>
      </c>
      <c r="I544" s="27" t="s">
        <v>8</v>
      </c>
      <c r="K544" s="27" t="s">
        <v>8</v>
      </c>
      <c r="L544" s="27" t="s">
        <v>7</v>
      </c>
      <c r="M544" s="27" t="s">
        <v>8</v>
      </c>
      <c r="R544" s="27" t="s">
        <v>7</v>
      </c>
      <c r="S544" s="27" t="s">
        <v>8</v>
      </c>
      <c r="T544" s="27" t="s">
        <v>7</v>
      </c>
      <c r="U544" s="27" t="s">
        <v>8</v>
      </c>
      <c r="V544" s="27" t="s">
        <v>7</v>
      </c>
      <c r="W544" s="27" t="s">
        <v>8</v>
      </c>
      <c r="AA544" s="27" t="s">
        <v>8</v>
      </c>
      <c r="AB544" s="27" t="s">
        <v>7</v>
      </c>
      <c r="AC544" s="27" t="s">
        <v>8</v>
      </c>
      <c r="AD544" s="27" t="s">
        <v>7</v>
      </c>
      <c r="AE544" s="27" t="s">
        <v>8</v>
      </c>
      <c r="AF544" s="27" t="s">
        <v>7</v>
      </c>
      <c r="AG544" s="27" t="s">
        <v>8</v>
      </c>
    </row>
    <row r="545" spans="1:32" x14ac:dyDescent="0.25">
      <c r="A545" s="7">
        <v>2.2972444660248938</v>
      </c>
      <c r="B545"/>
      <c r="C545"/>
      <c r="D545"/>
      <c r="E545" t="s">
        <v>8</v>
      </c>
      <c r="G545" s="27" t="s">
        <v>8</v>
      </c>
      <c r="H545" s="27" t="s">
        <v>7</v>
      </c>
      <c r="I545" s="27" t="s">
        <v>8</v>
      </c>
      <c r="J545" s="27" t="s">
        <v>7</v>
      </c>
      <c r="K545" s="27" t="s">
        <v>8</v>
      </c>
      <c r="L545" s="27" t="s">
        <v>7</v>
      </c>
      <c r="M545" s="27" t="s">
        <v>8</v>
      </c>
      <c r="R545" s="27" t="s">
        <v>7</v>
      </c>
      <c r="S545" s="27" t="s">
        <v>8</v>
      </c>
      <c r="T545" s="27" t="s">
        <v>7</v>
      </c>
      <c r="U545" s="27" t="s">
        <v>8</v>
      </c>
      <c r="V545" s="27" t="s">
        <v>7</v>
      </c>
      <c r="W545" s="27" t="s">
        <v>8</v>
      </c>
      <c r="X545" s="27" t="s">
        <v>7</v>
      </c>
      <c r="AA545" s="27" t="s">
        <v>8</v>
      </c>
      <c r="AB545" s="27" t="s">
        <v>7</v>
      </c>
      <c r="AC545" s="27" t="s">
        <v>8</v>
      </c>
      <c r="AD545" s="27" t="s">
        <v>7</v>
      </c>
      <c r="AE545" s="27" t="s">
        <v>8</v>
      </c>
      <c r="AF545" s="27" t="s">
        <v>7</v>
      </c>
    </row>
    <row r="546" spans="1:32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G546" s="27" t="s">
        <v>8</v>
      </c>
      <c r="H546" s="27" t="s">
        <v>7</v>
      </c>
      <c r="I546" s="27" t="s">
        <v>8</v>
      </c>
      <c r="J546" s="27" t="s">
        <v>7</v>
      </c>
      <c r="K546" s="27" t="s">
        <v>8</v>
      </c>
      <c r="L546" s="27" t="s">
        <v>7</v>
      </c>
      <c r="R546" s="27" t="s">
        <v>7</v>
      </c>
      <c r="S546" s="27" t="s">
        <v>8</v>
      </c>
      <c r="T546" s="27" t="s">
        <v>7</v>
      </c>
      <c r="U546" s="27" t="s">
        <v>8</v>
      </c>
      <c r="V546" s="27" t="s">
        <v>7</v>
      </c>
      <c r="W546" s="27" t="s">
        <v>8</v>
      </c>
      <c r="X546" s="27" t="s">
        <v>7</v>
      </c>
      <c r="Y546" s="27" t="s">
        <v>8</v>
      </c>
      <c r="AA546" s="27" t="s">
        <v>8</v>
      </c>
      <c r="AB546" s="27" t="s">
        <v>7</v>
      </c>
      <c r="AC546" s="27" t="s">
        <v>8</v>
      </c>
      <c r="AD546" s="27" t="s">
        <v>7</v>
      </c>
      <c r="AE546" s="27" t="s">
        <v>8</v>
      </c>
    </row>
    <row r="547" spans="1:32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G547" s="27" t="s">
        <v>8</v>
      </c>
      <c r="H547" s="27" t="s">
        <v>7</v>
      </c>
      <c r="J547" s="27" t="s">
        <v>7</v>
      </c>
      <c r="R547" s="27" t="s">
        <v>7</v>
      </c>
      <c r="S547" s="27" t="s">
        <v>8</v>
      </c>
      <c r="T547" s="27" t="s">
        <v>7</v>
      </c>
      <c r="U547" s="27" t="s">
        <v>8</v>
      </c>
      <c r="V547" s="27" t="s">
        <v>7</v>
      </c>
      <c r="W547" s="27" t="s">
        <v>8</v>
      </c>
      <c r="X547" s="27" t="s">
        <v>7</v>
      </c>
      <c r="Y547" s="27" t="s">
        <v>8</v>
      </c>
      <c r="Z547" s="27" t="s">
        <v>7</v>
      </c>
      <c r="AA547" s="27" t="s">
        <v>8</v>
      </c>
      <c r="AB547" s="27" t="s">
        <v>7</v>
      </c>
      <c r="AD547" s="27" t="s">
        <v>7</v>
      </c>
    </row>
    <row r="548" spans="1:32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R548" s="27" t="s">
        <v>7</v>
      </c>
      <c r="S548" s="27" t="s">
        <v>8</v>
      </c>
      <c r="T548" s="27" t="s">
        <v>7</v>
      </c>
      <c r="V548" s="27" t="s">
        <v>7</v>
      </c>
      <c r="W548" s="27" t="s">
        <v>8</v>
      </c>
      <c r="X548" s="27" t="s">
        <v>7</v>
      </c>
      <c r="Y548" s="27" t="s">
        <v>8</v>
      </c>
      <c r="Z548" s="27" t="s">
        <v>7</v>
      </c>
      <c r="AA548" s="27" t="s">
        <v>8</v>
      </c>
    </row>
    <row r="549" spans="1:32" x14ac:dyDescent="0.25">
      <c r="A549" s="7">
        <v>2.1222987924018204</v>
      </c>
      <c r="B549"/>
      <c r="C549"/>
      <c r="D549"/>
      <c r="E549" t="s">
        <v>8</v>
      </c>
      <c r="R549" s="27" t="s">
        <v>7</v>
      </c>
      <c r="S549" s="27" t="s">
        <v>8</v>
      </c>
      <c r="V549" s="27" t="s">
        <v>7</v>
      </c>
      <c r="W549" s="27" t="s">
        <v>8</v>
      </c>
      <c r="X549" s="27" t="s">
        <v>7</v>
      </c>
      <c r="Y549" s="27" t="s">
        <v>8</v>
      </c>
      <c r="Z549" s="27" t="s">
        <v>7</v>
      </c>
      <c r="AA549" s="27" t="s">
        <v>8</v>
      </c>
    </row>
    <row r="550" spans="1:32" x14ac:dyDescent="0.25">
      <c r="A550" s="7">
        <v>2.0806850905900198</v>
      </c>
      <c r="B550"/>
      <c r="C550"/>
      <c r="D550"/>
      <c r="E550" t="s">
        <v>8</v>
      </c>
      <c r="R550" s="27" t="s">
        <v>7</v>
      </c>
      <c r="S550" s="27" t="s">
        <v>8</v>
      </c>
      <c r="V550" s="27" t="s">
        <v>7</v>
      </c>
      <c r="W550" s="27" t="s">
        <v>8</v>
      </c>
      <c r="X550" s="27" t="s">
        <v>7</v>
      </c>
      <c r="Y550" s="27" t="s">
        <v>8</v>
      </c>
      <c r="Z550" s="27" t="s">
        <v>7</v>
      </c>
      <c r="AA550" s="27" t="s">
        <v>8</v>
      </c>
    </row>
    <row r="551" spans="1:32" x14ac:dyDescent="0.25">
      <c r="A551" s="7">
        <v>2.0398873437157055</v>
      </c>
      <c r="B551"/>
      <c r="C551"/>
      <c r="D551"/>
      <c r="E551" t="s">
        <v>8</v>
      </c>
      <c r="R551" s="27" t="s">
        <v>7</v>
      </c>
      <c r="S551" s="27" t="s">
        <v>8</v>
      </c>
      <c r="V551" s="27" t="s">
        <v>7</v>
      </c>
      <c r="W551" s="27" t="s">
        <v>8</v>
      </c>
      <c r="X551" s="27" t="s">
        <v>7</v>
      </c>
      <c r="Y551" s="27" t="s">
        <v>8</v>
      </c>
      <c r="Z551" s="27" t="s">
        <v>7</v>
      </c>
      <c r="AA551" s="27" t="s">
        <v>8</v>
      </c>
    </row>
    <row r="552" spans="1:32" x14ac:dyDescent="0.25">
      <c r="A552" s="7">
        <v>1.9998895526624565</v>
      </c>
      <c r="B552"/>
      <c r="C552"/>
      <c r="D552"/>
      <c r="E552" t="s">
        <v>8</v>
      </c>
      <c r="R552" s="27" t="s">
        <v>7</v>
      </c>
      <c r="S552" s="27" t="s">
        <v>8</v>
      </c>
      <c r="V552" s="27" t="s">
        <v>7</v>
      </c>
      <c r="W552" s="27" t="s">
        <v>8</v>
      </c>
      <c r="X552" s="27" t="s">
        <v>7</v>
      </c>
      <c r="Z552" s="27" t="s">
        <v>7</v>
      </c>
    </row>
    <row r="553" spans="1:32" x14ac:dyDescent="0.25">
      <c r="A553" s="7">
        <v>1.9606760320220162</v>
      </c>
      <c r="B553"/>
      <c r="C553"/>
      <c r="D553"/>
      <c r="E553" t="s">
        <v>8</v>
      </c>
      <c r="R553" s="27" t="s">
        <v>7</v>
      </c>
      <c r="S553" s="27" t="s">
        <v>8</v>
      </c>
      <c r="V553" s="27" t="s">
        <v>7</v>
      </c>
      <c r="W553" s="27" t="s">
        <v>8</v>
      </c>
    </row>
    <row r="554" spans="1:32" x14ac:dyDescent="0.25">
      <c r="A554" s="7">
        <v>1.9222314039431532</v>
      </c>
      <c r="B554"/>
      <c r="C554"/>
      <c r="D554"/>
      <c r="E554" t="s">
        <v>8</v>
      </c>
      <c r="R554" s="27" t="s">
        <v>7</v>
      </c>
      <c r="S554" s="27" t="s">
        <v>8</v>
      </c>
      <c r="V554" s="27" t="s">
        <v>7</v>
      </c>
      <c r="W554" s="27" t="s">
        <v>8</v>
      </c>
    </row>
    <row r="555" spans="1:32" x14ac:dyDescent="0.25">
      <c r="A555" s="7">
        <v>1.8845405921011305</v>
      </c>
      <c r="B555"/>
      <c r="C555"/>
      <c r="D555"/>
      <c r="E555" t="s">
        <v>8</v>
      </c>
      <c r="R555" s="27" t="s">
        <v>7</v>
      </c>
      <c r="S555" s="27" t="s">
        <v>8</v>
      </c>
      <c r="V555" s="27" t="s">
        <v>7</v>
      </c>
      <c r="W555" s="27" t="s">
        <v>8</v>
      </c>
    </row>
    <row r="556" spans="1:32" x14ac:dyDescent="0.25">
      <c r="A556" s="7">
        <v>1.8475888157854219</v>
      </c>
      <c r="B556"/>
      <c r="C556"/>
      <c r="D556"/>
      <c r="E556" t="s">
        <v>8</v>
      </c>
      <c r="R556" s="27" t="s">
        <v>7</v>
      </c>
      <c r="S556" s="27" t="s">
        <v>8</v>
      </c>
      <c r="V556" s="27" t="s">
        <v>7</v>
      </c>
      <c r="W556" s="27" t="s">
        <v>8</v>
      </c>
    </row>
    <row r="557" spans="1:32" x14ac:dyDescent="0.25">
      <c r="A557" s="7">
        <v>1.8113615841033548</v>
      </c>
      <c r="B557"/>
      <c r="C557"/>
      <c r="D557"/>
      <c r="E557" t="s">
        <v>8</v>
      </c>
      <c r="R557" s="27" t="s">
        <v>7</v>
      </c>
      <c r="S557" s="27" t="s">
        <v>8</v>
      </c>
      <c r="V557" s="27" t="s">
        <v>7</v>
      </c>
      <c r="W557" s="27" t="s">
        <v>8</v>
      </c>
    </row>
    <row r="558" spans="1:32" x14ac:dyDescent="0.25">
      <c r="A558" s="7">
        <v>1.7758446902974065</v>
      </c>
      <c r="B558"/>
      <c r="C558"/>
      <c r="D558"/>
      <c r="E558" t="s">
        <v>8</v>
      </c>
      <c r="R558" s="27" t="s">
        <v>7</v>
      </c>
      <c r="S558" s="27" t="s">
        <v>8</v>
      </c>
      <c r="V558" s="27" t="s">
        <v>7</v>
      </c>
    </row>
    <row r="559" spans="1:32" x14ac:dyDescent="0.25">
      <c r="A559" s="7">
        <v>1.7410242061739281</v>
      </c>
      <c r="B559"/>
      <c r="C559"/>
      <c r="D559"/>
      <c r="E559" t="s">
        <v>8</v>
      </c>
      <c r="R559" s="27" t="s">
        <v>7</v>
      </c>
      <c r="S559" s="27" t="s">
        <v>8</v>
      </c>
    </row>
    <row r="560" spans="1:32" x14ac:dyDescent="0.25">
      <c r="A560" s="7">
        <v>1.7068864766411058</v>
      </c>
      <c r="B560"/>
      <c r="C560"/>
      <c r="D560"/>
      <c r="E560" t="s">
        <v>8</v>
      </c>
      <c r="R560" s="27" t="s">
        <v>7</v>
      </c>
      <c r="S560" s="27" t="s">
        <v>8</v>
      </c>
    </row>
    <row r="561" spans="1:19" x14ac:dyDescent="0.25">
      <c r="A561" s="7">
        <v>1.6734181143540252</v>
      </c>
      <c r="B561"/>
      <c r="C561"/>
      <c r="D561"/>
      <c r="E561" t="s">
        <v>8</v>
      </c>
      <c r="R561" s="27" t="s">
        <v>7</v>
      </c>
      <c r="S561" s="27" t="s">
        <v>8</v>
      </c>
    </row>
    <row r="562" spans="1:19" x14ac:dyDescent="0.25">
      <c r="A562" s="7">
        <v>1.6406059944647307</v>
      </c>
      <c r="B562"/>
      <c r="C562"/>
      <c r="D562"/>
      <c r="E562" t="s">
        <v>8</v>
      </c>
      <c r="R562" s="27" t="s">
        <v>7</v>
      </c>
      <c r="S562" s="27" t="s">
        <v>8</v>
      </c>
    </row>
    <row r="563" spans="1:19" x14ac:dyDescent="0.25">
      <c r="A563" s="7">
        <v>1.6084372494752261</v>
      </c>
      <c r="B563"/>
      <c r="C563"/>
      <c r="D563"/>
      <c r="E563" t="s">
        <v>8</v>
      </c>
      <c r="R563" s="27" t="s">
        <v>7</v>
      </c>
      <c r="S563" s="27" t="s">
        <v>8</v>
      </c>
    </row>
    <row r="564" spans="1:19" x14ac:dyDescent="0.25">
      <c r="A564" s="7">
        <v>1.5768992641913981</v>
      </c>
      <c r="B564"/>
      <c r="C564"/>
      <c r="D564"/>
      <c r="E564" t="s">
        <v>8</v>
      </c>
      <c r="R564" s="27" t="s">
        <v>7</v>
      </c>
      <c r="S564" s="27" t="s">
        <v>8</v>
      </c>
    </row>
    <row r="565" spans="1:19" x14ac:dyDescent="0.25">
      <c r="A565" s="7">
        <v>1.5459796707758806</v>
      </c>
      <c r="B565"/>
      <c r="C565"/>
      <c r="D565"/>
      <c r="E565" t="s">
        <v>8</v>
      </c>
      <c r="R565" s="27" t="s">
        <v>7</v>
      </c>
      <c r="S565" s="27" t="s">
        <v>8</v>
      </c>
    </row>
    <row r="566" spans="1:19" x14ac:dyDescent="0.25">
      <c r="A566" s="7">
        <v>1.5156663438979221</v>
      </c>
      <c r="B566"/>
      <c r="C566"/>
      <c r="D566"/>
      <c r="E566" t="s">
        <v>8</v>
      </c>
      <c r="R566" s="27" t="s">
        <v>7</v>
      </c>
      <c r="S566" s="27" t="s">
        <v>8</v>
      </c>
    </row>
    <row r="567" spans="1:19" x14ac:dyDescent="0.25">
      <c r="A567" s="7">
        <v>1.4859473959783549</v>
      </c>
      <c r="B567"/>
      <c r="C567"/>
      <c r="D567"/>
      <c r="E567" t="s">
        <v>8</v>
      </c>
      <c r="R567" s="27" t="s">
        <v>7</v>
      </c>
      <c r="S567" s="27" t="s">
        <v>8</v>
      </c>
    </row>
    <row r="568" spans="1:19" x14ac:dyDescent="0.25">
      <c r="A568" s="7">
        <v>1.4568111725277988</v>
      </c>
      <c r="B568"/>
      <c r="C568"/>
      <c r="D568"/>
      <c r="E568" t="s">
        <v>8</v>
      </c>
      <c r="R568" s="27" t="s">
        <v>7</v>
      </c>
      <c r="S568" s="27" t="s">
        <v>8</v>
      </c>
    </row>
    <row r="569" spans="1:19" x14ac:dyDescent="0.25">
      <c r="A569" s="7">
        <v>1.4282462475762734</v>
      </c>
      <c r="B569"/>
      <c r="C569"/>
      <c r="D569"/>
      <c r="E569" t="s">
        <v>8</v>
      </c>
      <c r="R569" s="27" t="s">
        <v>7</v>
      </c>
      <c r="S569" s="27" t="s">
        <v>8</v>
      </c>
    </row>
    <row r="570" spans="1:19" x14ac:dyDescent="0.25">
      <c r="A570" s="7">
        <v>1.4002414191924248</v>
      </c>
      <c r="B570"/>
      <c r="C570"/>
      <c r="D570"/>
      <c r="E570" t="s">
        <v>8</v>
      </c>
      <c r="R570" s="27" t="s">
        <v>7</v>
      </c>
      <c r="S570" s="27" t="s">
        <v>8</v>
      </c>
    </row>
    <row r="571" spans="1:19" x14ac:dyDescent="0.25">
      <c r="A571" s="7">
        <v>1.3727857050906125</v>
      </c>
      <c r="B571"/>
      <c r="C571"/>
      <c r="D571"/>
      <c r="E571" t="s">
        <v>8</v>
      </c>
      <c r="R571" s="27" t="s">
        <v>7</v>
      </c>
      <c r="S571" s="27" t="s">
        <v>8</v>
      </c>
    </row>
    <row r="572" spans="1:19" x14ac:dyDescent="0.25">
      <c r="A572" s="7">
        <v>1.3458683383241299</v>
      </c>
      <c r="B572"/>
      <c r="C572"/>
      <c r="D572"/>
      <c r="E572" t="s">
        <v>8</v>
      </c>
      <c r="R572" s="27" t="s">
        <v>7</v>
      </c>
      <c r="S572" s="27" t="s">
        <v>8</v>
      </c>
    </row>
    <row r="573" spans="1:19" x14ac:dyDescent="0.25">
      <c r="A573" s="7">
        <v>1.3194787630628724</v>
      </c>
      <c r="B573"/>
      <c r="C573"/>
      <c r="D573"/>
      <c r="E573" t="s">
        <v>8</v>
      </c>
      <c r="R573" s="27" t="s">
        <v>7</v>
      </c>
      <c r="S573" s="27" t="s">
        <v>8</v>
      </c>
    </row>
    <row r="574" spans="1:19" x14ac:dyDescent="0.25">
      <c r="A574" s="7">
        <v>1.2936066304537963</v>
      </c>
      <c r="B574"/>
      <c r="C574"/>
      <c r="D574"/>
      <c r="E574" t="s">
        <v>8</v>
      </c>
      <c r="R574" s="27" t="s">
        <v>7</v>
      </c>
      <c r="S574" s="27" t="s">
        <v>8</v>
      </c>
    </row>
    <row r="575" spans="1:19" x14ac:dyDescent="0.25">
      <c r="A575" s="7">
        <v>1.2682417945625455</v>
      </c>
      <c r="B575"/>
      <c r="C575"/>
      <c r="D575"/>
      <c r="E575" t="s">
        <v>8</v>
      </c>
      <c r="R575" s="27" t="s">
        <v>7</v>
      </c>
      <c r="S575" s="27" t="s">
        <v>8</v>
      </c>
    </row>
    <row r="576" spans="1:19" x14ac:dyDescent="0.25">
      <c r="A576" s="7">
        <v>1.2433743083946525</v>
      </c>
      <c r="B576"/>
      <c r="C576"/>
      <c r="D576"/>
      <c r="E576" t="s">
        <v>8</v>
      </c>
      <c r="R576" s="27" t="s">
        <v>7</v>
      </c>
      <c r="S576" s="27" t="s">
        <v>8</v>
      </c>
    </row>
    <row r="577" spans="1:19" x14ac:dyDescent="0.25">
      <c r="A577" s="7">
        <v>1.2189944199947573</v>
      </c>
      <c r="B577"/>
      <c r="C577"/>
      <c r="D577"/>
      <c r="E577" t="s">
        <v>8</v>
      </c>
      <c r="R577" s="27" t="s">
        <v>7</v>
      </c>
      <c r="S577" s="27" t="s">
        <v>8</v>
      </c>
    </row>
    <row r="578" spans="1:19" x14ac:dyDescent="0.25">
      <c r="A578" s="7">
        <v>1.1950925686223111</v>
      </c>
      <c r="B578"/>
      <c r="C578"/>
      <c r="D578"/>
      <c r="E578" t="s">
        <v>8</v>
      </c>
      <c r="R578" s="27" t="s">
        <v>7</v>
      </c>
      <c r="S578" s="27" t="s">
        <v>8</v>
      </c>
    </row>
    <row r="579" spans="1:19" x14ac:dyDescent="0.25">
      <c r="A579" s="7">
        <v>1.1716593810022657</v>
      </c>
      <c r="B579"/>
      <c r="C579"/>
      <c r="D579"/>
      <c r="E579" t="s">
        <v>8</v>
      </c>
      <c r="R579" s="27" t="s">
        <v>7</v>
      </c>
      <c r="S579" s="27" t="s">
        <v>8</v>
      </c>
    </row>
    <row r="580" spans="1:19" x14ac:dyDescent="0.25">
      <c r="A580" s="7">
        <v>1.14868566764928</v>
      </c>
      <c r="B580"/>
      <c r="C580"/>
      <c r="D580"/>
      <c r="E580" t="s">
        <v>8</v>
      </c>
      <c r="R580" s="27" t="s">
        <v>7</v>
      </c>
      <c r="S580" s="27" t="s">
        <v>8</v>
      </c>
    </row>
    <row r="581" spans="1:19" x14ac:dyDescent="0.25">
      <c r="A581" s="7">
        <v>1.1261624192640001</v>
      </c>
      <c r="B581"/>
      <c r="C581"/>
      <c r="D581"/>
      <c r="E581" t="s">
        <v>8</v>
      </c>
      <c r="R581" s="27" t="s">
        <v>7</v>
      </c>
      <c r="S581" s="27" t="s">
        <v>8</v>
      </c>
    </row>
    <row r="582" spans="1:19" x14ac:dyDescent="0.25">
      <c r="A582" s="7">
        <v>1.1040808032</v>
      </c>
      <c r="B582"/>
      <c r="C582"/>
      <c r="D582"/>
      <c r="E582" t="s">
        <v>8</v>
      </c>
      <c r="R582" s="27" t="s">
        <v>7</v>
      </c>
      <c r="S582" s="27" t="s">
        <v>8</v>
      </c>
    </row>
    <row r="583" spans="1:19" x14ac:dyDescent="0.25">
      <c r="A583" s="7">
        <v>1.08243216</v>
      </c>
      <c r="B583"/>
      <c r="C583"/>
      <c r="D583"/>
      <c r="E583" t="s">
        <v>8</v>
      </c>
      <c r="R583" s="27" t="s">
        <v>7</v>
      </c>
      <c r="S583" s="27" t="s">
        <v>8</v>
      </c>
    </row>
    <row r="584" spans="1:19" x14ac:dyDescent="0.25">
      <c r="A584" s="7">
        <v>1.0612079999999999</v>
      </c>
      <c r="B584"/>
      <c r="C584"/>
      <c r="D584"/>
      <c r="E584" t="s">
        <v>8</v>
      </c>
      <c r="R584" s="27" t="s">
        <v>7</v>
      </c>
      <c r="S584" s="27" t="s">
        <v>8</v>
      </c>
    </row>
    <row r="585" spans="1:19" x14ac:dyDescent="0.25">
      <c r="A585" s="7">
        <v>1.0404</v>
      </c>
      <c r="B585"/>
      <c r="C585"/>
      <c r="D585"/>
      <c r="E585" t="s">
        <v>8</v>
      </c>
      <c r="R585" s="27" t="s">
        <v>7</v>
      </c>
      <c r="S585" s="27" t="s">
        <v>8</v>
      </c>
    </row>
    <row r="586" spans="1:19" x14ac:dyDescent="0.25">
      <c r="A586" s="7">
        <v>1.02</v>
      </c>
      <c r="B586"/>
      <c r="C586"/>
      <c r="D586"/>
      <c r="E586" t="s">
        <v>8</v>
      </c>
      <c r="R586" s="27" t="s">
        <v>7</v>
      </c>
      <c r="S586" s="27" t="s">
        <v>8</v>
      </c>
    </row>
    <row r="587" spans="1:19" x14ac:dyDescent="0.25">
      <c r="A587" s="7">
        <v>1</v>
      </c>
      <c r="B587"/>
      <c r="C587"/>
      <c r="D587"/>
      <c r="E587" s="29" t="s">
        <v>8</v>
      </c>
      <c r="R587" s="27" t="s">
        <v>7</v>
      </c>
      <c r="S587" s="27" t="s">
        <v>8</v>
      </c>
    </row>
    <row r="588" spans="1:19" x14ac:dyDescent="0.25">
      <c r="A588" s="7">
        <v>0.98039215686274506</v>
      </c>
      <c r="B588"/>
      <c r="C588"/>
      <c r="D588"/>
      <c r="E588"/>
      <c r="R588" s="27" t="s">
        <v>7</v>
      </c>
      <c r="S588" s="27" t="s">
        <v>8</v>
      </c>
    </row>
    <row r="589" spans="1:19" x14ac:dyDescent="0.25">
      <c r="A589" s="7">
        <v>0.96116878123798544</v>
      </c>
      <c r="B589"/>
      <c r="C589"/>
      <c r="D589"/>
      <c r="E589"/>
      <c r="R589" s="27" t="s">
        <v>7</v>
      </c>
      <c r="S589" s="27" t="s">
        <v>8</v>
      </c>
    </row>
    <row r="590" spans="1:19" x14ac:dyDescent="0.25">
      <c r="A590" s="7">
        <v>0.94232233454704462</v>
      </c>
      <c r="B590"/>
      <c r="C590"/>
      <c r="D590"/>
      <c r="E590"/>
      <c r="R590" s="27" t="s">
        <v>7</v>
      </c>
      <c r="S590" s="27" t="s">
        <v>8</v>
      </c>
    </row>
    <row r="591" spans="1:19" x14ac:dyDescent="0.25">
      <c r="A591" s="7">
        <v>0.92384542602651432</v>
      </c>
      <c r="B591"/>
      <c r="C591"/>
      <c r="D591"/>
      <c r="E591"/>
      <c r="R591" s="27" t="s">
        <v>7</v>
      </c>
      <c r="S591" s="27" t="s">
        <v>8</v>
      </c>
    </row>
    <row r="592" spans="1:19" x14ac:dyDescent="0.25">
      <c r="A592" s="7">
        <v>0.90573080982991594</v>
      </c>
      <c r="B592"/>
      <c r="C592"/>
      <c r="D592"/>
      <c r="E592"/>
      <c r="R592" s="27" t="s">
        <v>7</v>
      </c>
      <c r="S592" s="27" t="s">
        <v>8</v>
      </c>
    </row>
    <row r="593" spans="1:19" x14ac:dyDescent="0.25">
      <c r="A593" s="7">
        <v>0.8879713821861922</v>
      </c>
      <c r="B593"/>
      <c r="C593"/>
      <c r="D593"/>
      <c r="E593"/>
      <c r="R593" s="27" t="s">
        <v>7</v>
      </c>
      <c r="S593" s="27" t="s">
        <v>8</v>
      </c>
    </row>
    <row r="594" spans="1:19" x14ac:dyDescent="0.25">
      <c r="A594" s="7">
        <v>0.87056017861391399</v>
      </c>
      <c r="B594"/>
      <c r="C594"/>
      <c r="D594"/>
      <c r="E594"/>
      <c r="R594" s="27" t="s">
        <v>7</v>
      </c>
      <c r="S594" s="27" t="s">
        <v>8</v>
      </c>
    </row>
    <row r="595" spans="1:19" x14ac:dyDescent="0.25">
      <c r="A595" s="7">
        <v>0.85349037119011173</v>
      </c>
      <c r="B595"/>
      <c r="C595"/>
      <c r="D595"/>
      <c r="E595"/>
      <c r="R595" s="27" t="s">
        <v>7</v>
      </c>
      <c r="S595" s="27" t="s">
        <v>8</v>
      </c>
    </row>
    <row r="596" spans="1:19" x14ac:dyDescent="0.25">
      <c r="A596" s="7">
        <v>0.83675526587265858</v>
      </c>
      <c r="B596"/>
      <c r="C596"/>
      <c r="D596"/>
      <c r="E596"/>
      <c r="R596" s="27" t="s">
        <v>7</v>
      </c>
      <c r="S596" s="27" t="s">
        <v>8</v>
      </c>
    </row>
    <row r="597" spans="1:19" x14ac:dyDescent="0.25">
      <c r="A597" s="7">
        <v>0.82034829987515545</v>
      </c>
      <c r="B597"/>
      <c r="C597"/>
      <c r="D597"/>
      <c r="E597"/>
      <c r="R597" s="27" t="s">
        <v>7</v>
      </c>
      <c r="S597" s="27" t="s">
        <v>8</v>
      </c>
    </row>
    <row r="598" spans="1:19" x14ac:dyDescent="0.25">
      <c r="A598" s="7">
        <v>0.80426303909328967</v>
      </c>
      <c r="B598"/>
      <c r="C598"/>
      <c r="D598"/>
      <c r="E598"/>
      <c r="R598" s="27" t="s">
        <v>7</v>
      </c>
      <c r="S598" s="27" t="s">
        <v>8</v>
      </c>
    </row>
    <row r="599" spans="1:19" x14ac:dyDescent="0.25">
      <c r="A599" s="7">
        <v>0.78849317558165644</v>
      </c>
      <c r="B599"/>
      <c r="C599"/>
      <c r="D599"/>
      <c r="E599"/>
      <c r="R599" s="27" t="s">
        <v>7</v>
      </c>
      <c r="S599" s="27" t="s">
        <v>8</v>
      </c>
    </row>
    <row r="600" spans="1:19" x14ac:dyDescent="0.25">
      <c r="A600" s="7">
        <v>0.77303252508005538</v>
      </c>
      <c r="B600"/>
      <c r="C600"/>
      <c r="D600"/>
      <c r="E600"/>
      <c r="R600" s="27" t="s">
        <v>7</v>
      </c>
      <c r="S600" s="27" t="s">
        <v>8</v>
      </c>
    </row>
    <row r="601" spans="1:19" x14ac:dyDescent="0.25">
      <c r="A601" s="7">
        <v>0.75787502458828959</v>
      </c>
      <c r="B601"/>
      <c r="C601"/>
      <c r="D601"/>
      <c r="E601"/>
      <c r="R601" s="27" t="s">
        <v>7</v>
      </c>
      <c r="S601" s="27" t="s">
        <v>8</v>
      </c>
    </row>
    <row r="602" spans="1:19" x14ac:dyDescent="0.25">
      <c r="A602" s="7">
        <v>0.74301472998851925</v>
      </c>
      <c r="B602"/>
      <c r="C602"/>
      <c r="D602"/>
      <c r="E602"/>
      <c r="R602" s="27" t="s">
        <v>7</v>
      </c>
      <c r="S602" s="27" t="s">
        <v>8</v>
      </c>
    </row>
    <row r="603" spans="1:19" x14ac:dyDescent="0.25">
      <c r="A603" s="7">
        <v>0.72844581371423456</v>
      </c>
      <c r="B603"/>
      <c r="C603"/>
      <c r="D603"/>
      <c r="E603"/>
      <c r="R603" s="27" t="s">
        <v>7</v>
      </c>
      <c r="S603" s="27" t="s">
        <v>8</v>
      </c>
    </row>
    <row r="604" spans="1:19" x14ac:dyDescent="0.25">
      <c r="A604" s="7">
        <v>0.71416256246493581</v>
      </c>
      <c r="B604"/>
      <c r="C604"/>
      <c r="D604"/>
      <c r="E604"/>
      <c r="R604" s="27" t="s">
        <v>7</v>
      </c>
      <c r="S604" s="27" t="s">
        <v>8</v>
      </c>
    </row>
    <row r="605" spans="1:19" x14ac:dyDescent="0.25">
      <c r="A605" s="7">
        <v>0.7001593749656233</v>
      </c>
      <c r="B605"/>
      <c r="C605"/>
      <c r="D605"/>
      <c r="E605"/>
      <c r="R605" s="27" t="s">
        <v>7</v>
      </c>
      <c r="S605" s="27" t="s">
        <v>8</v>
      </c>
    </row>
    <row r="606" spans="1:19" x14ac:dyDescent="0.25">
      <c r="A606" s="7">
        <v>0.68643075977021883</v>
      </c>
      <c r="B606"/>
      <c r="C606"/>
      <c r="D606"/>
      <c r="E606"/>
      <c r="R606" s="27" t="s">
        <v>7</v>
      </c>
      <c r="S606" s="27" t="s">
        <v>8</v>
      </c>
    </row>
    <row r="607" spans="1:19" x14ac:dyDescent="0.25">
      <c r="A607" s="7">
        <v>0.67297133310805768</v>
      </c>
      <c r="B607"/>
      <c r="C607"/>
      <c r="D607"/>
      <c r="E607"/>
      <c r="R607" s="27" t="s">
        <v>7</v>
      </c>
      <c r="S607" s="27" t="s">
        <v>8</v>
      </c>
    </row>
    <row r="608" spans="1:19" x14ac:dyDescent="0.25">
      <c r="A608" s="7">
        <v>0.65977581677260566</v>
      </c>
      <c r="B608"/>
      <c r="C608"/>
      <c r="D608"/>
      <c r="E608"/>
      <c r="R608" s="27" t="s">
        <v>7</v>
      </c>
      <c r="S608" s="27" t="s">
        <v>8</v>
      </c>
    </row>
    <row r="609" spans="1:19" x14ac:dyDescent="0.25">
      <c r="A609" s="7">
        <v>0.64683903605157422</v>
      </c>
      <c r="B609"/>
      <c r="C609"/>
      <c r="D609"/>
      <c r="E609"/>
      <c r="R609" s="27" t="s">
        <v>7</v>
      </c>
      <c r="S609" s="27" t="s">
        <v>8</v>
      </c>
    </row>
    <row r="610" spans="1:19" x14ac:dyDescent="0.25">
      <c r="A610" s="7">
        <v>0.63415591769762181</v>
      </c>
      <c r="B610"/>
      <c r="C610"/>
      <c r="D610"/>
      <c r="E610"/>
      <c r="R610" s="27" t="s">
        <v>7</v>
      </c>
      <c r="S610" s="27" t="s">
        <v>8</v>
      </c>
    </row>
    <row r="611" spans="1:19" x14ac:dyDescent="0.25">
      <c r="A611" s="7">
        <v>0.62172148793884496</v>
      </c>
      <c r="B611"/>
      <c r="C611"/>
      <c r="D611"/>
      <c r="E611"/>
      <c r="R611" s="27" t="s">
        <v>7</v>
      </c>
      <c r="S611" s="27" t="s">
        <v>8</v>
      </c>
    </row>
    <row r="612" spans="1:19" x14ac:dyDescent="0.25">
      <c r="A612" s="7">
        <v>0.60953087052827937</v>
      </c>
      <c r="B612"/>
      <c r="C612"/>
      <c r="D612"/>
      <c r="E612"/>
      <c r="R612" s="27" t="s">
        <v>7</v>
      </c>
      <c r="S612" s="27" t="s">
        <v>8</v>
      </c>
    </row>
    <row r="613" spans="1:19" x14ac:dyDescent="0.25">
      <c r="A613" s="7">
        <v>0.59757928483164646</v>
      </c>
      <c r="B613"/>
      <c r="C613"/>
      <c r="D613"/>
      <c r="E613"/>
      <c r="R613" s="27" t="s">
        <v>7</v>
      </c>
      <c r="S613" s="27" t="s">
        <v>8</v>
      </c>
    </row>
    <row r="614" spans="1:19" x14ac:dyDescent="0.25">
      <c r="A614" s="7">
        <v>0.58586204395259456</v>
      </c>
      <c r="B614"/>
      <c r="C614"/>
      <c r="D614"/>
      <c r="E614"/>
      <c r="R614" s="27" t="s">
        <v>7</v>
      </c>
      <c r="S614" s="27" t="s">
        <v>8</v>
      </c>
    </row>
    <row r="615" spans="1:19" x14ac:dyDescent="0.25">
      <c r="A615" s="7">
        <v>0.57437455289470052</v>
      </c>
      <c r="B615"/>
      <c r="C615"/>
      <c r="D615"/>
      <c r="E615"/>
      <c r="R615" s="27" t="s">
        <v>7</v>
      </c>
      <c r="S615" s="27" t="s">
        <v>8</v>
      </c>
    </row>
    <row r="616" spans="1:19" x14ac:dyDescent="0.25">
      <c r="A616" s="7">
        <v>0.56311230675951029</v>
      </c>
      <c r="B616"/>
      <c r="C616"/>
      <c r="D616"/>
      <c r="E616"/>
      <c r="R616" s="27" t="s">
        <v>7</v>
      </c>
      <c r="S616" s="27" t="s">
        <v>8</v>
      </c>
    </row>
    <row r="617" spans="1:19" x14ac:dyDescent="0.25">
      <c r="A617" s="7">
        <v>0.55207088897991208</v>
      </c>
      <c r="B617"/>
      <c r="C617"/>
      <c r="D617"/>
      <c r="E617"/>
      <c r="R617" s="27" t="s">
        <v>7</v>
      </c>
      <c r="S617" s="27" t="s">
        <v>8</v>
      </c>
    </row>
    <row r="618" spans="1:19" x14ac:dyDescent="0.25">
      <c r="A618" s="7">
        <v>0.54124596958814908</v>
      </c>
      <c r="B618"/>
      <c r="C618"/>
      <c r="D618"/>
      <c r="E618"/>
      <c r="R618" s="27" t="s">
        <v>7</v>
      </c>
      <c r="S618" s="27" t="s">
        <v>8</v>
      </c>
    </row>
    <row r="619" spans="1:19" x14ac:dyDescent="0.25">
      <c r="A619" s="7">
        <v>0.53063330351779314</v>
      </c>
      <c r="B619"/>
      <c r="C619"/>
      <c r="D619"/>
      <c r="E619"/>
      <c r="R619" s="27" t="s">
        <v>7</v>
      </c>
      <c r="S619" s="27" t="s">
        <v>8</v>
      </c>
    </row>
    <row r="620" spans="1:19" x14ac:dyDescent="0.25">
      <c r="A620" s="7">
        <v>0.52022872893901284</v>
      </c>
      <c r="B620"/>
      <c r="C620"/>
      <c r="D620"/>
      <c r="E620"/>
      <c r="R620" s="27" t="s">
        <v>7</v>
      </c>
      <c r="S620" s="27" t="s">
        <v>8</v>
      </c>
    </row>
    <row r="621" spans="1:19" x14ac:dyDescent="0.25">
      <c r="A621" s="7">
        <v>0.51002816562648323</v>
      </c>
      <c r="B621"/>
      <c r="C621"/>
      <c r="D621"/>
      <c r="E621"/>
      <c r="R621" s="27" t="s">
        <v>7</v>
      </c>
      <c r="S621" s="27" t="s">
        <v>8</v>
      </c>
    </row>
    <row r="622" spans="1:19" x14ac:dyDescent="0.25">
      <c r="A622" s="7">
        <v>0.50002761335929735</v>
      </c>
      <c r="B622"/>
      <c r="C622"/>
      <c r="D622"/>
      <c r="E622"/>
      <c r="R622" s="27" t="s">
        <v>7</v>
      </c>
    </row>
    <row r="623" spans="1:19" x14ac:dyDescent="0.25">
      <c r="A623" s="7">
        <v>0.49022315035225228</v>
      </c>
      <c r="B623"/>
      <c r="C623"/>
      <c r="D623"/>
      <c r="E623"/>
    </row>
    <row r="624" spans="1:19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75" operator="equal">
      <formula>$U$1</formula>
    </cfRule>
    <cfRule type="cellIs" dxfId="89" priority="1176" operator="equal">
      <formula>$S$1</formula>
    </cfRule>
  </conditionalFormatting>
  <conditionalFormatting sqref="D27">
    <cfRule type="cellIs" dxfId="88" priority="1173" operator="equal">
      <formula>$S$1</formula>
    </cfRule>
    <cfRule type="cellIs" dxfId="87" priority="1174" operator="equal">
      <formula>$U$1</formula>
    </cfRule>
  </conditionalFormatting>
  <conditionalFormatting sqref="C164">
    <cfRule type="cellIs" dxfId="86" priority="1171" operator="equal">
      <formula>$U$1</formula>
    </cfRule>
    <cfRule type="cellIs" dxfId="85" priority="1172" operator="equal">
      <formula>$S$1</formula>
    </cfRule>
  </conditionalFormatting>
  <conditionalFormatting sqref="D164">
    <cfRule type="cellIs" dxfId="84" priority="1169" operator="equal">
      <formula>$S$1</formula>
    </cfRule>
    <cfRule type="cellIs" dxfId="83" priority="1170" operator="equal">
      <formula>$U$1</formula>
    </cfRule>
  </conditionalFormatting>
  <conditionalFormatting sqref="C55">
    <cfRule type="cellIs" dxfId="82" priority="1167" operator="equal">
      <formula>$U$1</formula>
    </cfRule>
    <cfRule type="cellIs" dxfId="81" priority="1168" operator="equal">
      <formula>$S$1</formula>
    </cfRule>
  </conditionalFormatting>
  <conditionalFormatting sqref="D55">
    <cfRule type="cellIs" dxfId="80" priority="1165" operator="equal">
      <formula>$S$1</formula>
    </cfRule>
    <cfRule type="cellIs" dxfId="79" priority="1166" operator="equal">
      <formula>$U$1</formula>
    </cfRule>
  </conditionalFormatting>
  <conditionalFormatting sqref="C89">
    <cfRule type="cellIs" dxfId="78" priority="1163" operator="equal">
      <formula>$U$1</formula>
    </cfRule>
    <cfRule type="cellIs" dxfId="77" priority="1164" operator="equal">
      <formula>$S$1</formula>
    </cfRule>
  </conditionalFormatting>
  <conditionalFormatting sqref="D89">
    <cfRule type="cellIs" dxfId="76" priority="1161" operator="equal">
      <formula>$S$1</formula>
    </cfRule>
    <cfRule type="cellIs" dxfId="75" priority="1162" operator="equal">
      <formula>$U$1</formula>
    </cfRule>
  </conditionalFormatting>
  <conditionalFormatting sqref="C136">
    <cfRule type="cellIs" dxfId="74" priority="1159" operator="equal">
      <formula>$U$1</formula>
    </cfRule>
    <cfRule type="cellIs" dxfId="73" priority="1160" operator="equal">
      <formula>$S$1</formula>
    </cfRule>
  </conditionalFormatting>
  <conditionalFormatting sqref="D136">
    <cfRule type="cellIs" dxfId="72" priority="1157" operator="equal">
      <formula>$S$1</formula>
    </cfRule>
    <cfRule type="cellIs" dxfId="71" priority="1158" operator="equal">
      <formula>$U$1</formula>
    </cfRule>
  </conditionalFormatting>
  <conditionalFormatting sqref="C1">
    <cfRule type="cellIs" dxfId="70" priority="115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43" zoomScale="90" zoomScaleNormal="90" workbookViewId="0">
      <pane xSplit="4" topLeftCell="AU1" activePane="topRight" state="frozen"/>
      <selection activeCell="A109" sqref="A109"/>
      <selection pane="topRight" activeCell="CI165" sqref="CI16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$A$164</v>
      </c>
      <c r="D111" s="1" t="str">
        <f>ADDRESS(C121-1,D121,1,1)</f>
        <v>$CI$164</v>
      </c>
      <c r="E111"/>
    </row>
    <row r="112" spans="1:5" x14ac:dyDescent="0.25">
      <c r="A112" s="30">
        <v>515.50191262726139</v>
      </c>
      <c r="C112" s="1" t="str">
        <f>ADDRESS(C121,1,1,1)</f>
        <v>$A$165</v>
      </c>
      <c r="D112" s="1" t="str">
        <f>ADDRESS(C121,D121-1,1,1)</f>
        <v>$CH$165</v>
      </c>
      <c r="E112"/>
    </row>
    <row r="113" spans="1:5" x14ac:dyDescent="0.25">
      <c r="A113" s="30">
        <v>490.95420250215363</v>
      </c>
      <c r="C113" s="1" t="str">
        <f>ADDRESS(C121+1,1,1,1)</f>
        <v>$A$166</v>
      </c>
      <c r="D113" s="1" t="str">
        <f>ADDRESS(C121-1,D121+1,1,1)</f>
        <v>$CJ$164</v>
      </c>
    </row>
    <row r="114" spans="1:5" x14ac:dyDescent="0.25">
      <c r="A114" s="30">
        <v>467.57543095443202</v>
      </c>
      <c r="C114" s="1" t="str">
        <f>ADDRESS(C121,D121,1,1)</f>
        <v>$CI$165</v>
      </c>
      <c r="D114" s="1" t="str">
        <f>ADDRESS(C121+1,D121+1,1,1)</f>
        <v>$CJ$166</v>
      </c>
    </row>
    <row r="115" spans="1:5" x14ac:dyDescent="0.25">
      <c r="A115" s="30">
        <v>445.30993424231622</v>
      </c>
      <c r="C115" s="1" t="str">
        <f>ADDRESS(C121+1,D121,1,1)</f>
        <v>$CI$166</v>
      </c>
    </row>
    <row r="116" spans="1:5" x14ac:dyDescent="0.25">
      <c r="A116" s="30">
        <v>424.10469927839637</v>
      </c>
      <c r="C116" s="1">
        <f>C117-1</f>
        <v>164</v>
      </c>
    </row>
    <row r="117" spans="1:5" x14ac:dyDescent="0.25">
      <c r="A117" s="30">
        <v>403.9092374079965</v>
      </c>
      <c r="C117" s="1">
        <f>C121</f>
        <v>165</v>
      </c>
      <c r="D117" s="1">
        <f>D121</f>
        <v>87</v>
      </c>
    </row>
    <row r="118" spans="1:5" x14ac:dyDescent="0.25">
      <c r="A118" s="30">
        <v>384.6754641980919</v>
      </c>
      <c r="C118" s="1">
        <f>C117+1</f>
        <v>166</v>
      </c>
      <c r="D118" s="1">
        <f>D117+1</f>
        <v>88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165</v>
      </c>
      <c r="D121" s="19">
        <v>87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R165</v>
      </c>
      <c r="D123" s="1" t="str">
        <f>"C"&amp;D121</f>
        <v>C87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38.832685923755633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86" x14ac:dyDescent="0.25">
      <c r="A145" s="30">
        <v>103.03467644609493</v>
      </c>
      <c r="E145"/>
    </row>
    <row r="146" spans="1:86" x14ac:dyDescent="0.25">
      <c r="A146" s="30">
        <v>98.128263281995174</v>
      </c>
      <c r="E146"/>
    </row>
    <row r="147" spans="1:86" x14ac:dyDescent="0.25">
      <c r="A147" s="30">
        <v>93.455488839995397</v>
      </c>
      <c r="E147"/>
    </row>
    <row r="148" spans="1:86" x14ac:dyDescent="0.25">
      <c r="A148" s="30">
        <v>89.005227466662276</v>
      </c>
      <c r="E148"/>
    </row>
    <row r="149" spans="1:86" x14ac:dyDescent="0.25">
      <c r="A149" s="30">
        <v>84.766883301583121</v>
      </c>
      <c r="E149"/>
      <c r="BS149" s="27" t="s">
        <v>8</v>
      </c>
    </row>
    <row r="150" spans="1:86" x14ac:dyDescent="0.25">
      <c r="A150" s="30">
        <v>80.730365049126775</v>
      </c>
      <c r="E150"/>
      <c r="BQ150" s="27" t="s">
        <v>8</v>
      </c>
      <c r="BS150" s="27" t="s">
        <v>8</v>
      </c>
      <c r="BT150" s="27" t="s">
        <v>7</v>
      </c>
    </row>
    <row r="151" spans="1:86" x14ac:dyDescent="0.25">
      <c r="A151" s="30">
        <v>76.886061951549308</v>
      </c>
      <c r="E151"/>
      <c r="BQ151" s="27" t="s">
        <v>8</v>
      </c>
      <c r="BR151" s="27" t="s">
        <v>7</v>
      </c>
      <c r="BS151" s="27" t="s">
        <v>8</v>
      </c>
      <c r="BT151" s="27" t="s">
        <v>7</v>
      </c>
    </row>
    <row r="152" spans="1:86" x14ac:dyDescent="0.25">
      <c r="A152" s="30">
        <v>73.22482090623744</v>
      </c>
      <c r="E152"/>
      <c r="BQ152" s="27" t="s">
        <v>8</v>
      </c>
      <c r="BR152" s="27" t="s">
        <v>7</v>
      </c>
      <c r="BS152" s="27" t="s">
        <v>8</v>
      </c>
      <c r="BT152" s="27" t="s">
        <v>7</v>
      </c>
      <c r="CA152" s="27" t="s">
        <v>8</v>
      </c>
    </row>
    <row r="153" spans="1:86" x14ac:dyDescent="0.25">
      <c r="A153" s="30">
        <v>69.737924672607079</v>
      </c>
      <c r="C153" s="7"/>
      <c r="D153"/>
      <c r="E153"/>
      <c r="BO153" s="27" t="s">
        <v>8</v>
      </c>
      <c r="BQ153" s="27" t="s">
        <v>8</v>
      </c>
      <c r="BR153" s="27" t="s">
        <v>7</v>
      </c>
      <c r="BS153" s="27" t="s">
        <v>8</v>
      </c>
      <c r="BT153" s="27" t="s">
        <v>7</v>
      </c>
      <c r="CA153" s="27" t="s">
        <v>8</v>
      </c>
      <c r="CB153" s="27" t="s">
        <v>7</v>
      </c>
      <c r="CC153" s="31" t="s">
        <v>8</v>
      </c>
    </row>
    <row r="154" spans="1:86" x14ac:dyDescent="0.25">
      <c r="A154" s="30">
        <v>66.417071116768639</v>
      </c>
      <c r="E154"/>
      <c r="BO154" s="27" t="s">
        <v>8</v>
      </c>
      <c r="BP154" s="27" t="s">
        <v>7</v>
      </c>
      <c r="BQ154" s="27" t="s">
        <v>8</v>
      </c>
      <c r="BR154" s="27" t="s">
        <v>7</v>
      </c>
      <c r="BS154" s="27" t="s">
        <v>8</v>
      </c>
      <c r="BT154" s="27" t="s">
        <v>7</v>
      </c>
      <c r="CA154" s="27" t="s">
        <v>8</v>
      </c>
      <c r="CB154" s="27" t="s">
        <v>7</v>
      </c>
      <c r="CC154" s="27" t="s">
        <v>8</v>
      </c>
      <c r="CD154" s="31" t="s">
        <v>7</v>
      </c>
    </row>
    <row r="155" spans="1:86" x14ac:dyDescent="0.25">
      <c r="A155" s="30">
        <v>63.254353444541557</v>
      </c>
      <c r="E155"/>
      <c r="BO155" s="27" t="s">
        <v>8</v>
      </c>
      <c r="BP155" s="27" t="s">
        <v>7</v>
      </c>
      <c r="BQ155" s="27" t="s">
        <v>8</v>
      </c>
      <c r="BR155" s="27" t="s">
        <v>7</v>
      </c>
      <c r="BT155" s="27" t="s">
        <v>7</v>
      </c>
      <c r="CA155" s="27" t="s">
        <v>8</v>
      </c>
      <c r="CB155" s="27" t="s">
        <v>7</v>
      </c>
      <c r="CC155" s="27" t="s">
        <v>8</v>
      </c>
      <c r="CD155" s="31" t="s">
        <v>7</v>
      </c>
      <c r="CE155" s="31"/>
    </row>
    <row r="156" spans="1:86" x14ac:dyDescent="0.25">
      <c r="A156" s="30">
        <v>60.242241375753864</v>
      </c>
      <c r="C156"/>
      <c r="D156"/>
      <c r="E156"/>
      <c r="AW156" s="27" t="s">
        <v>8</v>
      </c>
      <c r="BO156" s="27" t="s">
        <v>8</v>
      </c>
      <c r="BP156" s="27" t="s">
        <v>7</v>
      </c>
      <c r="BT156" s="34" t="s">
        <v>7</v>
      </c>
      <c r="BU156" s="27" t="s">
        <v>8</v>
      </c>
      <c r="BY156" s="33" t="s">
        <v>8</v>
      </c>
      <c r="CA156" s="27" t="s">
        <v>8</v>
      </c>
      <c r="CB156" s="27" t="s">
        <v>7</v>
      </c>
      <c r="CC156" s="31"/>
      <c r="CD156" s="27" t="s">
        <v>7</v>
      </c>
      <c r="CF156" s="31"/>
    </row>
    <row r="157" spans="1:86" x14ac:dyDescent="0.25">
      <c r="A157" s="30">
        <v>57.373563215003678</v>
      </c>
      <c r="E157"/>
      <c r="AS157" s="27" t="s">
        <v>8</v>
      </c>
      <c r="AW157" s="27" t="s">
        <v>8</v>
      </c>
      <c r="AX157" s="27" t="s">
        <v>7</v>
      </c>
      <c r="BO157" s="27" t="s">
        <v>8</v>
      </c>
      <c r="BT157" s="27" t="s">
        <v>7</v>
      </c>
      <c r="BU157" s="27" t="s">
        <v>8</v>
      </c>
      <c r="BV157" s="27" t="s">
        <v>7</v>
      </c>
      <c r="BW157" s="27" t="s">
        <v>8</v>
      </c>
      <c r="BY157" s="27" t="s">
        <v>8</v>
      </c>
      <c r="BZ157" s="27" t="s">
        <v>7</v>
      </c>
      <c r="CA157" s="27" t="s">
        <v>8</v>
      </c>
      <c r="CB157" s="31"/>
      <c r="CD157" s="27" t="s">
        <v>7</v>
      </c>
      <c r="CG157" s="31"/>
    </row>
    <row r="158" spans="1:86" x14ac:dyDescent="0.25">
      <c r="A158" s="30">
        <v>54.641488776193974</v>
      </c>
      <c r="E158"/>
      <c r="AS158" s="27" t="s">
        <v>8</v>
      </c>
      <c r="AT158" s="27" t="s">
        <v>7</v>
      </c>
      <c r="AW158" s="27" t="s">
        <v>8</v>
      </c>
      <c r="AX158" s="27" t="s">
        <v>7</v>
      </c>
      <c r="BO158" s="27" t="s">
        <v>8</v>
      </c>
      <c r="BT158" s="27" t="s">
        <v>7</v>
      </c>
      <c r="BU158" s="27" t="s">
        <v>8</v>
      </c>
      <c r="BV158" s="27" t="s">
        <v>7</v>
      </c>
      <c r="BW158" s="27" t="s">
        <v>8</v>
      </c>
      <c r="BX158" s="27" t="s">
        <v>7</v>
      </c>
      <c r="BY158" s="27" t="s">
        <v>8</v>
      </c>
      <c r="BZ158" s="27" t="s">
        <v>7</v>
      </c>
      <c r="CA158" s="31" t="s">
        <v>8</v>
      </c>
      <c r="CD158" s="27" t="s">
        <v>7</v>
      </c>
      <c r="CH158" s="31"/>
    </row>
    <row r="159" spans="1:86" x14ac:dyDescent="0.25">
      <c r="A159" s="30">
        <v>52.039513120184736</v>
      </c>
      <c r="E159"/>
      <c r="AS159" s="27" t="s">
        <v>8</v>
      </c>
      <c r="AT159" s="27" t="s">
        <v>7</v>
      </c>
      <c r="AU159" s="27" t="s">
        <v>8</v>
      </c>
      <c r="AW159" s="27" t="s">
        <v>8</v>
      </c>
      <c r="AX159" s="27" t="s">
        <v>7</v>
      </c>
      <c r="BK159" s="27" t="s">
        <v>8</v>
      </c>
      <c r="BM159" s="27" t="s">
        <v>8</v>
      </c>
      <c r="BO159" s="27" t="s">
        <v>8</v>
      </c>
      <c r="BT159" s="27" t="s">
        <v>7</v>
      </c>
      <c r="BU159" s="27" t="s">
        <v>8</v>
      </c>
      <c r="BV159" s="27" t="s">
        <v>7</v>
      </c>
      <c r="BW159" s="27" t="s">
        <v>8</v>
      </c>
      <c r="BX159" s="27" t="s">
        <v>7</v>
      </c>
      <c r="BY159" s="27" t="s">
        <v>8</v>
      </c>
      <c r="BZ159" s="31" t="s">
        <v>7</v>
      </c>
      <c r="CD159" s="27" t="s">
        <v>7</v>
      </c>
    </row>
    <row r="160" spans="1:86" x14ac:dyDescent="0.25">
      <c r="A160" s="30">
        <v>49.561441066842605</v>
      </c>
      <c r="C160"/>
      <c r="E160"/>
      <c r="AS160" s="27" t="s">
        <v>8</v>
      </c>
      <c r="AT160" s="27" t="s">
        <v>7</v>
      </c>
      <c r="AU160" s="27" t="s">
        <v>8</v>
      </c>
      <c r="AV160" s="27" t="s">
        <v>7</v>
      </c>
      <c r="AW160" s="27" t="s">
        <v>8</v>
      </c>
      <c r="AX160" s="27" t="s">
        <v>7</v>
      </c>
      <c r="BK160" s="27" t="s">
        <v>8</v>
      </c>
      <c r="BL160" s="27" t="s">
        <v>7</v>
      </c>
      <c r="BM160" s="27" t="s">
        <v>8</v>
      </c>
      <c r="BN160" s="27" t="s">
        <v>7</v>
      </c>
      <c r="BO160" s="27" t="s">
        <v>8</v>
      </c>
      <c r="BT160" s="32" t="s">
        <v>7</v>
      </c>
      <c r="BV160" s="32" t="s">
        <v>7</v>
      </c>
      <c r="BX160" s="32" t="s">
        <v>7</v>
      </c>
      <c r="BY160" s="31"/>
      <c r="CD160" s="27" t="s">
        <v>7</v>
      </c>
      <c r="CG160" s="27" t="s">
        <v>8</v>
      </c>
    </row>
    <row r="161" spans="1:87" x14ac:dyDescent="0.25">
      <c r="A161" s="30">
        <v>47.201372444612005</v>
      </c>
      <c r="E161"/>
      <c r="AS161" s="27" t="s">
        <v>8</v>
      </c>
      <c r="AT161" s="27" t="s">
        <v>7</v>
      </c>
      <c r="AU161" s="27" t="s">
        <v>8</v>
      </c>
      <c r="AV161" s="27" t="s">
        <v>7</v>
      </c>
      <c r="AW161" s="27" t="s">
        <v>8</v>
      </c>
      <c r="AX161" s="27" t="s">
        <v>7</v>
      </c>
      <c r="BK161" s="27" t="s">
        <v>8</v>
      </c>
      <c r="BL161" s="27" t="s">
        <v>7</v>
      </c>
      <c r="BM161" s="27" t="s">
        <v>8</v>
      </c>
      <c r="BN161" s="27" t="s">
        <v>7</v>
      </c>
      <c r="BO161" s="27" t="s">
        <v>8</v>
      </c>
      <c r="BX161" s="31"/>
      <c r="CD161" s="27" t="s">
        <v>7</v>
      </c>
      <c r="CG161" s="27" t="s">
        <v>8</v>
      </c>
      <c r="CH161" s="27" t="s">
        <v>7</v>
      </c>
    </row>
    <row r="162" spans="1:87" x14ac:dyDescent="0.25">
      <c r="A162" s="30">
        <v>44.95368804248762</v>
      </c>
      <c r="E162"/>
      <c r="AS162" s="27" t="s">
        <v>8</v>
      </c>
      <c r="AT162" s="27" t="s">
        <v>7</v>
      </c>
      <c r="AV162" s="27" t="s">
        <v>7</v>
      </c>
      <c r="AW162" s="27" t="s">
        <v>8</v>
      </c>
      <c r="AX162" s="27" t="s">
        <v>7</v>
      </c>
      <c r="BK162" s="27" t="s">
        <v>8</v>
      </c>
      <c r="BL162" s="27" t="s">
        <v>7</v>
      </c>
      <c r="BN162" s="27" t="s">
        <v>7</v>
      </c>
      <c r="BW162" s="31"/>
      <c r="CD162" s="27" t="s">
        <v>7</v>
      </c>
      <c r="CG162" s="27" t="s">
        <v>8</v>
      </c>
      <c r="CH162" s="27" t="s">
        <v>7</v>
      </c>
    </row>
    <row r="163" spans="1:87" x14ac:dyDescent="0.25">
      <c r="A163" s="30">
        <v>42.81303623094059</v>
      </c>
      <c r="E163"/>
      <c r="AQ163" s="27" t="s">
        <v>8</v>
      </c>
      <c r="AS163" s="27" t="s">
        <v>8</v>
      </c>
      <c r="AV163" s="27" t="s">
        <v>7</v>
      </c>
      <c r="AX163" s="27" t="s">
        <v>7</v>
      </c>
      <c r="BK163" s="27" t="s">
        <v>8</v>
      </c>
      <c r="BV163" s="31"/>
      <c r="CD163" s="27" t="s">
        <v>7</v>
      </c>
      <c r="CE163" s="27" t="s">
        <v>8</v>
      </c>
      <c r="CG163" s="27" t="s">
        <v>8</v>
      </c>
      <c r="CH163" s="27" t="s">
        <v>7</v>
      </c>
    </row>
    <row r="164" spans="1:87" x14ac:dyDescent="0.25">
      <c r="A164" s="30">
        <v>40.774320219943419</v>
      </c>
      <c r="E164"/>
      <c r="AQ164" s="27" t="s">
        <v>8</v>
      </c>
      <c r="AR164" s="27" t="s">
        <v>7</v>
      </c>
      <c r="AS164" s="27" t="s">
        <v>8</v>
      </c>
      <c r="AX164" s="27" t="s">
        <v>7</v>
      </c>
      <c r="AY164" s="27" t="s">
        <v>8</v>
      </c>
      <c r="BK164" s="27" t="s">
        <v>8</v>
      </c>
      <c r="BU164" s="31"/>
      <c r="CD164" s="27" t="s">
        <v>7</v>
      </c>
      <c r="CE164" s="27" t="s">
        <v>8</v>
      </c>
      <c r="CF164" s="27" t="s">
        <v>7</v>
      </c>
      <c r="CG164" s="27" t="s">
        <v>8</v>
      </c>
      <c r="CH164" s="27" t="s">
        <v>7</v>
      </c>
    </row>
    <row r="165" spans="1:87" x14ac:dyDescent="0.25">
      <c r="A165" s="30">
        <v>38.832685923755633</v>
      </c>
      <c r="E165"/>
      <c r="AQ165" s="27" t="s">
        <v>8</v>
      </c>
      <c r="AR165" s="27" t="s">
        <v>7</v>
      </c>
      <c r="AS165" s="27" t="s">
        <v>8</v>
      </c>
      <c r="AX165" s="27" t="s">
        <v>7</v>
      </c>
      <c r="AY165" s="27" t="s">
        <v>8</v>
      </c>
      <c r="AZ165" s="27" t="s">
        <v>7</v>
      </c>
      <c r="BK165" s="27" t="s">
        <v>8</v>
      </c>
      <c r="BT165" s="31"/>
      <c r="CD165" s="27" t="s">
        <v>7</v>
      </c>
      <c r="CE165" s="27" t="s">
        <v>8</v>
      </c>
      <c r="CF165" s="27" t="s">
        <v>7</v>
      </c>
      <c r="CG165" s="27" t="s">
        <v>8</v>
      </c>
      <c r="CH165" s="27" t="s">
        <v>7</v>
      </c>
      <c r="CI165" s="27" t="s">
        <v>8</v>
      </c>
    </row>
    <row r="166" spans="1:87" x14ac:dyDescent="0.25">
      <c r="A166" s="30">
        <v>36.983510403576794</v>
      </c>
      <c r="E166"/>
      <c r="AQ166" s="27" t="s">
        <v>8</v>
      </c>
      <c r="AR166" s="27" t="s">
        <v>7</v>
      </c>
      <c r="AS166" s="27" t="s">
        <v>8</v>
      </c>
      <c r="AX166" s="27" t="s">
        <v>7</v>
      </c>
      <c r="AY166" s="27" t="s">
        <v>8</v>
      </c>
      <c r="AZ166" s="27" t="s">
        <v>7</v>
      </c>
      <c r="BA166" s="27" t="s">
        <v>8</v>
      </c>
      <c r="BK166" s="27" t="s">
        <v>8</v>
      </c>
      <c r="BS166" s="31"/>
      <c r="CD166" s="27" t="s">
        <v>7</v>
      </c>
      <c r="CF166" s="27" t="s">
        <v>7</v>
      </c>
      <c r="CG166" s="27" t="s">
        <v>8</v>
      </c>
      <c r="CH166" s="27" t="s">
        <v>7</v>
      </c>
      <c r="CI166" s="27" t="s">
        <v>8</v>
      </c>
    </row>
    <row r="167" spans="1:87" x14ac:dyDescent="0.25">
      <c r="A167" s="30">
        <v>35.222390860549325</v>
      </c>
      <c r="E167"/>
      <c r="AM167" s="27" t="s">
        <v>8</v>
      </c>
      <c r="AQ167" s="27" t="s">
        <v>8</v>
      </c>
      <c r="AR167" s="27" t="s">
        <v>7</v>
      </c>
      <c r="AS167" s="27" t="s">
        <v>8</v>
      </c>
      <c r="AX167" s="27" t="s">
        <v>7</v>
      </c>
      <c r="AY167" s="27" t="s">
        <v>8</v>
      </c>
      <c r="AZ167" s="27" t="s">
        <v>7</v>
      </c>
      <c r="BA167" s="27" t="s">
        <v>8</v>
      </c>
      <c r="BB167" s="27" t="s">
        <v>7</v>
      </c>
      <c r="BC167" s="27" t="s">
        <v>8</v>
      </c>
      <c r="BK167" s="27" t="s">
        <v>8</v>
      </c>
      <c r="BR167" s="31"/>
      <c r="CF167" s="27" t="s">
        <v>7</v>
      </c>
      <c r="CH167" s="27" t="s">
        <v>7</v>
      </c>
      <c r="CI167" s="27" t="s">
        <v>8</v>
      </c>
    </row>
    <row r="168" spans="1:87" x14ac:dyDescent="0.25">
      <c r="A168" s="30">
        <v>33.545134152904119</v>
      </c>
      <c r="E168"/>
      <c r="AM168" s="27" t="s">
        <v>8</v>
      </c>
      <c r="AN168" s="27" t="s">
        <v>7</v>
      </c>
      <c r="AQ168" s="27" t="s">
        <v>8</v>
      </c>
      <c r="AR168" s="27" t="s">
        <v>7</v>
      </c>
      <c r="AS168" s="27" t="s">
        <v>8</v>
      </c>
      <c r="AX168" s="27" t="s">
        <v>7</v>
      </c>
      <c r="AZ168" s="27" t="s">
        <v>7</v>
      </c>
      <c r="BA168" s="27" t="s">
        <v>8</v>
      </c>
      <c r="BB168" s="27" t="s">
        <v>7</v>
      </c>
      <c r="BC168" s="27" t="s">
        <v>8</v>
      </c>
      <c r="BD168" s="27" t="s">
        <v>7</v>
      </c>
      <c r="BE168" s="27" t="s">
        <v>8</v>
      </c>
      <c r="BK168" s="27" t="s">
        <v>8</v>
      </c>
      <c r="BQ168" s="31"/>
      <c r="CH168" s="27" t="s">
        <v>7</v>
      </c>
      <c r="CI168" s="27" t="s">
        <v>8</v>
      </c>
    </row>
    <row r="169" spans="1:87" x14ac:dyDescent="0.25">
      <c r="A169" s="30">
        <v>31.947746812289637</v>
      </c>
      <c r="E169"/>
      <c r="AM169" s="27" t="s">
        <v>8</v>
      </c>
      <c r="AN169" s="27" t="s">
        <v>7</v>
      </c>
      <c r="AO169" s="27" t="s">
        <v>8</v>
      </c>
      <c r="AQ169" s="27" t="s">
        <v>8</v>
      </c>
      <c r="AR169" s="27" t="s">
        <v>7</v>
      </c>
      <c r="AZ169" s="27" t="s">
        <v>7</v>
      </c>
      <c r="BA169" s="27" t="s">
        <v>8</v>
      </c>
      <c r="BB169" s="27" t="s">
        <v>7</v>
      </c>
      <c r="BC169" s="27" t="s">
        <v>8</v>
      </c>
      <c r="BD169" s="27" t="s">
        <v>7</v>
      </c>
      <c r="BE169" s="27" t="s">
        <v>8</v>
      </c>
      <c r="BF169" s="27" t="s">
        <v>7</v>
      </c>
      <c r="BI169" s="27" t="s">
        <v>8</v>
      </c>
      <c r="BK169" s="27" t="s">
        <v>8</v>
      </c>
      <c r="BP169" s="31"/>
      <c r="CH169" s="27" t="s">
        <v>7</v>
      </c>
    </row>
    <row r="170" spans="1:87" x14ac:dyDescent="0.25">
      <c r="A170" s="30">
        <v>30.426425535513939</v>
      </c>
      <c r="E170"/>
      <c r="AM170" s="27" t="s">
        <v>8</v>
      </c>
      <c r="AN170" s="27" t="s">
        <v>7</v>
      </c>
      <c r="AO170" s="27" t="s">
        <v>8</v>
      </c>
      <c r="AP170" s="27" t="s">
        <v>7</v>
      </c>
      <c r="AQ170" s="27" t="s">
        <v>8</v>
      </c>
      <c r="AZ170" s="27" t="s">
        <v>7</v>
      </c>
      <c r="BA170" s="27" t="s">
        <v>8</v>
      </c>
      <c r="BB170" s="27" t="s">
        <v>7</v>
      </c>
      <c r="BD170" s="27" t="s">
        <v>7</v>
      </c>
      <c r="BE170" s="27" t="s">
        <v>8</v>
      </c>
      <c r="BF170" s="27" t="s">
        <v>7</v>
      </c>
      <c r="BI170" s="27" t="s">
        <v>8</v>
      </c>
      <c r="BJ170" s="27" t="s">
        <v>7</v>
      </c>
      <c r="BK170" s="27" t="s">
        <v>8</v>
      </c>
      <c r="BO170" s="31"/>
    </row>
    <row r="171" spans="1:87" x14ac:dyDescent="0.25">
      <c r="A171" s="30">
        <v>28.977548129060892</v>
      </c>
      <c r="E171"/>
      <c r="AM171" s="27" t="s">
        <v>8</v>
      </c>
      <c r="AN171" s="27" t="s">
        <v>7</v>
      </c>
      <c r="AO171" s="27" t="s">
        <v>8</v>
      </c>
      <c r="AP171" s="27" t="s">
        <v>7</v>
      </c>
      <c r="AQ171" s="27" t="s">
        <v>8</v>
      </c>
      <c r="AZ171" s="27" t="s">
        <v>7</v>
      </c>
      <c r="BA171" s="27" t="s">
        <v>8</v>
      </c>
      <c r="BD171" s="27" t="s">
        <v>7</v>
      </c>
      <c r="BF171" s="27" t="s">
        <v>7</v>
      </c>
      <c r="BI171" s="27" t="s">
        <v>8</v>
      </c>
      <c r="BJ171" s="27" t="s">
        <v>7</v>
      </c>
      <c r="BK171" s="27" t="s">
        <v>8</v>
      </c>
      <c r="BN171" s="31"/>
    </row>
    <row r="172" spans="1:87" x14ac:dyDescent="0.25">
      <c r="A172" s="30">
        <v>27.597664884819896</v>
      </c>
      <c r="E172"/>
      <c r="AM172" s="27" t="s">
        <v>8</v>
      </c>
      <c r="AN172" s="27" t="s">
        <v>7</v>
      </c>
      <c r="AO172" s="27" t="s">
        <v>8</v>
      </c>
      <c r="AP172" s="27" t="s">
        <v>7</v>
      </c>
      <c r="AQ172" s="27" t="s">
        <v>8</v>
      </c>
      <c r="AZ172" s="27" t="s">
        <v>7</v>
      </c>
      <c r="BA172" s="27" t="s">
        <v>8</v>
      </c>
      <c r="BF172" s="27" t="s">
        <v>7</v>
      </c>
      <c r="BG172" s="27" t="s">
        <v>8</v>
      </c>
      <c r="BI172" s="27" t="s">
        <v>8</v>
      </c>
      <c r="BJ172" s="27" t="s">
        <v>7</v>
      </c>
      <c r="BK172" s="27" t="s">
        <v>8</v>
      </c>
      <c r="BM172" s="31"/>
    </row>
    <row r="173" spans="1:87" x14ac:dyDescent="0.25">
      <c r="A173" s="30">
        <v>26.283490366495137</v>
      </c>
      <c r="E173"/>
      <c r="AM173" s="27" t="s">
        <v>8</v>
      </c>
      <c r="AN173" s="27" t="s">
        <v>7</v>
      </c>
      <c r="AP173" s="27" t="s">
        <v>7</v>
      </c>
      <c r="AQ173" s="27" t="s">
        <v>8</v>
      </c>
      <c r="AZ173" s="27" t="s">
        <v>7</v>
      </c>
      <c r="BA173" s="27" t="s">
        <v>8</v>
      </c>
      <c r="BF173" s="27" t="s">
        <v>7</v>
      </c>
      <c r="BG173" s="27" t="s">
        <v>8</v>
      </c>
      <c r="BH173" s="27" t="s">
        <v>7</v>
      </c>
      <c r="BI173" s="27" t="s">
        <v>8</v>
      </c>
      <c r="BJ173" s="27" t="s">
        <v>7</v>
      </c>
      <c r="BK173" s="27" t="s">
        <v>8</v>
      </c>
      <c r="BL173" s="31"/>
    </row>
    <row r="174" spans="1:87" x14ac:dyDescent="0.25">
      <c r="A174" s="30">
        <v>25.031895587138223</v>
      </c>
      <c r="E174"/>
      <c r="AM174" s="27" t="s">
        <v>8</v>
      </c>
      <c r="AP174" s="27" t="s">
        <v>7</v>
      </c>
      <c r="AZ174" s="27" t="s">
        <v>7</v>
      </c>
      <c r="BA174" s="27" t="s">
        <v>8</v>
      </c>
      <c r="BF174" s="27" t="s">
        <v>7</v>
      </c>
      <c r="BG174" s="27" t="s">
        <v>8</v>
      </c>
      <c r="BH174" s="27" t="s">
        <v>7</v>
      </c>
      <c r="BI174" s="27" t="s">
        <v>8</v>
      </c>
      <c r="BJ174" s="27" t="s">
        <v>7</v>
      </c>
      <c r="BK174" s="31" t="s">
        <v>8</v>
      </c>
    </row>
    <row r="175" spans="1:87" x14ac:dyDescent="0.25">
      <c r="A175" s="30">
        <v>23.839900559179259</v>
      </c>
      <c r="E175"/>
      <c r="AM175" s="27" t="s">
        <v>8</v>
      </c>
      <c r="AZ175" s="27" t="s">
        <v>7</v>
      </c>
      <c r="BF175" s="27" t="s">
        <v>7</v>
      </c>
      <c r="BG175" s="27" t="s">
        <v>8</v>
      </c>
      <c r="BH175" s="27" t="s">
        <v>7</v>
      </c>
      <c r="BI175" s="27" t="s">
        <v>8</v>
      </c>
      <c r="BJ175" s="31" t="s">
        <v>7</v>
      </c>
    </row>
    <row r="176" spans="1:87" x14ac:dyDescent="0.25">
      <c r="A176" s="30">
        <v>22.704667199218342</v>
      </c>
      <c r="E176"/>
      <c r="AK176" s="27" t="s">
        <v>8</v>
      </c>
      <c r="AM176" s="27" t="s">
        <v>8</v>
      </c>
      <c r="BF176" s="27" t="s">
        <v>7</v>
      </c>
      <c r="BH176" s="27" t="s">
        <v>7</v>
      </c>
    </row>
    <row r="177" spans="1:39" x14ac:dyDescent="0.25">
      <c r="A177" s="30">
        <v>21.623492570684135</v>
      </c>
      <c r="E177"/>
      <c r="AK177" s="27" t="s">
        <v>8</v>
      </c>
      <c r="AL177" s="27" t="s">
        <v>7</v>
      </c>
      <c r="AM177" s="27" t="s">
        <v>8</v>
      </c>
    </row>
    <row r="178" spans="1:39" x14ac:dyDescent="0.25">
      <c r="A178" s="30">
        <v>20.593802448270605</v>
      </c>
      <c r="C178" s="7"/>
      <c r="D178"/>
      <c r="E178"/>
      <c r="AK178" s="27" t="s">
        <v>8</v>
      </c>
      <c r="AL178" s="27" t="s">
        <v>7</v>
      </c>
      <c r="AM178" s="27" t="s">
        <v>8</v>
      </c>
    </row>
    <row r="179" spans="1:39" x14ac:dyDescent="0.25">
      <c r="A179" s="30">
        <v>19.613145188829147</v>
      </c>
      <c r="E179"/>
      <c r="AK179" s="27" t="s">
        <v>8</v>
      </c>
      <c r="AL179" s="27" t="s">
        <v>7</v>
      </c>
      <c r="AM179" s="27" t="s">
        <v>8</v>
      </c>
    </row>
    <row r="180" spans="1:39" x14ac:dyDescent="0.25">
      <c r="A180" s="30">
        <v>18.679185894122998</v>
      </c>
      <c r="E180"/>
      <c r="AK180" s="27" t="s">
        <v>8</v>
      </c>
      <c r="AL180" s="27" t="s">
        <v>7</v>
      </c>
    </row>
    <row r="181" spans="1:39" x14ac:dyDescent="0.25">
      <c r="A181" s="30">
        <v>17.78970085154571</v>
      </c>
      <c r="C181"/>
      <c r="D181"/>
      <c r="E181"/>
      <c r="AK181" s="27" t="s">
        <v>8</v>
      </c>
    </row>
    <row r="182" spans="1:39" x14ac:dyDescent="0.25">
      <c r="A182" s="30">
        <v>16.942572239567344</v>
      </c>
      <c r="E182"/>
      <c r="AK182" s="27" t="s">
        <v>8</v>
      </c>
    </row>
    <row r="183" spans="1:39" x14ac:dyDescent="0.25">
      <c r="A183" s="30">
        <v>16.135783085302233</v>
      </c>
      <c r="E183"/>
      <c r="AK183" s="27" t="s">
        <v>8</v>
      </c>
    </row>
    <row r="184" spans="1:39" x14ac:dyDescent="0.25">
      <c r="A184" s="30">
        <v>15.367412462192602</v>
      </c>
      <c r="E184"/>
      <c r="AK184" s="27" t="s">
        <v>8</v>
      </c>
    </row>
    <row r="185" spans="1:39" x14ac:dyDescent="0.25">
      <c r="A185" s="30">
        <v>14.635630916373906</v>
      </c>
      <c r="C185"/>
      <c r="E185"/>
      <c r="AK185" s="27" t="s">
        <v>8</v>
      </c>
    </row>
    <row r="186" spans="1:39" x14ac:dyDescent="0.25">
      <c r="A186" s="30">
        <v>13.938696110832291</v>
      </c>
      <c r="E186"/>
      <c r="AK186" s="27" t="s">
        <v>8</v>
      </c>
    </row>
    <row r="187" spans="1:39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K187" s="27" t="s">
        <v>8</v>
      </c>
    </row>
    <row r="188" spans="1:39" x14ac:dyDescent="0.25">
      <c r="A188" s="30">
        <v>12.64280826379346</v>
      </c>
      <c r="E188"/>
      <c r="AI188" s="27" t="s">
        <v>8</v>
      </c>
      <c r="AK188" s="27" t="s">
        <v>8</v>
      </c>
    </row>
    <row r="189" spans="1:39" x14ac:dyDescent="0.25">
      <c r="A189" s="30">
        <v>12.04076977504139</v>
      </c>
      <c r="E189"/>
      <c r="AI189" s="27" t="s">
        <v>8</v>
      </c>
      <c r="AJ189" s="27" t="s">
        <v>7</v>
      </c>
      <c r="AK189" s="27" t="s">
        <v>8</v>
      </c>
    </row>
    <row r="190" spans="1:39" x14ac:dyDescent="0.25">
      <c r="A190" s="30">
        <v>11.467399785753704</v>
      </c>
      <c r="E190"/>
      <c r="AI190" s="27" t="s">
        <v>8</v>
      </c>
      <c r="AJ190" s="27" t="s">
        <v>7</v>
      </c>
      <c r="AK190" s="27" t="s">
        <v>8</v>
      </c>
    </row>
    <row r="191" spans="1:39" x14ac:dyDescent="0.25">
      <c r="A191" s="30">
        <v>10.921333129289241</v>
      </c>
      <c r="E191"/>
      <c r="AG191" s="27" t="s">
        <v>8</v>
      </c>
      <c r="AI191" s="27" t="s">
        <v>8</v>
      </c>
      <c r="AJ191" s="27" t="s">
        <v>7</v>
      </c>
    </row>
    <row r="192" spans="1:39" x14ac:dyDescent="0.25">
      <c r="A192" s="30">
        <v>10.401269646942135</v>
      </c>
      <c r="E192"/>
      <c r="AA192" s="27" t="s">
        <v>8</v>
      </c>
      <c r="AG192" s="27" t="s">
        <v>8</v>
      </c>
      <c r="AH192" s="27" t="s">
        <v>7</v>
      </c>
      <c r="AI192" s="27" t="s">
        <v>8</v>
      </c>
    </row>
    <row r="193" spans="1:35" x14ac:dyDescent="0.25">
      <c r="A193" s="30">
        <v>9.9059710923258422</v>
      </c>
      <c r="E193"/>
      <c r="AA193" s="27" t="s">
        <v>8</v>
      </c>
      <c r="AB193" s="27" t="s">
        <v>7</v>
      </c>
      <c r="AC193" s="27" t="s">
        <v>8</v>
      </c>
      <c r="AE193" s="27" t="s">
        <v>8</v>
      </c>
      <c r="AG193" s="27" t="s">
        <v>8</v>
      </c>
      <c r="AH193" s="27" t="s">
        <v>7</v>
      </c>
      <c r="AI193" s="27" t="s">
        <v>8</v>
      </c>
    </row>
    <row r="194" spans="1:35" x14ac:dyDescent="0.25">
      <c r="A194" s="30">
        <v>9.4342581831674686</v>
      </c>
      <c r="E194"/>
      <c r="AA194" s="27" t="s">
        <v>8</v>
      </c>
      <c r="AB194" s="27" t="s">
        <v>7</v>
      </c>
      <c r="AC194" s="27" t="s">
        <v>8</v>
      </c>
      <c r="AD194" s="27" t="s">
        <v>7</v>
      </c>
      <c r="AE194" s="27" t="s">
        <v>8</v>
      </c>
      <c r="AF194" s="27" t="s">
        <v>7</v>
      </c>
      <c r="AG194" s="27" t="s">
        <v>8</v>
      </c>
      <c r="AH194" s="27" t="s">
        <v>7</v>
      </c>
      <c r="AI194" s="27" t="s">
        <v>8</v>
      </c>
    </row>
    <row r="195" spans="1:35" x14ac:dyDescent="0.25">
      <c r="A195" s="30">
        <v>8.9850077934928265</v>
      </c>
      <c r="E195"/>
      <c r="AA195" s="27" t="s">
        <v>8</v>
      </c>
      <c r="AB195" s="27" t="s">
        <v>7</v>
      </c>
      <c r="AC195" s="27" t="s">
        <v>8</v>
      </c>
      <c r="AD195" s="27" t="s">
        <v>7</v>
      </c>
      <c r="AE195" s="27" t="s">
        <v>8</v>
      </c>
      <c r="AF195" s="27" t="s">
        <v>7</v>
      </c>
      <c r="AG195" s="27" t="s">
        <v>8</v>
      </c>
      <c r="AH195" s="27" t="s">
        <v>7</v>
      </c>
      <c r="AI195" s="27" t="s">
        <v>8</v>
      </c>
    </row>
    <row r="196" spans="1:35" x14ac:dyDescent="0.25">
      <c r="A196" s="30">
        <v>8.5571502795169767</v>
      </c>
      <c r="E196"/>
      <c r="AA196" s="27" t="s">
        <v>8</v>
      </c>
      <c r="AB196" s="27" t="s">
        <v>7</v>
      </c>
      <c r="AC196" s="27" t="s">
        <v>8</v>
      </c>
      <c r="AD196" s="27" t="s">
        <v>7</v>
      </c>
      <c r="AE196" s="27" t="s">
        <v>8</v>
      </c>
      <c r="AF196" s="27" t="s">
        <v>7</v>
      </c>
      <c r="AG196" s="27" t="s">
        <v>8</v>
      </c>
      <c r="AH196" s="27" t="s">
        <v>7</v>
      </c>
    </row>
    <row r="197" spans="1:35" x14ac:dyDescent="0.25">
      <c r="A197" s="30">
        <v>8.1496669328733109</v>
      </c>
      <c r="E197"/>
      <c r="AA197" s="27" t="s">
        <v>8</v>
      </c>
      <c r="AB197" s="27" t="s">
        <v>7</v>
      </c>
      <c r="AC197" s="27" t="s">
        <v>8</v>
      </c>
      <c r="AD197" s="27" t="s">
        <v>7</v>
      </c>
      <c r="AF197" s="27" t="s">
        <v>7</v>
      </c>
      <c r="AG197" s="27" t="s">
        <v>8</v>
      </c>
    </row>
    <row r="198" spans="1:35" x14ac:dyDescent="0.25">
      <c r="A198" s="30">
        <v>7.7615875551174378</v>
      </c>
      <c r="E198"/>
      <c r="AA198" s="27" t="s">
        <v>8</v>
      </c>
      <c r="AB198" s="27" t="s">
        <v>7</v>
      </c>
      <c r="AC198" s="27" t="s">
        <v>8</v>
      </c>
      <c r="AF198" s="27" t="s">
        <v>7</v>
      </c>
      <c r="AG198" s="27" t="s">
        <v>8</v>
      </c>
    </row>
    <row r="199" spans="1:35" x14ac:dyDescent="0.25">
      <c r="A199" s="30">
        <v>7.3919881477308929</v>
      </c>
      <c r="E199"/>
      <c r="AA199" s="27" t="s">
        <v>8</v>
      </c>
      <c r="AB199" s="27" t="s">
        <v>7</v>
      </c>
      <c r="AC199" s="27" t="s">
        <v>8</v>
      </c>
      <c r="AF199" s="27" t="s">
        <v>7</v>
      </c>
    </row>
    <row r="200" spans="1:35" x14ac:dyDescent="0.25">
      <c r="A200" s="30">
        <v>7.0399887121246598</v>
      </c>
      <c r="E200"/>
      <c r="AA200" s="27" t="s">
        <v>8</v>
      </c>
      <c r="AB200" s="27" t="s">
        <v>7</v>
      </c>
      <c r="AC200" s="27" t="s">
        <v>8</v>
      </c>
    </row>
    <row r="201" spans="1:35" x14ac:dyDescent="0.25">
      <c r="A201" s="30">
        <v>6.7047511544044376</v>
      </c>
      <c r="E201"/>
      <c r="AA201" s="27" t="s">
        <v>8</v>
      </c>
      <c r="AB201" s="27" t="s">
        <v>7</v>
      </c>
      <c r="AC201" s="27" t="s">
        <v>8</v>
      </c>
    </row>
    <row r="202" spans="1:35" x14ac:dyDescent="0.25">
      <c r="A202" s="30">
        <v>6.3854772899089882</v>
      </c>
      <c r="E202"/>
      <c r="AA202" s="27" t="s">
        <v>8</v>
      </c>
      <c r="AB202" s="27" t="s">
        <v>7</v>
      </c>
    </row>
    <row r="203" spans="1:35" x14ac:dyDescent="0.25">
      <c r="A203" s="30">
        <v>6.0814069427704647</v>
      </c>
      <c r="C203" s="7"/>
      <c r="D203"/>
      <c r="E203"/>
      <c r="AA203" s="27" t="s">
        <v>8</v>
      </c>
    </row>
    <row r="204" spans="1:35" x14ac:dyDescent="0.25">
      <c r="A204" s="30">
        <v>5.7918161359718709</v>
      </c>
      <c r="E204"/>
      <c r="AA204" s="27" t="s">
        <v>8</v>
      </c>
    </row>
    <row r="205" spans="1:35" x14ac:dyDescent="0.25">
      <c r="A205" s="30">
        <v>5.5160153675922574</v>
      </c>
      <c r="E205"/>
      <c r="AA205" s="27" t="s">
        <v>8</v>
      </c>
    </row>
    <row r="206" spans="1:35" x14ac:dyDescent="0.25">
      <c r="A206" s="30">
        <v>5.2533479691354827</v>
      </c>
      <c r="C206"/>
      <c r="D206"/>
      <c r="E206"/>
      <c r="AA206" s="27" t="s">
        <v>8</v>
      </c>
    </row>
    <row r="207" spans="1:35" x14ac:dyDescent="0.25">
      <c r="A207" s="30">
        <v>5.0031885420337927</v>
      </c>
      <c r="E207"/>
      <c r="AA207" s="27" t="s">
        <v>8</v>
      </c>
    </row>
    <row r="208" spans="1:35" x14ac:dyDescent="0.25">
      <c r="A208" s="30">
        <v>4.7649414686036122</v>
      </c>
      <c r="E208"/>
      <c r="Y208" s="27" t="s">
        <v>8</v>
      </c>
      <c r="AA208" s="27" t="s">
        <v>8</v>
      </c>
    </row>
    <row r="209" spans="1:27" x14ac:dyDescent="0.25">
      <c r="A209" s="30">
        <v>4.5380394939082018</v>
      </c>
      <c r="E209"/>
      <c r="Y209" s="27" t="s">
        <v>8</v>
      </c>
      <c r="Z209" s="27" t="s">
        <v>7</v>
      </c>
      <c r="AA209" s="27" t="s">
        <v>8</v>
      </c>
    </row>
    <row r="210" spans="1:27" x14ac:dyDescent="0.25">
      <c r="A210" s="30">
        <v>4.3219423751506678</v>
      </c>
      <c r="C210"/>
      <c r="E210"/>
      <c r="Q210" s="27" t="s">
        <v>8</v>
      </c>
      <c r="W210" s="27" t="s">
        <v>8</v>
      </c>
      <c r="Y210" s="27" t="s">
        <v>8</v>
      </c>
      <c r="Z210" s="27" t="s">
        <v>7</v>
      </c>
      <c r="AA210" s="27" t="s">
        <v>8</v>
      </c>
    </row>
    <row r="211" spans="1:27" x14ac:dyDescent="0.25">
      <c r="A211" s="30">
        <v>4.1161355953815884</v>
      </c>
      <c r="E211"/>
      <c r="Q211" s="27" t="s">
        <v>8</v>
      </c>
      <c r="R211" s="27" t="s">
        <v>7</v>
      </c>
      <c r="S211" s="27" t="s">
        <v>8</v>
      </c>
      <c r="U211" s="27" t="s">
        <v>8</v>
      </c>
      <c r="W211" s="27" t="s">
        <v>8</v>
      </c>
      <c r="X211" s="27" t="s">
        <v>7</v>
      </c>
      <c r="Y211" s="27" t="s">
        <v>8</v>
      </c>
      <c r="Z211" s="27" t="s">
        <v>7</v>
      </c>
    </row>
    <row r="212" spans="1:27" x14ac:dyDescent="0.25">
      <c r="A212" s="30">
        <v>3.9201291384586554</v>
      </c>
      <c r="E212"/>
      <c r="Q212" s="27" t="s">
        <v>8</v>
      </c>
      <c r="R212" s="27" t="s">
        <v>7</v>
      </c>
      <c r="S212" s="27" t="s">
        <v>8</v>
      </c>
      <c r="T212" s="27" t="s">
        <v>7</v>
      </c>
      <c r="U212" s="27" t="s">
        <v>8</v>
      </c>
      <c r="V212" s="27" t="s">
        <v>7</v>
      </c>
      <c r="W212" s="27" t="s">
        <v>8</v>
      </c>
      <c r="X212" s="27" t="s">
        <v>7</v>
      </c>
      <c r="Y212" s="27" t="s">
        <v>8</v>
      </c>
    </row>
    <row r="213" spans="1:27" x14ac:dyDescent="0.25">
      <c r="A213" s="30">
        <v>3.7334563223415764</v>
      </c>
      <c r="E213" t="s">
        <v>8</v>
      </c>
      <c r="Q213" s="27" t="s">
        <v>8</v>
      </c>
      <c r="R213" s="27" t="s">
        <v>7</v>
      </c>
      <c r="S213" s="27" t="s">
        <v>8</v>
      </c>
      <c r="T213" s="27" t="s">
        <v>7</v>
      </c>
      <c r="U213" s="27" t="s">
        <v>8</v>
      </c>
      <c r="V213" s="27" t="s">
        <v>7</v>
      </c>
      <c r="W213" s="27" t="s">
        <v>8</v>
      </c>
      <c r="X213" s="27" t="s">
        <v>7</v>
      </c>
    </row>
    <row r="214" spans="1:27" x14ac:dyDescent="0.25">
      <c r="A214" s="30">
        <v>3.5556726879443583</v>
      </c>
      <c r="E214" t="s">
        <v>8</v>
      </c>
      <c r="F214" s="27" t="s">
        <v>7</v>
      </c>
      <c r="Q214" s="27" t="s">
        <v>8</v>
      </c>
      <c r="R214" s="27" t="s">
        <v>7</v>
      </c>
      <c r="S214" s="27" t="s">
        <v>8</v>
      </c>
      <c r="T214" s="27" t="s">
        <v>7</v>
      </c>
      <c r="U214" s="27" t="s">
        <v>8</v>
      </c>
      <c r="V214" s="27" t="s">
        <v>7</v>
      </c>
      <c r="W214" s="27" t="s">
        <v>8</v>
      </c>
    </row>
    <row r="215" spans="1:27" x14ac:dyDescent="0.25">
      <c r="A215" s="30">
        <v>3.3863549408993889</v>
      </c>
      <c r="E215" t="s">
        <v>8</v>
      </c>
      <c r="F215" s="27" t="s">
        <v>7</v>
      </c>
      <c r="Q215" s="27" t="s">
        <v>8</v>
      </c>
      <c r="R215" s="27" t="s">
        <v>7</v>
      </c>
      <c r="S215" s="27" t="s">
        <v>8</v>
      </c>
      <c r="T215" s="27" t="s">
        <v>7</v>
      </c>
      <c r="V215" s="27" t="s">
        <v>7</v>
      </c>
    </row>
    <row r="216" spans="1:27" x14ac:dyDescent="0.25">
      <c r="A216" s="30">
        <v>3.2250999437137038</v>
      </c>
      <c r="E216" t="s">
        <v>8</v>
      </c>
      <c r="F216" s="27" t="s">
        <v>7</v>
      </c>
      <c r="O216" s="27" t="s">
        <v>8</v>
      </c>
      <c r="Q216" s="27" t="s">
        <v>8</v>
      </c>
      <c r="R216" s="27" t="s">
        <v>7</v>
      </c>
    </row>
    <row r="217" spans="1:27" x14ac:dyDescent="0.25">
      <c r="A217" s="30">
        <v>3.0715237559178128</v>
      </c>
      <c r="E217" t="s">
        <v>8</v>
      </c>
      <c r="F217" s="27" t="s">
        <v>7</v>
      </c>
      <c r="O217" s="27" t="s">
        <v>8</v>
      </c>
      <c r="P217" s="27" t="s">
        <v>7</v>
      </c>
      <c r="Q217" s="27" t="s">
        <v>8</v>
      </c>
    </row>
    <row r="218" spans="1:27" x14ac:dyDescent="0.25">
      <c r="A218" s="30">
        <v>2.9252607199217264</v>
      </c>
      <c r="E218" t="s">
        <v>8</v>
      </c>
      <c r="F218" s="27" t="s">
        <v>7</v>
      </c>
      <c r="O218" s="27" t="s">
        <v>8</v>
      </c>
      <c r="P218" s="27" t="s">
        <v>7</v>
      </c>
      <c r="Q218" s="27" t="s">
        <v>8</v>
      </c>
    </row>
    <row r="219" spans="1:27" x14ac:dyDescent="0.25">
      <c r="A219" s="30">
        <v>2.7859625904016441</v>
      </c>
      <c r="E219" t="s">
        <v>8</v>
      </c>
      <c r="F219" s="27" t="s">
        <v>7</v>
      </c>
      <c r="I219" s="27" t="s">
        <v>8</v>
      </c>
      <c r="O219" s="27" t="s">
        <v>8</v>
      </c>
      <c r="P219" s="27" t="s">
        <v>7</v>
      </c>
      <c r="Q219" s="27" t="s">
        <v>8</v>
      </c>
    </row>
    <row r="220" spans="1:27" x14ac:dyDescent="0.25">
      <c r="A220" s="30">
        <v>2.6532977051444226</v>
      </c>
      <c r="E220" t="s">
        <v>8</v>
      </c>
      <c r="F220" s="27" t="s">
        <v>7</v>
      </c>
      <c r="G220" s="27" t="s">
        <v>8</v>
      </c>
      <c r="I220" s="27" t="s">
        <v>8</v>
      </c>
      <c r="J220" s="27" t="s">
        <v>7</v>
      </c>
      <c r="K220" s="27" t="s">
        <v>8</v>
      </c>
      <c r="O220" s="27" t="s">
        <v>8</v>
      </c>
      <c r="P220" s="27" t="s">
        <v>7</v>
      </c>
    </row>
    <row r="221" spans="1:27" x14ac:dyDescent="0.25">
      <c r="A221" s="30">
        <v>2.5269501953756404</v>
      </c>
      <c r="E221" t="s">
        <v>8</v>
      </c>
      <c r="F221" s="27" t="s">
        <v>7</v>
      </c>
      <c r="G221" s="27" t="s">
        <v>8</v>
      </c>
      <c r="H221" s="27" t="s">
        <v>7</v>
      </c>
      <c r="I221" s="27" t="s">
        <v>8</v>
      </c>
      <c r="J221" s="27" t="s">
        <v>7</v>
      </c>
      <c r="K221" s="27" t="s">
        <v>8</v>
      </c>
      <c r="L221" s="27" t="s">
        <v>7</v>
      </c>
      <c r="M221" s="27" t="s">
        <v>8</v>
      </c>
      <c r="O221" s="27" t="s">
        <v>8</v>
      </c>
    </row>
    <row r="222" spans="1:27" x14ac:dyDescent="0.25">
      <c r="A222" s="30">
        <v>2.4066192336910861</v>
      </c>
      <c r="E222" t="s">
        <v>8</v>
      </c>
      <c r="F222" s="27" t="s">
        <v>7</v>
      </c>
      <c r="G222" s="27" t="s">
        <v>8</v>
      </c>
      <c r="H222" s="27" t="s">
        <v>7</v>
      </c>
      <c r="I222" s="27" t="s">
        <v>8</v>
      </c>
      <c r="J222" s="27" t="s">
        <v>7</v>
      </c>
      <c r="K222" s="27" t="s">
        <v>8</v>
      </c>
      <c r="L222" s="27" t="s">
        <v>7</v>
      </c>
      <c r="M222" s="27" t="s">
        <v>8</v>
      </c>
      <c r="N222" s="27" t="s">
        <v>7</v>
      </c>
      <c r="O222" s="27" t="s">
        <v>8</v>
      </c>
    </row>
    <row r="223" spans="1:27" x14ac:dyDescent="0.25">
      <c r="A223" s="30">
        <v>2.2920183178010345</v>
      </c>
      <c r="E223" t="s">
        <v>8</v>
      </c>
      <c r="F223" s="27" t="s">
        <v>7</v>
      </c>
      <c r="G223" s="27" t="s">
        <v>8</v>
      </c>
      <c r="H223" s="27" t="s">
        <v>7</v>
      </c>
      <c r="I223" s="27" t="s">
        <v>8</v>
      </c>
      <c r="J223" s="27" t="s">
        <v>7</v>
      </c>
      <c r="K223" s="27" t="s">
        <v>8</v>
      </c>
      <c r="L223" s="27" t="s">
        <v>7</v>
      </c>
      <c r="M223" s="27" t="s">
        <v>8</v>
      </c>
      <c r="N223" s="27" t="s">
        <v>7</v>
      </c>
      <c r="O223" s="27" t="s">
        <v>8</v>
      </c>
    </row>
    <row r="224" spans="1:27" x14ac:dyDescent="0.25">
      <c r="A224" s="30">
        <v>2.1828745883819374</v>
      </c>
      <c r="E224" t="s">
        <v>8</v>
      </c>
      <c r="F224" s="27" t="s">
        <v>7</v>
      </c>
      <c r="G224" s="27" t="s">
        <v>8</v>
      </c>
      <c r="H224" s="27" t="s">
        <v>7</v>
      </c>
      <c r="J224" s="27" t="s">
        <v>7</v>
      </c>
      <c r="K224" s="27" t="s">
        <v>8</v>
      </c>
      <c r="L224" s="27" t="s">
        <v>7</v>
      </c>
      <c r="N224" s="27" t="s">
        <v>7</v>
      </c>
    </row>
    <row r="225" spans="1:11" x14ac:dyDescent="0.25">
      <c r="A225" s="30">
        <v>2.0789281794113688</v>
      </c>
      <c r="E225" t="s">
        <v>8</v>
      </c>
      <c r="F225" s="27" t="s">
        <v>7</v>
      </c>
      <c r="G225" s="27" t="s">
        <v>8</v>
      </c>
      <c r="J225" s="27" t="s">
        <v>7</v>
      </c>
      <c r="K225" s="27" t="s">
        <v>8</v>
      </c>
    </row>
    <row r="226" spans="1:11" x14ac:dyDescent="0.25">
      <c r="A226" s="30">
        <v>1.9799315994393987</v>
      </c>
      <c r="E226" t="s">
        <v>8</v>
      </c>
      <c r="F226" s="27" t="s">
        <v>7</v>
      </c>
      <c r="G226" s="27" t="s">
        <v>8</v>
      </c>
      <c r="J226" s="27" t="s">
        <v>7</v>
      </c>
      <c r="K226" s="27" t="s">
        <v>8</v>
      </c>
    </row>
    <row r="227" spans="1:11" x14ac:dyDescent="0.25">
      <c r="A227" s="30">
        <v>1.8856491423232367</v>
      </c>
      <c r="E227" t="s">
        <v>8</v>
      </c>
      <c r="F227" s="27" t="s">
        <v>7</v>
      </c>
      <c r="G227" s="27" t="s">
        <v>8</v>
      </c>
      <c r="J227" s="27" t="s">
        <v>7</v>
      </c>
      <c r="K227" s="27" t="s">
        <v>8</v>
      </c>
    </row>
    <row r="228" spans="1:11" x14ac:dyDescent="0.25">
      <c r="A228" s="30">
        <v>1.7958563260221301</v>
      </c>
      <c r="C228" s="7"/>
      <c r="D228"/>
      <c r="E228" t="s">
        <v>8</v>
      </c>
      <c r="F228" s="27" t="s">
        <v>7</v>
      </c>
      <c r="G228" s="27" t="s">
        <v>8</v>
      </c>
      <c r="J228" s="27" t="s">
        <v>7</v>
      </c>
    </row>
    <row r="229" spans="1:11" x14ac:dyDescent="0.25">
      <c r="A229" s="30">
        <v>1.7103393581163142</v>
      </c>
      <c r="E229" t="s">
        <v>8</v>
      </c>
      <c r="F229" s="27" t="s">
        <v>7</v>
      </c>
      <c r="G229" s="27" t="s">
        <v>8</v>
      </c>
    </row>
    <row r="230" spans="1:11" x14ac:dyDescent="0.25">
      <c r="A230" s="30">
        <v>1.628894626777442</v>
      </c>
      <c r="E230" t="s">
        <v>8</v>
      </c>
      <c r="F230" s="27" t="s">
        <v>7</v>
      </c>
      <c r="G230" s="27" t="s">
        <v>8</v>
      </c>
    </row>
    <row r="231" spans="1:11" x14ac:dyDescent="0.25">
      <c r="A231" s="30">
        <v>1.5513282159785162</v>
      </c>
      <c r="C231"/>
      <c r="D231"/>
      <c r="E231" t="s">
        <v>8</v>
      </c>
      <c r="F231" s="27" t="s">
        <v>7</v>
      </c>
      <c r="G231" s="27" t="s">
        <v>8</v>
      </c>
    </row>
    <row r="232" spans="1:11" x14ac:dyDescent="0.25">
      <c r="A232" s="30">
        <v>1.477455443789063</v>
      </c>
      <c r="E232" t="s">
        <v>8</v>
      </c>
      <c r="F232" s="27" t="s">
        <v>7</v>
      </c>
      <c r="G232" s="27" t="s">
        <v>8</v>
      </c>
    </row>
    <row r="233" spans="1:11" x14ac:dyDescent="0.25">
      <c r="A233" s="30">
        <v>1.4071004226562505</v>
      </c>
      <c r="E233" t="s">
        <v>8</v>
      </c>
      <c r="F233" s="27" t="s">
        <v>7</v>
      </c>
      <c r="G233" s="27" t="s">
        <v>8</v>
      </c>
    </row>
    <row r="234" spans="1:11" x14ac:dyDescent="0.25">
      <c r="A234" s="30">
        <v>1.3400956406250004</v>
      </c>
      <c r="E234" t="s">
        <v>8</v>
      </c>
      <c r="F234" s="27" t="s">
        <v>7</v>
      </c>
      <c r="G234" s="27" t="s">
        <v>8</v>
      </c>
    </row>
    <row r="235" spans="1:11" x14ac:dyDescent="0.25">
      <c r="A235" s="30">
        <v>1.2762815625000004</v>
      </c>
      <c r="C235"/>
      <c r="E235" t="s">
        <v>8</v>
      </c>
      <c r="F235" s="27" t="s">
        <v>7</v>
      </c>
      <c r="G235" s="27" t="s">
        <v>8</v>
      </c>
    </row>
    <row r="236" spans="1:11" x14ac:dyDescent="0.25">
      <c r="A236" s="30">
        <v>1.2155062500000002</v>
      </c>
      <c r="E236" t="s">
        <v>8</v>
      </c>
      <c r="F236" s="27" t="s">
        <v>7</v>
      </c>
      <c r="G236" s="27" t="s">
        <v>8</v>
      </c>
    </row>
    <row r="237" spans="1:11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G237" s="27" t="s">
        <v>8</v>
      </c>
    </row>
    <row r="238" spans="1:11" x14ac:dyDescent="0.25">
      <c r="A238" s="30">
        <v>1.1025</v>
      </c>
      <c r="E238" t="s">
        <v>8</v>
      </c>
      <c r="F238" s="27" t="s">
        <v>7</v>
      </c>
      <c r="G238" s="27" t="s">
        <v>8</v>
      </c>
    </row>
    <row r="239" spans="1:11" x14ac:dyDescent="0.25">
      <c r="A239" s="30">
        <v>1.05</v>
      </c>
      <c r="E239" t="s">
        <v>8</v>
      </c>
      <c r="F239" s="27" t="s">
        <v>7</v>
      </c>
      <c r="G239" s="27" t="s">
        <v>8</v>
      </c>
    </row>
    <row r="240" spans="1:11" x14ac:dyDescent="0.25">
      <c r="A240" s="30">
        <v>1</v>
      </c>
      <c r="E240" s="29" t="s">
        <v>8</v>
      </c>
      <c r="F240" s="27" t="s">
        <v>7</v>
      </c>
      <c r="G240" s="27" t="s">
        <v>8</v>
      </c>
    </row>
    <row r="241" spans="1:7" x14ac:dyDescent="0.25">
      <c r="A241" s="30">
        <v>0.952380952380952</v>
      </c>
      <c r="B241"/>
      <c r="C241"/>
      <c r="D241"/>
      <c r="E241"/>
      <c r="F241" s="27" t="s">
        <v>7</v>
      </c>
      <c r="G241" s="27" t="s">
        <v>8</v>
      </c>
    </row>
    <row r="242" spans="1:7" x14ac:dyDescent="0.25">
      <c r="A242" s="30">
        <v>0.90702947845804915</v>
      </c>
      <c r="B242"/>
      <c r="C242"/>
      <c r="D242"/>
      <c r="E242"/>
      <c r="F242" s="27" t="s">
        <v>7</v>
      </c>
      <c r="G242" s="27" t="s">
        <v>8</v>
      </c>
    </row>
    <row r="243" spans="1:7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</row>
    <row r="244" spans="1:7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</row>
    <row r="245" spans="1:7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</row>
    <row r="246" spans="1:7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</row>
    <row r="247" spans="1:7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</row>
    <row r="248" spans="1:7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</row>
    <row r="249" spans="1:7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</row>
    <row r="250" spans="1:7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</row>
    <row r="251" spans="1:7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</row>
    <row r="252" spans="1:7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</row>
    <row r="253" spans="1:7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</row>
    <row r="254" spans="1:7" x14ac:dyDescent="0.25">
      <c r="A254" s="30">
        <v>0.50506795299551588</v>
      </c>
      <c r="B254"/>
      <c r="C254"/>
      <c r="D254"/>
      <c r="E254"/>
      <c r="F254" s="27" t="s">
        <v>7</v>
      </c>
    </row>
    <row r="255" spans="1:7" x14ac:dyDescent="0.25">
      <c r="A255" s="30">
        <v>0.48101709809096732</v>
      </c>
      <c r="E255"/>
    </row>
    <row r="256" spans="1:7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90" operator="equal">
      <formula>$U$1</formula>
    </cfRule>
    <cfRule type="cellIs" dxfId="67" priority="1191" operator="equal">
      <formula>$S$1</formula>
    </cfRule>
  </conditionalFormatting>
  <conditionalFormatting sqref="D136">
    <cfRule type="cellIs" dxfId="66" priority="1188" operator="equal">
      <formula>$S$1</formula>
    </cfRule>
    <cfRule type="cellIs" dxfId="65" priority="1189" operator="equal">
      <formula>$U$1</formula>
    </cfRule>
  </conditionalFormatting>
  <conditionalFormatting sqref="C162">
    <cfRule type="cellIs" dxfId="64" priority="1186" operator="equal">
      <formula>$U$1</formula>
    </cfRule>
    <cfRule type="cellIs" dxfId="63" priority="1187" operator="equal">
      <formula>$S$1</formula>
    </cfRule>
  </conditionalFormatting>
  <conditionalFormatting sqref="D162">
    <cfRule type="cellIs" dxfId="62" priority="1184" operator="equal">
      <formula>$S$1</formula>
    </cfRule>
    <cfRule type="cellIs" dxfId="61" priority="1185" operator="equal">
      <formula>$U$1</formula>
    </cfRule>
  </conditionalFormatting>
  <conditionalFormatting sqref="C187">
    <cfRule type="cellIs" dxfId="60" priority="1182" operator="equal">
      <formula>$U$1</formula>
    </cfRule>
    <cfRule type="cellIs" dxfId="59" priority="1183" operator="equal">
      <formula>$S$1</formula>
    </cfRule>
  </conditionalFormatting>
  <conditionalFormatting sqref="D187">
    <cfRule type="cellIs" dxfId="58" priority="1180" operator="equal">
      <formula>$S$1</formula>
    </cfRule>
    <cfRule type="cellIs" dxfId="57" priority="1181" operator="equal">
      <formula>$U$1</formula>
    </cfRule>
  </conditionalFormatting>
  <conditionalFormatting sqref="C212">
    <cfRule type="cellIs" dxfId="56" priority="1178" operator="equal">
      <formula>$U$1</formula>
    </cfRule>
    <cfRule type="cellIs" dxfId="55" priority="1179" operator="equal">
      <formula>$S$1</formula>
    </cfRule>
  </conditionalFormatting>
  <conditionalFormatting sqref="D212">
    <cfRule type="cellIs" dxfId="54" priority="1176" operator="equal">
      <formula>$S$1</formula>
    </cfRule>
    <cfRule type="cellIs" dxfId="53" priority="1177" operator="equal">
      <formula>$U$1</formula>
    </cfRule>
  </conditionalFormatting>
  <conditionalFormatting sqref="C237">
    <cfRule type="cellIs" dxfId="52" priority="1174" operator="equal">
      <formula>$U$1</formula>
    </cfRule>
    <cfRule type="cellIs" dxfId="51" priority="1175" operator="equal">
      <formula>$S$1</formula>
    </cfRule>
  </conditionalFormatting>
  <conditionalFormatting sqref="D237">
    <cfRule type="cellIs" dxfId="50" priority="1172" operator="equal">
      <formula>$S$1</formula>
    </cfRule>
    <cfRule type="cellIs" dxfId="49" priority="1173" operator="equal">
      <formula>$U$1</formula>
    </cfRule>
  </conditionalFormatting>
  <conditionalFormatting sqref="C106">
    <cfRule type="cellIs" dxfId="48" priority="1170" operator="equal">
      <formula>$U$1</formula>
    </cfRule>
    <cfRule type="cellIs" dxfId="47" priority="1171" operator="equal">
      <formula>$S$1</formula>
    </cfRule>
  </conditionalFormatting>
  <conditionalFormatting sqref="D106">
    <cfRule type="cellIs" dxfId="46" priority="1168" operator="equal">
      <formula>$S$1</formula>
    </cfRule>
    <cfRule type="cellIs" dxfId="45" priority="1169" operator="equal">
      <formula>$U$1</formula>
    </cfRule>
  </conditionalFormatting>
  <conditionalFormatting sqref="C81">
    <cfRule type="cellIs" dxfId="44" priority="1166" operator="equal">
      <formula>$U$1</formula>
    </cfRule>
    <cfRule type="cellIs" dxfId="43" priority="1167" operator="equal">
      <formula>$S$1</formula>
    </cfRule>
  </conditionalFormatting>
  <conditionalFormatting sqref="D81">
    <cfRule type="cellIs" dxfId="42" priority="1164" operator="equal">
      <formula>$S$1</formula>
    </cfRule>
    <cfRule type="cellIs" dxfId="41" priority="1165" operator="equal">
      <formula>$U$1</formula>
    </cfRule>
  </conditionalFormatting>
  <conditionalFormatting sqref="C56">
    <cfRule type="cellIs" dxfId="40" priority="1162" operator="equal">
      <formula>$U$1</formula>
    </cfRule>
    <cfRule type="cellIs" dxfId="39" priority="1163" operator="equal">
      <formula>$S$1</formula>
    </cfRule>
  </conditionalFormatting>
  <conditionalFormatting sqref="D56">
    <cfRule type="cellIs" dxfId="38" priority="1160" operator="equal">
      <formula>$S$1</formula>
    </cfRule>
    <cfRule type="cellIs" dxfId="37" priority="1161" operator="equal">
      <formula>$U$1</formula>
    </cfRule>
  </conditionalFormatting>
  <conditionalFormatting sqref="C31">
    <cfRule type="cellIs" dxfId="36" priority="1158" operator="equal">
      <formula>$U$1</formula>
    </cfRule>
    <cfRule type="cellIs" dxfId="35" priority="1159" operator="equal">
      <formula>$S$1</formula>
    </cfRule>
  </conditionalFormatting>
  <conditionalFormatting sqref="D31">
    <cfRule type="cellIs" dxfId="34" priority="1156" operator="equal">
      <formula>$S$1</formula>
    </cfRule>
    <cfRule type="cellIs" dxfId="33" priority="115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63" zoomScale="90" zoomScaleNormal="90" workbookViewId="0">
      <pane xSplit="4" topLeftCell="G1" activePane="topRight" state="frozen"/>
      <selection activeCell="A109" sqref="A109"/>
      <selection pane="topRight" activeCell="X84" sqref="X8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23" x14ac:dyDescent="0.25">
      <c r="A65" s="30">
        <v>207.96505671840671</v>
      </c>
      <c r="E65"/>
    </row>
    <row r="66" spans="1:23" x14ac:dyDescent="0.25">
      <c r="A66" s="30">
        <v>189.05914247127882</v>
      </c>
      <c r="E66"/>
    </row>
    <row r="67" spans="1:23" x14ac:dyDescent="0.25">
      <c r="A67" s="30">
        <v>171.87194770116255</v>
      </c>
      <c r="C67" s="1" t="s">
        <v>15</v>
      </c>
      <c r="E67"/>
    </row>
    <row r="68" spans="1:23" x14ac:dyDescent="0.25">
      <c r="A68" s="30">
        <v>156.24722518287504</v>
      </c>
      <c r="C68" s="7">
        <v>0.11167815779424731</v>
      </c>
      <c r="D68"/>
      <c r="E68"/>
    </row>
    <row r="69" spans="1:23" x14ac:dyDescent="0.25">
      <c r="A69" s="30">
        <v>142.04293198443185</v>
      </c>
      <c r="E69"/>
    </row>
    <row r="70" spans="1:23" x14ac:dyDescent="0.25">
      <c r="A70" s="30">
        <v>129.1299381676653</v>
      </c>
      <c r="C70" s="1" t="s">
        <v>11</v>
      </c>
      <c r="D70" s="1" t="s">
        <v>12</v>
      </c>
      <c r="E70"/>
    </row>
    <row r="71" spans="1:23" x14ac:dyDescent="0.25">
      <c r="A71" s="30">
        <v>117.39085287969573</v>
      </c>
      <c r="C71"/>
      <c r="D71"/>
      <c r="E71"/>
    </row>
    <row r="72" spans="1:23" x14ac:dyDescent="0.25">
      <c r="A72" s="30">
        <v>106.71895716335975</v>
      </c>
      <c r="E72"/>
    </row>
    <row r="73" spans="1:23" x14ac:dyDescent="0.25">
      <c r="A73" s="30">
        <v>97.017233784872488</v>
      </c>
      <c r="C73" s="1" t="s">
        <v>13</v>
      </c>
      <c r="E73"/>
    </row>
    <row r="74" spans="1:23" x14ac:dyDescent="0.25">
      <c r="A74" s="30">
        <v>88.197485258974979</v>
      </c>
      <c r="C74" s="1">
        <f>C63</f>
        <v>0</v>
      </c>
      <c r="E74"/>
    </row>
    <row r="75" spans="1:23" x14ac:dyDescent="0.25">
      <c r="A75" s="30">
        <v>80.179532053613613</v>
      </c>
      <c r="C75"/>
      <c r="D75"/>
      <c r="E75"/>
      <c r="S75" s="27" t="s">
        <v>8</v>
      </c>
    </row>
    <row r="76" spans="1:23" x14ac:dyDescent="0.25">
      <c r="A76" s="30">
        <v>72.890483685103277</v>
      </c>
      <c r="C76" s="1" t="s">
        <v>14</v>
      </c>
      <c r="E76"/>
      <c r="S76" s="27" t="s">
        <v>8</v>
      </c>
      <c r="T76" s="27" t="s">
        <v>7</v>
      </c>
      <c r="U76" s="27" t="s">
        <v>8</v>
      </c>
    </row>
    <row r="77" spans="1:23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S77" s="27" t="s">
        <v>8</v>
      </c>
      <c r="T77" s="27" t="s">
        <v>7</v>
      </c>
      <c r="U77" s="27" t="s">
        <v>8</v>
      </c>
      <c r="V77" s="27" t="s">
        <v>7</v>
      </c>
    </row>
    <row r="78" spans="1:23" x14ac:dyDescent="0.25">
      <c r="A78" s="30">
        <v>60.240069161242367</v>
      </c>
      <c r="E78"/>
      <c r="O78" s="27" t="s">
        <v>8</v>
      </c>
      <c r="S78" s="27" t="s">
        <v>8</v>
      </c>
      <c r="T78" s="27" t="s">
        <v>7</v>
      </c>
      <c r="U78" s="27" t="s">
        <v>8</v>
      </c>
      <c r="V78" s="27" t="s">
        <v>7</v>
      </c>
    </row>
    <row r="79" spans="1:23" x14ac:dyDescent="0.25">
      <c r="A79" s="30">
        <v>54.763699237493057</v>
      </c>
      <c r="E79"/>
      <c r="O79" s="27" t="s">
        <v>8</v>
      </c>
      <c r="P79" s="27" t="s">
        <v>7</v>
      </c>
      <c r="S79" s="27" t="s">
        <v>8</v>
      </c>
      <c r="T79" s="27" t="s">
        <v>7</v>
      </c>
      <c r="U79" s="27" t="s">
        <v>8</v>
      </c>
      <c r="V79" s="27" t="s">
        <v>7</v>
      </c>
    </row>
    <row r="80" spans="1:23" x14ac:dyDescent="0.25">
      <c r="A80" s="30">
        <v>49.785181124993684</v>
      </c>
      <c r="E80"/>
      <c r="O80" s="27" t="s">
        <v>8</v>
      </c>
      <c r="P80" s="27" t="s">
        <v>7</v>
      </c>
      <c r="S80" s="27" t="s">
        <v>8</v>
      </c>
      <c r="T80" s="27" t="s">
        <v>7</v>
      </c>
      <c r="V80" s="27" t="s">
        <v>7</v>
      </c>
      <c r="W80" s="27" t="s">
        <v>8</v>
      </c>
    </row>
    <row r="81" spans="1:24" x14ac:dyDescent="0.25">
      <c r="A81" s="30">
        <v>45.259255568176073</v>
      </c>
      <c r="E81"/>
      <c r="O81" s="27" t="s">
        <v>8</v>
      </c>
      <c r="P81" s="27" t="s">
        <v>7</v>
      </c>
      <c r="S81" s="27" t="s">
        <v>8</v>
      </c>
      <c r="V81" s="27" t="s">
        <v>7</v>
      </c>
      <c r="W81" s="27" t="s">
        <v>8</v>
      </c>
      <c r="X81" s="27" t="s">
        <v>7</v>
      </c>
    </row>
    <row r="82" spans="1:24" x14ac:dyDescent="0.25">
      <c r="A82" s="30">
        <v>41.144777789250973</v>
      </c>
      <c r="E82"/>
      <c r="O82" s="27" t="s">
        <v>8</v>
      </c>
      <c r="P82" s="27" t="s">
        <v>7</v>
      </c>
      <c r="S82" s="27" t="s">
        <v>8</v>
      </c>
      <c r="V82" s="27" t="s">
        <v>7</v>
      </c>
      <c r="W82" s="27" t="s">
        <v>8</v>
      </c>
      <c r="X82" s="31" t="s">
        <v>7</v>
      </c>
    </row>
    <row r="83" spans="1:24" x14ac:dyDescent="0.25">
      <c r="A83" s="30">
        <v>37.404343444773609</v>
      </c>
      <c r="E83"/>
      <c r="O83" s="27" t="s">
        <v>8</v>
      </c>
      <c r="P83" s="27" t="s">
        <v>7</v>
      </c>
      <c r="Q83" s="27" t="s">
        <v>8</v>
      </c>
      <c r="S83" s="27" t="s">
        <v>8</v>
      </c>
      <c r="V83" s="27" t="s">
        <v>7</v>
      </c>
      <c r="W83" s="31" t="s">
        <v>8</v>
      </c>
      <c r="X83" s="27" t="s">
        <v>7</v>
      </c>
    </row>
    <row r="84" spans="1:24" x14ac:dyDescent="0.25">
      <c r="A84" s="30">
        <v>34.003948586157826</v>
      </c>
      <c r="E84"/>
      <c r="M84" s="27" t="s">
        <v>8</v>
      </c>
      <c r="O84" s="27" t="s">
        <v>8</v>
      </c>
      <c r="P84" s="27" t="s">
        <v>7</v>
      </c>
      <c r="Q84" s="27" t="s">
        <v>8</v>
      </c>
      <c r="R84" s="27" t="s">
        <v>7</v>
      </c>
      <c r="S84" s="27" t="s">
        <v>8</v>
      </c>
      <c r="V84" s="31" t="s">
        <v>7</v>
      </c>
      <c r="X84" s="27" t="s">
        <v>7</v>
      </c>
    </row>
    <row r="85" spans="1:24" x14ac:dyDescent="0.25">
      <c r="A85" s="30">
        <v>30.912680532870748</v>
      </c>
      <c r="E85"/>
      <c r="M85" s="27" t="s">
        <v>8</v>
      </c>
      <c r="N85" s="27" t="s">
        <v>7</v>
      </c>
      <c r="O85" s="27" t="s">
        <v>8</v>
      </c>
      <c r="P85" s="27" t="s">
        <v>7</v>
      </c>
      <c r="Q85" s="27" t="s">
        <v>8</v>
      </c>
      <c r="R85" s="27" t="s">
        <v>7</v>
      </c>
      <c r="S85" s="18" t="s">
        <v>8</v>
      </c>
      <c r="U85" s="31"/>
    </row>
    <row r="86" spans="1:24" x14ac:dyDescent="0.25">
      <c r="A86" s="30">
        <v>28.102436848064315</v>
      </c>
      <c r="E86"/>
      <c r="M86" s="27" t="s">
        <v>8</v>
      </c>
      <c r="N86" s="27" t="s">
        <v>7</v>
      </c>
      <c r="O86" s="27" t="s">
        <v>8</v>
      </c>
      <c r="P86" s="27" t="s">
        <v>7</v>
      </c>
      <c r="Q86" s="27" t="s">
        <v>8</v>
      </c>
      <c r="R86" s="27" t="s">
        <v>7</v>
      </c>
      <c r="S86" s="27" t="s">
        <v>8</v>
      </c>
      <c r="T86" s="31"/>
    </row>
    <row r="87" spans="1:24" x14ac:dyDescent="0.25">
      <c r="A87" s="30">
        <v>25.547669861876649</v>
      </c>
      <c r="E87"/>
      <c r="M87" s="27" t="s">
        <v>8</v>
      </c>
      <c r="N87" s="27" t="s">
        <v>7</v>
      </c>
      <c r="P87" s="27" t="s">
        <v>7</v>
      </c>
      <c r="Q87" s="27" t="s">
        <v>8</v>
      </c>
      <c r="R87" s="27" t="s">
        <v>7</v>
      </c>
      <c r="S87" s="31" t="s">
        <v>8</v>
      </c>
    </row>
    <row r="88" spans="1:24" x14ac:dyDescent="0.25">
      <c r="A88" s="30">
        <v>23.225154419887861</v>
      </c>
      <c r="E88"/>
      <c r="M88" s="27" t="s">
        <v>8</v>
      </c>
      <c r="P88" s="27" t="s">
        <v>7</v>
      </c>
      <c r="R88" s="31" t="s">
        <v>7</v>
      </c>
    </row>
    <row r="89" spans="1:24" x14ac:dyDescent="0.25">
      <c r="A89" s="30">
        <v>21.113776745352599</v>
      </c>
      <c r="E89"/>
      <c r="M89" s="27" t="s">
        <v>8</v>
      </c>
    </row>
    <row r="90" spans="1:24" x14ac:dyDescent="0.25">
      <c r="A90" s="30">
        <v>19.194342495775089</v>
      </c>
      <c r="E90"/>
      <c r="M90" s="27" t="s">
        <v>8</v>
      </c>
    </row>
    <row r="91" spans="1:24" x14ac:dyDescent="0.25">
      <c r="A91" s="30">
        <v>17.449402268886445</v>
      </c>
      <c r="E91"/>
      <c r="M91" s="27" t="s">
        <v>8</v>
      </c>
    </row>
    <row r="92" spans="1:24" x14ac:dyDescent="0.25">
      <c r="A92" s="30">
        <v>15.863092971714948</v>
      </c>
      <c r="C92" s="1" t="s">
        <v>15</v>
      </c>
      <c r="E92"/>
      <c r="M92" s="27" t="s">
        <v>8</v>
      </c>
    </row>
    <row r="93" spans="1:24" x14ac:dyDescent="0.25">
      <c r="A93" s="30">
        <v>14.420993610649951</v>
      </c>
      <c r="C93" s="7">
        <v>0.11167815779424731</v>
      </c>
      <c r="D93"/>
      <c r="E93"/>
      <c r="M93" s="27" t="s">
        <v>8</v>
      </c>
    </row>
    <row r="94" spans="1:24" x14ac:dyDescent="0.25">
      <c r="A94" s="30">
        <v>13.109994191499954</v>
      </c>
      <c r="E94"/>
      <c r="M94" s="27" t="s">
        <v>8</v>
      </c>
    </row>
    <row r="95" spans="1:24" x14ac:dyDescent="0.25">
      <c r="A95" s="30">
        <v>11.918176537727231</v>
      </c>
      <c r="C95" s="1" t="s">
        <v>11</v>
      </c>
      <c r="D95" s="1" t="s">
        <v>12</v>
      </c>
      <c r="E95"/>
      <c r="M95" s="27" t="s">
        <v>8</v>
      </c>
    </row>
    <row r="96" spans="1:24" x14ac:dyDescent="0.25">
      <c r="A96" s="30">
        <v>10.834705943388391</v>
      </c>
      <c r="C96"/>
      <c r="D96"/>
      <c r="E96"/>
      <c r="I96" s="27" t="s">
        <v>8</v>
      </c>
      <c r="M96" s="27" t="s">
        <v>8</v>
      </c>
    </row>
    <row r="97" spans="1:13" x14ac:dyDescent="0.25">
      <c r="A97" s="30">
        <v>9.849732675807628</v>
      </c>
      <c r="E97"/>
      <c r="I97" s="27" t="s">
        <v>8</v>
      </c>
      <c r="J97" s="27" t="s">
        <v>7</v>
      </c>
      <c r="K97" s="27" t="s">
        <v>8</v>
      </c>
      <c r="M97" s="27" t="s">
        <v>8</v>
      </c>
    </row>
    <row r="98" spans="1:13" x14ac:dyDescent="0.25">
      <c r="A98" s="30">
        <v>8.9543024325523888</v>
      </c>
      <c r="C98" s="1" t="s">
        <v>13</v>
      </c>
      <c r="E98"/>
      <c r="I98" s="27" t="s">
        <v>8</v>
      </c>
      <c r="J98" s="27" t="s">
        <v>7</v>
      </c>
      <c r="K98" s="27" t="s">
        <v>8</v>
      </c>
      <c r="L98" s="27" t="s">
        <v>7</v>
      </c>
      <c r="M98" s="27" t="s">
        <v>8</v>
      </c>
    </row>
    <row r="99" spans="1:13" x14ac:dyDescent="0.25">
      <c r="A99" s="30">
        <v>8.140274938683989</v>
      </c>
      <c r="C99" s="1">
        <f>C88</f>
        <v>0</v>
      </c>
      <c r="E99"/>
      <c r="I99" s="27" t="s">
        <v>8</v>
      </c>
      <c r="J99" s="27" t="s">
        <v>7</v>
      </c>
      <c r="K99" s="27" t="s">
        <v>8</v>
      </c>
      <c r="L99" s="27" t="s">
        <v>7</v>
      </c>
      <c r="M99" s="27" t="s">
        <v>8</v>
      </c>
    </row>
    <row r="100" spans="1:13" x14ac:dyDescent="0.25">
      <c r="A100" s="30">
        <v>7.4002499442581717</v>
      </c>
      <c r="C100"/>
      <c r="D100"/>
      <c r="E100"/>
      <c r="I100" s="27" t="s">
        <v>8</v>
      </c>
      <c r="J100" s="27" t="s">
        <v>7</v>
      </c>
      <c r="K100" s="27" t="s">
        <v>8</v>
      </c>
      <c r="L100" s="27" t="s">
        <v>7</v>
      </c>
    </row>
    <row r="101" spans="1:13" x14ac:dyDescent="0.25">
      <c r="A101" s="30">
        <v>6.72749994932561</v>
      </c>
      <c r="C101" s="1" t="s">
        <v>14</v>
      </c>
      <c r="E101"/>
      <c r="I101" s="27" t="s">
        <v>8</v>
      </c>
      <c r="J101" s="27" t="s">
        <v>7</v>
      </c>
    </row>
    <row r="102" spans="1:13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I102" s="27" t="s">
        <v>8</v>
      </c>
    </row>
    <row r="103" spans="1:13" x14ac:dyDescent="0.25">
      <c r="A103" s="30">
        <v>5.5599173134922388</v>
      </c>
      <c r="E103"/>
      <c r="I103" s="27" t="s">
        <v>8</v>
      </c>
    </row>
    <row r="104" spans="1:13" x14ac:dyDescent="0.25">
      <c r="A104" s="30">
        <v>5.0544702849929442</v>
      </c>
      <c r="E104"/>
      <c r="I104" s="27" t="s">
        <v>8</v>
      </c>
    </row>
    <row r="105" spans="1:13" x14ac:dyDescent="0.25">
      <c r="A105" s="30">
        <v>4.594972986357222</v>
      </c>
      <c r="E105"/>
      <c r="I105" s="27" t="s">
        <v>8</v>
      </c>
    </row>
    <row r="106" spans="1:13" x14ac:dyDescent="0.25">
      <c r="A106" s="30">
        <v>4.1772481694156562</v>
      </c>
      <c r="E106"/>
      <c r="I106" s="27" t="s">
        <v>8</v>
      </c>
    </row>
    <row r="107" spans="1:13" x14ac:dyDescent="0.25">
      <c r="A107" s="30">
        <v>3.7974983358324148</v>
      </c>
      <c r="E107"/>
      <c r="I107" s="27" t="s">
        <v>8</v>
      </c>
    </row>
    <row r="108" spans="1:13" x14ac:dyDescent="0.25">
      <c r="A108" s="30">
        <v>3.4522712143931042</v>
      </c>
      <c r="E108" t="s">
        <v>8</v>
      </c>
      <c r="I108" s="27" t="s">
        <v>8</v>
      </c>
    </row>
    <row r="109" spans="1:13" x14ac:dyDescent="0.25">
      <c r="A109" s="30">
        <v>3.1384283767210035</v>
      </c>
      <c r="E109" t="s">
        <v>8</v>
      </c>
      <c r="F109" s="27" t="s">
        <v>7</v>
      </c>
      <c r="I109" s="27" t="s">
        <v>8</v>
      </c>
    </row>
    <row r="110" spans="1:13" x14ac:dyDescent="0.25">
      <c r="A110" s="30">
        <v>2.8531167061100029</v>
      </c>
      <c r="E110" t="s">
        <v>8</v>
      </c>
      <c r="F110" s="27" t="s">
        <v>7</v>
      </c>
      <c r="I110" s="27" t="s">
        <v>8</v>
      </c>
    </row>
    <row r="111" spans="1:13" x14ac:dyDescent="0.25">
      <c r="A111" s="30">
        <v>2.5937424601000023</v>
      </c>
      <c r="C111" s="1" t="str">
        <f>ADDRESS(C121-1,1,1,1)</f>
        <v>$A$83</v>
      </c>
      <c r="D111" s="1" t="str">
        <f>ADDRESS(C121-1,D121,1,1)</f>
        <v>$X$83</v>
      </c>
      <c r="E111" t="s">
        <v>8</v>
      </c>
      <c r="F111" s="27" t="s">
        <v>7</v>
      </c>
      <c r="G111" s="27" t="s">
        <v>8</v>
      </c>
      <c r="I111" s="27" t="s">
        <v>8</v>
      </c>
    </row>
    <row r="112" spans="1:13" x14ac:dyDescent="0.25">
      <c r="A112" s="30">
        <v>2.3579476910000019</v>
      </c>
      <c r="C112" s="1" t="str">
        <f>ADDRESS(C121,1,1,1)</f>
        <v>$A$84</v>
      </c>
      <c r="D112" s="1" t="str">
        <f>ADDRESS(C121,D121-1,1,1)</f>
        <v>$W$84</v>
      </c>
      <c r="E112" t="s">
        <v>8</v>
      </c>
      <c r="F112" s="27" t="s">
        <v>7</v>
      </c>
      <c r="G112" s="27" t="s">
        <v>8</v>
      </c>
      <c r="H112" s="27" t="s">
        <v>7</v>
      </c>
      <c r="I112" s="27" t="s">
        <v>8</v>
      </c>
    </row>
    <row r="113" spans="1:9" x14ac:dyDescent="0.25">
      <c r="A113" s="30">
        <v>2.1435888100000016</v>
      </c>
      <c r="C113" s="1" t="str">
        <f>ADDRESS(C121+1,1,1,1)</f>
        <v>$A$85</v>
      </c>
      <c r="D113" s="1" t="str">
        <f>ADDRESS(C121-1,D121+1,1,1)</f>
        <v>$Y$83</v>
      </c>
      <c r="E113" s="1" t="s">
        <v>8</v>
      </c>
      <c r="F113" s="27" t="s">
        <v>7</v>
      </c>
      <c r="G113" s="27" t="s">
        <v>8</v>
      </c>
      <c r="H113" s="27" t="s">
        <v>7</v>
      </c>
      <c r="I113" s="27" t="s">
        <v>8</v>
      </c>
    </row>
    <row r="114" spans="1:9" x14ac:dyDescent="0.25">
      <c r="A114" s="30">
        <v>1.9487171000000014</v>
      </c>
      <c r="C114" s="1" t="str">
        <f>ADDRESS(C121,D121,1,1)</f>
        <v>$X$84</v>
      </c>
      <c r="D114" s="1" t="str">
        <f>ADDRESS(C121+1,D121+1,1,1)</f>
        <v>$Y$85</v>
      </c>
      <c r="E114" s="1" t="s">
        <v>8</v>
      </c>
      <c r="F114" s="27" t="s">
        <v>7</v>
      </c>
      <c r="G114" s="27" t="s">
        <v>8</v>
      </c>
      <c r="H114" s="27" t="s">
        <v>7</v>
      </c>
      <c r="I114" s="27" t="s">
        <v>8</v>
      </c>
    </row>
    <row r="115" spans="1:9" x14ac:dyDescent="0.25">
      <c r="A115" s="30">
        <v>1.7715610000000011</v>
      </c>
      <c r="C115" s="1" t="str">
        <f>ADDRESS(C121+1,D121,1,1)</f>
        <v>$X$85</v>
      </c>
      <c r="E115" s="1" t="s">
        <v>8</v>
      </c>
      <c r="F115" s="27" t="s">
        <v>7</v>
      </c>
      <c r="G115" s="27" t="s">
        <v>8</v>
      </c>
      <c r="H115" s="27" t="s">
        <v>7</v>
      </c>
    </row>
    <row r="116" spans="1:9" x14ac:dyDescent="0.25">
      <c r="A116" s="30">
        <v>1.6105100000000008</v>
      </c>
      <c r="C116" s="1">
        <f>C117-1</f>
        <v>83</v>
      </c>
      <c r="E116" s="1" t="s">
        <v>8</v>
      </c>
      <c r="F116" s="27" t="s">
        <v>7</v>
      </c>
      <c r="G116" s="27" t="s">
        <v>8</v>
      </c>
    </row>
    <row r="117" spans="1:9" x14ac:dyDescent="0.25">
      <c r="A117" s="30">
        <v>1.4641000000000006</v>
      </c>
      <c r="C117" s="1">
        <f>C121</f>
        <v>84</v>
      </c>
      <c r="D117" s="1">
        <f>D121</f>
        <v>24</v>
      </c>
      <c r="E117" s="1" t="s">
        <v>8</v>
      </c>
      <c r="F117" s="27" t="s">
        <v>7</v>
      </c>
      <c r="G117" s="27" t="s">
        <v>8</v>
      </c>
    </row>
    <row r="118" spans="1:9" x14ac:dyDescent="0.25">
      <c r="A118" s="30">
        <v>1.3310000000000004</v>
      </c>
      <c r="C118" s="1">
        <f>C117+1</f>
        <v>85</v>
      </c>
      <c r="D118" s="1">
        <f>D117+1</f>
        <v>25</v>
      </c>
      <c r="E118" s="1" t="s">
        <v>8</v>
      </c>
      <c r="F118" s="27" t="s">
        <v>7</v>
      </c>
      <c r="G118" s="27" t="s">
        <v>8</v>
      </c>
    </row>
    <row r="119" spans="1:9" x14ac:dyDescent="0.25">
      <c r="A119" s="30">
        <v>1.2100000000000002</v>
      </c>
      <c r="E119" s="1" t="s">
        <v>8</v>
      </c>
      <c r="F119" s="27" t="s">
        <v>7</v>
      </c>
      <c r="G119" s="27" t="s">
        <v>8</v>
      </c>
    </row>
    <row r="120" spans="1:9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G120" s="27" t="s">
        <v>8</v>
      </c>
    </row>
    <row r="121" spans="1:9" x14ac:dyDescent="0.25">
      <c r="A121" s="30">
        <v>1</v>
      </c>
      <c r="C121" s="18">
        <v>84</v>
      </c>
      <c r="D121" s="19">
        <v>24</v>
      </c>
      <c r="E121" s="18" t="s">
        <v>8</v>
      </c>
      <c r="F121" s="27" t="s">
        <v>7</v>
      </c>
      <c r="G121" s="27" t="s">
        <v>8</v>
      </c>
    </row>
    <row r="122" spans="1:9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</row>
    <row r="123" spans="1:9" x14ac:dyDescent="0.25">
      <c r="A123" s="30">
        <v>0.82644628099173523</v>
      </c>
      <c r="C123" s="1" t="str">
        <f>"R"&amp;C121</f>
        <v>R84</v>
      </c>
      <c r="D123" s="1" t="str">
        <f>"C"&amp;D121</f>
        <v>C24</v>
      </c>
      <c r="F123" s="27" t="s">
        <v>7</v>
      </c>
      <c r="G123" s="27" t="s">
        <v>8</v>
      </c>
    </row>
    <row r="124" spans="1:9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</row>
    <row r="125" spans="1:9" x14ac:dyDescent="0.25">
      <c r="A125" s="30">
        <v>0.68301345536507019</v>
      </c>
      <c r="F125" s="27" t="s">
        <v>7</v>
      </c>
      <c r="G125" s="27" t="s">
        <v>8</v>
      </c>
    </row>
    <row r="126" spans="1:9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</row>
    <row r="127" spans="1:9" x14ac:dyDescent="0.25">
      <c r="A127" s="30">
        <v>0.56447393005377677</v>
      </c>
      <c r="C127" s="30">
        <v>34.003948586157826</v>
      </c>
      <c r="D127"/>
      <c r="F127" s="27" t="s">
        <v>7</v>
      </c>
      <c r="G127" s="27" t="s">
        <v>8</v>
      </c>
    </row>
    <row r="128" spans="1:9" x14ac:dyDescent="0.25">
      <c r="A128" s="30">
        <v>0.51315811823070612</v>
      </c>
      <c r="F128" s="27" t="s">
        <v>7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74" operator="equal">
      <formula>$U$1</formula>
    </cfRule>
    <cfRule type="cellIs" dxfId="30" priority="1175" operator="equal">
      <formula>$S$1</formula>
    </cfRule>
  </conditionalFormatting>
  <conditionalFormatting sqref="D136">
    <cfRule type="cellIs" dxfId="29" priority="1172" operator="equal">
      <formula>$S$1</formula>
    </cfRule>
    <cfRule type="cellIs" dxfId="28" priority="1173" operator="equal">
      <formula>$U$1</formula>
    </cfRule>
  </conditionalFormatting>
  <conditionalFormatting sqref="C102">
    <cfRule type="cellIs" dxfId="27" priority="1170" operator="equal">
      <formula>$U$1</formula>
    </cfRule>
    <cfRule type="cellIs" dxfId="26" priority="1171" operator="equal">
      <formula>$S$1</formula>
    </cfRule>
  </conditionalFormatting>
  <conditionalFormatting sqref="D102">
    <cfRule type="cellIs" dxfId="25" priority="1168" operator="equal">
      <formula>$S$1</formula>
    </cfRule>
    <cfRule type="cellIs" dxfId="24" priority="1169" operator="equal">
      <formula>$U$1</formula>
    </cfRule>
  </conditionalFormatting>
  <conditionalFormatting sqref="C77">
    <cfRule type="cellIs" dxfId="23" priority="1166" operator="equal">
      <formula>$U$1</formula>
    </cfRule>
    <cfRule type="cellIs" dxfId="22" priority="1167" operator="equal">
      <formula>$S$1</formula>
    </cfRule>
  </conditionalFormatting>
  <conditionalFormatting sqref="D77">
    <cfRule type="cellIs" dxfId="21" priority="1164" operator="equal">
      <formula>$S$1</formula>
    </cfRule>
    <cfRule type="cellIs" dxfId="20" priority="1165" operator="equal">
      <formula>$U$1</formula>
    </cfRule>
  </conditionalFormatting>
  <conditionalFormatting sqref="C52">
    <cfRule type="cellIs" dxfId="19" priority="1162" operator="equal">
      <formula>$U$1</formula>
    </cfRule>
    <cfRule type="cellIs" dxfId="18" priority="1163" operator="equal">
      <formula>$S$1</formula>
    </cfRule>
  </conditionalFormatting>
  <conditionalFormatting sqref="D52">
    <cfRule type="cellIs" dxfId="17" priority="1160" operator="equal">
      <formula>$S$1</formula>
    </cfRule>
    <cfRule type="cellIs" dxfId="16" priority="1161" operator="equal">
      <formula>$U$1</formula>
    </cfRule>
  </conditionalFormatting>
  <conditionalFormatting sqref="C26">
    <cfRule type="cellIs" dxfId="15" priority="1158" operator="equal">
      <formula>$U$1</formula>
    </cfRule>
    <cfRule type="cellIs" dxfId="14" priority="1159" operator="equal">
      <formula>$S$1</formula>
    </cfRule>
  </conditionalFormatting>
  <conditionalFormatting sqref="D26">
    <cfRule type="cellIs" dxfId="13" priority="1156" operator="equal">
      <formula>$S$1</formula>
    </cfRule>
    <cfRule type="cellIs" dxfId="12" priority="115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2022-01-28T01:16:59Z</dcterms:modified>
</cp:coreProperties>
</file>