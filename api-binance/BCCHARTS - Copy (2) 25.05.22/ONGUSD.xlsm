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C9B6239-0C4E-44B3-9C6B-234FF60F675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79" i="1"/>
  <c r="Q1079" i="1" s="1"/>
  <c r="R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79" i="1"/>
  <c r="T107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C136" i="4" s="1"/>
  <c r="C116" i="4"/>
  <c r="C118" i="4"/>
  <c r="C118" i="3"/>
  <c r="C122" i="3"/>
  <c r="C133" i="3" s="1"/>
  <c r="D136" i="3" s="1"/>
  <c r="R1078" i="1"/>
  <c r="C136" i="5" l="1"/>
  <c r="C138" i="5" s="1"/>
  <c r="D136" i="4"/>
  <c r="C138" i="4" s="1"/>
  <c r="C136" i="3"/>
  <c r="C138" i="3" s="1"/>
  <c r="R1077" i="1"/>
  <c r="S1078" i="1"/>
  <c r="T1078" i="1" s="1"/>
  <c r="S1077" i="1" l="1"/>
  <c r="T1077" i="1" s="1"/>
  <c r="R1076" i="1"/>
  <c r="R1075" i="1" l="1"/>
  <c r="S1076" i="1"/>
  <c r="T1076" i="1" s="1"/>
  <c r="S1075" i="1" l="1"/>
  <c r="T1075" i="1" s="1"/>
  <c r="R1074" i="1"/>
  <c r="R1073" i="1" l="1"/>
  <c r="S1074" i="1"/>
  <c r="T1074" i="1" s="1"/>
  <c r="R1072" i="1" l="1"/>
  <c r="S1073" i="1"/>
  <c r="T1073" i="1" s="1"/>
  <c r="S1072" i="1" l="1"/>
  <c r="T1072" i="1" s="1"/>
  <c r="R1071" i="1"/>
  <c r="S1071" i="1" l="1"/>
  <c r="T1071" i="1" s="1"/>
  <c r="R1070" i="1"/>
  <c r="R1069" i="1" l="1"/>
  <c r="S1070" i="1"/>
  <c r="T1070" i="1" s="1"/>
  <c r="R1068" i="1" l="1"/>
  <c r="S1069" i="1"/>
  <c r="T1069" i="1" s="1"/>
  <c r="S1068" i="1" l="1"/>
  <c r="T1068" i="1" s="1"/>
  <c r="R1067" i="1"/>
  <c r="S1067" i="1" l="1"/>
  <c r="T1067" i="1" s="1"/>
  <c r="R1066" i="1"/>
  <c r="R1065" i="1" l="1"/>
  <c r="S1066" i="1"/>
  <c r="T1066" i="1" s="1"/>
  <c r="R1064" i="1" l="1"/>
  <c r="S1065" i="1"/>
  <c r="T1065" i="1" s="1"/>
  <c r="S1064" i="1" l="1"/>
  <c r="T1064" i="1" s="1"/>
  <c r="R1063" i="1"/>
  <c r="R1062" i="1" l="1"/>
  <c r="S1063" i="1"/>
  <c r="T1063" i="1" s="1"/>
  <c r="R1061" i="1" l="1"/>
  <c r="S1062" i="1"/>
  <c r="T1062" i="1" s="1"/>
  <c r="S1061" i="1" l="1"/>
  <c r="T1061" i="1" s="1"/>
  <c r="R1060" i="1"/>
  <c r="S1060" i="1" l="1"/>
  <c r="T1060" i="1" s="1"/>
  <c r="R1059" i="1"/>
  <c r="R1058" i="1" l="1"/>
  <c r="S1059" i="1"/>
  <c r="T1059" i="1" s="1"/>
  <c r="R1057" i="1" l="1"/>
  <c r="S1058" i="1"/>
  <c r="T1058" i="1" s="1"/>
  <c r="S1057" i="1" l="1"/>
  <c r="T1057" i="1" s="1"/>
  <c r="R1056" i="1"/>
  <c r="S1056" i="1" l="1"/>
  <c r="T1056" i="1" s="1"/>
  <c r="R1055" i="1"/>
  <c r="R1054" i="1" l="1"/>
  <c r="S1055" i="1"/>
  <c r="T1055" i="1" s="1"/>
  <c r="R1053" i="1" l="1"/>
  <c r="S1054" i="1"/>
  <c r="T1054" i="1" s="1"/>
  <c r="S1053" i="1" l="1"/>
  <c r="T1053" i="1" s="1"/>
  <c r="R1052" i="1"/>
  <c r="S1052" i="1" l="1"/>
  <c r="T1052" i="1" s="1"/>
  <c r="R1051" i="1"/>
  <c r="R1050" i="1" l="1"/>
  <c r="S1051" i="1"/>
  <c r="T1051" i="1" s="1"/>
  <c r="R1049" i="1" l="1"/>
  <c r="S1050" i="1"/>
  <c r="T1050" i="1" s="1"/>
  <c r="S1049" i="1" l="1"/>
  <c r="T1049" i="1" s="1"/>
  <c r="R1048" i="1"/>
  <c r="S1048" i="1" l="1"/>
  <c r="T1048" i="1" s="1"/>
  <c r="R1047" i="1"/>
  <c r="R1046" i="1" l="1"/>
  <c r="S1047" i="1"/>
  <c r="T1047" i="1" s="1"/>
  <c r="R1045" i="1" l="1"/>
  <c r="S1046" i="1"/>
  <c r="T1046" i="1" s="1"/>
  <c r="S1045" i="1" l="1"/>
  <c r="T1045" i="1" s="1"/>
  <c r="R1044" i="1"/>
  <c r="S1044" i="1" l="1"/>
  <c r="T1044" i="1" s="1"/>
  <c r="R1043" i="1"/>
  <c r="R1042" i="1" l="1"/>
  <c r="S1043" i="1"/>
  <c r="T1043" i="1" s="1"/>
  <c r="S1042" i="1" l="1"/>
  <c r="T1042" i="1" s="1"/>
  <c r="R1041" i="1"/>
  <c r="S1041" i="1" l="1"/>
  <c r="T1041" i="1" s="1"/>
  <c r="R1040" i="1"/>
  <c r="R1039" i="1" l="1"/>
  <c r="S1040" i="1"/>
  <c r="T1040" i="1" s="1"/>
  <c r="R1038" i="1" l="1"/>
  <c r="S1039" i="1"/>
  <c r="T1039" i="1" s="1"/>
  <c r="S1038" i="1" l="1"/>
  <c r="T1038" i="1" s="1"/>
  <c r="R1037" i="1"/>
  <c r="S1037" i="1" l="1"/>
  <c r="T1037" i="1" s="1"/>
  <c r="R1036" i="1"/>
  <c r="R1035" i="1" l="1"/>
  <c r="S1036" i="1"/>
  <c r="T1036" i="1" s="1"/>
  <c r="R1034" i="1" l="1"/>
  <c r="S1035" i="1"/>
  <c r="T1035" i="1" s="1"/>
  <c r="S1034" i="1" l="1"/>
  <c r="T1034" i="1" s="1"/>
  <c r="R1033" i="1"/>
  <c r="S1033" i="1" l="1"/>
  <c r="T1033" i="1" s="1"/>
  <c r="R1032" i="1"/>
  <c r="S1032" i="1" l="1"/>
  <c r="T1032" i="1" s="1"/>
  <c r="R1031" i="1"/>
  <c r="R1030" i="1" l="1"/>
  <c r="S1031" i="1"/>
  <c r="T1031" i="1" s="1"/>
  <c r="R1029" i="1" l="1"/>
  <c r="S1030" i="1"/>
  <c r="T1030" i="1" s="1"/>
  <c r="R1028" i="1" l="1"/>
  <c r="S1029" i="1"/>
  <c r="T1029" i="1" s="1"/>
  <c r="S1028" i="1" l="1"/>
  <c r="T1028" i="1" s="1"/>
  <c r="R1027" i="1"/>
  <c r="S1027" i="1" l="1"/>
  <c r="T1027" i="1" s="1"/>
  <c r="R1026" i="1"/>
  <c r="R1025" i="1" l="1"/>
  <c r="S1026" i="1"/>
  <c r="T1026" i="1" s="1"/>
  <c r="R1024" i="1" l="1"/>
  <c r="S1025" i="1"/>
  <c r="T1025" i="1" s="1"/>
  <c r="S1024" i="1" l="1"/>
  <c r="T1024" i="1" s="1"/>
  <c r="R1023" i="1"/>
  <c r="S1023" i="1" l="1"/>
  <c r="T1023" i="1" s="1"/>
  <c r="R1022" i="1"/>
  <c r="R1021" i="1" l="1"/>
  <c r="S1022" i="1"/>
  <c r="T1022" i="1" s="1"/>
  <c r="R1020" i="1" l="1"/>
  <c r="S1021" i="1"/>
  <c r="T1021" i="1" s="1"/>
  <c r="S1020" i="1" l="1"/>
  <c r="T1020" i="1" s="1"/>
  <c r="R1019" i="1"/>
  <c r="S1019" i="1" l="1"/>
  <c r="T1019" i="1" s="1"/>
  <c r="R1018" i="1"/>
  <c r="R1017" i="1" l="1"/>
  <c r="S1018" i="1"/>
  <c r="T1018" i="1" s="1"/>
  <c r="R1016" i="1" l="1"/>
  <c r="S1017" i="1"/>
  <c r="T1017" i="1" s="1"/>
  <c r="S1016" i="1" l="1"/>
  <c r="T1016" i="1" s="1"/>
  <c r="R1015" i="1"/>
  <c r="S1015" i="1" l="1"/>
  <c r="T1015" i="1" s="1"/>
  <c r="R1014" i="1"/>
  <c r="R1013" i="1" l="1"/>
  <c r="S1014" i="1"/>
  <c r="T1014" i="1" s="1"/>
  <c r="R1012" i="1" l="1"/>
  <c r="S1013" i="1"/>
  <c r="T1013" i="1" s="1"/>
  <c r="S1012" i="1" l="1"/>
  <c r="T1012" i="1" s="1"/>
  <c r="R1011" i="1"/>
  <c r="S1011" i="1" l="1"/>
  <c r="T1011" i="1" s="1"/>
  <c r="R1010" i="1"/>
  <c r="S1010" i="1" l="1"/>
  <c r="T1010" i="1" s="1"/>
  <c r="R1009" i="1"/>
  <c r="R1008" i="1" l="1"/>
  <c r="S1009" i="1"/>
  <c r="T1009" i="1" s="1"/>
  <c r="R1007" i="1" l="1"/>
  <c r="S1008" i="1"/>
  <c r="T1008" i="1" s="1"/>
  <c r="S1007" i="1" l="1"/>
  <c r="T1007" i="1" s="1"/>
  <c r="R1006" i="1"/>
  <c r="S1006" i="1" l="1"/>
  <c r="T1006" i="1" s="1"/>
  <c r="R1005" i="1"/>
  <c r="R1004" i="1" l="1"/>
  <c r="S1005" i="1"/>
  <c r="T1005" i="1" s="1"/>
  <c r="R1003" i="1" l="1"/>
  <c r="S1004" i="1"/>
  <c r="T1004" i="1" s="1"/>
  <c r="S1003" i="1" l="1"/>
  <c r="T1003" i="1" s="1"/>
  <c r="R1002" i="1"/>
  <c r="S1002" i="1" l="1"/>
  <c r="T1002" i="1" s="1"/>
  <c r="R1001" i="1"/>
  <c r="S1001" i="1" l="1"/>
  <c r="T1001" i="1" s="1"/>
  <c r="R1000" i="1"/>
  <c r="R999" i="1" l="1"/>
  <c r="S1000" i="1"/>
  <c r="T1000" i="1" s="1"/>
  <c r="R998" i="1" l="1"/>
  <c r="S999" i="1"/>
  <c r="T999" i="1" s="1"/>
  <c r="S998" i="1" l="1"/>
  <c r="T998" i="1" s="1"/>
  <c r="R997" i="1"/>
  <c r="R996" i="1" l="1"/>
  <c r="S997" i="1"/>
  <c r="T997" i="1" s="1"/>
  <c r="R995" i="1" l="1"/>
  <c r="S996" i="1"/>
  <c r="T996" i="1" s="1"/>
  <c r="R994" i="1" l="1"/>
  <c r="S995" i="1"/>
  <c r="T995" i="1" s="1"/>
  <c r="S994" i="1" l="1"/>
  <c r="T994" i="1" s="1"/>
  <c r="R993" i="1"/>
  <c r="S993" i="1" l="1"/>
  <c r="T993" i="1" s="1"/>
  <c r="R992" i="1"/>
  <c r="R991" i="1" l="1"/>
  <c r="S992" i="1"/>
  <c r="T992" i="1" s="1"/>
  <c r="R990" i="1" l="1"/>
  <c r="S991" i="1"/>
  <c r="T991" i="1" s="1"/>
  <c r="S990" i="1" l="1"/>
  <c r="T990" i="1" s="1"/>
  <c r="R989" i="1"/>
  <c r="S989" i="1" l="1"/>
  <c r="T989" i="1" s="1"/>
  <c r="R988" i="1"/>
  <c r="R987" i="1" l="1"/>
  <c r="S988" i="1"/>
  <c r="T988" i="1" s="1"/>
  <c r="R986" i="1" l="1"/>
  <c r="S987" i="1"/>
  <c r="T987" i="1" s="1"/>
  <c r="S986" i="1" l="1"/>
  <c r="T986" i="1" s="1"/>
  <c r="R985" i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S981" i="1" l="1"/>
  <c r="T981" i="1" s="1"/>
  <c r="R980" i="1"/>
  <c r="S980" i="1" l="1"/>
  <c r="T980" i="1" s="1"/>
  <c r="R979" i="1"/>
  <c r="R978" i="1" l="1"/>
  <c r="S979" i="1"/>
  <c r="T979" i="1" s="1"/>
  <c r="R977" i="1" l="1"/>
  <c r="S978" i="1"/>
  <c r="T978" i="1" s="1"/>
  <c r="R976" i="1" l="1"/>
  <c r="S977" i="1"/>
  <c r="T977" i="1" s="1"/>
  <c r="S976" i="1" l="1"/>
  <c r="T976" i="1" s="1"/>
  <c r="R975" i="1"/>
  <c r="S975" i="1" l="1"/>
  <c r="T975" i="1" s="1"/>
  <c r="R974" i="1"/>
  <c r="R973" i="1" l="1"/>
  <c r="S974" i="1"/>
  <c r="T974" i="1" s="1"/>
  <c r="R972" i="1" l="1"/>
  <c r="S973" i="1"/>
  <c r="T973" i="1" s="1"/>
  <c r="R971" i="1" l="1"/>
  <c r="S972" i="1"/>
  <c r="T972" i="1" s="1"/>
  <c r="S971" i="1" l="1"/>
  <c r="T971" i="1" s="1"/>
  <c r="R970" i="1"/>
  <c r="S970" i="1" l="1"/>
  <c r="T970" i="1" s="1"/>
  <c r="R969" i="1"/>
  <c r="R968" i="1" l="1"/>
  <c r="S969" i="1"/>
  <c r="T969" i="1" s="1"/>
  <c r="R967" i="1" l="1"/>
  <c r="S968" i="1"/>
  <c r="T968" i="1" s="1"/>
  <c r="S967" i="1" l="1"/>
  <c r="T967" i="1" s="1"/>
  <c r="R966" i="1"/>
  <c r="R965" i="1" l="1"/>
  <c r="S966" i="1"/>
  <c r="T966" i="1" s="1"/>
  <c r="S965" i="1" l="1"/>
  <c r="T965" i="1" s="1"/>
  <c r="R964" i="1"/>
  <c r="S964" i="1" l="1"/>
  <c r="T964" i="1" s="1"/>
  <c r="R963" i="1"/>
  <c r="R962" i="1" l="1"/>
  <c r="S963" i="1"/>
  <c r="T963" i="1" s="1"/>
  <c r="R961" i="1" l="1"/>
  <c r="S962" i="1"/>
  <c r="T962" i="1" s="1"/>
  <c r="S961" i="1" l="1"/>
  <c r="T961" i="1" s="1"/>
  <c r="R960" i="1"/>
  <c r="S960" i="1" l="1"/>
  <c r="T960" i="1" s="1"/>
  <c r="R959" i="1"/>
  <c r="R958" i="1" l="1"/>
  <c r="S959" i="1"/>
  <c r="T959" i="1" s="1"/>
  <c r="R957" i="1" l="1"/>
  <c r="S958" i="1"/>
  <c r="T958" i="1" s="1"/>
  <c r="S957" i="1" l="1"/>
  <c r="T957" i="1" s="1"/>
  <c r="R956" i="1"/>
  <c r="S956" i="1" l="1"/>
  <c r="T956" i="1" s="1"/>
  <c r="R955" i="1"/>
  <c r="R954" i="1" l="1"/>
  <c r="S955" i="1"/>
  <c r="T955" i="1" s="1"/>
  <c r="R953" i="1" l="1"/>
  <c r="S954" i="1"/>
  <c r="T954" i="1" s="1"/>
  <c r="R952" i="1" l="1"/>
  <c r="S953" i="1"/>
  <c r="T953" i="1" s="1"/>
  <c r="S952" i="1" l="1"/>
  <c r="T952" i="1" s="1"/>
  <c r="R951" i="1"/>
  <c r="S951" i="1" l="1"/>
  <c r="T951" i="1" s="1"/>
  <c r="R950" i="1"/>
  <c r="R949" i="1" l="1"/>
  <c r="S950" i="1"/>
  <c r="T950" i="1" s="1"/>
  <c r="R948" i="1" l="1"/>
  <c r="S949" i="1"/>
  <c r="T949" i="1" s="1"/>
  <c r="S948" i="1" l="1"/>
  <c r="T948" i="1" s="1"/>
  <c r="R947" i="1"/>
  <c r="R946" i="1" l="1"/>
  <c r="S947" i="1"/>
  <c r="T947" i="1" s="1"/>
  <c r="S946" i="1" l="1"/>
  <c r="T946" i="1" s="1"/>
  <c r="R945" i="1"/>
  <c r="S945" i="1" l="1"/>
  <c r="T945" i="1" s="1"/>
  <c r="R944" i="1"/>
  <c r="S944" i="1" l="1"/>
  <c r="T944" i="1" s="1"/>
  <c r="R943" i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S939" i="1" l="1"/>
  <c r="T939" i="1" s="1"/>
  <c r="R938" i="1"/>
  <c r="R937" i="1" l="1"/>
  <c r="S938" i="1"/>
  <c r="T938" i="1" s="1"/>
  <c r="S937" i="1" l="1"/>
  <c r="T937" i="1" s="1"/>
  <c r="R936" i="1"/>
  <c r="R935" i="1" l="1"/>
  <c r="S936" i="1"/>
  <c r="T936" i="1" s="1"/>
  <c r="R934" i="1" l="1"/>
  <c r="S935" i="1"/>
  <c r="T935" i="1" s="1"/>
  <c r="S934" i="1" l="1"/>
  <c r="T934" i="1" s="1"/>
  <c r="R933" i="1"/>
  <c r="S933" i="1" l="1"/>
  <c r="T933" i="1" s="1"/>
  <c r="R932" i="1"/>
  <c r="R931" i="1" l="1"/>
  <c r="S932" i="1"/>
  <c r="T932" i="1" s="1"/>
  <c r="R930" i="1" l="1"/>
  <c r="S931" i="1"/>
  <c r="T931" i="1" s="1"/>
  <c r="S930" i="1" l="1"/>
  <c r="T930" i="1" s="1"/>
  <c r="R929" i="1"/>
  <c r="S929" i="1" l="1"/>
  <c r="T929" i="1" s="1"/>
  <c r="R928" i="1"/>
  <c r="S928" i="1" l="1"/>
  <c r="T928" i="1" s="1"/>
  <c r="R927" i="1"/>
  <c r="S927" i="1" l="1"/>
  <c r="T927" i="1" s="1"/>
  <c r="R926" i="1"/>
  <c r="R925" i="1" l="1"/>
  <c r="S926" i="1"/>
  <c r="T926" i="1" s="1"/>
  <c r="S925" i="1" l="1"/>
  <c r="T925" i="1" s="1"/>
  <c r="R924" i="1"/>
  <c r="S924" i="1" l="1"/>
  <c r="T924" i="1" s="1"/>
  <c r="R923" i="1"/>
  <c r="R922" i="1" l="1"/>
  <c r="S923" i="1"/>
  <c r="T923" i="1" s="1"/>
  <c r="R921" i="1" l="1"/>
  <c r="S922" i="1"/>
  <c r="T922" i="1" s="1"/>
  <c r="S921" i="1" l="1"/>
  <c r="T921" i="1" s="1"/>
  <c r="R920" i="1"/>
  <c r="S920" i="1" l="1"/>
  <c r="T920" i="1" s="1"/>
  <c r="R919" i="1"/>
  <c r="S919" i="1" l="1"/>
  <c r="T919" i="1" s="1"/>
  <c r="R918" i="1"/>
  <c r="R917" i="1" l="1"/>
  <c r="S918" i="1"/>
  <c r="T918" i="1" s="1"/>
  <c r="R916" i="1" l="1"/>
  <c r="S917" i="1"/>
  <c r="T917" i="1" s="1"/>
  <c r="S916" i="1" l="1"/>
  <c r="T916" i="1" s="1"/>
  <c r="R915" i="1"/>
  <c r="S915" i="1" l="1"/>
  <c r="T915" i="1" s="1"/>
  <c r="R914" i="1"/>
  <c r="R913" i="1" l="1"/>
  <c r="S914" i="1"/>
  <c r="T914" i="1" s="1"/>
  <c r="R912" i="1" l="1"/>
  <c r="S913" i="1"/>
  <c r="T913" i="1" s="1"/>
  <c r="S912" i="1" l="1"/>
  <c r="T912" i="1" s="1"/>
  <c r="R911" i="1"/>
  <c r="S911" i="1" l="1"/>
  <c r="T911" i="1" s="1"/>
  <c r="R910" i="1"/>
  <c r="R909" i="1" l="1"/>
  <c r="S910" i="1"/>
  <c r="T910" i="1" s="1"/>
  <c r="R908" i="1" l="1"/>
  <c r="S909" i="1"/>
  <c r="T909" i="1" s="1"/>
  <c r="S908" i="1" l="1"/>
  <c r="T908" i="1" s="1"/>
  <c r="R907" i="1"/>
  <c r="S907" i="1" l="1"/>
  <c r="T907" i="1" s="1"/>
  <c r="R906" i="1"/>
  <c r="S906" i="1" l="1"/>
  <c r="T906" i="1" s="1"/>
  <c r="R905" i="1"/>
  <c r="S905" i="1" l="1"/>
  <c r="T905" i="1" s="1"/>
  <c r="R904" i="1"/>
  <c r="R903" i="1" l="1"/>
  <c r="S904" i="1"/>
  <c r="T904" i="1" s="1"/>
  <c r="R902" i="1" l="1"/>
  <c r="S903" i="1"/>
  <c r="T903" i="1" s="1"/>
  <c r="S902" i="1" l="1"/>
  <c r="T902" i="1" s="1"/>
  <c r="R901" i="1"/>
  <c r="S901" i="1" l="1"/>
  <c r="T901" i="1" s="1"/>
  <c r="R900" i="1"/>
  <c r="S900" i="1" l="1"/>
  <c r="T900" i="1" s="1"/>
  <c r="R899" i="1"/>
  <c r="R898" i="1" l="1"/>
  <c r="S899" i="1"/>
  <c r="T899" i="1" s="1"/>
  <c r="R897" i="1" l="1"/>
  <c r="S898" i="1"/>
  <c r="T898" i="1" s="1"/>
  <c r="S897" i="1" l="1"/>
  <c r="T897" i="1" s="1"/>
  <c r="R896" i="1"/>
  <c r="S896" i="1" l="1"/>
  <c r="T896" i="1" s="1"/>
  <c r="R895" i="1"/>
  <c r="R894" i="1" l="1"/>
  <c r="S895" i="1"/>
  <c r="T895" i="1" s="1"/>
  <c r="R893" i="1" l="1"/>
  <c r="S894" i="1"/>
  <c r="T894" i="1" s="1"/>
  <c r="S893" i="1" l="1"/>
  <c r="T893" i="1" s="1"/>
  <c r="R892" i="1"/>
  <c r="R891" i="1" l="1"/>
  <c r="S892" i="1"/>
  <c r="T892" i="1" s="1"/>
  <c r="R890" i="1" l="1"/>
  <c r="S891" i="1"/>
  <c r="T891" i="1" s="1"/>
  <c r="S890" i="1" l="1"/>
  <c r="T890" i="1" s="1"/>
  <c r="R889" i="1"/>
  <c r="R888" i="1" l="1"/>
  <c r="S889" i="1"/>
  <c r="T889" i="1" s="1"/>
  <c r="R887" i="1" l="1"/>
  <c r="S888" i="1"/>
  <c r="T888" i="1" s="1"/>
  <c r="S887" i="1" l="1"/>
  <c r="T887" i="1" s="1"/>
  <c r="R886" i="1"/>
  <c r="S886" i="1" l="1"/>
  <c r="T886" i="1" s="1"/>
  <c r="R885" i="1"/>
  <c r="S885" i="1" l="1"/>
  <c r="T885" i="1" s="1"/>
  <c r="R884" i="1"/>
  <c r="R883" i="1" l="1"/>
  <c r="S884" i="1"/>
  <c r="T884" i="1" s="1"/>
  <c r="R882" i="1" l="1"/>
  <c r="S883" i="1"/>
  <c r="T883" i="1" s="1"/>
  <c r="S882" i="1" l="1"/>
  <c r="T882" i="1" s="1"/>
  <c r="R881" i="1"/>
  <c r="S881" i="1" l="1"/>
  <c r="T881" i="1" s="1"/>
  <c r="R880" i="1"/>
  <c r="R879" i="1" l="1"/>
  <c r="S880" i="1"/>
  <c r="T880" i="1" s="1"/>
  <c r="R878" i="1" l="1"/>
  <c r="S879" i="1"/>
  <c r="T879" i="1" s="1"/>
  <c r="S878" i="1" l="1"/>
  <c r="T878" i="1" s="1"/>
  <c r="R877" i="1"/>
  <c r="S877" i="1" l="1"/>
  <c r="T877" i="1" s="1"/>
  <c r="R876" i="1"/>
  <c r="R875" i="1" l="1"/>
  <c r="S876" i="1"/>
  <c r="T876" i="1" s="1"/>
  <c r="R874" i="1" l="1"/>
  <c r="S875" i="1"/>
  <c r="T875" i="1" s="1"/>
  <c r="S874" i="1" l="1"/>
  <c r="T874" i="1" s="1"/>
  <c r="R873" i="1"/>
  <c r="S873" i="1" l="1"/>
  <c r="T873" i="1" s="1"/>
  <c r="R872" i="1"/>
  <c r="R871" i="1" l="1"/>
  <c r="S872" i="1"/>
  <c r="T872" i="1" s="1"/>
  <c r="R870" i="1" l="1"/>
  <c r="S871" i="1"/>
  <c r="T871" i="1" s="1"/>
  <c r="S870" i="1" l="1"/>
  <c r="T870" i="1" s="1"/>
  <c r="R869" i="1"/>
  <c r="S869" i="1" l="1"/>
  <c r="T869" i="1" s="1"/>
  <c r="R868" i="1"/>
  <c r="R867" i="1" l="1"/>
  <c r="S868" i="1"/>
  <c r="T868" i="1" s="1"/>
  <c r="R866" i="1" l="1"/>
  <c r="S867" i="1"/>
  <c r="T867" i="1" s="1"/>
  <c r="S866" i="1" l="1"/>
  <c r="T866" i="1" s="1"/>
  <c r="R865" i="1"/>
  <c r="R864" i="1" l="1"/>
  <c r="S865" i="1"/>
  <c r="T865" i="1" s="1"/>
  <c r="R863" i="1" l="1"/>
  <c r="S864" i="1"/>
  <c r="T864" i="1" s="1"/>
  <c r="S863" i="1" l="1"/>
  <c r="T863" i="1" s="1"/>
  <c r="R862" i="1"/>
  <c r="S862" i="1" l="1"/>
  <c r="T862" i="1" s="1"/>
  <c r="R861" i="1"/>
  <c r="S861" i="1" l="1"/>
  <c r="T861" i="1" s="1"/>
  <c r="R860" i="1"/>
  <c r="R859" i="1" l="1"/>
  <c r="S860" i="1"/>
  <c r="T860" i="1" s="1"/>
  <c r="S859" i="1" l="1"/>
  <c r="T859" i="1" s="1"/>
  <c r="R858" i="1"/>
  <c r="S858" i="1" l="1"/>
  <c r="T858" i="1" s="1"/>
  <c r="R857" i="1"/>
  <c r="R856" i="1" l="1"/>
  <c r="S857" i="1"/>
  <c r="T857" i="1" s="1"/>
  <c r="R855" i="1" l="1"/>
  <c r="S856" i="1"/>
  <c r="T856" i="1" s="1"/>
  <c r="S855" i="1" l="1"/>
  <c r="T855" i="1" s="1"/>
  <c r="R854" i="1"/>
  <c r="R853" i="1" l="1"/>
  <c r="S854" i="1"/>
  <c r="T854" i="1" s="1"/>
  <c r="S853" i="1" l="1"/>
  <c r="T853" i="1" s="1"/>
  <c r="R852" i="1"/>
  <c r="S852" i="1" l="1"/>
  <c r="T852" i="1" s="1"/>
  <c r="R851" i="1"/>
  <c r="R850" i="1" l="1"/>
  <c r="S851" i="1"/>
  <c r="T851" i="1" s="1"/>
  <c r="R849" i="1" l="1"/>
  <c r="S850" i="1"/>
  <c r="T850" i="1" s="1"/>
  <c r="S849" i="1" l="1"/>
  <c r="T849" i="1" s="1"/>
  <c r="R848" i="1"/>
  <c r="S848" i="1" l="1"/>
  <c r="T848" i="1" s="1"/>
  <c r="R847" i="1"/>
  <c r="R846" i="1" l="1"/>
  <c r="S847" i="1"/>
  <c r="T847" i="1" s="1"/>
  <c r="R845" i="1" l="1"/>
  <c r="S846" i="1"/>
  <c r="T846" i="1" s="1"/>
  <c r="S845" i="1" l="1"/>
  <c r="T845" i="1" s="1"/>
  <c r="R844" i="1"/>
  <c r="R843" i="1" l="1"/>
  <c r="S844" i="1"/>
  <c r="T844" i="1" s="1"/>
  <c r="S843" i="1" l="1"/>
  <c r="T843" i="1" s="1"/>
  <c r="R842" i="1"/>
  <c r="S842" i="1" l="1"/>
  <c r="T842" i="1" s="1"/>
  <c r="R841" i="1"/>
  <c r="R840" i="1" l="1"/>
  <c r="S841" i="1"/>
  <c r="T841" i="1" s="1"/>
  <c r="R839" i="1" l="1"/>
  <c r="S840" i="1"/>
  <c r="T840" i="1" s="1"/>
  <c r="S839" i="1" l="1"/>
  <c r="T839" i="1" s="1"/>
  <c r="R838" i="1"/>
  <c r="S838" i="1" l="1"/>
  <c r="T838" i="1" s="1"/>
  <c r="R837" i="1"/>
  <c r="R836" i="1" l="1"/>
  <c r="S837" i="1"/>
  <c r="T837" i="1" s="1"/>
  <c r="R835" i="1" l="1"/>
  <c r="S836" i="1"/>
  <c r="T836" i="1" s="1"/>
  <c r="S835" i="1" l="1"/>
  <c r="T835" i="1" s="1"/>
  <c r="R834" i="1"/>
  <c r="S834" i="1" l="1"/>
  <c r="T834" i="1" s="1"/>
  <c r="R833" i="1"/>
  <c r="S833" i="1" l="1"/>
  <c r="T833" i="1" s="1"/>
  <c r="R832" i="1"/>
  <c r="R831" i="1" l="1"/>
  <c r="S832" i="1"/>
  <c r="T832" i="1" s="1"/>
  <c r="S831" i="1" l="1"/>
  <c r="T831" i="1" s="1"/>
  <c r="R830" i="1"/>
  <c r="S830" i="1" l="1"/>
  <c r="T830" i="1" s="1"/>
  <c r="R829" i="1"/>
  <c r="S829" i="1" l="1"/>
  <c r="T829" i="1" s="1"/>
  <c r="R828" i="1"/>
  <c r="R827" i="1" l="1"/>
  <c r="S828" i="1"/>
  <c r="T828" i="1" s="1"/>
  <c r="R826" i="1" l="1"/>
  <c r="S827" i="1"/>
  <c r="T827" i="1" s="1"/>
  <c r="S826" i="1" l="1"/>
  <c r="T826" i="1" s="1"/>
  <c r="R825" i="1"/>
  <c r="R824" i="1" l="1"/>
  <c r="S825" i="1"/>
  <c r="T825" i="1" s="1"/>
  <c r="S824" i="1" l="1"/>
  <c r="T824" i="1" s="1"/>
  <c r="R823" i="1"/>
  <c r="S823" i="1" l="1"/>
  <c r="T823" i="1" s="1"/>
  <c r="R822" i="1"/>
  <c r="S822" i="1" l="1"/>
  <c r="T822" i="1" s="1"/>
  <c r="R821" i="1"/>
  <c r="R820" i="1" l="1"/>
  <c r="S821" i="1"/>
  <c r="T821" i="1" s="1"/>
  <c r="R819" i="1" l="1"/>
  <c r="S820" i="1"/>
  <c r="T820" i="1" s="1"/>
  <c r="S819" i="1" l="1"/>
  <c r="T819" i="1" s="1"/>
  <c r="R818" i="1"/>
  <c r="S818" i="1" l="1"/>
  <c r="T818" i="1" s="1"/>
  <c r="R817" i="1"/>
  <c r="R816" i="1" l="1"/>
  <c r="S817" i="1"/>
  <c r="T817" i="1" s="1"/>
  <c r="R815" i="1" l="1"/>
  <c r="S816" i="1"/>
  <c r="T816" i="1" s="1"/>
  <c r="S815" i="1" l="1"/>
  <c r="T815" i="1" s="1"/>
  <c r="R814" i="1"/>
  <c r="S814" i="1" l="1"/>
  <c r="T814" i="1" s="1"/>
  <c r="R813" i="1"/>
  <c r="R812" i="1" l="1"/>
  <c r="S813" i="1"/>
  <c r="T813" i="1" s="1"/>
  <c r="R811" i="1" l="1"/>
  <c r="S812" i="1"/>
  <c r="T812" i="1" s="1"/>
  <c r="S811" i="1" l="1"/>
  <c r="T811" i="1" s="1"/>
  <c r="R810" i="1"/>
  <c r="S810" i="1" l="1"/>
  <c r="T810" i="1" s="1"/>
  <c r="R809" i="1"/>
  <c r="R808" i="1" l="1"/>
  <c r="S809" i="1"/>
  <c r="T809" i="1" s="1"/>
  <c r="S808" i="1" l="1"/>
  <c r="T808" i="1" s="1"/>
  <c r="R807" i="1"/>
  <c r="S807" i="1" l="1"/>
  <c r="T807" i="1" s="1"/>
  <c r="R806" i="1"/>
  <c r="S806" i="1" l="1"/>
  <c r="T806" i="1" s="1"/>
  <c r="R805" i="1"/>
  <c r="S805" i="1" l="1"/>
  <c r="T805" i="1" s="1"/>
  <c r="R804" i="1"/>
  <c r="S804" i="1" l="1"/>
  <c r="T804" i="1" s="1"/>
  <c r="R803" i="1"/>
  <c r="R802" i="1" l="1"/>
  <c r="S803" i="1"/>
  <c r="T803" i="1" s="1"/>
  <c r="R801" i="1" l="1"/>
  <c r="S802" i="1"/>
  <c r="T802" i="1" s="1"/>
  <c r="S801" i="1" l="1"/>
  <c r="T801" i="1" s="1"/>
  <c r="R800" i="1"/>
  <c r="S800" i="1" l="1"/>
  <c r="T800" i="1" s="1"/>
  <c r="R799" i="1"/>
  <c r="R798" i="1" l="1"/>
  <c r="S799" i="1"/>
  <c r="T799" i="1" s="1"/>
  <c r="R797" i="1" l="1"/>
  <c r="S798" i="1"/>
  <c r="T798" i="1" s="1"/>
  <c r="R796" i="1" l="1"/>
  <c r="S797" i="1"/>
  <c r="T797" i="1" s="1"/>
  <c r="S796" i="1" l="1"/>
  <c r="T796" i="1" s="1"/>
  <c r="R795" i="1"/>
  <c r="S795" i="1" l="1"/>
  <c r="T795" i="1" s="1"/>
  <c r="R794" i="1"/>
  <c r="R793" i="1" l="1"/>
  <c r="S794" i="1"/>
  <c r="T794" i="1" s="1"/>
  <c r="R792" i="1" l="1"/>
  <c r="S793" i="1"/>
  <c r="T793" i="1" s="1"/>
  <c r="R791" i="1" l="1"/>
  <c r="S792" i="1"/>
  <c r="T792" i="1" s="1"/>
  <c r="S791" i="1" l="1"/>
  <c r="T791" i="1" s="1"/>
  <c r="R790" i="1"/>
  <c r="S790" i="1" l="1"/>
  <c r="T790" i="1" s="1"/>
  <c r="R789" i="1"/>
  <c r="S789" i="1" l="1"/>
  <c r="T789" i="1" s="1"/>
  <c r="R788" i="1"/>
  <c r="R787" i="1" l="1"/>
  <c r="S788" i="1"/>
  <c r="T788" i="1" s="1"/>
  <c r="R786" i="1" l="1"/>
  <c r="S787" i="1"/>
  <c r="T787" i="1" s="1"/>
  <c r="R785" i="1" l="1"/>
  <c r="S786" i="1"/>
  <c r="T786" i="1" s="1"/>
  <c r="S785" i="1" l="1"/>
  <c r="T785" i="1" s="1"/>
  <c r="R784" i="1"/>
  <c r="S784" i="1" l="1"/>
  <c r="T784" i="1" s="1"/>
  <c r="R783" i="1"/>
  <c r="R782" i="1" l="1"/>
  <c r="S783" i="1"/>
  <c r="T783" i="1" s="1"/>
  <c r="S782" i="1" l="1"/>
  <c r="T782" i="1" s="1"/>
  <c r="R781" i="1"/>
  <c r="S781" i="1" l="1"/>
  <c r="T781" i="1" s="1"/>
  <c r="R780" i="1"/>
  <c r="R779" i="1" l="1"/>
  <c r="S780" i="1"/>
  <c r="T780" i="1" s="1"/>
  <c r="R778" i="1" l="1"/>
  <c r="S779" i="1"/>
  <c r="T779" i="1" s="1"/>
  <c r="S778" i="1" l="1"/>
  <c r="T778" i="1" s="1"/>
  <c r="R777" i="1"/>
  <c r="R776" i="1" l="1"/>
  <c r="S777" i="1"/>
  <c r="T777" i="1" s="1"/>
  <c r="R775" i="1" l="1"/>
  <c r="S776" i="1"/>
  <c r="T776" i="1" s="1"/>
  <c r="S775" i="1" l="1"/>
  <c r="T775" i="1" s="1"/>
  <c r="R774" i="1"/>
  <c r="R773" i="1" l="1"/>
  <c r="S774" i="1"/>
  <c r="T774" i="1" s="1"/>
  <c r="R772" i="1" l="1"/>
  <c r="S773" i="1"/>
  <c r="T773" i="1" s="1"/>
  <c r="S772" i="1" l="1"/>
  <c r="T772" i="1" s="1"/>
  <c r="R771" i="1"/>
  <c r="S771" i="1" l="1"/>
  <c r="T771" i="1" s="1"/>
  <c r="R770" i="1"/>
  <c r="R769" i="1" l="1"/>
  <c r="S770" i="1"/>
  <c r="T770" i="1" s="1"/>
  <c r="R768" i="1" l="1"/>
  <c r="S769" i="1"/>
  <c r="T769" i="1" s="1"/>
  <c r="S768" i="1" l="1"/>
  <c r="T768" i="1" s="1"/>
  <c r="R767" i="1"/>
  <c r="R766" i="1" l="1"/>
  <c r="S767" i="1"/>
  <c r="T767" i="1" s="1"/>
  <c r="R765" i="1" l="1"/>
  <c r="S766" i="1"/>
  <c r="T766" i="1" s="1"/>
  <c r="S765" i="1" l="1"/>
  <c r="T765" i="1" s="1"/>
  <c r="R764" i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S753" i="1" l="1"/>
  <c r="T753" i="1" s="1"/>
  <c r="R752" i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S701" i="1" l="1"/>
  <c r="T701" i="1" s="1"/>
  <c r="R700" i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R684" i="1" l="1"/>
  <c r="S685" i="1"/>
  <c r="T685" i="1" s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S673" i="1" l="1"/>
  <c r="T673" i="1" s="1"/>
  <c r="R672" i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R648" i="1" l="1"/>
  <c r="S649" i="1"/>
  <c r="T649" i="1" s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S639" i="1" l="1"/>
  <c r="T639" i="1" s="1"/>
  <c r="R638" i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S622" i="1" l="1"/>
  <c r="T622" i="1" s="1"/>
  <c r="R621" i="1"/>
  <c r="S621" i="1" l="1"/>
  <c r="T621" i="1" s="1"/>
  <c r="R620" i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S611" i="1" l="1"/>
  <c r="T611" i="1" s="1"/>
  <c r="R610" i="1"/>
  <c r="S610" i="1" l="1"/>
  <c r="T610" i="1" s="1"/>
  <c r="R609" i="1"/>
  <c r="R608" i="1" l="1"/>
  <c r="S609" i="1"/>
  <c r="T609" i="1" s="1"/>
  <c r="S608" i="1" l="1"/>
  <c r="T608" i="1" s="1"/>
  <c r="R607" i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S580" i="1" l="1"/>
  <c r="T580" i="1" s="1"/>
  <c r="R579" i="1"/>
  <c r="S579" i="1" l="1"/>
  <c r="T579" i="1" s="1"/>
  <c r="R578" i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R565" i="1" l="1"/>
  <c r="S566" i="1"/>
  <c r="T566" i="1" s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S506" i="1" l="1"/>
  <c r="T506" i="1" s="1"/>
  <c r="R505" i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R499" i="1" l="1"/>
  <c r="S500" i="1"/>
  <c r="T500" i="1" s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R487" i="1" l="1"/>
  <c r="S488" i="1"/>
  <c r="T488" i="1" s="1"/>
  <c r="R486" i="1" l="1"/>
  <c r="S487" i="1"/>
  <c r="T487" i="1" s="1"/>
  <c r="S486" i="1" l="1"/>
  <c r="T486" i="1" s="1"/>
  <c r="R485" i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S429" i="1" l="1"/>
  <c r="T429" i="1" s="1"/>
  <c r="R428" i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S398" i="1" l="1"/>
  <c r="T398" i="1" s="1"/>
  <c r="R397" i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S391" i="1" l="1"/>
  <c r="T391" i="1" s="1"/>
  <c r="R390" i="1"/>
  <c r="S390" i="1" l="1"/>
  <c r="T390" i="1" s="1"/>
  <c r="R389" i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S377" i="1" l="1"/>
  <c r="T377" i="1" s="1"/>
  <c r="R376" i="1"/>
  <c r="S376" i="1" l="1"/>
  <c r="T376" i="1" s="1"/>
  <c r="R375" i="1"/>
  <c r="R374" i="1" l="1"/>
  <c r="S375" i="1"/>
  <c r="T375" i="1" s="1"/>
  <c r="R373" i="1" l="1"/>
  <c r="S374" i="1"/>
  <c r="T374" i="1" s="1"/>
  <c r="S373" i="1" l="1"/>
  <c r="T373" i="1" s="1"/>
  <c r="R372" i="1"/>
  <c r="S372" i="1" l="1"/>
  <c r="T372" i="1" s="1"/>
  <c r="R371" i="1"/>
  <c r="S371" i="1" l="1"/>
  <c r="T371" i="1" s="1"/>
  <c r="R370" i="1"/>
  <c r="R369" i="1" l="1"/>
  <c r="S370" i="1"/>
  <c r="T370" i="1" s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S360" i="1" l="1"/>
  <c r="T360" i="1" s="1"/>
  <c r="R359" i="1"/>
  <c r="R358" i="1" l="1"/>
  <c r="S359" i="1"/>
  <c r="T359" i="1" s="1"/>
  <c r="S358" i="1" l="1"/>
  <c r="T358" i="1" s="1"/>
  <c r="R357" i="1"/>
  <c r="S357" i="1" l="1"/>
  <c r="T357" i="1" s="1"/>
  <c r="R356" i="1"/>
  <c r="R355" i="1" l="1"/>
  <c r="S356" i="1"/>
  <c r="T356" i="1" s="1"/>
  <c r="S355" i="1" l="1"/>
  <c r="T355" i="1" s="1"/>
  <c r="R354" i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S350" i="1" l="1"/>
  <c r="T350" i="1" s="1"/>
  <c r="R349" i="1"/>
  <c r="S349" i="1" l="1"/>
  <c r="T349" i="1" s="1"/>
  <c r="R348" i="1"/>
  <c r="R347" i="1" l="1"/>
  <c r="S348" i="1"/>
  <c r="T348" i="1" s="1"/>
  <c r="S347" i="1" l="1"/>
  <c r="T347" i="1" s="1"/>
  <c r="R346" i="1"/>
  <c r="S346" i="1" l="1"/>
  <c r="T346" i="1" s="1"/>
  <c r="R345" i="1"/>
  <c r="S345" i="1" l="1"/>
  <c r="T345" i="1" s="1"/>
  <c r="R344" i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R335" i="1" l="1"/>
  <c r="S336" i="1"/>
  <c r="T336" i="1" s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S302" i="1" l="1"/>
  <c r="T302" i="1" s="1"/>
  <c r="R301" i="1"/>
  <c r="S301" i="1" l="1"/>
  <c r="T301" i="1" s="1"/>
  <c r="R300" i="1"/>
  <c r="R299" i="1" l="1"/>
  <c r="S300" i="1"/>
  <c r="T300" i="1" s="1"/>
  <c r="R298" i="1" l="1"/>
  <c r="S299" i="1"/>
  <c r="T299" i="1" s="1"/>
  <c r="S298" i="1" l="1"/>
  <c r="T298" i="1" s="1"/>
  <c r="R297" i="1"/>
  <c r="S297" i="1" l="1"/>
  <c r="T297" i="1" s="1"/>
  <c r="R296" i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R275" i="1" l="1"/>
  <c r="S276" i="1"/>
  <c r="T276" i="1" s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S119" i="1" l="1"/>
  <c r="T119" i="1" s="1"/>
  <c r="R118" i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R95" i="1" l="1"/>
  <c r="S96" i="1"/>
  <c r="T96" i="1" s="1"/>
  <c r="R94" i="1" l="1"/>
  <c r="S95" i="1"/>
  <c r="T95" i="1" s="1"/>
  <c r="S94" i="1" l="1"/>
  <c r="T94" i="1" s="1"/>
  <c r="R93" i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R73" i="1" l="1"/>
  <c r="S74" i="1"/>
  <c r="T74" i="1" s="1"/>
  <c r="S73" i="1" l="1"/>
  <c r="T73" i="1" s="1"/>
  <c r="R72" i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R63" i="1" l="1"/>
  <c r="S64" i="1"/>
  <c r="T64" i="1" s="1"/>
  <c r="S63" i="1" l="1"/>
  <c r="T63" i="1" s="1"/>
  <c r="R62" i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S51" i="1" l="1"/>
  <c r="T51" i="1" s="1"/>
  <c r="R50" i="1"/>
  <c r="S50" i="1" l="1"/>
  <c r="T50" i="1" s="1"/>
  <c r="R49" i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<sst xmlns="http://schemas.openxmlformats.org/spreadsheetml/2006/main" count="10892" uniqueCount="34">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</sst>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0.59199999999999997</c:v>
                </c:pt>
                <c:pt idx="1">
                  <c:v>0.61140000000000005</c:v>
                </c:pt>
                <c:pt idx="2">
                  <c:v>0.6079</c:v>
                </c:pt>
                <c:pt idx="3">
                  <c:v>0.62519999999999998</c:v>
                </c:pt>
                <c:pt idx="4">
                  <c:v>0.67769999999999997</c:v>
                </c:pt>
                <c:pt idx="5">
                  <c:v>0.70620000000000005</c:v>
                </c:pt>
                <c:pt idx="6">
                  <c:v>0.58309999999999995</c:v>
                </c:pt>
                <c:pt idx="7">
                  <c:v>0.67030000000000001</c:v>
                </c:pt>
                <c:pt idx="8">
                  <c:v>0.69269999999999998</c:v>
                </c:pt>
                <c:pt idx="9">
                  <c:v>0.71609999999999996</c:v>
                </c:pt>
                <c:pt idx="10">
                  <c:v>0.74219999999999997</c:v>
                </c:pt>
                <c:pt idx="11">
                  <c:v>0.79569999999999996</c:v>
                </c:pt>
                <c:pt idx="12">
                  <c:v>0.74460000000000004</c:v>
                </c:pt>
                <c:pt idx="13">
                  <c:v>0.71499999999999997</c:v>
                </c:pt>
                <c:pt idx="14">
                  <c:v>0.7006</c:v>
                </c:pt>
                <c:pt idx="15">
                  <c:v>0.73109999999999997</c:v>
                </c:pt>
                <c:pt idx="16">
                  <c:v>0.70469999999999999</c:v>
                </c:pt>
                <c:pt idx="17">
                  <c:v>0.68969999999999998</c:v>
                </c:pt>
                <c:pt idx="18">
                  <c:v>0.72799999999999998</c:v>
                </c:pt>
                <c:pt idx="19">
                  <c:v>0.72309999999999997</c:v>
                </c:pt>
                <c:pt idx="20">
                  <c:v>0.77100000000000002</c:v>
                </c:pt>
                <c:pt idx="21">
                  <c:v>0.74039999999999995</c:v>
                </c:pt>
                <c:pt idx="22">
                  <c:v>0.74619999999999997</c:v>
                </c:pt>
                <c:pt idx="23">
                  <c:v>0.80910000000000004</c:v>
                </c:pt>
                <c:pt idx="24">
                  <c:v>0.8468</c:v>
                </c:pt>
                <c:pt idx="25">
                  <c:v>0.82969999999999999</c:v>
                </c:pt>
                <c:pt idx="26">
                  <c:v>0.7853</c:v>
                </c:pt>
                <c:pt idx="27">
                  <c:v>0.74760000000000004</c:v>
                </c:pt>
                <c:pt idx="28">
                  <c:v>0.75609999999999999</c:v>
                </c:pt>
                <c:pt idx="29">
                  <c:v>0.73750000000000004</c:v>
                </c:pt>
                <c:pt idx="30">
                  <c:v>0.76070000000000004</c:v>
                </c:pt>
                <c:pt idx="31">
                  <c:v>0.82709999999999995</c:v>
                </c:pt>
                <c:pt idx="32">
                  <c:v>0.82830000000000004</c:v>
                </c:pt>
                <c:pt idx="33">
                  <c:v>0.8256</c:v>
                </c:pt>
                <c:pt idx="34">
                  <c:v>0.81140000000000001</c:v>
                </c:pt>
                <c:pt idx="35">
                  <c:v>0.83169999999999999</c:v>
                </c:pt>
                <c:pt idx="36">
                  <c:v>0.77959999999999996</c:v>
                </c:pt>
                <c:pt idx="37">
                  <c:v>0.76329999999999998</c:v>
                </c:pt>
                <c:pt idx="38">
                  <c:v>0.73939999999999995</c:v>
                </c:pt>
                <c:pt idx="39">
                  <c:v>0.77229999999999999</c:v>
                </c:pt>
                <c:pt idx="40">
                  <c:v>0.78239999999999998</c:v>
                </c:pt>
                <c:pt idx="41">
                  <c:v>0.77190000000000003</c:v>
                </c:pt>
                <c:pt idx="42">
                  <c:v>0.76549999999999996</c:v>
                </c:pt>
                <c:pt idx="43">
                  <c:v>0.77669999999999995</c:v>
                </c:pt>
                <c:pt idx="44">
                  <c:v>0.76049999999999995</c:v>
                </c:pt>
                <c:pt idx="45">
                  <c:v>0.75849999999999995</c:v>
                </c:pt>
                <c:pt idx="46">
                  <c:v>0.84430000000000005</c:v>
                </c:pt>
                <c:pt idx="47">
                  <c:v>0.81879999999999997</c:v>
                </c:pt>
                <c:pt idx="48">
                  <c:v>0.81710000000000005</c:v>
                </c:pt>
                <c:pt idx="49">
                  <c:v>0.86199999999999999</c:v>
                </c:pt>
                <c:pt idx="50">
                  <c:v>0.96389999999999998</c:v>
                </c:pt>
                <c:pt idx="51">
                  <c:v>0.88790000000000002</c:v>
                </c:pt>
                <c:pt idx="52">
                  <c:v>0.89710000000000001</c:v>
                </c:pt>
                <c:pt idx="53">
                  <c:v>0.8387</c:v>
                </c:pt>
                <c:pt idx="54">
                  <c:v>0.90480000000000005</c:v>
                </c:pt>
                <c:pt idx="55">
                  <c:v>1.0728</c:v>
                </c:pt>
                <c:pt idx="56">
                  <c:v>1.1161000000000001</c:v>
                </c:pt>
                <c:pt idx="57">
                  <c:v>1.1267</c:v>
                </c:pt>
                <c:pt idx="58">
                  <c:v>1.1253</c:v>
                </c:pt>
                <c:pt idx="59">
                  <c:v>1.1477999999999999</c:v>
                </c:pt>
                <c:pt idx="60">
                  <c:v>1.1145</c:v>
                </c:pt>
                <c:pt idx="61">
                  <c:v>1.1120000000000001</c:v>
                </c:pt>
                <c:pt idx="62">
                  <c:v>1.0976999999999999</c:v>
                </c:pt>
                <c:pt idx="63">
                  <c:v>1.1457999999999999</c:v>
                </c:pt>
                <c:pt idx="64">
                  <c:v>1.1153</c:v>
                </c:pt>
                <c:pt idx="65">
                  <c:v>1.1501999999999999</c:v>
                </c:pt>
                <c:pt idx="66">
                  <c:v>1.1367</c:v>
                </c:pt>
                <c:pt idx="67">
                  <c:v>1.1865000000000001</c:v>
                </c:pt>
                <c:pt idx="68">
                  <c:v>1.1944999999999999</c:v>
                </c:pt>
                <c:pt idx="69">
                  <c:v>1.1586000000000001</c:v>
                </c:pt>
                <c:pt idx="70">
                  <c:v>1.1267</c:v>
                </c:pt>
                <c:pt idx="71">
                  <c:v>1.2172000000000001</c:v>
                </c:pt>
                <c:pt idx="72">
                  <c:v>1.1458999999999999</c:v>
                </c:pt>
                <c:pt idx="73">
                  <c:v>1.1954</c:v>
                </c:pt>
                <c:pt idx="74">
                  <c:v>1.1851</c:v>
                </c:pt>
                <c:pt idx="75">
                  <c:v>1.1890000000000001</c:v>
                </c:pt>
                <c:pt idx="76">
                  <c:v>1.1624000000000001</c:v>
                </c:pt>
                <c:pt idx="77">
                  <c:v>1.1815</c:v>
                </c:pt>
                <c:pt idx="78">
                  <c:v>1.1742999999999999</c:v>
                </c:pt>
                <c:pt idx="79">
                  <c:v>1.2809999999999999</c:v>
                </c:pt>
                <c:pt idx="80">
                  <c:v>1.2398</c:v>
                </c:pt>
                <c:pt idx="81">
                  <c:v>1.2314000000000001</c:v>
                </c:pt>
                <c:pt idx="82">
                  <c:v>1.2254</c:v>
                </c:pt>
                <c:pt idx="83">
                  <c:v>1.2430000000000001</c:v>
                </c:pt>
                <c:pt idx="84">
                  <c:v>1.2898000000000001</c:v>
                </c:pt>
                <c:pt idx="85">
                  <c:v>1.2586999999999999</c:v>
                </c:pt>
                <c:pt idx="86">
                  <c:v>1.2641</c:v>
                </c:pt>
                <c:pt idx="87">
                  <c:v>1.2381</c:v>
                </c:pt>
                <c:pt idx="88">
                  <c:v>1.2843</c:v>
                </c:pt>
                <c:pt idx="89">
                  <c:v>1.2203999999999999</c:v>
                </c:pt>
                <c:pt idx="90">
                  <c:v>1.1779999999999999</c:v>
                </c:pt>
                <c:pt idx="91">
                  <c:v>1.1452</c:v>
                </c:pt>
                <c:pt idx="92">
                  <c:v>1.0723</c:v>
                </c:pt>
                <c:pt idx="93">
                  <c:v>1.1942999999999999</c:v>
                </c:pt>
                <c:pt idx="94">
                  <c:v>1.2257</c:v>
                </c:pt>
                <c:pt idx="95">
                  <c:v>1.2159</c:v>
                </c:pt>
                <c:pt idx="96">
                  <c:v>1.2654000000000001</c:v>
                </c:pt>
                <c:pt idx="97">
                  <c:v>1.2155</c:v>
                </c:pt>
                <c:pt idx="98">
                  <c:v>1.1731</c:v>
                </c:pt>
                <c:pt idx="99">
                  <c:v>1.1920999999999999</c:v>
                </c:pt>
                <c:pt idx="100">
                  <c:v>1.1676</c:v>
                </c:pt>
                <c:pt idx="101">
                  <c:v>1.1738</c:v>
                </c:pt>
                <c:pt idx="102">
                  <c:v>1.1449</c:v>
                </c:pt>
                <c:pt idx="103">
                  <c:v>1.1666000000000001</c:v>
                </c:pt>
                <c:pt idx="104">
                  <c:v>1.1565000000000001</c:v>
                </c:pt>
                <c:pt idx="105">
                  <c:v>1.2699</c:v>
                </c:pt>
                <c:pt idx="106">
                  <c:v>1.2515000000000001</c:v>
                </c:pt>
                <c:pt idx="107">
                  <c:v>1.1863999999999999</c:v>
                </c:pt>
                <c:pt idx="108">
                  <c:v>1.2423</c:v>
                </c:pt>
                <c:pt idx="109">
                  <c:v>1.2829999999999999</c:v>
                </c:pt>
                <c:pt idx="110">
                  <c:v>1.2867999999999999</c:v>
                </c:pt>
                <c:pt idx="111">
                  <c:v>1.3861000000000001</c:v>
                </c:pt>
                <c:pt idx="112">
                  <c:v>1.44</c:v>
                </c:pt>
                <c:pt idx="113">
                  <c:v>1.371</c:v>
                </c:pt>
                <c:pt idx="114">
                  <c:v>1.3260000000000001</c:v>
                </c:pt>
                <c:pt idx="115">
                  <c:v>1.2433000000000001</c:v>
                </c:pt>
                <c:pt idx="116">
                  <c:v>1.2817000000000001</c:v>
                </c:pt>
                <c:pt idx="117">
                  <c:v>1.2344999999999999</c:v>
                </c:pt>
                <c:pt idx="118">
                  <c:v>1.2326999999999999</c:v>
                </c:pt>
                <c:pt idx="119">
                  <c:v>1.1335</c:v>
                </c:pt>
                <c:pt idx="120">
                  <c:v>1.0326</c:v>
                </c:pt>
                <c:pt idx="121">
                  <c:v>0.98970000000000002</c:v>
                </c:pt>
                <c:pt idx="122">
                  <c:v>1.0671999999999999</c:v>
                </c:pt>
                <c:pt idx="123">
                  <c:v>1.0964</c:v>
                </c:pt>
                <c:pt idx="124">
                  <c:v>1.125</c:v>
                </c:pt>
                <c:pt idx="125">
                  <c:v>1.1589</c:v>
                </c:pt>
                <c:pt idx="126">
                  <c:v>1.1218999999999999</c:v>
                </c:pt>
                <c:pt idx="127">
                  <c:v>1.093</c:v>
                </c:pt>
                <c:pt idx="128">
                  <c:v>0.98760000000000003</c:v>
                </c:pt>
                <c:pt idx="129">
                  <c:v>1.0494000000000001</c:v>
                </c:pt>
                <c:pt idx="130">
                  <c:v>1.1712</c:v>
                </c:pt>
                <c:pt idx="131">
                  <c:v>1.2201</c:v>
                </c:pt>
                <c:pt idx="132">
                  <c:v>1.1934</c:v>
                </c:pt>
                <c:pt idx="133">
                  <c:v>1.1399999999999999</c:v>
                </c:pt>
                <c:pt idx="134">
                  <c:v>1.1647000000000001</c:v>
                </c:pt>
                <c:pt idx="135">
                  <c:v>1.1241000000000001</c:v>
                </c:pt>
                <c:pt idx="136">
                  <c:v>1.0848</c:v>
                </c:pt>
                <c:pt idx="137">
                  <c:v>1.1385000000000001</c:v>
                </c:pt>
                <c:pt idx="138">
                  <c:v>1.1309</c:v>
                </c:pt>
                <c:pt idx="139">
                  <c:v>1.1089</c:v>
                </c:pt>
                <c:pt idx="140">
                  <c:v>1.1802999999999999</c:v>
                </c:pt>
                <c:pt idx="141">
                  <c:v>1.1326000000000001</c:v>
                </c:pt>
                <c:pt idx="142">
                  <c:v>1.1209</c:v>
                </c:pt>
                <c:pt idx="143">
                  <c:v>1.3423</c:v>
                </c:pt>
                <c:pt idx="144">
                  <c:v>1.3703000000000001</c:v>
                </c:pt>
                <c:pt idx="145">
                  <c:v>1.3274999999999999</c:v>
                </c:pt>
                <c:pt idx="146">
                  <c:v>1.2081999999999999</c:v>
                </c:pt>
                <c:pt idx="147">
                  <c:v>1.1621999999999999</c:v>
                </c:pt>
                <c:pt idx="148">
                  <c:v>1.1576</c:v>
                </c:pt>
                <c:pt idx="149">
                  <c:v>1.129</c:v>
                </c:pt>
                <c:pt idx="150">
                  <c:v>1.0925</c:v>
                </c:pt>
                <c:pt idx="151">
                  <c:v>1.1415</c:v>
                </c:pt>
                <c:pt idx="152">
                  <c:v>1.1745000000000001</c:v>
                </c:pt>
                <c:pt idx="153">
                  <c:v>1.1515</c:v>
                </c:pt>
                <c:pt idx="154">
                  <c:v>1.0959000000000001</c:v>
                </c:pt>
                <c:pt idx="155">
                  <c:v>1.1726000000000001</c:v>
                </c:pt>
                <c:pt idx="156">
                  <c:v>1.3197000000000001</c:v>
                </c:pt>
                <c:pt idx="157">
                  <c:v>0.96779999999999999</c:v>
                </c:pt>
                <c:pt idx="158">
                  <c:v>0.90800000000000003</c:v>
                </c:pt>
                <c:pt idx="159">
                  <c:v>0.91820000000000002</c:v>
                </c:pt>
                <c:pt idx="160">
                  <c:v>0.91169999999999995</c:v>
                </c:pt>
                <c:pt idx="161">
                  <c:v>0.87749999999999995</c:v>
                </c:pt>
                <c:pt idx="162">
                  <c:v>0.84709999999999996</c:v>
                </c:pt>
                <c:pt idx="163">
                  <c:v>0.86409999999999998</c:v>
                </c:pt>
                <c:pt idx="164">
                  <c:v>0.91439999999999999</c:v>
                </c:pt>
                <c:pt idx="165">
                  <c:v>0.93540000000000001</c:v>
                </c:pt>
                <c:pt idx="166">
                  <c:v>0.93279999999999996</c:v>
                </c:pt>
                <c:pt idx="167">
                  <c:v>0.92989999999999995</c:v>
                </c:pt>
                <c:pt idx="168">
                  <c:v>0.86829999999999996</c:v>
                </c:pt>
                <c:pt idx="169">
                  <c:v>0.91510000000000002</c:v>
                </c:pt>
                <c:pt idx="170">
                  <c:v>0.87470000000000003</c:v>
                </c:pt>
                <c:pt idx="171">
                  <c:v>0.87849999999999995</c:v>
                </c:pt>
                <c:pt idx="172">
                  <c:v>0.85</c:v>
                </c:pt>
                <c:pt idx="173">
                  <c:v>0.8649</c:v>
                </c:pt>
                <c:pt idx="174">
                  <c:v>0.83460000000000001</c:v>
                </c:pt>
                <c:pt idx="175">
                  <c:v>0.80059999999999998</c:v>
                </c:pt>
                <c:pt idx="176">
                  <c:v>0.79649999999999999</c:v>
                </c:pt>
                <c:pt idx="177">
                  <c:v>0.77090000000000003</c:v>
                </c:pt>
                <c:pt idx="178">
                  <c:v>0.7883</c:v>
                </c:pt>
                <c:pt idx="179">
                  <c:v>0.78249999999999997</c:v>
                </c:pt>
                <c:pt idx="180">
                  <c:v>0.81930000000000003</c:v>
                </c:pt>
                <c:pt idx="181">
                  <c:v>0.82079999999999997</c:v>
                </c:pt>
                <c:pt idx="182">
                  <c:v>0.79659999999999997</c:v>
                </c:pt>
                <c:pt idx="183">
                  <c:v>0.75749999999999995</c:v>
                </c:pt>
                <c:pt idx="184">
                  <c:v>0.75660000000000005</c:v>
                </c:pt>
                <c:pt idx="185">
                  <c:v>0.74529999999999996</c:v>
                </c:pt>
                <c:pt idx="186">
                  <c:v>0.70750000000000002</c:v>
                </c:pt>
                <c:pt idx="187">
                  <c:v>0.70030000000000003</c:v>
                </c:pt>
                <c:pt idx="188">
                  <c:v>0.67969999999999997</c:v>
                </c:pt>
                <c:pt idx="189">
                  <c:v>0.67069999999999996</c:v>
                </c:pt>
                <c:pt idx="190">
                  <c:v>0.65239999999999998</c:v>
                </c:pt>
                <c:pt idx="191">
                  <c:v>0.60009999999999997</c:v>
                </c:pt>
                <c:pt idx="192">
                  <c:v>0.65910000000000002</c:v>
                </c:pt>
                <c:pt idx="193">
                  <c:v>0.70550000000000002</c:v>
                </c:pt>
                <c:pt idx="194">
                  <c:v>0.70840000000000003</c:v>
                </c:pt>
                <c:pt idx="195">
                  <c:v>0.753</c:v>
                </c:pt>
                <c:pt idx="196">
                  <c:v>0.72599999999999998</c:v>
                </c:pt>
                <c:pt idx="197">
                  <c:v>0.76700000000000002</c:v>
                </c:pt>
                <c:pt idx="198">
                  <c:v>0.82909999999999995</c:v>
                </c:pt>
                <c:pt idx="199">
                  <c:v>0.7601</c:v>
                </c:pt>
                <c:pt idx="200">
                  <c:v>0.76170000000000004</c:v>
                </c:pt>
                <c:pt idx="201">
                  <c:v>0.74339999999999995</c:v>
                </c:pt>
                <c:pt idx="202">
                  <c:v>0.74070000000000003</c:v>
                </c:pt>
                <c:pt idx="203">
                  <c:v>0.72140000000000004</c:v>
                </c:pt>
                <c:pt idx="204">
                  <c:v>0.8286</c:v>
                </c:pt>
                <c:pt idx="205">
                  <c:v>0.79759999999999998</c:v>
                </c:pt>
                <c:pt idx="206">
                  <c:v>0.80089999999999995</c:v>
                </c:pt>
                <c:pt idx="207">
                  <c:v>0.75949999999999995</c:v>
                </c:pt>
                <c:pt idx="208">
                  <c:v>0.74380000000000002</c:v>
                </c:pt>
                <c:pt idx="209">
                  <c:v>0.71430000000000005</c:v>
                </c:pt>
                <c:pt idx="210">
                  <c:v>0.73499999999999999</c:v>
                </c:pt>
                <c:pt idx="211">
                  <c:v>0.82450000000000001</c:v>
                </c:pt>
                <c:pt idx="212">
                  <c:v>0.68210000000000004</c:v>
                </c:pt>
                <c:pt idx="213">
                  <c:v>0.59909999999999997</c:v>
                </c:pt>
                <c:pt idx="214">
                  <c:v>0.56359999999999999</c:v>
                </c:pt>
                <c:pt idx="215">
                  <c:v>0.55520000000000003</c:v>
                </c:pt>
                <c:pt idx="216">
                  <c:v>0.51400000000000001</c:v>
                </c:pt>
                <c:pt idx="217">
                  <c:v>0.57469999999999999</c:v>
                </c:pt>
                <c:pt idx="218">
                  <c:v>0.50980000000000003</c:v>
                </c:pt>
                <c:pt idx="219">
                  <c:v>0.46939999999999998</c:v>
                </c:pt>
                <c:pt idx="220">
                  <c:v>0.50209999999999999</c:v>
                </c:pt>
                <c:pt idx="221">
                  <c:v>0.72050000000000003</c:v>
                </c:pt>
                <c:pt idx="222">
                  <c:v>0.74639999999999995</c:v>
                </c:pt>
                <c:pt idx="223">
                  <c:v>0.76190000000000002</c:v>
                </c:pt>
                <c:pt idx="224">
                  <c:v>0.82420000000000004</c:v>
                </c:pt>
                <c:pt idx="225">
                  <c:v>0.81720000000000004</c:v>
                </c:pt>
                <c:pt idx="226">
                  <c:v>0.86580000000000001</c:v>
                </c:pt>
                <c:pt idx="227">
                  <c:v>0.89119999999999999</c:v>
                </c:pt>
                <c:pt idx="228">
                  <c:v>0.86809999999999998</c:v>
                </c:pt>
                <c:pt idx="229">
                  <c:v>0.78400000000000003</c:v>
                </c:pt>
                <c:pt idx="230">
                  <c:v>0.8579</c:v>
                </c:pt>
                <c:pt idx="231">
                  <c:v>0.93789999999999996</c:v>
                </c:pt>
                <c:pt idx="232">
                  <c:v>0.98419999999999996</c:v>
                </c:pt>
                <c:pt idx="233">
                  <c:v>0.92210000000000003</c:v>
                </c:pt>
                <c:pt idx="234">
                  <c:v>0.93500000000000005</c:v>
                </c:pt>
                <c:pt idx="235">
                  <c:v>1.0378000000000001</c:v>
                </c:pt>
                <c:pt idx="236">
                  <c:v>0.95789999999999997</c:v>
                </c:pt>
                <c:pt idx="237">
                  <c:v>1.0086999999999999</c:v>
                </c:pt>
                <c:pt idx="238">
                  <c:v>1.0986</c:v>
                </c:pt>
                <c:pt idx="239">
                  <c:v>1.0517000000000001</c:v>
                </c:pt>
                <c:pt idx="240">
                  <c:v>1.0146999999999999</c:v>
                </c:pt>
                <c:pt idx="241">
                  <c:v>1.0609</c:v>
                </c:pt>
                <c:pt idx="242">
                  <c:v>1.0347999999999999</c:v>
                </c:pt>
                <c:pt idx="243">
                  <c:v>1.0448999999999999</c:v>
                </c:pt>
                <c:pt idx="244">
                  <c:v>1.1689000000000001</c:v>
                </c:pt>
                <c:pt idx="245">
                  <c:v>1.0649999999999999</c:v>
                </c:pt>
                <c:pt idx="246">
                  <c:v>1.1721999999999999</c:v>
                </c:pt>
                <c:pt idx="247">
                  <c:v>1.0436000000000001</c:v>
                </c:pt>
                <c:pt idx="248">
                  <c:v>0.91849999999999998</c:v>
                </c:pt>
                <c:pt idx="249">
                  <c:v>0.75339999999999996</c:v>
                </c:pt>
                <c:pt idx="250">
                  <c:v>0.89249999999999996</c:v>
                </c:pt>
                <c:pt idx="251">
                  <c:v>1.3506</c:v>
                </c:pt>
                <c:pt idx="252">
                  <c:v>2.4318</c:v>
                </c:pt>
                <c:pt idx="253">
                  <c:v>0.51529999999999998</c:v>
                </c:pt>
                <c:pt idx="254">
                  <c:v>0.72770000000000001</c:v>
                </c:pt>
                <c:pt idx="255">
                  <c:v>0.69589999999999996</c:v>
                </c:pt>
                <c:pt idx="256">
                  <c:v>0.77939999999999998</c:v>
                </c:pt>
                <c:pt idx="257">
                  <c:v>0.78169999999999995</c:v>
                </c:pt>
                <c:pt idx="258">
                  <c:v>0.84140000000000004</c:v>
                </c:pt>
                <c:pt idx="259">
                  <c:v>0.80620000000000003</c:v>
                </c:pt>
                <c:pt idx="260">
                  <c:v>0.79559999999999997</c:v>
                </c:pt>
                <c:pt idx="261">
                  <c:v>0.97240000000000004</c:v>
                </c:pt>
                <c:pt idx="262">
                  <c:v>0.89880000000000004</c:v>
                </c:pt>
                <c:pt idx="263">
                  <c:v>1.0338000000000001</c:v>
                </c:pt>
                <c:pt idx="264">
                  <c:v>1.0368999999999999</c:v>
                </c:pt>
                <c:pt idx="265">
                  <c:v>1.0584</c:v>
                </c:pt>
                <c:pt idx="266">
                  <c:v>1.0974999999999999</c:v>
                </c:pt>
                <c:pt idx="267">
                  <c:v>0.98980000000000001</c:v>
                </c:pt>
                <c:pt idx="268">
                  <c:v>0.86619999999999997</c:v>
                </c:pt>
                <c:pt idx="269">
                  <c:v>1.0033000000000001</c:v>
                </c:pt>
                <c:pt idx="270">
                  <c:v>1.0029999999999999</c:v>
                </c:pt>
                <c:pt idx="271">
                  <c:v>0.99939999999999996</c:v>
                </c:pt>
                <c:pt idx="272">
                  <c:v>1.0068999999999999</c:v>
                </c:pt>
                <c:pt idx="273">
                  <c:v>0.93069999999999997</c:v>
                </c:pt>
                <c:pt idx="274">
                  <c:v>0.92989999999999995</c:v>
                </c:pt>
                <c:pt idx="275">
                  <c:v>0.9627</c:v>
                </c:pt>
                <c:pt idx="276">
                  <c:v>0.88490000000000002</c:v>
                </c:pt>
                <c:pt idx="277">
                  <c:v>0.75329999999999997</c:v>
                </c:pt>
                <c:pt idx="278">
                  <c:v>0.73529999999999995</c:v>
                </c:pt>
                <c:pt idx="279">
                  <c:v>0.79579999999999995</c:v>
                </c:pt>
                <c:pt idx="280">
                  <c:v>0.84419999999999995</c:v>
                </c:pt>
                <c:pt idx="281">
                  <c:v>1.0512999999999999</c:v>
                </c:pt>
                <c:pt idx="282">
                  <c:v>1.1021000000000001</c:v>
                </c:pt>
                <c:pt idx="283">
                  <c:v>1.131</c:v>
                </c:pt>
                <c:pt idx="284">
                  <c:v>1.2961</c:v>
                </c:pt>
                <c:pt idx="285">
                  <c:v>1.3005</c:v>
                </c:pt>
                <c:pt idx="286">
                  <c:v>1.3563000000000001</c:v>
                </c:pt>
                <c:pt idx="287">
                  <c:v>1.2548999999999999</c:v>
                </c:pt>
                <c:pt idx="288">
                  <c:v>1.1460999999999999</c:v>
                </c:pt>
                <c:pt idx="289">
                  <c:v>1.1615</c:v>
                </c:pt>
                <c:pt idx="290">
                  <c:v>1.1637999999999999</c:v>
                </c:pt>
                <c:pt idx="291">
                  <c:v>1.2135</c:v>
                </c:pt>
                <c:pt idx="292">
                  <c:v>1.2323999999999999</c:v>
                </c:pt>
                <c:pt idx="293">
                  <c:v>1.1855</c:v>
                </c:pt>
                <c:pt idx="294">
                  <c:v>1.0825</c:v>
                </c:pt>
                <c:pt idx="295">
                  <c:v>0.96060000000000001</c:v>
                </c:pt>
                <c:pt idx="296">
                  <c:v>1.0993999999999999</c:v>
                </c:pt>
                <c:pt idx="297">
                  <c:v>1.1686000000000001</c:v>
                </c:pt>
                <c:pt idx="298">
                  <c:v>1.214</c:v>
                </c:pt>
                <c:pt idx="299">
                  <c:v>1.1088</c:v>
                </c:pt>
                <c:pt idx="300">
                  <c:v>1.0801000000000001</c:v>
                </c:pt>
                <c:pt idx="301">
                  <c:v>0.96899999999999997</c:v>
                </c:pt>
                <c:pt idx="302">
                  <c:v>1.0245</c:v>
                </c:pt>
                <c:pt idx="303">
                  <c:v>1.0083</c:v>
                </c:pt>
                <c:pt idx="304">
                  <c:v>0.93700000000000006</c:v>
                </c:pt>
                <c:pt idx="305">
                  <c:v>0.87809999999999999</c:v>
                </c:pt>
                <c:pt idx="306">
                  <c:v>0.8921</c:v>
                </c:pt>
                <c:pt idx="307">
                  <c:v>0.75180000000000002</c:v>
                </c:pt>
                <c:pt idx="308">
                  <c:v>0.6915</c:v>
                </c:pt>
                <c:pt idx="309">
                  <c:v>0.73519999999999996</c:v>
                </c:pt>
                <c:pt idx="310">
                  <c:v>0.85599999999999998</c:v>
                </c:pt>
                <c:pt idx="311">
                  <c:v>0.79969999999999997</c:v>
                </c:pt>
                <c:pt idx="312">
                  <c:v>0.79149999999999998</c:v>
                </c:pt>
                <c:pt idx="313">
                  <c:v>0.76149999999999995</c:v>
                </c:pt>
                <c:pt idx="314">
                  <c:v>0.81330000000000002</c:v>
                </c:pt>
                <c:pt idx="315">
                  <c:v>0.76439999999999997</c:v>
                </c:pt>
                <c:pt idx="316">
                  <c:v>0.77110000000000001</c:v>
                </c:pt>
                <c:pt idx="317">
                  <c:v>0.72199999999999998</c:v>
                </c:pt>
                <c:pt idx="318">
                  <c:v>0.73640000000000005</c:v>
                </c:pt>
                <c:pt idx="319">
                  <c:v>0.77639999999999998</c:v>
                </c:pt>
                <c:pt idx="320">
                  <c:v>0.76990000000000003</c:v>
                </c:pt>
                <c:pt idx="321">
                  <c:v>0.74199999999999999</c:v>
                </c:pt>
                <c:pt idx="322">
                  <c:v>0.74570000000000003</c:v>
                </c:pt>
                <c:pt idx="323">
                  <c:v>0.76300000000000001</c:v>
                </c:pt>
                <c:pt idx="324">
                  <c:v>0.76790000000000003</c:v>
                </c:pt>
                <c:pt idx="325">
                  <c:v>0.76649999999999996</c:v>
                </c:pt>
                <c:pt idx="326">
                  <c:v>0.78879999999999995</c:v>
                </c:pt>
                <c:pt idx="327">
                  <c:v>0.76259999999999994</c:v>
                </c:pt>
                <c:pt idx="328">
                  <c:v>0.69130000000000003</c:v>
                </c:pt>
                <c:pt idx="329">
                  <c:v>0.55410000000000004</c:v>
                </c:pt>
                <c:pt idx="330">
                  <c:v>0.52029999999999998</c:v>
                </c:pt>
                <c:pt idx="331">
                  <c:v>0.49990000000000001</c:v>
                </c:pt>
                <c:pt idx="332">
                  <c:v>0.52859999999999996</c:v>
                </c:pt>
                <c:pt idx="333">
                  <c:v>0.51859999999999995</c:v>
                </c:pt>
                <c:pt idx="334">
                  <c:v>0.4879</c:v>
                </c:pt>
                <c:pt idx="335">
                  <c:v>0.48659999999999998</c:v>
                </c:pt>
                <c:pt idx="336">
                  <c:v>0.49519999999999997</c:v>
                </c:pt>
                <c:pt idx="337">
                  <c:v>0.53539999999999999</c:v>
                </c:pt>
                <c:pt idx="338">
                  <c:v>0.4466</c:v>
                </c:pt>
                <c:pt idx="339">
                  <c:v>0.54320000000000002</c:v>
                </c:pt>
                <c:pt idx="340">
                  <c:v>0.64190000000000003</c:v>
                </c:pt>
                <c:pt idx="341">
                  <c:v>0.44919999999999999</c:v>
                </c:pt>
                <c:pt idx="342">
                  <c:v>0.45100000000000001</c:v>
                </c:pt>
                <c:pt idx="343">
                  <c:v>0.44259999999999999</c:v>
                </c:pt>
                <c:pt idx="344">
                  <c:v>0.40899999999999997</c:v>
                </c:pt>
                <c:pt idx="345">
                  <c:v>0.42399999999999999</c:v>
                </c:pt>
                <c:pt idx="346">
                  <c:v>0.34399999999999997</c:v>
                </c:pt>
                <c:pt idx="347">
                  <c:v>0.36570000000000003</c:v>
                </c:pt>
                <c:pt idx="348">
                  <c:v>0.39689999999999998</c:v>
                </c:pt>
                <c:pt idx="349">
                  <c:v>0.34560000000000002</c:v>
                </c:pt>
                <c:pt idx="350">
                  <c:v>0.34570000000000001</c:v>
                </c:pt>
                <c:pt idx="351">
                  <c:v>0.30649999999999999</c:v>
                </c:pt>
                <c:pt idx="352">
                  <c:v>0.28499999999999998</c:v>
                </c:pt>
                <c:pt idx="353">
                  <c:v>0.26550000000000001</c:v>
                </c:pt>
                <c:pt idx="354">
                  <c:v>0.24829999999999999</c:v>
                </c:pt>
                <c:pt idx="355">
                  <c:v>0.25969999999999999</c:v>
                </c:pt>
                <c:pt idx="356">
                  <c:v>0.24790000000000001</c:v>
                </c:pt>
                <c:pt idx="357">
                  <c:v>0.22509999999999999</c:v>
                </c:pt>
                <c:pt idx="358">
                  <c:v>0.2283</c:v>
                </c:pt>
                <c:pt idx="359">
                  <c:v>0.2112</c:v>
                </c:pt>
                <c:pt idx="360">
                  <c:v>0.2036</c:v>
                </c:pt>
                <c:pt idx="361">
                  <c:v>0.20269999999999999</c:v>
                </c:pt>
                <c:pt idx="362">
                  <c:v>0.2089</c:v>
                </c:pt>
                <c:pt idx="363">
                  <c:v>0.2114</c:v>
                </c:pt>
                <c:pt idx="364">
                  <c:v>0.2097</c:v>
                </c:pt>
                <c:pt idx="365">
                  <c:v>0.19539999999999999</c:v>
                </c:pt>
                <c:pt idx="366">
                  <c:v>0.21590000000000001</c:v>
                </c:pt>
                <c:pt idx="367">
                  <c:v>0.2162</c:v>
                </c:pt>
                <c:pt idx="368">
                  <c:v>0.22339999999999999</c:v>
                </c:pt>
                <c:pt idx="369">
                  <c:v>0.2167</c:v>
                </c:pt>
                <c:pt idx="370">
                  <c:v>0.21049999999999999</c:v>
                </c:pt>
                <c:pt idx="371">
                  <c:v>0.2016</c:v>
                </c:pt>
                <c:pt idx="372">
                  <c:v>0.23119999999999999</c:v>
                </c:pt>
                <c:pt idx="373">
                  <c:v>0.2389</c:v>
                </c:pt>
                <c:pt idx="374">
                  <c:v>0.24349999999999999</c:v>
                </c:pt>
                <c:pt idx="375">
                  <c:v>0.23300000000000001</c:v>
                </c:pt>
                <c:pt idx="376">
                  <c:v>0.22939999999999999</c:v>
                </c:pt>
                <c:pt idx="377">
                  <c:v>0.22470000000000001</c:v>
                </c:pt>
                <c:pt idx="378">
                  <c:v>0.2278</c:v>
                </c:pt>
                <c:pt idx="379">
                  <c:v>0.22550000000000001</c:v>
                </c:pt>
                <c:pt idx="380">
                  <c:v>0.21820000000000001</c:v>
                </c:pt>
                <c:pt idx="381">
                  <c:v>0.23830000000000001</c:v>
                </c:pt>
                <c:pt idx="382">
                  <c:v>0.23119999999999999</c:v>
                </c:pt>
                <c:pt idx="383">
                  <c:v>0.23130000000000001</c:v>
                </c:pt>
                <c:pt idx="384">
                  <c:v>0.21779999999999999</c:v>
                </c:pt>
                <c:pt idx="385">
                  <c:v>0.22620000000000001</c:v>
                </c:pt>
                <c:pt idx="386">
                  <c:v>0.20880000000000001</c:v>
                </c:pt>
                <c:pt idx="387">
                  <c:v>0.1981</c:v>
                </c:pt>
                <c:pt idx="388">
                  <c:v>0.1908</c:v>
                </c:pt>
                <c:pt idx="389">
                  <c:v>0.20250000000000001</c:v>
                </c:pt>
                <c:pt idx="390">
                  <c:v>0.2049</c:v>
                </c:pt>
                <c:pt idx="391">
                  <c:v>0.1933</c:v>
                </c:pt>
                <c:pt idx="392">
                  <c:v>0.186</c:v>
                </c:pt>
                <c:pt idx="393">
                  <c:v>0.18820000000000001</c:v>
                </c:pt>
                <c:pt idx="394">
                  <c:v>0.18770000000000001</c:v>
                </c:pt>
                <c:pt idx="395">
                  <c:v>0.193</c:v>
                </c:pt>
                <c:pt idx="396">
                  <c:v>0.19489999999999999</c:v>
                </c:pt>
                <c:pt idx="397">
                  <c:v>0.2019</c:v>
                </c:pt>
                <c:pt idx="398">
                  <c:v>0.18559999999999999</c:v>
                </c:pt>
                <c:pt idx="399">
                  <c:v>0.18090000000000001</c:v>
                </c:pt>
                <c:pt idx="400">
                  <c:v>0.16389999999999999</c:v>
                </c:pt>
                <c:pt idx="401">
                  <c:v>0.19750000000000001</c:v>
                </c:pt>
                <c:pt idx="402">
                  <c:v>0.20660000000000001</c:v>
                </c:pt>
                <c:pt idx="403">
                  <c:v>0.20860000000000001</c:v>
                </c:pt>
                <c:pt idx="404">
                  <c:v>0.2233</c:v>
                </c:pt>
                <c:pt idx="405">
                  <c:v>0.2117</c:v>
                </c:pt>
                <c:pt idx="406">
                  <c:v>0.1996</c:v>
                </c:pt>
                <c:pt idx="407">
                  <c:v>0.20849999999999999</c:v>
                </c:pt>
                <c:pt idx="408">
                  <c:v>0.2077</c:v>
                </c:pt>
                <c:pt idx="409">
                  <c:v>0.21779999999999999</c:v>
                </c:pt>
                <c:pt idx="410">
                  <c:v>0.20930000000000001</c:v>
                </c:pt>
                <c:pt idx="411">
                  <c:v>0.19539999999999999</c:v>
                </c:pt>
                <c:pt idx="412">
                  <c:v>0.18079999999999999</c:v>
                </c:pt>
                <c:pt idx="413">
                  <c:v>0.1915</c:v>
                </c:pt>
                <c:pt idx="414">
                  <c:v>0.20610000000000001</c:v>
                </c:pt>
                <c:pt idx="415">
                  <c:v>0.20830000000000001</c:v>
                </c:pt>
                <c:pt idx="416">
                  <c:v>0.2303</c:v>
                </c:pt>
                <c:pt idx="417">
                  <c:v>0.2419</c:v>
                </c:pt>
                <c:pt idx="418">
                  <c:v>0.23899999999999999</c:v>
                </c:pt>
                <c:pt idx="419">
                  <c:v>0.21859999999999999</c:v>
                </c:pt>
                <c:pt idx="420">
                  <c:v>0.2601</c:v>
                </c:pt>
                <c:pt idx="421">
                  <c:v>0.27200000000000002</c:v>
                </c:pt>
                <c:pt idx="422">
                  <c:v>0.25650000000000001</c:v>
                </c:pt>
                <c:pt idx="423">
                  <c:v>0.2661</c:v>
                </c:pt>
                <c:pt idx="424">
                  <c:v>0.28139999999999998</c:v>
                </c:pt>
                <c:pt idx="425">
                  <c:v>0.28860000000000002</c:v>
                </c:pt>
                <c:pt idx="426">
                  <c:v>0.22</c:v>
                </c:pt>
                <c:pt idx="427">
                  <c:v>0.23549999999999999</c:v>
                </c:pt>
                <c:pt idx="428">
                  <c:v>0.38400000000000001</c:v>
                </c:pt>
                <c:pt idx="429">
                  <c:v>0.13589999999999999</c:v>
                </c:pt>
                <c:pt idx="430">
                  <c:v>0.128</c:v>
                </c:pt>
                <c:pt idx="431">
                  <c:v>0.12379999999999999</c:v>
                </c:pt>
                <c:pt idx="432">
                  <c:v>0.12859999999999999</c:v>
                </c:pt>
                <c:pt idx="433">
                  <c:v>0.1221</c:v>
                </c:pt>
                <c:pt idx="434">
                  <c:v>0.12</c:v>
                </c:pt>
                <c:pt idx="435">
                  <c:v>0.1229</c:v>
                </c:pt>
                <c:pt idx="436">
                  <c:v>0.1178</c:v>
                </c:pt>
                <c:pt idx="437">
                  <c:v>0.1167</c:v>
                </c:pt>
                <c:pt idx="438">
                  <c:v>0.1158</c:v>
                </c:pt>
                <c:pt idx="439">
                  <c:v>0.11609999999999999</c:v>
                </c:pt>
                <c:pt idx="440">
                  <c:v>0.11840000000000001</c:v>
                </c:pt>
                <c:pt idx="441">
                  <c:v>0.1162</c:v>
                </c:pt>
                <c:pt idx="442">
                  <c:v>0.1203</c:v>
                </c:pt>
                <c:pt idx="443">
                  <c:v>0.12</c:v>
                </c:pt>
                <c:pt idx="444">
                  <c:v>0.1181</c:v>
                </c:pt>
                <c:pt idx="445">
                  <c:v>0.1192</c:v>
                </c:pt>
                <c:pt idx="446">
                  <c:v>0.10970000000000001</c:v>
                </c:pt>
                <c:pt idx="447">
                  <c:v>0.1143</c:v>
                </c:pt>
                <c:pt idx="448">
                  <c:v>0.1065</c:v>
                </c:pt>
                <c:pt idx="449">
                  <c:v>0.10249999999999999</c:v>
                </c:pt>
                <c:pt idx="450">
                  <c:v>0.10150000000000001</c:v>
                </c:pt>
                <c:pt idx="451">
                  <c:v>0.1024</c:v>
                </c:pt>
                <c:pt idx="452">
                  <c:v>0.1071</c:v>
                </c:pt>
                <c:pt idx="453">
                  <c:v>0.10580000000000001</c:v>
                </c:pt>
                <c:pt idx="454">
                  <c:v>0.1042</c:v>
                </c:pt>
                <c:pt idx="455">
                  <c:v>0.1081</c:v>
                </c:pt>
                <c:pt idx="456">
                  <c:v>0.1132</c:v>
                </c:pt>
                <c:pt idx="457">
                  <c:v>0.1178</c:v>
                </c:pt>
                <c:pt idx="458">
                  <c:v>0.1191</c:v>
                </c:pt>
                <c:pt idx="459">
                  <c:v>0.1255</c:v>
                </c:pt>
                <c:pt idx="460">
                  <c:v>0.125</c:v>
                </c:pt>
                <c:pt idx="461">
                  <c:v>0.1227</c:v>
                </c:pt>
                <c:pt idx="462">
                  <c:v>0.1208</c:v>
                </c:pt>
                <c:pt idx="463">
                  <c:v>0.1187</c:v>
                </c:pt>
                <c:pt idx="464">
                  <c:v>0.1154</c:v>
                </c:pt>
                <c:pt idx="465">
                  <c:v>0.1211</c:v>
                </c:pt>
                <c:pt idx="466">
                  <c:v>0.12189999999999999</c:v>
                </c:pt>
                <c:pt idx="467">
                  <c:v>0.1217</c:v>
                </c:pt>
                <c:pt idx="468">
                  <c:v>0.1192</c:v>
                </c:pt>
                <c:pt idx="469">
                  <c:v>0.12239999999999999</c:v>
                </c:pt>
                <c:pt idx="470">
                  <c:v>0.1203</c:v>
                </c:pt>
                <c:pt idx="471">
                  <c:v>0.1236</c:v>
                </c:pt>
                <c:pt idx="472">
                  <c:v>0.1263</c:v>
                </c:pt>
                <c:pt idx="473">
                  <c:v>0.12670000000000001</c:v>
                </c:pt>
                <c:pt idx="474">
                  <c:v>0.12640000000000001</c:v>
                </c:pt>
                <c:pt idx="475">
                  <c:v>0.12740000000000001</c:v>
                </c:pt>
                <c:pt idx="476">
                  <c:v>0.1215</c:v>
                </c:pt>
                <c:pt idx="477">
                  <c:v>0.11940000000000001</c:v>
                </c:pt>
                <c:pt idx="478">
                  <c:v>0.1125</c:v>
                </c:pt>
                <c:pt idx="479">
                  <c:v>0.1211</c:v>
                </c:pt>
                <c:pt idx="480">
                  <c:v>0.1235</c:v>
                </c:pt>
                <c:pt idx="481">
                  <c:v>0.12590000000000001</c:v>
                </c:pt>
                <c:pt idx="482">
                  <c:v>0.12959999999999999</c:v>
                </c:pt>
                <c:pt idx="483">
                  <c:v>0.1416</c:v>
                </c:pt>
                <c:pt idx="484">
                  <c:v>0.1356</c:v>
                </c:pt>
                <c:pt idx="485">
                  <c:v>0.12939999999999999</c:v>
                </c:pt>
                <c:pt idx="486">
                  <c:v>0.1211</c:v>
                </c:pt>
                <c:pt idx="487">
                  <c:v>0.12039999999999999</c:v>
                </c:pt>
                <c:pt idx="488">
                  <c:v>0.1226</c:v>
                </c:pt>
                <c:pt idx="489">
                  <c:v>0.121</c:v>
                </c:pt>
                <c:pt idx="490">
                  <c:v>0.1198</c:v>
                </c:pt>
                <c:pt idx="491">
                  <c:v>0.11260000000000001</c:v>
                </c:pt>
                <c:pt idx="492">
                  <c:v>0.1226</c:v>
                </c:pt>
                <c:pt idx="493">
                  <c:v>0.12</c:v>
                </c:pt>
                <c:pt idx="494">
                  <c:v>0.13350000000000001</c:v>
                </c:pt>
                <c:pt idx="495">
                  <c:v>0.13900000000000001</c:v>
                </c:pt>
                <c:pt idx="496">
                  <c:v>0.1406</c:v>
                </c:pt>
                <c:pt idx="497">
                  <c:v>0.14630000000000001</c:v>
                </c:pt>
                <c:pt idx="498">
                  <c:v>0.1421</c:v>
                </c:pt>
                <c:pt idx="499">
                  <c:v>0.1447</c:v>
                </c:pt>
                <c:pt idx="500">
                  <c:v>0.15409999999999999</c:v>
                </c:pt>
                <c:pt idx="501">
                  <c:v>0.14849999999999999</c:v>
                </c:pt>
                <c:pt idx="502">
                  <c:v>0.159</c:v>
                </c:pt>
                <c:pt idx="503">
                  <c:v>0.16600000000000001</c:v>
                </c:pt>
                <c:pt idx="504">
                  <c:v>0.1633</c:v>
                </c:pt>
                <c:pt idx="505">
                  <c:v>0.16170000000000001</c:v>
                </c:pt>
                <c:pt idx="506">
                  <c:v>0.15529999999999999</c:v>
                </c:pt>
                <c:pt idx="507">
                  <c:v>0.13550000000000001</c:v>
                </c:pt>
                <c:pt idx="508">
                  <c:v>0.1399</c:v>
                </c:pt>
                <c:pt idx="509">
                  <c:v>0.13800000000000001</c:v>
                </c:pt>
                <c:pt idx="510">
                  <c:v>0.14729999999999999</c:v>
                </c:pt>
                <c:pt idx="511">
                  <c:v>0.13669999999999999</c:v>
                </c:pt>
                <c:pt idx="512">
                  <c:v>0.17760000000000001</c:v>
                </c:pt>
                <c:pt idx="513">
                  <c:v>0.19359999999999999</c:v>
                </c:pt>
                <c:pt idx="514">
                  <c:v>0.19040000000000001</c:v>
                </c:pt>
                <c:pt idx="515">
                  <c:v>0.1966</c:v>
                </c:pt>
                <c:pt idx="516">
                  <c:v>0.18959999999999999</c:v>
                </c:pt>
                <c:pt idx="517">
                  <c:v>0.18540000000000001</c:v>
                </c:pt>
                <c:pt idx="518">
                  <c:v>0.18229999999999999</c:v>
                </c:pt>
                <c:pt idx="519">
                  <c:v>0.19109999999999999</c:v>
                </c:pt>
                <c:pt idx="520">
                  <c:v>0.19070000000000001</c:v>
                </c:pt>
                <c:pt idx="521">
                  <c:v>0.19980000000000001</c:v>
                </c:pt>
                <c:pt idx="522">
                  <c:v>0.19839999999999999</c:v>
                </c:pt>
                <c:pt idx="523">
                  <c:v>0.1991</c:v>
                </c:pt>
                <c:pt idx="524">
                  <c:v>0.19</c:v>
                </c:pt>
                <c:pt idx="525">
                  <c:v>0.20749999999999999</c:v>
                </c:pt>
                <c:pt idx="526">
                  <c:v>0.186</c:v>
                </c:pt>
                <c:pt idx="527">
                  <c:v>0.19239999999999999</c:v>
                </c:pt>
                <c:pt idx="528">
                  <c:v>0.19489999999999999</c:v>
                </c:pt>
                <c:pt idx="529">
                  <c:v>0.1968</c:v>
                </c:pt>
                <c:pt idx="530">
                  <c:v>0.1832</c:v>
                </c:pt>
                <c:pt idx="531">
                  <c:v>0.1855</c:v>
                </c:pt>
                <c:pt idx="532">
                  <c:v>0.18540000000000001</c:v>
                </c:pt>
                <c:pt idx="533">
                  <c:v>0.18579999999999999</c:v>
                </c:pt>
                <c:pt idx="534">
                  <c:v>0.18310000000000001</c:v>
                </c:pt>
                <c:pt idx="535">
                  <c:v>0.1968</c:v>
                </c:pt>
                <c:pt idx="536">
                  <c:v>0.193</c:v>
                </c:pt>
                <c:pt idx="537">
                  <c:v>0.18609999999999999</c:v>
                </c:pt>
                <c:pt idx="538">
                  <c:v>0.1767</c:v>
                </c:pt>
                <c:pt idx="539">
                  <c:v>0.17530000000000001</c:v>
                </c:pt>
                <c:pt idx="540">
                  <c:v>0.1719</c:v>
                </c:pt>
                <c:pt idx="541">
                  <c:v>0.16869999999999999</c:v>
                </c:pt>
                <c:pt idx="542">
                  <c:v>0.16969999999999999</c:v>
                </c:pt>
                <c:pt idx="543">
                  <c:v>0.16930000000000001</c:v>
                </c:pt>
                <c:pt idx="544">
                  <c:v>0.17599999999999999</c:v>
                </c:pt>
                <c:pt idx="545">
                  <c:v>0.1744</c:v>
                </c:pt>
                <c:pt idx="546">
                  <c:v>0.17460000000000001</c:v>
                </c:pt>
                <c:pt idx="547">
                  <c:v>0.17630000000000001</c:v>
                </c:pt>
                <c:pt idx="548">
                  <c:v>0.1709</c:v>
                </c:pt>
                <c:pt idx="549">
                  <c:v>0.16669999999999999</c:v>
                </c:pt>
                <c:pt idx="550">
                  <c:v>0.17879999999999999</c:v>
                </c:pt>
                <c:pt idx="551">
                  <c:v>0.18340000000000001</c:v>
                </c:pt>
                <c:pt idx="552">
                  <c:v>0.18110000000000001</c:v>
                </c:pt>
                <c:pt idx="553">
                  <c:v>0.18629999999999999</c:v>
                </c:pt>
                <c:pt idx="554">
                  <c:v>0.18870000000000001</c:v>
                </c:pt>
                <c:pt idx="555">
                  <c:v>0.186</c:v>
                </c:pt>
                <c:pt idx="556">
                  <c:v>0.18690000000000001</c:v>
                </c:pt>
                <c:pt idx="557">
                  <c:v>0.18590000000000001</c:v>
                </c:pt>
                <c:pt idx="558">
                  <c:v>0.1867</c:v>
                </c:pt>
                <c:pt idx="559">
                  <c:v>0.1865</c:v>
                </c:pt>
                <c:pt idx="560">
                  <c:v>0.18090000000000001</c:v>
                </c:pt>
                <c:pt idx="561">
                  <c:v>0.19159999999999999</c:v>
                </c:pt>
                <c:pt idx="562">
                  <c:v>0.20349999999999999</c:v>
                </c:pt>
                <c:pt idx="563">
                  <c:v>0.1865</c:v>
                </c:pt>
                <c:pt idx="564">
                  <c:v>0.18990000000000001</c:v>
                </c:pt>
                <c:pt idx="565">
                  <c:v>0.1951</c:v>
                </c:pt>
                <c:pt idx="566">
                  <c:v>0.1862</c:v>
                </c:pt>
                <c:pt idx="567">
                  <c:v>0.19420000000000001</c:v>
                </c:pt>
                <c:pt idx="568">
                  <c:v>0.20549999999999999</c:v>
                </c:pt>
                <c:pt idx="569">
                  <c:v>0.20669999999999999</c:v>
                </c:pt>
                <c:pt idx="570">
                  <c:v>0.2059</c:v>
                </c:pt>
                <c:pt idx="571">
                  <c:v>0.2069</c:v>
                </c:pt>
                <c:pt idx="572">
                  <c:v>0.21129999999999999</c:v>
                </c:pt>
                <c:pt idx="573">
                  <c:v>0.19620000000000001</c:v>
                </c:pt>
                <c:pt idx="574">
                  <c:v>0.20680000000000001</c:v>
                </c:pt>
                <c:pt idx="575">
                  <c:v>0.23980000000000001</c:v>
                </c:pt>
                <c:pt idx="576">
                  <c:v>0.24199999999999999</c:v>
                </c:pt>
                <c:pt idx="577">
                  <c:v>0.28960000000000002</c:v>
                </c:pt>
                <c:pt idx="578">
                  <c:v>0.25769999999999998</c:v>
                </c:pt>
                <c:pt idx="579">
                  <c:v>0.23219999999999999</c:v>
                </c:pt>
                <c:pt idx="580">
                  <c:v>0.25740000000000002</c:v>
                </c:pt>
                <c:pt idx="581">
                  <c:v>0.20280000000000001</c:v>
                </c:pt>
                <c:pt idx="582">
                  <c:v>0.17199999999999999</c:v>
                </c:pt>
                <c:pt idx="583">
                  <c:v>0.1686</c:v>
                </c:pt>
                <c:pt idx="584">
                  <c:v>0.1696</c:v>
                </c:pt>
                <c:pt idx="585">
                  <c:v>0.14940000000000001</c:v>
                </c:pt>
                <c:pt idx="586">
                  <c:v>0.13469999999999999</c:v>
                </c:pt>
                <c:pt idx="587">
                  <c:v>0.13339999999999999</c:v>
                </c:pt>
                <c:pt idx="588">
                  <c:v>0.1416</c:v>
                </c:pt>
                <c:pt idx="589">
                  <c:v>0.13469999999999999</c:v>
                </c:pt>
                <c:pt idx="590">
                  <c:v>0.1216</c:v>
                </c:pt>
                <c:pt idx="591">
                  <c:v>0.1212</c:v>
                </c:pt>
                <c:pt idx="592">
                  <c:v>0.1225</c:v>
                </c:pt>
                <c:pt idx="593">
                  <c:v>0.12790000000000001</c:v>
                </c:pt>
                <c:pt idx="594">
                  <c:v>0.12559999999999999</c:v>
                </c:pt>
                <c:pt idx="595">
                  <c:v>0.1125</c:v>
                </c:pt>
                <c:pt idx="596">
                  <c:v>0.1318</c:v>
                </c:pt>
                <c:pt idx="597">
                  <c:v>0.1358</c:v>
                </c:pt>
                <c:pt idx="598">
                  <c:v>0.12839999999999999</c:v>
                </c:pt>
                <c:pt idx="599">
                  <c:v>0.12570000000000001</c:v>
                </c:pt>
                <c:pt idx="600">
                  <c:v>0.12740000000000001</c:v>
                </c:pt>
                <c:pt idx="601">
                  <c:v>0.1241</c:v>
                </c:pt>
                <c:pt idx="602">
                  <c:v>0.126</c:v>
                </c:pt>
                <c:pt idx="603">
                  <c:v>0.12759999999999999</c:v>
                </c:pt>
                <c:pt idx="604">
                  <c:v>0.1323</c:v>
                </c:pt>
                <c:pt idx="605">
                  <c:v>0.122</c:v>
                </c:pt>
                <c:pt idx="606">
                  <c:v>0.11650000000000001</c:v>
                </c:pt>
                <c:pt idx="607">
                  <c:v>0.121</c:v>
                </c:pt>
                <c:pt idx="608">
                  <c:v>0.1216</c:v>
                </c:pt>
                <c:pt idx="609">
                  <c:v>0.1206</c:v>
                </c:pt>
                <c:pt idx="610">
                  <c:v>0.12609999999999999</c:v>
                </c:pt>
                <c:pt idx="611">
                  <c:v>0.1467</c:v>
                </c:pt>
                <c:pt idx="612">
                  <c:v>0.1158</c:v>
                </c:pt>
                <c:pt idx="613">
                  <c:v>9.8500000000000004E-2</c:v>
                </c:pt>
                <c:pt idx="614">
                  <c:v>0.1032</c:v>
                </c:pt>
                <c:pt idx="615">
                  <c:v>0.10920000000000001</c:v>
                </c:pt>
                <c:pt idx="616">
                  <c:v>0.10050000000000001</c:v>
                </c:pt>
                <c:pt idx="617">
                  <c:v>0.1009</c:v>
                </c:pt>
                <c:pt idx="618">
                  <c:v>9.5200000000000007E-2</c:v>
                </c:pt>
                <c:pt idx="619">
                  <c:v>9.5299999999999996E-2</c:v>
                </c:pt>
                <c:pt idx="620">
                  <c:v>9.1800000000000007E-2</c:v>
                </c:pt>
                <c:pt idx="621">
                  <c:v>9.1999999999999998E-2</c:v>
                </c:pt>
                <c:pt idx="622">
                  <c:v>8.9599999999999999E-2</c:v>
                </c:pt>
                <c:pt idx="623">
                  <c:v>9.1700000000000004E-2</c:v>
                </c:pt>
                <c:pt idx="624">
                  <c:v>9.1899999999999996E-2</c:v>
                </c:pt>
                <c:pt idx="625">
                  <c:v>9.1399999999999995E-2</c:v>
                </c:pt>
                <c:pt idx="626">
                  <c:v>9.06E-2</c:v>
                </c:pt>
                <c:pt idx="627">
                  <c:v>9.8799999999999999E-2</c:v>
                </c:pt>
                <c:pt idx="628">
                  <c:v>9.2200000000000004E-2</c:v>
                </c:pt>
                <c:pt idx="629">
                  <c:v>9.5899999999999999E-2</c:v>
                </c:pt>
                <c:pt idx="630">
                  <c:v>9.2200000000000004E-2</c:v>
                </c:pt>
                <c:pt idx="631">
                  <c:v>9.0300000000000005E-2</c:v>
                </c:pt>
                <c:pt idx="632">
                  <c:v>9.2600000000000002E-2</c:v>
                </c:pt>
                <c:pt idx="633">
                  <c:v>9.3799999999999994E-2</c:v>
                </c:pt>
                <c:pt idx="634">
                  <c:v>9.74E-2</c:v>
                </c:pt>
                <c:pt idx="635">
                  <c:v>0.1043</c:v>
                </c:pt>
                <c:pt idx="636">
                  <c:v>9.6699999999999994E-2</c:v>
                </c:pt>
                <c:pt idx="637">
                  <c:v>9.1800000000000007E-2</c:v>
                </c:pt>
                <c:pt idx="638">
                  <c:v>9.5000000000000001E-2</c:v>
                </c:pt>
                <c:pt idx="639">
                  <c:v>9.2200000000000004E-2</c:v>
                </c:pt>
                <c:pt idx="640">
                  <c:v>9.11E-2</c:v>
                </c:pt>
                <c:pt idx="641">
                  <c:v>9.3799999999999994E-2</c:v>
                </c:pt>
                <c:pt idx="642">
                  <c:v>8.9700000000000002E-2</c:v>
                </c:pt>
                <c:pt idx="643">
                  <c:v>8.8300000000000003E-2</c:v>
                </c:pt>
                <c:pt idx="644">
                  <c:v>8.5800000000000001E-2</c:v>
                </c:pt>
                <c:pt idx="645">
                  <c:v>8.5300000000000001E-2</c:v>
                </c:pt>
                <c:pt idx="646">
                  <c:v>8.3000000000000004E-2</c:v>
                </c:pt>
                <c:pt idx="647">
                  <c:v>8.5199999999999998E-2</c:v>
                </c:pt>
                <c:pt idx="648">
                  <c:v>8.5500000000000007E-2</c:v>
                </c:pt>
                <c:pt idx="649">
                  <c:v>8.6999999999999994E-2</c:v>
                </c:pt>
                <c:pt idx="650">
                  <c:v>8.4199999999999997E-2</c:v>
                </c:pt>
                <c:pt idx="651">
                  <c:v>8.48E-2</c:v>
                </c:pt>
                <c:pt idx="652">
                  <c:v>8.1299999999999997E-2</c:v>
                </c:pt>
                <c:pt idx="653">
                  <c:v>8.4099999999999994E-2</c:v>
                </c:pt>
                <c:pt idx="654">
                  <c:v>8.3199999999999996E-2</c:v>
                </c:pt>
                <c:pt idx="655">
                  <c:v>8.4900000000000003E-2</c:v>
                </c:pt>
                <c:pt idx="656">
                  <c:v>8.3000000000000004E-2</c:v>
                </c:pt>
                <c:pt idx="657">
                  <c:v>8.1799999999999998E-2</c:v>
                </c:pt>
                <c:pt idx="658">
                  <c:v>9.1200000000000003E-2</c:v>
                </c:pt>
                <c:pt idx="659">
                  <c:v>9.0999999999999998E-2</c:v>
                </c:pt>
                <c:pt idx="660">
                  <c:v>8.77E-2</c:v>
                </c:pt>
                <c:pt idx="661">
                  <c:v>8.9200000000000002E-2</c:v>
                </c:pt>
                <c:pt idx="662">
                  <c:v>8.4599999999999995E-2</c:v>
                </c:pt>
                <c:pt idx="663">
                  <c:v>8.5400000000000004E-2</c:v>
                </c:pt>
                <c:pt idx="664">
                  <c:v>8.4699999999999998E-2</c:v>
                </c:pt>
                <c:pt idx="665">
                  <c:v>8.4400000000000003E-2</c:v>
                </c:pt>
                <c:pt idx="666">
                  <c:v>8.2900000000000001E-2</c:v>
                </c:pt>
                <c:pt idx="667">
                  <c:v>8.3500000000000005E-2</c:v>
                </c:pt>
                <c:pt idx="668">
                  <c:v>8.3500000000000005E-2</c:v>
                </c:pt>
                <c:pt idx="669">
                  <c:v>7.8899999999999998E-2</c:v>
                </c:pt>
                <c:pt idx="670">
                  <c:v>7.8799999999999995E-2</c:v>
                </c:pt>
                <c:pt idx="671">
                  <c:v>7.9600000000000004E-2</c:v>
                </c:pt>
                <c:pt idx="672">
                  <c:v>8.3099999999999993E-2</c:v>
                </c:pt>
                <c:pt idx="673">
                  <c:v>8.1799999999999998E-2</c:v>
                </c:pt>
                <c:pt idx="674">
                  <c:v>8.2100000000000006E-2</c:v>
                </c:pt>
                <c:pt idx="675">
                  <c:v>7.9699999999999993E-2</c:v>
                </c:pt>
                <c:pt idx="676">
                  <c:v>7.22E-2</c:v>
                </c:pt>
                <c:pt idx="677">
                  <c:v>8.1799999999999998E-2</c:v>
                </c:pt>
                <c:pt idx="678">
                  <c:v>8.3299999999999999E-2</c:v>
                </c:pt>
                <c:pt idx="679">
                  <c:v>7.8399999999999997E-2</c:v>
                </c:pt>
                <c:pt idx="680">
                  <c:v>6.6500000000000004E-2</c:v>
                </c:pt>
                <c:pt idx="681">
                  <c:v>6.6900000000000001E-2</c:v>
                </c:pt>
                <c:pt idx="682">
                  <c:v>6.4500000000000002E-2</c:v>
                </c:pt>
                <c:pt idx="683">
                  <c:v>7.9600000000000004E-2</c:v>
                </c:pt>
                <c:pt idx="684">
                  <c:v>6.3700000000000007E-2</c:v>
                </c:pt>
                <c:pt idx="685">
                  <c:v>6.1600000000000002E-2</c:v>
                </c:pt>
                <c:pt idx="686">
                  <c:v>5.5399999999999998E-2</c:v>
                </c:pt>
                <c:pt idx="687">
                  <c:v>0.1106</c:v>
                </c:pt>
                <c:pt idx="688">
                  <c:v>0.1149</c:v>
                </c:pt>
                <c:pt idx="689">
                  <c:v>0.1145</c:v>
                </c:pt>
                <c:pt idx="690">
                  <c:v>0.1111</c:v>
                </c:pt>
                <c:pt idx="691">
                  <c:v>0.128</c:v>
                </c:pt>
                <c:pt idx="692">
                  <c:v>0.13550000000000001</c:v>
                </c:pt>
                <c:pt idx="693">
                  <c:v>0.13500000000000001</c:v>
                </c:pt>
                <c:pt idx="694">
                  <c:v>0.1308</c:v>
                </c:pt>
                <c:pt idx="695">
                  <c:v>0.13189999999999999</c:v>
                </c:pt>
                <c:pt idx="696">
                  <c:v>0.13500000000000001</c:v>
                </c:pt>
                <c:pt idx="697">
                  <c:v>0.12809999999999999</c:v>
                </c:pt>
                <c:pt idx="698">
                  <c:v>0.12540000000000001</c:v>
                </c:pt>
                <c:pt idx="699">
                  <c:v>0.12939999999999999</c:v>
                </c:pt>
                <c:pt idx="700">
                  <c:v>0.12920000000000001</c:v>
                </c:pt>
                <c:pt idx="701">
                  <c:v>0.12089999999999999</c:v>
                </c:pt>
                <c:pt idx="702">
                  <c:v>0.14180000000000001</c:v>
                </c:pt>
                <c:pt idx="703">
                  <c:v>0.15579999999999999</c:v>
                </c:pt>
                <c:pt idx="704">
                  <c:v>0.16800000000000001</c:v>
                </c:pt>
                <c:pt idx="705">
                  <c:v>0.16</c:v>
                </c:pt>
                <c:pt idx="706">
                  <c:v>0.16869999999999999</c:v>
                </c:pt>
                <c:pt idx="707">
                  <c:v>0.1628</c:v>
                </c:pt>
                <c:pt idx="708">
                  <c:v>0.1671</c:v>
                </c:pt>
                <c:pt idx="709">
                  <c:v>0.182</c:v>
                </c:pt>
                <c:pt idx="710">
                  <c:v>0.18129999999999999</c:v>
                </c:pt>
                <c:pt idx="711">
                  <c:v>0.19020000000000001</c:v>
                </c:pt>
                <c:pt idx="712">
                  <c:v>0.2142</c:v>
                </c:pt>
                <c:pt idx="713">
                  <c:v>0.21279999999999999</c:v>
                </c:pt>
                <c:pt idx="714">
                  <c:v>0.1948</c:v>
                </c:pt>
                <c:pt idx="715">
                  <c:v>0.18079999999999999</c:v>
                </c:pt>
                <c:pt idx="716">
                  <c:v>0.16070000000000001</c:v>
                </c:pt>
                <c:pt idx="717">
                  <c:v>0.15570000000000001</c:v>
                </c:pt>
                <c:pt idx="718">
                  <c:v>0.16209999999999999</c:v>
                </c:pt>
                <c:pt idx="719">
                  <c:v>0.1565</c:v>
                </c:pt>
                <c:pt idx="720">
                  <c:v>0.16139999999999999</c:v>
                </c:pt>
                <c:pt idx="721">
                  <c:v>0.16089999999999999</c:v>
                </c:pt>
                <c:pt idx="722">
                  <c:v>0.15840000000000001</c:v>
                </c:pt>
                <c:pt idx="723">
                  <c:v>0.15290000000000001</c:v>
                </c:pt>
                <c:pt idx="724">
                  <c:v>0.14399999999999999</c:v>
                </c:pt>
                <c:pt idx="725">
                  <c:v>0.1419</c:v>
                </c:pt>
                <c:pt idx="726">
                  <c:v>0.1404</c:v>
                </c:pt>
                <c:pt idx="727">
                  <c:v>0.1429</c:v>
                </c:pt>
                <c:pt idx="728">
                  <c:v>0.1244</c:v>
                </c:pt>
                <c:pt idx="729">
                  <c:v>0.1157</c:v>
                </c:pt>
                <c:pt idx="730">
                  <c:v>0.10829999999999999</c:v>
                </c:pt>
                <c:pt idx="731">
                  <c:v>0.10580000000000001</c:v>
                </c:pt>
                <c:pt idx="732">
                  <c:v>0.10539999999999999</c:v>
                </c:pt>
                <c:pt idx="733">
                  <c:v>0.1037</c:v>
                </c:pt>
                <c:pt idx="734">
                  <c:v>0.104</c:v>
                </c:pt>
                <c:pt idx="735">
                  <c:v>0.1087</c:v>
                </c:pt>
                <c:pt idx="736">
                  <c:v>0.107</c:v>
                </c:pt>
                <c:pt idx="737">
                  <c:v>0.1062</c:v>
                </c:pt>
                <c:pt idx="738">
                  <c:v>0.1043</c:v>
                </c:pt>
                <c:pt idx="739">
                  <c:v>0.1069</c:v>
                </c:pt>
                <c:pt idx="740">
                  <c:v>0.1128</c:v>
                </c:pt>
                <c:pt idx="741">
                  <c:v>0.11559999999999999</c:v>
                </c:pt>
                <c:pt idx="742">
                  <c:v>0.1116</c:v>
                </c:pt>
                <c:pt idx="743">
                  <c:v>0.1149</c:v>
                </c:pt>
                <c:pt idx="744">
                  <c:v>0.1132</c:v>
                </c:pt>
                <c:pt idx="745">
                  <c:v>0.1027</c:v>
                </c:pt>
                <c:pt idx="746">
                  <c:v>0.105</c:v>
                </c:pt>
                <c:pt idx="747">
                  <c:v>0.10390000000000001</c:v>
                </c:pt>
                <c:pt idx="748">
                  <c:v>9.9599999999999994E-2</c:v>
                </c:pt>
                <c:pt idx="749">
                  <c:v>9.9099999999999994E-2</c:v>
                </c:pt>
                <c:pt idx="750">
                  <c:v>0.1016</c:v>
                </c:pt>
                <c:pt idx="751">
                  <c:v>9.9699999999999997E-2</c:v>
                </c:pt>
                <c:pt idx="752">
                  <c:v>0.1024</c:v>
                </c:pt>
                <c:pt idx="753">
                  <c:v>9.98E-2</c:v>
                </c:pt>
                <c:pt idx="754">
                  <c:v>9.8100000000000007E-2</c:v>
                </c:pt>
                <c:pt idx="755">
                  <c:v>9.9500000000000005E-2</c:v>
                </c:pt>
                <c:pt idx="756">
                  <c:v>9.5000000000000001E-2</c:v>
                </c:pt>
                <c:pt idx="757">
                  <c:v>9.5600000000000004E-2</c:v>
                </c:pt>
                <c:pt idx="758">
                  <c:v>9.5100000000000004E-2</c:v>
                </c:pt>
                <c:pt idx="759">
                  <c:v>9.9299999999999999E-2</c:v>
                </c:pt>
                <c:pt idx="760">
                  <c:v>0.1013</c:v>
                </c:pt>
                <c:pt idx="761">
                  <c:v>9.9599999999999994E-2</c:v>
                </c:pt>
                <c:pt idx="762">
                  <c:v>0.10009999999999999</c:v>
                </c:pt>
                <c:pt idx="763">
                  <c:v>0.1016</c:v>
                </c:pt>
                <c:pt idx="764">
                  <c:v>0.1014</c:v>
                </c:pt>
                <c:pt idx="765">
                  <c:v>0.10440000000000001</c:v>
                </c:pt>
                <c:pt idx="766">
                  <c:v>0.10100000000000001</c:v>
                </c:pt>
                <c:pt idx="767">
                  <c:v>0.1043</c:v>
                </c:pt>
                <c:pt idx="768">
                  <c:v>0.1028</c:v>
                </c:pt>
                <c:pt idx="769">
                  <c:v>0.1072</c:v>
                </c:pt>
                <c:pt idx="770">
                  <c:v>0.1104</c:v>
                </c:pt>
                <c:pt idx="771">
                  <c:v>0.107</c:v>
                </c:pt>
                <c:pt idx="772">
                  <c:v>9.01E-2</c:v>
                </c:pt>
                <c:pt idx="773">
                  <c:v>9.5699999999999993E-2</c:v>
                </c:pt>
                <c:pt idx="774">
                  <c:v>0.1026</c:v>
                </c:pt>
                <c:pt idx="775">
                  <c:v>0.10050000000000001</c:v>
                </c:pt>
                <c:pt idx="776">
                  <c:v>0.1046</c:v>
                </c:pt>
                <c:pt idx="777">
                  <c:v>0.10199999999999999</c:v>
                </c:pt>
                <c:pt idx="778">
                  <c:v>0.1033</c:v>
                </c:pt>
                <c:pt idx="779">
                  <c:v>0.10150000000000001</c:v>
                </c:pt>
                <c:pt idx="780">
                  <c:v>0.1114</c:v>
                </c:pt>
                <c:pt idx="781">
                  <c:v>0.11799999999999999</c:v>
                </c:pt>
                <c:pt idx="782">
                  <c:v>0.11020000000000001</c:v>
                </c:pt>
                <c:pt idx="783">
                  <c:v>0.10929999999999999</c:v>
                </c:pt>
                <c:pt idx="784">
                  <c:v>0.1072</c:v>
                </c:pt>
                <c:pt idx="785">
                  <c:v>0.11070000000000001</c:v>
                </c:pt>
                <c:pt idx="786">
                  <c:v>0.11600000000000001</c:v>
                </c:pt>
                <c:pt idx="787">
                  <c:v>0.1125</c:v>
                </c:pt>
                <c:pt idx="788">
                  <c:v>0.1139</c:v>
                </c:pt>
                <c:pt idx="789">
                  <c:v>0.1142</c:v>
                </c:pt>
                <c:pt idx="790">
                  <c:v>0.1191</c:v>
                </c:pt>
                <c:pt idx="791">
                  <c:v>0.11700000000000001</c:v>
                </c:pt>
                <c:pt idx="792">
                  <c:v>0.12139999999999999</c:v>
                </c:pt>
                <c:pt idx="793">
                  <c:v>0.10979999999999999</c:v>
                </c:pt>
                <c:pt idx="794">
                  <c:v>0.10730000000000001</c:v>
                </c:pt>
                <c:pt idx="795">
                  <c:v>0.105</c:v>
                </c:pt>
                <c:pt idx="796">
                  <c:v>0.1159</c:v>
                </c:pt>
                <c:pt idx="797">
                  <c:v>0.1142</c:v>
                </c:pt>
                <c:pt idx="798">
                  <c:v>0.12429999999999999</c:v>
                </c:pt>
                <c:pt idx="799">
                  <c:v>0.1333</c:v>
                </c:pt>
                <c:pt idx="800">
                  <c:v>0.13039999999999999</c:v>
                </c:pt>
                <c:pt idx="801">
                  <c:v>0.1356</c:v>
                </c:pt>
                <c:pt idx="802">
                  <c:v>0.14530000000000001</c:v>
                </c:pt>
                <c:pt idx="803">
                  <c:v>0.14449999999999999</c:v>
                </c:pt>
                <c:pt idx="804">
                  <c:v>0.14499999999999999</c:v>
                </c:pt>
                <c:pt idx="805">
                  <c:v>0.14499999999999999</c:v>
                </c:pt>
                <c:pt idx="806">
                  <c:v>0.1502</c:v>
                </c:pt>
                <c:pt idx="807">
                  <c:v>0.14729999999999999</c:v>
                </c:pt>
                <c:pt idx="808">
                  <c:v>0.1459</c:v>
                </c:pt>
                <c:pt idx="809">
                  <c:v>0.15110000000000001</c:v>
                </c:pt>
                <c:pt idx="810">
                  <c:v>0.1467</c:v>
                </c:pt>
                <c:pt idx="811">
                  <c:v>0.1411</c:v>
                </c:pt>
                <c:pt idx="812">
                  <c:v>0.14849999999999999</c:v>
                </c:pt>
                <c:pt idx="813">
                  <c:v>0.15390000000000001</c:v>
                </c:pt>
                <c:pt idx="814">
                  <c:v>0.1555</c:v>
                </c:pt>
                <c:pt idx="815">
                  <c:v>0.15659999999999999</c:v>
                </c:pt>
                <c:pt idx="816">
                  <c:v>0.15859999999999999</c:v>
                </c:pt>
                <c:pt idx="817">
                  <c:v>0.159</c:v>
                </c:pt>
                <c:pt idx="818">
                  <c:v>0.15559999999999999</c:v>
                </c:pt>
                <c:pt idx="819">
                  <c:v>0.15790000000000001</c:v>
                </c:pt>
                <c:pt idx="820">
                  <c:v>0.16200000000000001</c:v>
                </c:pt>
                <c:pt idx="821">
                  <c:v>0.16589999999999999</c:v>
                </c:pt>
                <c:pt idx="822">
                  <c:v>0.15770000000000001</c:v>
                </c:pt>
                <c:pt idx="823">
                  <c:v>0.17319999999999999</c:v>
                </c:pt>
                <c:pt idx="824">
                  <c:v>0.13969999999999999</c:v>
                </c:pt>
                <c:pt idx="825">
                  <c:v>0.13439999999999999</c:v>
                </c:pt>
                <c:pt idx="826">
                  <c:v>0.128</c:v>
                </c:pt>
                <c:pt idx="827">
                  <c:v>0.1222</c:v>
                </c:pt>
                <c:pt idx="828">
                  <c:v>0.1305</c:v>
                </c:pt>
                <c:pt idx="829">
                  <c:v>0.13239999999999999</c:v>
                </c:pt>
                <c:pt idx="830">
                  <c:v>0.1336</c:v>
                </c:pt>
                <c:pt idx="831">
                  <c:v>0.1348</c:v>
                </c:pt>
                <c:pt idx="832">
                  <c:v>0.13389999999999999</c:v>
                </c:pt>
                <c:pt idx="833">
                  <c:v>0.1366</c:v>
                </c:pt>
                <c:pt idx="834">
                  <c:v>0.1356</c:v>
                </c:pt>
                <c:pt idx="835">
                  <c:v>0.1389</c:v>
                </c:pt>
                <c:pt idx="836">
                  <c:v>0.14749999999999999</c:v>
                </c:pt>
                <c:pt idx="837">
                  <c:v>0.14829999999999999</c:v>
                </c:pt>
                <c:pt idx="838">
                  <c:v>0.15690000000000001</c:v>
                </c:pt>
                <c:pt idx="839">
                  <c:v>0.16789999999999999</c:v>
                </c:pt>
                <c:pt idx="840">
                  <c:v>0.16020000000000001</c:v>
                </c:pt>
                <c:pt idx="841">
                  <c:v>0.1537</c:v>
                </c:pt>
                <c:pt idx="842">
                  <c:v>0.15709999999999999</c:v>
                </c:pt>
                <c:pt idx="843">
                  <c:v>0.15440000000000001</c:v>
                </c:pt>
                <c:pt idx="844">
                  <c:v>0.14460000000000001</c:v>
                </c:pt>
                <c:pt idx="845">
                  <c:v>0.1431</c:v>
                </c:pt>
                <c:pt idx="846">
                  <c:v>0.1331</c:v>
                </c:pt>
                <c:pt idx="847">
                  <c:v>0.13689999999999999</c:v>
                </c:pt>
                <c:pt idx="848">
                  <c:v>0.1409</c:v>
                </c:pt>
                <c:pt idx="849">
                  <c:v>0.13109999999999999</c:v>
                </c:pt>
                <c:pt idx="850">
                  <c:v>0.1318</c:v>
                </c:pt>
                <c:pt idx="851">
                  <c:v>0.1244</c:v>
                </c:pt>
                <c:pt idx="852">
                  <c:v>0.1285</c:v>
                </c:pt>
                <c:pt idx="853">
                  <c:v>0.13070000000000001</c:v>
                </c:pt>
                <c:pt idx="854">
                  <c:v>0.1232</c:v>
                </c:pt>
                <c:pt idx="855">
                  <c:v>0.1308</c:v>
                </c:pt>
                <c:pt idx="856">
                  <c:v>0.12809999999999999</c:v>
                </c:pt>
                <c:pt idx="857">
                  <c:v>0.1696</c:v>
                </c:pt>
                <c:pt idx="858">
                  <c:v>0.1749</c:v>
                </c:pt>
                <c:pt idx="859">
                  <c:v>0.1822</c:v>
                </c:pt>
                <c:pt idx="860">
                  <c:v>0.1862</c:v>
                </c:pt>
                <c:pt idx="861">
                  <c:v>0.19040000000000001</c:v>
                </c:pt>
                <c:pt idx="862">
                  <c:v>0.1835</c:v>
                </c:pt>
                <c:pt idx="863">
                  <c:v>0.17610000000000001</c:v>
                </c:pt>
                <c:pt idx="864">
                  <c:v>0.17530000000000001</c:v>
                </c:pt>
                <c:pt idx="865">
                  <c:v>0.1762</c:v>
                </c:pt>
                <c:pt idx="866">
                  <c:v>0.17519999999999999</c:v>
                </c:pt>
                <c:pt idx="867">
                  <c:v>0.17469999999999999</c:v>
                </c:pt>
                <c:pt idx="868">
                  <c:v>0.17449999999999999</c:v>
                </c:pt>
                <c:pt idx="869">
                  <c:v>0.17319999999999999</c:v>
                </c:pt>
                <c:pt idx="870">
                  <c:v>0.17499999999999999</c:v>
                </c:pt>
                <c:pt idx="871">
                  <c:v>0.17499999999999999</c:v>
                </c:pt>
                <c:pt idx="872">
                  <c:v>0.17749999999999999</c:v>
                </c:pt>
                <c:pt idx="873">
                  <c:v>0.17660000000000001</c:v>
                </c:pt>
                <c:pt idx="874">
                  <c:v>0.17330000000000001</c:v>
                </c:pt>
                <c:pt idx="875">
                  <c:v>0.17280000000000001</c:v>
                </c:pt>
                <c:pt idx="876">
                  <c:v>0.17230000000000001</c:v>
                </c:pt>
                <c:pt idx="877">
                  <c:v>0.1802</c:v>
                </c:pt>
                <c:pt idx="878">
                  <c:v>0.17929999999999999</c:v>
                </c:pt>
                <c:pt idx="879">
                  <c:v>0.18149999999999999</c:v>
                </c:pt>
                <c:pt idx="880">
                  <c:v>0.17299999999999999</c:v>
                </c:pt>
                <c:pt idx="881">
                  <c:v>0.1736</c:v>
                </c:pt>
                <c:pt idx="882">
                  <c:v>0.1706</c:v>
                </c:pt>
                <c:pt idx="883">
                  <c:v>0.1726</c:v>
                </c:pt>
                <c:pt idx="884">
                  <c:v>0.1842</c:v>
                </c:pt>
                <c:pt idx="885">
                  <c:v>0.19220000000000001</c:v>
                </c:pt>
                <c:pt idx="886">
                  <c:v>0.19600000000000001</c:v>
                </c:pt>
                <c:pt idx="887">
                  <c:v>0.19239999999999999</c:v>
                </c:pt>
                <c:pt idx="888">
                  <c:v>0.18090000000000001</c:v>
                </c:pt>
                <c:pt idx="889">
                  <c:v>0.17630000000000001</c:v>
                </c:pt>
                <c:pt idx="890">
                  <c:v>0.17230000000000001</c:v>
                </c:pt>
                <c:pt idx="891">
                  <c:v>0.18160000000000001</c:v>
                </c:pt>
                <c:pt idx="892">
                  <c:v>0.18820000000000001</c:v>
                </c:pt>
                <c:pt idx="893">
                  <c:v>0.1804</c:v>
                </c:pt>
                <c:pt idx="894">
                  <c:v>0.17730000000000001</c:v>
                </c:pt>
                <c:pt idx="895">
                  <c:v>0.17510000000000001</c:v>
                </c:pt>
                <c:pt idx="896">
                  <c:v>0.18090000000000001</c:v>
                </c:pt>
                <c:pt idx="897">
                  <c:v>0.18160000000000001</c:v>
                </c:pt>
                <c:pt idx="898">
                  <c:v>0.20300000000000001</c:v>
                </c:pt>
                <c:pt idx="899">
                  <c:v>0.2079</c:v>
                </c:pt>
                <c:pt idx="900">
                  <c:v>0.2112</c:v>
                </c:pt>
                <c:pt idx="901">
                  <c:v>0.2072</c:v>
                </c:pt>
                <c:pt idx="902">
                  <c:v>0.20660000000000001</c:v>
                </c:pt>
                <c:pt idx="903">
                  <c:v>0.21640000000000001</c:v>
                </c:pt>
                <c:pt idx="904">
                  <c:v>0.22409999999999999</c:v>
                </c:pt>
                <c:pt idx="905">
                  <c:v>0.22220000000000001</c:v>
                </c:pt>
                <c:pt idx="906">
                  <c:v>0.23749999999999999</c:v>
                </c:pt>
                <c:pt idx="907">
                  <c:v>0.23910000000000001</c:v>
                </c:pt>
                <c:pt idx="908">
                  <c:v>0.24840000000000001</c:v>
                </c:pt>
                <c:pt idx="909">
                  <c:v>0.2336</c:v>
                </c:pt>
                <c:pt idx="910">
                  <c:v>0.23480000000000001</c:v>
                </c:pt>
                <c:pt idx="911">
                  <c:v>0.2447</c:v>
                </c:pt>
                <c:pt idx="912">
                  <c:v>0.24529999999999999</c:v>
                </c:pt>
                <c:pt idx="913">
                  <c:v>0.2407</c:v>
                </c:pt>
                <c:pt idx="914">
                  <c:v>0.2319</c:v>
                </c:pt>
                <c:pt idx="915">
                  <c:v>0.23230000000000001</c:v>
                </c:pt>
                <c:pt idx="916">
                  <c:v>0.24590000000000001</c:v>
                </c:pt>
                <c:pt idx="917">
                  <c:v>0.24479999999999999</c:v>
                </c:pt>
                <c:pt idx="918">
                  <c:v>0.245</c:v>
                </c:pt>
                <c:pt idx="919">
                  <c:v>0.2515</c:v>
                </c:pt>
                <c:pt idx="920">
                  <c:v>0.25040000000000001</c:v>
                </c:pt>
                <c:pt idx="921">
                  <c:v>0.24390000000000001</c:v>
                </c:pt>
                <c:pt idx="922">
                  <c:v>0.25269999999999998</c:v>
                </c:pt>
                <c:pt idx="923">
                  <c:v>0.2485</c:v>
                </c:pt>
                <c:pt idx="924">
                  <c:v>0.2387</c:v>
                </c:pt>
                <c:pt idx="925">
                  <c:v>0.22370000000000001</c:v>
                </c:pt>
                <c:pt idx="926">
                  <c:v>0.21160000000000001</c:v>
                </c:pt>
                <c:pt idx="927">
                  <c:v>0.2472</c:v>
                </c:pt>
                <c:pt idx="928">
                  <c:v>0.24829999999999999</c:v>
                </c:pt>
                <c:pt idx="929">
                  <c:v>0.2893</c:v>
                </c:pt>
                <c:pt idx="930">
                  <c:v>0.31530000000000002</c:v>
                </c:pt>
                <c:pt idx="931">
                  <c:v>0.27439999999999998</c:v>
                </c:pt>
                <c:pt idx="932">
                  <c:v>0.31509999999999999</c:v>
                </c:pt>
                <c:pt idx="933">
                  <c:v>0.3427</c:v>
                </c:pt>
                <c:pt idx="934">
                  <c:v>0.35510000000000003</c:v>
                </c:pt>
                <c:pt idx="935">
                  <c:v>0.36299999999999999</c:v>
                </c:pt>
                <c:pt idx="936">
                  <c:v>0.35820000000000002</c:v>
                </c:pt>
                <c:pt idx="937">
                  <c:v>0.3513</c:v>
                </c:pt>
                <c:pt idx="938">
                  <c:v>0.35020000000000001</c:v>
                </c:pt>
                <c:pt idx="939">
                  <c:v>0.36730000000000002</c:v>
                </c:pt>
                <c:pt idx="940">
                  <c:v>0.36380000000000001</c:v>
                </c:pt>
                <c:pt idx="941">
                  <c:v>0.379</c:v>
                </c:pt>
                <c:pt idx="942">
                  <c:v>0.37740000000000001</c:v>
                </c:pt>
                <c:pt idx="943">
                  <c:v>0.39150000000000001</c:v>
                </c:pt>
                <c:pt idx="944">
                  <c:v>0.38619999999999999</c:v>
                </c:pt>
                <c:pt idx="945">
                  <c:v>0.37159999999999999</c:v>
                </c:pt>
                <c:pt idx="946">
                  <c:v>0.4249</c:v>
                </c:pt>
                <c:pt idx="947">
                  <c:v>0.44409999999999999</c:v>
                </c:pt>
                <c:pt idx="948">
                  <c:v>0.437</c:v>
                </c:pt>
                <c:pt idx="949">
                  <c:v>0.43809999999999999</c:v>
                </c:pt>
                <c:pt idx="950">
                  <c:v>0.44140000000000001</c:v>
                </c:pt>
                <c:pt idx="951">
                  <c:v>0.42930000000000001</c:v>
                </c:pt>
                <c:pt idx="952">
                  <c:v>0.43580000000000002</c:v>
                </c:pt>
                <c:pt idx="953">
                  <c:v>0.44979999999999998</c:v>
                </c:pt>
                <c:pt idx="954">
                  <c:v>0.4274</c:v>
                </c:pt>
                <c:pt idx="955">
                  <c:v>0.43169999999999997</c:v>
                </c:pt>
                <c:pt idx="956">
                  <c:v>0.42959999999999998</c:v>
                </c:pt>
                <c:pt idx="957">
                  <c:v>0.43070000000000003</c:v>
                </c:pt>
                <c:pt idx="958">
                  <c:v>0.42059999999999997</c:v>
                </c:pt>
                <c:pt idx="959">
                  <c:v>0.43540000000000001</c:v>
                </c:pt>
                <c:pt idx="960">
                  <c:v>0.4446</c:v>
                </c:pt>
                <c:pt idx="961">
                  <c:v>0.45019999999999999</c:v>
                </c:pt>
                <c:pt idx="962">
                  <c:v>0.43209999999999998</c:v>
                </c:pt>
                <c:pt idx="963">
                  <c:v>0.41549999999999998</c:v>
                </c:pt>
                <c:pt idx="964">
                  <c:v>0.43919999999999998</c:v>
                </c:pt>
                <c:pt idx="965">
                  <c:v>0.42359999999999998</c:v>
                </c:pt>
                <c:pt idx="966">
                  <c:v>0.41020000000000001</c:v>
                </c:pt>
                <c:pt idx="967">
                  <c:v>0.3901</c:v>
                </c:pt>
                <c:pt idx="968">
                  <c:v>0.38690000000000002</c:v>
                </c:pt>
                <c:pt idx="969">
                  <c:v>0.41760000000000003</c:v>
                </c:pt>
                <c:pt idx="970">
                  <c:v>0.44950000000000001</c:v>
                </c:pt>
                <c:pt idx="971">
                  <c:v>0.43980000000000002</c:v>
                </c:pt>
                <c:pt idx="972">
                  <c:v>0.4572</c:v>
                </c:pt>
                <c:pt idx="973">
                  <c:v>0.44590000000000002</c:v>
                </c:pt>
                <c:pt idx="974">
                  <c:v>0.49769999999999998</c:v>
                </c:pt>
                <c:pt idx="975">
                  <c:v>0.47899999999999998</c:v>
                </c:pt>
                <c:pt idx="976">
                  <c:v>0.48709999999999998</c:v>
                </c:pt>
                <c:pt idx="977">
                  <c:v>0.47039999999999998</c:v>
                </c:pt>
                <c:pt idx="978">
                  <c:v>0.47020000000000001</c:v>
                </c:pt>
                <c:pt idx="979">
                  <c:v>0.44359999999999999</c:v>
                </c:pt>
                <c:pt idx="980">
                  <c:v>0.44529999999999997</c:v>
                </c:pt>
                <c:pt idx="981">
                  <c:v>0.42799999999999999</c:v>
                </c:pt>
                <c:pt idx="982">
                  <c:v>0.43290000000000001</c:v>
                </c:pt>
                <c:pt idx="983">
                  <c:v>0.4279</c:v>
                </c:pt>
                <c:pt idx="984">
                  <c:v>0.40749999999999997</c:v>
                </c:pt>
                <c:pt idx="985">
                  <c:v>0.39660000000000001</c:v>
                </c:pt>
                <c:pt idx="986">
                  <c:v>0.38779999999999998</c:v>
                </c:pt>
                <c:pt idx="987">
                  <c:v>0.4209</c:v>
                </c:pt>
                <c:pt idx="988">
                  <c:v>0.44309999999999999</c:v>
                </c:pt>
                <c:pt idx="989">
                  <c:v>0.4007</c:v>
                </c:pt>
                <c:pt idx="990">
                  <c:v>0.36520000000000002</c:v>
                </c:pt>
                <c:pt idx="991">
                  <c:v>0.36470000000000002</c:v>
                </c:pt>
                <c:pt idx="992">
                  <c:v>0.38990000000000002</c:v>
                </c:pt>
                <c:pt idx="993">
                  <c:v>0.3795</c:v>
                </c:pt>
                <c:pt idx="994">
                  <c:v>0.35189999999999999</c:v>
                </c:pt>
                <c:pt idx="995">
                  <c:v>0.38790000000000002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7-4662-B255-E4D622F5D0E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-2.7532425705874832</c:v>
                </c:pt>
                <c:pt idx="1">
                  <c:v>-2.7520099149012092</c:v>
                </c:pt>
                <c:pt idx="2">
                  <c:v>-2.7526005301512089</c:v>
                </c:pt>
                <c:pt idx="3">
                  <c:v>-2.7581073304901915</c:v>
                </c:pt>
                <c:pt idx="4">
                  <c:v>-2.7552045476115938</c:v>
                </c:pt>
                <c:pt idx="5">
                  <c:v>-2.7163591897968322</c:v>
                </c:pt>
                <c:pt idx="6">
                  <c:v>-2.7173640340090004</c:v>
                </c:pt>
                <c:pt idx="7">
                  <c:v>-2.7075673433083636</c:v>
                </c:pt>
                <c:pt idx="8">
                  <c:v>-2.7020346411604761</c:v>
                </c:pt>
                <c:pt idx="9">
                  <c:v>-2.6995023577491053</c:v>
                </c:pt>
                <c:pt idx="10">
                  <c:v>-2.697990263258867</c:v>
                </c:pt>
                <c:pt idx="11">
                  <c:v>-2.6943127379424108</c:v>
                </c:pt>
                <c:pt idx="12">
                  <c:v>-2.698558891189164</c:v>
                </c:pt>
                <c:pt idx="13">
                  <c:v>-2.6808257447127373</c:v>
                </c:pt>
                <c:pt idx="14">
                  <c:v>-2.6863774925915247</c:v>
                </c:pt>
                <c:pt idx="15">
                  <c:v>-2.6838330125915246</c:v>
                </c:pt>
                <c:pt idx="16">
                  <c:v>-2.6899369701870306</c:v>
                </c:pt>
                <c:pt idx="17">
                  <c:v>-2.6933644489717525</c:v>
                </c:pt>
                <c:pt idx="18">
                  <c:v>-2.6937164135248772</c:v>
                </c:pt>
                <c:pt idx="19">
                  <c:v>-2.6964564923433212</c:v>
                </c:pt>
                <c:pt idx="20">
                  <c:v>-2.6893162310951357</c:v>
                </c:pt>
                <c:pt idx="21">
                  <c:v>-2.6651510462161037</c:v>
                </c:pt>
                <c:pt idx="22">
                  <c:v>-2.6676811237095763</c:v>
                </c:pt>
                <c:pt idx="23">
                  <c:v>-2.6625194211099554</c:v>
                </c:pt>
                <c:pt idx="24">
                  <c:v>-2.6583059399143036</c:v>
                </c:pt>
                <c:pt idx="25">
                  <c:v>-2.6570286873652842</c:v>
                </c:pt>
                <c:pt idx="26">
                  <c:v>-2.6456510985802373</c:v>
                </c:pt>
                <c:pt idx="27">
                  <c:v>-2.6406222443099674</c:v>
                </c:pt>
                <c:pt idx="28">
                  <c:v>-2.6388734527894995</c:v>
                </c:pt>
                <c:pt idx="29">
                  <c:v>-2.6427833027894994</c:v>
                </c:pt>
                <c:pt idx="30">
                  <c:v>-2.6386257681304088</c:v>
                </c:pt>
                <c:pt idx="31">
                  <c:v>-2.6329733092883036</c:v>
                </c:pt>
                <c:pt idx="32">
                  <c:v>-2.6303403420155758</c:v>
                </c:pt>
                <c:pt idx="33">
                  <c:v>-2.6341863572536712</c:v>
                </c:pt>
                <c:pt idx="34">
                  <c:v>-2.636220079253671</c:v>
                </c:pt>
                <c:pt idx="35">
                  <c:v>-2.6288034492536712</c:v>
                </c:pt>
                <c:pt idx="36">
                  <c:v>-2.6378541978278522</c:v>
                </c:pt>
                <c:pt idx="37">
                  <c:v>-2.6379833499442542</c:v>
                </c:pt>
                <c:pt idx="38">
                  <c:v>-2.6437542723462153</c:v>
                </c:pt>
                <c:pt idx="39">
                  <c:v>-2.645354120441453</c:v>
                </c:pt>
                <c:pt idx="40">
                  <c:v>-2.6432430914506275</c:v>
                </c:pt>
                <c:pt idx="41">
                  <c:v>-2.6464423057529531</c:v>
                </c:pt>
                <c:pt idx="42">
                  <c:v>-2.6493135181928786</c:v>
                </c:pt>
                <c:pt idx="43">
                  <c:v>-2.6417470081928789</c:v>
                </c:pt>
                <c:pt idx="44">
                  <c:v>-2.6521821450285787</c:v>
                </c:pt>
                <c:pt idx="45">
                  <c:v>-2.6526178268890441</c:v>
                </c:pt>
                <c:pt idx="46">
                  <c:v>-2.6473228805484981</c:v>
                </c:pt>
                <c:pt idx="47">
                  <c:v>-2.6500521424184167</c:v>
                </c:pt>
                <c:pt idx="48">
                  <c:v>-2.6499988680434168</c:v>
                </c:pt>
                <c:pt idx="49">
                  <c:v>-2.6444896120315997</c:v>
                </c:pt>
                <c:pt idx="50">
                  <c:v>-2.6389111495888518</c:v>
                </c:pt>
                <c:pt idx="51">
                  <c:v>-2.655407581754345</c:v>
                </c:pt>
                <c:pt idx="52">
                  <c:v>-2.6510381677625756</c:v>
                </c:pt>
                <c:pt idx="53">
                  <c:v>-2.6606408312753733</c:v>
                </c:pt>
                <c:pt idx="54">
                  <c:v>-2.6512595780070809</c:v>
                </c:pt>
                <c:pt idx="55">
                  <c:v>-2.6468605993419763</c:v>
                </c:pt>
                <c:pt idx="56">
                  <c:v>-2.6339076706862388</c:v>
                </c:pt>
                <c:pt idx="57">
                  <c:v>-2.6354289920596297</c:v>
                </c:pt>
                <c:pt idx="58">
                  <c:v>-2.635882895972673</c:v>
                </c:pt>
                <c:pt idx="59">
                  <c:v>-2.6347602826999457</c:v>
                </c:pt>
                <c:pt idx="60">
                  <c:v>-2.6398813034691759</c:v>
                </c:pt>
                <c:pt idx="61">
                  <c:v>-2.6448290251508579</c:v>
                </c:pt>
                <c:pt idx="62">
                  <c:v>-2.6462021800506759</c:v>
                </c:pt>
                <c:pt idx="63">
                  <c:v>-2.6444474267347688</c:v>
                </c:pt>
                <c:pt idx="64">
                  <c:v>-2.6599658671255728</c:v>
                </c:pt>
                <c:pt idx="65">
                  <c:v>-2.6574657349902662</c:v>
                </c:pt>
                <c:pt idx="66">
                  <c:v>-2.6643772016569329</c:v>
                </c:pt>
                <c:pt idx="67">
                  <c:v>-2.6555249442385973</c:v>
                </c:pt>
                <c:pt idx="68">
                  <c:v>-2.6548886415451878</c:v>
                </c:pt>
                <c:pt idx="69">
                  <c:v>-2.6669126615451884</c:v>
                </c:pt>
                <c:pt idx="70">
                  <c:v>-2.6916856758774355</c:v>
                </c:pt>
                <c:pt idx="71">
                  <c:v>-2.6811742536139458</c:v>
                </c:pt>
                <c:pt idx="72">
                  <c:v>-2.6992364720794191</c:v>
                </c:pt>
                <c:pt idx="73">
                  <c:v>-2.7014567070395605</c:v>
                </c:pt>
                <c:pt idx="74">
                  <c:v>-2.7045857189023059</c:v>
                </c:pt>
                <c:pt idx="75">
                  <c:v>-2.7083528356734656</c:v>
                </c:pt>
                <c:pt idx="76">
                  <c:v>-2.713449545803055</c:v>
                </c:pt>
                <c:pt idx="77">
                  <c:v>-2.7131977240445249</c:v>
                </c:pt>
                <c:pt idx="78">
                  <c:v>-2.7069044755103233</c:v>
                </c:pt>
                <c:pt idx="79">
                  <c:v>-2.694119157175745</c:v>
                </c:pt>
                <c:pt idx="80">
                  <c:v>-2.7067574205988825</c:v>
                </c:pt>
                <c:pt idx="81">
                  <c:v>-2.7120396052999132</c:v>
                </c:pt>
                <c:pt idx="82">
                  <c:v>-2.7163673071603789</c:v>
                </c:pt>
                <c:pt idx="83">
                  <c:v>-2.7222335242358504</c:v>
                </c:pt>
                <c:pt idx="84">
                  <c:v>-2.7126498835971278</c:v>
                </c:pt>
                <c:pt idx="85">
                  <c:v>-2.7262027151399852</c:v>
                </c:pt>
                <c:pt idx="86">
                  <c:v>-2.7426180523871762</c:v>
                </c:pt>
                <c:pt idx="87">
                  <c:v>-2.7547373063381295</c:v>
                </c:pt>
                <c:pt idx="88">
                  <c:v>-2.7458745638111028</c:v>
                </c:pt>
                <c:pt idx="89">
                  <c:v>-2.7732166934808737</c:v>
                </c:pt>
                <c:pt idx="90">
                  <c:v>-2.7920364164678868</c:v>
                </c:pt>
                <c:pt idx="91">
                  <c:v>-2.7999191122514082</c:v>
                </c:pt>
                <c:pt idx="92">
                  <c:v>-2.8278897669766829</c:v>
                </c:pt>
                <c:pt idx="93">
                  <c:v>-2.797756248956321</c:v>
                </c:pt>
                <c:pt idx="94">
                  <c:v>-2.7942113200879604</c:v>
                </c:pt>
                <c:pt idx="95">
                  <c:v>-2.7996869061653085</c:v>
                </c:pt>
                <c:pt idx="96">
                  <c:v>-2.7880164368083236</c:v>
                </c:pt>
                <c:pt idx="97">
                  <c:v>-2.7936244655158813</c:v>
                </c:pt>
                <c:pt idx="98">
                  <c:v>-2.80264414467349</c:v>
                </c:pt>
                <c:pt idx="99">
                  <c:v>-2.7991060052454135</c:v>
                </c:pt>
                <c:pt idx="100">
                  <c:v>-2.8104582992573008</c:v>
                </c:pt>
                <c:pt idx="101">
                  <c:v>-2.8161969202551318</c:v>
                </c:pt>
                <c:pt idx="102">
                  <c:v>-2.8308122226168049</c:v>
                </c:pt>
                <c:pt idx="103">
                  <c:v>-2.8362537101415572</c:v>
                </c:pt>
                <c:pt idx="104">
                  <c:v>-2.8523614324492494</c:v>
                </c:pt>
                <c:pt idx="105">
                  <c:v>-2.8273030144119313</c:v>
                </c:pt>
                <c:pt idx="106">
                  <c:v>-2.8391206936549587</c:v>
                </c:pt>
                <c:pt idx="107">
                  <c:v>-2.8624347123049589</c:v>
                </c:pt>
                <c:pt idx="108">
                  <c:v>-2.8667952749035108</c:v>
                </c:pt>
                <c:pt idx="109">
                  <c:v>-2.8644580677129685</c:v>
                </c:pt>
                <c:pt idx="110">
                  <c:v>-2.8502502355725001</c:v>
                </c:pt>
                <c:pt idx="111">
                  <c:v>-2.8249645781592512</c:v>
                </c:pt>
                <c:pt idx="112">
                  <c:v>-2.8367917439679231</c:v>
                </c:pt>
                <c:pt idx="113">
                  <c:v>-2.6536072619265085</c:v>
                </c:pt>
                <c:pt idx="114">
                  <c:v>-2.6448700353416523</c:v>
                </c:pt>
                <c:pt idx="115">
                  <c:v>-2.6250875494639927</c:v>
                </c:pt>
                <c:pt idx="116">
                  <c:v>-2.6235862435398221</c:v>
                </c:pt>
                <c:pt idx="117">
                  <c:v>-2.6367233059398223</c:v>
                </c:pt>
                <c:pt idx="118">
                  <c:v>-2.6374878274726687</c:v>
                </c:pt>
                <c:pt idx="119">
                  <c:v>-2.697978461228475</c:v>
                </c:pt>
                <c:pt idx="120">
                  <c:v>-2.7401396949340588</c:v>
                </c:pt>
                <c:pt idx="121">
                  <c:v>-2.7160014988754075</c:v>
                </c:pt>
                <c:pt idx="122">
                  <c:v>-2.7042951005659521</c:v>
                </c:pt>
                <c:pt idx="123">
                  <c:v>-2.6943330752336037</c:v>
                </c:pt>
                <c:pt idx="124">
                  <c:v>-2.6963346728575575</c:v>
                </c:pt>
                <c:pt idx="125">
                  <c:v>-2.6953593867818122</c:v>
                </c:pt>
                <c:pt idx="126">
                  <c:v>-2.7206623095182305</c:v>
                </c:pt>
                <c:pt idx="127">
                  <c:v>-2.7420821706049212</c:v>
                </c:pt>
                <c:pt idx="128">
                  <c:v>-2.7767779262437631</c:v>
                </c:pt>
                <c:pt idx="129">
                  <c:v>-2.7389701464637901</c:v>
                </c:pt>
                <c:pt idx="130">
                  <c:v>-2.721693527495705</c:v>
                </c:pt>
                <c:pt idx="131">
                  <c:v>-2.7104475645909427</c:v>
                </c:pt>
                <c:pt idx="132">
                  <c:v>-2.7223348981543594</c:v>
                </c:pt>
                <c:pt idx="133">
                  <c:v>-2.7298378879468905</c:v>
                </c:pt>
                <c:pt idx="134">
                  <c:v>-2.7344166788300814</c:v>
                </c:pt>
                <c:pt idx="135">
                  <c:v>-2.7490525480222825</c:v>
                </c:pt>
                <c:pt idx="136">
                  <c:v>-2.7607121148616605</c:v>
                </c:pt>
                <c:pt idx="137">
                  <c:v>-2.7633454595675424</c:v>
                </c:pt>
                <c:pt idx="138">
                  <c:v>-2.7724764068089223</c:v>
                </c:pt>
                <c:pt idx="139">
                  <c:v>-2.7838033767052952</c:v>
                </c:pt>
                <c:pt idx="140">
                  <c:v>-2.7807286353017866</c:v>
                </c:pt>
                <c:pt idx="141">
                  <c:v>-2.8208386353017869</c:v>
                </c:pt>
                <c:pt idx="142">
                  <c:v>-2.8562494347160348</c:v>
                </c:pt>
                <c:pt idx="143">
                  <c:v>-2.8572861170150636</c:v>
                </c:pt>
                <c:pt idx="144">
                  <c:v>-2.8562100672964892</c:v>
                </c:pt>
                <c:pt idx="145">
                  <c:v>-2.7265431743123076</c:v>
                </c:pt>
                <c:pt idx="146">
                  <c:v>-2.7829421570378399</c:v>
                </c:pt>
                <c:pt idx="147">
                  <c:v>-2.8030139051835352</c:v>
                </c:pt>
                <c:pt idx="148">
                  <c:v>-2.8211391762633471</c:v>
                </c:pt>
                <c:pt idx="149">
                  <c:v>-2.8464822862633472</c:v>
                </c:pt>
                <c:pt idx="150">
                  <c:v>-2.7632381734771889</c:v>
                </c:pt>
                <c:pt idx="151">
                  <c:v>-2.7506431427754348</c:v>
                </c:pt>
                <c:pt idx="152">
                  <c:v>-2.7674171022750964</c:v>
                </c:pt>
                <c:pt idx="153">
                  <c:v>-2.8031128544302697</c:v>
                </c:pt>
                <c:pt idx="154">
                  <c:v>-2.8608579227657862</c:v>
                </c:pt>
                <c:pt idx="155">
                  <c:v>-2.8085605816404144</c:v>
                </c:pt>
                <c:pt idx="156">
                  <c:v>-2.7604501707590887</c:v>
                </c:pt>
                <c:pt idx="157">
                  <c:v>-2.4123609384263762</c:v>
                </c:pt>
                <c:pt idx="158">
                  <c:v>-2.4304443947145917</c:v>
                </c:pt>
                <c:pt idx="159">
                  <c:v>-2.4303380188071291</c:v>
                </c:pt>
                <c:pt idx="160">
                  <c:v>-2.4339592694806154</c:v>
                </c:pt>
                <c:pt idx="161">
                  <c:v>-2.4539691509635424</c:v>
                </c:pt>
                <c:pt idx="162">
                  <c:v>-2.4737904135202591</c:v>
                </c:pt>
                <c:pt idx="163">
                  <c:v>-2.4758101193925572</c:v>
                </c:pt>
                <c:pt idx="164">
                  <c:v>-2.4586088535643298</c:v>
                </c:pt>
                <c:pt idx="165">
                  <c:v>-2.4426492393926149</c:v>
                </c:pt>
                <c:pt idx="166">
                  <c:v>-2.4583451764592819</c:v>
                </c:pt>
                <c:pt idx="167">
                  <c:v>-2.4533556562849181</c:v>
                </c:pt>
                <c:pt idx="168">
                  <c:v>-2.4751462019849182</c:v>
                </c:pt>
                <c:pt idx="169">
                  <c:v>-2.4627183172063067</c:v>
                </c:pt>
                <c:pt idx="170">
                  <c:v>-2.5010196655511754</c:v>
                </c:pt>
                <c:pt idx="171">
                  <c:v>-2.5148810343632966</c:v>
                </c:pt>
                <c:pt idx="172">
                  <c:v>-2.5281275772506882</c:v>
                </c:pt>
                <c:pt idx="173">
                  <c:v>-2.504215119558618</c:v>
                </c:pt>
                <c:pt idx="174">
                  <c:v>-2.5075192761052119</c:v>
                </c:pt>
                <c:pt idx="175">
                  <c:v>-2.5162028590877221</c:v>
                </c:pt>
                <c:pt idx="176">
                  <c:v>-2.5305739542682777</c:v>
                </c:pt>
                <c:pt idx="177">
                  <c:v>-2.5453492698581193</c:v>
                </c:pt>
                <c:pt idx="178">
                  <c:v>-2.5464601899787631</c:v>
                </c:pt>
                <c:pt idx="179">
                  <c:v>-2.5611052445921652</c:v>
                </c:pt>
                <c:pt idx="180">
                  <c:v>-2.5489702804323069</c:v>
                </c:pt>
                <c:pt idx="181">
                  <c:v>-2.5620022767096793</c:v>
                </c:pt>
                <c:pt idx="182">
                  <c:v>-2.5169072407253847</c:v>
                </c:pt>
                <c:pt idx="183">
                  <c:v>-2.572444159841095</c:v>
                </c:pt>
                <c:pt idx="184">
                  <c:v>-2.5637421602136854</c:v>
                </c:pt>
                <c:pt idx="185">
                  <c:v>-2.5985820575109391</c:v>
                </c:pt>
                <c:pt idx="186">
                  <c:v>-2.5528918625464407</c:v>
                </c:pt>
                <c:pt idx="187">
                  <c:v>-2.5650537681346481</c:v>
                </c:pt>
                <c:pt idx="188">
                  <c:v>-2.5701077825915264</c:v>
                </c:pt>
                <c:pt idx="189">
                  <c:v>-2.5828481212657968</c:v>
                </c:pt>
                <c:pt idx="190">
                  <c:v>-2.6027707647084828</c:v>
                </c:pt>
                <c:pt idx="191">
                  <c:v>-2.6297415901422179</c:v>
                </c:pt>
                <c:pt idx="192">
                  <c:v>-2.6222577649171663</c:v>
                </c:pt>
                <c:pt idx="193">
                  <c:v>-2.6158280741028808</c:v>
                </c:pt>
                <c:pt idx="194">
                  <c:v>-2.6140626794439523</c:v>
                </c:pt>
                <c:pt idx="195">
                  <c:v>-2.6070717977157969</c:v>
                </c:pt>
                <c:pt idx="196">
                  <c:v>-2.5924057091718624</c:v>
                </c:pt>
                <c:pt idx="197">
                  <c:v>-2.5766604799387229</c:v>
                </c:pt>
                <c:pt idx="198">
                  <c:v>-2.5682378204086382</c:v>
                </c:pt>
                <c:pt idx="199">
                  <c:v>-2.5872109424169816</c:v>
                </c:pt>
                <c:pt idx="200">
                  <c:v>-2.5795197824152818</c:v>
                </c:pt>
                <c:pt idx="201">
                  <c:v>-2.5982882133320699</c:v>
                </c:pt>
                <c:pt idx="202">
                  <c:v>-2.5904984194263112</c:v>
                </c:pt>
                <c:pt idx="203">
                  <c:v>-2.6145196769107328</c:v>
                </c:pt>
                <c:pt idx="204">
                  <c:v>-2.5878085526148471</c:v>
                </c:pt>
                <c:pt idx="205">
                  <c:v>-2.5607157113182248</c:v>
                </c:pt>
                <c:pt idx="206">
                  <c:v>-2.5821361773336093</c:v>
                </c:pt>
                <c:pt idx="207">
                  <c:v>-2.6130479938477964</c:v>
                </c:pt>
                <c:pt idx="208">
                  <c:v>-2.6450856823681086</c:v>
                </c:pt>
                <c:pt idx="209">
                  <c:v>-2.6751421224161329</c:v>
                </c:pt>
                <c:pt idx="210">
                  <c:v>-2.6916755977288442</c:v>
                </c:pt>
                <c:pt idx="211">
                  <c:v>-2.6584380329199999</c:v>
                </c:pt>
                <c:pt idx="212">
                  <c:v>-2.6820662340258825</c:v>
                </c:pt>
                <c:pt idx="213">
                  <c:v>-2.7341647173258825</c:v>
                </c:pt>
                <c:pt idx="214">
                  <c:v>-2.7648845958803845</c:v>
                </c:pt>
                <c:pt idx="215">
                  <c:v>-2.7941002900981062</c:v>
                </c:pt>
                <c:pt idx="216">
                  <c:v>-2.7998932553016358</c:v>
                </c:pt>
                <c:pt idx="217">
                  <c:v>-2.774804444468725</c:v>
                </c:pt>
                <c:pt idx="218">
                  <c:v>-2.8110193789557805</c:v>
                </c:pt>
                <c:pt idx="219">
                  <c:v>-2.8260491174712894</c:v>
                </c:pt>
                <c:pt idx="220">
                  <c:v>-2.8084354503337474</c:v>
                </c:pt>
                <c:pt idx="221">
                  <c:v>-2.7545805388824487</c:v>
                </c:pt>
                <c:pt idx="222">
                  <c:v>-2.7687073176488548</c:v>
                </c:pt>
                <c:pt idx="223">
                  <c:v>-2.7582709107577554</c:v>
                </c:pt>
                <c:pt idx="224">
                  <c:v>-2.7486185696965308</c:v>
                </c:pt>
                <c:pt idx="225">
                  <c:v>-2.7514674044830949</c:v>
                </c:pt>
                <c:pt idx="226">
                  <c:v>-2.7389444087877099</c:v>
                </c:pt>
                <c:pt idx="227">
                  <c:v>-2.7366417443736979</c:v>
                </c:pt>
                <c:pt idx="228">
                  <c:v>-2.73134659914018</c:v>
                </c:pt>
                <c:pt idx="229">
                  <c:v>-2.8071930883442682</c:v>
                </c:pt>
                <c:pt idx="230">
                  <c:v>-2.8016384852618361</c:v>
                </c:pt>
                <c:pt idx="231">
                  <c:v>-2.7680613216435397</c:v>
                </c:pt>
                <c:pt idx="232">
                  <c:v>-2.7523235278743496</c:v>
                </c:pt>
                <c:pt idx="233">
                  <c:v>-2.7647111010448211</c:v>
                </c:pt>
                <c:pt idx="234">
                  <c:v>-2.7788849353591201</c:v>
                </c:pt>
                <c:pt idx="235">
                  <c:v>-2.7333153300522568</c:v>
                </c:pt>
                <c:pt idx="236">
                  <c:v>-2.6328653787837184</c:v>
                </c:pt>
                <c:pt idx="237">
                  <c:v>-2.6244034568029901</c:v>
                </c:pt>
                <c:pt idx="238">
                  <c:v>-2.6199939351973351</c:v>
                </c:pt>
                <c:pt idx="239">
                  <c:v>-2.6251819673304859</c:v>
                </c:pt>
                <c:pt idx="240">
                  <c:v>-2.6275386524474209</c:v>
                </c:pt>
                <c:pt idx="241">
                  <c:v>-2.6106415857850847</c:v>
                </c:pt>
                <c:pt idx="242">
                  <c:v>-2.6604383807285905</c:v>
                </c:pt>
                <c:pt idx="243">
                  <c:v>-2.7393120736904981</c:v>
                </c:pt>
                <c:pt idx="244">
                  <c:v>-2.7127082943257923</c:v>
                </c:pt>
                <c:pt idx="245">
                  <c:v>-2.7002123256084878</c:v>
                </c:pt>
                <c:pt idx="246">
                  <c:v>-2.6589512603430112</c:v>
                </c:pt>
                <c:pt idx="247">
                  <c:v>-2.7467941761213894</c:v>
                </c:pt>
                <c:pt idx="248">
                  <c:v>-2.9762314489313524</c:v>
                </c:pt>
                <c:pt idx="249">
                  <c:v>-2.9305663756823801</c:v>
                </c:pt>
                <c:pt idx="250">
                  <c:v>-2.6501761805803392</c:v>
                </c:pt>
                <c:pt idx="251">
                  <c:v>-2.1839456433873665</c:v>
                </c:pt>
                <c:pt idx="252">
                  <c:v>-0.90126617782968288</c:v>
                </c:pt>
                <c:pt idx="253">
                  <c:v>-1.4044935520798998</c:v>
                </c:pt>
                <c:pt idx="254">
                  <c:v>-1.2752480340588666</c:v>
                </c:pt>
                <c:pt idx="255">
                  <c:v>-1.2545116652489812</c:v>
                </c:pt>
                <c:pt idx="256">
                  <c:v>-1.2395890723057748</c:v>
                </c:pt>
                <c:pt idx="257">
                  <c:v>-1.2389811664744164</c:v>
                </c:pt>
                <c:pt idx="258">
                  <c:v>-1.2284941023381468</c:v>
                </c:pt>
                <c:pt idx="259">
                  <c:v>-1.2120853891578369</c:v>
                </c:pt>
                <c:pt idx="260">
                  <c:v>-1.2344295694130032</c:v>
                </c:pt>
                <c:pt idx="261">
                  <c:v>-1.208256859029154</c:v>
                </c:pt>
                <c:pt idx="262">
                  <c:v>-1.2374692649549852</c:v>
                </c:pt>
                <c:pt idx="263">
                  <c:v>-1.2122923264501706</c:v>
                </c:pt>
                <c:pt idx="264">
                  <c:v>-1.2446905501215488</c:v>
                </c:pt>
                <c:pt idx="265">
                  <c:v>-1.2184499005547371</c:v>
                </c:pt>
                <c:pt idx="266">
                  <c:v>-1.1680158570244514</c:v>
                </c:pt>
                <c:pt idx="267">
                  <c:v>-1.2498431924508082</c:v>
                </c:pt>
                <c:pt idx="268">
                  <c:v>-1.3615532253212328</c:v>
                </c:pt>
                <c:pt idx="269">
                  <c:v>-1.3244414861910001</c:v>
                </c:pt>
                <c:pt idx="270">
                  <c:v>-1.3053737316509149</c:v>
                </c:pt>
                <c:pt idx="271">
                  <c:v>-1.3097147788098491</c:v>
                </c:pt>
                <c:pt idx="272">
                  <c:v>-1.3075806955912699</c:v>
                </c:pt>
                <c:pt idx="273">
                  <c:v>-1.2935392953287494</c:v>
                </c:pt>
                <c:pt idx="274">
                  <c:v>-1.3018662955757694</c:v>
                </c:pt>
                <c:pt idx="275">
                  <c:v>-1.3099115640261267</c:v>
                </c:pt>
                <c:pt idx="276">
                  <c:v>-1.363907187598796</c:v>
                </c:pt>
                <c:pt idx="277">
                  <c:v>-1.3931796130397991</c:v>
                </c:pt>
                <c:pt idx="278">
                  <c:v>-1.3956264009706745</c:v>
                </c:pt>
                <c:pt idx="279">
                  <c:v>-1.3928187352075074</c:v>
                </c:pt>
                <c:pt idx="280">
                  <c:v>-1.4682896967694323</c:v>
                </c:pt>
                <c:pt idx="281">
                  <c:v>-1.4062648161957843</c:v>
                </c:pt>
                <c:pt idx="282">
                  <c:v>-1.391094158654486</c:v>
                </c:pt>
                <c:pt idx="283">
                  <c:v>-1.4065926338702472</c:v>
                </c:pt>
                <c:pt idx="284">
                  <c:v>-1.3638419357371911</c:v>
                </c:pt>
                <c:pt idx="285">
                  <c:v>-1.4119198581804171</c:v>
                </c:pt>
                <c:pt idx="286">
                  <c:v>-1.3985601676724275</c:v>
                </c:pt>
                <c:pt idx="287">
                  <c:v>-1.461748950579814</c:v>
                </c:pt>
                <c:pt idx="288">
                  <c:v>-1.4793539273877088</c:v>
                </c:pt>
                <c:pt idx="289">
                  <c:v>-1.5136318649991156</c:v>
                </c:pt>
                <c:pt idx="290">
                  <c:v>-1.5168781934289339</c:v>
                </c:pt>
                <c:pt idx="291">
                  <c:v>-1.4436332939879872</c:v>
                </c:pt>
                <c:pt idx="292">
                  <c:v>-1.4292457250648614</c:v>
                </c:pt>
                <c:pt idx="293">
                  <c:v>-1.3912514217580956</c:v>
                </c:pt>
                <c:pt idx="294">
                  <c:v>-1.3581692103348397</c:v>
                </c:pt>
                <c:pt idx="295">
                  <c:v>-1.4429459259644331</c:v>
                </c:pt>
                <c:pt idx="296">
                  <c:v>-1.2986307162231112</c:v>
                </c:pt>
                <c:pt idx="297">
                  <c:v>-1.3042647976198385</c:v>
                </c:pt>
                <c:pt idx="298">
                  <c:v>-1.2923652203836717</c:v>
                </c:pt>
                <c:pt idx="299">
                  <c:v>-1.3535862777105492</c:v>
                </c:pt>
                <c:pt idx="300">
                  <c:v>-0.9264385465883932</c:v>
                </c:pt>
                <c:pt idx="301">
                  <c:v>-0.97193073728213264</c:v>
                </c:pt>
                <c:pt idx="302">
                  <c:v>-0.91826643690637066</c:v>
                </c:pt>
                <c:pt idx="303">
                  <c:v>-0.98013144578414846</c:v>
                </c:pt>
                <c:pt idx="304">
                  <c:v>-0.99879411593239398</c:v>
                </c:pt>
                <c:pt idx="305">
                  <c:v>-1.0493555997720598</c:v>
                </c:pt>
                <c:pt idx="306">
                  <c:v>-0.9965015125361133</c:v>
                </c:pt>
                <c:pt idx="307">
                  <c:v>-1.039640157088014</c:v>
                </c:pt>
                <c:pt idx="308">
                  <c:v>-1.0768874230474297</c:v>
                </c:pt>
                <c:pt idx="309">
                  <c:v>-1.0646400498082544</c:v>
                </c:pt>
                <c:pt idx="310">
                  <c:v>-1.0266747378082544</c:v>
                </c:pt>
                <c:pt idx="311">
                  <c:v>-1.1187778038554455</c:v>
                </c:pt>
                <c:pt idx="312">
                  <c:v>-0.97256000249684471</c:v>
                </c:pt>
                <c:pt idx="313">
                  <c:v>-1.0074150256766936</c:v>
                </c:pt>
                <c:pt idx="314">
                  <c:v>-0.94450072791156514</c:v>
                </c:pt>
                <c:pt idx="315">
                  <c:v>-0.93877629350822711</c:v>
                </c:pt>
                <c:pt idx="316">
                  <c:v>-0.9293036175387247</c:v>
                </c:pt>
                <c:pt idx="317">
                  <c:v>-0.9473396782438529</c:v>
                </c:pt>
                <c:pt idx="318">
                  <c:v>-0.97160746677252041</c:v>
                </c:pt>
                <c:pt idx="319">
                  <c:v>-0.95085864409888587</c:v>
                </c:pt>
                <c:pt idx="320">
                  <c:v>-0.93697737831308281</c:v>
                </c:pt>
                <c:pt idx="321">
                  <c:v>-0.97970381773482185</c:v>
                </c:pt>
                <c:pt idx="322">
                  <c:v>-0.98491050829063576</c:v>
                </c:pt>
                <c:pt idx="323">
                  <c:v>-0.93871304077202111</c:v>
                </c:pt>
                <c:pt idx="324">
                  <c:v>-0.95538354965409278</c:v>
                </c:pt>
                <c:pt idx="325">
                  <c:v>-1.0055182604691371</c:v>
                </c:pt>
                <c:pt idx="326">
                  <c:v>-0.99837498876785657</c:v>
                </c:pt>
                <c:pt idx="327">
                  <c:v>-1.0864807005898149</c:v>
                </c:pt>
                <c:pt idx="328">
                  <c:v>-0.83824056916308931</c:v>
                </c:pt>
                <c:pt idx="329">
                  <c:v>-0.96696901424403803</c:v>
                </c:pt>
                <c:pt idx="330">
                  <c:v>-0.97986398478994785</c:v>
                </c:pt>
                <c:pt idx="331">
                  <c:v>-1.0013189010459989</c:v>
                </c:pt>
                <c:pt idx="332">
                  <c:v>-1.0010476604323091</c:v>
                </c:pt>
                <c:pt idx="333">
                  <c:v>-1.0567064386736136</c:v>
                </c:pt>
                <c:pt idx="334">
                  <c:v>-1.1350900731223885</c:v>
                </c:pt>
                <c:pt idx="335">
                  <c:v>-1.1352247834702822</c:v>
                </c:pt>
                <c:pt idx="336">
                  <c:v>-1.1036439260058788</c:v>
                </c:pt>
                <c:pt idx="337">
                  <c:v>-0.91757185683387876</c:v>
                </c:pt>
                <c:pt idx="338">
                  <c:v>-0.8730297938344157</c:v>
                </c:pt>
                <c:pt idx="339">
                  <c:v>-0.84957621334260525</c:v>
                </c:pt>
                <c:pt idx="340">
                  <c:v>-0.82157047296009622</c:v>
                </c:pt>
                <c:pt idx="341">
                  <c:v>-0.13272746341597874</c:v>
                </c:pt>
                <c:pt idx="342">
                  <c:v>-0.15940235651597867</c:v>
                </c:pt>
                <c:pt idx="343">
                  <c:v>-0.21859592080934151</c:v>
                </c:pt>
                <c:pt idx="344">
                  <c:v>-0.25265740631934147</c:v>
                </c:pt>
                <c:pt idx="345">
                  <c:v>-0.27940657822887988</c:v>
                </c:pt>
                <c:pt idx="346">
                  <c:v>-0.36637429495583113</c:v>
                </c:pt>
                <c:pt idx="347">
                  <c:v>-0.36710193521833107</c:v>
                </c:pt>
                <c:pt idx="348">
                  <c:v>-0.32585624208018682</c:v>
                </c:pt>
                <c:pt idx="349">
                  <c:v>-0.35421514656304376</c:v>
                </c:pt>
                <c:pt idx="350">
                  <c:v>-0.41032007204762533</c:v>
                </c:pt>
                <c:pt idx="351">
                  <c:v>-0.49633894847723581</c:v>
                </c:pt>
                <c:pt idx="352">
                  <c:v>-0.43765844461968534</c:v>
                </c:pt>
                <c:pt idx="353">
                  <c:v>-0.50911672455558277</c:v>
                </c:pt>
                <c:pt idx="354">
                  <c:v>-0.56078172145495386</c:v>
                </c:pt>
                <c:pt idx="355">
                  <c:v>-0.56681574082572306</c:v>
                </c:pt>
                <c:pt idx="356">
                  <c:v>-0.54731065482167962</c:v>
                </c:pt>
                <c:pt idx="357">
                  <c:v>-0.60535374916919737</c:v>
                </c:pt>
                <c:pt idx="358">
                  <c:v>-0.61838219344517509</c:v>
                </c:pt>
                <c:pt idx="359">
                  <c:v>-0.62259945304517506</c:v>
                </c:pt>
                <c:pt idx="360">
                  <c:v>-0.63630601786731245</c:v>
                </c:pt>
                <c:pt idx="361">
                  <c:v>-0.64131310212286807</c:v>
                </c:pt>
                <c:pt idx="362">
                  <c:v>-0.64201601834867439</c:v>
                </c:pt>
                <c:pt idx="363">
                  <c:v>-0.63523782615932523</c:v>
                </c:pt>
                <c:pt idx="364">
                  <c:v>-0.63232858786503943</c:v>
                </c:pt>
                <c:pt idx="365">
                  <c:v>-0.64244659258352688</c:v>
                </c:pt>
                <c:pt idx="366">
                  <c:v>-0.62709779000606525</c:v>
                </c:pt>
                <c:pt idx="367">
                  <c:v>-0.63424357146725929</c:v>
                </c:pt>
                <c:pt idx="368">
                  <c:v>-0.62037833822804356</c:v>
                </c:pt>
                <c:pt idx="369">
                  <c:v>-0.61868327757751718</c:v>
                </c:pt>
                <c:pt idx="370">
                  <c:v>-0.63254874224716007</c:v>
                </c:pt>
                <c:pt idx="371">
                  <c:v>-0.64517348985772915</c:v>
                </c:pt>
                <c:pt idx="372">
                  <c:v>-0.62584081176849837</c:v>
                </c:pt>
                <c:pt idx="373">
                  <c:v>-0.6329770023916389</c:v>
                </c:pt>
                <c:pt idx="374">
                  <c:v>-0.62429495515587718</c:v>
                </c:pt>
                <c:pt idx="375">
                  <c:v>-0.65193081875156067</c:v>
                </c:pt>
                <c:pt idx="376">
                  <c:v>-0.65349745191038422</c:v>
                </c:pt>
                <c:pt idx="377">
                  <c:v>-0.65889163609429224</c:v>
                </c:pt>
                <c:pt idx="378">
                  <c:v>-0.66319489708482482</c:v>
                </c:pt>
                <c:pt idx="379">
                  <c:v>-0.66850552741911051</c:v>
                </c:pt>
                <c:pt idx="380">
                  <c:v>-0.68558748641483713</c:v>
                </c:pt>
                <c:pt idx="381">
                  <c:v>-0.66265593406670165</c:v>
                </c:pt>
                <c:pt idx="382">
                  <c:v>-0.74144781514708746</c:v>
                </c:pt>
                <c:pt idx="383">
                  <c:v>-0.73737954506798287</c:v>
                </c:pt>
                <c:pt idx="384">
                  <c:v>-0.75575400714258256</c:v>
                </c:pt>
                <c:pt idx="385">
                  <c:v>-0.757518909386378</c:v>
                </c:pt>
                <c:pt idx="386">
                  <c:v>-0.73965516206554494</c:v>
                </c:pt>
                <c:pt idx="387">
                  <c:v>-0.74928807094113536</c:v>
                </c:pt>
                <c:pt idx="388">
                  <c:v>-0.76340976573171138</c:v>
                </c:pt>
                <c:pt idx="389">
                  <c:v>-0.7663615067450803</c:v>
                </c:pt>
                <c:pt idx="390">
                  <c:v>-0.76692741667190967</c:v>
                </c:pt>
                <c:pt idx="391">
                  <c:v>-0.7552533527039097</c:v>
                </c:pt>
                <c:pt idx="392">
                  <c:v>-0.76058265466754593</c:v>
                </c:pt>
                <c:pt idx="393">
                  <c:v>-0.76396054523701973</c:v>
                </c:pt>
                <c:pt idx="394">
                  <c:v>-0.75867903602365061</c:v>
                </c:pt>
                <c:pt idx="395">
                  <c:v>-0.76196264574321582</c:v>
                </c:pt>
                <c:pt idx="396">
                  <c:v>-0.75640755114321589</c:v>
                </c:pt>
                <c:pt idx="397">
                  <c:v>-0.74902816663379568</c:v>
                </c:pt>
                <c:pt idx="398">
                  <c:v>-0.73603570280829222</c:v>
                </c:pt>
                <c:pt idx="399">
                  <c:v>-0.73431293537394104</c:v>
                </c:pt>
                <c:pt idx="400">
                  <c:v>-0.74420249783975567</c:v>
                </c:pt>
                <c:pt idx="401">
                  <c:v>-0.74011178738567018</c:v>
                </c:pt>
                <c:pt idx="402">
                  <c:v>-0.73885735976039546</c:v>
                </c:pt>
                <c:pt idx="403">
                  <c:v>-0.74198239075372874</c:v>
                </c:pt>
                <c:pt idx="404">
                  <c:v>-0.72888496904380518</c:v>
                </c:pt>
                <c:pt idx="405">
                  <c:v>-0.69618684707132794</c:v>
                </c:pt>
                <c:pt idx="406">
                  <c:v>-0.68649848078506837</c:v>
                </c:pt>
                <c:pt idx="407">
                  <c:v>-0.67597760974526755</c:v>
                </c:pt>
                <c:pt idx="408">
                  <c:v>-0.69500214340598176</c:v>
                </c:pt>
                <c:pt idx="409">
                  <c:v>-0.69011050415498831</c:v>
                </c:pt>
                <c:pt idx="410">
                  <c:v>-0.69414319092421917</c:v>
                </c:pt>
                <c:pt idx="411">
                  <c:v>-0.6865743436819407</c:v>
                </c:pt>
                <c:pt idx="412">
                  <c:v>-0.6903942928699407</c:v>
                </c:pt>
                <c:pt idx="413">
                  <c:v>-0.68550894063906498</c:v>
                </c:pt>
                <c:pt idx="414">
                  <c:v>-0.674275214394089</c:v>
                </c:pt>
                <c:pt idx="415">
                  <c:v>-0.71550488089916831</c:v>
                </c:pt>
                <c:pt idx="416">
                  <c:v>-0.68269872736687365</c:v>
                </c:pt>
                <c:pt idx="417">
                  <c:v>-0.67895676714299302</c:v>
                </c:pt>
                <c:pt idx="418">
                  <c:v>-0.70662455048509831</c:v>
                </c:pt>
                <c:pt idx="419">
                  <c:v>-0.72420293831843163</c:v>
                </c:pt>
                <c:pt idx="420">
                  <c:v>-0.6772913931914476</c:v>
                </c:pt>
                <c:pt idx="421">
                  <c:v>-0.66552059531827668</c:v>
                </c:pt>
                <c:pt idx="422">
                  <c:v>-0.65183431695899552</c:v>
                </c:pt>
                <c:pt idx="423">
                  <c:v>-0.60114210644392696</c:v>
                </c:pt>
                <c:pt idx="424">
                  <c:v>-0.58229395723507738</c:v>
                </c:pt>
                <c:pt idx="425">
                  <c:v>-0.4970175374661529</c:v>
                </c:pt>
                <c:pt idx="426">
                  <c:v>-0.68575593268752788</c:v>
                </c:pt>
                <c:pt idx="427">
                  <c:v>-0.61639400391169707</c:v>
                </c:pt>
                <c:pt idx="428">
                  <c:v>-6.2392661379001589E-2</c:v>
                </c:pt>
                <c:pt idx="429">
                  <c:v>-0.93756247048498975</c:v>
                </c:pt>
                <c:pt idx="430">
                  <c:v>-0.96044699669309785</c:v>
                </c:pt>
                <c:pt idx="431">
                  <c:v>-0.97221130499680142</c:v>
                </c:pt>
                <c:pt idx="432">
                  <c:v>-0.97067225645088961</c:v>
                </c:pt>
                <c:pt idx="433">
                  <c:v>-0.98516483278270761</c:v>
                </c:pt>
                <c:pt idx="434">
                  <c:v>-0.99024692382526092</c:v>
                </c:pt>
                <c:pt idx="435">
                  <c:v>-0.94384120271054228</c:v>
                </c:pt>
                <c:pt idx="436">
                  <c:v>-0.95500683644387563</c:v>
                </c:pt>
                <c:pt idx="437">
                  <c:v>-0.95364018876887569</c:v>
                </c:pt>
                <c:pt idx="438">
                  <c:v>-0.9565274381464266</c:v>
                </c:pt>
                <c:pt idx="439">
                  <c:v>-0.95477254160765102</c:v>
                </c:pt>
                <c:pt idx="440">
                  <c:v>-0.95541505488835277</c:v>
                </c:pt>
                <c:pt idx="441">
                  <c:v>-0.95656413757111136</c:v>
                </c:pt>
                <c:pt idx="442">
                  <c:v>-0.95533825995702681</c:v>
                </c:pt>
                <c:pt idx="443">
                  <c:v>-0.95027201642779613</c:v>
                </c:pt>
                <c:pt idx="444">
                  <c:v>-0.95208249854694493</c:v>
                </c:pt>
                <c:pt idx="445">
                  <c:v>-0.95634728246613698</c:v>
                </c:pt>
                <c:pt idx="446">
                  <c:v>-0.96377542150061968</c:v>
                </c:pt>
                <c:pt idx="447">
                  <c:v>-0.95359201430061968</c:v>
                </c:pt>
                <c:pt idx="448">
                  <c:v>-0.96519071818633395</c:v>
                </c:pt>
                <c:pt idx="449">
                  <c:v>-0.9667215938912519</c:v>
                </c:pt>
                <c:pt idx="450">
                  <c:v>-0.96686579002971351</c:v>
                </c:pt>
                <c:pt idx="451">
                  <c:v>-0.96446354996185635</c:v>
                </c:pt>
                <c:pt idx="452">
                  <c:v>-0.96065680449108704</c:v>
                </c:pt>
                <c:pt idx="453">
                  <c:v>-0.96335855159798356</c:v>
                </c:pt>
                <c:pt idx="454">
                  <c:v>-0.94642972876014575</c:v>
                </c:pt>
                <c:pt idx="455">
                  <c:v>-0.94484597583363983</c:v>
                </c:pt>
                <c:pt idx="456">
                  <c:v>-0.93952337259613983</c:v>
                </c:pt>
                <c:pt idx="457">
                  <c:v>-0.93611689852005275</c:v>
                </c:pt>
                <c:pt idx="458">
                  <c:v>-0.93374182213744406</c:v>
                </c:pt>
                <c:pt idx="459">
                  <c:v>-0.92963450787950008</c:v>
                </c:pt>
                <c:pt idx="460">
                  <c:v>-0.91797667932100957</c:v>
                </c:pt>
                <c:pt idx="461">
                  <c:v>-0.91980702619668508</c:v>
                </c:pt>
                <c:pt idx="462">
                  <c:v>-0.92015946650880631</c:v>
                </c:pt>
                <c:pt idx="463">
                  <c:v>-0.87558919225107057</c:v>
                </c:pt>
                <c:pt idx="464">
                  <c:v>-0.87578051505678489</c:v>
                </c:pt>
                <c:pt idx="465">
                  <c:v>-0.87425208719964198</c:v>
                </c:pt>
                <c:pt idx="466">
                  <c:v>-0.86767844106897551</c:v>
                </c:pt>
                <c:pt idx="467">
                  <c:v>-0.86717413730097537</c:v>
                </c:pt>
                <c:pt idx="468">
                  <c:v>-0.86258734894791433</c:v>
                </c:pt>
                <c:pt idx="469">
                  <c:v>-0.86178667829235867</c:v>
                </c:pt>
                <c:pt idx="470">
                  <c:v>-0.86323619540902541</c:v>
                </c:pt>
                <c:pt idx="471">
                  <c:v>-0.86171305203534121</c:v>
                </c:pt>
                <c:pt idx="472">
                  <c:v>-0.86146079005015608</c:v>
                </c:pt>
                <c:pt idx="473">
                  <c:v>-0.86361238399815599</c:v>
                </c:pt>
                <c:pt idx="474">
                  <c:v>-0.8540130046531561</c:v>
                </c:pt>
                <c:pt idx="475">
                  <c:v>-0.83770349482208817</c:v>
                </c:pt>
                <c:pt idx="476">
                  <c:v>-0.84674982590662429</c:v>
                </c:pt>
                <c:pt idx="477">
                  <c:v>-0.84206828070888406</c:v>
                </c:pt>
                <c:pt idx="478">
                  <c:v>-0.85019216970888423</c:v>
                </c:pt>
                <c:pt idx="479">
                  <c:v>-0.78850268046540595</c:v>
                </c:pt>
                <c:pt idx="480">
                  <c:v>-0.78769556849163558</c:v>
                </c:pt>
                <c:pt idx="481">
                  <c:v>-0.78769556849163558</c:v>
                </c:pt>
                <c:pt idx="482">
                  <c:v>-0.78204038879775795</c:v>
                </c:pt>
                <c:pt idx="483">
                  <c:v>-0.76752113943775779</c:v>
                </c:pt>
                <c:pt idx="484">
                  <c:v>-0.72030103551187941</c:v>
                </c:pt>
                <c:pt idx="485">
                  <c:v>-0.731909984715583</c:v>
                </c:pt>
                <c:pt idx="486">
                  <c:v>-0.74503710502400422</c:v>
                </c:pt>
                <c:pt idx="487">
                  <c:v>-0.73852760206400414</c:v>
                </c:pt>
                <c:pt idx="488">
                  <c:v>-0.73747039113344848</c:v>
                </c:pt>
                <c:pt idx="489">
                  <c:v>-0.73702035266981214</c:v>
                </c:pt>
                <c:pt idx="490">
                  <c:v>-0.74043734890079815</c:v>
                </c:pt>
                <c:pt idx="491">
                  <c:v>-0.74960076843829815</c:v>
                </c:pt>
                <c:pt idx="492">
                  <c:v>-0.74210240850984288</c:v>
                </c:pt>
                <c:pt idx="493">
                  <c:v>-0.70454125122917988</c:v>
                </c:pt>
                <c:pt idx="494">
                  <c:v>-0.68683871235884097</c:v>
                </c:pt>
                <c:pt idx="495">
                  <c:v>-0.67859095298384098</c:v>
                </c:pt>
                <c:pt idx="496">
                  <c:v>-0.67409129271414392</c:v>
                </c:pt>
                <c:pt idx="497">
                  <c:v>-0.66900671685888069</c:v>
                </c:pt>
                <c:pt idx="498">
                  <c:v>-0.6821288339212338</c:v>
                </c:pt>
                <c:pt idx="499">
                  <c:v>-0.66785147900193542</c:v>
                </c:pt>
                <c:pt idx="500">
                  <c:v>-0.65536722944404058</c:v>
                </c:pt>
                <c:pt idx="501">
                  <c:v>-0.65643250507604056</c:v>
                </c:pt>
                <c:pt idx="502">
                  <c:v>-0.65020604422132366</c:v>
                </c:pt>
                <c:pt idx="503">
                  <c:v>-0.64451599426404205</c:v>
                </c:pt>
                <c:pt idx="504">
                  <c:v>-0.66826335737460107</c:v>
                </c:pt>
                <c:pt idx="505">
                  <c:v>-0.67381471567597084</c:v>
                </c:pt>
                <c:pt idx="506">
                  <c:v>-0.59064128629345336</c:v>
                </c:pt>
                <c:pt idx="507">
                  <c:v>-0.61008028785894863</c:v>
                </c:pt>
                <c:pt idx="508">
                  <c:v>-0.61520502354985773</c:v>
                </c:pt>
                <c:pt idx="509">
                  <c:v>-0.62413399673613235</c:v>
                </c:pt>
                <c:pt idx="510">
                  <c:v>-0.60216655684176612</c:v>
                </c:pt>
                <c:pt idx="511">
                  <c:v>-0.62456997222641719</c:v>
                </c:pt>
                <c:pt idx="512">
                  <c:v>-0.60434846606753867</c:v>
                </c:pt>
                <c:pt idx="513">
                  <c:v>-0.59396329562317784</c:v>
                </c:pt>
                <c:pt idx="514">
                  <c:v>-0.59885880187223439</c:v>
                </c:pt>
                <c:pt idx="515">
                  <c:v>-0.58168571772983446</c:v>
                </c:pt>
                <c:pt idx="516">
                  <c:v>-0.58124244957658755</c:v>
                </c:pt>
                <c:pt idx="517">
                  <c:v>-0.58744805360992103</c:v>
                </c:pt>
                <c:pt idx="518">
                  <c:v>-0.58713844742756804</c:v>
                </c:pt>
                <c:pt idx="519">
                  <c:v>-0.57093285845745312</c:v>
                </c:pt>
                <c:pt idx="520">
                  <c:v>-0.57794263837305593</c:v>
                </c:pt>
                <c:pt idx="521">
                  <c:v>-0.5741060847352607</c:v>
                </c:pt>
                <c:pt idx="522">
                  <c:v>-0.5753281276250567</c:v>
                </c:pt>
                <c:pt idx="523">
                  <c:v>-0.59040752457085099</c:v>
                </c:pt>
                <c:pt idx="524">
                  <c:v>-0.62005455008425892</c:v>
                </c:pt>
                <c:pt idx="525">
                  <c:v>-0.54291479189399339</c:v>
                </c:pt>
                <c:pt idx="526">
                  <c:v>-0.58280978171311693</c:v>
                </c:pt>
                <c:pt idx="527">
                  <c:v>-0.57258941963513521</c:v>
                </c:pt>
                <c:pt idx="528">
                  <c:v>-0.57362874585829893</c:v>
                </c:pt>
                <c:pt idx="529">
                  <c:v>-0.54598686223012982</c:v>
                </c:pt>
                <c:pt idx="530">
                  <c:v>-0.58626334812109016</c:v>
                </c:pt>
                <c:pt idx="531">
                  <c:v>-0.58269392450680457</c:v>
                </c:pt>
                <c:pt idx="532">
                  <c:v>-0.59091168602169819</c:v>
                </c:pt>
                <c:pt idx="533">
                  <c:v>-0.61435816676145738</c:v>
                </c:pt>
                <c:pt idx="534">
                  <c:v>-0.63749757723153599</c:v>
                </c:pt>
                <c:pt idx="535">
                  <c:v>-0.61297962683108342</c:v>
                </c:pt>
                <c:pt idx="536">
                  <c:v>-0.65848338620608338</c:v>
                </c:pt>
                <c:pt idx="537">
                  <c:v>-0.69367824993489713</c:v>
                </c:pt>
                <c:pt idx="538">
                  <c:v>-0.72395733583006949</c:v>
                </c:pt>
                <c:pt idx="539">
                  <c:v>-0.72754288194425387</c:v>
                </c:pt>
                <c:pt idx="540">
                  <c:v>-0.72903016420117706</c:v>
                </c:pt>
                <c:pt idx="541">
                  <c:v>-0.7223773977878436</c:v>
                </c:pt>
                <c:pt idx="542">
                  <c:v>-0.71880793585761116</c:v>
                </c:pt>
                <c:pt idx="543">
                  <c:v>-0.70983804246367177</c:v>
                </c:pt>
                <c:pt idx="544">
                  <c:v>-0.71182167516743344</c:v>
                </c:pt>
                <c:pt idx="545">
                  <c:v>-0.71294444831345105</c:v>
                </c:pt>
                <c:pt idx="546">
                  <c:v>-0.71694111166900665</c:v>
                </c:pt>
                <c:pt idx="547">
                  <c:v>-0.70323023953404717</c:v>
                </c:pt>
                <c:pt idx="548">
                  <c:v>-0.68682232088586082</c:v>
                </c:pt>
                <c:pt idx="549">
                  <c:v>-0.6942559721719479</c:v>
                </c:pt>
                <c:pt idx="550">
                  <c:v>-0.69469043160142152</c:v>
                </c:pt>
                <c:pt idx="551">
                  <c:v>-0.68962246294427865</c:v>
                </c:pt>
                <c:pt idx="552">
                  <c:v>-0.69264073561094519</c:v>
                </c:pt>
                <c:pt idx="553">
                  <c:v>-0.68058044159863762</c:v>
                </c:pt>
                <c:pt idx="554">
                  <c:v>-0.66730682231432392</c:v>
                </c:pt>
                <c:pt idx="555">
                  <c:v>-0.67632261787314751</c:v>
                </c:pt>
                <c:pt idx="556">
                  <c:v>-0.68886591031217193</c:v>
                </c:pt>
                <c:pt idx="557">
                  <c:v>-0.67609367551217203</c:v>
                </c:pt>
                <c:pt idx="558">
                  <c:v>-0.66898588229035372</c:v>
                </c:pt>
                <c:pt idx="559">
                  <c:v>-0.66807449968547572</c:v>
                </c:pt>
                <c:pt idx="560">
                  <c:v>-0.67473556981986738</c:v>
                </c:pt>
                <c:pt idx="561">
                  <c:v>-0.66447101196560732</c:v>
                </c:pt>
                <c:pt idx="562">
                  <c:v>-0.61138300829060732</c:v>
                </c:pt>
                <c:pt idx="563">
                  <c:v>-0.62336373382457855</c:v>
                </c:pt>
                <c:pt idx="564">
                  <c:v>-0.60531855039795979</c:v>
                </c:pt>
                <c:pt idx="565">
                  <c:v>-0.59614902391945523</c:v>
                </c:pt>
                <c:pt idx="566">
                  <c:v>-0.61473026668476127</c:v>
                </c:pt>
                <c:pt idx="567">
                  <c:v>-0.61019392044532472</c:v>
                </c:pt>
                <c:pt idx="568">
                  <c:v>-0.60223968266749228</c:v>
                </c:pt>
                <c:pt idx="569">
                  <c:v>-0.62754033111877405</c:v>
                </c:pt>
                <c:pt idx="570">
                  <c:v>-0.57695016765321117</c:v>
                </c:pt>
                <c:pt idx="571">
                  <c:v>-0.52990763507277616</c:v>
                </c:pt>
                <c:pt idx="572">
                  <c:v>-0.48494330172576772</c:v>
                </c:pt>
                <c:pt idx="573">
                  <c:v>-0.4248296252664247</c:v>
                </c:pt>
                <c:pt idx="574">
                  <c:v>-0.36346973834025664</c:v>
                </c:pt>
                <c:pt idx="575">
                  <c:v>-0.28550876463391522</c:v>
                </c:pt>
                <c:pt idx="576">
                  <c:v>-0.3165827837001805</c:v>
                </c:pt>
                <c:pt idx="577">
                  <c:v>-0.1446052480154989</c:v>
                </c:pt>
                <c:pt idx="578">
                  <c:v>-0.33465362017236217</c:v>
                </c:pt>
                <c:pt idx="579">
                  <c:v>-0.45678223155098924</c:v>
                </c:pt>
                <c:pt idx="580">
                  <c:v>-0.40410232286321318</c:v>
                </c:pt>
                <c:pt idx="581">
                  <c:v>-0.54532298514851107</c:v>
                </c:pt>
                <c:pt idx="582">
                  <c:v>-0.58359156986549221</c:v>
                </c:pt>
                <c:pt idx="583">
                  <c:v>-0.58259375851795114</c:v>
                </c:pt>
                <c:pt idx="584">
                  <c:v>-0.49940005377648788</c:v>
                </c:pt>
                <c:pt idx="585">
                  <c:v>-0.50214113209521305</c:v>
                </c:pt>
                <c:pt idx="586">
                  <c:v>-0.51641482284878448</c:v>
                </c:pt>
                <c:pt idx="587">
                  <c:v>-0.50870659881369673</c:v>
                </c:pt>
                <c:pt idx="588">
                  <c:v>-0.49620877335464153</c:v>
                </c:pt>
                <c:pt idx="589">
                  <c:v>-0.5282479344385832</c:v>
                </c:pt>
                <c:pt idx="590">
                  <c:v>-0.55109925976651608</c:v>
                </c:pt>
                <c:pt idx="591">
                  <c:v>-0.55149597112780635</c:v>
                </c:pt>
                <c:pt idx="592">
                  <c:v>-0.5650619143578719</c:v>
                </c:pt>
                <c:pt idx="593">
                  <c:v>-0.55543804509700223</c:v>
                </c:pt>
                <c:pt idx="594">
                  <c:v>-0.54267756728777161</c:v>
                </c:pt>
                <c:pt idx="595">
                  <c:v>-0.56177274774601327</c:v>
                </c:pt>
                <c:pt idx="596">
                  <c:v>-0.53869617128842573</c:v>
                </c:pt>
                <c:pt idx="597">
                  <c:v>-0.53921823159086479</c:v>
                </c:pt>
                <c:pt idx="598">
                  <c:v>-0.55892495417910004</c:v>
                </c:pt>
                <c:pt idx="599">
                  <c:v>-0.5659994071298462</c:v>
                </c:pt>
                <c:pt idx="600">
                  <c:v>-0.56544556320915651</c:v>
                </c:pt>
                <c:pt idx="601">
                  <c:v>-0.57174234388115652</c:v>
                </c:pt>
                <c:pt idx="602">
                  <c:v>-0.56078588024602138</c:v>
                </c:pt>
                <c:pt idx="603">
                  <c:v>-0.56178012334766081</c:v>
                </c:pt>
                <c:pt idx="604">
                  <c:v>-0.53874201873203575</c:v>
                </c:pt>
                <c:pt idx="605">
                  <c:v>-0.53623724296098318</c:v>
                </c:pt>
                <c:pt idx="606">
                  <c:v>-0.53700970260498315</c:v>
                </c:pt>
                <c:pt idx="607">
                  <c:v>-0.52376701961439498</c:v>
                </c:pt>
                <c:pt idx="608">
                  <c:v>-0.52204122005341935</c:v>
                </c:pt>
                <c:pt idx="609">
                  <c:v>-0.51585347378116131</c:v>
                </c:pt>
                <c:pt idx="610">
                  <c:v>-0.50492570251878499</c:v>
                </c:pt>
                <c:pt idx="611">
                  <c:v>-0.36174211969534159</c:v>
                </c:pt>
                <c:pt idx="612">
                  <c:v>-0.25156400107584792</c:v>
                </c:pt>
                <c:pt idx="613">
                  <c:v>-0.26930107730903174</c:v>
                </c:pt>
                <c:pt idx="614">
                  <c:v>-0.24442963590903172</c:v>
                </c:pt>
                <c:pt idx="615">
                  <c:v>-0.23503609692903177</c:v>
                </c:pt>
                <c:pt idx="616">
                  <c:v>-0.18944461014478131</c:v>
                </c:pt>
                <c:pt idx="617">
                  <c:v>-0.19654074399832464</c:v>
                </c:pt>
                <c:pt idx="618">
                  <c:v>-0.19429608474565291</c:v>
                </c:pt>
                <c:pt idx="619">
                  <c:v>-0.1932267413456529</c:v>
                </c:pt>
                <c:pt idx="620">
                  <c:v>-0.20032211231454175</c:v>
                </c:pt>
                <c:pt idx="621">
                  <c:v>-0.19764922714787508</c:v>
                </c:pt>
                <c:pt idx="622">
                  <c:v>-0.19906841230463185</c:v>
                </c:pt>
                <c:pt idx="623">
                  <c:v>-0.19069460370293692</c:v>
                </c:pt>
                <c:pt idx="624">
                  <c:v>-0.19103037918035629</c:v>
                </c:pt>
                <c:pt idx="625">
                  <c:v>-0.19612949634035623</c:v>
                </c:pt>
                <c:pt idx="626">
                  <c:v>-0.1995366214653562</c:v>
                </c:pt>
                <c:pt idx="627">
                  <c:v>-0.18603919015265782</c:v>
                </c:pt>
                <c:pt idx="628">
                  <c:v>-0.16695946141914431</c:v>
                </c:pt>
                <c:pt idx="629">
                  <c:v>-0.15034410447368979</c:v>
                </c:pt>
                <c:pt idx="630">
                  <c:v>-0.14334890575498474</c:v>
                </c:pt>
                <c:pt idx="631">
                  <c:v>-0.15646817822306988</c:v>
                </c:pt>
                <c:pt idx="632">
                  <c:v>-0.15177715871943354</c:v>
                </c:pt>
                <c:pt idx="633">
                  <c:v>-0.14794932090957438</c:v>
                </c:pt>
                <c:pt idx="634">
                  <c:v>-0.15288643528290771</c:v>
                </c:pt>
                <c:pt idx="635">
                  <c:v>-0.15538472313359267</c:v>
                </c:pt>
                <c:pt idx="636">
                  <c:v>-0.16465379873359268</c:v>
                </c:pt>
                <c:pt idx="637">
                  <c:v>-0.16997339469478667</c:v>
                </c:pt>
                <c:pt idx="638">
                  <c:v>-0.15673923970600165</c:v>
                </c:pt>
                <c:pt idx="639">
                  <c:v>-0.16779970115761456</c:v>
                </c:pt>
                <c:pt idx="640">
                  <c:v>-0.1679784335541058</c:v>
                </c:pt>
                <c:pt idx="641">
                  <c:v>-0.16251453380025963</c:v>
                </c:pt>
                <c:pt idx="642">
                  <c:v>-0.170838577137609</c:v>
                </c:pt>
                <c:pt idx="643">
                  <c:v>-0.17268315289370656</c:v>
                </c:pt>
                <c:pt idx="644">
                  <c:v>-0.17786888925370659</c:v>
                </c:pt>
                <c:pt idx="645">
                  <c:v>-0.17804915921062969</c:v>
                </c:pt>
                <c:pt idx="646">
                  <c:v>-0.18077421858205825</c:v>
                </c:pt>
                <c:pt idx="647">
                  <c:v>-0.17616370207005824</c:v>
                </c:pt>
                <c:pt idx="648">
                  <c:v>-0.15157310243731487</c:v>
                </c:pt>
                <c:pt idx="649">
                  <c:v>-0.12842190835451234</c:v>
                </c:pt>
                <c:pt idx="650">
                  <c:v>-0.13178106351580263</c:v>
                </c:pt>
                <c:pt idx="651">
                  <c:v>-0.13143595639958641</c:v>
                </c:pt>
                <c:pt idx="652">
                  <c:v>-0.13508769913642851</c:v>
                </c:pt>
                <c:pt idx="653">
                  <c:v>-0.13221273676642853</c:v>
                </c:pt>
                <c:pt idx="654">
                  <c:v>-0.1315226535022776</c:v>
                </c:pt>
                <c:pt idx="655">
                  <c:v>-0.13161184858799185</c:v>
                </c:pt>
                <c:pt idx="656">
                  <c:v>-0.13185821210465851</c:v>
                </c:pt>
                <c:pt idx="657">
                  <c:v>-0.13137116784751565</c:v>
                </c:pt>
                <c:pt idx="658">
                  <c:v>-0.12584720244471193</c:v>
                </c:pt>
                <c:pt idx="659">
                  <c:v>-0.12541546795137859</c:v>
                </c:pt>
                <c:pt idx="660">
                  <c:v>-0.12836329645907091</c:v>
                </c:pt>
                <c:pt idx="661">
                  <c:v>-0.12561190610830167</c:v>
                </c:pt>
                <c:pt idx="662">
                  <c:v>-0.13250988651531923</c:v>
                </c:pt>
                <c:pt idx="663">
                  <c:v>-0.13446666100180571</c:v>
                </c:pt>
                <c:pt idx="664">
                  <c:v>-0.13603400483513906</c:v>
                </c:pt>
                <c:pt idx="665">
                  <c:v>-0.13677091105513903</c:v>
                </c:pt>
                <c:pt idx="666">
                  <c:v>-0.1361817346610214</c:v>
                </c:pt>
                <c:pt idx="667">
                  <c:v>-0.13921809713928229</c:v>
                </c:pt>
                <c:pt idx="668">
                  <c:v>-0.1042955604450294</c:v>
                </c:pt>
                <c:pt idx="669">
                  <c:v>-0.10861268394502942</c:v>
                </c:pt>
                <c:pt idx="670">
                  <c:v>-0.10474301517252943</c:v>
                </c:pt>
                <c:pt idx="671">
                  <c:v>-0.11010179240586274</c:v>
                </c:pt>
                <c:pt idx="672">
                  <c:v>-8.2157720159417261E-2</c:v>
                </c:pt>
                <c:pt idx="673">
                  <c:v>-8.569285961593899E-2</c:v>
                </c:pt>
                <c:pt idx="674">
                  <c:v>-8.6825060894252251E-2</c:v>
                </c:pt>
                <c:pt idx="675">
                  <c:v>-8.6577165257410146E-2</c:v>
                </c:pt>
                <c:pt idx="676">
                  <c:v>-9.3677832935891145E-2</c:v>
                </c:pt>
                <c:pt idx="677">
                  <c:v>-8.2830237435891144E-2</c:v>
                </c:pt>
                <c:pt idx="678">
                  <c:v>-7.997543917621372E-2</c:v>
                </c:pt>
                <c:pt idx="679">
                  <c:v>-5.1503328488243801E-2</c:v>
                </c:pt>
                <c:pt idx="680">
                  <c:v>-3.8171326602529518E-2</c:v>
                </c:pt>
                <c:pt idx="681">
                  <c:v>-4.1475597580654514E-2</c:v>
                </c:pt>
                <c:pt idx="682">
                  <c:v>-3.4339264250769469E-2</c:v>
                </c:pt>
                <c:pt idx="683">
                  <c:v>-1.8824473924843536E-2</c:v>
                </c:pt>
                <c:pt idx="684">
                  <c:v>2.0777346779935209E-2</c:v>
                </c:pt>
                <c:pt idx="685">
                  <c:v>2.0484729529087739E-2</c:v>
                </c:pt>
                <c:pt idx="686">
                  <c:v>9.9802823654513706E-3</c:v>
                </c:pt>
                <c:pt idx="687">
                  <c:v>2.5031637793620387E-2</c:v>
                </c:pt>
                <c:pt idx="688">
                  <c:v>2.4218677232627481E-2</c:v>
                </c:pt>
                <c:pt idx="689">
                  <c:v>2.330601625554414E-2</c:v>
                </c:pt>
                <c:pt idx="690">
                  <c:v>1.4762281017362305E-2</c:v>
                </c:pt>
                <c:pt idx="691">
                  <c:v>2.7350308006373291E-2</c:v>
                </c:pt>
                <c:pt idx="692">
                  <c:v>5.1953164538576638E-2</c:v>
                </c:pt>
                <c:pt idx="693">
                  <c:v>3.8264581638576586E-2</c:v>
                </c:pt>
                <c:pt idx="694">
                  <c:v>3.782506284509831E-2</c:v>
                </c:pt>
                <c:pt idx="695">
                  <c:v>3.7315407758796951E-2</c:v>
                </c:pt>
                <c:pt idx="696">
                  <c:v>3.9589948735989942E-2</c:v>
                </c:pt>
                <c:pt idx="697">
                  <c:v>3.6160367462158165E-2</c:v>
                </c:pt>
                <c:pt idx="698">
                  <c:v>3.6494634467312805E-2</c:v>
                </c:pt>
                <c:pt idx="699">
                  <c:v>4.2097764682407127E-2</c:v>
                </c:pt>
                <c:pt idx="700">
                  <c:v>3.9355415005323829E-2</c:v>
                </c:pt>
                <c:pt idx="701">
                  <c:v>3.6706863007955393E-2</c:v>
                </c:pt>
                <c:pt idx="702">
                  <c:v>4.3850542352743035E-2</c:v>
                </c:pt>
                <c:pt idx="703">
                  <c:v>5.8296478076880945E-2</c:v>
                </c:pt>
                <c:pt idx="704">
                  <c:v>7.1341669780584649E-2</c:v>
                </c:pt>
                <c:pt idx="705">
                  <c:v>5.484838198058465E-2</c:v>
                </c:pt>
                <c:pt idx="706">
                  <c:v>7.0739209580584647E-2</c:v>
                </c:pt>
                <c:pt idx="707">
                  <c:v>6.9384324388427815E-2</c:v>
                </c:pt>
                <c:pt idx="708">
                  <c:v>7.0683750136999221E-2</c:v>
                </c:pt>
                <c:pt idx="709">
                  <c:v>7.9447910974761476E-2</c:v>
                </c:pt>
                <c:pt idx="710">
                  <c:v>7.7528888017458095E-2</c:v>
                </c:pt>
                <c:pt idx="711">
                  <c:v>7.3651854835001987E-2</c:v>
                </c:pt>
                <c:pt idx="712">
                  <c:v>8.6538331394385007E-2</c:v>
                </c:pt>
                <c:pt idx="713">
                  <c:v>0.12576452734619223</c:v>
                </c:pt>
                <c:pt idx="714">
                  <c:v>0.10641796216762082</c:v>
                </c:pt>
                <c:pt idx="715">
                  <c:v>8.9125394809676892E-2</c:v>
                </c:pt>
                <c:pt idx="716">
                  <c:v>7.9719592527575753E-2</c:v>
                </c:pt>
                <c:pt idx="717">
                  <c:v>7.4152499785001491E-2</c:v>
                </c:pt>
                <c:pt idx="718">
                  <c:v>7.3846936720557019E-2</c:v>
                </c:pt>
                <c:pt idx="719">
                  <c:v>7.2177766671303309E-2</c:v>
                </c:pt>
                <c:pt idx="720">
                  <c:v>7.2375327697471514E-2</c:v>
                </c:pt>
                <c:pt idx="721">
                  <c:v>7.1597688722471547E-2</c:v>
                </c:pt>
                <c:pt idx="722">
                  <c:v>6.7651944030163863E-2</c:v>
                </c:pt>
                <c:pt idx="723">
                  <c:v>6.4451966574163869E-2</c:v>
                </c:pt>
                <c:pt idx="724">
                  <c:v>5.9328936257903683E-2</c:v>
                </c:pt>
                <c:pt idx="725">
                  <c:v>5.9754034487315477E-2</c:v>
                </c:pt>
                <c:pt idx="726">
                  <c:v>5.9135849655356724E-2</c:v>
                </c:pt>
                <c:pt idx="727">
                  <c:v>5.7417832008368759E-2</c:v>
                </c:pt>
                <c:pt idx="728">
                  <c:v>3.2756956154314704E-2</c:v>
                </c:pt>
                <c:pt idx="729">
                  <c:v>1.5639022280981383E-2</c:v>
                </c:pt>
                <c:pt idx="730">
                  <c:v>1.1152793878940576E-2</c:v>
                </c:pt>
                <c:pt idx="731">
                  <c:v>4.2409443691367177E-3</c:v>
                </c:pt>
                <c:pt idx="732">
                  <c:v>3.3419111001711747E-3</c:v>
                </c:pt>
                <c:pt idx="733">
                  <c:v>-4.0124337515529355E-3</c:v>
                </c:pt>
                <c:pt idx="734">
                  <c:v>-1.7379245239667119E-3</c:v>
                </c:pt>
                <c:pt idx="735">
                  <c:v>2.6394407317710182E-3</c:v>
                </c:pt>
                <c:pt idx="736">
                  <c:v>-5.8543221786767873E-3</c:v>
                </c:pt>
                <c:pt idx="737">
                  <c:v>-1.7829724378676786E-2</c:v>
                </c:pt>
                <c:pt idx="738">
                  <c:v>-2.0223936925188417E-2</c:v>
                </c:pt>
                <c:pt idx="739">
                  <c:v>-1.9341075336726899E-2</c:v>
                </c:pt>
                <c:pt idx="740">
                  <c:v>-1.6755125238326892E-2</c:v>
                </c:pt>
                <c:pt idx="741">
                  <c:v>-1.4296886571660219E-2</c:v>
                </c:pt>
                <c:pt idx="742">
                  <c:v>-2.0825809894240859E-2</c:v>
                </c:pt>
                <c:pt idx="743">
                  <c:v>-2.1675309353144972E-2</c:v>
                </c:pt>
                <c:pt idx="744">
                  <c:v>-2.3808988328754756E-2</c:v>
                </c:pt>
                <c:pt idx="745">
                  <c:v>-3.8976503882600884E-2</c:v>
                </c:pt>
                <c:pt idx="746">
                  <c:v>-3.9431702254693897E-2</c:v>
                </c:pt>
                <c:pt idx="747">
                  <c:v>-3.7562639636512067E-2</c:v>
                </c:pt>
                <c:pt idx="748">
                  <c:v>-3.5516118346268166E-2</c:v>
                </c:pt>
                <c:pt idx="749">
                  <c:v>-3.0219577600813601E-2</c:v>
                </c:pt>
                <c:pt idx="750">
                  <c:v>-1.9014401627193964E-2</c:v>
                </c:pt>
                <c:pt idx="751">
                  <c:v>-2.0395121438004774E-2</c:v>
                </c:pt>
                <c:pt idx="752">
                  <c:v>-1.5969991489433337E-2</c:v>
                </c:pt>
                <c:pt idx="753">
                  <c:v>-1.5102502501198049E-2</c:v>
                </c:pt>
                <c:pt idx="754">
                  <c:v>-1.4451548031501078E-2</c:v>
                </c:pt>
                <c:pt idx="755">
                  <c:v>-1.1162168231501079E-2</c:v>
                </c:pt>
                <c:pt idx="756">
                  <c:v>-1.3581794696365945E-2</c:v>
                </c:pt>
                <c:pt idx="757">
                  <c:v>-1.2030599123638677E-2</c:v>
                </c:pt>
                <c:pt idx="758">
                  <c:v>-6.7885909053288394E-3</c:v>
                </c:pt>
                <c:pt idx="759">
                  <c:v>-4.3999688357636256E-3</c:v>
                </c:pt>
                <c:pt idx="760">
                  <c:v>-2.8397285096766652E-3</c:v>
                </c:pt>
                <c:pt idx="761">
                  <c:v>-3.3822676096766711E-3</c:v>
                </c:pt>
                <c:pt idx="762">
                  <c:v>-2.5949265278584696E-3</c:v>
                </c:pt>
                <c:pt idx="763">
                  <c:v>-9.8505693694936661E-4</c:v>
                </c:pt>
                <c:pt idx="764">
                  <c:v>-3.5932538361602373E-4</c:v>
                </c:pt>
                <c:pt idx="765">
                  <c:v>4.0942113217344784E-4</c:v>
                </c:pt>
                <c:pt idx="766">
                  <c:v>-2.8009152088778093E-4</c:v>
                </c:pt>
                <c:pt idx="767">
                  <c:v>4.4303679874455404E-3</c:v>
                </c:pt>
                <c:pt idx="768">
                  <c:v>-3.4685148823016318E-4</c:v>
                </c:pt>
                <c:pt idx="769">
                  <c:v>5.6014508040775259E-3</c:v>
                </c:pt>
                <c:pt idx="770">
                  <c:v>2.1205263064077513E-2</c:v>
                </c:pt>
                <c:pt idx="771">
                  <c:v>2.9024891957544853E-2</c:v>
                </c:pt>
                <c:pt idx="772">
                  <c:v>2.3845371222457133E-2</c:v>
                </c:pt>
                <c:pt idx="773">
                  <c:v>2.5452925001677913E-2</c:v>
                </c:pt>
                <c:pt idx="774">
                  <c:v>2.9043163251192484E-2</c:v>
                </c:pt>
                <c:pt idx="775">
                  <c:v>2.8982420642681847E-2</c:v>
                </c:pt>
                <c:pt idx="776">
                  <c:v>3.0257972932337018E-2</c:v>
                </c:pt>
                <c:pt idx="777">
                  <c:v>3.0209033549837023E-2</c:v>
                </c:pt>
                <c:pt idx="778">
                  <c:v>2.9934849268018843E-2</c:v>
                </c:pt>
                <c:pt idx="779">
                  <c:v>2.9574728586623494E-2</c:v>
                </c:pt>
                <c:pt idx="780">
                  <c:v>3.8283954296459533E-2</c:v>
                </c:pt>
                <c:pt idx="781">
                  <c:v>4.3176485414237312E-2</c:v>
                </c:pt>
                <c:pt idx="782">
                  <c:v>5.4301788777126839E-2</c:v>
                </c:pt>
                <c:pt idx="783">
                  <c:v>5.3810619437126832E-2</c:v>
                </c:pt>
                <c:pt idx="784">
                  <c:v>5.1722717563793506E-2</c:v>
                </c:pt>
                <c:pt idx="785">
                  <c:v>5.2771543104534253E-2</c:v>
                </c:pt>
                <c:pt idx="786">
                  <c:v>5.5096053152534248E-2</c:v>
                </c:pt>
                <c:pt idx="787">
                  <c:v>5.5301666005867577E-2</c:v>
                </c:pt>
                <c:pt idx="788">
                  <c:v>5.4981989900413024E-2</c:v>
                </c:pt>
                <c:pt idx="789">
                  <c:v>5.5238281571841595E-2</c:v>
                </c:pt>
                <c:pt idx="790">
                  <c:v>5.6430180048032075E-2</c:v>
                </c:pt>
                <c:pt idx="791">
                  <c:v>5.2542161894840608E-2</c:v>
                </c:pt>
                <c:pt idx="792">
                  <c:v>5.679884400607655E-2</c:v>
                </c:pt>
                <c:pt idx="793">
                  <c:v>5.50096424661526E-2</c:v>
                </c:pt>
                <c:pt idx="794">
                  <c:v>5.3448694216152594E-2</c:v>
                </c:pt>
                <c:pt idx="795">
                  <c:v>4.9833760718244649E-2</c:v>
                </c:pt>
                <c:pt idx="796">
                  <c:v>5.1978879612157691E-2</c:v>
                </c:pt>
                <c:pt idx="797">
                  <c:v>4.9866354400392984E-2</c:v>
                </c:pt>
                <c:pt idx="798">
                  <c:v>5.0088783767739925E-2</c:v>
                </c:pt>
                <c:pt idx="799">
                  <c:v>5.0991733994766947E-2</c:v>
                </c:pt>
                <c:pt idx="800">
                  <c:v>5.0757014286658832E-2</c:v>
                </c:pt>
                <c:pt idx="801">
                  <c:v>5.4221040282457174E-2</c:v>
                </c:pt>
                <c:pt idx="802">
                  <c:v>5.6147840358647651E-2</c:v>
                </c:pt>
                <c:pt idx="803">
                  <c:v>5.5034568651330565E-2</c:v>
                </c:pt>
                <c:pt idx="804">
                  <c:v>5.4924437259330577E-2</c:v>
                </c:pt>
                <c:pt idx="805">
                  <c:v>5.3434576243541108E-2</c:v>
                </c:pt>
                <c:pt idx="806">
                  <c:v>5.5535964082866977E-2</c:v>
                </c:pt>
                <c:pt idx="807">
                  <c:v>5.3029910433613242E-2</c:v>
                </c:pt>
                <c:pt idx="808">
                  <c:v>5.3614446266197532E-2</c:v>
                </c:pt>
                <c:pt idx="809">
                  <c:v>5.4118748627308637E-2</c:v>
                </c:pt>
                <c:pt idx="810">
                  <c:v>5.0651729284641948E-2</c:v>
                </c:pt>
                <c:pt idx="811">
                  <c:v>4.6432938173530849E-2</c:v>
                </c:pt>
                <c:pt idx="812">
                  <c:v>4.7321895943267689E-2</c:v>
                </c:pt>
                <c:pt idx="813">
                  <c:v>4.9586454058485094E-2</c:v>
                </c:pt>
                <c:pt idx="814">
                  <c:v>4.8657220985603725E-2</c:v>
                </c:pt>
                <c:pt idx="815">
                  <c:v>4.8834436985603732E-2</c:v>
                </c:pt>
                <c:pt idx="816">
                  <c:v>4.773067781893707E-2</c:v>
                </c:pt>
                <c:pt idx="817">
                  <c:v>4.5484455584454332E-2</c:v>
                </c:pt>
                <c:pt idx="818">
                  <c:v>4.5119159076003626E-2</c:v>
                </c:pt>
                <c:pt idx="819">
                  <c:v>4.5931966144185446E-2</c:v>
                </c:pt>
                <c:pt idx="820">
                  <c:v>4.6749596576003617E-2</c:v>
                </c:pt>
                <c:pt idx="821">
                  <c:v>4.8339574692670285E-2</c:v>
                </c:pt>
                <c:pt idx="822">
                  <c:v>5.2291229662868956E-2</c:v>
                </c:pt>
                <c:pt idx="823">
                  <c:v>6.658412343946471E-2</c:v>
                </c:pt>
                <c:pt idx="824">
                  <c:v>5.8314241620641159E-2</c:v>
                </c:pt>
                <c:pt idx="825">
                  <c:v>5.2152709999008513E-2</c:v>
                </c:pt>
                <c:pt idx="826">
                  <c:v>5.2939780192309951E-2</c:v>
                </c:pt>
                <c:pt idx="827">
                  <c:v>5.2091197403319134E-2</c:v>
                </c:pt>
                <c:pt idx="828">
                  <c:v>5.3224646075319133E-2</c:v>
                </c:pt>
                <c:pt idx="829">
                  <c:v>5.5579223424441937E-2</c:v>
                </c:pt>
                <c:pt idx="830">
                  <c:v>5.7004786616505432E-2</c:v>
                </c:pt>
                <c:pt idx="831">
                  <c:v>5.7383437784505435E-2</c:v>
                </c:pt>
                <c:pt idx="832">
                  <c:v>5.7084712176342159E-2</c:v>
                </c:pt>
                <c:pt idx="833">
                  <c:v>5.6974890082224512E-2</c:v>
                </c:pt>
                <c:pt idx="834">
                  <c:v>5.8588796882224514E-2</c:v>
                </c:pt>
                <c:pt idx="835">
                  <c:v>5.9943491427248204E-2</c:v>
                </c:pt>
                <c:pt idx="836">
                  <c:v>6.363146990452094E-2</c:v>
                </c:pt>
                <c:pt idx="837">
                  <c:v>6.3828219668671873E-2</c:v>
                </c:pt>
                <c:pt idx="838">
                  <c:v>6.6353255585338569E-2</c:v>
                </c:pt>
                <c:pt idx="839">
                  <c:v>7.1788439825073672E-2</c:v>
                </c:pt>
                <c:pt idx="840">
                  <c:v>8.8621164853645115E-2</c:v>
                </c:pt>
                <c:pt idx="841">
                  <c:v>7.6497165134636863E-2</c:v>
                </c:pt>
                <c:pt idx="842">
                  <c:v>7.7975519068783194E-2</c:v>
                </c:pt>
                <c:pt idx="843">
                  <c:v>7.6309290139053493E-2</c:v>
                </c:pt>
                <c:pt idx="844">
                  <c:v>7.4164226605496444E-2</c:v>
                </c:pt>
                <c:pt idx="845">
                  <c:v>7.2950377100279032E-2</c:v>
                </c:pt>
                <c:pt idx="846">
                  <c:v>7.0533707419951158E-2</c:v>
                </c:pt>
                <c:pt idx="847">
                  <c:v>6.9355848726105007E-2</c:v>
                </c:pt>
                <c:pt idx="848">
                  <c:v>6.8913518577168834E-2</c:v>
                </c:pt>
                <c:pt idx="849">
                  <c:v>6.5777648273532482E-2</c:v>
                </c:pt>
                <c:pt idx="850">
                  <c:v>6.7869771485459085E-2</c:v>
                </c:pt>
                <c:pt idx="851">
                  <c:v>6.6463962308277891E-2</c:v>
                </c:pt>
                <c:pt idx="852">
                  <c:v>6.700853845882733E-2</c:v>
                </c:pt>
                <c:pt idx="853">
                  <c:v>6.7992835805493992E-2</c:v>
                </c:pt>
                <c:pt idx="854">
                  <c:v>6.6860807630272745E-2</c:v>
                </c:pt>
                <c:pt idx="855">
                  <c:v>6.6735773478581922E-2</c:v>
                </c:pt>
                <c:pt idx="856">
                  <c:v>6.6776040707153358E-2</c:v>
                </c:pt>
                <c:pt idx="857">
                  <c:v>7.0981564286530796E-2</c:v>
                </c:pt>
                <c:pt idx="858">
                  <c:v>7.8741591144804141E-2</c:v>
                </c:pt>
                <c:pt idx="859">
                  <c:v>8.0695434633176244E-2</c:v>
                </c:pt>
                <c:pt idx="860">
                  <c:v>8.1090310940405155E-2</c:v>
                </c:pt>
                <c:pt idx="861">
                  <c:v>8.1990055095960732E-2</c:v>
                </c:pt>
                <c:pt idx="862">
                  <c:v>8.3840500805760276E-2</c:v>
                </c:pt>
                <c:pt idx="863">
                  <c:v>8.2388416570045989E-2</c:v>
                </c:pt>
                <c:pt idx="864">
                  <c:v>8.5183535310454153E-2</c:v>
                </c:pt>
                <c:pt idx="865">
                  <c:v>8.5115508132193249E-2</c:v>
                </c:pt>
                <c:pt idx="866">
                  <c:v>8.4439664583356042E-2</c:v>
                </c:pt>
                <c:pt idx="867">
                  <c:v>8.3723533587611365E-2</c:v>
                </c:pt>
                <c:pt idx="868">
                  <c:v>8.3851638569429551E-2</c:v>
                </c:pt>
                <c:pt idx="869">
                  <c:v>8.3158389189682727E-2</c:v>
                </c:pt>
                <c:pt idx="870">
                  <c:v>8.313906070968273E-2</c:v>
                </c:pt>
                <c:pt idx="871">
                  <c:v>8.3818102709682721E-2</c:v>
                </c:pt>
                <c:pt idx="872">
                  <c:v>8.3795104952720703E-2</c:v>
                </c:pt>
                <c:pt idx="873">
                  <c:v>8.4101070561231353E-2</c:v>
                </c:pt>
                <c:pt idx="874">
                  <c:v>8.3681066924867722E-2</c:v>
                </c:pt>
                <c:pt idx="875">
                  <c:v>8.4132838928067721E-2</c:v>
                </c:pt>
                <c:pt idx="876">
                  <c:v>8.516718604455123E-2</c:v>
                </c:pt>
                <c:pt idx="877">
                  <c:v>8.6316062598397386E-2</c:v>
                </c:pt>
                <c:pt idx="878">
                  <c:v>8.723458427407306E-2</c:v>
                </c:pt>
                <c:pt idx="879">
                  <c:v>8.7490259691357014E-2</c:v>
                </c:pt>
                <c:pt idx="880">
                  <c:v>8.6233428999183098E-2</c:v>
                </c:pt>
                <c:pt idx="881">
                  <c:v>8.6319325665849794E-2</c:v>
                </c:pt>
                <c:pt idx="882">
                  <c:v>8.5124191565849786E-2</c:v>
                </c:pt>
                <c:pt idx="883">
                  <c:v>8.4794998995957299E-2</c:v>
                </c:pt>
                <c:pt idx="884">
                  <c:v>8.8062530502541661E-2</c:v>
                </c:pt>
                <c:pt idx="885">
                  <c:v>8.930189196682739E-2</c:v>
                </c:pt>
                <c:pt idx="886">
                  <c:v>9.0152964083362819E-2</c:v>
                </c:pt>
                <c:pt idx="887">
                  <c:v>9.5647465280585028E-2</c:v>
                </c:pt>
                <c:pt idx="888">
                  <c:v>9.5777094470585022E-2</c:v>
                </c:pt>
                <c:pt idx="889">
                  <c:v>9.8310040557414297E-2</c:v>
                </c:pt>
                <c:pt idx="890">
                  <c:v>9.7825101303925924E-2</c:v>
                </c:pt>
                <c:pt idx="891">
                  <c:v>9.8243751601544971E-2</c:v>
                </c:pt>
                <c:pt idx="892">
                  <c:v>9.9693148841214385E-2</c:v>
                </c:pt>
                <c:pt idx="893">
                  <c:v>0.10214650629259053</c:v>
                </c:pt>
                <c:pt idx="894">
                  <c:v>0.10233220035642032</c:v>
                </c:pt>
                <c:pt idx="895">
                  <c:v>0.10092034125642031</c:v>
                </c:pt>
                <c:pt idx="896">
                  <c:v>0.10229782494917393</c:v>
                </c:pt>
                <c:pt idx="897">
                  <c:v>0.10171505354491861</c:v>
                </c:pt>
                <c:pt idx="898">
                  <c:v>0.10472855468201538</c:v>
                </c:pt>
                <c:pt idx="899">
                  <c:v>0.10485896650270501</c:v>
                </c:pt>
                <c:pt idx="900">
                  <c:v>0.1044966881452582</c:v>
                </c:pt>
                <c:pt idx="901">
                  <c:v>0.10360170148643467</c:v>
                </c:pt>
                <c:pt idx="902">
                  <c:v>0.10141565451183149</c:v>
                </c:pt>
                <c:pt idx="903">
                  <c:v>0.10344057264819512</c:v>
                </c:pt>
                <c:pt idx="904">
                  <c:v>0.10473639607459512</c:v>
                </c:pt>
                <c:pt idx="905">
                  <c:v>0.10380962256876987</c:v>
                </c:pt>
                <c:pt idx="906">
                  <c:v>0.10792879878171104</c:v>
                </c:pt>
                <c:pt idx="907">
                  <c:v>0.10873182302728067</c:v>
                </c:pt>
                <c:pt idx="908">
                  <c:v>0.10965641053169244</c:v>
                </c:pt>
                <c:pt idx="909">
                  <c:v>0.10711460975316481</c:v>
                </c:pt>
                <c:pt idx="910">
                  <c:v>0.10927383854529964</c:v>
                </c:pt>
                <c:pt idx="911">
                  <c:v>0.11056216938927127</c:v>
                </c:pt>
                <c:pt idx="912">
                  <c:v>0.110837936845793</c:v>
                </c:pt>
                <c:pt idx="913">
                  <c:v>0.11005944192579301</c:v>
                </c:pt>
                <c:pt idx="914">
                  <c:v>0.11118305305203414</c:v>
                </c:pt>
                <c:pt idx="915">
                  <c:v>0.11008919341203413</c:v>
                </c:pt>
                <c:pt idx="916">
                  <c:v>0.11533867620672909</c:v>
                </c:pt>
                <c:pt idx="917">
                  <c:v>0.11564002890901919</c:v>
                </c:pt>
                <c:pt idx="918">
                  <c:v>0.11722913884171149</c:v>
                </c:pt>
                <c:pt idx="919">
                  <c:v>0.11612626367288557</c:v>
                </c:pt>
                <c:pt idx="920">
                  <c:v>0.11963384668293124</c:v>
                </c:pt>
                <c:pt idx="921">
                  <c:v>0.12093283244548832</c:v>
                </c:pt>
                <c:pt idx="922">
                  <c:v>0.12137165104438333</c:v>
                </c:pt>
                <c:pt idx="923">
                  <c:v>0.12128985143254903</c:v>
                </c:pt>
                <c:pt idx="924">
                  <c:v>0.11902292033432417</c:v>
                </c:pt>
                <c:pt idx="925">
                  <c:v>0.11412312262291731</c:v>
                </c:pt>
                <c:pt idx="926">
                  <c:v>0.11271449244992153</c:v>
                </c:pt>
                <c:pt idx="927">
                  <c:v>0.11690129878909204</c:v>
                </c:pt>
                <c:pt idx="928">
                  <c:v>0.11377273752563051</c:v>
                </c:pt>
                <c:pt idx="929">
                  <c:v>0.12071269822703894</c:v>
                </c:pt>
                <c:pt idx="930">
                  <c:v>0.12444713232703894</c:v>
                </c:pt>
                <c:pt idx="931">
                  <c:v>0.13127954211427298</c:v>
                </c:pt>
                <c:pt idx="932">
                  <c:v>0.1356808892230596</c:v>
                </c:pt>
                <c:pt idx="933">
                  <c:v>0.13838859633926334</c:v>
                </c:pt>
                <c:pt idx="934">
                  <c:v>0.14041590945226332</c:v>
                </c:pt>
                <c:pt idx="935">
                  <c:v>0.14341606718783378</c:v>
                </c:pt>
                <c:pt idx="936">
                  <c:v>0.14320678338270557</c:v>
                </c:pt>
                <c:pt idx="937">
                  <c:v>0.1420147898556785</c:v>
                </c:pt>
                <c:pt idx="938">
                  <c:v>0.14203686731904486</c:v>
                </c:pt>
                <c:pt idx="939">
                  <c:v>0.14474093977241273</c:v>
                </c:pt>
                <c:pt idx="940">
                  <c:v>0.14101398918259239</c:v>
                </c:pt>
                <c:pt idx="941">
                  <c:v>0.1404682596227633</c:v>
                </c:pt>
                <c:pt idx="942">
                  <c:v>0.14037308040171068</c:v>
                </c:pt>
                <c:pt idx="943">
                  <c:v>0.15384502848707651</c:v>
                </c:pt>
                <c:pt idx="944">
                  <c:v>0.15304505085646425</c:v>
                </c:pt>
                <c:pt idx="945">
                  <c:v>0.15062069906607964</c:v>
                </c:pt>
                <c:pt idx="946">
                  <c:v>0.15939674087477532</c:v>
                </c:pt>
                <c:pt idx="947">
                  <c:v>0.16542640690492605</c:v>
                </c:pt>
                <c:pt idx="948">
                  <c:v>0.16296770281609355</c:v>
                </c:pt>
                <c:pt idx="949">
                  <c:v>0.16158981805323641</c:v>
                </c:pt>
                <c:pt idx="950">
                  <c:v>0.16211998582737433</c:v>
                </c:pt>
                <c:pt idx="951">
                  <c:v>0.15941323296745868</c:v>
                </c:pt>
                <c:pt idx="952">
                  <c:v>0.15877795208919784</c:v>
                </c:pt>
                <c:pt idx="953">
                  <c:v>0.16113212191776927</c:v>
                </c:pt>
                <c:pt idx="954">
                  <c:v>0.15559951381405179</c:v>
                </c:pt>
                <c:pt idx="955">
                  <c:v>0.16053793951805179</c:v>
                </c:pt>
                <c:pt idx="956">
                  <c:v>0.15874260364686538</c:v>
                </c:pt>
                <c:pt idx="957">
                  <c:v>0.15643394704686539</c:v>
                </c:pt>
                <c:pt idx="958">
                  <c:v>0.15437639233058634</c:v>
                </c:pt>
                <c:pt idx="959">
                  <c:v>0.15559705438186835</c:v>
                </c:pt>
                <c:pt idx="960">
                  <c:v>0.15823020252659198</c:v>
                </c:pt>
                <c:pt idx="961">
                  <c:v>0.15616577335325865</c:v>
                </c:pt>
                <c:pt idx="962">
                  <c:v>0.15056005127217756</c:v>
                </c:pt>
                <c:pt idx="963">
                  <c:v>0.14423956547480149</c:v>
                </c:pt>
                <c:pt idx="964">
                  <c:v>0.14882390065899503</c:v>
                </c:pt>
                <c:pt idx="965">
                  <c:v>0.15238713528194586</c:v>
                </c:pt>
                <c:pt idx="966">
                  <c:v>0.14956921059522019</c:v>
                </c:pt>
                <c:pt idx="967">
                  <c:v>0.15003959575104542</c:v>
                </c:pt>
                <c:pt idx="968">
                  <c:v>0.15032721053983047</c:v>
                </c:pt>
                <c:pt idx="969">
                  <c:v>0.1543621613145193</c:v>
                </c:pt>
                <c:pt idx="970">
                  <c:v>0.15952758704403872</c:v>
                </c:pt>
                <c:pt idx="971">
                  <c:v>0.15801137566607262</c:v>
                </c:pt>
                <c:pt idx="972">
                  <c:v>0.16112074349626127</c:v>
                </c:pt>
                <c:pt idx="973">
                  <c:v>0.15518258911361665</c:v>
                </c:pt>
                <c:pt idx="974">
                  <c:v>0.16327255361689536</c:v>
                </c:pt>
                <c:pt idx="975">
                  <c:v>0.15510519558465238</c:v>
                </c:pt>
                <c:pt idx="976">
                  <c:v>0.15364413072408903</c:v>
                </c:pt>
                <c:pt idx="977">
                  <c:v>0.14365116146876991</c:v>
                </c:pt>
                <c:pt idx="978">
                  <c:v>0.15537880394510581</c:v>
                </c:pt>
                <c:pt idx="979">
                  <c:v>0.15031791098832187</c:v>
                </c:pt>
                <c:pt idx="980">
                  <c:v>0.15327910430563532</c:v>
                </c:pt>
                <c:pt idx="981">
                  <c:v>0.14840833875041864</c:v>
                </c:pt>
                <c:pt idx="982">
                  <c:v>0.16318751772850854</c:v>
                </c:pt>
                <c:pt idx="983">
                  <c:v>0.18207780563446463</c:v>
                </c:pt>
                <c:pt idx="984">
                  <c:v>0.18638045807421838</c:v>
                </c:pt>
                <c:pt idx="985">
                  <c:v>0.18035552810149116</c:v>
                </c:pt>
                <c:pt idx="986">
                  <c:v>0.1769190296858901</c:v>
                </c:pt>
                <c:pt idx="987">
                  <c:v>0.17769216645295069</c:v>
                </c:pt>
                <c:pt idx="988">
                  <c:v>0.18466507426983533</c:v>
                </c:pt>
                <c:pt idx="989">
                  <c:v>0.17352868952801717</c:v>
                </c:pt>
                <c:pt idx="990">
                  <c:v>0.16586629814489326</c:v>
                </c:pt>
                <c:pt idx="991">
                  <c:v>0.1688866344903478</c:v>
                </c:pt>
                <c:pt idx="992">
                  <c:v>0.17205606201186371</c:v>
                </c:pt>
                <c:pt idx="993">
                  <c:v>0.16549997501662561</c:v>
                </c:pt>
                <c:pt idx="994">
                  <c:v>0.16233072894531642</c:v>
                </c:pt>
                <c:pt idx="995">
                  <c:v>0.16456899718462675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7-4662-B255-E4D622F5D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127840"/>
        <c:axId val="477128256"/>
      </c:lineChart>
      <c:dateAx>
        <c:axId val="477127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8256"/>
        <c:crosses val="autoZero"/>
        <c:auto val="1"/>
        <c:lblOffset val="100"/>
        <c:baseTimeUnit val="days"/>
      </c:dateAx>
      <c:valAx>
        <c:axId val="4771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2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50DF0C-DCC3-47F1-B67E-8B579FFAB901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D06FEB-19CC-4B31-ADF4-D46C91132E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3.3</v>
      </c>
      <c r="D2" s="4">
        <f>MIN(D3:D1912)</f>
        <v>3.6400000000000002E-2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0.61140000000000005</v>
      </c>
      <c r="C5">
        <v>0.61140000000000005</v>
      </c>
      <c r="D5">
        <v>0.59099999999999997</v>
      </c>
      <c r="E5">
        <v>0.59199999999999997</v>
      </c>
      <c r="F5">
        <v>136664</v>
      </c>
      <c r="G5">
        <v>0.59199999999999997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-0.90196078431372584</v>
      </c>
      <c r="Q5">
        <f t="shared" ref="Q5" si="1">F5*P5</f>
        <v>-123265.56862745102</v>
      </c>
      <c r="R5">
        <f t="shared" ref="R5" si="2">R6+Q5</f>
        <v>-275324257.05874836</v>
      </c>
      <c r="S5">
        <f t="shared" ref="S5" si="3">R5/100000</f>
        <v>-2753.2425705874834</v>
      </c>
      <c r="T5">
        <f t="shared" ref="T5" si="4">S5/1000</f>
        <v>-2.7532425705874832</v>
      </c>
    </row>
    <row r="6" spans="1:20" x14ac:dyDescent="0.25">
      <c r="A6" s="5">
        <v>44587</v>
      </c>
      <c r="B6">
        <v>0.60819999999999996</v>
      </c>
      <c r="C6">
        <v>0.63449999999999995</v>
      </c>
      <c r="D6">
        <v>0.58650000000000002</v>
      </c>
      <c r="E6">
        <v>0.61140000000000005</v>
      </c>
      <c r="F6">
        <v>1574974</v>
      </c>
      <c r="G6">
        <v>0.61140000000000005</v>
      </c>
      <c r="L6" t="s">
        <v>8</v>
      </c>
      <c r="M6" t="s">
        <v>7</v>
      </c>
      <c r="N6" t="s">
        <v>7</v>
      </c>
      <c r="P6">
        <f t="shared" ref="P6" si="5">IF(C6=D6,0,((E6-D6)-(C6-E6))/(C6-D6))</f>
        <v>3.7500000000002864E-2</v>
      </c>
      <c r="Q6">
        <f t="shared" ref="Q6" si="6">F6*P6</f>
        <v>59061.525000004513</v>
      </c>
      <c r="R6">
        <f t="shared" ref="R6" si="7">R7+Q6</f>
        <v>-275200991.49012089</v>
      </c>
      <c r="S6">
        <f t="shared" ref="S6" si="8">R6/100000</f>
        <v>-2752.009914901209</v>
      </c>
      <c r="T6">
        <f t="shared" ref="T6" si="9">S6/1000</f>
        <v>-2.7520099149012092</v>
      </c>
    </row>
    <row r="7" spans="1:20" x14ac:dyDescent="0.25">
      <c r="A7" s="5">
        <v>44586</v>
      </c>
      <c r="B7">
        <v>0.62529999999999997</v>
      </c>
      <c r="C7">
        <v>0.62639999999999996</v>
      </c>
      <c r="D7">
        <v>0.57330000000000003</v>
      </c>
      <c r="E7">
        <v>0.6079</v>
      </c>
      <c r="F7">
        <v>1816218</v>
      </c>
      <c r="G7">
        <v>0.6079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0.3032015065913376</v>
      </c>
      <c r="Q7">
        <f t="shared" ref="Q7" si="11">F7*P7</f>
        <v>550680.03389830596</v>
      </c>
      <c r="R7">
        <f t="shared" ref="R7" si="12">R8+Q7</f>
        <v>-275260053.01512086</v>
      </c>
      <c r="S7">
        <f t="shared" ref="S7" si="13">R7/100000</f>
        <v>-2752.6005301512087</v>
      </c>
      <c r="T7">
        <f t="shared" ref="T7" si="14">S7/1000</f>
        <v>-2.7526005301512089</v>
      </c>
    </row>
    <row r="8" spans="1:20" x14ac:dyDescent="0.25">
      <c r="A8" s="5">
        <v>44585</v>
      </c>
      <c r="B8">
        <v>0.67759999999999998</v>
      </c>
      <c r="C8">
        <v>0.70989999999999998</v>
      </c>
      <c r="D8">
        <v>0.55010000000000003</v>
      </c>
      <c r="E8">
        <v>0.62519999999999998</v>
      </c>
      <c r="F8">
        <v>4831924</v>
      </c>
      <c r="G8">
        <v>0.62519999999999998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-6.007509386733452E-2</v>
      </c>
      <c r="Q8">
        <f t="shared" ref="Q8" si="16">F8*P8</f>
        <v>-290278.28785982647</v>
      </c>
      <c r="R8">
        <f t="shared" ref="R8" si="17">R9+Q8</f>
        <v>-275810733.04901916</v>
      </c>
      <c r="S8">
        <f t="shared" ref="S8" si="18">R8/100000</f>
        <v>-2758.1073304901915</v>
      </c>
      <c r="T8">
        <f t="shared" ref="T8" si="19">S8/1000</f>
        <v>-2.7581073304901915</v>
      </c>
    </row>
    <row r="9" spans="1:20" x14ac:dyDescent="0.25">
      <c r="A9" s="5">
        <v>44584</v>
      </c>
      <c r="B9">
        <v>0.70650000000000002</v>
      </c>
      <c r="C9">
        <v>0.77429999999999999</v>
      </c>
      <c r="D9">
        <v>0.6361</v>
      </c>
      <c r="E9">
        <v>0.67769999999999997</v>
      </c>
      <c r="F9">
        <v>9760779</v>
      </c>
      <c r="G9">
        <v>0.67769999999999997</v>
      </c>
      <c r="L9" t="s">
        <v>7</v>
      </c>
      <c r="M9" t="s">
        <v>7</v>
      </c>
      <c r="N9" t="s">
        <v>8</v>
      </c>
      <c r="P9">
        <f t="shared" ref="P9" si="20">IF(C9=D9,0,((E9-D9)-(C9-E9))/(C9-D9))</f>
        <v>-0.39797395079594827</v>
      </c>
      <c r="Q9">
        <f t="shared" ref="Q9" si="21">F9*P9</f>
        <v>-3884535.7814761251</v>
      </c>
      <c r="R9">
        <f t="shared" ref="R9" si="22">R10+Q9</f>
        <v>-275520454.76115936</v>
      </c>
      <c r="S9">
        <f t="shared" ref="S9" si="23">R9/100000</f>
        <v>-2755.2045476115936</v>
      </c>
      <c r="T9">
        <f t="shared" ref="T9" si="24">S9/1000</f>
        <v>-2.7552045476115938</v>
      </c>
    </row>
    <row r="10" spans="1:20" x14ac:dyDescent="0.25">
      <c r="A10" s="5">
        <v>44583</v>
      </c>
      <c r="B10">
        <v>0.58099999999999996</v>
      </c>
      <c r="C10">
        <v>0.83399999999999996</v>
      </c>
      <c r="D10">
        <v>0.5776</v>
      </c>
      <c r="E10">
        <v>0.70620000000000005</v>
      </c>
      <c r="F10">
        <v>32205257</v>
      </c>
      <c r="G10">
        <v>0.70620000000000005</v>
      </c>
      <c r="L10" t="s">
        <v>8</v>
      </c>
      <c r="M10" t="s">
        <v>8</v>
      </c>
      <c r="N10" t="s">
        <v>8</v>
      </c>
      <c r="P10">
        <f t="shared" ref="P10" si="25">IF(C10=D10,0,((E10-D10)-(C10-E10))/(C10-D10))</f>
        <v>3.1201248049927224E-3</v>
      </c>
      <c r="Q10">
        <f t="shared" ref="Q10" si="26">F10*P10</f>
        <v>100484.42121686551</v>
      </c>
      <c r="R10">
        <f t="shared" ref="R10" si="27">R11+Q10</f>
        <v>-271635918.97968322</v>
      </c>
      <c r="S10">
        <f t="shared" ref="S10" si="28">R10/100000</f>
        <v>-2716.3591897968322</v>
      </c>
      <c r="T10">
        <f t="shared" ref="T10" si="29">S10/1000</f>
        <v>-2.7163591897968322</v>
      </c>
    </row>
    <row r="11" spans="1:20" x14ac:dyDescent="0.25">
      <c r="A11" s="5">
        <v>44582</v>
      </c>
      <c r="B11">
        <v>0.66930000000000001</v>
      </c>
      <c r="C11">
        <v>0.69010000000000005</v>
      </c>
      <c r="D11">
        <v>0.5645</v>
      </c>
      <c r="E11">
        <v>0.58309999999999995</v>
      </c>
      <c r="F11">
        <v>1391928</v>
      </c>
      <c r="G11">
        <v>0.58309999999999995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-0.70382165605095637</v>
      </c>
      <c r="Q11">
        <f t="shared" ref="Q11" si="31">F11*P11</f>
        <v>-979669.07006369554</v>
      </c>
      <c r="R11">
        <f t="shared" ref="R11" si="32">R12+Q11</f>
        <v>-271736403.40090007</v>
      </c>
      <c r="S11">
        <f t="shared" ref="S11" si="33">R11/100000</f>
        <v>-2717.3640340090005</v>
      </c>
      <c r="T11">
        <f t="shared" ref="T11" si="34">S11/1000</f>
        <v>-2.7173640340090004</v>
      </c>
    </row>
    <row r="12" spans="1:20" x14ac:dyDescent="0.25">
      <c r="A12" s="5">
        <v>44581</v>
      </c>
      <c r="B12">
        <v>0.69320000000000004</v>
      </c>
      <c r="C12">
        <v>0.7218</v>
      </c>
      <c r="D12">
        <v>0.66500000000000004</v>
      </c>
      <c r="E12">
        <v>0.67030000000000001</v>
      </c>
      <c r="F12">
        <v>680211</v>
      </c>
      <c r="G12">
        <v>0.67030000000000001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-0.81338028169014176</v>
      </c>
      <c r="Q12">
        <f t="shared" ref="Q12" si="36">F12*P12</f>
        <v>-553270.21478873305</v>
      </c>
      <c r="R12">
        <f t="shared" ref="R12" si="37">R13+Q12</f>
        <v>-270756734.33083636</v>
      </c>
      <c r="S12">
        <f t="shared" ref="S12" si="38">R12/100000</f>
        <v>-2707.5673433083634</v>
      </c>
      <c r="T12">
        <f t="shared" ref="T12" si="39">S12/1000</f>
        <v>-2.7075673433083636</v>
      </c>
    </row>
    <row r="13" spans="1:20" x14ac:dyDescent="0.25">
      <c r="A13" s="5">
        <v>44580</v>
      </c>
      <c r="B13">
        <v>0.71519999999999995</v>
      </c>
      <c r="C13">
        <v>0.73480000000000001</v>
      </c>
      <c r="D13">
        <v>0.67500000000000004</v>
      </c>
      <c r="E13">
        <v>0.69269999999999998</v>
      </c>
      <c r="F13">
        <v>620617</v>
      </c>
      <c r="G13">
        <v>0.69269999999999998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-0.40802675585284454</v>
      </c>
      <c r="Q13">
        <f t="shared" ref="Q13" si="41">F13*P13</f>
        <v>-253228.34113712481</v>
      </c>
      <c r="R13">
        <f t="shared" ref="R13" si="42">R14+Q13</f>
        <v>-270203464.11604762</v>
      </c>
      <c r="S13">
        <f t="shared" ref="S13" si="43">R13/100000</f>
        <v>-2702.034641160476</v>
      </c>
      <c r="T13">
        <f t="shared" ref="T13" si="44">S13/1000</f>
        <v>-2.7020346411604761</v>
      </c>
    </row>
    <row r="14" spans="1:20" x14ac:dyDescent="0.25">
      <c r="A14" s="5">
        <v>44579</v>
      </c>
      <c r="B14">
        <v>0.74250000000000005</v>
      </c>
      <c r="C14">
        <v>0.74470000000000003</v>
      </c>
      <c r="D14">
        <v>0.6986</v>
      </c>
      <c r="E14">
        <v>0.71609999999999996</v>
      </c>
      <c r="F14">
        <v>627996</v>
      </c>
      <c r="G14">
        <v>0.71609999999999996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-0.24078091106290894</v>
      </c>
      <c r="Q14">
        <f t="shared" ref="Q14" si="46">F14*P14</f>
        <v>-151209.44902386257</v>
      </c>
      <c r="R14">
        <f t="shared" ref="R14" si="47">R15+Q14</f>
        <v>-269950235.77491051</v>
      </c>
      <c r="S14">
        <f t="shared" ref="S14" si="48">R14/100000</f>
        <v>-2699.5023577491052</v>
      </c>
      <c r="T14">
        <f t="shared" ref="T14" si="49">S14/1000</f>
        <v>-2.6995023577491053</v>
      </c>
    </row>
    <row r="15" spans="1:20" x14ac:dyDescent="0.25">
      <c r="A15" s="5">
        <v>44578</v>
      </c>
      <c r="B15">
        <v>0.7954</v>
      </c>
      <c r="C15">
        <v>0.79779999999999995</v>
      </c>
      <c r="D15">
        <v>0.72670000000000001</v>
      </c>
      <c r="E15">
        <v>0.74219999999999997</v>
      </c>
      <c r="F15">
        <v>652050</v>
      </c>
      <c r="G15">
        <v>0.74219999999999997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-0.56399437412095721</v>
      </c>
      <c r="Q15">
        <f t="shared" ref="Q15" si="51">F15*P15</f>
        <v>-367752.53164557012</v>
      </c>
      <c r="R15">
        <f t="shared" ref="R15" si="52">R16+Q15</f>
        <v>-269799026.32588667</v>
      </c>
      <c r="S15">
        <f t="shared" ref="S15" si="53">R15/100000</f>
        <v>-2697.9902632588669</v>
      </c>
      <c r="T15">
        <f t="shared" ref="T15" si="54">S15/1000</f>
        <v>-2.697990263258867</v>
      </c>
    </row>
    <row r="16" spans="1:20" x14ac:dyDescent="0.25">
      <c r="A16" s="5">
        <v>44577</v>
      </c>
      <c r="B16">
        <v>0.74519999999999997</v>
      </c>
      <c r="C16">
        <v>0.83379999999999999</v>
      </c>
      <c r="D16">
        <v>0.74139999999999995</v>
      </c>
      <c r="E16">
        <v>0.79569999999999996</v>
      </c>
      <c r="F16">
        <v>2421880</v>
      </c>
      <c r="G16">
        <v>0.79569999999999996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0.17532467532467516</v>
      </c>
      <c r="Q16">
        <f t="shared" ref="Q16" si="56">F16*P16</f>
        <v>424615.32467532426</v>
      </c>
      <c r="R16">
        <f t="shared" ref="R16" si="57">R17+Q16</f>
        <v>-269431273.79424107</v>
      </c>
      <c r="S16">
        <f t="shared" ref="S16" si="58">R16/100000</f>
        <v>-2694.3127379424109</v>
      </c>
      <c r="T16">
        <f t="shared" ref="T16" si="59">S16/1000</f>
        <v>-2.6943127379424108</v>
      </c>
    </row>
    <row r="17" spans="1:20" x14ac:dyDescent="0.25">
      <c r="A17" s="5">
        <v>44576</v>
      </c>
      <c r="B17">
        <v>0.71499999999999997</v>
      </c>
      <c r="C17">
        <v>0.83589999999999998</v>
      </c>
      <c r="D17">
        <v>0.71499999999999997</v>
      </c>
      <c r="E17">
        <v>0.74460000000000004</v>
      </c>
      <c r="F17">
        <v>3474777</v>
      </c>
      <c r="G17">
        <v>0.74460000000000004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-0.51033912324234787</v>
      </c>
      <c r="Q17">
        <f t="shared" ref="Q17" si="61">F17*P17</f>
        <v>-1773314.6476426758</v>
      </c>
      <c r="R17">
        <f t="shared" ref="R17" si="62">R18+Q17</f>
        <v>-269855889.11891639</v>
      </c>
      <c r="S17">
        <f t="shared" ref="S17" si="63">R17/100000</f>
        <v>-2698.5588911891641</v>
      </c>
      <c r="T17">
        <f t="shared" ref="T17" si="64">S17/1000</f>
        <v>-2.698558891189164</v>
      </c>
    </row>
    <row r="18" spans="1:20" x14ac:dyDescent="0.25">
      <c r="A18" s="5">
        <v>44575</v>
      </c>
      <c r="B18">
        <v>0.70150000000000001</v>
      </c>
      <c r="C18">
        <v>0.72750000000000004</v>
      </c>
      <c r="D18">
        <v>0.66149999999999998</v>
      </c>
      <c r="E18">
        <v>0.71499999999999997</v>
      </c>
      <c r="F18">
        <v>893696</v>
      </c>
      <c r="G18">
        <v>0.71499999999999997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0.62121212121211955</v>
      </c>
      <c r="Q18">
        <f t="shared" ref="Q18" si="66">F18*P18</f>
        <v>555174.78787878645</v>
      </c>
      <c r="R18">
        <f t="shared" ref="R18" si="67">R19+Q18</f>
        <v>-268082574.47127369</v>
      </c>
      <c r="S18">
        <f t="shared" ref="S18" si="68">R18/100000</f>
        <v>-2680.8257447127371</v>
      </c>
      <c r="T18">
        <f t="shared" ref="T18" si="69">S18/1000</f>
        <v>-2.6808257447127373</v>
      </c>
    </row>
    <row r="19" spans="1:20" x14ac:dyDescent="0.25">
      <c r="A19" s="5">
        <v>44574</v>
      </c>
      <c r="B19">
        <v>0.72929999999999995</v>
      </c>
      <c r="C19">
        <v>0.72929999999999995</v>
      </c>
      <c r="D19">
        <v>0.68869999999999998</v>
      </c>
      <c r="E19">
        <v>0.7006</v>
      </c>
      <c r="F19">
        <v>614916</v>
      </c>
      <c r="G19">
        <v>0.7006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-0.41379310344827436</v>
      </c>
      <c r="Q19">
        <f t="shared" ref="Q19" si="71">F19*P19</f>
        <v>-254447.99999999907</v>
      </c>
      <c r="R19">
        <f t="shared" ref="R19" si="72">R20+Q19</f>
        <v>-268637749.25915247</v>
      </c>
      <c r="S19">
        <f t="shared" ref="S19" si="73">R19/100000</f>
        <v>-2686.3774925915245</v>
      </c>
      <c r="T19">
        <f t="shared" ref="T19" si="74">S19/1000</f>
        <v>-2.6863774925915247</v>
      </c>
    </row>
    <row r="20" spans="1:20" x14ac:dyDescent="0.25">
      <c r="A20" s="5">
        <v>44573</v>
      </c>
      <c r="B20">
        <v>0.70340000000000003</v>
      </c>
      <c r="C20">
        <v>0.73180000000000001</v>
      </c>
      <c r="D20">
        <v>0.68730000000000002</v>
      </c>
      <c r="E20">
        <v>0.73109999999999997</v>
      </c>
      <c r="F20">
        <v>630223</v>
      </c>
      <c r="G20">
        <v>0.73109999999999997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0.96853932584269509</v>
      </c>
      <c r="Q20">
        <f t="shared" ref="Q20" si="76">F20*P20</f>
        <v>610395.75955056085</v>
      </c>
      <c r="R20">
        <f t="shared" ref="R20" si="77">R21+Q20</f>
        <v>-268383301.25915247</v>
      </c>
      <c r="S20">
        <f t="shared" ref="S20" si="78">R20/100000</f>
        <v>-2683.8330125915245</v>
      </c>
      <c r="T20">
        <f t="shared" ref="T20" si="79">S20/1000</f>
        <v>-2.6838330125915246</v>
      </c>
    </row>
    <row r="21" spans="1:20" x14ac:dyDescent="0.25">
      <c r="A21" s="5">
        <v>44572</v>
      </c>
      <c r="B21">
        <v>0.68989999999999996</v>
      </c>
      <c r="C21">
        <v>0.72319999999999995</v>
      </c>
      <c r="D21">
        <v>0.66559999999999997</v>
      </c>
      <c r="E21">
        <v>0.70469999999999999</v>
      </c>
      <c r="F21">
        <v>958363</v>
      </c>
      <c r="G21">
        <v>0.70469999999999999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0.35763888888889006</v>
      </c>
      <c r="Q21">
        <f t="shared" ref="Q21" si="81">F21*P21</f>
        <v>342747.87847222335</v>
      </c>
      <c r="R21">
        <f t="shared" ref="R21" si="82">R22+Q21</f>
        <v>-268993697.01870304</v>
      </c>
      <c r="S21">
        <f t="shared" ref="S21" si="83">R21/100000</f>
        <v>-2689.9369701870305</v>
      </c>
      <c r="T21">
        <f t="shared" ref="T21" si="84">S21/1000</f>
        <v>-2.6899369701870306</v>
      </c>
    </row>
    <row r="22" spans="1:20" x14ac:dyDescent="0.25">
      <c r="A22" s="5">
        <v>44571</v>
      </c>
      <c r="B22">
        <v>0.72819999999999996</v>
      </c>
      <c r="C22">
        <v>0.73</v>
      </c>
      <c r="D22">
        <v>0.64680000000000004</v>
      </c>
      <c r="E22">
        <v>0.68969999999999998</v>
      </c>
      <c r="F22">
        <v>1126286.57</v>
      </c>
      <c r="G22">
        <v>0.68969999999999998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3.1249999999999251E-2</v>
      </c>
      <c r="Q22">
        <f t="shared" ref="Q22" si="86">F22*P22</f>
        <v>35196.455312499158</v>
      </c>
      <c r="R22">
        <f t="shared" ref="R22" si="87">R23+Q22</f>
        <v>-269336444.89717525</v>
      </c>
      <c r="S22">
        <f t="shared" ref="S22" si="88">R22/100000</f>
        <v>-2693.3644489717526</v>
      </c>
      <c r="T22">
        <f t="shared" ref="T22" si="89">S22/1000</f>
        <v>-2.6933644489717525</v>
      </c>
    </row>
    <row r="23" spans="1:20" x14ac:dyDescent="0.25">
      <c r="A23" s="5">
        <v>44570</v>
      </c>
      <c r="B23">
        <v>0.72570000000000001</v>
      </c>
      <c r="C23">
        <v>0.74</v>
      </c>
      <c r="D23">
        <v>0.70530000000000004</v>
      </c>
      <c r="E23">
        <v>0.72799999999999998</v>
      </c>
      <c r="F23">
        <v>888605</v>
      </c>
      <c r="G23">
        <v>0.72799999999999998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0.3083573487031685</v>
      </c>
      <c r="Q23">
        <f t="shared" ref="Q23" si="91">F23*P23</f>
        <v>274007.88184437907</v>
      </c>
      <c r="R23">
        <f t="shared" ref="R23" si="92">R24+Q23</f>
        <v>-269371641.35248774</v>
      </c>
      <c r="S23">
        <f t="shared" ref="S23" si="93">R23/100000</f>
        <v>-2693.7164135248772</v>
      </c>
      <c r="T23">
        <f t="shared" ref="T23" si="94">S23/1000</f>
        <v>-2.6937164135248772</v>
      </c>
    </row>
    <row r="24" spans="1:20" x14ac:dyDescent="0.25">
      <c r="A24" s="5">
        <v>44569</v>
      </c>
      <c r="B24">
        <v>0.76870000000000005</v>
      </c>
      <c r="C24">
        <v>0.77129999999999999</v>
      </c>
      <c r="D24">
        <v>0.70240000000000002</v>
      </c>
      <c r="E24">
        <v>0.72309999999999997</v>
      </c>
      <c r="F24">
        <v>1788960</v>
      </c>
      <c r="G24">
        <v>0.72309999999999997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-0.39912917271407977</v>
      </c>
      <c r="Q24">
        <f t="shared" ref="Q24" si="96">F24*P24</f>
        <v>-714026.12481858011</v>
      </c>
      <c r="R24">
        <f t="shared" ref="R24" si="97">R25+Q24</f>
        <v>-269645649.23433214</v>
      </c>
      <c r="S24">
        <f t="shared" ref="S24" si="98">R24/100000</f>
        <v>-2696.4564923433213</v>
      </c>
      <c r="T24">
        <f t="shared" ref="T24" si="99">S24/1000</f>
        <v>-2.6964564923433212</v>
      </c>
    </row>
    <row r="25" spans="1:20" x14ac:dyDescent="0.25">
      <c r="A25" s="5">
        <v>44568</v>
      </c>
      <c r="B25">
        <v>0.7399</v>
      </c>
      <c r="C25">
        <v>0.83909999999999996</v>
      </c>
      <c r="D25">
        <v>0.7399</v>
      </c>
      <c r="E25">
        <v>0.77100000000000002</v>
      </c>
      <c r="F25">
        <v>6478882</v>
      </c>
      <c r="G25">
        <v>0.77100000000000002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-0.37298387096774133</v>
      </c>
      <c r="Q25">
        <f t="shared" ref="Q25" si="101">F25*P25</f>
        <v>-2416518.487903222</v>
      </c>
      <c r="R25">
        <f t="shared" ref="R25" si="102">R26+Q25</f>
        <v>-268931623.10951358</v>
      </c>
      <c r="S25">
        <f t="shared" ref="S25" si="103">R25/100000</f>
        <v>-2689.3162310951357</v>
      </c>
      <c r="T25">
        <f t="shared" ref="T25" si="104">S25/1000</f>
        <v>-2.6893162310951357</v>
      </c>
    </row>
    <row r="26" spans="1:20" x14ac:dyDescent="0.25">
      <c r="A26" s="5">
        <v>44567</v>
      </c>
      <c r="B26">
        <v>0.74519999999999997</v>
      </c>
      <c r="C26">
        <v>0.75249999999999995</v>
      </c>
      <c r="D26">
        <v>0.71419999999999995</v>
      </c>
      <c r="E26">
        <v>0.74039999999999995</v>
      </c>
      <c r="F26">
        <v>687248</v>
      </c>
      <c r="G26">
        <v>0.74039999999999995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0.36814621409921672</v>
      </c>
      <c r="Q26">
        <f t="shared" ref="Q26" si="106">F26*P26</f>
        <v>253007.7493472585</v>
      </c>
      <c r="R26">
        <f t="shared" ref="R26" si="107">R27+Q26</f>
        <v>-266515104.62161034</v>
      </c>
      <c r="S26">
        <f t="shared" ref="S26" si="108">R26/100000</f>
        <v>-2665.1510462161036</v>
      </c>
      <c r="T26">
        <f t="shared" ref="T26" si="109">S26/1000</f>
        <v>-2.6651510462161037</v>
      </c>
    </row>
    <row r="27" spans="1:20" x14ac:dyDescent="0.25">
      <c r="A27" s="5">
        <v>44566</v>
      </c>
      <c r="B27">
        <v>0.80859999999999999</v>
      </c>
      <c r="C27">
        <v>0.8226</v>
      </c>
      <c r="D27">
        <v>0.71719999999999995</v>
      </c>
      <c r="E27">
        <v>0.74619999999999997</v>
      </c>
      <c r="F27">
        <v>1147771</v>
      </c>
      <c r="G27">
        <v>0.74619999999999997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-0.4497153700189751</v>
      </c>
      <c r="Q27">
        <f t="shared" ref="Q27" si="111">F27*P27</f>
        <v>-516170.25996204908</v>
      </c>
      <c r="R27">
        <f t="shared" ref="R27" si="112">R28+Q27</f>
        <v>-266768112.37095761</v>
      </c>
      <c r="S27">
        <f t="shared" ref="S27" si="113">R27/100000</f>
        <v>-2667.6811237095762</v>
      </c>
      <c r="T27">
        <f t="shared" ref="T27" si="114">S27/1000</f>
        <v>-2.6676811237095763</v>
      </c>
    </row>
    <row r="28" spans="1:20" x14ac:dyDescent="0.25">
      <c r="A28" s="5">
        <v>44565</v>
      </c>
      <c r="B28">
        <v>0.84650000000000003</v>
      </c>
      <c r="C28">
        <v>0.84960000000000002</v>
      </c>
      <c r="D28">
        <v>0.7944</v>
      </c>
      <c r="E28">
        <v>0.80910000000000004</v>
      </c>
      <c r="F28">
        <v>901489</v>
      </c>
      <c r="G28">
        <v>0.80910000000000004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-0.46739130434782467</v>
      </c>
      <c r="Q28">
        <f t="shared" ref="Q28" si="116">F28*P28</f>
        <v>-421348.11956521613</v>
      </c>
      <c r="R28">
        <f t="shared" ref="R28" si="117">R29+Q28</f>
        <v>-266251942.11099556</v>
      </c>
      <c r="S28">
        <f t="shared" ref="S28" si="118">R28/100000</f>
        <v>-2662.5194211099556</v>
      </c>
      <c r="T28">
        <f t="shared" ref="T28" si="119">S28/1000</f>
        <v>-2.6625194211099554</v>
      </c>
    </row>
    <row r="29" spans="1:20" x14ac:dyDescent="0.25">
      <c r="A29" s="5">
        <v>44564</v>
      </c>
      <c r="B29">
        <v>0.82789999999999997</v>
      </c>
      <c r="C29">
        <v>0.88</v>
      </c>
      <c r="D29">
        <v>0.81879999999999997</v>
      </c>
      <c r="E29">
        <v>0.8468</v>
      </c>
      <c r="F29">
        <v>1503228</v>
      </c>
      <c r="G29">
        <v>0.8468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-8.4967320261437579E-2</v>
      </c>
      <c r="Q29">
        <f t="shared" ref="Q29" si="121">F29*P29</f>
        <v>-127725.25490196029</v>
      </c>
      <c r="R29">
        <f t="shared" ref="R29" si="122">R30+Q29</f>
        <v>-265830593.99143034</v>
      </c>
      <c r="S29">
        <f t="shared" ref="S29" si="123">R29/100000</f>
        <v>-2658.3059399143035</v>
      </c>
      <c r="T29">
        <f t="shared" ref="T29" si="124">S29/1000</f>
        <v>-2.6583059399143036</v>
      </c>
    </row>
    <row r="30" spans="1:20" x14ac:dyDescent="0.25">
      <c r="A30" s="5">
        <v>44563</v>
      </c>
      <c r="B30">
        <v>0.7833</v>
      </c>
      <c r="C30">
        <v>0.90890000000000004</v>
      </c>
      <c r="D30">
        <v>0.78049999999999997</v>
      </c>
      <c r="E30">
        <v>0.82969999999999999</v>
      </c>
      <c r="F30">
        <v>4869608</v>
      </c>
      <c r="G30">
        <v>0.82969999999999999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-0.23364485981308419</v>
      </c>
      <c r="Q30">
        <f t="shared" ref="Q30" si="126">F30*P30</f>
        <v>-1137758.8785046733</v>
      </c>
      <c r="R30">
        <f t="shared" ref="R30" si="127">R31+Q30</f>
        <v>-265702868.7365284</v>
      </c>
      <c r="S30">
        <f t="shared" ref="S30" si="128">R30/100000</f>
        <v>-2657.028687365284</v>
      </c>
      <c r="T30">
        <f t="shared" ref="T30" si="129">S30/1000</f>
        <v>-2.6570286873652842</v>
      </c>
    </row>
    <row r="31" spans="1:20" x14ac:dyDescent="0.25">
      <c r="A31" s="5">
        <v>44562</v>
      </c>
      <c r="B31">
        <v>0.74619999999999997</v>
      </c>
      <c r="C31">
        <v>0.83730000000000004</v>
      </c>
      <c r="D31">
        <v>0.74480000000000002</v>
      </c>
      <c r="E31">
        <v>0.7853</v>
      </c>
      <c r="F31">
        <v>4044948</v>
      </c>
      <c r="G31">
        <v>0.7853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-0.124324324324325</v>
      </c>
      <c r="Q31">
        <f t="shared" ref="Q31" si="131">F31*P31</f>
        <v>-502885.42702702974</v>
      </c>
      <c r="R31">
        <f t="shared" ref="R31" si="132">R32+Q31</f>
        <v>-264565109.85802373</v>
      </c>
      <c r="S31">
        <f t="shared" ref="S31" si="133">R31/100000</f>
        <v>-2645.6510985802374</v>
      </c>
      <c r="T31">
        <f t="shared" ref="T31" si="134">S31/1000</f>
        <v>-2.6456510985802373</v>
      </c>
    </row>
    <row r="32" spans="1:20" x14ac:dyDescent="0.25">
      <c r="A32" s="5">
        <v>44561</v>
      </c>
      <c r="B32">
        <v>0.75570000000000004</v>
      </c>
      <c r="C32">
        <v>0.78239999999999998</v>
      </c>
      <c r="D32">
        <v>0.73109999999999997</v>
      </c>
      <c r="E32">
        <v>0.74760000000000004</v>
      </c>
      <c r="F32">
        <v>490235</v>
      </c>
      <c r="G32">
        <v>0.74760000000000004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-0.35672514619882784</v>
      </c>
      <c r="Q32">
        <f t="shared" ref="Q32" si="136">F32*P32</f>
        <v>-174879.15204678237</v>
      </c>
      <c r="R32">
        <f t="shared" ref="R32" si="137">R33+Q32</f>
        <v>-264062224.43099672</v>
      </c>
      <c r="S32">
        <f t="shared" ref="S32" si="138">R32/100000</f>
        <v>-2640.6222443099673</v>
      </c>
      <c r="T32">
        <f t="shared" ref="T32" si="139">S32/1000</f>
        <v>-2.6406222443099674</v>
      </c>
    </row>
    <row r="33" spans="1:20" x14ac:dyDescent="0.25">
      <c r="A33" s="5">
        <v>44560</v>
      </c>
      <c r="B33">
        <v>0.73770000000000002</v>
      </c>
      <c r="C33">
        <v>0.76780000000000004</v>
      </c>
      <c r="D33">
        <v>0.72619999999999996</v>
      </c>
      <c r="E33">
        <v>0.75609999999999999</v>
      </c>
      <c r="F33">
        <v>893680</v>
      </c>
      <c r="G33">
        <v>0.75609999999999999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0.437499999999999</v>
      </c>
      <c r="Q33">
        <f t="shared" ref="Q33" si="141">F33*P33</f>
        <v>390984.99999999913</v>
      </c>
      <c r="R33">
        <f t="shared" ref="R33" si="142">R34+Q33</f>
        <v>-263887345.27894995</v>
      </c>
      <c r="S33">
        <f t="shared" ref="S33" si="143">R33/100000</f>
        <v>-2638.8734527894994</v>
      </c>
      <c r="T33">
        <f t="shared" ref="T33" si="144">S33/1000</f>
        <v>-2.6388734527894995</v>
      </c>
    </row>
    <row r="34" spans="1:20" x14ac:dyDescent="0.25">
      <c r="A34" s="5">
        <v>44559</v>
      </c>
      <c r="B34">
        <v>0.76060000000000005</v>
      </c>
      <c r="C34">
        <v>0.78280000000000005</v>
      </c>
      <c r="D34">
        <v>0.73</v>
      </c>
      <c r="E34">
        <v>0.73750000000000004</v>
      </c>
      <c r="F34">
        <v>580735</v>
      </c>
      <c r="G34">
        <v>0.73750000000000004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-0.71590909090908894</v>
      </c>
      <c r="Q34">
        <f t="shared" ref="Q34" si="146">F34*P34</f>
        <v>-415753.46590908978</v>
      </c>
      <c r="R34">
        <f t="shared" ref="R34" si="147">R35+Q34</f>
        <v>-264278330.27894995</v>
      </c>
      <c r="S34">
        <f t="shared" ref="S34" si="148">R34/100000</f>
        <v>-2642.7833027894994</v>
      </c>
      <c r="T34">
        <f t="shared" ref="T34" si="149">S34/1000</f>
        <v>-2.6427833027894994</v>
      </c>
    </row>
    <row r="35" spans="1:20" x14ac:dyDescent="0.25">
      <c r="A35" s="5">
        <v>44558</v>
      </c>
      <c r="B35">
        <v>0.82709999999999995</v>
      </c>
      <c r="C35">
        <v>0.82709999999999995</v>
      </c>
      <c r="D35">
        <v>0.76060000000000005</v>
      </c>
      <c r="E35">
        <v>0.76070000000000004</v>
      </c>
      <c r="F35">
        <v>566951</v>
      </c>
      <c r="G35">
        <v>0.76070000000000004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-0.99699248120300787</v>
      </c>
      <c r="Q35">
        <f t="shared" ref="Q35" si="151">F35*P35</f>
        <v>-565245.88421052648</v>
      </c>
      <c r="R35">
        <f t="shared" ref="R35" si="152">R36+Q35</f>
        <v>-263862576.81304085</v>
      </c>
      <c r="S35">
        <f t="shared" ref="S35" si="153">R35/100000</f>
        <v>-2638.6257681304087</v>
      </c>
      <c r="T35">
        <f t="shared" ref="T35" si="154">S35/1000</f>
        <v>-2.6386257681304088</v>
      </c>
    </row>
    <row r="36" spans="1:20" x14ac:dyDescent="0.25">
      <c r="A36" s="5">
        <v>44557</v>
      </c>
      <c r="B36">
        <v>0.8286</v>
      </c>
      <c r="C36">
        <v>0.84660000000000002</v>
      </c>
      <c r="D36">
        <v>0.81799999999999995</v>
      </c>
      <c r="E36">
        <v>0.82709999999999995</v>
      </c>
      <c r="F36">
        <v>724066</v>
      </c>
      <c r="G36">
        <v>0.82709999999999995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-0.36363636363636542</v>
      </c>
      <c r="Q36">
        <f t="shared" ref="Q36" si="156">F36*P36</f>
        <v>-263296.72727272857</v>
      </c>
      <c r="R36">
        <f t="shared" ref="R36" si="157">R37+Q36</f>
        <v>-263297330.92883033</v>
      </c>
      <c r="S36">
        <f t="shared" ref="S36" si="158">R36/100000</f>
        <v>-2632.9733092883034</v>
      </c>
      <c r="T36">
        <f t="shared" ref="T36" si="159">S36/1000</f>
        <v>-2.6329733092883036</v>
      </c>
    </row>
    <row r="37" spans="1:20" x14ac:dyDescent="0.25">
      <c r="A37" s="5">
        <v>44556</v>
      </c>
      <c r="B37">
        <v>0.82889999999999997</v>
      </c>
      <c r="C37">
        <v>0.82940000000000003</v>
      </c>
      <c r="D37">
        <v>0.8</v>
      </c>
      <c r="E37">
        <v>0.82830000000000004</v>
      </c>
      <c r="F37">
        <v>415709</v>
      </c>
      <c r="G37">
        <v>0.82830000000000004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0.92517006802721158</v>
      </c>
      <c r="Q37">
        <f t="shared" ref="Q37" si="161">F37*P37</f>
        <v>384601.52380952408</v>
      </c>
      <c r="R37">
        <f t="shared" ref="R37" si="162">R38+Q37</f>
        <v>-263034034.20155761</v>
      </c>
      <c r="S37">
        <f t="shared" ref="S37" si="163">R37/100000</f>
        <v>-2630.340342015576</v>
      </c>
      <c r="T37">
        <f t="shared" ref="T37" si="164">S37/1000</f>
        <v>-2.6303403420155758</v>
      </c>
    </row>
    <row r="38" spans="1:20" x14ac:dyDescent="0.25">
      <c r="A38" s="5">
        <v>44555</v>
      </c>
      <c r="B38">
        <v>0.81559999999999999</v>
      </c>
      <c r="C38">
        <v>0.83140000000000003</v>
      </c>
      <c r="D38">
        <v>0.80889999999999995</v>
      </c>
      <c r="E38">
        <v>0.8256</v>
      </c>
      <c r="F38">
        <v>419805</v>
      </c>
      <c r="G38">
        <v>0.8256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0.48444444444444373</v>
      </c>
      <c r="Q38">
        <f t="shared" ref="Q38" si="166">F38*P38</f>
        <v>203372.19999999969</v>
      </c>
      <c r="R38">
        <f t="shared" ref="R38" si="167">R39+Q38</f>
        <v>-263418635.72536713</v>
      </c>
      <c r="S38">
        <f t="shared" ref="S38" si="168">R38/100000</f>
        <v>-2634.1863572536713</v>
      </c>
      <c r="T38">
        <f t="shared" ref="T38" si="169">S38/1000</f>
        <v>-2.6341863572536712</v>
      </c>
    </row>
    <row r="39" spans="1:20" x14ac:dyDescent="0.25">
      <c r="A39" s="5">
        <v>44554</v>
      </c>
      <c r="B39">
        <v>0.83189999999999997</v>
      </c>
      <c r="C39">
        <v>0.84499999999999997</v>
      </c>
      <c r="D39">
        <v>0.81140000000000001</v>
      </c>
      <c r="E39">
        <v>0.81140000000000001</v>
      </c>
      <c r="F39">
        <v>741663</v>
      </c>
      <c r="G39">
        <v>0.81140000000000001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-1</v>
      </c>
      <c r="Q39">
        <f t="shared" ref="Q39" si="171">F39*P39</f>
        <v>-741663</v>
      </c>
      <c r="R39">
        <f t="shared" ref="R39" si="172">R40+Q39</f>
        <v>-263622007.92536712</v>
      </c>
      <c r="S39">
        <f t="shared" ref="S39" si="173">R39/100000</f>
        <v>-2636.220079253671</v>
      </c>
      <c r="T39">
        <f t="shared" ref="T39" si="174">S39/1000</f>
        <v>-2.636220079253671</v>
      </c>
    </row>
    <row r="40" spans="1:20" x14ac:dyDescent="0.25">
      <c r="A40" s="5">
        <v>44553</v>
      </c>
      <c r="B40">
        <v>0.78280000000000005</v>
      </c>
      <c r="C40">
        <v>0.83299999999999996</v>
      </c>
      <c r="D40">
        <v>0.78110000000000002</v>
      </c>
      <c r="E40">
        <v>0.83169999999999999</v>
      </c>
      <c r="F40">
        <v>952807</v>
      </c>
      <c r="G40">
        <v>0.83169999999999999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0.94990366088632106</v>
      </c>
      <c r="Q40">
        <f t="shared" ref="Q40" si="176">F40*P40</f>
        <v>905074.85741811292</v>
      </c>
      <c r="R40">
        <f t="shared" ref="R40" si="177">R41+Q40</f>
        <v>-262880344.92536712</v>
      </c>
      <c r="S40">
        <f t="shared" ref="S40" si="178">R40/100000</f>
        <v>-2628.8034492536713</v>
      </c>
      <c r="T40">
        <f t="shared" ref="T40" si="179">S40/1000</f>
        <v>-2.6288034492536712</v>
      </c>
    </row>
    <row r="41" spans="1:20" x14ac:dyDescent="0.25">
      <c r="A41" s="5">
        <v>44552</v>
      </c>
      <c r="B41">
        <v>0.76300000000000001</v>
      </c>
      <c r="C41">
        <v>0.79800000000000004</v>
      </c>
      <c r="D41">
        <v>0.76019999999999999</v>
      </c>
      <c r="E41">
        <v>0.77959999999999996</v>
      </c>
      <c r="F41">
        <v>488195</v>
      </c>
      <c r="G41">
        <v>0.77959999999999996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2.6455026455023501E-2</v>
      </c>
      <c r="Q41">
        <f t="shared" ref="Q41" si="181">F41*P41</f>
        <v>12915.211640210198</v>
      </c>
      <c r="R41">
        <f t="shared" ref="R41" si="182">R42+Q41</f>
        <v>-263785419.78278524</v>
      </c>
      <c r="S41">
        <f t="shared" ref="S41" si="183">R41/100000</f>
        <v>-2637.8541978278522</v>
      </c>
      <c r="T41">
        <f t="shared" ref="T41" si="184">S41/1000</f>
        <v>-2.6378541978278522</v>
      </c>
    </row>
    <row r="42" spans="1:20" x14ac:dyDescent="0.25">
      <c r="A42" s="5">
        <v>44551</v>
      </c>
      <c r="B42">
        <v>0.74009999999999998</v>
      </c>
      <c r="C42">
        <v>0.76700000000000002</v>
      </c>
      <c r="D42">
        <v>0.72619999999999996</v>
      </c>
      <c r="E42">
        <v>0.76329999999999998</v>
      </c>
      <c r="F42">
        <v>704951</v>
      </c>
      <c r="G42">
        <v>0.76329999999999998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0.81862745098039058</v>
      </c>
      <c r="Q42">
        <f t="shared" ref="Q42" si="186">F42*P42</f>
        <v>577092.24019607727</v>
      </c>
      <c r="R42">
        <f t="shared" ref="R42" si="187">R43+Q42</f>
        <v>-263798334.99442545</v>
      </c>
      <c r="S42">
        <f t="shared" ref="S42" si="188">R42/100000</f>
        <v>-2637.9833499442543</v>
      </c>
      <c r="T42">
        <f t="shared" ref="T42" si="189">S42/1000</f>
        <v>-2.6379833499442542</v>
      </c>
    </row>
    <row r="43" spans="1:20" x14ac:dyDescent="0.25">
      <c r="A43" s="5">
        <v>44550</v>
      </c>
      <c r="B43">
        <v>0.77239999999999998</v>
      </c>
      <c r="C43">
        <v>0.77290000000000003</v>
      </c>
      <c r="D43">
        <v>0.69940000000000002</v>
      </c>
      <c r="E43">
        <v>0.73939999999999995</v>
      </c>
      <c r="F43">
        <v>1809059</v>
      </c>
      <c r="G43">
        <v>0.73939999999999995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8.8435374149657658E-2</v>
      </c>
      <c r="Q43">
        <f t="shared" ref="Q43" si="191">F43*P43</f>
        <v>159984.80952380554</v>
      </c>
      <c r="R43">
        <f t="shared" ref="R43" si="192">R44+Q43</f>
        <v>-264375427.23462152</v>
      </c>
      <c r="S43">
        <f t="shared" ref="S43" si="193">R43/100000</f>
        <v>-2643.7542723462152</v>
      </c>
      <c r="T43">
        <f t="shared" ref="T43" si="194">S43/1000</f>
        <v>-2.6437542723462153</v>
      </c>
    </row>
    <row r="44" spans="1:20" x14ac:dyDescent="0.25">
      <c r="A44" s="5">
        <v>44549</v>
      </c>
      <c r="B44">
        <v>0.77980000000000005</v>
      </c>
      <c r="C44">
        <v>0.79079999999999995</v>
      </c>
      <c r="D44">
        <v>0.76900000000000002</v>
      </c>
      <c r="E44">
        <v>0.77229999999999999</v>
      </c>
      <c r="F44">
        <v>302766</v>
      </c>
      <c r="G44">
        <v>0.77229999999999999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-0.69724770642202016</v>
      </c>
      <c r="Q44">
        <f t="shared" ref="Q44" si="196">F44*P44</f>
        <v>-211102.89908256935</v>
      </c>
      <c r="R44">
        <f t="shared" ref="R44" si="197">R45+Q44</f>
        <v>-264535412.04414532</v>
      </c>
      <c r="S44">
        <f t="shared" ref="S44" si="198">R44/100000</f>
        <v>-2645.3541204414532</v>
      </c>
      <c r="T44">
        <f t="shared" ref="T44" si="199">S44/1000</f>
        <v>-2.645354120441453</v>
      </c>
    </row>
    <row r="45" spans="1:20" x14ac:dyDescent="0.25">
      <c r="A45" s="5">
        <v>44548</v>
      </c>
      <c r="B45">
        <v>0.77200000000000002</v>
      </c>
      <c r="C45">
        <v>0.78569999999999995</v>
      </c>
      <c r="D45">
        <v>0.75129999999999997</v>
      </c>
      <c r="E45">
        <v>0.78239999999999998</v>
      </c>
      <c r="F45">
        <v>395874</v>
      </c>
      <c r="G45">
        <v>0.78239999999999998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0.80813953488372259</v>
      </c>
      <c r="Q45">
        <f t="shared" ref="Q45" si="201">F45*P45</f>
        <v>319921.43023255881</v>
      </c>
      <c r="R45">
        <f t="shared" ref="R45" si="202">R46+Q45</f>
        <v>-264324309.14506274</v>
      </c>
      <c r="S45">
        <f t="shared" ref="S45" si="203">R45/100000</f>
        <v>-2643.2430914506276</v>
      </c>
      <c r="T45">
        <f t="shared" ref="T45" si="204">S45/1000</f>
        <v>-2.6432430914506275</v>
      </c>
    </row>
    <row r="46" spans="1:20" x14ac:dyDescent="0.25">
      <c r="A46" s="5">
        <v>44547</v>
      </c>
      <c r="B46">
        <v>0.76549999999999996</v>
      </c>
      <c r="C46">
        <v>0.79310000000000003</v>
      </c>
      <c r="D46">
        <v>0.73899999999999999</v>
      </c>
      <c r="E46">
        <v>0.77190000000000003</v>
      </c>
      <c r="F46">
        <v>1327629</v>
      </c>
      <c r="G46">
        <v>0.77190000000000003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0.21626617375231119</v>
      </c>
      <c r="Q46">
        <f t="shared" ref="Q46" si="206">F46*P46</f>
        <v>287121.24399260717</v>
      </c>
      <c r="R46">
        <f t="shared" ref="R46" si="207">R47+Q46</f>
        <v>-264644230.5752953</v>
      </c>
      <c r="S46">
        <f t="shared" ref="S46" si="208">R46/100000</f>
        <v>-2646.442305752953</v>
      </c>
      <c r="T46">
        <f t="shared" ref="T46" si="209">S46/1000</f>
        <v>-2.6464423057529531</v>
      </c>
    </row>
    <row r="47" spans="1:20" x14ac:dyDescent="0.25">
      <c r="A47" s="5">
        <v>44546</v>
      </c>
      <c r="B47">
        <v>0.77400000000000002</v>
      </c>
      <c r="C47">
        <v>0.78810000000000002</v>
      </c>
      <c r="D47">
        <v>0.76549999999999996</v>
      </c>
      <c r="E47">
        <v>0.76549999999999996</v>
      </c>
      <c r="F47">
        <v>756651</v>
      </c>
      <c r="G47">
        <v>0.76549999999999996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-1</v>
      </c>
      <c r="Q47">
        <f t="shared" ref="Q47" si="211">F47*P47</f>
        <v>-756651</v>
      </c>
      <c r="R47">
        <f t="shared" ref="R47" si="212">R48+Q47</f>
        <v>-264931351.8192879</v>
      </c>
      <c r="S47">
        <f t="shared" ref="S47" si="213">R47/100000</f>
        <v>-2649.3135181928787</v>
      </c>
      <c r="T47">
        <f t="shared" ref="T47" si="214">S47/1000</f>
        <v>-2.6493135181928786</v>
      </c>
    </row>
    <row r="48" spans="1:20" x14ac:dyDescent="0.25">
      <c r="A48" s="5">
        <v>44545</v>
      </c>
      <c r="B48">
        <v>0.75839999999999996</v>
      </c>
      <c r="C48">
        <v>0.78139999999999998</v>
      </c>
      <c r="D48">
        <v>0.73209999999999997</v>
      </c>
      <c r="E48">
        <v>0.77669999999999995</v>
      </c>
      <c r="F48">
        <v>1289354</v>
      </c>
      <c r="G48">
        <v>0.77669999999999995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0.80933062880324391</v>
      </c>
      <c r="Q48">
        <f t="shared" ref="Q48" si="216">F48*P48</f>
        <v>1043513.6835699778</v>
      </c>
      <c r="R48">
        <f t="shared" ref="R48" si="217">R49+Q48</f>
        <v>-264174700.8192879</v>
      </c>
      <c r="S48">
        <f t="shared" ref="S48" si="218">R48/100000</f>
        <v>-2641.7470081928791</v>
      </c>
      <c r="T48">
        <f t="shared" ref="T48" si="219">S48/1000</f>
        <v>-2.6417470081928789</v>
      </c>
    </row>
    <row r="49" spans="1:20" x14ac:dyDescent="0.25">
      <c r="A49" s="5">
        <v>44544</v>
      </c>
      <c r="B49">
        <v>0.75839999999999996</v>
      </c>
      <c r="C49">
        <v>0.80149999999999999</v>
      </c>
      <c r="D49">
        <v>0.71550000000000002</v>
      </c>
      <c r="E49">
        <v>0.76049999999999995</v>
      </c>
      <c r="F49">
        <v>936716</v>
      </c>
      <c r="G49">
        <v>0.76049999999999995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4.6511627906975515E-2</v>
      </c>
      <c r="Q49">
        <f t="shared" ref="Q49" si="221">F49*P49</f>
        <v>43568.186046510476</v>
      </c>
      <c r="R49">
        <f t="shared" ref="R49" si="222">R50+Q49</f>
        <v>-265218214.50285786</v>
      </c>
      <c r="S49">
        <f t="shared" ref="S49" si="223">R49/100000</f>
        <v>-2652.1821450285788</v>
      </c>
      <c r="T49">
        <f t="shared" ref="T49" si="224">S49/1000</f>
        <v>-2.6521821450285787</v>
      </c>
    </row>
    <row r="50" spans="1:20" x14ac:dyDescent="0.25">
      <c r="A50" s="5">
        <v>44543</v>
      </c>
      <c r="B50">
        <v>0.84209999999999996</v>
      </c>
      <c r="C50">
        <v>0.84850000000000003</v>
      </c>
      <c r="D50">
        <v>0.74219999999999997</v>
      </c>
      <c r="E50">
        <v>0.75849999999999995</v>
      </c>
      <c r="F50">
        <v>763708</v>
      </c>
      <c r="G50">
        <v>0.75849999999999995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-0.69332079021636928</v>
      </c>
      <c r="Q50">
        <f t="shared" ref="Q50" si="226">F50*P50</f>
        <v>-529494.63405456289</v>
      </c>
      <c r="R50">
        <f t="shared" ref="R50" si="227">R51+Q50</f>
        <v>-265261782.68890437</v>
      </c>
      <c r="S50">
        <f t="shared" ref="S50" si="228">R50/100000</f>
        <v>-2652.617826889044</v>
      </c>
      <c r="T50">
        <f t="shared" ref="T50" si="229">S50/1000</f>
        <v>-2.6526178268890441</v>
      </c>
    </row>
    <row r="51" spans="1:20" x14ac:dyDescent="0.25">
      <c r="A51" s="5">
        <v>44542</v>
      </c>
      <c r="B51">
        <v>0.8498</v>
      </c>
      <c r="C51">
        <v>0.85119999999999996</v>
      </c>
      <c r="D51">
        <v>0.81430000000000002</v>
      </c>
      <c r="E51">
        <v>0.84430000000000005</v>
      </c>
      <c r="F51">
        <v>435973</v>
      </c>
      <c r="G51">
        <v>0.84430000000000005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0.62601626016260603</v>
      </c>
      <c r="Q51">
        <f t="shared" ref="Q51" si="231">F51*P51</f>
        <v>272926.18699187186</v>
      </c>
      <c r="R51">
        <f t="shared" ref="R51" si="232">R52+Q51</f>
        <v>-264732288.0548498</v>
      </c>
      <c r="S51">
        <f t="shared" ref="S51" si="233">R51/100000</f>
        <v>-2647.3228805484982</v>
      </c>
      <c r="T51">
        <f t="shared" ref="T51" si="234">S51/1000</f>
        <v>-2.6473228805484981</v>
      </c>
    </row>
    <row r="52" spans="1:20" x14ac:dyDescent="0.25">
      <c r="A52" s="5">
        <v>44541</v>
      </c>
      <c r="B52">
        <v>0.81889999999999996</v>
      </c>
      <c r="C52">
        <v>0.84430000000000005</v>
      </c>
      <c r="D52">
        <v>0.79630000000000001</v>
      </c>
      <c r="E52">
        <v>0.81879999999999997</v>
      </c>
      <c r="F52">
        <v>85239</v>
      </c>
      <c r="G52">
        <v>0.81879999999999997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-6.2500000000002318E-2</v>
      </c>
      <c r="Q52">
        <f t="shared" ref="Q52" si="236">F52*P52</f>
        <v>-5327.4375000001974</v>
      </c>
      <c r="R52">
        <f t="shared" ref="R52" si="237">R53+Q52</f>
        <v>-265005214.24184167</v>
      </c>
      <c r="S52">
        <f t="shared" ref="S52" si="238">R52/100000</f>
        <v>-2650.0521424184167</v>
      </c>
      <c r="T52">
        <f t="shared" ref="T52" si="239">S52/1000</f>
        <v>-2.6500521424184167</v>
      </c>
    </row>
    <row r="53" spans="1:20" x14ac:dyDescent="0.25">
      <c r="A53" s="5">
        <v>44540</v>
      </c>
      <c r="B53">
        <v>0.86</v>
      </c>
      <c r="C53">
        <v>0.873</v>
      </c>
      <c r="D53">
        <v>0.80530000000000002</v>
      </c>
      <c r="E53">
        <v>0.81710000000000005</v>
      </c>
      <c r="F53">
        <v>845752</v>
      </c>
      <c r="G53">
        <v>0.81710000000000005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-0.65140324963072271</v>
      </c>
      <c r="Q53">
        <f t="shared" ref="Q53" si="241">F53*P53</f>
        <v>-550925.60118168301</v>
      </c>
      <c r="R53">
        <f t="shared" ref="R53" si="242">R54+Q53</f>
        <v>-264999886.80434167</v>
      </c>
      <c r="S53">
        <f t="shared" ref="S53" si="243">R53/100000</f>
        <v>-2649.9988680434167</v>
      </c>
      <c r="T53">
        <f t="shared" ref="T53" si="244">S53/1000</f>
        <v>-2.6499988680434168</v>
      </c>
    </row>
    <row r="54" spans="1:20" x14ac:dyDescent="0.25">
      <c r="A54" s="5">
        <v>44539</v>
      </c>
      <c r="B54">
        <v>0.9637</v>
      </c>
      <c r="C54">
        <v>0.96479999999999999</v>
      </c>
      <c r="D54">
        <v>0.86</v>
      </c>
      <c r="E54">
        <v>0.86199999999999999</v>
      </c>
      <c r="F54">
        <v>579983</v>
      </c>
      <c r="G54">
        <v>0.86199999999999999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-0.96183206106870223</v>
      </c>
      <c r="Q54">
        <f t="shared" ref="Q54" si="246">F54*P54</f>
        <v>-557846.24427480914</v>
      </c>
      <c r="R54">
        <f t="shared" ref="R54" si="247">R55+Q54</f>
        <v>-264448961.20315999</v>
      </c>
      <c r="S54">
        <f t="shared" ref="S54" si="248">R54/100000</f>
        <v>-2644.4896120315998</v>
      </c>
      <c r="T54">
        <f t="shared" ref="T54" si="249">S54/1000</f>
        <v>-2.6444896120315997</v>
      </c>
    </row>
    <row r="55" spans="1:20" x14ac:dyDescent="0.25">
      <c r="A55" s="5">
        <v>44538</v>
      </c>
      <c r="B55">
        <v>0.8911</v>
      </c>
      <c r="C55">
        <v>0.97</v>
      </c>
      <c r="D55">
        <v>0.85640000000000005</v>
      </c>
      <c r="E55">
        <v>0.96389999999999998</v>
      </c>
      <c r="F55">
        <v>1848121</v>
      </c>
      <c r="G55">
        <v>0.96389999999999998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0.89260563380281688</v>
      </c>
      <c r="Q55">
        <f t="shared" ref="Q55" si="251">F55*P55</f>
        <v>1649643.2165492957</v>
      </c>
      <c r="R55">
        <f t="shared" ref="R55" si="252">R56+Q55</f>
        <v>-263891114.95888519</v>
      </c>
      <c r="S55">
        <f t="shared" ref="S55" si="253">R55/100000</f>
        <v>-2638.9111495888519</v>
      </c>
      <c r="T55">
        <f t="shared" ref="T55" si="254">S55/1000</f>
        <v>-2.6389111495888518</v>
      </c>
    </row>
    <row r="56" spans="1:20" x14ac:dyDescent="0.25">
      <c r="A56" s="5">
        <v>44537</v>
      </c>
      <c r="B56">
        <v>0.89449999999999996</v>
      </c>
      <c r="C56">
        <v>0.93610000000000004</v>
      </c>
      <c r="D56">
        <v>0.86319999999999997</v>
      </c>
      <c r="E56">
        <v>0.88790000000000002</v>
      </c>
      <c r="F56">
        <v>1355448</v>
      </c>
      <c r="G56">
        <v>0.88790000000000002</v>
      </c>
      <c r="L56" t="s">
        <v>7</v>
      </c>
      <c r="M56" t="s">
        <v>8</v>
      </c>
      <c r="N56" t="s">
        <v>7</v>
      </c>
      <c r="P56">
        <f t="shared" ref="P56" si="255">IF(C56=D56,0,((E56-D56)-(C56-E56))/(C56-D56))</f>
        <v>-0.32235939643346967</v>
      </c>
      <c r="Q56">
        <f t="shared" ref="Q56" si="256">F56*P56</f>
        <v>-436941.39917695359</v>
      </c>
      <c r="R56">
        <f t="shared" ref="R56" si="257">R57+Q56</f>
        <v>-265540758.1754345</v>
      </c>
      <c r="S56">
        <f t="shared" ref="S56" si="258">R56/100000</f>
        <v>-2655.4075817543448</v>
      </c>
      <c r="T56">
        <f t="shared" ref="T56" si="259">S56/1000</f>
        <v>-2.655407581754345</v>
      </c>
    </row>
    <row r="57" spans="1:20" x14ac:dyDescent="0.25">
      <c r="A57" s="5">
        <v>44536</v>
      </c>
      <c r="B57">
        <v>0.84119999999999995</v>
      </c>
      <c r="C57">
        <v>0.99</v>
      </c>
      <c r="D57">
        <v>0.76339999999999997</v>
      </c>
      <c r="E57">
        <v>0.89710000000000001</v>
      </c>
      <c r="F57">
        <v>5333244</v>
      </c>
      <c r="G57">
        <v>0.89710000000000001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0.18005295675198613</v>
      </c>
      <c r="Q57">
        <f t="shared" ref="Q57" si="261">F57*P57</f>
        <v>960266.35127978947</v>
      </c>
      <c r="R57">
        <f t="shared" ref="R57" si="262">R58+Q57</f>
        <v>-265103816.77625754</v>
      </c>
      <c r="S57">
        <f t="shared" ref="S57" si="263">R57/100000</f>
        <v>-2651.0381677625755</v>
      </c>
      <c r="T57">
        <f t="shared" ref="T57" si="264">S57/1000</f>
        <v>-2.6510381677625756</v>
      </c>
    </row>
    <row r="58" spans="1:20" x14ac:dyDescent="0.25">
      <c r="A58" s="5">
        <v>44535</v>
      </c>
      <c r="B58">
        <v>0.90480000000000005</v>
      </c>
      <c r="C58">
        <v>0.92930000000000001</v>
      </c>
      <c r="D58">
        <v>0.80630000000000002</v>
      </c>
      <c r="E58">
        <v>0.8387</v>
      </c>
      <c r="F58">
        <v>1982636</v>
      </c>
      <c r="G58">
        <v>0.8387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-0.47317073170731733</v>
      </c>
      <c r="Q58">
        <f t="shared" ref="Q58" si="266">F58*P58</f>
        <v>-938125.32682926883</v>
      </c>
      <c r="R58">
        <f t="shared" ref="R58" si="267">R59+Q58</f>
        <v>-266064083.12753734</v>
      </c>
      <c r="S58">
        <f t="shared" ref="S58" si="268">R58/100000</f>
        <v>-2660.6408312753733</v>
      </c>
      <c r="T58">
        <f t="shared" ref="T58" si="269">S58/1000</f>
        <v>-2.6606408312753733</v>
      </c>
    </row>
    <row r="59" spans="1:20" x14ac:dyDescent="0.25">
      <c r="A59" s="5">
        <v>44534</v>
      </c>
      <c r="B59">
        <v>1.0720000000000001</v>
      </c>
      <c r="C59">
        <v>1.079</v>
      </c>
      <c r="D59">
        <v>0.77180000000000004</v>
      </c>
      <c r="E59">
        <v>0.90480000000000005</v>
      </c>
      <c r="F59">
        <v>3280015.16</v>
      </c>
      <c r="G59">
        <v>0.90480000000000005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-0.13411458333333307</v>
      </c>
      <c r="Q59">
        <f t="shared" ref="Q59" si="271">F59*P59</f>
        <v>-439897.8665104158</v>
      </c>
      <c r="R59">
        <f t="shared" ref="R59" si="272">R60+Q59</f>
        <v>-265125957.80070809</v>
      </c>
      <c r="S59">
        <f t="shared" ref="S59" si="273">R59/100000</f>
        <v>-2651.259578007081</v>
      </c>
      <c r="T59">
        <f t="shared" ref="T59" si="274">S59/1000</f>
        <v>-2.6512595780070809</v>
      </c>
    </row>
    <row r="60" spans="1:20" x14ac:dyDescent="0.25">
      <c r="A60" s="5">
        <v>44533</v>
      </c>
      <c r="B60">
        <v>1.1160000000000001</v>
      </c>
      <c r="C60">
        <v>1.141</v>
      </c>
      <c r="D60">
        <v>1.0495000000000001</v>
      </c>
      <c r="E60">
        <v>1.0728</v>
      </c>
      <c r="F60">
        <v>2639628</v>
      </c>
      <c r="G60">
        <v>1.0728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-0.49071038251366345</v>
      </c>
      <c r="Q60">
        <f t="shared" ref="Q60" si="276">F60*P60</f>
        <v>-1295292.8655737764</v>
      </c>
      <c r="R60">
        <f t="shared" ref="R60" si="277">R61+Q60</f>
        <v>-264686059.93419766</v>
      </c>
      <c r="S60">
        <f t="shared" ref="S60" si="278">R60/100000</f>
        <v>-2646.8605993419765</v>
      </c>
      <c r="T60">
        <f t="shared" ref="T60" si="279">S60/1000</f>
        <v>-2.6468605993419763</v>
      </c>
    </row>
    <row r="61" spans="1:20" x14ac:dyDescent="0.25">
      <c r="A61" s="5">
        <v>44532</v>
      </c>
      <c r="B61">
        <v>1.1259999999999999</v>
      </c>
      <c r="C61">
        <v>1.1355</v>
      </c>
      <c r="D61">
        <v>1.0889</v>
      </c>
      <c r="E61">
        <v>1.1161000000000001</v>
      </c>
      <c r="F61">
        <v>908892</v>
      </c>
      <c r="G61">
        <v>1.1161000000000001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0.16738197424893253</v>
      </c>
      <c r="Q61">
        <f t="shared" ref="Q61" si="281">F61*P61</f>
        <v>152132.13733906078</v>
      </c>
      <c r="R61">
        <f t="shared" ref="R61" si="282">R62+Q61</f>
        <v>-263390767.0686239</v>
      </c>
      <c r="S61">
        <f t="shared" ref="S61" si="283">R61/100000</f>
        <v>-2633.9076706862388</v>
      </c>
      <c r="T61">
        <f t="shared" ref="T61" si="284">S61/1000</f>
        <v>-2.6339076706862388</v>
      </c>
    </row>
    <row r="62" spans="1:20" x14ac:dyDescent="0.25">
      <c r="A62" s="5">
        <v>44531</v>
      </c>
      <c r="B62">
        <v>1.127</v>
      </c>
      <c r="C62">
        <v>1.1420999999999999</v>
      </c>
      <c r="D62">
        <v>1.1099000000000001</v>
      </c>
      <c r="E62">
        <v>1.1267</v>
      </c>
      <c r="F62">
        <v>1043979</v>
      </c>
      <c r="G62">
        <v>1.1267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4.3478260869567617E-2</v>
      </c>
      <c r="Q62">
        <f t="shared" ref="Q62" si="286">F62*P62</f>
        <v>45390.391304350334</v>
      </c>
      <c r="R62">
        <f t="shared" ref="R62" si="287">R63+Q62</f>
        <v>-263542899.20596296</v>
      </c>
      <c r="S62">
        <f t="shared" ref="S62" si="288">R62/100000</f>
        <v>-2635.4289920596298</v>
      </c>
      <c r="T62">
        <f t="shared" ref="T62" si="289">S62/1000</f>
        <v>-2.6354289920596297</v>
      </c>
    </row>
    <row r="63" spans="1:20" x14ac:dyDescent="0.25">
      <c r="A63" s="5">
        <v>44530</v>
      </c>
      <c r="B63">
        <v>1.149</v>
      </c>
      <c r="C63">
        <v>1.1535</v>
      </c>
      <c r="D63">
        <v>1.1040000000000001</v>
      </c>
      <c r="E63">
        <v>1.1253</v>
      </c>
      <c r="F63">
        <v>805353</v>
      </c>
      <c r="G63">
        <v>1.1253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-0.13939393939394232</v>
      </c>
      <c r="Q63">
        <f t="shared" ref="Q63" si="291">F63*P63</f>
        <v>-112261.32727272963</v>
      </c>
      <c r="R63">
        <f t="shared" ref="R63" si="292">R64+Q63</f>
        <v>-263588289.5972673</v>
      </c>
      <c r="S63">
        <f t="shared" ref="S63" si="293">R63/100000</f>
        <v>-2635.8828959726729</v>
      </c>
      <c r="T63">
        <f t="shared" ref="T63" si="294">S63/1000</f>
        <v>-2.635882895972673</v>
      </c>
    </row>
    <row r="64" spans="1:20" x14ac:dyDescent="0.25">
      <c r="A64" s="5">
        <v>44529</v>
      </c>
      <c r="B64">
        <v>1.1113</v>
      </c>
      <c r="C64">
        <v>1.157</v>
      </c>
      <c r="D64">
        <v>1.0972</v>
      </c>
      <c r="E64">
        <v>1.1477999999999999</v>
      </c>
      <c r="F64">
        <v>739703</v>
      </c>
      <c r="G64">
        <v>1.1477999999999999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0.6923076923076894</v>
      </c>
      <c r="Q64">
        <f t="shared" ref="Q64" si="296">F64*P64</f>
        <v>512102.07692307478</v>
      </c>
      <c r="R64">
        <f t="shared" ref="R64" si="297">R65+Q64</f>
        <v>-263476028.26999456</v>
      </c>
      <c r="S64">
        <f t="shared" ref="S64" si="298">R64/100000</f>
        <v>-2634.7602826999455</v>
      </c>
      <c r="T64">
        <f t="shared" ref="T64" si="299">S64/1000</f>
        <v>-2.6347602826999457</v>
      </c>
    </row>
    <row r="65" spans="1:20" x14ac:dyDescent="0.25">
      <c r="A65" s="5">
        <v>44528</v>
      </c>
      <c r="B65">
        <v>1.1079000000000001</v>
      </c>
      <c r="C65">
        <v>1.1224000000000001</v>
      </c>
      <c r="D65">
        <v>1.0558000000000001</v>
      </c>
      <c r="E65">
        <v>1.1145</v>
      </c>
      <c r="F65">
        <v>648658</v>
      </c>
      <c r="G65">
        <v>1.1145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0.76276276276276223</v>
      </c>
      <c r="Q65">
        <f t="shared" ref="Q65" si="301">F65*P65</f>
        <v>494772.16816816782</v>
      </c>
      <c r="R65">
        <f t="shared" ref="R65" si="302">R66+Q65</f>
        <v>-263988130.34691763</v>
      </c>
      <c r="S65">
        <f t="shared" ref="S65" si="303">R65/100000</f>
        <v>-2639.8813034691761</v>
      </c>
      <c r="T65">
        <f t="shared" ref="T65" si="304">S65/1000</f>
        <v>-2.6398813034691759</v>
      </c>
    </row>
    <row r="66" spans="1:20" x14ac:dyDescent="0.25">
      <c r="A66" s="5">
        <v>44527</v>
      </c>
      <c r="B66">
        <v>1.097</v>
      </c>
      <c r="C66">
        <v>1.135</v>
      </c>
      <c r="D66">
        <v>1.0801000000000001</v>
      </c>
      <c r="E66">
        <v>1.1120000000000001</v>
      </c>
      <c r="F66">
        <v>847036</v>
      </c>
      <c r="G66">
        <v>1.1120000000000001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0.16211293260473841</v>
      </c>
      <c r="Q66">
        <f t="shared" ref="Q66" si="306">F66*P66</f>
        <v>137315.48998178722</v>
      </c>
      <c r="R66">
        <f t="shared" ref="R66" si="307">R67+Q66</f>
        <v>-264482902.51508579</v>
      </c>
      <c r="S66">
        <f t="shared" ref="S66" si="308">R66/100000</f>
        <v>-2644.8290251508579</v>
      </c>
      <c r="T66">
        <f t="shared" ref="T66" si="309">S66/1000</f>
        <v>-2.6448290251508579</v>
      </c>
    </row>
    <row r="67" spans="1:20" x14ac:dyDescent="0.25">
      <c r="A67" s="5">
        <v>44526</v>
      </c>
      <c r="B67">
        <v>1.1465000000000001</v>
      </c>
      <c r="C67">
        <v>1.1712</v>
      </c>
      <c r="D67">
        <v>1.0373000000000001</v>
      </c>
      <c r="E67">
        <v>1.0976999999999999</v>
      </c>
      <c r="F67">
        <v>1793599</v>
      </c>
      <c r="G67">
        <v>1.0976999999999999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-9.783420463032369E-2</v>
      </c>
      <c r="Q67">
        <f t="shared" ref="Q67" si="311">F67*P67</f>
        <v>-175475.33159074394</v>
      </c>
      <c r="R67">
        <f t="shared" ref="R67" si="312">R68+Q67</f>
        <v>-264620218.00506759</v>
      </c>
      <c r="S67">
        <f t="shared" ref="S67" si="313">R67/100000</f>
        <v>-2646.2021800506759</v>
      </c>
      <c r="T67">
        <f t="shared" ref="T67" si="314">S67/1000</f>
        <v>-2.6462021800506759</v>
      </c>
    </row>
    <row r="68" spans="1:20" x14ac:dyDescent="0.25">
      <c r="A68" s="5">
        <v>44525</v>
      </c>
      <c r="B68">
        <v>1.1164000000000001</v>
      </c>
      <c r="C68">
        <v>1.1466000000000001</v>
      </c>
      <c r="D68">
        <v>1.1031</v>
      </c>
      <c r="E68">
        <v>1.1457999999999999</v>
      </c>
      <c r="F68">
        <v>1611103</v>
      </c>
      <c r="G68">
        <v>1.1457999999999999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0.9632183908045916</v>
      </c>
      <c r="Q68">
        <f t="shared" ref="Q68" si="316">F68*P68</f>
        <v>1551844.0390804498</v>
      </c>
      <c r="R68">
        <f t="shared" ref="R68" si="317">R69+Q68</f>
        <v>-264444742.67347685</v>
      </c>
      <c r="S68">
        <f t="shared" ref="S68" si="318">R68/100000</f>
        <v>-2644.4474267347687</v>
      </c>
      <c r="T68">
        <f t="shared" ref="T68" si="319">S68/1000</f>
        <v>-2.6444474267347688</v>
      </c>
    </row>
    <row r="69" spans="1:20" x14ac:dyDescent="0.25">
      <c r="A69" s="5">
        <v>44524</v>
      </c>
      <c r="B69">
        <v>1.1521999999999999</v>
      </c>
      <c r="C69">
        <v>1.1521999999999999</v>
      </c>
      <c r="D69">
        <v>1.1049</v>
      </c>
      <c r="E69">
        <v>1.1153</v>
      </c>
      <c r="F69">
        <v>446250</v>
      </c>
      <c r="G69">
        <v>1.1153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-0.56025369978858408</v>
      </c>
      <c r="Q69">
        <f t="shared" ref="Q69" si="321">F69*P69</f>
        <v>-250013.21353065566</v>
      </c>
      <c r="R69">
        <f t="shared" ref="R69" si="322">R70+Q69</f>
        <v>-265996586.71255729</v>
      </c>
      <c r="S69">
        <f t="shared" ref="S69" si="323">R69/100000</f>
        <v>-2659.9658671255729</v>
      </c>
      <c r="T69">
        <f t="shared" ref="T69" si="324">S69/1000</f>
        <v>-2.6599658671255728</v>
      </c>
    </row>
    <row r="70" spans="1:20" x14ac:dyDescent="0.25">
      <c r="A70" s="5">
        <v>44523</v>
      </c>
      <c r="B70">
        <v>1.1332</v>
      </c>
      <c r="C70">
        <v>1.1546000000000001</v>
      </c>
      <c r="D70">
        <v>1.1017999999999999</v>
      </c>
      <c r="E70">
        <v>1.1501999999999999</v>
      </c>
      <c r="F70">
        <v>829376</v>
      </c>
      <c r="G70">
        <v>1.1501999999999999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0.83333333333332704</v>
      </c>
      <c r="Q70">
        <f t="shared" ref="Q70" si="326">F70*P70</f>
        <v>691146.66666666151</v>
      </c>
      <c r="R70">
        <f t="shared" ref="R70" si="327">R71+Q70</f>
        <v>-265746573.49902663</v>
      </c>
      <c r="S70">
        <f t="shared" ref="S70" si="328">R70/100000</f>
        <v>-2657.4657349902664</v>
      </c>
      <c r="T70">
        <f t="shared" ref="T70" si="329">S70/1000</f>
        <v>-2.6574657349902662</v>
      </c>
    </row>
    <row r="71" spans="1:20" x14ac:dyDescent="0.25">
      <c r="A71" s="5">
        <v>44522</v>
      </c>
      <c r="B71">
        <v>1.1875</v>
      </c>
      <c r="C71">
        <v>1.2165999999999999</v>
      </c>
      <c r="D71">
        <v>1.1216999999999999</v>
      </c>
      <c r="E71">
        <v>1.1367</v>
      </c>
      <c r="F71">
        <v>1294421</v>
      </c>
      <c r="G71">
        <v>1.1367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-0.6838777660695442</v>
      </c>
      <c r="Q71">
        <f t="shared" ref="Q71" si="331">F71*P71</f>
        <v>-885225.74183350545</v>
      </c>
      <c r="R71">
        <f t="shared" ref="R71" si="332">R72+Q71</f>
        <v>-266437720.16569328</v>
      </c>
      <c r="S71">
        <f t="shared" ref="S71" si="333">R71/100000</f>
        <v>-2664.3772016569328</v>
      </c>
      <c r="T71">
        <f t="shared" ref="T71" si="334">S71/1000</f>
        <v>-2.6643772016569329</v>
      </c>
    </row>
    <row r="72" spans="1:20" x14ac:dyDescent="0.25">
      <c r="A72" s="5">
        <v>44521</v>
      </c>
      <c r="B72">
        <v>1.1944999999999999</v>
      </c>
      <c r="C72">
        <v>1.2231000000000001</v>
      </c>
      <c r="D72">
        <v>1.1533</v>
      </c>
      <c r="E72">
        <v>1.1865000000000001</v>
      </c>
      <c r="F72">
        <v>1306292</v>
      </c>
      <c r="G72">
        <v>1.1865000000000001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-4.8710601719195466E-2</v>
      </c>
      <c r="Q72">
        <f t="shared" ref="Q72" si="336">F72*P72</f>
        <v>-63630.269340971281</v>
      </c>
      <c r="R72">
        <f t="shared" ref="R72" si="337">R73+Q72</f>
        <v>-265552494.42385978</v>
      </c>
      <c r="S72">
        <f t="shared" ref="S72" si="338">R72/100000</f>
        <v>-2655.5249442385975</v>
      </c>
      <c r="T72">
        <f t="shared" ref="T72" si="339">S72/1000</f>
        <v>-2.6555249442385973</v>
      </c>
    </row>
    <row r="73" spans="1:20" x14ac:dyDescent="0.25">
      <c r="A73" s="5">
        <v>44520</v>
      </c>
      <c r="B73">
        <v>1.1589</v>
      </c>
      <c r="C73">
        <v>1.1944999999999999</v>
      </c>
      <c r="D73">
        <v>1.1356999999999999</v>
      </c>
      <c r="E73">
        <v>1.1944999999999999</v>
      </c>
      <c r="F73">
        <v>1202402</v>
      </c>
      <c r="G73">
        <v>1.1944999999999999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1</v>
      </c>
      <c r="Q73">
        <f t="shared" ref="Q73" si="341">F73*P73</f>
        <v>1202402</v>
      </c>
      <c r="R73">
        <f t="shared" ref="R73" si="342">R74+Q73</f>
        <v>-265488864.15451881</v>
      </c>
      <c r="S73">
        <f t="shared" ref="S73" si="343">R73/100000</f>
        <v>-2654.888641545188</v>
      </c>
      <c r="T73">
        <f t="shared" ref="T73" si="344">S73/1000</f>
        <v>-2.6548886415451878</v>
      </c>
    </row>
    <row r="74" spans="1:20" x14ac:dyDescent="0.25">
      <c r="A74" s="5">
        <v>44519</v>
      </c>
      <c r="B74">
        <v>1.1256999999999999</v>
      </c>
      <c r="C74">
        <v>1.1603000000000001</v>
      </c>
      <c r="D74">
        <v>1.0682</v>
      </c>
      <c r="E74">
        <v>1.1586000000000001</v>
      </c>
      <c r="F74">
        <v>2572260</v>
      </c>
      <c r="G74">
        <v>1.1586000000000001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0.96308360477741517</v>
      </c>
      <c r="Q74">
        <f t="shared" ref="Q74" si="346">F74*P74</f>
        <v>2477301.4332247539</v>
      </c>
      <c r="R74">
        <f t="shared" ref="R74" si="347">R75+Q74</f>
        <v>-266691266.15451881</v>
      </c>
      <c r="S74">
        <f t="shared" ref="S74" si="348">R74/100000</f>
        <v>-2666.9126615451883</v>
      </c>
      <c r="T74">
        <f t="shared" ref="T74" si="349">S74/1000</f>
        <v>-2.6669126615451884</v>
      </c>
    </row>
    <row r="75" spans="1:20" x14ac:dyDescent="0.25">
      <c r="A75" s="5">
        <v>44518</v>
      </c>
      <c r="B75">
        <v>1.2139</v>
      </c>
      <c r="C75">
        <v>1.234</v>
      </c>
      <c r="D75">
        <v>1.0912999999999999</v>
      </c>
      <c r="E75">
        <v>1.1267</v>
      </c>
      <c r="F75">
        <v>2086203</v>
      </c>
      <c r="G75">
        <v>1.1267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-0.50385423966362874</v>
      </c>
      <c r="Q75">
        <f t="shared" ref="Q75" si="351">F75*P75</f>
        <v>-1051142.2263489813</v>
      </c>
      <c r="R75">
        <f t="shared" ref="R75" si="352">R76+Q75</f>
        <v>-269168567.58774358</v>
      </c>
      <c r="S75">
        <f t="shared" ref="S75" si="353">R75/100000</f>
        <v>-2691.6856758774356</v>
      </c>
      <c r="T75">
        <f t="shared" ref="T75" si="354">S75/1000</f>
        <v>-2.6916856758774355</v>
      </c>
    </row>
    <row r="76" spans="1:20" x14ac:dyDescent="0.25">
      <c r="A76" s="5">
        <v>44517</v>
      </c>
      <c r="B76">
        <v>1.1435999999999999</v>
      </c>
      <c r="C76">
        <v>1.2277</v>
      </c>
      <c r="D76">
        <v>1.1104000000000001</v>
      </c>
      <c r="E76">
        <v>1.2172000000000001</v>
      </c>
      <c r="F76">
        <v>2200102</v>
      </c>
      <c r="G76">
        <v>1.2172000000000001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0.82097186700767333</v>
      </c>
      <c r="Q76">
        <f t="shared" ref="Q76" si="356">F76*P76</f>
        <v>1806221.8465473161</v>
      </c>
      <c r="R76">
        <f t="shared" ref="R76" si="357">R77+Q76</f>
        <v>-268117425.36139458</v>
      </c>
      <c r="S76">
        <f t="shared" ref="S76" si="358">R76/100000</f>
        <v>-2681.1742536139459</v>
      </c>
      <c r="T76">
        <f t="shared" ref="T76" si="359">S76/1000</f>
        <v>-2.6811742536139458</v>
      </c>
    </row>
    <row r="77" spans="1:20" x14ac:dyDescent="0.25">
      <c r="A77" s="5">
        <v>44516</v>
      </c>
      <c r="B77">
        <v>1.1954</v>
      </c>
      <c r="C77">
        <v>1.1973</v>
      </c>
      <c r="D77">
        <v>1.0844</v>
      </c>
      <c r="E77">
        <v>1.1458999999999999</v>
      </c>
      <c r="F77">
        <v>2481827</v>
      </c>
      <c r="G77">
        <v>1.1458999999999999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8.9459698848536537E-2</v>
      </c>
      <c r="Q77">
        <f t="shared" ref="Q77" si="361">F77*P77</f>
        <v>222023.49601416689</v>
      </c>
      <c r="R77">
        <f t="shared" ref="R77" si="362">R78+Q77</f>
        <v>-269923647.20794189</v>
      </c>
      <c r="S77">
        <f t="shared" ref="S77" si="363">R77/100000</f>
        <v>-2699.2364720794189</v>
      </c>
      <c r="T77">
        <f t="shared" ref="T77" si="364">S77/1000</f>
        <v>-2.6992364720794191</v>
      </c>
    </row>
    <row r="78" spans="1:20" x14ac:dyDescent="0.25">
      <c r="A78" s="5">
        <v>44515</v>
      </c>
      <c r="B78">
        <v>1.1834</v>
      </c>
      <c r="C78">
        <v>1.21</v>
      </c>
      <c r="D78">
        <v>1.1692</v>
      </c>
      <c r="E78">
        <v>1.1954</v>
      </c>
      <c r="F78">
        <v>1100549</v>
      </c>
      <c r="G78">
        <v>1.1954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0.28431372549019779</v>
      </c>
      <c r="Q78">
        <f t="shared" ref="Q78" si="366">F78*P78</f>
        <v>312901.18627451168</v>
      </c>
      <c r="R78">
        <f t="shared" ref="R78" si="367">R79+Q78</f>
        <v>-270145670.70395607</v>
      </c>
      <c r="S78">
        <f t="shared" ref="S78" si="368">R78/100000</f>
        <v>-2701.4567070395606</v>
      </c>
      <c r="T78">
        <f t="shared" ref="T78" si="369">S78/1000</f>
        <v>-2.7014567070395605</v>
      </c>
    </row>
    <row r="79" spans="1:20" x14ac:dyDescent="0.25">
      <c r="A79" s="5">
        <v>44514</v>
      </c>
      <c r="B79">
        <v>1.1891</v>
      </c>
      <c r="C79">
        <v>1.1902999999999999</v>
      </c>
      <c r="D79">
        <v>1.1584000000000001</v>
      </c>
      <c r="E79">
        <v>1.1851</v>
      </c>
      <c r="F79">
        <v>558935</v>
      </c>
      <c r="G79">
        <v>1.1851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0.67398119122257671</v>
      </c>
      <c r="Q79">
        <f t="shared" ref="Q79" si="371">F79*P79</f>
        <v>376711.6771159909</v>
      </c>
      <c r="R79">
        <f t="shared" ref="R79" si="372">R80+Q79</f>
        <v>-270458571.8902306</v>
      </c>
      <c r="S79">
        <f t="shared" ref="S79" si="373">R79/100000</f>
        <v>-2704.5857189023059</v>
      </c>
      <c r="T79">
        <f t="shared" ref="T79" si="374">S79/1000</f>
        <v>-2.7045857189023059</v>
      </c>
    </row>
    <row r="80" spans="1:20" x14ac:dyDescent="0.25">
      <c r="A80" s="5">
        <v>44513</v>
      </c>
      <c r="B80">
        <v>1.1623000000000001</v>
      </c>
      <c r="C80">
        <v>1.1971000000000001</v>
      </c>
      <c r="D80">
        <v>1.1508</v>
      </c>
      <c r="E80">
        <v>1.1890000000000001</v>
      </c>
      <c r="F80">
        <v>783979</v>
      </c>
      <c r="G80">
        <v>1.1890000000000001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0.65010799136069142</v>
      </c>
      <c r="Q80">
        <f t="shared" ref="Q80" si="376">F80*P80</f>
        <v>509671.01295896352</v>
      </c>
      <c r="R80">
        <f t="shared" ref="R80" si="377">R81+Q80</f>
        <v>-270835283.56734657</v>
      </c>
      <c r="S80">
        <f t="shared" ref="S80" si="378">R80/100000</f>
        <v>-2708.3528356734655</v>
      </c>
      <c r="T80">
        <f t="shared" ref="T80" si="379">S80/1000</f>
        <v>-2.7083528356734656</v>
      </c>
    </row>
    <row r="81" spans="1:20" x14ac:dyDescent="0.25">
      <c r="A81" s="5">
        <v>44512</v>
      </c>
      <c r="B81">
        <v>1.1815</v>
      </c>
      <c r="C81">
        <v>1.2016</v>
      </c>
      <c r="D81">
        <v>1.1254</v>
      </c>
      <c r="E81">
        <v>1.1624000000000001</v>
      </c>
      <c r="F81">
        <v>872219</v>
      </c>
      <c r="G81">
        <v>1.1624000000000001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-2.887139107611229E-2</v>
      </c>
      <c r="Q81">
        <f t="shared" ref="Q81" si="381">F81*P81</f>
        <v>-25182.175853015586</v>
      </c>
      <c r="R81">
        <f t="shared" ref="R81" si="382">R82+Q81</f>
        <v>-271344954.58030552</v>
      </c>
      <c r="S81">
        <f t="shared" ref="S81" si="383">R81/100000</f>
        <v>-2713.4495458030551</v>
      </c>
      <c r="T81">
        <f t="shared" ref="T81" si="384">S81/1000</f>
        <v>-2.713449545803055</v>
      </c>
    </row>
    <row r="82" spans="1:20" x14ac:dyDescent="0.25">
      <c r="A82" s="5">
        <v>44511</v>
      </c>
      <c r="B82">
        <v>1.1737</v>
      </c>
      <c r="C82">
        <v>1.2433000000000001</v>
      </c>
      <c r="D82">
        <v>1.1512</v>
      </c>
      <c r="E82">
        <v>1.1815</v>
      </c>
      <c r="F82">
        <v>1840026</v>
      </c>
      <c r="G82">
        <v>1.1815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-0.34201954397394202</v>
      </c>
      <c r="Q82">
        <f t="shared" ref="Q82" si="386">F82*P82</f>
        <v>-629324.85342019668</v>
      </c>
      <c r="R82">
        <f t="shared" ref="R82" si="387">R83+Q82</f>
        <v>-271319772.4044525</v>
      </c>
      <c r="S82">
        <f t="shared" ref="S82" si="388">R82/100000</f>
        <v>-2713.1977240445249</v>
      </c>
      <c r="T82">
        <f t="shared" ref="T82" si="389">S82/1000</f>
        <v>-2.7131977240445249</v>
      </c>
    </row>
    <row r="83" spans="1:20" x14ac:dyDescent="0.25">
      <c r="A83" s="5">
        <v>44510</v>
      </c>
      <c r="B83">
        <v>1.2783</v>
      </c>
      <c r="C83">
        <v>1.2934000000000001</v>
      </c>
      <c r="D83">
        <v>1.1595</v>
      </c>
      <c r="E83">
        <v>1.1742999999999999</v>
      </c>
      <c r="F83">
        <v>1641375</v>
      </c>
      <c r="G83">
        <v>1.1742999999999999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-0.77893950709484827</v>
      </c>
      <c r="Q83">
        <f t="shared" ref="Q83" si="391">F83*P83</f>
        <v>-1278531.8334578066</v>
      </c>
      <c r="R83">
        <f t="shared" ref="R83" si="392">R84+Q83</f>
        <v>-270690447.5510323</v>
      </c>
      <c r="S83">
        <f t="shared" ref="S83" si="393">R83/100000</f>
        <v>-2706.9044755103232</v>
      </c>
      <c r="T83">
        <f t="shared" ref="T83" si="394">S83/1000</f>
        <v>-2.7069044755103233</v>
      </c>
    </row>
    <row r="84" spans="1:20" x14ac:dyDescent="0.25">
      <c r="A84" s="5">
        <v>44509</v>
      </c>
      <c r="B84">
        <v>1.2397</v>
      </c>
      <c r="C84">
        <v>1.2849999999999999</v>
      </c>
      <c r="D84">
        <v>1.2219</v>
      </c>
      <c r="E84">
        <v>1.2809999999999999</v>
      </c>
      <c r="F84">
        <v>1447322</v>
      </c>
      <c r="G84">
        <v>1.2809999999999999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0.87321711568938165</v>
      </c>
      <c r="Q84">
        <f t="shared" ref="Q84" si="396">F84*P84</f>
        <v>1263826.3423137872</v>
      </c>
      <c r="R84">
        <f t="shared" ref="R84" si="397">R85+Q84</f>
        <v>-269411915.71757448</v>
      </c>
      <c r="S84">
        <f t="shared" ref="S84" si="398">R84/100000</f>
        <v>-2694.1191571757449</v>
      </c>
      <c r="T84">
        <f t="shared" ref="T84" si="399">S84/1000</f>
        <v>-2.694119157175745</v>
      </c>
    </row>
    <row r="85" spans="1:20" x14ac:dyDescent="0.25">
      <c r="A85" s="5">
        <v>44508</v>
      </c>
      <c r="B85">
        <v>1.2314000000000001</v>
      </c>
      <c r="C85">
        <v>1.2497</v>
      </c>
      <c r="D85">
        <v>1.2012</v>
      </c>
      <c r="E85">
        <v>1.2398</v>
      </c>
      <c r="F85">
        <v>892634</v>
      </c>
      <c r="G85">
        <v>1.2398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0.59175257731958675</v>
      </c>
      <c r="Q85">
        <f t="shared" ref="Q85" si="401">F85*P85</f>
        <v>528218.47010309203</v>
      </c>
      <c r="R85">
        <f t="shared" ref="R85" si="402">R86+Q85</f>
        <v>-270675742.05988824</v>
      </c>
      <c r="S85">
        <f t="shared" ref="S85" si="403">R85/100000</f>
        <v>-2706.7574205988826</v>
      </c>
      <c r="T85">
        <f t="shared" ref="T85" si="404">S85/1000</f>
        <v>-2.7067574205988825</v>
      </c>
    </row>
    <row r="86" spans="1:20" x14ac:dyDescent="0.25">
      <c r="A86" s="5">
        <v>44507</v>
      </c>
      <c r="B86">
        <v>1.2252000000000001</v>
      </c>
      <c r="C86">
        <v>1.2341</v>
      </c>
      <c r="D86">
        <v>1.2082999999999999</v>
      </c>
      <c r="E86">
        <v>1.2314000000000001</v>
      </c>
      <c r="F86">
        <v>547327</v>
      </c>
      <c r="G86">
        <v>1.2314000000000001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0.79069767441861083</v>
      </c>
      <c r="Q86">
        <f t="shared" ref="Q86" si="406">F86*P86</f>
        <v>432770.18604651501</v>
      </c>
      <c r="R86">
        <f t="shared" ref="R86" si="407">R87+Q86</f>
        <v>-271203960.52999133</v>
      </c>
      <c r="S86">
        <f t="shared" ref="S86" si="408">R86/100000</f>
        <v>-2712.0396052999131</v>
      </c>
      <c r="T86">
        <f t="shared" ref="T86" si="409">S86/1000</f>
        <v>-2.7120396052999132</v>
      </c>
    </row>
    <row r="87" spans="1:20" x14ac:dyDescent="0.25">
      <c r="A87" s="5">
        <v>44506</v>
      </c>
      <c r="B87">
        <v>1.2441</v>
      </c>
      <c r="C87">
        <v>1.2441</v>
      </c>
      <c r="D87">
        <v>1.1805000000000001</v>
      </c>
      <c r="E87">
        <v>1.2254</v>
      </c>
      <c r="F87">
        <v>1424013</v>
      </c>
      <c r="G87">
        <v>1.2254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0.41194968553459199</v>
      </c>
      <c r="Q87">
        <f t="shared" ref="Q87" si="411">F87*P87</f>
        <v>586621.70754717092</v>
      </c>
      <c r="R87">
        <f t="shared" ref="R87" si="412">R88+Q87</f>
        <v>-271636730.71603787</v>
      </c>
      <c r="S87">
        <f t="shared" ref="S87" si="413">R87/100000</f>
        <v>-2716.3673071603789</v>
      </c>
      <c r="T87">
        <f t="shared" ref="T87" si="414">S87/1000</f>
        <v>-2.7163673071603789</v>
      </c>
    </row>
    <row r="88" spans="1:20" x14ac:dyDescent="0.25">
      <c r="A88" s="5">
        <v>44505</v>
      </c>
      <c r="B88">
        <v>1.2873000000000001</v>
      </c>
      <c r="C88">
        <v>1.2890999999999999</v>
      </c>
      <c r="D88">
        <v>1.2390000000000001</v>
      </c>
      <c r="E88">
        <v>1.2430000000000001</v>
      </c>
      <c r="F88">
        <v>1140476</v>
      </c>
      <c r="G88">
        <v>1.2430000000000001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-0.84031936127744433</v>
      </c>
      <c r="Q88">
        <f t="shared" ref="Q88" si="416">F88*P88</f>
        <v>-958364.06387225457</v>
      </c>
      <c r="R88">
        <f t="shared" ref="R88" si="417">R89+Q88</f>
        <v>-272223352.42358506</v>
      </c>
      <c r="S88">
        <f t="shared" ref="S88" si="418">R88/100000</f>
        <v>-2722.2335242358504</v>
      </c>
      <c r="T88">
        <f t="shared" ref="T88" si="419">S88/1000</f>
        <v>-2.7222335242358504</v>
      </c>
    </row>
    <row r="89" spans="1:20" x14ac:dyDescent="0.25">
      <c r="A89" s="5">
        <v>44504</v>
      </c>
      <c r="B89">
        <v>1.2585999999999999</v>
      </c>
      <c r="C89">
        <v>1.3</v>
      </c>
      <c r="D89">
        <v>1.23</v>
      </c>
      <c r="E89">
        <v>1.2898000000000001</v>
      </c>
      <c r="F89">
        <v>1912698</v>
      </c>
      <c r="G89">
        <v>1.2898000000000001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0.70857142857142918</v>
      </c>
      <c r="Q89">
        <f t="shared" ref="Q89" si="421">F89*P89</f>
        <v>1355283.1542857154</v>
      </c>
      <c r="R89">
        <f t="shared" ref="R89" si="422">R90+Q89</f>
        <v>-271264988.35971278</v>
      </c>
      <c r="S89">
        <f t="shared" ref="S89" si="423">R89/100000</f>
        <v>-2712.6498835971279</v>
      </c>
      <c r="T89">
        <f t="shared" ref="T89" si="424">S89/1000</f>
        <v>-2.7126498835971278</v>
      </c>
    </row>
    <row r="90" spans="1:20" x14ac:dyDescent="0.25">
      <c r="A90" s="5">
        <v>44503</v>
      </c>
      <c r="B90">
        <v>1.2641</v>
      </c>
      <c r="C90">
        <v>1.2641</v>
      </c>
      <c r="D90">
        <v>1.1929000000000001</v>
      </c>
      <c r="E90">
        <v>1.2586999999999999</v>
      </c>
      <c r="F90">
        <v>1935053</v>
      </c>
      <c r="G90">
        <v>1.2586999999999999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0.84831460674157089</v>
      </c>
      <c r="Q90">
        <f t="shared" ref="Q90" si="426">F90*P90</f>
        <v>1641533.7247190969</v>
      </c>
      <c r="R90">
        <f t="shared" ref="R90" si="427">R91+Q90</f>
        <v>-272620271.51399851</v>
      </c>
      <c r="S90">
        <f t="shared" ref="S90" si="428">R90/100000</f>
        <v>-2726.2027151399852</v>
      </c>
      <c r="T90">
        <f t="shared" ref="T90" si="429">S90/1000</f>
        <v>-2.7262027151399852</v>
      </c>
    </row>
    <row r="91" spans="1:20" x14ac:dyDescent="0.25">
      <c r="A91" s="5">
        <v>44502</v>
      </c>
      <c r="B91">
        <v>1.2375</v>
      </c>
      <c r="C91">
        <v>1.2764</v>
      </c>
      <c r="D91">
        <v>1.2030000000000001</v>
      </c>
      <c r="E91">
        <v>1.2641</v>
      </c>
      <c r="F91">
        <v>1822855</v>
      </c>
      <c r="G91">
        <v>1.2641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0.66485013623978217</v>
      </c>
      <c r="Q91">
        <f t="shared" ref="Q91" si="431">F91*P91</f>
        <v>1211925.3950953681</v>
      </c>
      <c r="R91">
        <f t="shared" ref="R91" si="432">R92+Q91</f>
        <v>-274261805.23871762</v>
      </c>
      <c r="S91">
        <f t="shared" ref="S91" si="433">R91/100000</f>
        <v>-2742.6180523871762</v>
      </c>
      <c r="T91">
        <f t="shared" ref="T91" si="434">S91/1000</f>
        <v>-2.7426180523871762</v>
      </c>
    </row>
    <row r="92" spans="1:20" x14ac:dyDescent="0.25">
      <c r="A92" s="5">
        <v>44501</v>
      </c>
      <c r="B92">
        <v>1.2842</v>
      </c>
      <c r="C92">
        <v>1.335</v>
      </c>
      <c r="D92">
        <v>1.1870000000000001</v>
      </c>
      <c r="E92">
        <v>1.2381</v>
      </c>
      <c r="F92">
        <v>2863943</v>
      </c>
      <c r="G92">
        <v>1.2381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-0.30945945945946007</v>
      </c>
      <c r="Q92">
        <f t="shared" ref="Q92" si="436">F92*P92</f>
        <v>-886274.25270270451</v>
      </c>
      <c r="R92">
        <f t="shared" ref="R92" si="437">R93+Q92</f>
        <v>-275473730.63381296</v>
      </c>
      <c r="S92">
        <f t="shared" ref="S92" si="438">R92/100000</f>
        <v>-2754.7373063381297</v>
      </c>
      <c r="T92">
        <f t="shared" ref="T92" si="439">S92/1000</f>
        <v>-2.7547373063381295</v>
      </c>
    </row>
    <row r="93" spans="1:20" x14ac:dyDescent="0.25">
      <c r="A93" s="5">
        <v>44500</v>
      </c>
      <c r="B93">
        <v>1.2181999999999999</v>
      </c>
      <c r="C93">
        <v>1.286</v>
      </c>
      <c r="D93">
        <v>1.1678999999999999</v>
      </c>
      <c r="E93">
        <v>1.2843</v>
      </c>
      <c r="F93">
        <v>2815262</v>
      </c>
      <c r="G93">
        <v>1.2843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0.97121083827264976</v>
      </c>
      <c r="Q93">
        <f t="shared" ref="Q93" si="441">F93*P93</f>
        <v>2734212.9669771367</v>
      </c>
      <c r="R93">
        <f t="shared" ref="R93" si="442">R94+Q93</f>
        <v>-274587456.38111025</v>
      </c>
      <c r="S93">
        <f t="shared" ref="S93" si="443">R93/100000</f>
        <v>-2745.8745638111027</v>
      </c>
      <c r="T93">
        <f t="shared" ref="T93" si="444">S93/1000</f>
        <v>-2.7458745638111028</v>
      </c>
    </row>
    <row r="94" spans="1:20" x14ac:dyDescent="0.25">
      <c r="A94" s="5">
        <v>44499</v>
      </c>
      <c r="B94">
        <v>1.1782999999999999</v>
      </c>
      <c r="C94">
        <v>1.222</v>
      </c>
      <c r="D94">
        <v>1.1295999999999999</v>
      </c>
      <c r="E94">
        <v>1.2203999999999999</v>
      </c>
      <c r="F94">
        <v>1949487</v>
      </c>
      <c r="G94">
        <v>1.2203999999999999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0.96536796536796443</v>
      </c>
      <c r="Q94">
        <f t="shared" ref="Q94" si="446">F94*P94</f>
        <v>1881972.2987012968</v>
      </c>
      <c r="R94">
        <f t="shared" ref="R94" si="447">R95+Q94</f>
        <v>-277321669.34808737</v>
      </c>
      <c r="S94">
        <f t="shared" ref="S94" si="448">R94/100000</f>
        <v>-2773.2166934808738</v>
      </c>
      <c r="T94">
        <f t="shared" ref="T94" si="449">S94/1000</f>
        <v>-2.7732166934808737</v>
      </c>
    </row>
    <row r="95" spans="1:20" x14ac:dyDescent="0.25">
      <c r="A95" s="5">
        <v>44498</v>
      </c>
      <c r="B95">
        <v>1.1442000000000001</v>
      </c>
      <c r="C95">
        <v>1.1886000000000001</v>
      </c>
      <c r="D95">
        <v>1.1267</v>
      </c>
      <c r="E95">
        <v>1.1779999999999999</v>
      </c>
      <c r="F95">
        <v>1198867</v>
      </c>
      <c r="G95">
        <v>1.1779999999999999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0.65751211631663475</v>
      </c>
      <c r="Q95">
        <f t="shared" ref="Q95" si="451">F95*P95</f>
        <v>788269.57835217495</v>
      </c>
      <c r="R95">
        <f t="shared" ref="R95" si="452">R96+Q95</f>
        <v>-279203641.64678866</v>
      </c>
      <c r="S95">
        <f t="shared" ref="S95" si="453">R95/100000</f>
        <v>-2792.0364164678867</v>
      </c>
      <c r="T95">
        <f t="shared" ref="T95" si="454">S95/1000</f>
        <v>-2.7920364164678868</v>
      </c>
    </row>
    <row r="96" spans="1:20" x14ac:dyDescent="0.25">
      <c r="A96" s="5">
        <v>44497</v>
      </c>
      <c r="B96">
        <v>1.0762</v>
      </c>
      <c r="C96">
        <v>1.1476</v>
      </c>
      <c r="D96">
        <v>1.0475000000000001</v>
      </c>
      <c r="E96">
        <v>1.1452</v>
      </c>
      <c r="F96">
        <v>2937946</v>
      </c>
      <c r="G96">
        <v>1.1452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0.95204795204795278</v>
      </c>
      <c r="Q96">
        <f t="shared" ref="Q96" si="456">F96*P96</f>
        <v>2797065.4725274746</v>
      </c>
      <c r="R96">
        <f t="shared" ref="R96" si="457">R97+Q96</f>
        <v>-279991911.22514081</v>
      </c>
      <c r="S96">
        <f t="shared" ref="S96" si="458">R96/100000</f>
        <v>-2799.919112251408</v>
      </c>
      <c r="T96">
        <f t="shared" ref="T96" si="459">S96/1000</f>
        <v>-2.7999191122514082</v>
      </c>
    </row>
    <row r="97" spans="1:20" x14ac:dyDescent="0.25">
      <c r="A97" s="5">
        <v>44496</v>
      </c>
      <c r="B97">
        <v>1.1902999999999999</v>
      </c>
      <c r="C97">
        <v>1.4</v>
      </c>
      <c r="D97">
        <v>1.0464</v>
      </c>
      <c r="E97">
        <v>1.0723</v>
      </c>
      <c r="F97">
        <v>3530554</v>
      </c>
      <c r="G97">
        <v>1.0723</v>
      </c>
      <c r="L97" t="s">
        <v>7</v>
      </c>
      <c r="M97" t="s">
        <v>8</v>
      </c>
      <c r="N97" t="s">
        <v>7</v>
      </c>
      <c r="P97">
        <f t="shared" ref="P97" si="460">IF(C97=D97,0,((E97-D97)-(C97-E97))/(C97-D97))</f>
        <v>-0.85350678733031649</v>
      </c>
      <c r="Q97">
        <f t="shared" ref="Q97" si="461">F97*P97</f>
        <v>-3013351.8020361983</v>
      </c>
      <c r="R97">
        <f t="shared" ref="R97" si="462">R98+Q97</f>
        <v>-282788976.69766831</v>
      </c>
      <c r="S97">
        <f t="shared" ref="S97" si="463">R97/100000</f>
        <v>-2827.8897669766829</v>
      </c>
      <c r="T97">
        <f t="shared" ref="T97" si="464">S97/1000</f>
        <v>-2.8278897669766829</v>
      </c>
    </row>
    <row r="98" spans="1:20" x14ac:dyDescent="0.25">
      <c r="A98" s="5">
        <v>44495</v>
      </c>
      <c r="B98">
        <v>1.2257</v>
      </c>
      <c r="C98">
        <v>1.2257</v>
      </c>
      <c r="D98">
        <v>1.1823999999999999</v>
      </c>
      <c r="E98">
        <v>1.1942999999999999</v>
      </c>
      <c r="F98">
        <v>787156</v>
      </c>
      <c r="G98">
        <v>1.1942999999999999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-0.45034642032332611</v>
      </c>
      <c r="Q98">
        <f t="shared" ref="Q98" si="466">F98*P98</f>
        <v>-354492.88683602808</v>
      </c>
      <c r="R98">
        <f t="shared" ref="R98" si="467">R99+Q98</f>
        <v>-279775624.89563209</v>
      </c>
      <c r="S98">
        <f t="shared" ref="S98" si="468">R98/100000</f>
        <v>-2797.7562489563211</v>
      </c>
      <c r="T98">
        <f t="shared" ref="T98" si="469">S98/1000</f>
        <v>-2.797756248956321</v>
      </c>
    </row>
    <row r="99" spans="1:20" x14ac:dyDescent="0.25">
      <c r="A99" s="5">
        <v>44494</v>
      </c>
      <c r="B99">
        <v>1.2143999999999999</v>
      </c>
      <c r="C99">
        <v>1.2331000000000001</v>
      </c>
      <c r="D99">
        <v>1.1969000000000001</v>
      </c>
      <c r="E99">
        <v>1.2257</v>
      </c>
      <c r="F99">
        <v>926244</v>
      </c>
      <c r="G99">
        <v>1.2257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0.59116022099447119</v>
      </c>
      <c r="Q99">
        <f t="shared" ref="Q99" si="471">F99*P99</f>
        <v>547558.60773480299</v>
      </c>
      <c r="R99">
        <f t="shared" ref="R99" si="472">R100+Q99</f>
        <v>-279421132.00879604</v>
      </c>
      <c r="S99">
        <f t="shared" ref="S99" si="473">R99/100000</f>
        <v>-2794.2113200879603</v>
      </c>
      <c r="T99">
        <f t="shared" ref="T99" si="474">S99/1000</f>
        <v>-2.7942113200879604</v>
      </c>
    </row>
    <row r="100" spans="1:20" x14ac:dyDescent="0.25">
      <c r="A100" s="5">
        <v>44493</v>
      </c>
      <c r="B100">
        <v>1.2682</v>
      </c>
      <c r="C100">
        <v>1.3274999999999999</v>
      </c>
      <c r="D100">
        <v>1.1921999999999999</v>
      </c>
      <c r="E100">
        <v>1.2159</v>
      </c>
      <c r="F100">
        <v>1796376</v>
      </c>
      <c r="G100">
        <v>1.2159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-0.64966740576496584</v>
      </c>
      <c r="Q100">
        <f t="shared" ref="Q100" si="476">F100*P100</f>
        <v>-1167046.9356984464</v>
      </c>
      <c r="R100">
        <f t="shared" ref="R100" si="477">R101+Q100</f>
        <v>-279968690.61653084</v>
      </c>
      <c r="S100">
        <f t="shared" ref="S100" si="478">R100/100000</f>
        <v>-2799.6869061653083</v>
      </c>
      <c r="T100">
        <f t="shared" ref="T100" si="479">S100/1000</f>
        <v>-2.7996869061653085</v>
      </c>
    </row>
    <row r="101" spans="1:20" x14ac:dyDescent="0.25">
      <c r="A101" s="5">
        <v>44492</v>
      </c>
      <c r="B101">
        <v>1.2156</v>
      </c>
      <c r="C101">
        <v>1.3</v>
      </c>
      <c r="D101">
        <v>1.2087000000000001</v>
      </c>
      <c r="E101">
        <v>1.2654000000000001</v>
      </c>
      <c r="F101">
        <v>2316801</v>
      </c>
      <c r="G101">
        <v>1.2654000000000001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0.24205914567360376</v>
      </c>
      <c r="Q101">
        <f t="shared" ref="Q101" si="481">F101*P101</f>
        <v>560802.87075575092</v>
      </c>
      <c r="R101">
        <f t="shared" ref="R101" si="482">R102+Q101</f>
        <v>-278801643.68083239</v>
      </c>
      <c r="S101">
        <f t="shared" ref="S101" si="483">R101/100000</f>
        <v>-2788.0164368083238</v>
      </c>
      <c r="T101">
        <f t="shared" ref="T101" si="484">S101/1000</f>
        <v>-2.7880164368083236</v>
      </c>
    </row>
    <row r="102" spans="1:20" x14ac:dyDescent="0.25">
      <c r="A102" s="5">
        <v>44491</v>
      </c>
      <c r="B102">
        <v>1.1736</v>
      </c>
      <c r="C102">
        <v>1.2332000000000001</v>
      </c>
      <c r="D102">
        <v>1.1596</v>
      </c>
      <c r="E102">
        <v>1.2155</v>
      </c>
      <c r="F102">
        <v>1737823</v>
      </c>
      <c r="G102">
        <v>1.2155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0.51902173913043415</v>
      </c>
      <c r="Q102">
        <f t="shared" ref="Q102" si="486">F102*P102</f>
        <v>901967.91576086846</v>
      </c>
      <c r="R102">
        <f t="shared" ref="R102" si="487">R103+Q102</f>
        <v>-279362446.55158812</v>
      </c>
      <c r="S102">
        <f t="shared" ref="S102" si="488">R102/100000</f>
        <v>-2793.6244655158812</v>
      </c>
      <c r="T102">
        <f t="shared" ref="T102" si="489">S102/1000</f>
        <v>-2.7936244655158813</v>
      </c>
    </row>
    <row r="103" spans="1:20" x14ac:dyDescent="0.25">
      <c r="A103" s="5">
        <v>44490</v>
      </c>
      <c r="B103">
        <v>1.1926000000000001</v>
      </c>
      <c r="C103">
        <v>1.2087000000000001</v>
      </c>
      <c r="D103">
        <v>1.151</v>
      </c>
      <c r="E103">
        <v>1.1731</v>
      </c>
      <c r="F103">
        <v>1512227</v>
      </c>
      <c r="G103">
        <v>1.1731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-0.23396880415944624</v>
      </c>
      <c r="Q103">
        <f t="shared" ref="Q103" si="491">F103*P103</f>
        <v>-353813.94280762691</v>
      </c>
      <c r="R103">
        <f t="shared" ref="R103" si="492">R104+Q103</f>
        <v>-280264414.46734899</v>
      </c>
      <c r="S103">
        <f t="shared" ref="S103" si="493">R103/100000</f>
        <v>-2802.6441446734898</v>
      </c>
      <c r="T103">
        <f t="shared" ref="T103" si="494">S103/1000</f>
        <v>-2.80264414467349</v>
      </c>
    </row>
    <row r="104" spans="1:20" x14ac:dyDescent="0.25">
      <c r="A104" s="5">
        <v>44489</v>
      </c>
      <c r="B104">
        <v>1.1695</v>
      </c>
      <c r="C104">
        <v>1.1973</v>
      </c>
      <c r="D104">
        <v>1.1299999999999999</v>
      </c>
      <c r="E104">
        <v>1.1920999999999999</v>
      </c>
      <c r="F104">
        <v>1342723</v>
      </c>
      <c r="G104">
        <v>1.1920999999999999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0.84546805349182519</v>
      </c>
      <c r="Q104">
        <f t="shared" ref="Q104" si="496">F104*P104</f>
        <v>1135229.401188704</v>
      </c>
      <c r="R104">
        <f t="shared" ref="R104" si="497">R105+Q104</f>
        <v>-279910600.52454138</v>
      </c>
      <c r="S104">
        <f t="shared" ref="S104" si="498">R104/100000</f>
        <v>-2799.1060052454136</v>
      </c>
      <c r="T104">
        <f t="shared" ref="T104" si="499">S104/1000</f>
        <v>-2.7991060052454135</v>
      </c>
    </row>
    <row r="105" spans="1:20" x14ac:dyDescent="0.25">
      <c r="A105" s="5">
        <v>44488</v>
      </c>
      <c r="B105">
        <v>1.1714</v>
      </c>
      <c r="C105">
        <v>1.1760999999999999</v>
      </c>
      <c r="D105">
        <v>1.1299999999999999</v>
      </c>
      <c r="E105">
        <v>1.1676</v>
      </c>
      <c r="F105">
        <v>909108</v>
      </c>
      <c r="G105">
        <v>1.1676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0.63123644251627131</v>
      </c>
      <c r="Q105">
        <f t="shared" ref="Q105" si="501">F105*P105</f>
        <v>573862.09978308238</v>
      </c>
      <c r="R105">
        <f t="shared" ref="R105" si="502">R106+Q105</f>
        <v>-281045829.92573011</v>
      </c>
      <c r="S105">
        <f t="shared" ref="S105" si="503">R105/100000</f>
        <v>-2810.458299257301</v>
      </c>
      <c r="T105">
        <f t="shared" ref="T105" si="504">S105/1000</f>
        <v>-2.8104582992573008</v>
      </c>
    </row>
    <row r="106" spans="1:20" x14ac:dyDescent="0.25">
      <c r="A106" s="5">
        <v>44487</v>
      </c>
      <c r="B106">
        <v>1.1418999999999999</v>
      </c>
      <c r="C106">
        <v>1.1766000000000001</v>
      </c>
      <c r="D106">
        <v>1.1025</v>
      </c>
      <c r="E106">
        <v>1.1738</v>
      </c>
      <c r="F106">
        <v>1581013</v>
      </c>
      <c r="G106">
        <v>1.1738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0.92442645074223662</v>
      </c>
      <c r="Q106">
        <f t="shared" ref="Q106" si="506">F106*P106</f>
        <v>1461530.2361673356</v>
      </c>
      <c r="R106">
        <f t="shared" ref="R106" si="507">R107+Q106</f>
        <v>-281619692.02551317</v>
      </c>
      <c r="S106">
        <f t="shared" ref="S106" si="508">R106/100000</f>
        <v>-2816.1969202551318</v>
      </c>
      <c r="T106">
        <f t="shared" ref="T106" si="509">S106/1000</f>
        <v>-2.8161969202551318</v>
      </c>
    </row>
    <row r="107" spans="1:20" x14ac:dyDescent="0.25">
      <c r="A107" s="5">
        <v>44486</v>
      </c>
      <c r="B107">
        <v>1.1644000000000001</v>
      </c>
      <c r="C107">
        <v>1.1658999999999999</v>
      </c>
      <c r="D107">
        <v>1.0952</v>
      </c>
      <c r="E107">
        <v>1.1449</v>
      </c>
      <c r="F107">
        <v>1340464</v>
      </c>
      <c r="G107">
        <v>1.1449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0.40594059405940841</v>
      </c>
      <c r="Q107">
        <f t="shared" ref="Q107" si="511">F107*P107</f>
        <v>544148.75247525086</v>
      </c>
      <c r="R107">
        <f t="shared" ref="R107" si="512">R108+Q107</f>
        <v>-283081222.26168048</v>
      </c>
      <c r="S107">
        <f t="shared" ref="S107" si="513">R107/100000</f>
        <v>-2830.8122226168048</v>
      </c>
      <c r="T107">
        <f t="shared" ref="T107" si="514">S107/1000</f>
        <v>-2.8308122226168049</v>
      </c>
    </row>
    <row r="108" spans="1:20" x14ac:dyDescent="0.25">
      <c r="A108" s="5">
        <v>44485</v>
      </c>
      <c r="B108">
        <v>1.153</v>
      </c>
      <c r="C108">
        <v>1.1798999999999999</v>
      </c>
      <c r="D108">
        <v>1.1227</v>
      </c>
      <c r="E108">
        <v>1.1666000000000001</v>
      </c>
      <c r="F108">
        <v>3010986</v>
      </c>
      <c r="G108">
        <v>1.1666000000000001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0.53496503496503889</v>
      </c>
      <c r="Q108">
        <f t="shared" ref="Q108" si="516">F108*P108</f>
        <v>1610772.2307692426</v>
      </c>
      <c r="R108">
        <f t="shared" ref="R108" si="517">R109+Q108</f>
        <v>-283625371.01415575</v>
      </c>
      <c r="S108">
        <f t="shared" ref="S108" si="518">R108/100000</f>
        <v>-2836.2537101415573</v>
      </c>
      <c r="T108">
        <f t="shared" ref="T108" si="519">S108/1000</f>
        <v>-2.8362537101415572</v>
      </c>
    </row>
    <row r="109" spans="1:20" x14ac:dyDescent="0.25">
      <c r="A109" s="5">
        <v>44484</v>
      </c>
      <c r="B109">
        <v>1.2696000000000001</v>
      </c>
      <c r="C109">
        <v>1.2741</v>
      </c>
      <c r="D109">
        <v>1.1294</v>
      </c>
      <c r="E109">
        <v>1.1565000000000001</v>
      </c>
      <c r="F109">
        <v>4006578</v>
      </c>
      <c r="G109">
        <v>1.1565000000000001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-0.62543192812715809</v>
      </c>
      <c r="Q109">
        <f t="shared" ref="Q109" si="521">F109*P109</f>
        <v>-2505841.8037318527</v>
      </c>
      <c r="R109">
        <f t="shared" ref="R109" si="522">R110+Q109</f>
        <v>-285236143.24492496</v>
      </c>
      <c r="S109">
        <f t="shared" ref="S109" si="523">R109/100000</f>
        <v>-2852.3614324492496</v>
      </c>
      <c r="T109">
        <f t="shared" ref="T109" si="524">S109/1000</f>
        <v>-2.8523614324492494</v>
      </c>
    </row>
    <row r="110" spans="1:20" x14ac:dyDescent="0.25">
      <c r="A110" s="5">
        <v>44483</v>
      </c>
      <c r="B110">
        <v>1.2515000000000001</v>
      </c>
      <c r="C110">
        <v>1.2713000000000001</v>
      </c>
      <c r="D110">
        <v>1.2211000000000001</v>
      </c>
      <c r="E110">
        <v>1.2699</v>
      </c>
      <c r="F110">
        <v>1251577</v>
      </c>
      <c r="G110">
        <v>1.2699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0.94422310756971839</v>
      </c>
      <c r="Q110">
        <f t="shared" ref="Q110" si="526">F110*P110</f>
        <v>1181767.9243027854</v>
      </c>
      <c r="R110">
        <f t="shared" ref="R110" si="527">R111+Q110</f>
        <v>-282730301.4411931</v>
      </c>
      <c r="S110">
        <f t="shared" ref="S110" si="528">R110/100000</f>
        <v>-2827.3030144119311</v>
      </c>
      <c r="T110">
        <f t="shared" ref="T110" si="529">S110/1000</f>
        <v>-2.8273030144119313</v>
      </c>
    </row>
    <row r="111" spans="1:20" x14ac:dyDescent="0.25">
      <c r="A111" s="5">
        <v>44482</v>
      </c>
      <c r="B111">
        <v>1.1858</v>
      </c>
      <c r="C111">
        <v>1.2534000000000001</v>
      </c>
      <c r="D111">
        <v>1.1734</v>
      </c>
      <c r="E111">
        <v>1.2515000000000001</v>
      </c>
      <c r="F111">
        <v>2447666</v>
      </c>
      <c r="G111">
        <v>1.2515000000000001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0.95249999999999968</v>
      </c>
      <c r="Q111">
        <f t="shared" ref="Q111" si="531">F111*P111</f>
        <v>2331401.8649999993</v>
      </c>
      <c r="R111">
        <f t="shared" ref="R111" si="532">R112+Q111</f>
        <v>-283912069.36549586</v>
      </c>
      <c r="S111">
        <f t="shared" ref="S111" si="533">R111/100000</f>
        <v>-2839.1206936549588</v>
      </c>
      <c r="T111">
        <f t="shared" ref="T111" si="534">S111/1000</f>
        <v>-2.8391206936549587</v>
      </c>
    </row>
    <row r="112" spans="1:20" x14ac:dyDescent="0.25">
      <c r="A112" s="5">
        <v>44481</v>
      </c>
      <c r="B112">
        <v>1.2404999999999999</v>
      </c>
      <c r="C112">
        <v>1.2404999999999999</v>
      </c>
      <c r="D112">
        <v>1.1162000000000001</v>
      </c>
      <c r="E112">
        <v>1.1863999999999999</v>
      </c>
      <c r="F112">
        <v>3366571</v>
      </c>
      <c r="G112">
        <v>1.1863999999999999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0.12952534191472084</v>
      </c>
      <c r="Q112">
        <f t="shared" ref="Q112" si="536">F112*P112</f>
        <v>436056.25985518366</v>
      </c>
      <c r="R112">
        <f t="shared" ref="R112" si="537">R113+Q112</f>
        <v>-286243471.23049587</v>
      </c>
      <c r="S112">
        <f t="shared" ref="S112" si="538">R112/100000</f>
        <v>-2862.4347123049588</v>
      </c>
      <c r="T112">
        <f t="shared" ref="T112" si="539">S112/1000</f>
        <v>-2.8624347123049589</v>
      </c>
    </row>
    <row r="113" spans="1:20" x14ac:dyDescent="0.25">
      <c r="A113" s="5">
        <v>44480</v>
      </c>
      <c r="B113">
        <v>1.2815000000000001</v>
      </c>
      <c r="C113">
        <v>1.2819</v>
      </c>
      <c r="D113">
        <v>1.21</v>
      </c>
      <c r="E113">
        <v>1.2423</v>
      </c>
      <c r="F113">
        <v>2301989</v>
      </c>
      <c r="G113">
        <v>1.2423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-0.10152990264256018</v>
      </c>
      <c r="Q113">
        <f t="shared" ref="Q113" si="541">F113*P113</f>
        <v>-233720.71905424446</v>
      </c>
      <c r="R113">
        <f t="shared" ref="R113" si="542">R114+Q113</f>
        <v>-286679527.49035108</v>
      </c>
      <c r="S113">
        <f t="shared" ref="S113" si="543">R113/100000</f>
        <v>-2866.7952749035107</v>
      </c>
      <c r="T113">
        <f t="shared" ref="T113" si="544">S113/1000</f>
        <v>-2.8667952749035108</v>
      </c>
    </row>
    <row r="114" spans="1:20" x14ac:dyDescent="0.25">
      <c r="A114" s="5">
        <v>44479</v>
      </c>
      <c r="B114">
        <v>1.2859</v>
      </c>
      <c r="C114">
        <v>1.325</v>
      </c>
      <c r="D114">
        <v>1.2652000000000001</v>
      </c>
      <c r="E114">
        <v>1.2829999999999999</v>
      </c>
      <c r="F114">
        <v>3510861</v>
      </c>
      <c r="G114">
        <v>1.2829999999999999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-0.40468227424749631</v>
      </c>
      <c r="Q114">
        <f t="shared" ref="Q114" si="546">F114*P114</f>
        <v>-1420783.2140468392</v>
      </c>
      <c r="R114">
        <f t="shared" ref="R114" si="547">R115+Q114</f>
        <v>-286445806.77129686</v>
      </c>
      <c r="S114">
        <f t="shared" ref="S114" si="548">R114/100000</f>
        <v>-2864.4580677129684</v>
      </c>
      <c r="T114">
        <f t="shared" ref="T114" si="549">S114/1000</f>
        <v>-2.8644580677129685</v>
      </c>
    </row>
    <row r="115" spans="1:20" x14ac:dyDescent="0.25">
      <c r="A115" s="5">
        <v>44478</v>
      </c>
      <c r="B115">
        <v>1.3897999999999999</v>
      </c>
      <c r="C115">
        <v>1.3945000000000001</v>
      </c>
      <c r="D115">
        <v>1.2677</v>
      </c>
      <c r="E115">
        <v>1.2867999999999999</v>
      </c>
      <c r="F115">
        <v>3618760</v>
      </c>
      <c r="G115">
        <v>1.2867999999999999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-0.69873817034700492</v>
      </c>
      <c r="Q115">
        <f t="shared" ref="Q115" si="551">F115*P115</f>
        <v>-2528565.7413249277</v>
      </c>
      <c r="R115">
        <f t="shared" ref="R115" si="552">R116+Q115</f>
        <v>-285025023.55725002</v>
      </c>
      <c r="S115">
        <f t="shared" ref="S115" si="553">R115/100000</f>
        <v>-2850.2502355725001</v>
      </c>
      <c r="T115">
        <f t="shared" ref="T115" si="554">S115/1000</f>
        <v>-2.8502502355725001</v>
      </c>
    </row>
    <row r="116" spans="1:20" x14ac:dyDescent="0.25">
      <c r="A116" s="5">
        <v>44477</v>
      </c>
      <c r="B116">
        <v>1.4435</v>
      </c>
      <c r="C116">
        <v>1.4440999999999999</v>
      </c>
      <c r="D116">
        <v>1.2988</v>
      </c>
      <c r="E116">
        <v>1.3861000000000001</v>
      </c>
      <c r="F116">
        <v>5865144</v>
      </c>
      <c r="G116">
        <v>1.3861000000000001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0.2016517549896788</v>
      </c>
      <c r="Q116">
        <f t="shared" ref="Q116" si="556">F116*P116</f>
        <v>1182716.5808671846</v>
      </c>
      <c r="R116">
        <f t="shared" ref="R116" si="557">R117+Q116</f>
        <v>-282496457.81592512</v>
      </c>
      <c r="S116">
        <f t="shared" ref="S116" si="558">R116/100000</f>
        <v>-2824.9645781592512</v>
      </c>
      <c r="T116">
        <f t="shared" ref="T116" si="559">S116/1000</f>
        <v>-2.8249645781592512</v>
      </c>
    </row>
    <row r="117" spans="1:20" x14ac:dyDescent="0.25">
      <c r="A117" s="5">
        <v>44476</v>
      </c>
      <c r="B117">
        <v>1.3711</v>
      </c>
      <c r="C117">
        <v>1.968</v>
      </c>
      <c r="D117">
        <v>1.3711</v>
      </c>
      <c r="E117">
        <v>1.44</v>
      </c>
      <c r="F117">
        <v>23816775.719999999</v>
      </c>
      <c r="G117">
        <v>1.44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-0.76914055955771499</v>
      </c>
      <c r="Q117">
        <f t="shared" ref="Q117" si="561">F117*P117</f>
        <v>-18318448.204141401</v>
      </c>
      <c r="R117">
        <f t="shared" ref="R117" si="562">R118+Q117</f>
        <v>-283679174.39679229</v>
      </c>
      <c r="S117">
        <f t="shared" ref="S117" si="563">R117/100000</f>
        <v>-2836.7917439679231</v>
      </c>
      <c r="T117">
        <f t="shared" ref="T117" si="564">S117/1000</f>
        <v>-2.8367917439679231</v>
      </c>
    </row>
    <row r="118" spans="1:20" x14ac:dyDescent="0.25">
      <c r="A118" s="5">
        <v>44475</v>
      </c>
      <c r="B118">
        <v>1.3258000000000001</v>
      </c>
      <c r="C118">
        <v>1.4732000000000001</v>
      </c>
      <c r="D118">
        <v>1.2817000000000001</v>
      </c>
      <c r="E118">
        <v>1.371</v>
      </c>
      <c r="F118">
        <v>12970379</v>
      </c>
      <c r="G118">
        <v>1.371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-6.7362924281985037E-2</v>
      </c>
      <c r="Q118">
        <f t="shared" ref="Q118" si="566">F118*P118</f>
        <v>-873722.6584856488</v>
      </c>
      <c r="R118">
        <f t="shared" ref="R118" si="567">R119+Q118</f>
        <v>-265360726.19265088</v>
      </c>
      <c r="S118">
        <f t="shared" ref="S118" si="568">R118/100000</f>
        <v>-2653.6072619265087</v>
      </c>
      <c r="T118">
        <f t="shared" ref="T118" si="569">S118/1000</f>
        <v>-2.6536072619265085</v>
      </c>
    </row>
    <row r="119" spans="1:20" x14ac:dyDescent="0.25">
      <c r="A119" s="5">
        <v>44474</v>
      </c>
      <c r="B119">
        <v>1.2477</v>
      </c>
      <c r="C119">
        <v>1.4691000000000001</v>
      </c>
      <c r="D119">
        <v>1.2435</v>
      </c>
      <c r="E119">
        <v>1.3260000000000001</v>
      </c>
      <c r="F119">
        <v>7364569</v>
      </c>
      <c r="G119">
        <v>1.3260000000000001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-0.26861702127659565</v>
      </c>
      <c r="Q119">
        <f t="shared" ref="Q119" si="571">F119*P119</f>
        <v>-1978248.5877659568</v>
      </c>
      <c r="R119">
        <f t="shared" ref="R119" si="572">R120+Q119</f>
        <v>-264487003.53416523</v>
      </c>
      <c r="S119">
        <f t="shared" ref="S119" si="573">R119/100000</f>
        <v>-2644.8700353416525</v>
      </c>
      <c r="T119">
        <f t="shared" ref="T119" si="574">S119/1000</f>
        <v>-2.6448700353416523</v>
      </c>
    </row>
    <row r="120" spans="1:20" x14ac:dyDescent="0.25">
      <c r="A120" s="5">
        <v>44473</v>
      </c>
      <c r="B120">
        <v>1.2995000000000001</v>
      </c>
      <c r="C120">
        <v>1.2995000000000001</v>
      </c>
      <c r="D120">
        <v>1.194</v>
      </c>
      <c r="E120">
        <v>1.2433000000000001</v>
      </c>
      <c r="F120">
        <v>2295475</v>
      </c>
      <c r="G120">
        <v>1.2433000000000001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-6.5402843601894758E-2</v>
      </c>
      <c r="Q120">
        <f t="shared" ref="Q120" si="576">F120*P120</f>
        <v>-150130.59241705938</v>
      </c>
      <c r="R120">
        <f t="shared" ref="R120" si="577">R121+Q120</f>
        <v>-262508754.94639927</v>
      </c>
      <c r="S120">
        <f t="shared" ref="S120" si="578">R120/100000</f>
        <v>-2625.0875494639927</v>
      </c>
      <c r="T120">
        <f t="shared" ref="T120" si="579">S120/1000</f>
        <v>-2.6250875494639927</v>
      </c>
    </row>
    <row r="121" spans="1:20" x14ac:dyDescent="0.25">
      <c r="A121" s="5">
        <v>44472</v>
      </c>
      <c r="B121">
        <v>1.2344999999999999</v>
      </c>
      <c r="C121">
        <v>1.3082</v>
      </c>
      <c r="D121">
        <v>1.1832</v>
      </c>
      <c r="E121">
        <v>1.2817000000000001</v>
      </c>
      <c r="F121">
        <v>2280740</v>
      </c>
      <c r="G121">
        <v>1.2817000000000001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0.57600000000000051</v>
      </c>
      <c r="Q121">
        <f t="shared" ref="Q121" si="581">F121*P121</f>
        <v>1313706.2400000012</v>
      </c>
      <c r="R121">
        <f t="shared" ref="R121" si="582">R122+Q121</f>
        <v>-262358624.35398221</v>
      </c>
      <c r="S121">
        <f t="shared" ref="S121" si="583">R121/100000</f>
        <v>-2623.5862435398221</v>
      </c>
      <c r="T121">
        <f t="shared" ref="T121" si="584">S121/1000</f>
        <v>-2.6235862435398221</v>
      </c>
    </row>
    <row r="122" spans="1:20" x14ac:dyDescent="0.25">
      <c r="A122" s="5">
        <v>44471</v>
      </c>
      <c r="B122">
        <v>1.2335</v>
      </c>
      <c r="C122">
        <v>1.2741</v>
      </c>
      <c r="D122">
        <v>1.1919</v>
      </c>
      <c r="E122">
        <v>1.2344999999999999</v>
      </c>
      <c r="F122">
        <v>2094789</v>
      </c>
      <c r="G122">
        <v>1.2344999999999999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3.6496350364962162E-2</v>
      </c>
      <c r="Q122">
        <f t="shared" ref="Q122" si="586">F122*P122</f>
        <v>76452.153284668719</v>
      </c>
      <c r="R122">
        <f t="shared" ref="R122" si="587">R123+Q122</f>
        <v>-263672330.59398222</v>
      </c>
      <c r="S122">
        <f t="shared" ref="S122" si="588">R122/100000</f>
        <v>-2636.7233059398222</v>
      </c>
      <c r="T122">
        <f t="shared" ref="T122" si="589">S122/1000</f>
        <v>-2.6367233059398223</v>
      </c>
    </row>
    <row r="123" spans="1:20" x14ac:dyDescent="0.25">
      <c r="A123" s="5">
        <v>44470</v>
      </c>
      <c r="B123">
        <v>1.1339999999999999</v>
      </c>
      <c r="C123">
        <v>1.2351000000000001</v>
      </c>
      <c r="D123">
        <v>1.0844</v>
      </c>
      <c r="E123">
        <v>1.2326999999999999</v>
      </c>
      <c r="F123">
        <v>6248073</v>
      </c>
      <c r="G123">
        <v>1.2326999999999999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0.96814863968148401</v>
      </c>
      <c r="Q123">
        <f t="shared" ref="Q123" si="591">F123*P123</f>
        <v>6049063.3755806088</v>
      </c>
      <c r="R123">
        <f t="shared" ref="R123" si="592">R124+Q123</f>
        <v>-263748782.74726689</v>
      </c>
      <c r="S123">
        <f t="shared" ref="S123" si="593">R123/100000</f>
        <v>-2637.4878274726689</v>
      </c>
      <c r="T123">
        <f t="shared" ref="T123" si="594">S123/1000</f>
        <v>-2.6374878274726687</v>
      </c>
    </row>
    <row r="124" spans="1:20" x14ac:dyDescent="0.25">
      <c r="A124" s="5">
        <v>44469</v>
      </c>
      <c r="B124">
        <v>1.0313000000000001</v>
      </c>
      <c r="C124">
        <v>1.143</v>
      </c>
      <c r="D124">
        <v>1.0247999999999999</v>
      </c>
      <c r="E124">
        <v>1.1335</v>
      </c>
      <c r="F124">
        <v>5023647</v>
      </c>
      <c r="G124">
        <v>1.1335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0.83925549915397535</v>
      </c>
      <c r="Q124">
        <f t="shared" ref="Q124" si="596">F124*P124</f>
        <v>4216123.3705583708</v>
      </c>
      <c r="R124">
        <f t="shared" ref="R124" si="597">R125+Q124</f>
        <v>-269797846.1228475</v>
      </c>
      <c r="S124">
        <f t="shared" ref="S124" si="598">R124/100000</f>
        <v>-2697.9784612284748</v>
      </c>
      <c r="T124">
        <f t="shared" ref="T124" si="599">S124/1000</f>
        <v>-2.697978461228475</v>
      </c>
    </row>
    <row r="125" spans="1:20" x14ac:dyDescent="0.25">
      <c r="A125" s="5">
        <v>44468</v>
      </c>
      <c r="B125">
        <v>0.98870000000000002</v>
      </c>
      <c r="C125">
        <v>1.1373</v>
      </c>
      <c r="D125">
        <v>0.96679999999999999</v>
      </c>
      <c r="E125">
        <v>1.0326</v>
      </c>
      <c r="F125">
        <v>10579852</v>
      </c>
      <c r="G125">
        <v>1.0326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-0.22815249266862198</v>
      </c>
      <c r="Q125">
        <f t="shared" ref="Q125" si="601">F125*P125</f>
        <v>-2413819.6058651055</v>
      </c>
      <c r="R125">
        <f t="shared" ref="R125" si="602">R126+Q125</f>
        <v>-274013969.49340588</v>
      </c>
      <c r="S125">
        <f t="shared" ref="S125" si="603">R125/100000</f>
        <v>-2740.1396949340588</v>
      </c>
      <c r="T125">
        <f t="shared" ref="T125" si="604">S125/1000</f>
        <v>-2.7401396949340588</v>
      </c>
    </row>
    <row r="126" spans="1:20" x14ac:dyDescent="0.25">
      <c r="A126" s="5">
        <v>44467</v>
      </c>
      <c r="B126">
        <v>1.0609</v>
      </c>
      <c r="C126">
        <v>1.0869</v>
      </c>
      <c r="D126">
        <v>0.98219999999999996</v>
      </c>
      <c r="E126">
        <v>0.98970000000000002</v>
      </c>
      <c r="F126">
        <v>1366399</v>
      </c>
      <c r="G126">
        <v>0.98970000000000002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-0.8567335243552997</v>
      </c>
      <c r="Q126">
        <f t="shared" ref="Q126" si="606">F126*P126</f>
        <v>-1170639.8309455572</v>
      </c>
      <c r="R126">
        <f t="shared" ref="R126" si="607">R127+Q126</f>
        <v>-271600149.88754076</v>
      </c>
      <c r="S126">
        <f t="shared" ref="S126" si="608">R126/100000</f>
        <v>-2716.0014988754074</v>
      </c>
      <c r="T126">
        <f t="shared" ref="T126" si="609">S126/1000</f>
        <v>-2.7160014988754075</v>
      </c>
    </row>
    <row r="127" spans="1:20" x14ac:dyDescent="0.25">
      <c r="A127" s="5">
        <v>44466</v>
      </c>
      <c r="B127">
        <v>1.0945</v>
      </c>
      <c r="C127">
        <v>1.1183000000000001</v>
      </c>
      <c r="D127">
        <v>1.0506</v>
      </c>
      <c r="E127">
        <v>1.0671999999999999</v>
      </c>
      <c r="F127">
        <v>1954867</v>
      </c>
      <c r="G127">
        <v>1.0671999999999999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-0.50960118168390178</v>
      </c>
      <c r="Q127">
        <f t="shared" ref="Q127" si="611">F127*P127</f>
        <v>-996202.53323486401</v>
      </c>
      <c r="R127">
        <f t="shared" ref="R127" si="612">R128+Q127</f>
        <v>-270429510.05659521</v>
      </c>
      <c r="S127">
        <f t="shared" ref="S127" si="613">R127/100000</f>
        <v>-2704.295100565952</v>
      </c>
      <c r="T127">
        <f t="shared" ref="T127" si="614">S127/1000</f>
        <v>-2.7042951005659521</v>
      </c>
    </row>
    <row r="128" spans="1:20" x14ac:dyDescent="0.25">
      <c r="A128" s="5">
        <v>44465</v>
      </c>
      <c r="B128">
        <v>1.1228</v>
      </c>
      <c r="C128">
        <v>1.1680999999999999</v>
      </c>
      <c r="D128">
        <v>1.0127999999999999</v>
      </c>
      <c r="E128">
        <v>1.0964</v>
      </c>
      <c r="F128">
        <v>2612169</v>
      </c>
      <c r="G128">
        <v>1.0964</v>
      </c>
      <c r="L128" t="s">
        <v>7</v>
      </c>
      <c r="M128" t="s">
        <v>7</v>
      </c>
      <c r="N128" t="s">
        <v>8</v>
      </c>
      <c r="P128">
        <f t="shared" ref="P128" si="615">IF(C128=D128,0,((E128-D128)-(C128-E128))/(C128-D128))</f>
        <v>7.6625885383131004E-2</v>
      </c>
      <c r="Q128">
        <f t="shared" ref="Q128" si="616">F128*P128</f>
        <v>200159.76239536793</v>
      </c>
      <c r="R128">
        <f t="shared" ref="R128" si="617">R129+Q128</f>
        <v>-269433307.52336037</v>
      </c>
      <c r="S128">
        <f t="shared" ref="S128" si="618">R128/100000</f>
        <v>-2694.3330752336037</v>
      </c>
      <c r="T128">
        <f t="shared" ref="T128" si="619">S128/1000</f>
        <v>-2.6943330752336037</v>
      </c>
    </row>
    <row r="129" spans="1:20" x14ac:dyDescent="0.25">
      <c r="A129" s="5">
        <v>44464</v>
      </c>
      <c r="B129">
        <v>1.1589</v>
      </c>
      <c r="C129">
        <v>1.1899</v>
      </c>
      <c r="D129">
        <v>1.0658000000000001</v>
      </c>
      <c r="E129">
        <v>1.125</v>
      </c>
      <c r="F129">
        <v>2123386</v>
      </c>
      <c r="G129">
        <v>1.125</v>
      </c>
      <c r="L129" t="s">
        <v>7</v>
      </c>
      <c r="M129" t="s">
        <v>8</v>
      </c>
      <c r="N129" t="s">
        <v>8</v>
      </c>
      <c r="P129">
        <f t="shared" ref="P129" si="620">IF(C129=D129,0,((E129-D129)-(C129-E129))/(C129-D129))</f>
        <v>-4.5930701047542662E-2</v>
      </c>
      <c r="Q129">
        <f t="shared" ref="Q129" si="621">F129*P129</f>
        <v>-97528.607574537426</v>
      </c>
      <c r="R129">
        <f t="shared" ref="R129" si="622">R130+Q129</f>
        <v>-269633467.28575575</v>
      </c>
      <c r="S129">
        <f t="shared" ref="S129" si="623">R129/100000</f>
        <v>-2696.3346728575575</v>
      </c>
      <c r="T129">
        <f t="shared" ref="T129" si="624">S129/1000</f>
        <v>-2.6963346728575575</v>
      </c>
    </row>
    <row r="130" spans="1:20" x14ac:dyDescent="0.25">
      <c r="A130" s="5">
        <v>44463</v>
      </c>
      <c r="B130">
        <v>1.1228</v>
      </c>
      <c r="C130">
        <v>1.2213000000000001</v>
      </c>
      <c r="D130">
        <v>1.0225</v>
      </c>
      <c r="E130">
        <v>1.1589</v>
      </c>
      <c r="F130">
        <v>6797596</v>
      </c>
      <c r="G130">
        <v>1.1589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0.37223340040241465</v>
      </c>
      <c r="Q130">
        <f t="shared" ref="Q130" si="626">F130*P130</f>
        <v>2530292.2736418522</v>
      </c>
      <c r="R130">
        <f t="shared" ref="R130" si="627">R131+Q130</f>
        <v>-269535938.67818123</v>
      </c>
      <c r="S130">
        <f t="shared" ref="S130" si="628">R130/100000</f>
        <v>-2695.3593867818122</v>
      </c>
      <c r="T130">
        <f t="shared" ref="T130" si="629">S130/1000</f>
        <v>-2.6953593867818122</v>
      </c>
    </row>
    <row r="131" spans="1:20" x14ac:dyDescent="0.25">
      <c r="A131" s="5">
        <v>44462</v>
      </c>
      <c r="B131">
        <v>1.0934999999999999</v>
      </c>
      <c r="C131">
        <v>1.1265000000000001</v>
      </c>
      <c r="D131">
        <v>1.0446</v>
      </c>
      <c r="E131">
        <v>1.1218999999999999</v>
      </c>
      <c r="F131">
        <v>2413049</v>
      </c>
      <c r="G131">
        <v>1.1218999999999999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0.88766788766788385</v>
      </c>
      <c r="Q131">
        <f t="shared" ref="Q131" si="631">F131*P131</f>
        <v>2141986.1086690994</v>
      </c>
      <c r="R131">
        <f t="shared" ref="R131" si="632">R132+Q131</f>
        <v>-272066230.95182306</v>
      </c>
      <c r="S131">
        <f t="shared" ref="S131" si="633">R131/100000</f>
        <v>-2720.6623095182304</v>
      </c>
      <c r="T131">
        <f t="shared" ref="T131" si="634">S131/1000</f>
        <v>-2.7206623095182305</v>
      </c>
    </row>
    <row r="132" spans="1:20" x14ac:dyDescent="0.25">
      <c r="A132" s="5">
        <v>44461</v>
      </c>
      <c r="B132">
        <v>0.98760000000000003</v>
      </c>
      <c r="C132">
        <v>1.1060000000000001</v>
      </c>
      <c r="D132">
        <v>0.92989999999999995</v>
      </c>
      <c r="E132">
        <v>1.093</v>
      </c>
      <c r="F132">
        <v>4070568</v>
      </c>
      <c r="G132">
        <v>1.093</v>
      </c>
      <c r="L132" t="s">
        <v>8</v>
      </c>
      <c r="M132" t="s">
        <v>8</v>
      </c>
      <c r="N132" t="s">
        <v>8</v>
      </c>
      <c r="P132">
        <f t="shared" ref="P132" si="635">IF(C132=D132,0,((E132-D132)-(C132-E132))/(C132-D132))</f>
        <v>0.85235661555934006</v>
      </c>
      <c r="Q132">
        <f t="shared" ref="Q132" si="636">F132*P132</f>
        <v>3469575.5638841516</v>
      </c>
      <c r="R132">
        <f t="shared" ref="R132" si="637">R133+Q132</f>
        <v>-274208217.06049216</v>
      </c>
      <c r="S132">
        <f t="shared" ref="S132" si="638">R132/100000</f>
        <v>-2742.0821706049214</v>
      </c>
      <c r="T132">
        <f t="shared" ref="T132" si="639">S132/1000</f>
        <v>-2.7420821706049212</v>
      </c>
    </row>
    <row r="133" spans="1:20" x14ac:dyDescent="0.25">
      <c r="A133" s="5">
        <v>44460</v>
      </c>
      <c r="B133">
        <v>1.0178</v>
      </c>
      <c r="C133">
        <v>1.1599999999999999</v>
      </c>
      <c r="D133">
        <v>0.93730000000000002</v>
      </c>
      <c r="E133">
        <v>0.98760000000000003</v>
      </c>
      <c r="F133">
        <v>6895817</v>
      </c>
      <c r="G133">
        <v>0.98760000000000003</v>
      </c>
      <c r="L133" t="s">
        <v>7</v>
      </c>
      <c r="M133" t="s">
        <v>7</v>
      </c>
      <c r="N133" t="s">
        <v>8</v>
      </c>
      <c r="P133">
        <f t="shared" ref="P133" si="640">IF(C133=D133,0,((E133-D133)-(C133-E133))/(C133-D133))</f>
        <v>-0.54827121688369973</v>
      </c>
      <c r="Q133">
        <f t="shared" ref="Q133" si="641">F133*P133</f>
        <v>-3780777.9779973035</v>
      </c>
      <c r="R133">
        <f t="shared" ref="R133" si="642">R134+Q133</f>
        <v>-277677792.6243763</v>
      </c>
      <c r="S133">
        <f t="shared" ref="S133" si="643">R133/100000</f>
        <v>-2776.777926243763</v>
      </c>
      <c r="T133">
        <f t="shared" ref="T133" si="644">S133/1000</f>
        <v>-2.7767779262437631</v>
      </c>
    </row>
    <row r="134" spans="1:20" x14ac:dyDescent="0.25">
      <c r="A134" s="5">
        <v>44459</v>
      </c>
      <c r="B134">
        <v>1.1689000000000001</v>
      </c>
      <c r="C134">
        <v>1.2102999999999999</v>
      </c>
      <c r="D134">
        <v>1.0223</v>
      </c>
      <c r="E134">
        <v>1.0494000000000001</v>
      </c>
      <c r="F134">
        <v>2427507</v>
      </c>
      <c r="G134">
        <v>1.0494000000000001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-0.71170212765957308</v>
      </c>
      <c r="Q134">
        <f t="shared" ref="Q134" si="646">F134*P134</f>
        <v>-1727661.8968085072</v>
      </c>
      <c r="R134">
        <f t="shared" ref="R134" si="647">R135+Q134</f>
        <v>-273897014.64637899</v>
      </c>
      <c r="S134">
        <f t="shared" ref="S134" si="648">R134/100000</f>
        <v>-2738.9701464637901</v>
      </c>
      <c r="T134">
        <f t="shared" ref="T134" si="649">S134/1000</f>
        <v>-2.7389701464637901</v>
      </c>
    </row>
    <row r="135" spans="1:20" x14ac:dyDescent="0.25">
      <c r="A135" s="5">
        <v>44458</v>
      </c>
      <c r="B135">
        <v>1.22</v>
      </c>
      <c r="C135">
        <v>1.2299</v>
      </c>
      <c r="D135">
        <v>1.1458999999999999</v>
      </c>
      <c r="E135">
        <v>1.1712</v>
      </c>
      <c r="F135">
        <v>2828326</v>
      </c>
      <c r="G135">
        <v>1.1712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-0.39761904761904576</v>
      </c>
      <c r="Q135">
        <f t="shared" ref="Q135" si="651">F135*P135</f>
        <v>-1124596.2904761853</v>
      </c>
      <c r="R135">
        <f t="shared" ref="R135" si="652">R136+Q135</f>
        <v>-272169352.74957049</v>
      </c>
      <c r="S135">
        <f t="shared" ref="S135" si="653">R135/100000</f>
        <v>-2721.693527495705</v>
      </c>
      <c r="T135">
        <f t="shared" ref="T135" si="654">S135/1000</f>
        <v>-2.721693527495705</v>
      </c>
    </row>
    <row r="136" spans="1:20" x14ac:dyDescent="0.25">
      <c r="A136" s="5">
        <v>44457</v>
      </c>
      <c r="B136">
        <v>1.1911</v>
      </c>
      <c r="C136">
        <v>1.2659</v>
      </c>
      <c r="D136">
        <v>1.1499999999999999</v>
      </c>
      <c r="E136">
        <v>1.2201</v>
      </c>
      <c r="F136">
        <v>5669720</v>
      </c>
      <c r="G136">
        <v>1.2201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0.20966350301984438</v>
      </c>
      <c r="Q136">
        <f t="shared" ref="Q136" si="656">F136*P136</f>
        <v>1188733.3563416721</v>
      </c>
      <c r="R136">
        <f t="shared" ref="R136" si="657">R137+Q136</f>
        <v>-271044756.45909429</v>
      </c>
      <c r="S136">
        <f t="shared" ref="S136" si="658">R136/100000</f>
        <v>-2710.4475645909429</v>
      </c>
      <c r="T136">
        <f t="shared" ref="T136" si="659">S136/1000</f>
        <v>-2.7104475645909427</v>
      </c>
    </row>
    <row r="137" spans="1:20" x14ac:dyDescent="0.25">
      <c r="A137" s="5">
        <v>44456</v>
      </c>
      <c r="B137">
        <v>1.1392</v>
      </c>
      <c r="C137">
        <v>1.2334000000000001</v>
      </c>
      <c r="D137">
        <v>1.137</v>
      </c>
      <c r="E137">
        <v>1.1934</v>
      </c>
      <c r="F137">
        <v>4410294</v>
      </c>
      <c r="G137">
        <v>1.1934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0.17012448132780045</v>
      </c>
      <c r="Q137">
        <f t="shared" ref="Q137" si="661">F137*P137</f>
        <v>750298.97925311036</v>
      </c>
      <c r="R137">
        <f t="shared" ref="R137" si="662">R138+Q137</f>
        <v>-272233489.81543595</v>
      </c>
      <c r="S137">
        <f t="shared" ref="S137" si="663">R137/100000</f>
        <v>-2722.3348981543595</v>
      </c>
      <c r="T137">
        <f t="shared" ref="T137" si="664">S137/1000</f>
        <v>-2.7223348981543594</v>
      </c>
    </row>
    <row r="138" spans="1:20" x14ac:dyDescent="0.25">
      <c r="A138" s="5">
        <v>44455</v>
      </c>
      <c r="B138">
        <v>1.1648000000000001</v>
      </c>
      <c r="C138">
        <v>1.1657</v>
      </c>
      <c r="D138">
        <v>1.0954999999999999</v>
      </c>
      <c r="E138">
        <v>1.1399999999999999</v>
      </c>
      <c r="F138">
        <v>1709740</v>
      </c>
      <c r="G138">
        <v>1.1399999999999999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0.26780626780626665</v>
      </c>
      <c r="Q138">
        <f t="shared" ref="Q138" si="666">F138*P138</f>
        <v>457879.08831908635</v>
      </c>
      <c r="R138">
        <f t="shared" ref="R138" si="667">R139+Q138</f>
        <v>-272983788.79468906</v>
      </c>
      <c r="S138">
        <f t="shared" ref="S138" si="668">R138/100000</f>
        <v>-2729.8378879468905</v>
      </c>
      <c r="T138">
        <f t="shared" ref="T138" si="669">S138/1000</f>
        <v>-2.7298378879468905</v>
      </c>
    </row>
    <row r="139" spans="1:20" x14ac:dyDescent="0.25">
      <c r="A139" s="5">
        <v>44454</v>
      </c>
      <c r="B139">
        <v>1.1256999999999999</v>
      </c>
      <c r="C139">
        <v>1.17</v>
      </c>
      <c r="D139">
        <v>1.0982000000000001</v>
      </c>
      <c r="E139">
        <v>1.1647000000000001</v>
      </c>
      <c r="F139">
        <v>1717084</v>
      </c>
      <c r="G139">
        <v>1.1647000000000001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0.85236768802228768</v>
      </c>
      <c r="Q139">
        <f t="shared" ref="Q139" si="671">F139*P139</f>
        <v>1463586.9192200617</v>
      </c>
      <c r="R139">
        <f t="shared" ref="R139" si="672">R140+Q139</f>
        <v>-273441667.88300812</v>
      </c>
      <c r="S139">
        <f t="shared" ref="S139" si="673">R139/100000</f>
        <v>-2734.4166788300813</v>
      </c>
      <c r="T139">
        <f t="shared" ref="T139" si="674">S139/1000</f>
        <v>-2.7344166788300814</v>
      </c>
    </row>
    <row r="140" spans="1:20" x14ac:dyDescent="0.25">
      <c r="A140" s="5">
        <v>44453</v>
      </c>
      <c r="B140">
        <v>1.0831</v>
      </c>
      <c r="C140">
        <v>1.1399999999999999</v>
      </c>
      <c r="D140">
        <v>1.0628</v>
      </c>
      <c r="E140">
        <v>1.1241000000000001</v>
      </c>
      <c r="F140">
        <v>1982640</v>
      </c>
      <c r="G140">
        <v>1.1241000000000001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0.5880829015544089</v>
      </c>
      <c r="Q140">
        <f t="shared" ref="Q140" si="676">F140*P140</f>
        <v>1165956.6839378332</v>
      </c>
      <c r="R140">
        <f t="shared" ref="R140" si="677">R141+Q140</f>
        <v>-274905254.80222821</v>
      </c>
      <c r="S140">
        <f t="shared" ref="S140" si="678">R140/100000</f>
        <v>-2749.0525480222823</v>
      </c>
      <c r="T140">
        <f t="shared" ref="T140" si="679">S140/1000</f>
        <v>-2.7490525480222825</v>
      </c>
    </row>
    <row r="141" spans="1:20" x14ac:dyDescent="0.25">
      <c r="A141" s="5">
        <v>44452</v>
      </c>
      <c r="B141">
        <v>1.1393</v>
      </c>
      <c r="C141">
        <v>1.1403000000000001</v>
      </c>
      <c r="D141">
        <v>1.0145</v>
      </c>
      <c r="E141">
        <v>1.0848</v>
      </c>
      <c r="F141">
        <v>2238343</v>
      </c>
      <c r="G141">
        <v>1.0848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0.11764705882352869</v>
      </c>
      <c r="Q141">
        <f t="shared" ref="Q141" si="681">F141*P141</f>
        <v>263334.47058823367</v>
      </c>
      <c r="R141">
        <f t="shared" ref="R141" si="682">R142+Q141</f>
        <v>-276071211.48616606</v>
      </c>
      <c r="S141">
        <f t="shared" ref="S141" si="683">R141/100000</f>
        <v>-2760.7121148616607</v>
      </c>
      <c r="T141">
        <f t="shared" ref="T141" si="684">S141/1000</f>
        <v>-2.7607121148616605</v>
      </c>
    </row>
    <row r="142" spans="1:20" x14ac:dyDescent="0.25">
      <c r="A142" s="5">
        <v>44451</v>
      </c>
      <c r="B142">
        <v>1.1328</v>
      </c>
      <c r="C142">
        <v>1.1511</v>
      </c>
      <c r="D142">
        <v>1.0757000000000001</v>
      </c>
      <c r="E142">
        <v>1.1385000000000001</v>
      </c>
      <c r="F142">
        <v>1371461</v>
      </c>
      <c r="G142">
        <v>1.1385000000000001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0.66578249336870132</v>
      </c>
      <c r="Q142">
        <f t="shared" ref="Q142" si="686">F142*P142</f>
        <v>913094.72413793253</v>
      </c>
      <c r="R142">
        <f t="shared" ref="R142" si="687">R143+Q142</f>
        <v>-276334545.95675427</v>
      </c>
      <c r="S142">
        <f t="shared" ref="S142" si="688">R142/100000</f>
        <v>-2763.3454595675425</v>
      </c>
      <c r="T142">
        <f t="shared" ref="T142" si="689">S142/1000</f>
        <v>-2.7633454595675424</v>
      </c>
    </row>
    <row r="143" spans="1:20" x14ac:dyDescent="0.25">
      <c r="A143" s="5">
        <v>44450</v>
      </c>
      <c r="B143">
        <v>1.1080000000000001</v>
      </c>
      <c r="C143">
        <v>1.1329</v>
      </c>
      <c r="D143">
        <v>1.0557000000000001</v>
      </c>
      <c r="E143">
        <v>1.1309</v>
      </c>
      <c r="F143">
        <v>1194593</v>
      </c>
      <c r="G143">
        <v>1.1309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0.94818652849740925</v>
      </c>
      <c r="Q143">
        <f t="shared" ref="Q143" si="691">F143*P143</f>
        <v>1132696.9896373057</v>
      </c>
      <c r="R143">
        <f t="shared" ref="R143" si="692">R144+Q143</f>
        <v>-277247640.68089223</v>
      </c>
      <c r="S143">
        <f t="shared" ref="S143" si="693">R143/100000</f>
        <v>-2772.4764068089221</v>
      </c>
      <c r="T143">
        <f t="shared" ref="T143" si="694">S143/1000</f>
        <v>-2.7724764068089223</v>
      </c>
    </row>
    <row r="144" spans="1:20" x14ac:dyDescent="0.25">
      <c r="A144" s="5">
        <v>44449</v>
      </c>
      <c r="B144">
        <v>1.181</v>
      </c>
      <c r="C144">
        <v>1.1928000000000001</v>
      </c>
      <c r="D144">
        <v>1.0446</v>
      </c>
      <c r="E144">
        <v>1.1089</v>
      </c>
      <c r="F144">
        <v>2324881</v>
      </c>
      <c r="G144">
        <v>1.1089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-0.13225371120107995</v>
      </c>
      <c r="Q144">
        <f t="shared" ref="Q144" si="696">F144*P144</f>
        <v>-307474.14035087795</v>
      </c>
      <c r="R144">
        <f t="shared" ref="R144" si="697">R145+Q144</f>
        <v>-278380337.67052954</v>
      </c>
      <c r="S144">
        <f t="shared" ref="S144" si="698">R144/100000</f>
        <v>-2783.8033767052952</v>
      </c>
      <c r="T144">
        <f t="shared" ref="T144" si="699">S144/1000</f>
        <v>-2.7838033767052952</v>
      </c>
    </row>
    <row r="145" spans="1:20" x14ac:dyDescent="0.25">
      <c r="A145" s="5">
        <v>44448</v>
      </c>
      <c r="B145">
        <v>1.1307</v>
      </c>
      <c r="C145">
        <v>1.1802999999999999</v>
      </c>
      <c r="D145">
        <v>1.0865</v>
      </c>
      <c r="E145">
        <v>1.1802999999999999</v>
      </c>
      <c r="F145">
        <v>4011000</v>
      </c>
      <c r="G145">
        <v>1.1802999999999999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1</v>
      </c>
      <c r="Q145">
        <f t="shared" ref="Q145" si="701">F145*P145</f>
        <v>4011000</v>
      </c>
      <c r="R145">
        <f t="shared" ref="R145" si="702">R146+Q145</f>
        <v>-278072863.53017867</v>
      </c>
      <c r="S145">
        <f t="shared" ref="S145" si="703">R145/100000</f>
        <v>-2780.7286353017867</v>
      </c>
      <c r="T145">
        <f t="shared" ref="T145" si="704">S145/1000</f>
        <v>-2.7807286353017866</v>
      </c>
    </row>
    <row r="146" spans="1:20" x14ac:dyDescent="0.25">
      <c r="A146" s="5">
        <v>44447</v>
      </c>
      <c r="B146">
        <v>1.119</v>
      </c>
      <c r="C146">
        <v>1.1553</v>
      </c>
      <c r="D146">
        <v>0.96579999999999999</v>
      </c>
      <c r="E146">
        <v>1.1326000000000001</v>
      </c>
      <c r="F146">
        <v>4656729</v>
      </c>
      <c r="G146">
        <v>1.1326000000000001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0.7604221635883911</v>
      </c>
      <c r="Q146">
        <f t="shared" ref="Q146" si="706">F146*P146</f>
        <v>3541079.9414248047</v>
      </c>
      <c r="R146">
        <f t="shared" ref="R146" si="707">R147+Q146</f>
        <v>-282083863.53017867</v>
      </c>
      <c r="S146">
        <f t="shared" ref="S146" si="708">R146/100000</f>
        <v>-2820.8386353017868</v>
      </c>
      <c r="T146">
        <f t="shared" ref="T146" si="709">S146/1000</f>
        <v>-2.8208386353017869</v>
      </c>
    </row>
    <row r="147" spans="1:20" x14ac:dyDescent="0.25">
      <c r="A147" s="5">
        <v>44446</v>
      </c>
      <c r="B147">
        <v>1.3423</v>
      </c>
      <c r="C147">
        <v>1.3423</v>
      </c>
      <c r="D147">
        <v>0.8891</v>
      </c>
      <c r="E147">
        <v>1.1209</v>
      </c>
      <c r="F147">
        <v>4517542.4800000004</v>
      </c>
      <c r="G147">
        <v>1.1209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2.2947925860547141E-2</v>
      </c>
      <c r="Q147">
        <f t="shared" ref="Q147" si="711">F147*P147</f>
        <v>103668.22990291228</v>
      </c>
      <c r="R147">
        <f t="shared" ref="R147" si="712">R148+Q147</f>
        <v>-285624943.47160345</v>
      </c>
      <c r="S147">
        <f t="shared" ref="S147" si="713">R147/100000</f>
        <v>-2856.2494347160346</v>
      </c>
      <c r="T147">
        <f t="shared" ref="T147" si="714">S147/1000</f>
        <v>-2.8562494347160348</v>
      </c>
    </row>
    <row r="148" spans="1:20" x14ac:dyDescent="0.25">
      <c r="A148" s="5">
        <v>44445</v>
      </c>
      <c r="B148">
        <v>1.3711</v>
      </c>
      <c r="C148">
        <v>1.397</v>
      </c>
      <c r="D148">
        <v>1.2904</v>
      </c>
      <c r="E148">
        <v>1.3423</v>
      </c>
      <c r="F148">
        <v>4096675</v>
      </c>
      <c r="G148">
        <v>1.3423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-2.6266416510318132E-2</v>
      </c>
      <c r="Q148">
        <f t="shared" ref="Q148" si="716">F148*P148</f>
        <v>-107604.97185740754</v>
      </c>
      <c r="R148">
        <f t="shared" ref="R148" si="717">R149+Q148</f>
        <v>-285728611.70150638</v>
      </c>
      <c r="S148">
        <f t="shared" ref="S148" si="718">R148/100000</f>
        <v>-2857.2861170150636</v>
      </c>
      <c r="T148">
        <f t="shared" ref="T148" si="719">S148/1000</f>
        <v>-2.8572861170150636</v>
      </c>
    </row>
    <row r="149" spans="1:20" x14ac:dyDescent="0.25">
      <c r="A149" s="5">
        <v>44444</v>
      </c>
      <c r="B149">
        <v>1.3287</v>
      </c>
      <c r="C149">
        <v>1.7431000000000001</v>
      </c>
      <c r="D149">
        <v>1.25</v>
      </c>
      <c r="E149">
        <v>1.3703000000000001</v>
      </c>
      <c r="F149">
        <v>25322275.219999999</v>
      </c>
      <c r="G149">
        <v>1.3703000000000001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-0.51206651794767777</v>
      </c>
      <c r="Q149">
        <f t="shared" ref="Q149" si="721">F149*P149</f>
        <v>-12966689.298418166</v>
      </c>
      <c r="R149">
        <f t="shared" ref="R149" si="722">R150+Q149</f>
        <v>-285621006.72964895</v>
      </c>
      <c r="S149">
        <f t="shared" ref="S149" si="723">R149/100000</f>
        <v>-2856.2100672964893</v>
      </c>
      <c r="T149">
        <f t="shared" ref="T149" si="724">S149/1000</f>
        <v>-2.8562100672964892</v>
      </c>
    </row>
    <row r="150" spans="1:20" x14ac:dyDescent="0.25">
      <c r="A150" s="5">
        <v>44443</v>
      </c>
      <c r="B150">
        <v>1.2071000000000001</v>
      </c>
      <c r="C150">
        <v>1.34</v>
      </c>
      <c r="D150">
        <v>1.1755</v>
      </c>
      <c r="E150">
        <v>1.3274999999999999</v>
      </c>
      <c r="F150">
        <v>6650632.7300000004</v>
      </c>
      <c r="G150">
        <v>1.3274999999999999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0.84802431610942042</v>
      </c>
      <c r="Q150">
        <f t="shared" ref="Q150" si="726">F150*P150</f>
        <v>5639898.2725531785</v>
      </c>
      <c r="R150">
        <f t="shared" ref="R150" si="727">R151+Q150</f>
        <v>-272654317.43123078</v>
      </c>
      <c r="S150">
        <f t="shared" ref="S150" si="728">R150/100000</f>
        <v>-2726.5431743123077</v>
      </c>
      <c r="T150">
        <f t="shared" ref="T150" si="729">S150/1000</f>
        <v>-2.7265431743123076</v>
      </c>
    </row>
    <row r="151" spans="1:20" x14ac:dyDescent="0.25">
      <c r="A151" s="5">
        <v>44442</v>
      </c>
      <c r="B151">
        <v>1.1608000000000001</v>
      </c>
      <c r="C151">
        <v>1.23</v>
      </c>
      <c r="D151">
        <v>1.1243000000000001</v>
      </c>
      <c r="E151">
        <v>1.2081999999999999</v>
      </c>
      <c r="F151">
        <v>3416399</v>
      </c>
      <c r="G151">
        <v>1.2081999999999999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0.58751182592242079</v>
      </c>
      <c r="Q151">
        <f t="shared" ref="Q151" si="731">F151*P151</f>
        <v>2007174.8145695324</v>
      </c>
      <c r="R151">
        <f t="shared" ref="R151" si="732">R152+Q151</f>
        <v>-278294215.70378399</v>
      </c>
      <c r="S151">
        <f t="shared" ref="S151" si="733">R151/100000</f>
        <v>-2782.9421570378399</v>
      </c>
      <c r="T151">
        <f t="shared" ref="T151" si="734">S151/1000</f>
        <v>-2.7829421570378399</v>
      </c>
    </row>
    <row r="152" spans="1:20" x14ac:dyDescent="0.25">
      <c r="A152" s="5">
        <v>44441</v>
      </c>
      <c r="B152">
        <v>1.1573</v>
      </c>
      <c r="C152">
        <v>1.1656</v>
      </c>
      <c r="D152">
        <v>1.123</v>
      </c>
      <c r="E152">
        <v>1.1621999999999999</v>
      </c>
      <c r="F152">
        <v>2156806</v>
      </c>
      <c r="G152">
        <v>1.1621999999999999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0.84037558685445668</v>
      </c>
      <c r="Q152">
        <f t="shared" ref="Q152" si="736">F152*P152</f>
        <v>1812527.1079812134</v>
      </c>
      <c r="R152">
        <f t="shared" ref="R152" si="737">R153+Q152</f>
        <v>-280301390.51835352</v>
      </c>
      <c r="S152">
        <f t="shared" ref="S152" si="738">R152/100000</f>
        <v>-2803.0139051835354</v>
      </c>
      <c r="T152">
        <f t="shared" ref="T152" si="739">S152/1000</f>
        <v>-2.8030139051835352</v>
      </c>
    </row>
    <row r="153" spans="1:20" x14ac:dyDescent="0.25">
      <c r="A153" s="5">
        <v>44440</v>
      </c>
      <c r="B153">
        <v>1.1292</v>
      </c>
      <c r="C153">
        <v>1.1576</v>
      </c>
      <c r="D153">
        <v>1.0714999999999999</v>
      </c>
      <c r="E153">
        <v>1.1576</v>
      </c>
      <c r="F153">
        <v>2534311</v>
      </c>
      <c r="G153">
        <v>1.1576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1</v>
      </c>
      <c r="Q153">
        <f t="shared" ref="Q153" si="741">F153*P153</f>
        <v>2534311</v>
      </c>
      <c r="R153">
        <f t="shared" ref="R153" si="742">R154+Q153</f>
        <v>-282113917.62633473</v>
      </c>
      <c r="S153">
        <f t="shared" ref="S153" si="743">R153/100000</f>
        <v>-2821.1391762633471</v>
      </c>
      <c r="T153">
        <f t="shared" ref="T153" si="744">S153/1000</f>
        <v>-2.8211391762633471</v>
      </c>
    </row>
    <row r="154" spans="1:20" x14ac:dyDescent="0.25">
      <c r="A154" s="5">
        <v>44439</v>
      </c>
      <c r="B154">
        <v>1.0934999999999999</v>
      </c>
      <c r="C154">
        <v>1.2928999999999999</v>
      </c>
      <c r="D154">
        <v>1.0934999999999999</v>
      </c>
      <c r="E154">
        <v>1.129</v>
      </c>
      <c r="F154">
        <v>12927473.59</v>
      </c>
      <c r="G154">
        <v>1.129</v>
      </c>
      <c r="L154" t="s">
        <v>8</v>
      </c>
      <c r="M154" t="s">
        <v>8</v>
      </c>
      <c r="N154" t="s">
        <v>7</v>
      </c>
      <c r="P154">
        <f t="shared" ref="P154" si="745">IF(C154=D154,0,((E154-D154)-(C154-E154))/(C154-D154))</f>
        <v>-0.64393179538615763</v>
      </c>
      <c r="Q154">
        <f t="shared" ref="Q154" si="746">F154*P154</f>
        <v>-8324411.278615837</v>
      </c>
      <c r="R154">
        <f t="shared" ref="R154" si="747">R155+Q154</f>
        <v>-284648228.62633473</v>
      </c>
      <c r="S154">
        <f t="shared" ref="S154" si="748">R154/100000</f>
        <v>-2846.4822862633473</v>
      </c>
      <c r="T154">
        <f t="shared" ref="T154" si="749">S154/1000</f>
        <v>-2.8464822862633472</v>
      </c>
    </row>
    <row r="155" spans="1:20" x14ac:dyDescent="0.25">
      <c r="A155" s="5">
        <v>44438</v>
      </c>
      <c r="B155">
        <v>1.1416999999999999</v>
      </c>
      <c r="C155">
        <v>1.1416999999999999</v>
      </c>
      <c r="D155">
        <v>1.0732999999999999</v>
      </c>
      <c r="E155">
        <v>1.0925</v>
      </c>
      <c r="F155">
        <v>2871667</v>
      </c>
      <c r="G155">
        <v>1.0925</v>
      </c>
      <c r="L155" t="s">
        <v>8</v>
      </c>
      <c r="M155" t="s">
        <v>7</v>
      </c>
      <c r="N155" t="s">
        <v>7</v>
      </c>
      <c r="P155">
        <f t="shared" ref="P155" si="750">IF(C155=D155,0,((E155-D155)-(C155-E155))/(C155-D155))</f>
        <v>-0.43859649122806721</v>
      </c>
      <c r="Q155">
        <f t="shared" ref="Q155" si="751">F155*P155</f>
        <v>-1259503.07017543</v>
      </c>
      <c r="R155">
        <f t="shared" ref="R155" si="752">R156+Q155</f>
        <v>-276323817.34771889</v>
      </c>
      <c r="S155">
        <f t="shared" ref="S155" si="753">R155/100000</f>
        <v>-2763.2381734771889</v>
      </c>
      <c r="T155">
        <f t="shared" ref="T155" si="754">S155/1000</f>
        <v>-2.7632381734771889</v>
      </c>
    </row>
    <row r="156" spans="1:20" x14ac:dyDescent="0.25">
      <c r="A156" s="5">
        <v>44437</v>
      </c>
      <c r="B156">
        <v>1.1773</v>
      </c>
      <c r="C156">
        <v>1.1812</v>
      </c>
      <c r="D156">
        <v>1.0333000000000001</v>
      </c>
      <c r="E156">
        <v>1.1415</v>
      </c>
      <c r="F156">
        <v>3621706</v>
      </c>
      <c r="G156">
        <v>1.1415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0.46315077755239903</v>
      </c>
      <c r="Q156">
        <f t="shared" ref="Q156" si="756">F156*P156</f>
        <v>1677395.949966189</v>
      </c>
      <c r="R156">
        <f t="shared" ref="R156" si="757">R157+Q156</f>
        <v>-275064314.27754349</v>
      </c>
      <c r="S156">
        <f t="shared" ref="S156" si="758">R156/100000</f>
        <v>-2750.6431427754346</v>
      </c>
      <c r="T156">
        <f t="shared" ref="T156" si="759">S156/1000</f>
        <v>-2.7506431427754348</v>
      </c>
    </row>
    <row r="157" spans="1:20" x14ac:dyDescent="0.25">
      <c r="A157" s="5">
        <v>44436</v>
      </c>
      <c r="B157">
        <v>1.1519999999999999</v>
      </c>
      <c r="C157">
        <v>1.1979</v>
      </c>
      <c r="D157">
        <v>1.1051</v>
      </c>
      <c r="E157">
        <v>1.1745000000000001</v>
      </c>
      <c r="F157">
        <v>7201230</v>
      </c>
      <c r="G157">
        <v>1.1745000000000001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0.49568965517241664</v>
      </c>
      <c r="Q157">
        <f t="shared" ref="Q157" si="761">F157*P157</f>
        <v>3569575.215517262</v>
      </c>
      <c r="R157">
        <f t="shared" ref="R157" si="762">R158+Q157</f>
        <v>-276741710.22750968</v>
      </c>
      <c r="S157">
        <f t="shared" ref="S157" si="763">R157/100000</f>
        <v>-2767.4171022750966</v>
      </c>
      <c r="T157">
        <f t="shared" ref="T157" si="764">S157/1000</f>
        <v>-2.7674171022750964</v>
      </c>
    </row>
    <row r="158" spans="1:20" x14ac:dyDescent="0.25">
      <c r="A158" s="5">
        <v>44435</v>
      </c>
      <c r="B158">
        <v>1.0958000000000001</v>
      </c>
      <c r="C158">
        <v>1.1697</v>
      </c>
      <c r="D158">
        <v>1.0216000000000001</v>
      </c>
      <c r="E158">
        <v>1.1515</v>
      </c>
      <c r="F158">
        <v>7656261.9699999997</v>
      </c>
      <c r="G158">
        <v>1.1515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0.75422012153950024</v>
      </c>
      <c r="Q158">
        <f t="shared" ref="Q158" si="766">F158*P158</f>
        <v>5774506.8335516537</v>
      </c>
      <c r="R158">
        <f t="shared" ref="R158" si="767">R159+Q158</f>
        <v>-280311285.44302696</v>
      </c>
      <c r="S158">
        <f t="shared" ref="S158" si="768">R158/100000</f>
        <v>-2803.1128544302696</v>
      </c>
      <c r="T158">
        <f t="shared" ref="T158" si="769">S158/1000</f>
        <v>-2.8031128544302697</v>
      </c>
    </row>
    <row r="159" spans="1:20" x14ac:dyDescent="0.25">
      <c r="A159" s="5">
        <v>44434</v>
      </c>
      <c r="B159">
        <v>1.1737</v>
      </c>
      <c r="C159">
        <v>1.2285999999999999</v>
      </c>
      <c r="D159">
        <v>1.0603</v>
      </c>
      <c r="E159">
        <v>1.0959000000000001</v>
      </c>
      <c r="F159">
        <v>9064513.4000000004</v>
      </c>
      <c r="G159">
        <v>1.0959000000000001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-0.57694592988710514</v>
      </c>
      <c r="Q159">
        <f t="shared" ref="Q159" si="771">F159*P159</f>
        <v>-5229734.1125371251</v>
      </c>
      <c r="R159">
        <f t="shared" ref="R159" si="772">R160+Q159</f>
        <v>-286085792.27657861</v>
      </c>
      <c r="S159">
        <f t="shared" ref="S159" si="773">R159/100000</f>
        <v>-2860.857922765786</v>
      </c>
      <c r="T159">
        <f t="shared" ref="T159" si="774">S159/1000</f>
        <v>-2.8608579227657862</v>
      </c>
    </row>
    <row r="160" spans="1:20" x14ac:dyDescent="0.25">
      <c r="A160" s="5">
        <v>44433</v>
      </c>
      <c r="B160">
        <v>1.3218000000000001</v>
      </c>
      <c r="C160">
        <v>1.3218000000000001</v>
      </c>
      <c r="D160">
        <v>1.0669</v>
      </c>
      <c r="E160">
        <v>1.1726000000000001</v>
      </c>
      <c r="F160">
        <v>28191594.789999999</v>
      </c>
      <c r="G160">
        <v>1.1726000000000001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-0.17065515888583699</v>
      </c>
      <c r="Q160">
        <f t="shared" ref="Q160" si="776">F160*P160</f>
        <v>-4811041.0881325845</v>
      </c>
      <c r="R160">
        <f t="shared" ref="R160" si="777">R161+Q160</f>
        <v>-280856058.16404146</v>
      </c>
      <c r="S160">
        <f t="shared" ref="S160" si="778">R160/100000</f>
        <v>-2808.5605816404145</v>
      </c>
      <c r="T160">
        <f t="shared" ref="T160" si="779">S160/1000</f>
        <v>-2.8085605816404144</v>
      </c>
    </row>
    <row r="161" spans="1:20" x14ac:dyDescent="0.25">
      <c r="A161" s="5">
        <v>44432</v>
      </c>
      <c r="B161">
        <v>0.96789999999999998</v>
      </c>
      <c r="C161">
        <v>2.15</v>
      </c>
      <c r="D161">
        <v>0.96789999999999998</v>
      </c>
      <c r="E161">
        <v>1.3197000000000001</v>
      </c>
      <c r="F161">
        <v>85992953.299999997</v>
      </c>
      <c r="G161">
        <v>1.3197000000000001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-0.40478808899416269</v>
      </c>
      <c r="Q161">
        <f t="shared" ref="Q161" si="781">F161*P161</f>
        <v>-34808923.233271271</v>
      </c>
      <c r="R161">
        <f t="shared" ref="R161" si="782">R162+Q161</f>
        <v>-276045017.0759089</v>
      </c>
      <c r="S161">
        <f t="shared" ref="S161" si="783">R161/100000</f>
        <v>-2760.4501707590889</v>
      </c>
      <c r="T161">
        <f t="shared" ref="T161" si="784">S161/1000</f>
        <v>-2.7604501707590887</v>
      </c>
    </row>
    <row r="162" spans="1:20" x14ac:dyDescent="0.25">
      <c r="A162" s="5">
        <v>44431</v>
      </c>
      <c r="B162">
        <v>0.91449999999999998</v>
      </c>
      <c r="C162">
        <v>0.9889</v>
      </c>
      <c r="D162">
        <v>0.89980000000000004</v>
      </c>
      <c r="E162">
        <v>0.96779999999999999</v>
      </c>
      <c r="F162">
        <v>3435471.12</v>
      </c>
      <c r="G162">
        <v>0.96779999999999999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0.52637485970819264</v>
      </c>
      <c r="Q162">
        <f t="shared" ref="Q162" si="786">F162*P162</f>
        <v>1808345.6288215476</v>
      </c>
      <c r="R162">
        <f t="shared" ref="R162" si="787">R163+Q162</f>
        <v>-241236093.84263763</v>
      </c>
      <c r="S162">
        <f t="shared" ref="S162" si="788">R162/100000</f>
        <v>-2412.3609384263764</v>
      </c>
      <c r="T162">
        <f t="shared" ref="T162" si="789">S162/1000</f>
        <v>-2.4123609384263762</v>
      </c>
    </row>
    <row r="163" spans="1:20" x14ac:dyDescent="0.25">
      <c r="A163" s="5">
        <v>44430</v>
      </c>
      <c r="B163">
        <v>0.91849999999999998</v>
      </c>
      <c r="C163">
        <v>0.91849999999999998</v>
      </c>
      <c r="D163">
        <v>0.89839999999999998</v>
      </c>
      <c r="E163">
        <v>0.90800000000000003</v>
      </c>
      <c r="F163">
        <v>237572.86</v>
      </c>
      <c r="G163">
        <v>0.90800000000000003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-4.4776119402980132E-2</v>
      </c>
      <c r="Q163">
        <f t="shared" ref="Q163" si="791">F163*P163</f>
        <v>-10637.590746267482</v>
      </c>
      <c r="R163">
        <f t="shared" ref="R163" si="792">R164+Q163</f>
        <v>-243044439.47145918</v>
      </c>
      <c r="S163">
        <f t="shared" ref="S163" si="793">R163/100000</f>
        <v>-2430.4443947145919</v>
      </c>
      <c r="T163">
        <f t="shared" ref="T163" si="794">S163/1000</f>
        <v>-2.4304443947145917</v>
      </c>
    </row>
    <row r="164" spans="1:20" x14ac:dyDescent="0.25">
      <c r="A164" s="5">
        <v>44429</v>
      </c>
      <c r="B164">
        <v>0.91310000000000002</v>
      </c>
      <c r="C164">
        <v>0.9446</v>
      </c>
      <c r="D164">
        <v>0.88349999999999995</v>
      </c>
      <c r="E164">
        <v>0.91820000000000002</v>
      </c>
      <c r="F164">
        <v>2665764.0499999998</v>
      </c>
      <c r="G164">
        <v>0.91820000000000002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0.13584288052373289</v>
      </c>
      <c r="Q164">
        <f t="shared" ref="Q164" si="796">F164*P164</f>
        <v>362125.0673486123</v>
      </c>
      <c r="R164">
        <f t="shared" ref="R164" si="797">R165+Q164</f>
        <v>-243033801.88071293</v>
      </c>
      <c r="S164">
        <f t="shared" ref="S164" si="798">R164/100000</f>
        <v>-2430.3380188071292</v>
      </c>
      <c r="T164">
        <f t="shared" ref="T164" si="799">S164/1000</f>
        <v>-2.4303380188071291</v>
      </c>
    </row>
    <row r="165" spans="1:20" x14ac:dyDescent="0.25">
      <c r="A165" s="5">
        <v>44428</v>
      </c>
      <c r="B165">
        <v>0.87739999999999996</v>
      </c>
      <c r="C165">
        <v>0.91749999999999998</v>
      </c>
      <c r="D165">
        <v>0.86009999999999998</v>
      </c>
      <c r="E165">
        <v>0.91169999999999995</v>
      </c>
      <c r="F165">
        <v>2507788.64</v>
      </c>
      <c r="G165">
        <v>0.91169999999999995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0.79790940766550433</v>
      </c>
      <c r="Q165">
        <f t="shared" ref="Q165" si="801">F165*P165</f>
        <v>2000988.1482926807</v>
      </c>
      <c r="R165">
        <f t="shared" ref="R165" si="802">R166+Q165</f>
        <v>-243395926.94806153</v>
      </c>
      <c r="S165">
        <f t="shared" ref="S165" si="803">R165/100000</f>
        <v>-2433.9592694806151</v>
      </c>
      <c r="T165">
        <f t="shared" ref="T165" si="804">S165/1000</f>
        <v>-2.4339592694806154</v>
      </c>
    </row>
    <row r="166" spans="1:20" x14ac:dyDescent="0.25">
      <c r="A166" s="5">
        <v>44427</v>
      </c>
      <c r="B166">
        <v>0.84770000000000001</v>
      </c>
      <c r="C166">
        <v>0.87809999999999999</v>
      </c>
      <c r="D166">
        <v>0.82450000000000001</v>
      </c>
      <c r="E166">
        <v>0.87749999999999995</v>
      </c>
      <c r="F166">
        <v>2027518.46</v>
      </c>
      <c r="G166">
        <v>0.87749999999999995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0.97761194029850573</v>
      </c>
      <c r="Q166">
        <f t="shared" ref="Q166" si="806">F166*P166</f>
        <v>1982126.2556716383</v>
      </c>
      <c r="R166">
        <f t="shared" ref="R166" si="807">R167+Q166</f>
        <v>-245396915.09635422</v>
      </c>
      <c r="S166">
        <f t="shared" ref="S166" si="808">R166/100000</f>
        <v>-2453.9691509635422</v>
      </c>
      <c r="T166">
        <f t="shared" ref="T166" si="809">S166/1000</f>
        <v>-2.4539691509635424</v>
      </c>
    </row>
    <row r="167" spans="1:20" x14ac:dyDescent="0.25">
      <c r="A167" s="5">
        <v>44426</v>
      </c>
      <c r="B167">
        <v>0.86580000000000001</v>
      </c>
      <c r="C167">
        <v>0.86980000000000002</v>
      </c>
      <c r="D167">
        <v>0.81889999999999996</v>
      </c>
      <c r="E167">
        <v>0.84709999999999996</v>
      </c>
      <c r="F167">
        <v>1869145.98</v>
      </c>
      <c r="G167">
        <v>0.84709999999999996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0.1080550098231816</v>
      </c>
      <c r="Q167">
        <f t="shared" ref="Q167" si="811">F167*P167</f>
        <v>201970.58722986039</v>
      </c>
      <c r="R167">
        <f t="shared" ref="R167" si="812">R168+Q167</f>
        <v>-247379041.35202587</v>
      </c>
      <c r="S167">
        <f t="shared" ref="S167" si="813">R167/100000</f>
        <v>-2473.7904135202589</v>
      </c>
      <c r="T167">
        <f t="shared" ref="T167" si="814">S167/1000</f>
        <v>-2.4737904135202591</v>
      </c>
    </row>
    <row r="168" spans="1:20" x14ac:dyDescent="0.25">
      <c r="A168" s="5">
        <v>44425</v>
      </c>
      <c r="B168">
        <v>0.91739999999999999</v>
      </c>
      <c r="C168">
        <v>0.91759999999999997</v>
      </c>
      <c r="D168">
        <v>0.85950000000000004</v>
      </c>
      <c r="E168">
        <v>0.86409999999999998</v>
      </c>
      <c r="F168">
        <v>2043749.58</v>
      </c>
      <c r="G168">
        <v>0.86409999999999998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-0.84165232358003639</v>
      </c>
      <c r="Q168">
        <f t="shared" ref="Q168" si="816">F168*P168</f>
        <v>-1720126.5828227235</v>
      </c>
      <c r="R168">
        <f t="shared" ref="R168" si="817">R169+Q168</f>
        <v>-247581011.93925571</v>
      </c>
      <c r="S168">
        <f t="shared" ref="S168" si="818">R168/100000</f>
        <v>-2475.8101193925572</v>
      </c>
      <c r="T168">
        <f t="shared" ref="T168" si="819">S168/1000</f>
        <v>-2.4758101193925572</v>
      </c>
    </row>
    <row r="169" spans="1:20" x14ac:dyDescent="0.25">
      <c r="A169" s="5">
        <v>44424</v>
      </c>
      <c r="B169">
        <v>0.9375</v>
      </c>
      <c r="C169">
        <v>0.95030000000000003</v>
      </c>
      <c r="D169">
        <v>0.90539999999999998</v>
      </c>
      <c r="E169">
        <v>0.91439999999999999</v>
      </c>
      <c r="F169">
        <v>2663890.9900000002</v>
      </c>
      <c r="G169">
        <v>0.91439999999999999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-0.59910913140311817</v>
      </c>
      <c r="Q169">
        <f t="shared" ref="Q169" si="821">F169*P169</f>
        <v>-1595961.4171714927</v>
      </c>
      <c r="R169">
        <f t="shared" ref="R169" si="822">R170+Q169</f>
        <v>-245860885.356433</v>
      </c>
      <c r="S169">
        <f t="shared" ref="S169" si="823">R169/100000</f>
        <v>-2458.6088535643298</v>
      </c>
      <c r="T169">
        <f t="shared" ref="T169" si="824">S169/1000</f>
        <v>-2.4586088535643298</v>
      </c>
    </row>
    <row r="170" spans="1:20" x14ac:dyDescent="0.25">
      <c r="A170" s="5">
        <v>44423</v>
      </c>
      <c r="B170">
        <v>0.9325</v>
      </c>
      <c r="C170">
        <v>0.94530000000000003</v>
      </c>
      <c r="D170">
        <v>0.88590000000000002</v>
      </c>
      <c r="E170">
        <v>0.93540000000000001</v>
      </c>
      <c r="F170">
        <v>2354390.56</v>
      </c>
      <c r="G170">
        <v>0.93540000000000001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0.66666666666666607</v>
      </c>
      <c r="Q170">
        <f t="shared" ref="Q170" si="826">F170*P170</f>
        <v>1569593.7066666654</v>
      </c>
      <c r="R170">
        <f t="shared" ref="R170" si="827">R171+Q170</f>
        <v>-244264923.93926153</v>
      </c>
      <c r="S170">
        <f t="shared" ref="S170" si="828">R170/100000</f>
        <v>-2442.6492393926151</v>
      </c>
      <c r="T170">
        <f t="shared" ref="T170" si="829">S170/1000</f>
        <v>-2.4426492393926149</v>
      </c>
    </row>
    <row r="171" spans="1:20" x14ac:dyDescent="0.25">
      <c r="A171" s="5">
        <v>44422</v>
      </c>
      <c r="B171">
        <v>0.92969999999999997</v>
      </c>
      <c r="C171">
        <v>0.99160000000000004</v>
      </c>
      <c r="D171">
        <v>0.88549999999999995</v>
      </c>
      <c r="E171">
        <v>0.93279999999999996</v>
      </c>
      <c r="F171">
        <v>4603374.7</v>
      </c>
      <c r="G171">
        <v>0.93279999999999996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-0.10838831291234738</v>
      </c>
      <c r="Q171">
        <f t="shared" ref="Q171" si="831">F171*P171</f>
        <v>-498952.01743638323</v>
      </c>
      <c r="R171">
        <f t="shared" ref="R171" si="832">R172+Q171</f>
        <v>-245834517.6459282</v>
      </c>
      <c r="S171">
        <f t="shared" ref="S171" si="833">R171/100000</f>
        <v>-2458.3451764592819</v>
      </c>
      <c r="T171">
        <f t="shared" ref="T171" si="834">S171/1000</f>
        <v>-2.4583451764592819</v>
      </c>
    </row>
    <row r="172" spans="1:20" x14ac:dyDescent="0.25">
      <c r="A172" s="5">
        <v>44421</v>
      </c>
      <c r="B172">
        <v>0.86980000000000002</v>
      </c>
      <c r="C172">
        <v>0.92989999999999995</v>
      </c>
      <c r="D172">
        <v>0.85399999999999998</v>
      </c>
      <c r="E172">
        <v>0.92989999999999995</v>
      </c>
      <c r="F172">
        <v>2179054.5699999998</v>
      </c>
      <c r="G172">
        <v>0.92989999999999995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1</v>
      </c>
      <c r="Q172">
        <f t="shared" ref="Q172" si="836">F172*P172</f>
        <v>2179054.5699999998</v>
      </c>
      <c r="R172">
        <f t="shared" ref="R172" si="837">R173+Q172</f>
        <v>-245335565.62849182</v>
      </c>
      <c r="S172">
        <f t="shared" ref="S172" si="838">R172/100000</f>
        <v>-2453.355656284918</v>
      </c>
      <c r="T172">
        <f t="shared" ref="T172" si="839">S172/1000</f>
        <v>-2.4533556562849181</v>
      </c>
    </row>
    <row r="173" spans="1:20" x14ac:dyDescent="0.25">
      <c r="A173" s="5">
        <v>44420</v>
      </c>
      <c r="B173">
        <v>0.91559999999999997</v>
      </c>
      <c r="C173">
        <v>0.9325</v>
      </c>
      <c r="D173">
        <v>0.84319999999999995</v>
      </c>
      <c r="E173">
        <v>0.86829999999999996</v>
      </c>
      <c r="F173">
        <v>2838389.03</v>
      </c>
      <c r="G173">
        <v>0.86829999999999996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-0.4378499440089586</v>
      </c>
      <c r="Q173">
        <f t="shared" ref="Q173" si="841">F173*P173</f>
        <v>-1242788.4778611423</v>
      </c>
      <c r="R173">
        <f t="shared" ref="R173" si="842">R174+Q173</f>
        <v>-247514620.19849181</v>
      </c>
      <c r="S173">
        <f t="shared" ref="S173" si="843">R173/100000</f>
        <v>-2475.1462019849182</v>
      </c>
      <c r="T173">
        <f t="shared" ref="T173" si="844">S173/1000</f>
        <v>-2.4751462019849182</v>
      </c>
    </row>
    <row r="174" spans="1:20" x14ac:dyDescent="0.25">
      <c r="A174" s="5">
        <v>44419</v>
      </c>
      <c r="B174">
        <v>0.87470000000000003</v>
      </c>
      <c r="C174">
        <v>0.92830000000000001</v>
      </c>
      <c r="D174">
        <v>0.84450000000000003</v>
      </c>
      <c r="E174">
        <v>0.91510000000000002</v>
      </c>
      <c r="F174">
        <v>5591729.9500000002</v>
      </c>
      <c r="G174">
        <v>0.91510000000000002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0.6849642004773272</v>
      </c>
      <c r="Q174">
        <f t="shared" ref="Q174" si="846">F174*P174</f>
        <v>3830134.8344868748</v>
      </c>
      <c r="R174">
        <f t="shared" ref="R174" si="847">R175+Q174</f>
        <v>-246271831.72063068</v>
      </c>
      <c r="S174">
        <f t="shared" ref="S174" si="848">R174/100000</f>
        <v>-2462.7183172063069</v>
      </c>
      <c r="T174">
        <f t="shared" ref="T174" si="849">S174/1000</f>
        <v>-2.4627183172063067</v>
      </c>
    </row>
    <row r="175" spans="1:20" x14ac:dyDescent="0.25">
      <c r="A175" s="5">
        <v>44418</v>
      </c>
      <c r="B175">
        <v>0.87909999999999999</v>
      </c>
      <c r="C175">
        <v>0.88160000000000005</v>
      </c>
      <c r="D175">
        <v>0.85189999999999999</v>
      </c>
      <c r="E175">
        <v>0.87470000000000003</v>
      </c>
      <c r="F175">
        <v>2589199.08</v>
      </c>
      <c r="G175">
        <v>0.87470000000000003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0.53535353535353514</v>
      </c>
      <c r="Q175">
        <f t="shared" ref="Q175" si="851">F175*P175</f>
        <v>1386136.8812121206</v>
      </c>
      <c r="R175">
        <f t="shared" ref="R175" si="852">R176+Q175</f>
        <v>-250101966.55511755</v>
      </c>
      <c r="S175">
        <f t="shared" ref="S175" si="853">R175/100000</f>
        <v>-2501.0196655511754</v>
      </c>
      <c r="T175">
        <f t="shared" ref="T175" si="854">S175/1000</f>
        <v>-2.5010196655511754</v>
      </c>
    </row>
    <row r="176" spans="1:20" x14ac:dyDescent="0.25">
      <c r="A176" s="5">
        <v>44417</v>
      </c>
      <c r="B176">
        <v>0.85240000000000005</v>
      </c>
      <c r="C176">
        <v>0.9</v>
      </c>
      <c r="D176">
        <v>0.81910000000000005</v>
      </c>
      <c r="E176">
        <v>0.87849999999999995</v>
      </c>
      <c r="F176">
        <v>2827560.21</v>
      </c>
      <c r="G176">
        <v>0.87849999999999995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0.46847960444993619</v>
      </c>
      <c r="Q176">
        <f t="shared" ref="Q176" si="856">F176*P176</f>
        <v>1324654.2887391786</v>
      </c>
      <c r="R176">
        <f t="shared" ref="R176" si="857">R177+Q176</f>
        <v>-251488103.43632966</v>
      </c>
      <c r="S176">
        <f t="shared" ref="S176" si="858">R176/100000</f>
        <v>-2514.8810343632967</v>
      </c>
      <c r="T176">
        <f t="shared" ref="T176" si="859">S176/1000</f>
        <v>-2.5148810343632966</v>
      </c>
    </row>
    <row r="177" spans="1:20" x14ac:dyDescent="0.25">
      <c r="A177" s="5">
        <v>44416</v>
      </c>
      <c r="B177">
        <v>0.86439999999999995</v>
      </c>
      <c r="C177">
        <v>0.94</v>
      </c>
      <c r="D177">
        <v>0.82650000000000001</v>
      </c>
      <c r="E177">
        <v>0.85</v>
      </c>
      <c r="F177">
        <v>4081299.17</v>
      </c>
      <c r="G177">
        <v>0.85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-0.58590308370044086</v>
      </c>
      <c r="Q177">
        <f t="shared" ref="Q177" si="861">F177*P177</f>
        <v>-2391245.7692070496</v>
      </c>
      <c r="R177">
        <f t="shared" ref="R177" si="862">R178+Q177</f>
        <v>-252812757.72506884</v>
      </c>
      <c r="S177">
        <f t="shared" ref="S177" si="863">R177/100000</f>
        <v>-2528.1275772506883</v>
      </c>
      <c r="T177">
        <f t="shared" ref="T177" si="864">S177/1000</f>
        <v>-2.5281275772506882</v>
      </c>
    </row>
    <row r="178" spans="1:20" x14ac:dyDescent="0.25">
      <c r="A178" s="5">
        <v>44415</v>
      </c>
      <c r="B178">
        <v>0.83509999999999995</v>
      </c>
      <c r="C178">
        <v>0.89890000000000003</v>
      </c>
      <c r="D178">
        <v>0.82550000000000001</v>
      </c>
      <c r="E178">
        <v>0.8649</v>
      </c>
      <c r="F178">
        <v>4491205.38</v>
      </c>
      <c r="G178">
        <v>0.8649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7.3569482288827773E-2</v>
      </c>
      <c r="Q178">
        <f t="shared" ref="Q178" si="866">F178*P178</f>
        <v>330415.65465939802</v>
      </c>
      <c r="R178">
        <f t="shared" ref="R178" si="867">R179+Q178</f>
        <v>-250421511.95586178</v>
      </c>
      <c r="S178">
        <f t="shared" ref="S178" si="868">R178/100000</f>
        <v>-2504.215119558618</v>
      </c>
      <c r="T178">
        <f t="shared" ref="T178" si="869">S178/1000</f>
        <v>-2.504215119558618</v>
      </c>
    </row>
    <row r="179" spans="1:20" x14ac:dyDescent="0.25">
      <c r="A179" s="5">
        <v>44414</v>
      </c>
      <c r="B179">
        <v>0.80059999999999998</v>
      </c>
      <c r="C179">
        <v>0.87470000000000003</v>
      </c>
      <c r="D179">
        <v>0.77749999999999997</v>
      </c>
      <c r="E179">
        <v>0.83460000000000001</v>
      </c>
      <c r="F179">
        <v>4964966.2699999996</v>
      </c>
      <c r="G179">
        <v>0.83460000000000001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0.17489711934156382</v>
      </c>
      <c r="Q179">
        <f t="shared" ref="Q179" si="871">F179*P179</f>
        <v>868358.29825102887</v>
      </c>
      <c r="R179">
        <f t="shared" ref="R179" si="872">R180+Q179</f>
        <v>-250751927.61052117</v>
      </c>
      <c r="S179">
        <f t="shared" ref="S179" si="873">R179/100000</f>
        <v>-2507.5192761052117</v>
      </c>
      <c r="T179">
        <f t="shared" ref="T179" si="874">S179/1000</f>
        <v>-2.5075192761052119</v>
      </c>
    </row>
    <row r="180" spans="1:20" x14ac:dyDescent="0.25">
      <c r="A180" s="5">
        <v>44413</v>
      </c>
      <c r="B180">
        <v>0.79659999999999997</v>
      </c>
      <c r="C180">
        <v>0.80320000000000003</v>
      </c>
      <c r="D180">
        <v>0.76</v>
      </c>
      <c r="E180">
        <v>0.80059999999999998</v>
      </c>
      <c r="F180">
        <v>1633766.61</v>
      </c>
      <c r="G180">
        <v>0.80059999999999998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0.87962962962962754</v>
      </c>
      <c r="Q180">
        <f t="shared" ref="Q180" si="876">F180*P180</f>
        <v>1437109.5180555522</v>
      </c>
      <c r="R180">
        <f t="shared" ref="R180" si="877">R181+Q180</f>
        <v>-251620285.9087722</v>
      </c>
      <c r="S180">
        <f t="shared" ref="S180" si="878">R180/100000</f>
        <v>-2516.2028590877221</v>
      </c>
      <c r="T180">
        <f t="shared" ref="T180" si="879">S180/1000</f>
        <v>-2.5162028590877221</v>
      </c>
    </row>
    <row r="181" spans="1:20" x14ac:dyDescent="0.25">
      <c r="A181" s="5">
        <v>44412</v>
      </c>
      <c r="B181">
        <v>0.77090000000000003</v>
      </c>
      <c r="C181">
        <v>0.79869999999999997</v>
      </c>
      <c r="D181">
        <v>0.75439999999999996</v>
      </c>
      <c r="E181">
        <v>0.79649999999999999</v>
      </c>
      <c r="F181">
        <v>1640467.37</v>
      </c>
      <c r="G181">
        <v>0.79649999999999999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0.90067720090293546</v>
      </c>
      <c r="Q181">
        <f t="shared" ref="Q181" si="881">F181*P181</f>
        <v>1477531.5589842002</v>
      </c>
      <c r="R181">
        <f t="shared" ref="R181" si="882">R182+Q181</f>
        <v>-253057395.42682776</v>
      </c>
      <c r="S181">
        <f t="shared" ref="S181" si="883">R181/100000</f>
        <v>-2530.5739542682777</v>
      </c>
      <c r="T181">
        <f t="shared" ref="T181" si="884">S181/1000</f>
        <v>-2.5305739542682777</v>
      </c>
    </row>
    <row r="182" spans="1:20" x14ac:dyDescent="0.25">
      <c r="A182" s="5">
        <v>44411</v>
      </c>
      <c r="B182">
        <v>0.7883</v>
      </c>
      <c r="C182">
        <v>0.7883</v>
      </c>
      <c r="D182">
        <v>0.751</v>
      </c>
      <c r="E182">
        <v>0.77090000000000003</v>
      </c>
      <c r="F182">
        <v>1657492.82</v>
      </c>
      <c r="G182">
        <v>0.77090000000000003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6.7024128686328621E-2</v>
      </c>
      <c r="Q182">
        <f t="shared" ref="Q182" si="886">F182*P182</f>
        <v>111092.01206434572</v>
      </c>
      <c r="R182">
        <f t="shared" ref="R182" si="887">R183+Q182</f>
        <v>-254534926.98581195</v>
      </c>
      <c r="S182">
        <f t="shared" ref="S182" si="888">R182/100000</f>
        <v>-2545.3492698581194</v>
      </c>
      <c r="T182">
        <f t="shared" ref="T182" si="889">S182/1000</f>
        <v>-2.5453492698581193</v>
      </c>
    </row>
    <row r="183" spans="1:20" x14ac:dyDescent="0.25">
      <c r="A183" s="5">
        <v>44410</v>
      </c>
      <c r="B183">
        <v>0.78110000000000002</v>
      </c>
      <c r="C183">
        <v>0.79269999999999996</v>
      </c>
      <c r="D183">
        <v>0.75390000000000001</v>
      </c>
      <c r="E183">
        <v>0.7883</v>
      </c>
      <c r="F183">
        <v>1894093.73</v>
      </c>
      <c r="G183">
        <v>0.7883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0.7731958762886616</v>
      </c>
      <c r="Q183">
        <f t="shared" ref="Q183" si="891">F183*P183</f>
        <v>1464505.4613402097</v>
      </c>
      <c r="R183">
        <f t="shared" ref="R183" si="892">R184+Q183</f>
        <v>-254646018.99787629</v>
      </c>
      <c r="S183">
        <f t="shared" ref="S183" si="893">R183/100000</f>
        <v>-2546.4601899787631</v>
      </c>
      <c r="T183">
        <f t="shared" ref="T183" si="894">S183/1000</f>
        <v>-2.5464601899787631</v>
      </c>
    </row>
    <row r="184" spans="1:20" x14ac:dyDescent="0.25">
      <c r="A184" s="5">
        <v>44409</v>
      </c>
      <c r="B184">
        <v>0.81899999999999995</v>
      </c>
      <c r="C184">
        <v>0.82389999999999997</v>
      </c>
      <c r="D184">
        <v>0.76759999999999995</v>
      </c>
      <c r="E184">
        <v>0.78249999999999997</v>
      </c>
      <c r="F184">
        <v>2578107.48</v>
      </c>
      <c r="G184">
        <v>0.78249999999999997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-0.47069271758436876</v>
      </c>
      <c r="Q184">
        <f t="shared" ref="Q184" si="896">F184*P184</f>
        <v>-1213496.4159857887</v>
      </c>
      <c r="R184">
        <f t="shared" ref="R184" si="897">R185+Q184</f>
        <v>-256110524.45921651</v>
      </c>
      <c r="S184">
        <f t="shared" ref="S184" si="898">R184/100000</f>
        <v>-2561.105244592165</v>
      </c>
      <c r="T184">
        <f t="shared" ref="T184" si="899">S184/1000</f>
        <v>-2.5611052445921652</v>
      </c>
    </row>
    <row r="185" spans="1:20" x14ac:dyDescent="0.25">
      <c r="A185" s="5">
        <v>44408</v>
      </c>
      <c r="B185">
        <v>0.8206</v>
      </c>
      <c r="C185">
        <v>0.83160000000000001</v>
      </c>
      <c r="D185">
        <v>0.79049999999999998</v>
      </c>
      <c r="E185">
        <v>0.81930000000000003</v>
      </c>
      <c r="F185">
        <v>3246151.8</v>
      </c>
      <c r="G185">
        <v>0.81930000000000003</v>
      </c>
      <c r="L185" t="s">
        <v>7</v>
      </c>
      <c r="M185" t="s">
        <v>7</v>
      </c>
      <c r="N185" t="s">
        <v>8</v>
      </c>
      <c r="P185">
        <f t="shared" ref="P185" si="900">IF(C185=D185,0,((E185-D185)-(C185-E185))/(C185-D185))</f>
        <v>0.40145985401459999</v>
      </c>
      <c r="Q185">
        <f t="shared" ref="Q185" si="901">F185*P185</f>
        <v>1303199.6277372309</v>
      </c>
      <c r="R185">
        <f t="shared" ref="R185" si="902">R186+Q185</f>
        <v>-254897028.04323071</v>
      </c>
      <c r="S185">
        <f t="shared" ref="S185" si="903">R185/100000</f>
        <v>-2548.9702804323069</v>
      </c>
      <c r="T185">
        <f t="shared" ref="T185" si="904">S185/1000</f>
        <v>-2.5489702804323069</v>
      </c>
    </row>
    <row r="186" spans="1:20" x14ac:dyDescent="0.25">
      <c r="A186" s="5">
        <v>44407</v>
      </c>
      <c r="B186">
        <v>0.79579999999999995</v>
      </c>
      <c r="C186">
        <v>0.96430000000000005</v>
      </c>
      <c r="D186">
        <v>0.7631</v>
      </c>
      <c r="E186">
        <v>0.82079999999999997</v>
      </c>
      <c r="F186">
        <v>10574733.380000001</v>
      </c>
      <c r="G186">
        <v>0.82079999999999997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-0.42644135188866839</v>
      </c>
      <c r="Q186">
        <f t="shared" ref="Q186" si="906">F186*P186</f>
        <v>-4509503.5984294284</v>
      </c>
      <c r="R186">
        <f t="shared" ref="R186" si="907">R187+Q186</f>
        <v>-256200227.67096794</v>
      </c>
      <c r="S186">
        <f t="shared" ref="S186" si="908">R186/100000</f>
        <v>-2562.0022767096793</v>
      </c>
      <c r="T186">
        <f t="shared" ref="T186" si="909">S186/1000</f>
        <v>-2.5620022767096793</v>
      </c>
    </row>
    <row r="187" spans="1:20" x14ac:dyDescent="0.25">
      <c r="A187" s="5">
        <v>44406</v>
      </c>
      <c r="B187">
        <v>0.75849999999999995</v>
      </c>
      <c r="C187">
        <v>0.8</v>
      </c>
      <c r="D187">
        <v>0.73380000000000001</v>
      </c>
      <c r="E187">
        <v>0.79659999999999997</v>
      </c>
      <c r="F187">
        <v>6189468.0899999999</v>
      </c>
      <c r="G187">
        <v>0.79659999999999997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0.89728096676736957</v>
      </c>
      <c r="Q187">
        <f t="shared" ref="Q187" si="911">F187*P187</f>
        <v>5553691.9115709839</v>
      </c>
      <c r="R187">
        <f t="shared" ref="R187" si="912">R188+Q187</f>
        <v>-251690724.0725385</v>
      </c>
      <c r="S187">
        <f t="shared" ref="S187" si="913">R187/100000</f>
        <v>-2516.9072407253848</v>
      </c>
      <c r="T187">
        <f t="shared" ref="T187" si="914">S187/1000</f>
        <v>-2.5169072407253847</v>
      </c>
    </row>
    <row r="188" spans="1:20" x14ac:dyDescent="0.25">
      <c r="A188" s="5">
        <v>44405</v>
      </c>
      <c r="B188">
        <v>0.75480000000000003</v>
      </c>
      <c r="C188">
        <v>0.80889999999999995</v>
      </c>
      <c r="D188">
        <v>0.72899999999999998</v>
      </c>
      <c r="E188">
        <v>0.75749999999999995</v>
      </c>
      <c r="F188">
        <v>3036199.87</v>
      </c>
      <c r="G188">
        <v>0.75749999999999995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-0.28660826032540726</v>
      </c>
      <c r="Q188">
        <f t="shared" ref="Q188" si="916">F188*P188</f>
        <v>-870199.9627409277</v>
      </c>
      <c r="R188">
        <f t="shared" ref="R188" si="917">R189+Q188</f>
        <v>-257244415.98410949</v>
      </c>
      <c r="S188">
        <f t="shared" ref="S188" si="918">R188/100000</f>
        <v>-2572.4441598410949</v>
      </c>
      <c r="T188">
        <f t="shared" ref="T188" si="919">S188/1000</f>
        <v>-2.572444159841095</v>
      </c>
    </row>
    <row r="189" spans="1:20" x14ac:dyDescent="0.25">
      <c r="A189" s="5">
        <v>44404</v>
      </c>
      <c r="B189">
        <v>0.74470000000000003</v>
      </c>
      <c r="C189">
        <v>0.76529999999999998</v>
      </c>
      <c r="D189">
        <v>0.70340000000000003</v>
      </c>
      <c r="E189">
        <v>0.75660000000000005</v>
      </c>
      <c r="F189">
        <v>4846268.8600000003</v>
      </c>
      <c r="G189">
        <v>0.75660000000000005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0.71890145395799887</v>
      </c>
      <c r="Q189">
        <f t="shared" ref="Q189" si="921">F189*P189</f>
        <v>3483989.7297253739</v>
      </c>
      <c r="R189">
        <f t="shared" ref="R189" si="922">R190+Q189</f>
        <v>-256374216.02136856</v>
      </c>
      <c r="S189">
        <f t="shared" ref="S189" si="923">R189/100000</f>
        <v>-2563.7421602136856</v>
      </c>
      <c r="T189">
        <f t="shared" ref="T189" si="924">S189/1000</f>
        <v>-2.5637421602136854</v>
      </c>
    </row>
    <row r="190" spans="1:20" x14ac:dyDescent="0.25">
      <c r="A190" s="5">
        <v>44403</v>
      </c>
      <c r="B190">
        <v>0.70569999999999999</v>
      </c>
      <c r="C190">
        <v>0.86199999999999999</v>
      </c>
      <c r="D190">
        <v>0.69750000000000001</v>
      </c>
      <c r="E190">
        <v>0.74529999999999996</v>
      </c>
      <c r="F190">
        <v>10908616.939999999</v>
      </c>
      <c r="G190">
        <v>0.74529999999999996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-0.4188449848024321</v>
      </c>
      <c r="Q190">
        <f t="shared" ref="Q190" si="926">F190*P190</f>
        <v>-4569019.4964498533</v>
      </c>
      <c r="R190">
        <f t="shared" ref="R190" si="927">R191+Q190</f>
        <v>-259858205.75109392</v>
      </c>
      <c r="S190">
        <f t="shared" ref="S190" si="928">R190/100000</f>
        <v>-2598.5820575109392</v>
      </c>
      <c r="T190">
        <f t="shared" ref="T190" si="929">S190/1000</f>
        <v>-2.5985820575109391</v>
      </c>
    </row>
    <row r="191" spans="1:20" x14ac:dyDescent="0.25">
      <c r="A191" s="5">
        <v>44402</v>
      </c>
      <c r="B191">
        <v>0.70140000000000002</v>
      </c>
      <c r="C191">
        <v>0.71499999999999997</v>
      </c>
      <c r="D191">
        <v>0.67259999999999998</v>
      </c>
      <c r="E191">
        <v>0.70750000000000002</v>
      </c>
      <c r="F191">
        <v>1881988.31</v>
      </c>
      <c r="G191">
        <v>0.70750000000000002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0.64622641509434187</v>
      </c>
      <c r="Q191">
        <f t="shared" ref="Q191" si="931">F191*P191</f>
        <v>1216190.5588207589</v>
      </c>
      <c r="R191">
        <f t="shared" ref="R191" si="932">R192+Q191</f>
        <v>-255289186.25464407</v>
      </c>
      <c r="S191">
        <f t="shared" ref="S191" si="933">R191/100000</f>
        <v>-2552.8918625464407</v>
      </c>
      <c r="T191">
        <f t="shared" ref="T191:T197" si="934">S191/1000</f>
        <v>-2.5528918625464407</v>
      </c>
    </row>
    <row r="192" spans="1:20" x14ac:dyDescent="0.25">
      <c r="A192" s="5">
        <v>44401</v>
      </c>
      <c r="B192">
        <v>0.68100000000000005</v>
      </c>
      <c r="C192">
        <v>0.72699999999999998</v>
      </c>
      <c r="D192">
        <v>0.6623</v>
      </c>
      <c r="E192">
        <v>0.70030000000000003</v>
      </c>
      <c r="F192">
        <v>2893758.72</v>
      </c>
      <c r="G192">
        <v>0.70030000000000003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0.17465224111282984</v>
      </c>
      <c r="Q192">
        <f t="shared" ref="Q192" si="936">F192*P192</f>
        <v>505401.44568779389</v>
      </c>
      <c r="R192">
        <f t="shared" ref="R192" si="937">R193+Q192</f>
        <v>-256505376.81346482</v>
      </c>
      <c r="S192">
        <f t="shared" ref="S192" si="938">R192/100000</f>
        <v>-2565.0537681346482</v>
      </c>
      <c r="T192">
        <f t="shared" si="934"/>
        <v>-2.5650537681346481</v>
      </c>
    </row>
    <row r="193" spans="1:20" x14ac:dyDescent="0.25">
      <c r="A193" s="5">
        <v>44400</v>
      </c>
      <c r="B193">
        <v>0.66890000000000005</v>
      </c>
      <c r="C193">
        <v>0.68310000000000004</v>
      </c>
      <c r="D193">
        <v>0.64539999999999997</v>
      </c>
      <c r="E193">
        <v>0.67969999999999997</v>
      </c>
      <c r="F193">
        <v>1554403.78</v>
      </c>
      <c r="G193">
        <v>0.67969999999999997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0.81962864721485074</v>
      </c>
      <c r="Q193">
        <f t="shared" ref="Q193" si="940">F193*P193</f>
        <v>1274033.8674270504</v>
      </c>
      <c r="R193">
        <f t="shared" ref="R193" si="941">R194+Q193</f>
        <v>-257010778.25915262</v>
      </c>
      <c r="S193">
        <f t="shared" ref="S193" si="942">R193/100000</f>
        <v>-2570.1077825915263</v>
      </c>
      <c r="T193">
        <f t="shared" si="934"/>
        <v>-2.5701077825915264</v>
      </c>
    </row>
    <row r="194" spans="1:20" x14ac:dyDescent="0.25">
      <c r="A194" s="5">
        <v>44399</v>
      </c>
      <c r="B194">
        <v>0.65429999999999999</v>
      </c>
      <c r="C194">
        <v>0.67110000000000003</v>
      </c>
      <c r="D194">
        <v>0.62939999999999996</v>
      </c>
      <c r="E194">
        <v>0.67069999999999996</v>
      </c>
      <c r="F194">
        <v>2031232.84</v>
      </c>
      <c r="G194">
        <v>0.67069999999999996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0.98081534772181933</v>
      </c>
      <c r="Q194">
        <f t="shared" ref="Q194" si="944">F194*P194</f>
        <v>1992264.3442685788</v>
      </c>
      <c r="R194">
        <f t="shared" ref="R194" si="945">R195+Q194</f>
        <v>-258284812.12657967</v>
      </c>
      <c r="S194">
        <f t="shared" ref="S194" si="946">R194/100000</f>
        <v>-2582.8481212657966</v>
      </c>
      <c r="T194">
        <f t="shared" si="934"/>
        <v>-2.5828481212657968</v>
      </c>
    </row>
    <row r="195" spans="1:20" x14ac:dyDescent="0.25">
      <c r="A195" s="5">
        <v>44398</v>
      </c>
      <c r="B195">
        <v>0.59889999999999999</v>
      </c>
      <c r="C195">
        <v>0.65490000000000004</v>
      </c>
      <c r="D195">
        <v>0.57189999999999996</v>
      </c>
      <c r="E195">
        <v>0.65239999999999998</v>
      </c>
      <c r="F195">
        <v>2869972.45</v>
      </c>
      <c r="G195">
        <v>0.65239999999999998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0.93975903614457701</v>
      </c>
      <c r="Q195">
        <f t="shared" ref="Q195" si="948">F195*P195</f>
        <v>2697082.5433734902</v>
      </c>
      <c r="R195">
        <f t="shared" ref="R195" si="949">R196+Q195</f>
        <v>-260277076.47084826</v>
      </c>
      <c r="S195">
        <f t="shared" ref="S195" si="950">R195/100000</f>
        <v>-2602.7707647084826</v>
      </c>
      <c r="T195">
        <f t="shared" si="934"/>
        <v>-2.6027707647084828</v>
      </c>
    </row>
    <row r="196" spans="1:20" x14ac:dyDescent="0.25">
      <c r="A196" s="5">
        <v>44397</v>
      </c>
      <c r="B196">
        <v>0.65839999999999999</v>
      </c>
      <c r="C196">
        <v>0.65910000000000002</v>
      </c>
      <c r="D196">
        <v>0.56169999999999998</v>
      </c>
      <c r="E196">
        <v>0.60009999999999997</v>
      </c>
      <c r="F196">
        <v>3538468.82</v>
      </c>
      <c r="G196">
        <v>0.60009999999999997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-0.21149897330595538</v>
      </c>
      <c r="Q196">
        <f t="shared" ref="Q196" si="952">F196*P196</f>
        <v>-748382.52250513539</v>
      </c>
      <c r="R196">
        <f t="shared" ref="R196" si="953">R197+Q196</f>
        <v>-262974159.01422176</v>
      </c>
      <c r="S196">
        <f t="shared" ref="S196" si="954">R196/100000</f>
        <v>-2629.7415901422178</v>
      </c>
      <c r="T196">
        <f t="shared" si="934"/>
        <v>-2.6297415901422179</v>
      </c>
    </row>
    <row r="197" spans="1:20" x14ac:dyDescent="0.25">
      <c r="A197" s="5">
        <v>44396</v>
      </c>
      <c r="B197">
        <v>0.70489999999999997</v>
      </c>
      <c r="C197">
        <v>0.70860000000000001</v>
      </c>
      <c r="D197">
        <v>0.63929999999999998</v>
      </c>
      <c r="E197">
        <v>0.65910000000000002</v>
      </c>
      <c r="F197">
        <v>1500261.19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-0.42857142857142766</v>
      </c>
      <c r="Q197">
        <f t="shared" ref="Q197" si="956">F197*P197</f>
        <v>-642969.08142857009</v>
      </c>
      <c r="R197">
        <f t="shared" ref="R197" si="957">R198+Q197</f>
        <v>-262225776.49171662</v>
      </c>
      <c r="S197">
        <f t="shared" ref="S197" si="958">R197/100000</f>
        <v>-2622.2577649171662</v>
      </c>
      <c r="T197">
        <f t="shared" si="934"/>
        <v>-2.6222577649171663</v>
      </c>
    </row>
    <row r="198" spans="1:20" x14ac:dyDescent="0.25">
      <c r="A198" s="5">
        <v>44395</v>
      </c>
      <c r="B198">
        <v>0.70850000000000002</v>
      </c>
      <c r="C198">
        <v>0.72960000000000003</v>
      </c>
      <c r="D198">
        <v>0.68479999999999996</v>
      </c>
      <c r="E198">
        <v>0.70550000000000002</v>
      </c>
      <c r="F198">
        <v>2326167.08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-7.589285714285611E-2</v>
      </c>
      <c r="Q198">
        <f t="shared" ref="Q198:Q261" si="960">F198*P198</f>
        <v>-176539.46589285476</v>
      </c>
      <c r="R198">
        <f t="shared" ref="R198:R261" si="961">R199+Q198</f>
        <v>-261582807.41028807</v>
      </c>
      <c r="S198">
        <f t="shared" ref="S198:S261" si="962">R198/100000</f>
        <v>-2615.8280741028807</v>
      </c>
      <c r="T198">
        <f t="shared" ref="T198:T261" si="963">S198/1000</f>
        <v>-2.6158280741028808</v>
      </c>
    </row>
    <row r="199" spans="1:20" x14ac:dyDescent="0.25">
      <c r="A199" s="5">
        <v>44394</v>
      </c>
      <c r="B199">
        <v>0.75449999999999995</v>
      </c>
      <c r="C199">
        <v>0.75760000000000005</v>
      </c>
      <c r="D199">
        <v>0.67520000000000002</v>
      </c>
      <c r="E199">
        <v>0.70840000000000003</v>
      </c>
      <c r="F199">
        <v>3600304.09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-0.19417475728155351</v>
      </c>
      <c r="Q199">
        <f t="shared" si="960"/>
        <v>-699088.17281553429</v>
      </c>
      <c r="R199">
        <f t="shared" si="961"/>
        <v>-261406267.94439521</v>
      </c>
      <c r="S199">
        <f t="shared" si="962"/>
        <v>-2614.0626794439522</v>
      </c>
      <c r="T199">
        <f t="shared" si="963"/>
        <v>-2.6140626794439523</v>
      </c>
    </row>
    <row r="200" spans="1:20" x14ac:dyDescent="0.25">
      <c r="A200" s="5">
        <v>44393</v>
      </c>
      <c r="B200">
        <v>0.72460000000000002</v>
      </c>
      <c r="C200">
        <v>0.80920000000000003</v>
      </c>
      <c r="D200">
        <v>0.7177</v>
      </c>
      <c r="E200">
        <v>0.753</v>
      </c>
      <c r="F200">
        <v>6420799.5300000003</v>
      </c>
      <c r="G200">
        <v>0</v>
      </c>
      <c r="L200" t="s">
        <v>8</v>
      </c>
      <c r="M200" t="s">
        <v>7</v>
      </c>
      <c r="N200" t="s">
        <v>7</v>
      </c>
      <c r="P200">
        <f t="shared" si="959"/>
        <v>-0.22841530054644835</v>
      </c>
      <c r="Q200">
        <f t="shared" si="960"/>
        <v>-1466608.8543934443</v>
      </c>
      <c r="R200">
        <f t="shared" si="961"/>
        <v>-260707179.77157968</v>
      </c>
      <c r="S200">
        <f t="shared" si="962"/>
        <v>-2607.0717977157969</v>
      </c>
      <c r="T200">
        <f t="shared" si="963"/>
        <v>-2.6070717977157969</v>
      </c>
    </row>
    <row r="201" spans="1:20" x14ac:dyDescent="0.25">
      <c r="A201" s="5">
        <v>44392</v>
      </c>
      <c r="B201">
        <v>0.7671</v>
      </c>
      <c r="C201">
        <v>0.77549999999999997</v>
      </c>
      <c r="D201">
        <v>0.70669999999999999</v>
      </c>
      <c r="E201">
        <v>0.72599999999999998</v>
      </c>
      <c r="F201">
        <v>3586992.62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-0.43895348837209325</v>
      </c>
      <c r="Q201">
        <f t="shared" si="960"/>
        <v>-1574522.9233139544</v>
      </c>
      <c r="R201">
        <f t="shared" si="961"/>
        <v>-259240570.91718623</v>
      </c>
      <c r="S201">
        <f t="shared" si="962"/>
        <v>-2592.4057091718623</v>
      </c>
      <c r="T201">
        <f t="shared" si="963"/>
        <v>-2.5924057091718624</v>
      </c>
    </row>
    <row r="202" spans="1:20" x14ac:dyDescent="0.25">
      <c r="A202" s="5">
        <v>44391</v>
      </c>
      <c r="B202">
        <v>0.82889999999999997</v>
      </c>
      <c r="C202">
        <v>0.84589999999999999</v>
      </c>
      <c r="D202">
        <v>0.70430000000000004</v>
      </c>
      <c r="E202">
        <v>0.76700000000000002</v>
      </c>
      <c r="F202">
        <v>7362028.3300000001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-0.11440677966101694</v>
      </c>
      <c r="Q202">
        <f t="shared" si="960"/>
        <v>-842265.95300847443</v>
      </c>
      <c r="R202">
        <f t="shared" si="961"/>
        <v>-257666047.99387228</v>
      </c>
      <c r="S202">
        <f t="shared" si="962"/>
        <v>-2576.6604799387228</v>
      </c>
      <c r="T202">
        <f t="shared" si="963"/>
        <v>-2.5766604799387229</v>
      </c>
    </row>
    <row r="203" spans="1:20" x14ac:dyDescent="0.25">
      <c r="A203" s="5">
        <v>44390</v>
      </c>
      <c r="B203">
        <v>0.76019999999999999</v>
      </c>
      <c r="C203">
        <v>0.89700000000000002</v>
      </c>
      <c r="D203">
        <v>0.73399999999999999</v>
      </c>
      <c r="E203">
        <v>0.82909999999999995</v>
      </c>
      <c r="F203">
        <v>11369922.380000001</v>
      </c>
      <c r="G203">
        <v>0</v>
      </c>
      <c r="L203" t="s">
        <v>8</v>
      </c>
      <c r="M203" t="s">
        <v>8</v>
      </c>
      <c r="N203" t="s">
        <v>7</v>
      </c>
      <c r="P203">
        <f t="shared" si="959"/>
        <v>0.16687116564417107</v>
      </c>
      <c r="Q203">
        <f t="shared" si="960"/>
        <v>1897312.2008343479</v>
      </c>
      <c r="R203">
        <f t="shared" si="961"/>
        <v>-256823782.04086381</v>
      </c>
      <c r="S203">
        <f t="shared" si="962"/>
        <v>-2568.2378204086381</v>
      </c>
      <c r="T203">
        <f t="shared" si="963"/>
        <v>-2.5682378204086382</v>
      </c>
    </row>
    <row r="204" spans="1:20" x14ac:dyDescent="0.25">
      <c r="A204" s="5">
        <v>44389</v>
      </c>
      <c r="B204">
        <v>0.76219999999999999</v>
      </c>
      <c r="C204">
        <v>0.80279999999999996</v>
      </c>
      <c r="D204">
        <v>0.73219999999999996</v>
      </c>
      <c r="E204">
        <v>0.7601</v>
      </c>
      <c r="F204">
        <v>3668891.19</v>
      </c>
      <c r="G204">
        <v>0</v>
      </c>
      <c r="L204" t="s">
        <v>8</v>
      </c>
      <c r="M204" t="s">
        <v>8</v>
      </c>
      <c r="N204" t="s">
        <v>7</v>
      </c>
      <c r="P204">
        <f t="shared" si="959"/>
        <v>-0.20963172804532471</v>
      </c>
      <c r="Q204">
        <f t="shared" si="960"/>
        <v>-769116.00016996777</v>
      </c>
      <c r="R204">
        <f t="shared" si="961"/>
        <v>-258721094.24169815</v>
      </c>
      <c r="S204">
        <f t="shared" si="962"/>
        <v>-2587.2109424169817</v>
      </c>
      <c r="T204">
        <f t="shared" si="963"/>
        <v>-2.5872109424169816</v>
      </c>
    </row>
    <row r="205" spans="1:20" x14ac:dyDescent="0.25">
      <c r="A205" s="5">
        <v>44388</v>
      </c>
      <c r="B205">
        <v>0.74119999999999997</v>
      </c>
      <c r="C205">
        <v>0.76639999999999997</v>
      </c>
      <c r="D205">
        <v>0.71160000000000001</v>
      </c>
      <c r="E205">
        <v>0.76170000000000004</v>
      </c>
      <c r="F205">
        <v>2265440.56</v>
      </c>
      <c r="G205">
        <v>0</v>
      </c>
      <c r="L205" t="s">
        <v>7</v>
      </c>
      <c r="M205" t="s">
        <v>8</v>
      </c>
      <c r="N205" t="s">
        <v>7</v>
      </c>
      <c r="P205">
        <f t="shared" si="959"/>
        <v>0.82846715328467413</v>
      </c>
      <c r="Q205">
        <f t="shared" si="960"/>
        <v>1876843.091678838</v>
      </c>
      <c r="R205">
        <f t="shared" si="961"/>
        <v>-257951978.24152818</v>
      </c>
      <c r="S205">
        <f t="shared" si="962"/>
        <v>-2579.519782415282</v>
      </c>
      <c r="T205">
        <f t="shared" si="963"/>
        <v>-2.5795197824152818</v>
      </c>
    </row>
    <row r="206" spans="1:20" x14ac:dyDescent="0.25">
      <c r="A206" s="5">
        <v>44387</v>
      </c>
      <c r="B206">
        <v>0.74070000000000003</v>
      </c>
      <c r="C206">
        <v>0.78959999999999997</v>
      </c>
      <c r="D206">
        <v>0.71319999999999995</v>
      </c>
      <c r="E206">
        <v>0.74339999999999995</v>
      </c>
      <c r="F206">
        <v>3719626.59</v>
      </c>
      <c r="G206">
        <v>0</v>
      </c>
      <c r="L206" t="s">
        <v>8</v>
      </c>
      <c r="M206" t="s">
        <v>8</v>
      </c>
      <c r="N206" t="s">
        <v>7</v>
      </c>
      <c r="P206">
        <f t="shared" si="959"/>
        <v>-0.20942408376963362</v>
      </c>
      <c r="Q206">
        <f t="shared" si="960"/>
        <v>-778979.39057591662</v>
      </c>
      <c r="R206">
        <f t="shared" si="961"/>
        <v>-259828821.33320701</v>
      </c>
      <c r="S206">
        <f t="shared" si="962"/>
        <v>-2598.28821333207</v>
      </c>
      <c r="T206">
        <f t="shared" si="963"/>
        <v>-2.5982882133320699</v>
      </c>
    </row>
    <row r="207" spans="1:20" x14ac:dyDescent="0.25">
      <c r="A207" s="5">
        <v>44386</v>
      </c>
      <c r="B207">
        <v>0.72150000000000003</v>
      </c>
      <c r="C207">
        <v>0.74970000000000003</v>
      </c>
      <c r="D207">
        <v>0.67010000000000003</v>
      </c>
      <c r="E207">
        <v>0.74070000000000003</v>
      </c>
      <c r="F207">
        <v>3104045.61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0.77386934673366814</v>
      </c>
      <c r="Q207">
        <f t="shared" si="960"/>
        <v>2402125.7484422103</v>
      </c>
      <c r="R207">
        <f t="shared" si="961"/>
        <v>-259049841.9426311</v>
      </c>
      <c r="S207">
        <f t="shared" si="962"/>
        <v>-2590.4984194263111</v>
      </c>
      <c r="T207">
        <f t="shared" si="963"/>
        <v>-2.5904984194263112</v>
      </c>
    </row>
    <row r="208" spans="1:20" x14ac:dyDescent="0.25">
      <c r="A208" s="5">
        <v>44385</v>
      </c>
      <c r="B208">
        <v>0.82640000000000002</v>
      </c>
      <c r="C208">
        <v>0.82640000000000002</v>
      </c>
      <c r="D208">
        <v>0.7</v>
      </c>
      <c r="E208">
        <v>0.72140000000000004</v>
      </c>
      <c r="F208">
        <v>4038619.75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-0.66139240506329</v>
      </c>
      <c r="Q208">
        <f t="shared" si="960"/>
        <v>-2671112.4295886029</v>
      </c>
      <c r="R208">
        <f t="shared" si="961"/>
        <v>-261451967.6910733</v>
      </c>
      <c r="S208">
        <f t="shared" si="962"/>
        <v>-2614.5196769107329</v>
      </c>
      <c r="T208">
        <f t="shared" si="963"/>
        <v>-2.6145196769107328</v>
      </c>
    </row>
    <row r="209" spans="1:20" x14ac:dyDescent="0.25">
      <c r="A209" s="5">
        <v>44384</v>
      </c>
      <c r="B209">
        <v>0.7974</v>
      </c>
      <c r="C209">
        <v>0.90939999999999999</v>
      </c>
      <c r="D209">
        <v>0.79690000000000005</v>
      </c>
      <c r="E209">
        <v>0.8286</v>
      </c>
      <c r="F209">
        <v>6207626.5700000003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-0.43644444444444497</v>
      </c>
      <c r="Q209">
        <f t="shared" si="960"/>
        <v>-2709284.1296622255</v>
      </c>
      <c r="R209">
        <f t="shared" si="961"/>
        <v>-258780855.26148468</v>
      </c>
      <c r="S209">
        <f t="shared" si="962"/>
        <v>-2587.808552614847</v>
      </c>
      <c r="T209">
        <f t="shared" si="963"/>
        <v>-2.5878085526148471</v>
      </c>
    </row>
    <row r="210" spans="1:20" x14ac:dyDescent="0.25">
      <c r="A210" s="5">
        <v>44383</v>
      </c>
      <c r="B210">
        <v>0.80030000000000001</v>
      </c>
      <c r="C210">
        <v>0.80989999999999995</v>
      </c>
      <c r="D210">
        <v>0.75139999999999996</v>
      </c>
      <c r="E210">
        <v>0.79759999999999998</v>
      </c>
      <c r="F210">
        <v>3696452.1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0.5794871794871802</v>
      </c>
      <c r="Q210">
        <f t="shared" si="960"/>
        <v>2142046.6015384644</v>
      </c>
      <c r="R210">
        <f t="shared" si="961"/>
        <v>-256071571.13182247</v>
      </c>
      <c r="S210">
        <f t="shared" si="962"/>
        <v>-2560.7157113182247</v>
      </c>
      <c r="T210">
        <f t="shared" si="963"/>
        <v>-2.5607157113182248</v>
      </c>
    </row>
    <row r="211" spans="1:20" x14ac:dyDescent="0.25">
      <c r="A211" s="5">
        <v>44382</v>
      </c>
      <c r="B211">
        <v>0.75770000000000004</v>
      </c>
      <c r="C211">
        <v>0.80379999999999996</v>
      </c>
      <c r="D211">
        <v>0.6875</v>
      </c>
      <c r="E211">
        <v>0.80089999999999995</v>
      </c>
      <c r="F211">
        <v>3253433.72</v>
      </c>
      <c r="G211">
        <v>0</v>
      </c>
      <c r="L211" t="s">
        <v>8</v>
      </c>
      <c r="M211" t="s">
        <v>8</v>
      </c>
      <c r="N211" t="s">
        <v>7</v>
      </c>
      <c r="P211">
        <f t="shared" si="959"/>
        <v>0.95012897678417862</v>
      </c>
      <c r="Q211">
        <f t="shared" si="960"/>
        <v>3091181.6514187441</v>
      </c>
      <c r="R211">
        <f t="shared" si="961"/>
        <v>-258213617.73336092</v>
      </c>
      <c r="S211">
        <f t="shared" si="962"/>
        <v>-2582.1361773336093</v>
      </c>
      <c r="T211">
        <f t="shared" si="963"/>
        <v>-2.5821361773336093</v>
      </c>
    </row>
    <row r="212" spans="1:20" x14ac:dyDescent="0.25">
      <c r="A212" s="5">
        <v>44381</v>
      </c>
      <c r="B212">
        <v>0.74460000000000004</v>
      </c>
      <c r="C212">
        <v>0.76500000000000001</v>
      </c>
      <c r="D212">
        <v>0.70099999999999996</v>
      </c>
      <c r="E212">
        <v>0.75949999999999995</v>
      </c>
      <c r="F212">
        <v>3868702.01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0.82812499999999822</v>
      </c>
      <c r="Q212">
        <f t="shared" si="960"/>
        <v>3203768.852031243</v>
      </c>
      <c r="R212">
        <f t="shared" si="961"/>
        <v>-261304799.38477966</v>
      </c>
      <c r="S212">
        <f t="shared" si="962"/>
        <v>-2613.0479938477965</v>
      </c>
      <c r="T212">
        <f t="shared" si="963"/>
        <v>-2.6130479938477964</v>
      </c>
    </row>
    <row r="213" spans="1:20" x14ac:dyDescent="0.25">
      <c r="A213" s="5">
        <v>44380</v>
      </c>
      <c r="B213">
        <v>0.71409999999999996</v>
      </c>
      <c r="C213">
        <v>0.74480000000000002</v>
      </c>
      <c r="D213">
        <v>0.67900000000000005</v>
      </c>
      <c r="E213">
        <v>0.74380000000000002</v>
      </c>
      <c r="F213">
        <v>3099864.82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0.96960486322188444</v>
      </c>
      <c r="Q213">
        <f t="shared" si="960"/>
        <v>3005644.0048024314</v>
      </c>
      <c r="R213">
        <f t="shared" si="961"/>
        <v>-264508568.23681089</v>
      </c>
      <c r="S213">
        <f t="shared" si="962"/>
        <v>-2645.0856823681088</v>
      </c>
      <c r="T213">
        <f t="shared" si="963"/>
        <v>-2.6450856823681086</v>
      </c>
    </row>
    <row r="214" spans="1:20" x14ac:dyDescent="0.25">
      <c r="A214" s="5">
        <v>44379</v>
      </c>
      <c r="B214">
        <v>0.7329</v>
      </c>
      <c r="C214">
        <v>0.74419999999999997</v>
      </c>
      <c r="D214">
        <v>0.65529999999999999</v>
      </c>
      <c r="E214">
        <v>0.71430000000000005</v>
      </c>
      <c r="F214">
        <v>5050948.3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0.32733408323959656</v>
      </c>
      <c r="Q214">
        <f t="shared" si="960"/>
        <v>1653347.5312710986</v>
      </c>
      <c r="R214">
        <f t="shared" si="961"/>
        <v>-267514212.24161333</v>
      </c>
      <c r="S214">
        <f t="shared" si="962"/>
        <v>-2675.1421224161331</v>
      </c>
      <c r="T214">
        <f t="shared" si="963"/>
        <v>-2.6751421224161329</v>
      </c>
    </row>
    <row r="215" spans="1:20" x14ac:dyDescent="0.25">
      <c r="A215" s="5">
        <v>44378</v>
      </c>
      <c r="B215">
        <v>0.82509999999999994</v>
      </c>
      <c r="C215">
        <v>0.8256</v>
      </c>
      <c r="D215">
        <v>0.68540000000000001</v>
      </c>
      <c r="E215">
        <v>0.73499999999999999</v>
      </c>
      <c r="F215">
        <v>11365625.82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-0.29243937232524991</v>
      </c>
      <c r="Q215">
        <f t="shared" si="960"/>
        <v>-3323756.4808844537</v>
      </c>
      <c r="R215">
        <f t="shared" si="961"/>
        <v>-269167559.77288443</v>
      </c>
      <c r="S215">
        <f t="shared" si="962"/>
        <v>-2691.6755977288444</v>
      </c>
      <c r="T215">
        <f t="shared" si="963"/>
        <v>-2.6916755977288442</v>
      </c>
    </row>
    <row r="216" spans="1:20" x14ac:dyDescent="0.25">
      <c r="A216" s="5">
        <v>44377</v>
      </c>
      <c r="B216">
        <v>0.68079999999999996</v>
      </c>
      <c r="C216">
        <v>0.96499999999999997</v>
      </c>
      <c r="D216">
        <v>0.66749999999999998</v>
      </c>
      <c r="E216">
        <v>0.82450000000000001</v>
      </c>
      <c r="F216">
        <v>42602362.600000001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5.546218487394982E-2</v>
      </c>
      <c r="Q216">
        <f t="shared" si="960"/>
        <v>2362820.1105882456</v>
      </c>
      <c r="R216">
        <f t="shared" si="961"/>
        <v>-265843803.29199997</v>
      </c>
      <c r="S216">
        <f t="shared" si="962"/>
        <v>-2658.4380329199998</v>
      </c>
      <c r="T216">
        <f t="shared" si="963"/>
        <v>-2.6584380329199999</v>
      </c>
    </row>
    <row r="217" spans="1:20" x14ac:dyDescent="0.25">
      <c r="A217" s="5">
        <v>44376</v>
      </c>
      <c r="B217">
        <v>0.59799999999999998</v>
      </c>
      <c r="C217">
        <v>0.68210000000000004</v>
      </c>
      <c r="D217">
        <v>0.58289999999999997</v>
      </c>
      <c r="E217">
        <v>0.68210000000000004</v>
      </c>
      <c r="F217">
        <v>5209848.33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1</v>
      </c>
      <c r="Q217">
        <f t="shared" si="960"/>
        <v>5209848.33</v>
      </c>
      <c r="R217">
        <f t="shared" si="961"/>
        <v>-268206623.40258822</v>
      </c>
      <c r="S217">
        <f t="shared" si="962"/>
        <v>-2682.0662340258823</v>
      </c>
      <c r="T217">
        <f t="shared" si="963"/>
        <v>-2.6820662340258825</v>
      </c>
    </row>
    <row r="218" spans="1:20" x14ac:dyDescent="0.25">
      <c r="A218" s="5">
        <v>44375</v>
      </c>
      <c r="B218">
        <v>0.5635</v>
      </c>
      <c r="C218">
        <v>0.59950000000000003</v>
      </c>
      <c r="D218">
        <v>0.53620000000000001</v>
      </c>
      <c r="E218">
        <v>0.59909999999999997</v>
      </c>
      <c r="F218">
        <v>3111309.3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0.98736176935228859</v>
      </c>
      <c r="Q218">
        <f t="shared" si="960"/>
        <v>3071987.8554502302</v>
      </c>
      <c r="R218">
        <f t="shared" si="961"/>
        <v>-273416471.73258823</v>
      </c>
      <c r="S218">
        <f t="shared" si="962"/>
        <v>-2734.1647173258825</v>
      </c>
      <c r="T218">
        <f t="shared" si="963"/>
        <v>-2.7341647173258825</v>
      </c>
    </row>
    <row r="219" spans="1:20" x14ac:dyDescent="0.25">
      <c r="A219" s="5">
        <v>44374</v>
      </c>
      <c r="B219">
        <v>0.55559999999999998</v>
      </c>
      <c r="C219">
        <v>0.56379999999999997</v>
      </c>
      <c r="D219">
        <v>0.52429999999999999</v>
      </c>
      <c r="E219">
        <v>0.56359999999999999</v>
      </c>
      <c r="F219">
        <v>2951457.6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0.98987341772152004</v>
      </c>
      <c r="Q219">
        <f t="shared" si="960"/>
        <v>2921569.421772155</v>
      </c>
      <c r="R219">
        <f t="shared" si="961"/>
        <v>-276488459.58803844</v>
      </c>
      <c r="S219">
        <f t="shared" si="962"/>
        <v>-2764.8845958803845</v>
      </c>
      <c r="T219">
        <f t="shared" si="963"/>
        <v>-2.7648845958803845</v>
      </c>
    </row>
    <row r="220" spans="1:20" x14ac:dyDescent="0.25">
      <c r="A220" s="5">
        <v>44373</v>
      </c>
      <c r="B220">
        <v>0.51470000000000005</v>
      </c>
      <c r="C220">
        <v>0.60199999999999998</v>
      </c>
      <c r="D220">
        <v>0.5</v>
      </c>
      <c r="E220">
        <v>0.55520000000000003</v>
      </c>
      <c r="F220">
        <v>7034314.8899999997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8.2352941176471336E-2</v>
      </c>
      <c r="Q220">
        <f t="shared" si="960"/>
        <v>579296.52035294636</v>
      </c>
      <c r="R220">
        <f t="shared" si="961"/>
        <v>-279410029.00981063</v>
      </c>
      <c r="S220">
        <f t="shared" si="962"/>
        <v>-2794.1002900981061</v>
      </c>
      <c r="T220">
        <f t="shared" si="963"/>
        <v>-2.7941002900981062</v>
      </c>
    </row>
    <row r="221" spans="1:20" x14ac:dyDescent="0.25">
      <c r="A221" s="5">
        <v>44372</v>
      </c>
      <c r="B221">
        <v>0.57530000000000003</v>
      </c>
      <c r="C221">
        <v>0.58140000000000003</v>
      </c>
      <c r="D221">
        <v>0.50239999999999996</v>
      </c>
      <c r="E221">
        <v>0.51400000000000001</v>
      </c>
      <c r="F221">
        <v>3552000.1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-0.70632911392404951</v>
      </c>
      <c r="Q221">
        <f t="shared" si="960"/>
        <v>-2508881.0832911353</v>
      </c>
      <c r="R221">
        <f t="shared" si="961"/>
        <v>-279989325.53016359</v>
      </c>
      <c r="S221">
        <f t="shared" si="962"/>
        <v>-2799.8932553016357</v>
      </c>
      <c r="T221">
        <f t="shared" si="963"/>
        <v>-2.7998932553016358</v>
      </c>
    </row>
    <row r="222" spans="1:20" x14ac:dyDescent="0.25">
      <c r="A222" s="5">
        <v>44371</v>
      </c>
      <c r="B222">
        <v>0.51119999999999999</v>
      </c>
      <c r="C222">
        <v>0.58330000000000004</v>
      </c>
      <c r="D222">
        <v>0.496</v>
      </c>
      <c r="E222">
        <v>0.57469999999999999</v>
      </c>
      <c r="F222">
        <v>4510076.72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0.80297823596792561</v>
      </c>
      <c r="Q222">
        <f t="shared" si="960"/>
        <v>3621493.4487056076</v>
      </c>
      <c r="R222">
        <f t="shared" si="961"/>
        <v>-277480444.44687247</v>
      </c>
      <c r="S222">
        <f t="shared" si="962"/>
        <v>-2774.8044444687248</v>
      </c>
      <c r="T222">
        <f t="shared" si="963"/>
        <v>-2.774804444468725</v>
      </c>
    </row>
    <row r="223" spans="1:20" x14ac:dyDescent="0.25">
      <c r="A223" s="5">
        <v>44370</v>
      </c>
      <c r="B223">
        <v>0.46939999999999998</v>
      </c>
      <c r="C223">
        <v>0.54749999999999999</v>
      </c>
      <c r="D223">
        <v>0.43530000000000002</v>
      </c>
      <c r="E223">
        <v>0.50980000000000003</v>
      </c>
      <c r="F223">
        <v>4582436.58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0.3279857397504462</v>
      </c>
      <c r="Q223">
        <f t="shared" si="960"/>
        <v>1502973.8515508047</v>
      </c>
      <c r="R223">
        <f t="shared" si="961"/>
        <v>-281101937.89557809</v>
      </c>
      <c r="S223">
        <f t="shared" si="962"/>
        <v>-2811.0193789557807</v>
      </c>
      <c r="T223">
        <f t="shared" si="963"/>
        <v>-2.8110193789557805</v>
      </c>
    </row>
    <row r="224" spans="1:20" x14ac:dyDescent="0.25">
      <c r="A224" s="5">
        <v>44369</v>
      </c>
      <c r="B224">
        <v>0.50109999999999999</v>
      </c>
      <c r="C224">
        <v>0.59279999999999999</v>
      </c>
      <c r="D224">
        <v>0.38369999999999999</v>
      </c>
      <c r="E224">
        <v>0.46939999999999998</v>
      </c>
      <c r="F224">
        <v>9769277.9800000004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-0.18029650884744147</v>
      </c>
      <c r="Q224">
        <f t="shared" si="960"/>
        <v>-1761366.7137541852</v>
      </c>
      <c r="R224">
        <f t="shared" si="961"/>
        <v>-282604911.7471289</v>
      </c>
      <c r="S224">
        <f t="shared" si="962"/>
        <v>-2826.0491174712893</v>
      </c>
      <c r="T224">
        <f t="shared" si="963"/>
        <v>-2.8260491174712894</v>
      </c>
    </row>
    <row r="225" spans="1:20" x14ac:dyDescent="0.25">
      <c r="A225" s="5">
        <v>44368</v>
      </c>
      <c r="B225">
        <v>0.72060000000000002</v>
      </c>
      <c r="C225">
        <v>0.72419999999999995</v>
      </c>
      <c r="D225">
        <v>0.48930000000000001</v>
      </c>
      <c r="E225">
        <v>0.50209999999999999</v>
      </c>
      <c r="F225">
        <v>6044203.8700000001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-0.89101745423584522</v>
      </c>
      <c r="Q225">
        <f t="shared" si="960"/>
        <v>-5385491.1451298436</v>
      </c>
      <c r="R225">
        <f t="shared" si="961"/>
        <v>-280843545.03337473</v>
      </c>
      <c r="S225">
        <f t="shared" si="962"/>
        <v>-2808.4354503337472</v>
      </c>
      <c r="T225">
        <f t="shared" si="963"/>
        <v>-2.8084354503337474</v>
      </c>
    </row>
    <row r="226" spans="1:20" x14ac:dyDescent="0.25">
      <c r="A226" s="5">
        <v>44367</v>
      </c>
      <c r="B226">
        <v>0.74650000000000005</v>
      </c>
      <c r="C226">
        <v>0.74650000000000005</v>
      </c>
      <c r="D226">
        <v>0.64410000000000001</v>
      </c>
      <c r="E226">
        <v>0.72050000000000003</v>
      </c>
      <c r="F226">
        <v>2870202.67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0.49218749999999978</v>
      </c>
      <c r="Q226">
        <f t="shared" si="960"/>
        <v>1412677.8766406244</v>
      </c>
      <c r="R226">
        <f t="shared" si="961"/>
        <v>-275458053.88824487</v>
      </c>
      <c r="S226">
        <f t="shared" si="962"/>
        <v>-2754.5805388824488</v>
      </c>
      <c r="T226">
        <f t="shared" si="963"/>
        <v>-2.7545805388824487</v>
      </c>
    </row>
    <row r="227" spans="1:20" x14ac:dyDescent="0.25">
      <c r="A227" s="5">
        <v>44366</v>
      </c>
      <c r="B227">
        <v>0.76049999999999995</v>
      </c>
      <c r="C227">
        <v>0.8</v>
      </c>
      <c r="D227">
        <v>0.72360000000000002</v>
      </c>
      <c r="E227">
        <v>0.74639999999999995</v>
      </c>
      <c r="F227">
        <v>2588771.06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-0.40314136125654648</v>
      </c>
      <c r="Q227">
        <f t="shared" si="960"/>
        <v>-1043640.6891099528</v>
      </c>
      <c r="R227">
        <f t="shared" si="961"/>
        <v>-276870731.76488549</v>
      </c>
      <c r="S227">
        <f t="shared" si="962"/>
        <v>-2768.7073176488548</v>
      </c>
      <c r="T227">
        <f t="shared" si="963"/>
        <v>-2.7687073176488548</v>
      </c>
    </row>
    <row r="228" spans="1:20" x14ac:dyDescent="0.25">
      <c r="A228" s="5">
        <v>44365</v>
      </c>
      <c r="B228">
        <v>0.82179999999999997</v>
      </c>
      <c r="C228">
        <v>0.82399999999999995</v>
      </c>
      <c r="D228">
        <v>0.73580000000000001</v>
      </c>
      <c r="E228">
        <v>0.76190000000000002</v>
      </c>
      <c r="F228">
        <v>2364823.56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-0.40816326530612179</v>
      </c>
      <c r="Q228">
        <f t="shared" si="960"/>
        <v>-965234.10612244741</v>
      </c>
      <c r="R228">
        <f t="shared" si="961"/>
        <v>-275827091.0757755</v>
      </c>
      <c r="S228">
        <f t="shared" si="962"/>
        <v>-2758.2709107577552</v>
      </c>
      <c r="T228">
        <f t="shared" si="963"/>
        <v>-2.7582709107577554</v>
      </c>
    </row>
    <row r="229" spans="1:20" x14ac:dyDescent="0.25">
      <c r="A229" s="5">
        <v>44364</v>
      </c>
      <c r="B229">
        <v>0.81850000000000001</v>
      </c>
      <c r="C229">
        <v>0.84570000000000001</v>
      </c>
      <c r="D229">
        <v>0.79359999999999997</v>
      </c>
      <c r="E229">
        <v>0.82420000000000004</v>
      </c>
      <c r="F229">
        <v>1631036.18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0.17466410748560657</v>
      </c>
      <c r="Q229">
        <f t="shared" si="960"/>
        <v>284883.47865643312</v>
      </c>
      <c r="R229">
        <f t="shared" si="961"/>
        <v>-274861856.96965307</v>
      </c>
      <c r="S229">
        <f t="shared" si="962"/>
        <v>-2748.6185696965308</v>
      </c>
      <c r="T229">
        <f t="shared" si="963"/>
        <v>-2.7486185696965308</v>
      </c>
    </row>
    <row r="230" spans="1:20" x14ac:dyDescent="0.25">
      <c r="A230" s="5">
        <v>44363</v>
      </c>
      <c r="B230">
        <v>0.86519999999999997</v>
      </c>
      <c r="C230">
        <v>0.86519999999999997</v>
      </c>
      <c r="D230">
        <v>0.80020000000000002</v>
      </c>
      <c r="E230">
        <v>0.81720000000000004</v>
      </c>
      <c r="F230">
        <v>2625789.42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-0.47692307692307601</v>
      </c>
      <c r="Q230">
        <f t="shared" si="960"/>
        <v>-1252299.5695384592</v>
      </c>
      <c r="R230">
        <f t="shared" si="961"/>
        <v>-275146740.44830948</v>
      </c>
      <c r="S230">
        <f t="shared" si="962"/>
        <v>-2751.4674044830949</v>
      </c>
      <c r="T230">
        <f t="shared" si="963"/>
        <v>-2.7514674044830949</v>
      </c>
    </row>
    <row r="231" spans="1:20" x14ac:dyDescent="0.25">
      <c r="A231" s="5">
        <v>44362</v>
      </c>
      <c r="B231">
        <v>0.89129999999999998</v>
      </c>
      <c r="C231">
        <v>0.89129999999999998</v>
      </c>
      <c r="D231">
        <v>0.84419999999999995</v>
      </c>
      <c r="E231">
        <v>0.86580000000000001</v>
      </c>
      <c r="F231">
        <v>2780910.1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-8.2802547770698537E-2</v>
      </c>
      <c r="Q231">
        <f t="shared" si="960"/>
        <v>-230266.44140126806</v>
      </c>
      <c r="R231">
        <f t="shared" si="961"/>
        <v>-273894440.87877101</v>
      </c>
      <c r="S231">
        <f t="shared" si="962"/>
        <v>-2738.94440878771</v>
      </c>
      <c r="T231">
        <f t="shared" si="963"/>
        <v>-2.7389444087877099</v>
      </c>
    </row>
    <row r="232" spans="1:20" x14ac:dyDescent="0.25">
      <c r="A232" s="5">
        <v>44361</v>
      </c>
      <c r="B232">
        <v>0.872</v>
      </c>
      <c r="C232">
        <v>0.95</v>
      </c>
      <c r="D232">
        <v>0.8417</v>
      </c>
      <c r="E232">
        <v>0.89119999999999999</v>
      </c>
      <c r="F232">
        <v>6166282.0300000003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-8.5872576177285123E-2</v>
      </c>
      <c r="Q232">
        <f t="shared" si="960"/>
        <v>-529514.52335179935</v>
      </c>
      <c r="R232">
        <f t="shared" si="961"/>
        <v>-273664174.43736976</v>
      </c>
      <c r="S232">
        <f t="shared" si="962"/>
        <v>-2736.6417443736977</v>
      </c>
      <c r="T232">
        <f t="shared" si="963"/>
        <v>-2.7366417443736979</v>
      </c>
    </row>
    <row r="233" spans="1:20" x14ac:dyDescent="0.25">
      <c r="A233" s="5">
        <v>44360</v>
      </c>
      <c r="B233">
        <v>0.78339999999999999</v>
      </c>
      <c r="C233">
        <v>0.87990000000000002</v>
      </c>
      <c r="D233">
        <v>0.76249999999999996</v>
      </c>
      <c r="E233">
        <v>0.86809999999999998</v>
      </c>
      <c r="F233">
        <v>9492940.1199999992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0.79897785349233341</v>
      </c>
      <c r="Q233">
        <f t="shared" si="960"/>
        <v>7584648.9204088533</v>
      </c>
      <c r="R233">
        <f t="shared" si="961"/>
        <v>-273134659.91401798</v>
      </c>
      <c r="S233">
        <f t="shared" si="962"/>
        <v>-2731.3465991401799</v>
      </c>
      <c r="T233">
        <f t="shared" si="963"/>
        <v>-2.73134659914018</v>
      </c>
    </row>
    <row r="234" spans="1:20" x14ac:dyDescent="0.25">
      <c r="A234" s="5">
        <v>44359</v>
      </c>
      <c r="B234">
        <v>0.8599</v>
      </c>
      <c r="C234">
        <v>0.8599</v>
      </c>
      <c r="D234">
        <v>0.72670000000000001</v>
      </c>
      <c r="E234">
        <v>0.78400000000000003</v>
      </c>
      <c r="F234">
        <v>3977812.53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-0.13963963963963927</v>
      </c>
      <c r="Q234">
        <f t="shared" si="960"/>
        <v>-555460.30824324174</v>
      </c>
      <c r="R234">
        <f t="shared" si="961"/>
        <v>-280719308.83442682</v>
      </c>
      <c r="S234">
        <f t="shared" si="962"/>
        <v>-2807.1930883442683</v>
      </c>
      <c r="T234">
        <f t="shared" si="963"/>
        <v>-2.8071930883442682</v>
      </c>
    </row>
    <row r="235" spans="1:20" x14ac:dyDescent="0.25">
      <c r="A235" s="5">
        <v>44358</v>
      </c>
      <c r="B235">
        <v>0.93930000000000002</v>
      </c>
      <c r="C235">
        <v>0.9405</v>
      </c>
      <c r="D235">
        <v>0.84540000000000004</v>
      </c>
      <c r="E235">
        <v>0.8579</v>
      </c>
      <c r="F235">
        <v>4555190.0999999996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-0.73711882229232473</v>
      </c>
      <c r="Q235">
        <f t="shared" si="960"/>
        <v>-3357716.3618296566</v>
      </c>
      <c r="R235">
        <f t="shared" si="961"/>
        <v>-280163848.52618361</v>
      </c>
      <c r="S235">
        <f t="shared" si="962"/>
        <v>-2801.6384852618362</v>
      </c>
      <c r="T235">
        <f t="shared" si="963"/>
        <v>-2.8016384852618361</v>
      </c>
    </row>
    <row r="236" spans="1:20" x14ac:dyDescent="0.25">
      <c r="A236" s="5">
        <v>44357</v>
      </c>
      <c r="B236">
        <v>0.98419999999999996</v>
      </c>
      <c r="C236">
        <v>0.98729999999999996</v>
      </c>
      <c r="D236">
        <v>0.91069999999999995</v>
      </c>
      <c r="E236">
        <v>0.93789999999999996</v>
      </c>
      <c r="F236">
        <v>5430247.7599999998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-0.28981723237597906</v>
      </c>
      <c r="Q236">
        <f t="shared" si="960"/>
        <v>-1573779.3769190598</v>
      </c>
      <c r="R236">
        <f t="shared" si="961"/>
        <v>-276806132.16435397</v>
      </c>
      <c r="S236">
        <f t="shared" si="962"/>
        <v>-2768.0613216435395</v>
      </c>
      <c r="T236">
        <f t="shared" si="963"/>
        <v>-2.7680613216435397</v>
      </c>
    </row>
    <row r="237" spans="1:20" x14ac:dyDescent="0.25">
      <c r="A237" s="5">
        <v>44356</v>
      </c>
      <c r="B237">
        <v>0.92300000000000004</v>
      </c>
      <c r="C237">
        <v>1.0504</v>
      </c>
      <c r="D237">
        <v>0.90410000000000001</v>
      </c>
      <c r="E237">
        <v>0.98419999999999996</v>
      </c>
      <c r="F237">
        <v>13038143.560000001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9.5010252904989156E-2</v>
      </c>
      <c r="Q237">
        <f t="shared" si="960"/>
        <v>1238757.3170471557</v>
      </c>
      <c r="R237">
        <f t="shared" si="961"/>
        <v>-275232352.78743494</v>
      </c>
      <c r="S237">
        <f t="shared" si="962"/>
        <v>-2752.3235278743496</v>
      </c>
      <c r="T237">
        <f t="shared" si="963"/>
        <v>-2.7523235278743496</v>
      </c>
    </row>
    <row r="238" spans="1:20" x14ac:dyDescent="0.25">
      <c r="A238" s="5">
        <v>44355</v>
      </c>
      <c r="B238">
        <v>0.93510000000000004</v>
      </c>
      <c r="C238">
        <v>1.0074000000000001</v>
      </c>
      <c r="D238">
        <v>0.78990000000000005</v>
      </c>
      <c r="E238">
        <v>0.92210000000000003</v>
      </c>
      <c r="F238">
        <v>6573153.4400000004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0.21563218390804567</v>
      </c>
      <c r="Q238">
        <f t="shared" si="960"/>
        <v>1417383.4314298832</v>
      </c>
      <c r="R238">
        <f t="shared" si="961"/>
        <v>-276471110.10448211</v>
      </c>
      <c r="S238">
        <f t="shared" si="962"/>
        <v>-2764.7111010448211</v>
      </c>
      <c r="T238">
        <f t="shared" si="963"/>
        <v>-2.7647111010448211</v>
      </c>
    </row>
    <row r="239" spans="1:20" x14ac:dyDescent="0.25">
      <c r="A239" s="5">
        <v>44354</v>
      </c>
      <c r="B239">
        <v>1.0355000000000001</v>
      </c>
      <c r="C239">
        <v>1.0643</v>
      </c>
      <c r="D239">
        <v>0.91859999999999997</v>
      </c>
      <c r="E239">
        <v>0.93500000000000005</v>
      </c>
      <c r="F239">
        <v>5880860.4900000002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-0.77487989018531123</v>
      </c>
      <c r="Q239">
        <f t="shared" si="960"/>
        <v>-4556960.5306863356</v>
      </c>
      <c r="R239">
        <f t="shared" si="961"/>
        <v>-277888493.53591198</v>
      </c>
      <c r="S239">
        <f t="shared" si="962"/>
        <v>-2778.8849353591199</v>
      </c>
      <c r="T239">
        <f t="shared" si="963"/>
        <v>-2.7788849353591201</v>
      </c>
    </row>
    <row r="240" spans="1:20" x14ac:dyDescent="0.25">
      <c r="A240" s="5">
        <v>44353</v>
      </c>
      <c r="B240">
        <v>0.95379999999999998</v>
      </c>
      <c r="C240">
        <v>1.2493000000000001</v>
      </c>
      <c r="D240">
        <v>0.95369999999999999</v>
      </c>
      <c r="E240">
        <v>1.0378000000000001</v>
      </c>
      <c r="F240">
        <v>23306911.77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-0.43098782138024333</v>
      </c>
      <c r="Q240">
        <f t="shared" si="960"/>
        <v>-10044995.126853852</v>
      </c>
      <c r="R240">
        <f t="shared" si="961"/>
        <v>-273331533.00522566</v>
      </c>
      <c r="S240">
        <f t="shared" si="962"/>
        <v>-2733.3153300522567</v>
      </c>
      <c r="T240">
        <f t="shared" si="963"/>
        <v>-2.7333153300522568</v>
      </c>
    </row>
    <row r="241" spans="1:20" x14ac:dyDescent="0.25">
      <c r="A241" s="5">
        <v>44352</v>
      </c>
      <c r="B241">
        <v>1.0042</v>
      </c>
      <c r="C241">
        <v>1.0212000000000001</v>
      </c>
      <c r="D241">
        <v>0.92779999999999996</v>
      </c>
      <c r="E241">
        <v>0.95789999999999997</v>
      </c>
      <c r="F241">
        <v>2380552.75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-0.35546038543897285</v>
      </c>
      <c r="Q241">
        <f t="shared" si="960"/>
        <v>-846192.19807280682</v>
      </c>
      <c r="R241">
        <f t="shared" si="961"/>
        <v>-263286537.87837183</v>
      </c>
      <c r="S241">
        <f t="shared" si="962"/>
        <v>-2632.8653787837184</v>
      </c>
      <c r="T241">
        <f t="shared" si="963"/>
        <v>-2.6328653787837184</v>
      </c>
    </row>
    <row r="242" spans="1:20" x14ac:dyDescent="0.25">
      <c r="A242" s="5">
        <v>44351</v>
      </c>
      <c r="B242">
        <v>1.0989</v>
      </c>
      <c r="C242">
        <v>1.0989</v>
      </c>
      <c r="D242">
        <v>0.93620000000000003</v>
      </c>
      <c r="E242">
        <v>1.0086999999999999</v>
      </c>
      <c r="F242">
        <v>4053272.12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-0.10878918254456156</v>
      </c>
      <c r="Q242">
        <f t="shared" si="960"/>
        <v>-440952.16056546202</v>
      </c>
      <c r="R242">
        <f t="shared" si="961"/>
        <v>-262440345.68029901</v>
      </c>
      <c r="S242">
        <f t="shared" si="962"/>
        <v>-2624.4034568029901</v>
      </c>
      <c r="T242">
        <f t="shared" si="963"/>
        <v>-2.6244034568029901</v>
      </c>
    </row>
    <row r="243" spans="1:20" x14ac:dyDescent="0.25">
      <c r="A243" s="5">
        <v>44350</v>
      </c>
      <c r="B243">
        <v>1.0546</v>
      </c>
      <c r="C243">
        <v>1.1489</v>
      </c>
      <c r="D243">
        <v>1.0397000000000001</v>
      </c>
      <c r="E243">
        <v>1.0986</v>
      </c>
      <c r="F243">
        <v>6587594.29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7.8754578754578239E-2</v>
      </c>
      <c r="Q243">
        <f t="shared" si="960"/>
        <v>518803.2133150149</v>
      </c>
      <c r="R243">
        <f t="shared" si="961"/>
        <v>-261999393.51973355</v>
      </c>
      <c r="S243">
        <f t="shared" si="962"/>
        <v>-2619.9939351973353</v>
      </c>
      <c r="T243">
        <f t="shared" si="963"/>
        <v>-2.6199939351973351</v>
      </c>
    </row>
    <row r="244" spans="1:20" x14ac:dyDescent="0.25">
      <c r="A244" s="5">
        <v>44349</v>
      </c>
      <c r="B244">
        <v>1.0190999999999999</v>
      </c>
      <c r="C244">
        <v>1.0992</v>
      </c>
      <c r="D244">
        <v>1</v>
      </c>
      <c r="E244">
        <v>1.0517000000000001</v>
      </c>
      <c r="F244">
        <v>5566265.7999999998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4.2338709677421427E-2</v>
      </c>
      <c r="Q244">
        <f t="shared" si="960"/>
        <v>235668.51169355991</v>
      </c>
      <c r="R244">
        <f t="shared" si="961"/>
        <v>-262518196.73304856</v>
      </c>
      <c r="S244">
        <f t="shared" si="962"/>
        <v>-2625.1819673304858</v>
      </c>
      <c r="T244">
        <f t="shared" si="963"/>
        <v>-2.6251819673304859</v>
      </c>
    </row>
    <row r="245" spans="1:20" x14ac:dyDescent="0.25">
      <c r="A245" s="5">
        <v>44348</v>
      </c>
      <c r="B245">
        <v>1.0608</v>
      </c>
      <c r="C245">
        <v>1.0688</v>
      </c>
      <c r="D245">
        <v>0.9849</v>
      </c>
      <c r="E245">
        <v>1.0146999999999999</v>
      </c>
      <c r="F245">
        <v>5834007.79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-0.28963051251489996</v>
      </c>
      <c r="Q245">
        <f t="shared" si="960"/>
        <v>-1689706.666233619</v>
      </c>
      <c r="R245">
        <f t="shared" si="961"/>
        <v>-262753865.24474213</v>
      </c>
      <c r="S245">
        <f t="shared" si="962"/>
        <v>-2627.5386524474211</v>
      </c>
      <c r="T245">
        <f t="shared" si="963"/>
        <v>-2.6275386524474209</v>
      </c>
    </row>
    <row r="246" spans="1:20" x14ac:dyDescent="0.25">
      <c r="A246" s="5">
        <v>44347</v>
      </c>
      <c r="B246">
        <v>1.0351999999999999</v>
      </c>
      <c r="C246">
        <v>1.0754999999999999</v>
      </c>
      <c r="D246">
        <v>0.93</v>
      </c>
      <c r="E246">
        <v>1.0609</v>
      </c>
      <c r="F246">
        <v>6229951.5599999996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0.79931271477663279</v>
      </c>
      <c r="Q246">
        <f t="shared" si="960"/>
        <v>4979679.4943505181</v>
      </c>
      <c r="R246">
        <f t="shared" si="961"/>
        <v>-261064158.5785085</v>
      </c>
      <c r="S246">
        <f t="shared" si="962"/>
        <v>-2610.6415857850848</v>
      </c>
      <c r="T246">
        <f t="shared" si="963"/>
        <v>-2.6106415857850847</v>
      </c>
    </row>
    <row r="247" spans="1:20" x14ac:dyDescent="0.25">
      <c r="A247" s="5">
        <v>44346</v>
      </c>
      <c r="B247">
        <v>1.0406</v>
      </c>
      <c r="C247">
        <v>1.0495000000000001</v>
      </c>
      <c r="D247">
        <v>0.90380000000000005</v>
      </c>
      <c r="E247">
        <v>1.0347999999999999</v>
      </c>
      <c r="F247">
        <v>9881252.8499999996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0.79821551132463753</v>
      </c>
      <c r="Q247">
        <f t="shared" si="960"/>
        <v>7887369.2961907815</v>
      </c>
      <c r="R247">
        <f t="shared" si="961"/>
        <v>-266043838.07285902</v>
      </c>
      <c r="S247">
        <f t="shared" si="962"/>
        <v>-2660.4383807285903</v>
      </c>
      <c r="T247">
        <f t="shared" si="963"/>
        <v>-2.6604383807285905</v>
      </c>
    </row>
    <row r="248" spans="1:20" x14ac:dyDescent="0.25">
      <c r="A248" s="5">
        <v>44345</v>
      </c>
      <c r="B248">
        <v>1.1689000000000001</v>
      </c>
      <c r="C248">
        <v>1.1960999999999999</v>
      </c>
      <c r="D248">
        <v>0.95130000000000003</v>
      </c>
      <c r="E248">
        <v>1.0448999999999999</v>
      </c>
      <c r="F248">
        <v>11306606.23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-0.23529411764705929</v>
      </c>
      <c r="Q248">
        <f t="shared" si="960"/>
        <v>-2660377.9364705938</v>
      </c>
      <c r="R248">
        <f t="shared" si="961"/>
        <v>-273931207.36904979</v>
      </c>
      <c r="S248">
        <f t="shared" si="962"/>
        <v>-2739.312073690498</v>
      </c>
      <c r="T248">
        <f t="shared" si="963"/>
        <v>-2.7393120736904981</v>
      </c>
    </row>
    <row r="249" spans="1:20" x14ac:dyDescent="0.25">
      <c r="A249" s="5">
        <v>44344</v>
      </c>
      <c r="B249">
        <v>1.0616000000000001</v>
      </c>
      <c r="C249">
        <v>1.35</v>
      </c>
      <c r="D249">
        <v>0.99980000000000002</v>
      </c>
      <c r="E249">
        <v>1.1689000000000001</v>
      </c>
      <c r="F249">
        <v>36467402.039999999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-3.4266133637921213E-2</v>
      </c>
      <c r="Q249">
        <f t="shared" si="960"/>
        <v>-1249596.8717304405</v>
      </c>
      <c r="R249">
        <f t="shared" si="961"/>
        <v>-271270829.43257922</v>
      </c>
      <c r="S249">
        <f t="shared" si="962"/>
        <v>-2712.7082943257924</v>
      </c>
      <c r="T249">
        <f t="shared" si="963"/>
        <v>-2.7127082943257923</v>
      </c>
    </row>
    <row r="250" spans="1:20" x14ac:dyDescent="0.25">
      <c r="A250" s="5">
        <v>44343</v>
      </c>
      <c r="B250">
        <v>1.1734</v>
      </c>
      <c r="C250">
        <v>1.1835</v>
      </c>
      <c r="D250">
        <v>1.0125999999999999</v>
      </c>
      <c r="E250">
        <v>1.0649999999999999</v>
      </c>
      <c r="F250">
        <v>10667951.67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-0.38677589233469883</v>
      </c>
      <c r="Q250">
        <f t="shared" si="960"/>
        <v>-4126106.5265476904</v>
      </c>
      <c r="R250">
        <f t="shared" si="961"/>
        <v>-270021232.56084877</v>
      </c>
      <c r="S250">
        <f t="shared" si="962"/>
        <v>-2700.2123256084878</v>
      </c>
      <c r="T250">
        <f t="shared" si="963"/>
        <v>-2.7002123256084878</v>
      </c>
    </row>
    <row r="251" spans="1:20" x14ac:dyDescent="0.25">
      <c r="A251" s="5">
        <v>44342</v>
      </c>
      <c r="B251">
        <v>1.0467</v>
      </c>
      <c r="C251">
        <v>1.3</v>
      </c>
      <c r="D251">
        <v>0.93</v>
      </c>
      <c r="E251">
        <v>1.1721999999999999</v>
      </c>
      <c r="F251">
        <v>28410733.25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0.30918918918918847</v>
      </c>
      <c r="Q251">
        <f t="shared" si="960"/>
        <v>8784291.5778378174</v>
      </c>
      <c r="R251">
        <f t="shared" si="961"/>
        <v>-265895126.0343011</v>
      </c>
      <c r="S251">
        <f t="shared" si="962"/>
        <v>-2658.9512603430112</v>
      </c>
      <c r="T251">
        <f t="shared" si="963"/>
        <v>-2.6589512603430112</v>
      </c>
    </row>
    <row r="252" spans="1:20" x14ac:dyDescent="0.25">
      <c r="A252" s="5">
        <v>44341</v>
      </c>
      <c r="B252">
        <v>0.91910000000000003</v>
      </c>
      <c r="C252">
        <v>1.0660000000000001</v>
      </c>
      <c r="D252">
        <v>0.76590000000000003</v>
      </c>
      <c r="E252">
        <v>1.0436000000000001</v>
      </c>
      <c r="F252">
        <v>26969888.59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0.85071642785738111</v>
      </c>
      <c r="Q252">
        <f t="shared" si="960"/>
        <v>22943727.280996341</v>
      </c>
      <c r="R252">
        <f t="shared" si="961"/>
        <v>-274679417.61213893</v>
      </c>
      <c r="S252">
        <f t="shared" si="962"/>
        <v>-2746.7941761213892</v>
      </c>
      <c r="T252">
        <f t="shared" si="963"/>
        <v>-2.7467941761213894</v>
      </c>
    </row>
    <row r="253" spans="1:20" x14ac:dyDescent="0.25">
      <c r="A253" s="5">
        <v>44340</v>
      </c>
      <c r="B253">
        <v>0.74539999999999995</v>
      </c>
      <c r="C253">
        <v>1.1499999999999999</v>
      </c>
      <c r="D253">
        <v>0.72670000000000001</v>
      </c>
      <c r="E253">
        <v>0.91849999999999998</v>
      </c>
      <c r="F253">
        <v>48690240.57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-9.3786912355303495E-2</v>
      </c>
      <c r="Q253">
        <f t="shared" si="960"/>
        <v>-4566507.3248972325</v>
      </c>
      <c r="R253">
        <f t="shared" si="961"/>
        <v>-297623144.89313525</v>
      </c>
      <c r="S253">
        <f t="shared" si="962"/>
        <v>-2976.2314489313526</v>
      </c>
      <c r="T253">
        <f t="shared" si="963"/>
        <v>-2.9762314489313524</v>
      </c>
    </row>
    <row r="254" spans="1:20" x14ac:dyDescent="0.25">
      <c r="A254" s="5">
        <v>44339</v>
      </c>
      <c r="B254">
        <v>0.88939999999999997</v>
      </c>
      <c r="C254">
        <v>1.2396</v>
      </c>
      <c r="D254">
        <v>0.57320000000000004</v>
      </c>
      <c r="E254">
        <v>0.75339999999999996</v>
      </c>
      <c r="F254">
        <v>61062753.600000001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-0.45918367346938799</v>
      </c>
      <c r="Q254">
        <f t="shared" si="960"/>
        <v>-28039019.510204095</v>
      </c>
      <c r="R254">
        <f t="shared" si="961"/>
        <v>-293056637.56823802</v>
      </c>
      <c r="S254">
        <f t="shared" si="962"/>
        <v>-2930.5663756823801</v>
      </c>
      <c r="T254">
        <f t="shared" si="963"/>
        <v>-2.9305663756823801</v>
      </c>
    </row>
    <row r="255" spans="1:20" x14ac:dyDescent="0.25">
      <c r="A255" s="5">
        <v>44338</v>
      </c>
      <c r="B255">
        <v>1.3506</v>
      </c>
      <c r="C255">
        <v>1.3528</v>
      </c>
      <c r="D255">
        <v>0.83479999999999999</v>
      </c>
      <c r="E255">
        <v>0.89249999999999996</v>
      </c>
      <c r="F255">
        <v>59986939.460000001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-0.77722007722007735</v>
      </c>
      <c r="Q255">
        <f t="shared" si="960"/>
        <v>-46623053.719297305</v>
      </c>
      <c r="R255">
        <f t="shared" si="961"/>
        <v>-265017618.05803394</v>
      </c>
      <c r="S255">
        <f t="shared" si="962"/>
        <v>-2650.1761805803394</v>
      </c>
      <c r="T255">
        <f t="shared" si="963"/>
        <v>-2.6501761805803392</v>
      </c>
    </row>
    <row r="256" spans="1:20" x14ac:dyDescent="0.25">
      <c r="A256" s="5">
        <v>44337</v>
      </c>
      <c r="B256">
        <v>2.4318</v>
      </c>
      <c r="C256">
        <v>3.3</v>
      </c>
      <c r="D256">
        <v>1.1689000000000001</v>
      </c>
      <c r="E256">
        <v>1.3506</v>
      </c>
      <c r="F256">
        <v>154636997.74000001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-0.82947773450330808</v>
      </c>
      <c r="Q256">
        <f t="shared" si="960"/>
        <v>-128267946.55576839</v>
      </c>
      <c r="R256">
        <f t="shared" si="961"/>
        <v>-218394564.33873665</v>
      </c>
      <c r="S256">
        <f t="shared" si="962"/>
        <v>-2183.9456433873665</v>
      </c>
      <c r="T256">
        <f t="shared" si="963"/>
        <v>-2.1839456433873665</v>
      </c>
    </row>
    <row r="257" spans="1:20" x14ac:dyDescent="0.25">
      <c r="A257" s="5">
        <v>44336</v>
      </c>
      <c r="B257">
        <v>0.51639999999999997</v>
      </c>
      <c r="C257">
        <v>3.3</v>
      </c>
      <c r="D257">
        <v>0.46389999999999998</v>
      </c>
      <c r="E257">
        <v>2.4318</v>
      </c>
      <c r="F257">
        <v>129781136.31999999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0.38775078452804912</v>
      </c>
      <c r="Q257">
        <f t="shared" si="960"/>
        <v>50322737.425021686</v>
      </c>
      <c r="R257">
        <f t="shared" si="961"/>
        <v>-90126617.782968283</v>
      </c>
      <c r="S257">
        <f t="shared" si="962"/>
        <v>-901.26617782968287</v>
      </c>
      <c r="T257">
        <f t="shared" si="963"/>
        <v>-0.90126617782968288</v>
      </c>
    </row>
    <row r="258" spans="1:20" x14ac:dyDescent="0.25">
      <c r="A258" s="5">
        <v>44335</v>
      </c>
      <c r="B258">
        <v>0.72550000000000003</v>
      </c>
      <c r="C258">
        <v>0.88949999999999996</v>
      </c>
      <c r="D258">
        <v>0.41120000000000001</v>
      </c>
      <c r="E258">
        <v>0.51529999999999998</v>
      </c>
      <c r="F258">
        <v>22887127.460000001</v>
      </c>
      <c r="G258">
        <v>0</v>
      </c>
      <c r="L258" t="s">
        <v>8</v>
      </c>
      <c r="M258" t="s">
        <v>8</v>
      </c>
      <c r="N258" t="s">
        <v>7</v>
      </c>
      <c r="P258">
        <f t="shared" si="959"/>
        <v>-0.56470834204474185</v>
      </c>
      <c r="Q258">
        <f t="shared" si="960"/>
        <v>-12924551.802103285</v>
      </c>
      <c r="R258">
        <f t="shared" si="961"/>
        <v>-140449355.20798996</v>
      </c>
      <c r="S258">
        <f t="shared" si="962"/>
        <v>-1404.4935520798997</v>
      </c>
      <c r="T258">
        <f t="shared" si="963"/>
        <v>-1.4044935520798998</v>
      </c>
    </row>
    <row r="259" spans="1:20" x14ac:dyDescent="0.25">
      <c r="A259" s="5">
        <v>44334</v>
      </c>
      <c r="B259">
        <v>0.69810000000000005</v>
      </c>
      <c r="C259">
        <v>0.79420000000000002</v>
      </c>
      <c r="D259">
        <v>0.69810000000000005</v>
      </c>
      <c r="E259">
        <v>0.72770000000000001</v>
      </c>
      <c r="F259">
        <v>5400447.2699999996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-0.38397502601456879</v>
      </c>
      <c r="Q259">
        <f t="shared" si="960"/>
        <v>-2073636.8809885569</v>
      </c>
      <c r="R259">
        <f t="shared" si="961"/>
        <v>-127524803.40588666</v>
      </c>
      <c r="S259">
        <f t="shared" si="962"/>
        <v>-1275.2480340588666</v>
      </c>
      <c r="T259">
        <f t="shared" si="963"/>
        <v>-1.2752480340588666</v>
      </c>
    </row>
    <row r="260" spans="1:20" x14ac:dyDescent="0.25">
      <c r="A260" s="5">
        <v>44333</v>
      </c>
      <c r="B260">
        <v>0.77959999999999996</v>
      </c>
      <c r="C260">
        <v>0.79320000000000002</v>
      </c>
      <c r="D260">
        <v>0.65410000000000001</v>
      </c>
      <c r="E260">
        <v>0.69589999999999996</v>
      </c>
      <c r="F260">
        <v>3740058.88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-0.39899352983465208</v>
      </c>
      <c r="Q260">
        <f t="shared" si="960"/>
        <v>-1492259.2943206355</v>
      </c>
      <c r="R260">
        <f t="shared" si="961"/>
        <v>-125451166.52489811</v>
      </c>
      <c r="S260">
        <f t="shared" si="962"/>
        <v>-1254.5116652489812</v>
      </c>
      <c r="T260">
        <f t="shared" si="963"/>
        <v>-1.2545116652489812</v>
      </c>
    </row>
    <row r="261" spans="1:20" x14ac:dyDescent="0.25">
      <c r="A261" s="5">
        <v>44332</v>
      </c>
      <c r="B261">
        <v>0.77880000000000005</v>
      </c>
      <c r="C261">
        <v>0.83030000000000004</v>
      </c>
      <c r="D261">
        <v>0.73240000000000005</v>
      </c>
      <c r="E261">
        <v>0.77939999999999998</v>
      </c>
      <c r="F261">
        <v>1525999.51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-3.9836567926456852E-2</v>
      </c>
      <c r="Q261">
        <f t="shared" si="960"/>
        <v>-60790.583135854875</v>
      </c>
      <c r="R261">
        <f t="shared" si="961"/>
        <v>-123958907.23057748</v>
      </c>
      <c r="S261">
        <f t="shared" si="962"/>
        <v>-1239.5890723057748</v>
      </c>
      <c r="T261">
        <f t="shared" si="963"/>
        <v>-1.2395890723057748</v>
      </c>
    </row>
    <row r="262" spans="1:20" x14ac:dyDescent="0.25">
      <c r="A262" s="5">
        <v>44331</v>
      </c>
      <c r="B262">
        <v>0.84150000000000003</v>
      </c>
      <c r="C262">
        <v>0.84319999999999995</v>
      </c>
      <c r="D262">
        <v>0.76600000000000001</v>
      </c>
      <c r="E262">
        <v>0.78169999999999995</v>
      </c>
      <c r="F262">
        <v>1767688.54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-0.59326424870466454</v>
      </c>
      <c r="Q262">
        <f t="shared" ref="Q262:Q325" si="965">F262*P262</f>
        <v>-1048706.4136269453</v>
      </c>
      <c r="R262">
        <f t="shared" ref="R262:R325" si="966">R263+Q262</f>
        <v>-123898116.64744163</v>
      </c>
      <c r="S262">
        <f t="shared" ref="S262:S325" si="967">R262/100000</f>
        <v>-1238.9811664744163</v>
      </c>
      <c r="T262">
        <f t="shared" ref="T262:T325" si="968">S262/1000</f>
        <v>-1.2389811664744164</v>
      </c>
    </row>
    <row r="263" spans="1:20" x14ac:dyDescent="0.25">
      <c r="A263" s="5">
        <v>44330</v>
      </c>
      <c r="B263">
        <v>0.80830000000000002</v>
      </c>
      <c r="C263">
        <v>0.94699999999999995</v>
      </c>
      <c r="D263">
        <v>0.79210000000000003</v>
      </c>
      <c r="E263">
        <v>0.84140000000000004</v>
      </c>
      <c r="F263">
        <v>4514582.01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-0.36346029696578391</v>
      </c>
      <c r="Q263">
        <f t="shared" si="965"/>
        <v>-1640871.3180309855</v>
      </c>
      <c r="R263">
        <f t="shared" si="966"/>
        <v>-122849410.23381469</v>
      </c>
      <c r="S263">
        <f t="shared" si="967"/>
        <v>-1228.4941023381468</v>
      </c>
      <c r="T263">
        <f t="shared" si="968"/>
        <v>-1.2284941023381468</v>
      </c>
    </row>
    <row r="264" spans="1:20" x14ac:dyDescent="0.25">
      <c r="A264" s="5">
        <v>44329</v>
      </c>
      <c r="B264">
        <v>0.79379999999999995</v>
      </c>
      <c r="C264">
        <v>0.83760000000000001</v>
      </c>
      <c r="D264">
        <v>0.72629999999999995</v>
      </c>
      <c r="E264">
        <v>0.80620000000000003</v>
      </c>
      <c r="F264">
        <v>5127643.84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0.43575920934411566</v>
      </c>
      <c r="Q264">
        <f t="shared" si="965"/>
        <v>2234418.025516625</v>
      </c>
      <c r="R264">
        <f t="shared" si="966"/>
        <v>-121208538.9157837</v>
      </c>
      <c r="S264">
        <f t="shared" si="967"/>
        <v>-1212.085389157837</v>
      </c>
      <c r="T264">
        <f t="shared" si="968"/>
        <v>-1.2120853891578369</v>
      </c>
    </row>
    <row r="265" spans="1:20" x14ac:dyDescent="0.25">
      <c r="A265" s="5">
        <v>44328</v>
      </c>
      <c r="B265">
        <v>0.97319999999999995</v>
      </c>
      <c r="C265">
        <v>0.99790000000000001</v>
      </c>
      <c r="D265">
        <v>0.78800000000000003</v>
      </c>
      <c r="E265">
        <v>0.79559999999999997</v>
      </c>
      <c r="F265">
        <v>2821598.31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-0.92758456407813306</v>
      </c>
      <c r="Q265">
        <f t="shared" si="965"/>
        <v>-2617271.038384947</v>
      </c>
      <c r="R265">
        <f t="shared" si="966"/>
        <v>-123442956.94130033</v>
      </c>
      <c r="S265">
        <f t="shared" si="967"/>
        <v>-1234.4295694130033</v>
      </c>
      <c r="T265">
        <f t="shared" si="968"/>
        <v>-1.2344295694130032</v>
      </c>
    </row>
    <row r="266" spans="1:20" x14ac:dyDescent="0.25">
      <c r="A266" s="5">
        <v>44327</v>
      </c>
      <c r="B266">
        <v>0.90110000000000001</v>
      </c>
      <c r="C266">
        <v>0.97330000000000005</v>
      </c>
      <c r="D266">
        <v>0.85599999999999998</v>
      </c>
      <c r="E266">
        <v>0.97240000000000004</v>
      </c>
      <c r="F266">
        <v>2966766.42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0.98465473145780036</v>
      </c>
      <c r="Q266">
        <f t="shared" si="965"/>
        <v>2921240.5925831199</v>
      </c>
      <c r="R266">
        <f t="shared" si="966"/>
        <v>-120825685.90291539</v>
      </c>
      <c r="S266">
        <f t="shared" si="967"/>
        <v>-1208.2568590291539</v>
      </c>
      <c r="T266">
        <f t="shared" si="968"/>
        <v>-1.208256859029154</v>
      </c>
    </row>
    <row r="267" spans="1:20" x14ac:dyDescent="0.25">
      <c r="A267" s="5">
        <v>44326</v>
      </c>
      <c r="B267">
        <v>1.0338000000000001</v>
      </c>
      <c r="C267">
        <v>1.04</v>
      </c>
      <c r="D267">
        <v>0.88629999999999998</v>
      </c>
      <c r="E267">
        <v>0.89880000000000004</v>
      </c>
      <c r="F267">
        <v>3006756.37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-0.83734547820429328</v>
      </c>
      <c r="Q267">
        <f t="shared" si="965"/>
        <v>-2517693.8504814552</v>
      </c>
      <c r="R267">
        <f t="shared" si="966"/>
        <v>-123746926.49549851</v>
      </c>
      <c r="S267">
        <f t="shared" si="967"/>
        <v>-1237.4692649549852</v>
      </c>
      <c r="T267">
        <f t="shared" si="968"/>
        <v>-1.2374692649549852</v>
      </c>
    </row>
    <row r="268" spans="1:20" x14ac:dyDescent="0.25">
      <c r="A268" s="5">
        <v>44325</v>
      </c>
      <c r="B268">
        <v>1.0368999999999999</v>
      </c>
      <c r="C268">
        <v>1.0449999999999999</v>
      </c>
      <c r="D268">
        <v>0.93179999999999996</v>
      </c>
      <c r="E268">
        <v>1.0338000000000001</v>
      </c>
      <c r="F268">
        <v>4039073.7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0.80212014134275833</v>
      </c>
      <c r="Q268">
        <f t="shared" si="965"/>
        <v>3239822.3671378181</v>
      </c>
      <c r="R268">
        <f t="shared" si="966"/>
        <v>-121229232.64501706</v>
      </c>
      <c r="S268">
        <f t="shared" si="967"/>
        <v>-1212.2923264501705</v>
      </c>
      <c r="T268">
        <f t="shared" si="968"/>
        <v>-1.2122923264501706</v>
      </c>
    </row>
    <row r="269" spans="1:20" x14ac:dyDescent="0.25">
      <c r="A269" s="5">
        <v>44324</v>
      </c>
      <c r="B269">
        <v>1.06</v>
      </c>
      <c r="C269">
        <v>1.1656</v>
      </c>
      <c r="D269">
        <v>1.0046999999999999</v>
      </c>
      <c r="E269">
        <v>1.0368999999999999</v>
      </c>
      <c r="F269">
        <v>4375254.42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-0.59975139838408953</v>
      </c>
      <c r="Q269">
        <f t="shared" si="965"/>
        <v>-2624064.9566811686</v>
      </c>
      <c r="R269">
        <f t="shared" si="966"/>
        <v>-124469055.01215488</v>
      </c>
      <c r="S269">
        <f t="shared" si="967"/>
        <v>-1244.6905501215488</v>
      </c>
      <c r="T269">
        <f t="shared" si="968"/>
        <v>-1.2446905501215488</v>
      </c>
    </row>
    <row r="270" spans="1:20" x14ac:dyDescent="0.25">
      <c r="A270" s="5">
        <v>44323</v>
      </c>
      <c r="B270">
        <v>1.0963000000000001</v>
      </c>
      <c r="C270">
        <v>1.2</v>
      </c>
      <c r="D270">
        <v>0.99</v>
      </c>
      <c r="E270">
        <v>1.0584</v>
      </c>
      <c r="F270">
        <v>14468782.98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-0.34857142857142831</v>
      </c>
      <c r="Q270">
        <f t="shared" si="965"/>
        <v>-5043404.3530285675</v>
      </c>
      <c r="R270">
        <f t="shared" si="966"/>
        <v>-121844990.05547372</v>
      </c>
      <c r="S270">
        <f t="shared" si="967"/>
        <v>-1218.449900554737</v>
      </c>
      <c r="T270">
        <f t="shared" si="968"/>
        <v>-1.2184499005547371</v>
      </c>
    </row>
    <row r="271" spans="1:20" x14ac:dyDescent="0.25">
      <c r="A271" s="5">
        <v>44322</v>
      </c>
      <c r="B271">
        <v>0.98980000000000001</v>
      </c>
      <c r="C271">
        <v>1.1177999999999999</v>
      </c>
      <c r="D271">
        <v>0.93720000000000003</v>
      </c>
      <c r="E271">
        <v>1.0974999999999999</v>
      </c>
      <c r="F271">
        <v>10555726.27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0.77519379844961245</v>
      </c>
      <c r="Q271">
        <f t="shared" si="965"/>
        <v>8182733.5426356588</v>
      </c>
      <c r="R271">
        <f t="shared" si="966"/>
        <v>-116801585.70244515</v>
      </c>
      <c r="S271">
        <f t="shared" si="967"/>
        <v>-1168.0158570244514</v>
      </c>
      <c r="T271">
        <f t="shared" si="968"/>
        <v>-1.1680158570244514</v>
      </c>
    </row>
    <row r="272" spans="1:20" x14ac:dyDescent="0.25">
      <c r="A272" s="5">
        <v>44321</v>
      </c>
      <c r="B272">
        <v>0.86670000000000003</v>
      </c>
      <c r="C272">
        <v>0.99980000000000002</v>
      </c>
      <c r="D272">
        <v>0.86319999999999997</v>
      </c>
      <c r="E272">
        <v>0.98980000000000001</v>
      </c>
      <c r="F272">
        <v>13087127.35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0.85358711566617851</v>
      </c>
      <c r="Q272">
        <f t="shared" si="965"/>
        <v>11171003.287042458</v>
      </c>
      <c r="R272">
        <f t="shared" si="966"/>
        <v>-124984319.24508081</v>
      </c>
      <c r="S272">
        <f t="shared" si="967"/>
        <v>-1249.8431924508081</v>
      </c>
      <c r="T272">
        <f t="shared" si="968"/>
        <v>-1.2498431924508082</v>
      </c>
    </row>
    <row r="273" spans="1:20" x14ac:dyDescent="0.25">
      <c r="A273" s="5">
        <v>44320</v>
      </c>
      <c r="B273">
        <v>1.0039</v>
      </c>
      <c r="C273">
        <v>1.0039</v>
      </c>
      <c r="D273">
        <v>0.85770000000000002</v>
      </c>
      <c r="E273">
        <v>0.86619999999999997</v>
      </c>
      <c r="F273">
        <v>4199486.2699999996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-0.88372093023255882</v>
      </c>
      <c r="Q273">
        <f t="shared" si="965"/>
        <v>-3711173.9130232581</v>
      </c>
      <c r="R273">
        <f t="shared" si="966"/>
        <v>-136155322.53212327</v>
      </c>
      <c r="S273">
        <f t="shared" si="967"/>
        <v>-1361.5532253212327</v>
      </c>
      <c r="T273">
        <f t="shared" si="968"/>
        <v>-1.3615532253212328</v>
      </c>
    </row>
    <row r="274" spans="1:20" x14ac:dyDescent="0.25">
      <c r="A274" s="5">
        <v>44319</v>
      </c>
      <c r="B274">
        <v>1.0029999999999999</v>
      </c>
      <c r="C274">
        <v>1.0539000000000001</v>
      </c>
      <c r="D274">
        <v>0.98380000000000001</v>
      </c>
      <c r="E274">
        <v>1.0033000000000001</v>
      </c>
      <c r="F274">
        <v>4297908.66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-0.44365192582025509</v>
      </c>
      <c r="Q274">
        <f t="shared" si="965"/>
        <v>-1906775.454008552</v>
      </c>
      <c r="R274">
        <f t="shared" si="966"/>
        <v>-132444148.61910002</v>
      </c>
      <c r="S274">
        <f t="shared" si="967"/>
        <v>-1324.4414861910002</v>
      </c>
      <c r="T274">
        <f t="shared" si="968"/>
        <v>-1.3244414861910001</v>
      </c>
    </row>
    <row r="275" spans="1:20" x14ac:dyDescent="0.25">
      <c r="A275" s="5">
        <v>44318</v>
      </c>
      <c r="B275">
        <v>1.0005999999999999</v>
      </c>
      <c r="C275">
        <v>1.0425</v>
      </c>
      <c r="D275">
        <v>0.95240000000000002</v>
      </c>
      <c r="E275">
        <v>1.0029999999999999</v>
      </c>
      <c r="F275">
        <v>3523678.82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0.1231964483906746</v>
      </c>
      <c r="Q275">
        <f t="shared" si="965"/>
        <v>434104.71589344315</v>
      </c>
      <c r="R275">
        <f t="shared" si="966"/>
        <v>-130537373.16509147</v>
      </c>
      <c r="S275">
        <f t="shared" si="967"/>
        <v>-1305.3737316509148</v>
      </c>
      <c r="T275">
        <f t="shared" si="968"/>
        <v>-1.3053737316509149</v>
      </c>
    </row>
    <row r="276" spans="1:20" x14ac:dyDescent="0.25">
      <c r="A276" s="5">
        <v>44317</v>
      </c>
      <c r="B276">
        <v>1.0069999999999999</v>
      </c>
      <c r="C276">
        <v>1.0388999999999999</v>
      </c>
      <c r="D276">
        <v>0.9657</v>
      </c>
      <c r="E276">
        <v>0.99939999999999996</v>
      </c>
      <c r="F276">
        <v>2693360.2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-7.9234972677596077E-2</v>
      </c>
      <c r="Q276">
        <f t="shared" si="965"/>
        <v>-213408.32185792472</v>
      </c>
      <c r="R276">
        <f t="shared" si="966"/>
        <v>-130971477.88098492</v>
      </c>
      <c r="S276">
        <f t="shared" si="967"/>
        <v>-1309.7147788098491</v>
      </c>
      <c r="T276">
        <f t="shared" si="968"/>
        <v>-1.3097147788098491</v>
      </c>
    </row>
    <row r="277" spans="1:20" x14ac:dyDescent="0.25">
      <c r="A277" s="5">
        <v>44316</v>
      </c>
      <c r="B277">
        <v>0.9304</v>
      </c>
      <c r="C277">
        <v>1.1136999999999999</v>
      </c>
      <c r="D277">
        <v>0.9304</v>
      </c>
      <c r="E277">
        <v>1.0068999999999999</v>
      </c>
      <c r="F277">
        <v>8494352.0399999991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-0.16530278232405957</v>
      </c>
      <c r="Q277">
        <f t="shared" si="965"/>
        <v>-1404140.0262520511</v>
      </c>
      <c r="R277">
        <f t="shared" si="966"/>
        <v>-130758069.55912699</v>
      </c>
      <c r="S277">
        <f t="shared" si="967"/>
        <v>-1307.5806955912699</v>
      </c>
      <c r="T277">
        <f t="shared" si="968"/>
        <v>-1.3075806955912699</v>
      </c>
    </row>
    <row r="278" spans="1:20" x14ac:dyDescent="0.25">
      <c r="A278" s="5">
        <v>44315</v>
      </c>
      <c r="B278">
        <v>0.92730000000000001</v>
      </c>
      <c r="C278">
        <v>0.98299999999999998</v>
      </c>
      <c r="D278">
        <v>0.86219999999999997</v>
      </c>
      <c r="E278">
        <v>0.93069999999999997</v>
      </c>
      <c r="F278">
        <v>6209269.3200000003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0.13410596026490057</v>
      </c>
      <c r="Q278">
        <f t="shared" si="965"/>
        <v>832700.02470198623</v>
      </c>
      <c r="R278">
        <f t="shared" si="966"/>
        <v>-129353929.53287494</v>
      </c>
      <c r="S278">
        <f t="shared" si="967"/>
        <v>-1293.5392953287494</v>
      </c>
      <c r="T278">
        <f t="shared" si="968"/>
        <v>-1.2935392953287494</v>
      </c>
    </row>
    <row r="279" spans="1:20" x14ac:dyDescent="0.25">
      <c r="A279" s="5">
        <v>44314</v>
      </c>
      <c r="B279">
        <v>0.96479999999999999</v>
      </c>
      <c r="C279">
        <v>0.97989999999999999</v>
      </c>
      <c r="D279">
        <v>0.85399999999999998</v>
      </c>
      <c r="E279">
        <v>0.92989999999999995</v>
      </c>
      <c r="F279">
        <v>3910808.1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0.20571882446385958</v>
      </c>
      <c r="Q279">
        <f t="shared" si="965"/>
        <v>804526.84503574029</v>
      </c>
      <c r="R279">
        <f t="shared" si="966"/>
        <v>-130186629.55757692</v>
      </c>
      <c r="S279">
        <f t="shared" si="967"/>
        <v>-1301.8662955757693</v>
      </c>
      <c r="T279">
        <f t="shared" si="968"/>
        <v>-1.3018662955757694</v>
      </c>
    </row>
    <row r="280" spans="1:20" x14ac:dyDescent="0.25">
      <c r="A280" s="5">
        <v>44313</v>
      </c>
      <c r="B280">
        <v>0.8851</v>
      </c>
      <c r="C280">
        <v>0.96579999999999999</v>
      </c>
      <c r="D280">
        <v>0.87139999999999995</v>
      </c>
      <c r="E280">
        <v>0.9627</v>
      </c>
      <c r="F280">
        <v>5779123.4299999997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0.93432203389830526</v>
      </c>
      <c r="Q280">
        <f t="shared" si="965"/>
        <v>5399562.3572669495</v>
      </c>
      <c r="R280">
        <f t="shared" si="966"/>
        <v>-130991156.40261267</v>
      </c>
      <c r="S280">
        <f t="shared" si="967"/>
        <v>-1309.9115640261268</v>
      </c>
      <c r="T280">
        <f t="shared" si="968"/>
        <v>-1.3099115640261267</v>
      </c>
    </row>
    <row r="281" spans="1:20" x14ac:dyDescent="0.25">
      <c r="A281" s="5">
        <v>44312</v>
      </c>
      <c r="B281">
        <v>0.75660000000000005</v>
      </c>
      <c r="C281">
        <v>0.93589999999999995</v>
      </c>
      <c r="D281">
        <v>0.73250000000000004</v>
      </c>
      <c r="E281">
        <v>0.88490000000000002</v>
      </c>
      <c r="F281">
        <v>5871806.0499999998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0.49852507374631311</v>
      </c>
      <c r="Q281">
        <f t="shared" si="965"/>
        <v>2927242.5441002971</v>
      </c>
      <c r="R281">
        <f t="shared" si="966"/>
        <v>-136390718.75987962</v>
      </c>
      <c r="S281">
        <f t="shared" si="967"/>
        <v>-1363.9071875987961</v>
      </c>
      <c r="T281">
        <f t="shared" si="968"/>
        <v>-1.363907187598796</v>
      </c>
    </row>
    <row r="282" spans="1:20" x14ac:dyDescent="0.25">
      <c r="A282" s="5">
        <v>44311</v>
      </c>
      <c r="B282">
        <v>0.7329</v>
      </c>
      <c r="C282">
        <v>0.8145</v>
      </c>
      <c r="D282">
        <v>0.68430000000000002</v>
      </c>
      <c r="E282">
        <v>0.75329999999999997</v>
      </c>
      <c r="F282">
        <v>4084253.7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5.9907834101381868E-2</v>
      </c>
      <c r="Q282">
        <f t="shared" si="965"/>
        <v>244678.7930875551</v>
      </c>
      <c r="R282">
        <f t="shared" si="966"/>
        <v>-139317961.3039799</v>
      </c>
      <c r="S282">
        <f t="shared" si="967"/>
        <v>-1393.1796130397991</v>
      </c>
      <c r="T282">
        <f t="shared" si="968"/>
        <v>-1.3931796130397991</v>
      </c>
    </row>
    <row r="283" spans="1:20" x14ac:dyDescent="0.25">
      <c r="A283" s="5">
        <v>44310</v>
      </c>
      <c r="B283">
        <v>0.79420000000000002</v>
      </c>
      <c r="C283">
        <v>0.79720000000000002</v>
      </c>
      <c r="D283">
        <v>0.68100000000000005</v>
      </c>
      <c r="E283">
        <v>0.73529999999999995</v>
      </c>
      <c r="F283">
        <v>4292773.18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-6.5404475043030666E-2</v>
      </c>
      <c r="Q283">
        <f t="shared" si="965"/>
        <v>-280766.57631670136</v>
      </c>
      <c r="R283">
        <f t="shared" si="966"/>
        <v>-139562640.09706745</v>
      </c>
      <c r="S283">
        <f t="shared" si="967"/>
        <v>-1395.6264009706745</v>
      </c>
      <c r="T283">
        <f t="shared" si="968"/>
        <v>-1.3956264009706745</v>
      </c>
    </row>
    <row r="284" spans="1:20" x14ac:dyDescent="0.25">
      <c r="A284" s="5">
        <v>44309</v>
      </c>
      <c r="B284">
        <v>0.8427</v>
      </c>
      <c r="C284">
        <v>0.84689999999999999</v>
      </c>
      <c r="D284">
        <v>0.61209999999999998</v>
      </c>
      <c r="E284">
        <v>0.79579999999999995</v>
      </c>
      <c r="F284">
        <v>13363937.99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0.56473594548551931</v>
      </c>
      <c r="Q284">
        <f t="shared" si="965"/>
        <v>7547096.1561925001</v>
      </c>
      <c r="R284">
        <f t="shared" si="966"/>
        <v>-139281873.52075073</v>
      </c>
      <c r="S284">
        <f t="shared" si="967"/>
        <v>-1392.8187352075074</v>
      </c>
      <c r="T284">
        <f t="shared" si="968"/>
        <v>-1.3928187352075074</v>
      </c>
    </row>
    <row r="285" spans="1:20" x14ac:dyDescent="0.25">
      <c r="A285" s="5">
        <v>44308</v>
      </c>
      <c r="B285">
        <v>1.0513999999999999</v>
      </c>
      <c r="C285">
        <v>1.0649999999999999</v>
      </c>
      <c r="D285">
        <v>0.83199999999999996</v>
      </c>
      <c r="E285">
        <v>0.84419999999999995</v>
      </c>
      <c r="F285">
        <v>6927994.8099999996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-0.89527896995708167</v>
      </c>
      <c r="Q285">
        <f t="shared" si="965"/>
        <v>-6202488.0573648075</v>
      </c>
      <c r="R285">
        <f t="shared" si="966"/>
        <v>-146828969.67694324</v>
      </c>
      <c r="S285">
        <f t="shared" si="967"/>
        <v>-1468.2896967694323</v>
      </c>
      <c r="T285">
        <f t="shared" si="968"/>
        <v>-1.4682896967694323</v>
      </c>
    </row>
    <row r="286" spans="1:20" x14ac:dyDescent="0.25">
      <c r="A286" s="5">
        <v>44307</v>
      </c>
      <c r="B286">
        <v>1.1023000000000001</v>
      </c>
      <c r="C286">
        <v>1.1298999999999999</v>
      </c>
      <c r="D286">
        <v>1.0282</v>
      </c>
      <c r="E286">
        <v>1.0512999999999999</v>
      </c>
      <c r="F286">
        <v>2779920.49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-0.54572271386430837</v>
      </c>
      <c r="Q286">
        <f t="shared" si="965"/>
        <v>-1517065.7541297982</v>
      </c>
      <c r="R286">
        <f t="shared" si="966"/>
        <v>-140626481.61957842</v>
      </c>
      <c r="S286">
        <f t="shared" si="967"/>
        <v>-1406.2648161957843</v>
      </c>
      <c r="T286">
        <f t="shared" si="968"/>
        <v>-1.4062648161957843</v>
      </c>
    </row>
    <row r="287" spans="1:20" x14ac:dyDescent="0.25">
      <c r="A287" s="5">
        <v>44306</v>
      </c>
      <c r="B287">
        <v>1.1305000000000001</v>
      </c>
      <c r="C287">
        <v>1.1841999999999999</v>
      </c>
      <c r="D287">
        <v>0.96150000000000002</v>
      </c>
      <c r="E287">
        <v>1.1021000000000001</v>
      </c>
      <c r="F287">
        <v>5900017.8300000001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0.26268522676246181</v>
      </c>
      <c r="Q287">
        <f t="shared" si="965"/>
        <v>1549847.521576118</v>
      </c>
      <c r="R287">
        <f t="shared" si="966"/>
        <v>-139109415.86544862</v>
      </c>
      <c r="S287">
        <f t="shared" si="967"/>
        <v>-1391.0941586544861</v>
      </c>
      <c r="T287">
        <f t="shared" si="968"/>
        <v>-1.391094158654486</v>
      </c>
    </row>
    <row r="288" spans="1:20" x14ac:dyDescent="0.25">
      <c r="A288" s="5">
        <v>44305</v>
      </c>
      <c r="B288">
        <v>1.2943</v>
      </c>
      <c r="C288">
        <v>1.325</v>
      </c>
      <c r="D288">
        <v>1.0845</v>
      </c>
      <c r="E288">
        <v>1.131</v>
      </c>
      <c r="F288">
        <v>6970537.5599999996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-0.61330561330561328</v>
      </c>
      <c r="Q288">
        <f t="shared" si="965"/>
        <v>-4275069.8133056127</v>
      </c>
      <c r="R288">
        <f t="shared" si="966"/>
        <v>-140659263.38702473</v>
      </c>
      <c r="S288">
        <f t="shared" si="967"/>
        <v>-1406.5926338702473</v>
      </c>
      <c r="T288">
        <f t="shared" si="968"/>
        <v>-1.4065926338702472</v>
      </c>
    </row>
    <row r="289" spans="1:20" x14ac:dyDescent="0.25">
      <c r="A289" s="5">
        <v>44304</v>
      </c>
      <c r="B289">
        <v>1.3005</v>
      </c>
      <c r="C289">
        <v>1.3613999999999999</v>
      </c>
      <c r="D289">
        <v>1.0048999999999999</v>
      </c>
      <c r="E289">
        <v>1.2961</v>
      </c>
      <c r="F289">
        <v>7587330.3899999997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0.63366058906030909</v>
      </c>
      <c r="Q289">
        <f t="shared" si="965"/>
        <v>4807792.244322584</v>
      </c>
      <c r="R289">
        <f t="shared" si="966"/>
        <v>-136384193.57371911</v>
      </c>
      <c r="S289">
        <f t="shared" si="967"/>
        <v>-1363.8419357371911</v>
      </c>
      <c r="T289">
        <f t="shared" si="968"/>
        <v>-1.3638419357371911</v>
      </c>
    </row>
    <row r="290" spans="1:20" x14ac:dyDescent="0.25">
      <c r="A290" s="5">
        <v>44303</v>
      </c>
      <c r="B290">
        <v>1.3615999999999999</v>
      </c>
      <c r="C290">
        <v>1.3724000000000001</v>
      </c>
      <c r="D290">
        <v>1.2585</v>
      </c>
      <c r="E290">
        <v>1.3005</v>
      </c>
      <c r="F290">
        <v>5089193.1399999997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-0.26251097453906941</v>
      </c>
      <c r="Q290">
        <f t="shared" si="965"/>
        <v>-1335969.0507989465</v>
      </c>
      <c r="R290">
        <f t="shared" si="966"/>
        <v>-141191985.81804171</v>
      </c>
      <c r="S290">
        <f t="shared" si="967"/>
        <v>-1411.9198581804171</v>
      </c>
      <c r="T290">
        <f t="shared" si="968"/>
        <v>-1.4119198581804171</v>
      </c>
    </row>
    <row r="291" spans="1:20" x14ac:dyDescent="0.25">
      <c r="A291" s="5">
        <v>44302</v>
      </c>
      <c r="B291">
        <v>1.2548999999999999</v>
      </c>
      <c r="C291">
        <v>1.44</v>
      </c>
      <c r="D291">
        <v>1.1584000000000001</v>
      </c>
      <c r="E291">
        <v>1.3563000000000001</v>
      </c>
      <c r="F291">
        <v>15581402.16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0.40553977272727321</v>
      </c>
      <c r="Q291">
        <f t="shared" si="965"/>
        <v>6318878.2907386441</v>
      </c>
      <c r="R291">
        <f t="shared" si="966"/>
        <v>-139856016.76724276</v>
      </c>
      <c r="S291">
        <f t="shared" si="967"/>
        <v>-1398.5601676724275</v>
      </c>
      <c r="T291">
        <f t="shared" si="968"/>
        <v>-1.3985601676724275</v>
      </c>
    </row>
    <row r="292" spans="1:20" x14ac:dyDescent="0.25">
      <c r="A292" s="5">
        <v>44301</v>
      </c>
      <c r="B292">
        <v>1.1460999999999999</v>
      </c>
      <c r="C292">
        <v>1.3333999999999999</v>
      </c>
      <c r="D292">
        <v>1.1357999999999999</v>
      </c>
      <c r="E292">
        <v>1.2548999999999999</v>
      </c>
      <c r="F292">
        <v>8568333.5399999991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0.20546558704453427</v>
      </c>
      <c r="Q292">
        <f t="shared" si="965"/>
        <v>1760497.6807894723</v>
      </c>
      <c r="R292">
        <f t="shared" si="966"/>
        <v>-146174895.0579814</v>
      </c>
      <c r="S292">
        <f t="shared" si="967"/>
        <v>-1461.7489505798139</v>
      </c>
      <c r="T292">
        <f t="shared" si="968"/>
        <v>-1.461748950579814</v>
      </c>
    </row>
    <row r="293" spans="1:20" x14ac:dyDescent="0.25">
      <c r="A293" s="5">
        <v>44300</v>
      </c>
      <c r="B293">
        <v>1.1614</v>
      </c>
      <c r="C293">
        <v>1.1616</v>
      </c>
      <c r="D293">
        <v>1.0301</v>
      </c>
      <c r="E293">
        <v>1.1460999999999999</v>
      </c>
      <c r="F293">
        <v>4485123.18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0.76425855513307872</v>
      </c>
      <c r="Q293">
        <f t="shared" si="965"/>
        <v>3427793.761140679</v>
      </c>
      <c r="R293">
        <f t="shared" si="966"/>
        <v>-147935392.73877087</v>
      </c>
      <c r="S293">
        <f t="shared" si="967"/>
        <v>-1479.3539273877088</v>
      </c>
      <c r="T293">
        <f t="shared" si="968"/>
        <v>-1.4793539273877088</v>
      </c>
    </row>
    <row r="294" spans="1:20" x14ac:dyDescent="0.25">
      <c r="A294" s="5">
        <v>44299</v>
      </c>
      <c r="B294">
        <v>1.1637999999999999</v>
      </c>
      <c r="C294">
        <v>1.2157</v>
      </c>
      <c r="D294">
        <v>1.1000000000000001</v>
      </c>
      <c r="E294">
        <v>1.1615</v>
      </c>
      <c r="F294">
        <v>5145208.21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6.3094209161623754E-2</v>
      </c>
      <c r="Q294">
        <f t="shared" si="965"/>
        <v>324632.84298184374</v>
      </c>
      <c r="R294">
        <f t="shared" si="966"/>
        <v>-151363186.49991155</v>
      </c>
      <c r="S294">
        <f t="shared" si="967"/>
        <v>-1513.6318649991156</v>
      </c>
      <c r="T294">
        <f t="shared" si="968"/>
        <v>-1.5136318649991156</v>
      </c>
    </row>
    <row r="295" spans="1:20" x14ac:dyDescent="0.25">
      <c r="A295" s="5">
        <v>44298</v>
      </c>
      <c r="B295">
        <v>1.2135</v>
      </c>
      <c r="C295">
        <v>1.3260000000000001</v>
      </c>
      <c r="D295">
        <v>1.1211</v>
      </c>
      <c r="E295">
        <v>1.1637999999999999</v>
      </c>
      <c r="F295">
        <v>12558895.310000001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-0.58321132259638908</v>
      </c>
      <c r="Q295">
        <f t="shared" si="965"/>
        <v>-7324489.9440946877</v>
      </c>
      <c r="R295">
        <f t="shared" si="966"/>
        <v>-151687819.34289339</v>
      </c>
      <c r="S295">
        <f t="shared" si="967"/>
        <v>-1516.8781934289339</v>
      </c>
      <c r="T295">
        <f t="shared" si="968"/>
        <v>-1.5168781934289339</v>
      </c>
    </row>
    <row r="296" spans="1:20" x14ac:dyDescent="0.25">
      <c r="A296" s="5">
        <v>44297</v>
      </c>
      <c r="B296">
        <v>1.2323999999999999</v>
      </c>
      <c r="C296">
        <v>1.38</v>
      </c>
      <c r="D296">
        <v>1.0972</v>
      </c>
      <c r="E296">
        <v>1.2135</v>
      </c>
      <c r="F296">
        <v>8105188.2300000004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-0.17751060820367684</v>
      </c>
      <c r="Q296">
        <f t="shared" si="965"/>
        <v>-1438756.892312583</v>
      </c>
      <c r="R296">
        <f t="shared" si="966"/>
        <v>-144363329.3987987</v>
      </c>
      <c r="S296">
        <f t="shared" si="967"/>
        <v>-1443.6332939879871</v>
      </c>
      <c r="T296">
        <f t="shared" si="968"/>
        <v>-1.4436332939879872</v>
      </c>
    </row>
    <row r="297" spans="1:20" x14ac:dyDescent="0.25">
      <c r="A297" s="5">
        <v>44296</v>
      </c>
      <c r="B297">
        <v>1.1881999999999999</v>
      </c>
      <c r="C297">
        <v>1.3779999999999999</v>
      </c>
      <c r="D297">
        <v>1.1489</v>
      </c>
      <c r="E297">
        <v>1.2323999999999999</v>
      </c>
      <c r="F297">
        <v>14016899.98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-0.27106067219554814</v>
      </c>
      <c r="Q297">
        <f t="shared" si="965"/>
        <v>-3799430.3306765654</v>
      </c>
      <c r="R297">
        <f t="shared" si="966"/>
        <v>-142924572.50648612</v>
      </c>
      <c r="S297">
        <f t="shared" si="967"/>
        <v>-1429.2457250648613</v>
      </c>
      <c r="T297">
        <f t="shared" si="968"/>
        <v>-1.4292457250648614</v>
      </c>
    </row>
    <row r="298" spans="1:20" x14ac:dyDescent="0.25">
      <c r="A298" s="5">
        <v>44295</v>
      </c>
      <c r="B298">
        <v>1.0832999999999999</v>
      </c>
      <c r="C298">
        <v>1.3895</v>
      </c>
      <c r="D298">
        <v>1.0455000000000001</v>
      </c>
      <c r="E298">
        <v>1.1855</v>
      </c>
      <c r="F298">
        <v>17781688.640000001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-0.18604651162790722</v>
      </c>
      <c r="Q298">
        <f t="shared" si="965"/>
        <v>-3308221.1423255857</v>
      </c>
      <c r="R298">
        <f t="shared" si="966"/>
        <v>-139125142.17580956</v>
      </c>
      <c r="S298">
        <f t="shared" si="967"/>
        <v>-1391.2514217580956</v>
      </c>
      <c r="T298">
        <f t="shared" si="968"/>
        <v>-1.3912514217580956</v>
      </c>
    </row>
    <row r="299" spans="1:20" x14ac:dyDescent="0.25">
      <c r="A299" s="5">
        <v>44294</v>
      </c>
      <c r="B299">
        <v>0.96130000000000004</v>
      </c>
      <c r="C299">
        <v>1.1000000000000001</v>
      </c>
      <c r="D299">
        <v>0.93779999999999997</v>
      </c>
      <c r="E299">
        <v>1.0825</v>
      </c>
      <c r="F299">
        <v>10810364.210000001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0.78421701602959237</v>
      </c>
      <c r="Q299">
        <f t="shared" si="965"/>
        <v>8477671.5629593022</v>
      </c>
      <c r="R299">
        <f t="shared" si="966"/>
        <v>-135816921.03348398</v>
      </c>
      <c r="S299">
        <f t="shared" si="967"/>
        <v>-1358.1692103348398</v>
      </c>
      <c r="T299">
        <f t="shared" si="968"/>
        <v>-1.3581692103348397</v>
      </c>
    </row>
    <row r="300" spans="1:20" x14ac:dyDescent="0.25">
      <c r="A300" s="5">
        <v>44293</v>
      </c>
      <c r="B300">
        <v>1.097</v>
      </c>
      <c r="C300">
        <v>1.3613</v>
      </c>
      <c r="D300">
        <v>0.89229999999999998</v>
      </c>
      <c r="E300">
        <v>0.96060000000000001</v>
      </c>
      <c r="F300">
        <v>20362164.07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-0.70874200426439216</v>
      </c>
      <c r="Q300">
        <f t="shared" si="965"/>
        <v>-14431520.974132193</v>
      </c>
      <c r="R300">
        <f t="shared" si="966"/>
        <v>-144294592.5964433</v>
      </c>
      <c r="S300">
        <f t="shared" si="967"/>
        <v>-1442.9459259644329</v>
      </c>
      <c r="T300">
        <f t="shared" si="968"/>
        <v>-1.4429459259644331</v>
      </c>
    </row>
    <row r="301" spans="1:20" x14ac:dyDescent="0.25">
      <c r="A301" s="5">
        <v>44292</v>
      </c>
      <c r="B301">
        <v>1.171</v>
      </c>
      <c r="C301">
        <v>1.175</v>
      </c>
      <c r="D301">
        <v>1.01</v>
      </c>
      <c r="E301">
        <v>1.0993999999999999</v>
      </c>
      <c r="F301">
        <v>6736401.6699999999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8.3636363636362482E-2</v>
      </c>
      <c r="Q301">
        <f t="shared" si="965"/>
        <v>563408.13967271952</v>
      </c>
      <c r="R301">
        <f t="shared" si="966"/>
        <v>-129863071.62231112</v>
      </c>
      <c r="S301">
        <f t="shared" si="967"/>
        <v>-1298.6307162231112</v>
      </c>
      <c r="T301">
        <f t="shared" si="968"/>
        <v>-1.2986307162231112</v>
      </c>
    </row>
    <row r="302" spans="1:20" x14ac:dyDescent="0.25">
      <c r="A302" s="5">
        <v>44291</v>
      </c>
      <c r="B302">
        <v>1.214</v>
      </c>
      <c r="C302">
        <v>1.2353000000000001</v>
      </c>
      <c r="D302">
        <v>1.1200000000000001</v>
      </c>
      <c r="E302">
        <v>1.1686000000000001</v>
      </c>
      <c r="F302">
        <v>7580227.9299999997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-0.15698178664353871</v>
      </c>
      <c r="Q302">
        <f t="shared" si="965"/>
        <v>-1189957.7236166531</v>
      </c>
      <c r="R302">
        <f t="shared" si="966"/>
        <v>-130426479.76198384</v>
      </c>
      <c r="S302">
        <f t="shared" si="967"/>
        <v>-1304.2647976198384</v>
      </c>
      <c r="T302">
        <f t="shared" si="968"/>
        <v>-1.3042647976198385</v>
      </c>
    </row>
    <row r="303" spans="1:20" x14ac:dyDescent="0.25">
      <c r="A303" s="5">
        <v>44290</v>
      </c>
      <c r="B303">
        <v>1.1100000000000001</v>
      </c>
      <c r="C303">
        <v>1.27</v>
      </c>
      <c r="D303">
        <v>1.0676000000000001</v>
      </c>
      <c r="E303">
        <v>1.214</v>
      </c>
      <c r="F303">
        <v>13707015.49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0.44664031620553285</v>
      </c>
      <c r="Q303">
        <f t="shared" si="965"/>
        <v>6122105.7326877369</v>
      </c>
      <c r="R303">
        <f t="shared" si="966"/>
        <v>-129236522.03836718</v>
      </c>
      <c r="S303">
        <f t="shared" si="967"/>
        <v>-1292.3652203836718</v>
      </c>
      <c r="T303">
        <f t="shared" si="968"/>
        <v>-1.2923652203836717</v>
      </c>
    </row>
    <row r="304" spans="1:20" x14ac:dyDescent="0.25">
      <c r="A304" s="5">
        <v>44289</v>
      </c>
      <c r="B304">
        <v>1.0827</v>
      </c>
      <c r="C304">
        <v>1.4982</v>
      </c>
      <c r="D304">
        <v>1.0640000000000001</v>
      </c>
      <c r="E304">
        <v>1.1088</v>
      </c>
      <c r="F304">
        <v>53821109.939999998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-0.79364348226623693</v>
      </c>
      <c r="Q304">
        <f t="shared" si="965"/>
        <v>-42714773.112215579</v>
      </c>
      <c r="R304">
        <f t="shared" si="966"/>
        <v>-135358627.77105492</v>
      </c>
      <c r="S304">
        <f t="shared" si="967"/>
        <v>-1353.5862777105492</v>
      </c>
      <c r="T304">
        <f t="shared" si="968"/>
        <v>-1.3535862777105492</v>
      </c>
    </row>
    <row r="305" spans="1:20" x14ac:dyDescent="0.25">
      <c r="A305" s="5">
        <v>44288</v>
      </c>
      <c r="B305">
        <v>0.96879999999999999</v>
      </c>
      <c r="C305">
        <v>1.1100000000000001</v>
      </c>
      <c r="D305">
        <v>0.93269999999999997</v>
      </c>
      <c r="E305">
        <v>1.0801000000000001</v>
      </c>
      <c r="F305">
        <v>6864481.2000000002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0.6627185561195712</v>
      </c>
      <c r="Q305">
        <f t="shared" si="965"/>
        <v>4549219.069373942</v>
      </c>
      <c r="R305">
        <f t="shared" si="966"/>
        <v>-92643854.65883933</v>
      </c>
      <c r="S305">
        <f t="shared" si="967"/>
        <v>-926.43854658839325</v>
      </c>
      <c r="T305">
        <f t="shared" si="968"/>
        <v>-0.9264385465883932</v>
      </c>
    </row>
    <row r="306" spans="1:20" x14ac:dyDescent="0.25">
      <c r="A306" s="5">
        <v>44287</v>
      </c>
      <c r="B306">
        <v>1.0244</v>
      </c>
      <c r="C306">
        <v>1.095</v>
      </c>
      <c r="D306">
        <v>0.95720000000000005</v>
      </c>
      <c r="E306">
        <v>0.96899999999999997</v>
      </c>
      <c r="F306">
        <v>6475429.5899999999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-0.82873730043541471</v>
      </c>
      <c r="Q306">
        <f t="shared" si="965"/>
        <v>-5366430.0375762042</v>
      </c>
      <c r="R306">
        <f t="shared" si="966"/>
        <v>-97193073.728213266</v>
      </c>
      <c r="S306">
        <f t="shared" si="967"/>
        <v>-971.93073728213267</v>
      </c>
      <c r="T306">
        <f t="shared" si="968"/>
        <v>-0.97193073728213264</v>
      </c>
    </row>
    <row r="307" spans="1:20" x14ac:dyDescent="0.25">
      <c r="A307" s="5">
        <v>44286</v>
      </c>
      <c r="B307">
        <v>1.0083</v>
      </c>
      <c r="C307">
        <v>1.04</v>
      </c>
      <c r="D307">
        <v>0.90049999999999997</v>
      </c>
      <c r="E307">
        <v>1.0245</v>
      </c>
      <c r="F307">
        <v>7954072.5700000003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0.7777777777777769</v>
      </c>
      <c r="Q307">
        <f t="shared" si="965"/>
        <v>6186500.8877777709</v>
      </c>
      <c r="R307">
        <f t="shared" si="966"/>
        <v>-91826643.690637067</v>
      </c>
      <c r="S307">
        <f t="shared" si="967"/>
        <v>-918.2664369063707</v>
      </c>
      <c r="T307">
        <f t="shared" si="968"/>
        <v>-0.91826643690637066</v>
      </c>
    </row>
    <row r="308" spans="1:20" x14ac:dyDescent="0.25">
      <c r="A308" s="5">
        <v>44285</v>
      </c>
      <c r="B308">
        <v>0.93640000000000001</v>
      </c>
      <c r="C308">
        <v>1.0720000000000001</v>
      </c>
      <c r="D308">
        <v>0.91239999999999999</v>
      </c>
      <c r="E308">
        <v>1.0083</v>
      </c>
      <c r="F308">
        <v>9250193.0299999993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0.20175438596491152</v>
      </c>
      <c r="Q308">
        <f t="shared" si="965"/>
        <v>1866267.0148245543</v>
      </c>
      <c r="R308">
        <f t="shared" si="966"/>
        <v>-98013144.578414842</v>
      </c>
      <c r="S308">
        <f t="shared" si="967"/>
        <v>-980.13144578414847</v>
      </c>
      <c r="T308">
        <f t="shared" si="968"/>
        <v>-0.98013144578414846</v>
      </c>
    </row>
    <row r="309" spans="1:20" x14ac:dyDescent="0.25">
      <c r="A309" s="5">
        <v>44284</v>
      </c>
      <c r="B309">
        <v>0.87909999999999999</v>
      </c>
      <c r="C309">
        <v>0.94130000000000003</v>
      </c>
      <c r="D309">
        <v>0.84550000000000003</v>
      </c>
      <c r="E309">
        <v>0.93700000000000006</v>
      </c>
      <c r="F309">
        <v>5554805.2199999997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0.91022964509394633</v>
      </c>
      <c r="Q309">
        <f t="shared" si="965"/>
        <v>5056148.3839666005</v>
      </c>
      <c r="R309">
        <f t="shared" si="966"/>
        <v>-99879411.593239397</v>
      </c>
      <c r="S309">
        <f t="shared" si="967"/>
        <v>-998.79411593239399</v>
      </c>
      <c r="T309">
        <f t="shared" si="968"/>
        <v>-0.99879411593239398</v>
      </c>
    </row>
    <row r="310" spans="1:20" x14ac:dyDescent="0.25">
      <c r="A310" s="5">
        <v>44283</v>
      </c>
      <c r="B310">
        <v>0.89439999999999997</v>
      </c>
      <c r="C310">
        <v>0.97</v>
      </c>
      <c r="D310">
        <v>0.85009999999999997</v>
      </c>
      <c r="E310">
        <v>0.87809999999999999</v>
      </c>
      <c r="F310">
        <v>9917378.8100000005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-0.53294412010008296</v>
      </c>
      <c r="Q310">
        <f t="shared" si="965"/>
        <v>-5285408.7235946581</v>
      </c>
      <c r="R310">
        <f t="shared" si="966"/>
        <v>-104935559.97720599</v>
      </c>
      <c r="S310">
        <f t="shared" si="967"/>
        <v>-1049.3555997720598</v>
      </c>
      <c r="T310">
        <f t="shared" si="968"/>
        <v>-1.0493555997720598</v>
      </c>
    </row>
    <row r="311" spans="1:20" x14ac:dyDescent="0.25">
      <c r="A311" s="5">
        <v>44282</v>
      </c>
      <c r="B311">
        <v>0.751</v>
      </c>
      <c r="C311">
        <v>0.99299999999999999</v>
      </c>
      <c r="D311">
        <v>0.751</v>
      </c>
      <c r="E311">
        <v>0.8921</v>
      </c>
      <c r="F311">
        <v>25969034.780000001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0.16611570247933891</v>
      </c>
      <c r="Q311">
        <f t="shared" si="965"/>
        <v>4313864.4551900849</v>
      </c>
      <c r="R311">
        <f t="shared" si="966"/>
        <v>-99650151.253611326</v>
      </c>
      <c r="S311">
        <f t="shared" si="967"/>
        <v>-996.5015125361133</v>
      </c>
      <c r="T311">
        <f t="shared" si="968"/>
        <v>-0.9965015125361133</v>
      </c>
    </row>
    <row r="312" spans="1:20" x14ac:dyDescent="0.25">
      <c r="A312" s="5">
        <v>44281</v>
      </c>
      <c r="B312">
        <v>0.69369999999999998</v>
      </c>
      <c r="C312">
        <v>0.75309999999999999</v>
      </c>
      <c r="D312">
        <v>0.6915</v>
      </c>
      <c r="E312">
        <v>0.75180000000000002</v>
      </c>
      <c r="F312">
        <v>3888867.09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0.95779220779220886</v>
      </c>
      <c r="Q312">
        <f t="shared" si="965"/>
        <v>3724726.5959415627</v>
      </c>
      <c r="R312">
        <f t="shared" si="966"/>
        <v>-103964015.7088014</v>
      </c>
      <c r="S312">
        <f t="shared" si="967"/>
        <v>-1039.6401570880141</v>
      </c>
      <c r="T312">
        <f t="shared" si="968"/>
        <v>-1.039640157088014</v>
      </c>
    </row>
    <row r="313" spans="1:20" x14ac:dyDescent="0.25">
      <c r="A313" s="5">
        <v>44280</v>
      </c>
      <c r="B313">
        <v>0.7349</v>
      </c>
      <c r="C313">
        <v>0.74460000000000004</v>
      </c>
      <c r="D313">
        <v>0.6573</v>
      </c>
      <c r="E313">
        <v>0.6915</v>
      </c>
      <c r="F313">
        <v>5657120.0199999996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-0.21649484536082494</v>
      </c>
      <c r="Q313">
        <f t="shared" si="965"/>
        <v>-1224737.3239175268</v>
      </c>
      <c r="R313">
        <f t="shared" si="966"/>
        <v>-107688742.30474296</v>
      </c>
      <c r="S313">
        <f t="shared" si="967"/>
        <v>-1076.8874230474296</v>
      </c>
      <c r="T313">
        <f t="shared" si="968"/>
        <v>-1.0768874230474297</v>
      </c>
    </row>
    <row r="314" spans="1:20" x14ac:dyDescent="0.25">
      <c r="A314" s="5">
        <v>44279</v>
      </c>
      <c r="B314">
        <v>0.85109999999999997</v>
      </c>
      <c r="C314">
        <v>0.85550000000000004</v>
      </c>
      <c r="D314">
        <v>0.70050000000000001</v>
      </c>
      <c r="E314">
        <v>0.73519999999999996</v>
      </c>
      <c r="F314">
        <v>6874560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-0.55225806451612969</v>
      </c>
      <c r="Q314">
        <f t="shared" si="965"/>
        <v>-3796531.2000000044</v>
      </c>
      <c r="R314">
        <f t="shared" si="966"/>
        <v>-106464004.98082544</v>
      </c>
      <c r="S314">
        <f t="shared" si="967"/>
        <v>-1064.6400498082544</v>
      </c>
      <c r="T314">
        <f t="shared" si="968"/>
        <v>-1.0646400498082544</v>
      </c>
    </row>
    <row r="315" spans="1:20" x14ac:dyDescent="0.25">
      <c r="A315" s="5">
        <v>44278</v>
      </c>
      <c r="B315">
        <v>0.7994</v>
      </c>
      <c r="C315">
        <v>0.89339999999999997</v>
      </c>
      <c r="D315">
        <v>0.71540000000000004</v>
      </c>
      <c r="E315">
        <v>0.85599999999999998</v>
      </c>
      <c r="F315">
        <v>15885993.949999999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0.57977528089887642</v>
      </c>
      <c r="Q315">
        <f t="shared" si="965"/>
        <v>9210306.6047191005</v>
      </c>
      <c r="R315">
        <f t="shared" si="966"/>
        <v>-102667473.78082544</v>
      </c>
      <c r="S315">
        <f t="shared" si="967"/>
        <v>-1026.6747378082543</v>
      </c>
      <c r="T315">
        <f t="shared" si="968"/>
        <v>-1.0266747378082544</v>
      </c>
    </row>
    <row r="316" spans="1:20" x14ac:dyDescent="0.25">
      <c r="A316" s="5">
        <v>44277</v>
      </c>
      <c r="B316">
        <v>0.79110000000000003</v>
      </c>
      <c r="C316">
        <v>0.9758</v>
      </c>
      <c r="D316">
        <v>0.77</v>
      </c>
      <c r="E316">
        <v>0.79969999999999997</v>
      </c>
      <c r="F316">
        <v>20554387.649999999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-0.71137026239067103</v>
      </c>
      <c r="Q316">
        <f t="shared" si="965"/>
        <v>-14621780.135860067</v>
      </c>
      <c r="R316">
        <f t="shared" si="966"/>
        <v>-111877780.38554454</v>
      </c>
      <c r="S316">
        <f t="shared" si="967"/>
        <v>-1118.7778038554454</v>
      </c>
      <c r="T316">
        <f t="shared" si="968"/>
        <v>-1.1187778038554455</v>
      </c>
    </row>
    <row r="317" spans="1:20" x14ac:dyDescent="0.25">
      <c r="A317" s="5">
        <v>44276</v>
      </c>
      <c r="B317">
        <v>0.76339999999999997</v>
      </c>
      <c r="C317">
        <v>0.8</v>
      </c>
      <c r="D317">
        <v>0.72060000000000002</v>
      </c>
      <c r="E317">
        <v>0.79149999999999998</v>
      </c>
      <c r="F317">
        <v>4435078.2699999996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0.7858942065491169</v>
      </c>
      <c r="Q317">
        <f t="shared" si="965"/>
        <v>3485502.3179848795</v>
      </c>
      <c r="R317">
        <f t="shared" si="966"/>
        <v>-97256000.249684468</v>
      </c>
      <c r="S317">
        <f t="shared" si="967"/>
        <v>-972.56000249684473</v>
      </c>
      <c r="T317">
        <f t="shared" si="968"/>
        <v>-0.97256000249684471</v>
      </c>
    </row>
    <row r="318" spans="1:20" x14ac:dyDescent="0.25">
      <c r="A318" s="5">
        <v>44275</v>
      </c>
      <c r="B318">
        <v>0.81459999999999999</v>
      </c>
      <c r="C318">
        <v>0.87790000000000001</v>
      </c>
      <c r="D318">
        <v>0.76090000000000002</v>
      </c>
      <c r="E318">
        <v>0.76149999999999995</v>
      </c>
      <c r="F318">
        <v>6356625.9400000004</v>
      </c>
      <c r="G318">
        <v>0</v>
      </c>
      <c r="L318" t="s">
        <v>7</v>
      </c>
      <c r="M318" t="s">
        <v>8</v>
      </c>
      <c r="N318" t="s">
        <v>7</v>
      </c>
      <c r="P318">
        <f t="shared" si="964"/>
        <v>-0.98974358974359089</v>
      </c>
      <c r="Q318">
        <f t="shared" si="965"/>
        <v>-6291429.7765128287</v>
      </c>
      <c r="R318">
        <f t="shared" si="966"/>
        <v>-100741502.56766935</v>
      </c>
      <c r="S318">
        <f t="shared" si="967"/>
        <v>-1007.4150256766935</v>
      </c>
      <c r="T318">
        <f t="shared" si="968"/>
        <v>-1.0074150256766936</v>
      </c>
    </row>
    <row r="319" spans="1:20" x14ac:dyDescent="0.25">
      <c r="A319" s="5">
        <v>44274</v>
      </c>
      <c r="B319">
        <v>0.76800000000000002</v>
      </c>
      <c r="C319">
        <v>0.89</v>
      </c>
      <c r="D319">
        <v>0.74619999999999997</v>
      </c>
      <c r="E319">
        <v>0.81330000000000002</v>
      </c>
      <c r="F319">
        <v>8574725.6999999993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-6.675938803894256E-2</v>
      </c>
      <c r="Q319">
        <f t="shared" si="965"/>
        <v>-572443.44033379329</v>
      </c>
      <c r="R319">
        <f t="shared" si="966"/>
        <v>-94450072.791156515</v>
      </c>
      <c r="S319">
        <f t="shared" si="967"/>
        <v>-944.50072791156515</v>
      </c>
      <c r="T319">
        <f t="shared" si="968"/>
        <v>-0.94450072791156514</v>
      </c>
    </row>
    <row r="320" spans="1:20" x14ac:dyDescent="0.25">
      <c r="A320" s="5">
        <v>44273</v>
      </c>
      <c r="B320">
        <v>0.7712</v>
      </c>
      <c r="C320">
        <v>0.80230000000000001</v>
      </c>
      <c r="D320">
        <v>0.74</v>
      </c>
      <c r="E320">
        <v>0.76439999999999997</v>
      </c>
      <c r="F320">
        <v>4371464.54</v>
      </c>
      <c r="G320">
        <v>0</v>
      </c>
      <c r="L320" t="s">
        <v>7</v>
      </c>
      <c r="M320" t="s">
        <v>8</v>
      </c>
      <c r="N320" t="s">
        <v>7</v>
      </c>
      <c r="P320">
        <f t="shared" si="964"/>
        <v>-0.21669341894061095</v>
      </c>
      <c r="Q320">
        <f t="shared" si="965"/>
        <v>-947267.59695024509</v>
      </c>
      <c r="R320">
        <f t="shared" si="966"/>
        <v>-93877629.350822717</v>
      </c>
      <c r="S320">
        <f t="shared" si="967"/>
        <v>-938.77629350822713</v>
      </c>
      <c r="T320">
        <f t="shared" si="968"/>
        <v>-0.93877629350822711</v>
      </c>
    </row>
    <row r="321" spans="1:20" x14ac:dyDescent="0.25">
      <c r="A321" s="5">
        <v>44272</v>
      </c>
      <c r="B321">
        <v>0.72189999999999999</v>
      </c>
      <c r="C321">
        <v>0.81710000000000005</v>
      </c>
      <c r="D321">
        <v>0.70009999999999994</v>
      </c>
      <c r="E321">
        <v>0.77110000000000001</v>
      </c>
      <c r="F321">
        <v>8440876.4100000001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0.21367521367521367</v>
      </c>
      <c r="Q321">
        <f t="shared" si="965"/>
        <v>1803606.0705128205</v>
      </c>
      <c r="R321">
        <f t="shared" si="966"/>
        <v>-92930361.753872469</v>
      </c>
      <c r="S321">
        <f t="shared" si="967"/>
        <v>-929.30361753872467</v>
      </c>
      <c r="T321">
        <f t="shared" si="968"/>
        <v>-0.9293036175387247</v>
      </c>
    </row>
    <row r="322" spans="1:20" x14ac:dyDescent="0.25">
      <c r="A322" s="5">
        <v>44271</v>
      </c>
      <c r="B322">
        <v>0.73640000000000005</v>
      </c>
      <c r="C322">
        <v>0.73960000000000004</v>
      </c>
      <c r="D322">
        <v>0.6653</v>
      </c>
      <c r="E322">
        <v>0.72199999999999998</v>
      </c>
      <c r="F322">
        <v>4611500.4800000004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0.5262449528936729</v>
      </c>
      <c r="Q322">
        <f t="shared" si="965"/>
        <v>2426778.8528667502</v>
      </c>
      <c r="R322">
        <f t="shared" si="966"/>
        <v>-94733967.824385285</v>
      </c>
      <c r="S322">
        <f t="shared" si="967"/>
        <v>-947.33967824385286</v>
      </c>
      <c r="T322">
        <f t="shared" si="968"/>
        <v>-0.9473396782438529</v>
      </c>
    </row>
    <row r="323" spans="1:20" x14ac:dyDescent="0.25">
      <c r="A323" s="5">
        <v>44270</v>
      </c>
      <c r="B323">
        <v>0.77629999999999999</v>
      </c>
      <c r="C323">
        <v>0.82930000000000004</v>
      </c>
      <c r="D323">
        <v>0.68100000000000005</v>
      </c>
      <c r="E323">
        <v>0.73640000000000005</v>
      </c>
      <c r="F323">
        <v>8205467.7400000002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-0.25286581254214419</v>
      </c>
      <c r="Q323">
        <f t="shared" si="965"/>
        <v>-2074882.2673634517</v>
      </c>
      <c r="R323">
        <f t="shared" si="966"/>
        <v>-97160746.677252039</v>
      </c>
      <c r="S323">
        <f t="shared" si="967"/>
        <v>-971.60746677252041</v>
      </c>
      <c r="T323">
        <f t="shared" si="968"/>
        <v>-0.97160746677252041</v>
      </c>
    </row>
    <row r="324" spans="1:20" x14ac:dyDescent="0.25">
      <c r="A324" s="5">
        <v>44269</v>
      </c>
      <c r="B324">
        <v>0.7732</v>
      </c>
      <c r="C324">
        <v>0.85119999999999996</v>
      </c>
      <c r="D324">
        <v>0.72230000000000005</v>
      </c>
      <c r="E324">
        <v>0.77639999999999998</v>
      </c>
      <c r="F324">
        <v>8643937.9700000007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-0.16058960434445357</v>
      </c>
      <c r="Q324">
        <f t="shared" si="965"/>
        <v>-1388126.5785802994</v>
      </c>
      <c r="R324">
        <f t="shared" si="966"/>
        <v>-95085864.40988858</v>
      </c>
      <c r="S324">
        <f t="shared" si="967"/>
        <v>-950.85864409888586</v>
      </c>
      <c r="T324">
        <f t="shared" si="968"/>
        <v>-0.95085864409888587</v>
      </c>
    </row>
    <row r="325" spans="1:20" x14ac:dyDescent="0.25">
      <c r="A325" s="5">
        <v>44268</v>
      </c>
      <c r="B325">
        <v>0.74239999999999995</v>
      </c>
      <c r="C325">
        <v>0.77649999999999997</v>
      </c>
      <c r="D325">
        <v>0.7006</v>
      </c>
      <c r="E325">
        <v>0.76990000000000003</v>
      </c>
      <c r="F325">
        <v>5172147.93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0.82608695652174069</v>
      </c>
      <c r="Q325">
        <f t="shared" si="965"/>
        <v>4272643.9421739206</v>
      </c>
      <c r="R325">
        <f t="shared" si="966"/>
        <v>-93697737.831308275</v>
      </c>
      <c r="S325">
        <f t="shared" si="967"/>
        <v>-936.9773783130828</v>
      </c>
      <c r="T325">
        <f t="shared" si="968"/>
        <v>-0.93697737831308281</v>
      </c>
    </row>
    <row r="326" spans="1:20" x14ac:dyDescent="0.25">
      <c r="A326" s="5">
        <v>44267</v>
      </c>
      <c r="B326">
        <v>0.74560000000000004</v>
      </c>
      <c r="C326">
        <v>0.76390000000000002</v>
      </c>
      <c r="D326">
        <v>0.71230000000000004</v>
      </c>
      <c r="E326">
        <v>0.74199999999999999</v>
      </c>
      <c r="F326">
        <v>3444426.06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0.15116279069767288</v>
      </c>
      <c r="Q326">
        <f t="shared" ref="Q326:Q389" si="970">F326*P326</f>
        <v>520669.05558139004</v>
      </c>
      <c r="R326">
        <f t="shared" ref="R326:R389" si="971">R327+Q326</f>
        <v>-97970381.773482189</v>
      </c>
      <c r="S326">
        <f t="shared" ref="S326:S389" si="972">R326/100000</f>
        <v>-979.70381773482188</v>
      </c>
      <c r="T326">
        <f t="shared" ref="T326:T389" si="973">S326/1000</f>
        <v>-0.97970381773482185</v>
      </c>
    </row>
    <row r="327" spans="1:20" x14ac:dyDescent="0.25">
      <c r="A327" s="5">
        <v>44266</v>
      </c>
      <c r="B327">
        <v>0.7641</v>
      </c>
      <c r="C327">
        <v>0.89890000000000003</v>
      </c>
      <c r="D327">
        <v>0.71409999999999996</v>
      </c>
      <c r="E327">
        <v>0.74570000000000003</v>
      </c>
      <c r="F327">
        <v>7020799.3399999999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-0.65800865800865738</v>
      </c>
      <c r="Q327">
        <f t="shared" si="970"/>
        <v>-4619746.751861467</v>
      </c>
      <c r="R327">
        <f t="shared" si="971"/>
        <v>-98491050.829063579</v>
      </c>
      <c r="S327">
        <f t="shared" si="972"/>
        <v>-984.91050829063579</v>
      </c>
      <c r="T327">
        <f t="shared" si="973"/>
        <v>-0.98491050829063576</v>
      </c>
    </row>
    <row r="328" spans="1:20" x14ac:dyDescent="0.25">
      <c r="A328" s="5">
        <v>44265</v>
      </c>
      <c r="B328">
        <v>0.76790000000000003</v>
      </c>
      <c r="C328">
        <v>0.78759999999999997</v>
      </c>
      <c r="D328">
        <v>0.71230000000000004</v>
      </c>
      <c r="E328">
        <v>0.76300000000000001</v>
      </c>
      <c r="F328">
        <v>4809537.62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0.34661354581673359</v>
      </c>
      <c r="Q328">
        <f t="shared" si="970"/>
        <v>1667050.8882071739</v>
      </c>
      <c r="R328">
        <f t="shared" si="971"/>
        <v>-93871304.077202111</v>
      </c>
      <c r="S328">
        <f t="shared" si="972"/>
        <v>-938.71304077202115</v>
      </c>
      <c r="T328">
        <f t="shared" si="973"/>
        <v>-0.93871304077202111</v>
      </c>
    </row>
    <row r="329" spans="1:20" x14ac:dyDescent="0.25">
      <c r="A329" s="5">
        <v>44264</v>
      </c>
      <c r="B329">
        <v>0.76770000000000005</v>
      </c>
      <c r="C329">
        <v>0.77</v>
      </c>
      <c r="D329">
        <v>0.73609999999999998</v>
      </c>
      <c r="E329">
        <v>0.76790000000000003</v>
      </c>
      <c r="F329">
        <v>5722446.79</v>
      </c>
      <c r="G329">
        <v>0</v>
      </c>
      <c r="L329" t="s">
        <v>7</v>
      </c>
      <c r="M329" t="s">
        <v>7</v>
      </c>
      <c r="N329" t="s">
        <v>8</v>
      </c>
      <c r="P329">
        <f t="shared" si="969"/>
        <v>0.87610619469026618</v>
      </c>
      <c r="Q329">
        <f t="shared" si="970"/>
        <v>5013471.0815044288</v>
      </c>
      <c r="R329">
        <f t="shared" si="971"/>
        <v>-95538354.965409279</v>
      </c>
      <c r="S329">
        <f t="shared" si="972"/>
        <v>-955.3835496540928</v>
      </c>
      <c r="T329">
        <f t="shared" si="973"/>
        <v>-0.95538354965409278</v>
      </c>
    </row>
    <row r="330" spans="1:20" x14ac:dyDescent="0.25">
      <c r="A330" s="5">
        <v>44263</v>
      </c>
      <c r="B330">
        <v>0.78949999999999998</v>
      </c>
      <c r="C330">
        <v>0.80920000000000003</v>
      </c>
      <c r="D330">
        <v>0.73109999999999997</v>
      </c>
      <c r="E330">
        <v>0.76649999999999996</v>
      </c>
      <c r="F330">
        <v>7642322.1900000004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-9.3469910371319825E-2</v>
      </c>
      <c r="Q330">
        <f t="shared" si="970"/>
        <v>-714327.17012804863</v>
      </c>
      <c r="R330">
        <f t="shared" si="971"/>
        <v>-100551826.04691371</v>
      </c>
      <c r="S330">
        <f t="shared" si="972"/>
        <v>-1005.5182604691371</v>
      </c>
      <c r="T330">
        <f t="shared" si="973"/>
        <v>-1.0055182604691371</v>
      </c>
    </row>
    <row r="331" spans="1:20" x14ac:dyDescent="0.25">
      <c r="A331" s="5">
        <v>44262</v>
      </c>
      <c r="B331">
        <v>0.76239999999999997</v>
      </c>
      <c r="C331">
        <v>0.81410000000000005</v>
      </c>
      <c r="D331">
        <v>0.71299999999999997</v>
      </c>
      <c r="E331">
        <v>0.78879999999999995</v>
      </c>
      <c r="F331">
        <v>17638589.039999999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0.49950544015825754</v>
      </c>
      <c r="Q331">
        <f t="shared" si="970"/>
        <v>8810571.1821958162</v>
      </c>
      <c r="R331">
        <f t="shared" si="971"/>
        <v>-99837498.876785666</v>
      </c>
      <c r="S331">
        <f t="shared" si="972"/>
        <v>-998.37498876785662</v>
      </c>
      <c r="T331">
        <f t="shared" si="973"/>
        <v>-0.99837498876785657</v>
      </c>
    </row>
    <row r="332" spans="1:20" x14ac:dyDescent="0.25">
      <c r="A332" s="5">
        <v>44261</v>
      </c>
      <c r="B332">
        <v>0.69189999999999996</v>
      </c>
      <c r="C332">
        <v>0.95799999999999996</v>
      </c>
      <c r="D332">
        <v>0.68559999999999999</v>
      </c>
      <c r="E332">
        <v>0.76259999999999994</v>
      </c>
      <c r="F332">
        <v>57112003.210000001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-0.4346549192364173</v>
      </c>
      <c r="Q332">
        <f t="shared" si="970"/>
        <v>-24824013.142672557</v>
      </c>
      <c r="R332">
        <f t="shared" si="971"/>
        <v>-108648070.05898148</v>
      </c>
      <c r="S332">
        <f t="shared" si="972"/>
        <v>-1086.4807005898149</v>
      </c>
      <c r="T332">
        <f t="shared" si="973"/>
        <v>-1.0864807005898149</v>
      </c>
    </row>
    <row r="333" spans="1:20" x14ac:dyDescent="0.25">
      <c r="A333" s="5">
        <v>44260</v>
      </c>
      <c r="B333">
        <v>0.55449999999999999</v>
      </c>
      <c r="C333">
        <v>0.76539999999999997</v>
      </c>
      <c r="D333">
        <v>0.51029999999999998</v>
      </c>
      <c r="E333">
        <v>0.69130000000000003</v>
      </c>
      <c r="F333">
        <v>30719014.350000001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0.4190513524108197</v>
      </c>
      <c r="Q333">
        <f t="shared" si="970"/>
        <v>12872844.508094879</v>
      </c>
      <c r="R333">
        <f t="shared" si="971"/>
        <v>-83824056.916308925</v>
      </c>
      <c r="S333">
        <f t="shared" si="972"/>
        <v>-838.24056916308928</v>
      </c>
      <c r="T333">
        <f t="shared" si="973"/>
        <v>-0.83824056916308931</v>
      </c>
    </row>
    <row r="334" spans="1:20" x14ac:dyDescent="0.25">
      <c r="A334" s="5">
        <v>44259</v>
      </c>
      <c r="B334">
        <v>0.51829999999999998</v>
      </c>
      <c r="C334">
        <v>0.59</v>
      </c>
      <c r="D334">
        <v>0.5081</v>
      </c>
      <c r="E334">
        <v>0.55410000000000004</v>
      </c>
      <c r="F334">
        <v>10456416.710000001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0.12332112332112469</v>
      </c>
      <c r="Q334">
        <f t="shared" si="970"/>
        <v>1289497.0545909789</v>
      </c>
      <c r="R334">
        <f t="shared" si="971"/>
        <v>-96696901.424403802</v>
      </c>
      <c r="S334">
        <f t="shared" si="972"/>
        <v>-966.96901424403802</v>
      </c>
      <c r="T334">
        <f t="shared" si="973"/>
        <v>-0.96696901424403803</v>
      </c>
    </row>
    <row r="335" spans="1:20" x14ac:dyDescent="0.25">
      <c r="A335" s="5">
        <v>44258</v>
      </c>
      <c r="B335">
        <v>0.49859999999999999</v>
      </c>
      <c r="C335">
        <v>0.53500000000000003</v>
      </c>
      <c r="D335">
        <v>0.4879</v>
      </c>
      <c r="E335">
        <v>0.52029999999999998</v>
      </c>
      <c r="F335">
        <v>5709189.5800000001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0.37579617834394746</v>
      </c>
      <c r="Q335">
        <f t="shared" si="970"/>
        <v>2145491.6256050863</v>
      </c>
      <c r="R335">
        <f t="shared" si="971"/>
        <v>-97986398.478994787</v>
      </c>
      <c r="S335">
        <f t="shared" si="972"/>
        <v>-979.86398478994784</v>
      </c>
      <c r="T335">
        <f t="shared" si="973"/>
        <v>-0.97986398478994785</v>
      </c>
    </row>
    <row r="336" spans="1:20" x14ac:dyDescent="0.25">
      <c r="A336" s="5">
        <v>44257</v>
      </c>
      <c r="B336">
        <v>0.52890000000000004</v>
      </c>
      <c r="C336">
        <v>0.53</v>
      </c>
      <c r="D336">
        <v>0.47010000000000002</v>
      </c>
      <c r="E336">
        <v>0.49990000000000001</v>
      </c>
      <c r="F336">
        <v>5415770.9199999999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-5.0083472454093897E-3</v>
      </c>
      <c r="Q336">
        <f t="shared" si="970"/>
        <v>-27124.061368950275</v>
      </c>
      <c r="R336">
        <f t="shared" si="971"/>
        <v>-100131890.10459988</v>
      </c>
      <c r="S336">
        <f t="shared" si="972"/>
        <v>-1001.3189010459988</v>
      </c>
      <c r="T336">
        <f t="shared" si="973"/>
        <v>-1.0013189010459989</v>
      </c>
    </row>
    <row r="337" spans="1:20" x14ac:dyDescent="0.25">
      <c r="A337" s="5">
        <v>44256</v>
      </c>
      <c r="B337">
        <v>0.51780000000000004</v>
      </c>
      <c r="C337">
        <v>0.5393</v>
      </c>
      <c r="D337">
        <v>0.4657</v>
      </c>
      <c r="E337">
        <v>0.52859999999999996</v>
      </c>
      <c r="F337">
        <v>7847674.4800000004</v>
      </c>
      <c r="G337">
        <v>0</v>
      </c>
      <c r="L337" t="s">
        <v>7</v>
      </c>
      <c r="M337" t="s">
        <v>8</v>
      </c>
      <c r="N337" t="s">
        <v>7</v>
      </c>
      <c r="P337">
        <f t="shared" si="969"/>
        <v>0.70923913043478148</v>
      </c>
      <c r="Q337">
        <f t="shared" si="970"/>
        <v>5565877.8241304262</v>
      </c>
      <c r="R337">
        <f t="shared" si="971"/>
        <v>-100104766.04323092</v>
      </c>
      <c r="S337">
        <f t="shared" si="972"/>
        <v>-1001.0476604323092</v>
      </c>
      <c r="T337">
        <f t="shared" si="973"/>
        <v>-1.0010476604323091</v>
      </c>
    </row>
    <row r="338" spans="1:20" x14ac:dyDescent="0.25">
      <c r="A338" s="5">
        <v>44255</v>
      </c>
      <c r="B338">
        <v>0.48770000000000002</v>
      </c>
      <c r="C338">
        <v>0.54469999999999996</v>
      </c>
      <c r="D338">
        <v>0.41</v>
      </c>
      <c r="E338">
        <v>0.51859999999999995</v>
      </c>
      <c r="F338">
        <v>12797909.77</v>
      </c>
      <c r="G338">
        <v>0</v>
      </c>
      <c r="L338" t="s">
        <v>8</v>
      </c>
      <c r="M338" t="s">
        <v>7</v>
      </c>
      <c r="N338" t="s">
        <v>7</v>
      </c>
      <c r="P338">
        <f t="shared" si="969"/>
        <v>0.61247216035634722</v>
      </c>
      <c r="Q338">
        <f t="shared" si="970"/>
        <v>7838363.4448775025</v>
      </c>
      <c r="R338">
        <f t="shared" si="971"/>
        <v>-105670643.86736135</v>
      </c>
      <c r="S338">
        <f t="shared" si="972"/>
        <v>-1056.7064386736135</v>
      </c>
      <c r="T338">
        <f t="shared" si="973"/>
        <v>-1.0567064386736136</v>
      </c>
    </row>
    <row r="339" spans="1:20" x14ac:dyDescent="0.25">
      <c r="A339" s="5">
        <v>44254</v>
      </c>
      <c r="B339">
        <v>0.48330000000000001</v>
      </c>
      <c r="C339">
        <v>0.51039999999999996</v>
      </c>
      <c r="D339">
        <v>0.46529999999999999</v>
      </c>
      <c r="E339">
        <v>0.4879</v>
      </c>
      <c r="F339">
        <v>6075436.6900000004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2.2172949002227174E-3</v>
      </c>
      <c r="Q339">
        <f t="shared" si="970"/>
        <v>13471.034789362988</v>
      </c>
      <c r="R339">
        <f t="shared" si="971"/>
        <v>-113509007.31223886</v>
      </c>
      <c r="S339">
        <f t="shared" si="972"/>
        <v>-1135.0900731223885</v>
      </c>
      <c r="T339">
        <f t="shared" si="973"/>
        <v>-1.1350900731223885</v>
      </c>
    </row>
    <row r="340" spans="1:20" x14ac:dyDescent="0.25">
      <c r="A340" s="5">
        <v>44253</v>
      </c>
      <c r="B340">
        <v>0.49519999999999997</v>
      </c>
      <c r="C340">
        <v>0.55320000000000003</v>
      </c>
      <c r="D340">
        <v>0.4501</v>
      </c>
      <c r="E340">
        <v>0.48659999999999998</v>
      </c>
      <c r="F340">
        <v>10817230.58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-0.29194956353055346</v>
      </c>
      <c r="Q340">
        <f t="shared" si="970"/>
        <v>-3158085.7464403557</v>
      </c>
      <c r="R340">
        <f t="shared" si="971"/>
        <v>-113522478.34702823</v>
      </c>
      <c r="S340">
        <f t="shared" si="972"/>
        <v>-1135.2247834702823</v>
      </c>
      <c r="T340">
        <f t="shared" si="973"/>
        <v>-1.1352247834702822</v>
      </c>
    </row>
    <row r="341" spans="1:20" x14ac:dyDescent="0.25">
      <c r="A341" s="5">
        <v>44252</v>
      </c>
      <c r="B341">
        <v>0.53500000000000003</v>
      </c>
      <c r="C341">
        <v>0.62</v>
      </c>
      <c r="D341">
        <v>0.49</v>
      </c>
      <c r="E341">
        <v>0.49519999999999997</v>
      </c>
      <c r="F341">
        <v>20225224.91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-0.92000000000000026</v>
      </c>
      <c r="Q341">
        <f t="shared" si="970"/>
        <v>-18607206.917200007</v>
      </c>
      <c r="R341">
        <f t="shared" si="971"/>
        <v>-110364392.60058787</v>
      </c>
      <c r="S341">
        <f t="shared" si="972"/>
        <v>-1103.6439260058787</v>
      </c>
      <c r="T341">
        <f t="shared" si="973"/>
        <v>-1.1036439260058788</v>
      </c>
    </row>
    <row r="342" spans="1:20" x14ac:dyDescent="0.25">
      <c r="A342" s="5">
        <v>44251</v>
      </c>
      <c r="B342">
        <v>0.44429999999999997</v>
      </c>
      <c r="C342">
        <v>0.65759999999999996</v>
      </c>
      <c r="D342">
        <v>0.43409999999999999</v>
      </c>
      <c r="E342">
        <v>0.53539999999999999</v>
      </c>
      <c r="F342">
        <v>47632301.82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-9.3512304250559175E-2</v>
      </c>
      <c r="Q342">
        <f t="shared" si="970"/>
        <v>-4454206.2999463035</v>
      </c>
      <c r="R342">
        <f t="shared" si="971"/>
        <v>-91757185.683387876</v>
      </c>
      <c r="S342">
        <f t="shared" si="972"/>
        <v>-917.57185683387877</v>
      </c>
      <c r="T342">
        <f t="shared" si="973"/>
        <v>-0.91757185683387876</v>
      </c>
    </row>
    <row r="343" spans="1:20" x14ac:dyDescent="0.25">
      <c r="A343" s="5">
        <v>44250</v>
      </c>
      <c r="B343">
        <v>0.54310000000000003</v>
      </c>
      <c r="C343">
        <v>0.57410000000000005</v>
      </c>
      <c r="D343">
        <v>0.34210000000000002</v>
      </c>
      <c r="E343">
        <v>0.4466</v>
      </c>
      <c r="F343">
        <v>23657524.670000002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-9.9137931034483068E-2</v>
      </c>
      <c r="Q343">
        <f t="shared" si="970"/>
        <v>-2345358.0491810418</v>
      </c>
      <c r="R343">
        <f t="shared" si="971"/>
        <v>-87302979.383441567</v>
      </c>
      <c r="S343">
        <f t="shared" si="972"/>
        <v>-873.02979383441573</v>
      </c>
      <c r="T343">
        <f t="shared" si="973"/>
        <v>-0.8730297938344157</v>
      </c>
    </row>
    <row r="344" spans="1:20" x14ac:dyDescent="0.25">
      <c r="A344" s="5">
        <v>44249</v>
      </c>
      <c r="B344">
        <v>0.64180000000000004</v>
      </c>
      <c r="C344">
        <v>0.64839999999999998</v>
      </c>
      <c r="D344">
        <v>0.45629999999999998</v>
      </c>
      <c r="E344">
        <v>0.54320000000000002</v>
      </c>
      <c r="F344">
        <v>29398375.559999999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-9.5262883914627422E-2</v>
      </c>
      <c r="Q344">
        <f t="shared" si="970"/>
        <v>-2800574.0382508999</v>
      </c>
      <c r="R344">
        <f t="shared" si="971"/>
        <v>-84957621.334260523</v>
      </c>
      <c r="S344">
        <f t="shared" si="972"/>
        <v>-849.57621334260523</v>
      </c>
      <c r="T344">
        <f t="shared" si="973"/>
        <v>-0.84957621334260525</v>
      </c>
    </row>
    <row r="345" spans="1:20" x14ac:dyDescent="0.25">
      <c r="A345" s="5">
        <v>44248</v>
      </c>
      <c r="B345">
        <v>0.45</v>
      </c>
      <c r="C345">
        <v>1.1368</v>
      </c>
      <c r="D345">
        <v>0.45</v>
      </c>
      <c r="E345">
        <v>0.64190000000000003</v>
      </c>
      <c r="F345">
        <v>156137748.83000001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-0.44117647058823523</v>
      </c>
      <c r="Q345">
        <f t="shared" si="970"/>
        <v>-68884300.95441176</v>
      </c>
      <c r="R345">
        <f t="shared" si="971"/>
        <v>-82157047.29600963</v>
      </c>
      <c r="S345">
        <f t="shared" si="972"/>
        <v>-821.57047296009625</v>
      </c>
      <c r="T345">
        <f t="shared" si="973"/>
        <v>-0.82157047296009622</v>
      </c>
    </row>
    <row r="346" spans="1:20" x14ac:dyDescent="0.25">
      <c r="A346" s="5">
        <v>44247</v>
      </c>
      <c r="B346">
        <v>0.44869999999999999</v>
      </c>
      <c r="C346">
        <v>0.4637</v>
      </c>
      <c r="D346">
        <v>0.42020000000000002</v>
      </c>
      <c r="E346">
        <v>0.44919999999999999</v>
      </c>
      <c r="F346">
        <v>8002467.9299999997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0.33333333333333248</v>
      </c>
      <c r="Q346">
        <f t="shared" si="970"/>
        <v>2667489.3099999931</v>
      </c>
      <c r="R346">
        <f t="shared" si="971"/>
        <v>-13272746.341597876</v>
      </c>
      <c r="S346">
        <f t="shared" si="972"/>
        <v>-132.72746341597875</v>
      </c>
      <c r="T346">
        <f t="shared" si="973"/>
        <v>-0.13272746341597874</v>
      </c>
    </row>
    <row r="347" spans="1:20" x14ac:dyDescent="0.25">
      <c r="A347" s="5">
        <v>44246</v>
      </c>
      <c r="B347">
        <v>0.44309999999999999</v>
      </c>
      <c r="C347">
        <v>0.45550000000000002</v>
      </c>
      <c r="D347">
        <v>0.4103</v>
      </c>
      <c r="E347">
        <v>0.45100000000000001</v>
      </c>
      <c r="F347">
        <v>7391019.6299999999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0.8008849557522123</v>
      </c>
      <c r="Q347">
        <f t="shared" si="970"/>
        <v>5919356.4293362824</v>
      </c>
      <c r="R347">
        <f t="shared" si="971"/>
        <v>-15940235.651597869</v>
      </c>
      <c r="S347">
        <f t="shared" si="972"/>
        <v>-159.40235651597868</v>
      </c>
      <c r="T347">
        <f t="shared" si="973"/>
        <v>-0.15940235651597867</v>
      </c>
    </row>
    <row r="348" spans="1:20" x14ac:dyDescent="0.25">
      <c r="A348" s="5">
        <v>44245</v>
      </c>
      <c r="B348">
        <v>0.41139999999999999</v>
      </c>
      <c r="C348">
        <v>0.46</v>
      </c>
      <c r="D348">
        <v>0.40799999999999997</v>
      </c>
      <c r="E348">
        <v>0.44259999999999999</v>
      </c>
      <c r="F348">
        <v>10297658.41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0.33076923076923032</v>
      </c>
      <c r="Q348">
        <f t="shared" si="970"/>
        <v>3406148.5509999953</v>
      </c>
      <c r="R348">
        <f t="shared" si="971"/>
        <v>-21859592.080934152</v>
      </c>
      <c r="S348">
        <f t="shared" si="972"/>
        <v>-218.59592080934152</v>
      </c>
      <c r="T348">
        <f t="shared" si="973"/>
        <v>-0.21859592080934151</v>
      </c>
    </row>
    <row r="349" spans="1:20" x14ac:dyDescent="0.25">
      <c r="A349" s="5">
        <v>44244</v>
      </c>
      <c r="B349">
        <v>0.42399999999999999</v>
      </c>
      <c r="C349">
        <v>0.43559999999999999</v>
      </c>
      <c r="D349">
        <v>0.37059999999999998</v>
      </c>
      <c r="E349">
        <v>0.40899999999999997</v>
      </c>
      <c r="F349">
        <v>14734713.34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0.18153846153846118</v>
      </c>
      <c r="Q349">
        <f t="shared" si="970"/>
        <v>2674917.190953841</v>
      </c>
      <c r="R349">
        <f t="shared" si="971"/>
        <v>-25265740.631934147</v>
      </c>
      <c r="S349">
        <f t="shared" si="972"/>
        <v>-252.65740631934148</v>
      </c>
      <c r="T349">
        <f t="shared" si="973"/>
        <v>-0.25265740631934147</v>
      </c>
    </row>
    <row r="350" spans="1:20" x14ac:dyDescent="0.25">
      <c r="A350" s="5">
        <v>44243</v>
      </c>
      <c r="B350">
        <v>0.34399999999999997</v>
      </c>
      <c r="C350">
        <v>0.48</v>
      </c>
      <c r="D350">
        <v>0.3301</v>
      </c>
      <c r="E350">
        <v>0.42399999999999999</v>
      </c>
      <c r="F350">
        <v>34396994.030000001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0.25283522348232151</v>
      </c>
      <c r="Q350">
        <f t="shared" si="970"/>
        <v>8696771.6726951301</v>
      </c>
      <c r="R350">
        <f t="shared" si="971"/>
        <v>-27940657.822887987</v>
      </c>
      <c r="S350">
        <f t="shared" si="972"/>
        <v>-279.40657822887988</v>
      </c>
      <c r="T350">
        <f t="shared" si="973"/>
        <v>-0.27940657822887988</v>
      </c>
    </row>
    <row r="351" spans="1:20" x14ac:dyDescent="0.25">
      <c r="A351" s="5">
        <v>44242</v>
      </c>
      <c r="B351">
        <v>0.36709999999999998</v>
      </c>
      <c r="C351">
        <v>0.37730000000000002</v>
      </c>
      <c r="D351">
        <v>0.31009999999999999</v>
      </c>
      <c r="E351">
        <v>0.34399999999999997</v>
      </c>
      <c r="F351">
        <v>8149570.9400000004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8.928571428570441E-3</v>
      </c>
      <c r="Q351">
        <f t="shared" si="970"/>
        <v>72764.026249991963</v>
      </c>
      <c r="R351">
        <f t="shared" si="971"/>
        <v>-36637429.495583117</v>
      </c>
      <c r="S351">
        <f t="shared" si="972"/>
        <v>-366.37429495583115</v>
      </c>
      <c r="T351">
        <f t="shared" si="973"/>
        <v>-0.36637429495583113</v>
      </c>
    </row>
    <row r="352" spans="1:20" x14ac:dyDescent="0.25">
      <c r="A352" s="5">
        <v>44241</v>
      </c>
      <c r="B352">
        <v>0.39689999999999998</v>
      </c>
      <c r="C352">
        <v>0.41</v>
      </c>
      <c r="D352">
        <v>0.3518</v>
      </c>
      <c r="E352">
        <v>0.36570000000000003</v>
      </c>
      <c r="F352">
        <v>7896379.4100000001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-0.5223367697594492</v>
      </c>
      <c r="Q352">
        <f t="shared" si="970"/>
        <v>-4124569.3138144254</v>
      </c>
      <c r="R352">
        <f t="shared" si="971"/>
        <v>-36710193.521833107</v>
      </c>
      <c r="S352">
        <f t="shared" si="972"/>
        <v>-367.10193521833105</v>
      </c>
      <c r="T352">
        <f t="shared" si="973"/>
        <v>-0.36710193521833107</v>
      </c>
    </row>
    <row r="353" spans="1:20" x14ac:dyDescent="0.25">
      <c r="A353" s="5">
        <v>44240</v>
      </c>
      <c r="B353">
        <v>0.34670000000000001</v>
      </c>
      <c r="C353">
        <v>0.438</v>
      </c>
      <c r="D353">
        <v>0.34350000000000003</v>
      </c>
      <c r="E353">
        <v>0.39689999999999998</v>
      </c>
      <c r="F353">
        <v>21787938.809999999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0.13015873015872936</v>
      </c>
      <c r="Q353">
        <f t="shared" si="970"/>
        <v>2835890.4482856966</v>
      </c>
      <c r="R353">
        <f t="shared" si="971"/>
        <v>-32585624.208018679</v>
      </c>
      <c r="S353">
        <f t="shared" si="972"/>
        <v>-325.8562420801868</v>
      </c>
      <c r="T353">
        <f t="shared" si="973"/>
        <v>-0.32585624208018682</v>
      </c>
    </row>
    <row r="354" spans="1:20" x14ac:dyDescent="0.25">
      <c r="A354" s="5">
        <v>44239</v>
      </c>
      <c r="B354">
        <v>0.34449999999999997</v>
      </c>
      <c r="C354">
        <v>0.3569</v>
      </c>
      <c r="D354">
        <v>0.3115</v>
      </c>
      <c r="E354">
        <v>0.34560000000000002</v>
      </c>
      <c r="F354">
        <v>11171770.25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0.50220264317180718</v>
      </c>
      <c r="Q354">
        <f t="shared" si="970"/>
        <v>5610492.5484581608</v>
      </c>
      <c r="R354">
        <f t="shared" si="971"/>
        <v>-35421514.656304374</v>
      </c>
      <c r="S354">
        <f t="shared" si="972"/>
        <v>-354.21514656304373</v>
      </c>
      <c r="T354">
        <f t="shared" si="973"/>
        <v>-0.35421514656304376</v>
      </c>
    </row>
    <row r="355" spans="1:20" x14ac:dyDescent="0.25">
      <c r="A355" s="5">
        <v>44238</v>
      </c>
      <c r="B355">
        <v>0.30570000000000003</v>
      </c>
      <c r="C355">
        <v>0.36799999999999999</v>
      </c>
      <c r="D355">
        <v>0.29099999999999998</v>
      </c>
      <c r="E355">
        <v>0.34570000000000001</v>
      </c>
      <c r="F355">
        <v>20442757.670000002</v>
      </c>
      <c r="G355">
        <v>0</v>
      </c>
      <c r="L355" t="s">
        <v>8</v>
      </c>
      <c r="M355" t="s">
        <v>7</v>
      </c>
      <c r="N355" t="s">
        <v>8</v>
      </c>
      <c r="P355">
        <f t="shared" si="969"/>
        <v>0.42077922077922125</v>
      </c>
      <c r="Q355">
        <f t="shared" si="970"/>
        <v>8601887.6429610495</v>
      </c>
      <c r="R355">
        <f t="shared" si="971"/>
        <v>-41032007.204762533</v>
      </c>
      <c r="S355">
        <f t="shared" si="972"/>
        <v>-410.32007204762533</v>
      </c>
      <c r="T355">
        <f t="shared" si="973"/>
        <v>-0.41032007204762533</v>
      </c>
    </row>
    <row r="356" spans="1:20" x14ac:dyDescent="0.25">
      <c r="A356" s="5">
        <v>44237</v>
      </c>
      <c r="B356">
        <v>0.28499999999999998</v>
      </c>
      <c r="C356">
        <v>0.36</v>
      </c>
      <c r="D356">
        <v>0.27589999999999998</v>
      </c>
      <c r="E356">
        <v>0.30649999999999999</v>
      </c>
      <c r="F356">
        <v>21550350.98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-0.27229488703923871</v>
      </c>
      <c r="Q356">
        <f t="shared" si="970"/>
        <v>-5868050.3857550472</v>
      </c>
      <c r="R356">
        <f t="shared" si="971"/>
        <v>-49633894.847723581</v>
      </c>
      <c r="S356">
        <f t="shared" si="972"/>
        <v>-496.33894847723582</v>
      </c>
      <c r="T356">
        <f t="shared" si="973"/>
        <v>-0.49633894847723581</v>
      </c>
    </row>
    <row r="357" spans="1:20" x14ac:dyDescent="0.25">
      <c r="A357" s="5">
        <v>44236</v>
      </c>
      <c r="B357">
        <v>0.26629999999999998</v>
      </c>
      <c r="C357">
        <v>0.28639999999999999</v>
      </c>
      <c r="D357">
        <v>0.2591</v>
      </c>
      <c r="E357">
        <v>0.28499999999999998</v>
      </c>
      <c r="F357">
        <v>7962494.0499999998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0.89743589743589647</v>
      </c>
      <c r="Q357">
        <f t="shared" si="970"/>
        <v>7145827.9935897356</v>
      </c>
      <c r="R357">
        <f t="shared" si="971"/>
        <v>-43765844.461968534</v>
      </c>
      <c r="S357">
        <f t="shared" si="972"/>
        <v>-437.65844461968533</v>
      </c>
      <c r="T357">
        <f t="shared" si="973"/>
        <v>-0.43765844461968534</v>
      </c>
    </row>
    <row r="358" spans="1:20" x14ac:dyDescent="0.25">
      <c r="A358" s="5">
        <v>44235</v>
      </c>
      <c r="B358">
        <v>0.2487</v>
      </c>
      <c r="C358">
        <v>0.26829999999999998</v>
      </c>
      <c r="D358">
        <v>0.23649999999999999</v>
      </c>
      <c r="E358">
        <v>0.26550000000000001</v>
      </c>
      <c r="F358">
        <v>6270789.7000000002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0.82389937106918432</v>
      </c>
      <c r="Q358">
        <f t="shared" si="970"/>
        <v>5166499.6899371194</v>
      </c>
      <c r="R358">
        <f t="shared" si="971"/>
        <v>-50911672.45555827</v>
      </c>
      <c r="S358">
        <f t="shared" si="972"/>
        <v>-509.11672455558272</v>
      </c>
      <c r="T358">
        <f t="shared" si="973"/>
        <v>-0.50911672455558277</v>
      </c>
    </row>
    <row r="359" spans="1:20" x14ac:dyDescent="0.25">
      <c r="A359" s="5">
        <v>44234</v>
      </c>
      <c r="B359">
        <v>0.26019999999999999</v>
      </c>
      <c r="C359">
        <v>0.26300000000000001</v>
      </c>
      <c r="D359">
        <v>0.23050000000000001</v>
      </c>
      <c r="E359">
        <v>0.24829999999999999</v>
      </c>
      <c r="F359">
        <v>6325988.0499999998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9.5384615384614277E-2</v>
      </c>
      <c r="Q359">
        <f t="shared" si="970"/>
        <v>603401.9370769161</v>
      </c>
      <c r="R359">
        <f t="shared" si="971"/>
        <v>-56078172.145495392</v>
      </c>
      <c r="S359">
        <f t="shared" si="972"/>
        <v>-560.78172145495387</v>
      </c>
      <c r="T359">
        <f t="shared" si="973"/>
        <v>-0.56078172145495386</v>
      </c>
    </row>
    <row r="360" spans="1:20" x14ac:dyDescent="0.25">
      <c r="A360" s="5">
        <v>44233</v>
      </c>
      <c r="B360">
        <v>0.24790000000000001</v>
      </c>
      <c r="C360">
        <v>0.29699999999999999</v>
      </c>
      <c r="D360">
        <v>0.23269999999999999</v>
      </c>
      <c r="E360">
        <v>0.25969999999999999</v>
      </c>
      <c r="F360">
        <v>12176476.02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-0.1601866251944013</v>
      </c>
      <c r="Q360">
        <f t="shared" si="970"/>
        <v>-1950508.6004043552</v>
      </c>
      <c r="R360">
        <f t="shared" si="971"/>
        <v>-56681574.082572311</v>
      </c>
      <c r="S360">
        <f t="shared" si="972"/>
        <v>-566.81574082572308</v>
      </c>
      <c r="T360">
        <f t="shared" si="973"/>
        <v>-0.56681574082572306</v>
      </c>
    </row>
    <row r="361" spans="1:20" x14ac:dyDescent="0.25">
      <c r="A361" s="5">
        <v>44232</v>
      </c>
      <c r="B361">
        <v>0.22509999999999999</v>
      </c>
      <c r="C361">
        <v>0.249</v>
      </c>
      <c r="D361">
        <v>0.2208</v>
      </c>
      <c r="E361">
        <v>0.24790000000000001</v>
      </c>
      <c r="F361">
        <v>6295443.3099999996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0.92198581560283766</v>
      </c>
      <c r="Q361">
        <f t="shared" si="970"/>
        <v>5804309.4347517779</v>
      </c>
      <c r="R361">
        <f t="shared" si="971"/>
        <v>-54731065.482167959</v>
      </c>
      <c r="S361">
        <f t="shared" si="972"/>
        <v>-547.31065482167958</v>
      </c>
      <c r="T361">
        <f t="shared" si="973"/>
        <v>-0.54731065482167962</v>
      </c>
    </row>
    <row r="362" spans="1:20" x14ac:dyDescent="0.25">
      <c r="A362" s="5">
        <v>44231</v>
      </c>
      <c r="B362">
        <v>0.2273</v>
      </c>
      <c r="C362">
        <v>0.23089999999999999</v>
      </c>
      <c r="D362">
        <v>0.21299999999999999</v>
      </c>
      <c r="E362">
        <v>0.22509999999999999</v>
      </c>
      <c r="F362">
        <v>3701732.58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0.35195530726256985</v>
      </c>
      <c r="Q362">
        <f t="shared" si="970"/>
        <v>1302844.4275977653</v>
      </c>
      <c r="R362">
        <f t="shared" si="971"/>
        <v>-60535374.916919738</v>
      </c>
      <c r="S362">
        <f t="shared" si="972"/>
        <v>-605.35374916919739</v>
      </c>
      <c r="T362">
        <f t="shared" si="973"/>
        <v>-0.60535374916919737</v>
      </c>
    </row>
    <row r="363" spans="1:20" x14ac:dyDescent="0.25">
      <c r="A363" s="5">
        <v>44230</v>
      </c>
      <c r="B363">
        <v>0.21110000000000001</v>
      </c>
      <c r="C363">
        <v>0.24349999999999999</v>
      </c>
      <c r="D363">
        <v>0.2107</v>
      </c>
      <c r="E363">
        <v>0.2283</v>
      </c>
      <c r="F363">
        <v>5763588.1200000001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7.3170731707317485E-2</v>
      </c>
      <c r="Q363">
        <f t="shared" si="970"/>
        <v>421725.96000000241</v>
      </c>
      <c r="R363">
        <f t="shared" si="971"/>
        <v>-61838219.344517507</v>
      </c>
      <c r="S363">
        <f t="shared" si="972"/>
        <v>-618.38219344517506</v>
      </c>
      <c r="T363">
        <f t="shared" si="973"/>
        <v>-0.61838219344517509</v>
      </c>
    </row>
    <row r="364" spans="1:20" x14ac:dyDescent="0.25">
      <c r="A364" s="5">
        <v>44229</v>
      </c>
      <c r="B364">
        <v>0.20280000000000001</v>
      </c>
      <c r="C364">
        <v>0.2147</v>
      </c>
      <c r="D364">
        <v>0.2016</v>
      </c>
      <c r="E364">
        <v>0.2112</v>
      </c>
      <c r="F364">
        <v>2943540.97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0.46564885496183162</v>
      </c>
      <c r="Q364">
        <f t="shared" si="970"/>
        <v>1370656.4822137393</v>
      </c>
      <c r="R364">
        <f t="shared" si="971"/>
        <v>-62259945.304517508</v>
      </c>
      <c r="S364">
        <f t="shared" si="972"/>
        <v>-622.5994530451751</v>
      </c>
      <c r="T364">
        <f t="shared" si="973"/>
        <v>-0.62259945304517506</v>
      </c>
    </row>
    <row r="365" spans="1:20" x14ac:dyDescent="0.25">
      <c r="A365" s="5">
        <v>44228</v>
      </c>
      <c r="B365">
        <v>0.20269999999999999</v>
      </c>
      <c r="C365">
        <v>0.20699999999999999</v>
      </c>
      <c r="D365">
        <v>0.19800000000000001</v>
      </c>
      <c r="E365">
        <v>0.2036</v>
      </c>
      <c r="F365">
        <v>2048352.65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0.24444444444444582</v>
      </c>
      <c r="Q365">
        <f t="shared" si="970"/>
        <v>500708.42555555835</v>
      </c>
      <c r="R365">
        <f t="shared" si="971"/>
        <v>-63630601.786731243</v>
      </c>
      <c r="S365">
        <f t="shared" si="972"/>
        <v>-636.30601786731245</v>
      </c>
      <c r="T365">
        <f t="shared" si="973"/>
        <v>-0.63630601786731245</v>
      </c>
    </row>
    <row r="366" spans="1:20" x14ac:dyDescent="0.25">
      <c r="A366" s="5">
        <v>44227</v>
      </c>
      <c r="B366">
        <v>0.2087</v>
      </c>
      <c r="C366">
        <v>0.2102</v>
      </c>
      <c r="D366">
        <v>0.19470000000000001</v>
      </c>
      <c r="E366">
        <v>0.20269999999999999</v>
      </c>
      <c r="F366">
        <v>2179040.2999999998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3.2258064516127297E-2</v>
      </c>
      <c r="Q366">
        <f t="shared" si="970"/>
        <v>70291.622580641371</v>
      </c>
      <c r="R366">
        <f t="shared" si="971"/>
        <v>-64131310.2122868</v>
      </c>
      <c r="S366">
        <f t="shared" si="972"/>
        <v>-641.31310212286803</v>
      </c>
      <c r="T366">
        <f t="shared" si="973"/>
        <v>-0.64131310212286807</v>
      </c>
    </row>
    <row r="367" spans="1:20" x14ac:dyDescent="0.25">
      <c r="A367" s="5">
        <v>44226</v>
      </c>
      <c r="B367">
        <v>0.21049999999999999</v>
      </c>
      <c r="C367">
        <v>0.21890000000000001</v>
      </c>
      <c r="D367">
        <v>0.20200000000000001</v>
      </c>
      <c r="E367">
        <v>0.2089</v>
      </c>
      <c r="F367">
        <v>3695208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-0.18343195266272305</v>
      </c>
      <c r="Q367">
        <f t="shared" si="970"/>
        <v>-677819.21893491549</v>
      </c>
      <c r="R367">
        <f t="shared" si="971"/>
        <v>-64201601.83486744</v>
      </c>
      <c r="S367">
        <f t="shared" si="972"/>
        <v>-642.01601834867438</v>
      </c>
      <c r="T367">
        <f t="shared" si="973"/>
        <v>-0.64201601834867439</v>
      </c>
    </row>
    <row r="368" spans="1:20" x14ac:dyDescent="0.25">
      <c r="A368" s="5">
        <v>44225</v>
      </c>
      <c r="B368">
        <v>0.20979999999999999</v>
      </c>
      <c r="C368">
        <v>0.223</v>
      </c>
      <c r="D368">
        <v>0.20200000000000001</v>
      </c>
      <c r="E368">
        <v>0.2114</v>
      </c>
      <c r="F368">
        <v>2777000.19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-0.10476190476190517</v>
      </c>
      <c r="Q368">
        <f t="shared" si="970"/>
        <v>-290923.82942857256</v>
      </c>
      <c r="R368">
        <f t="shared" si="971"/>
        <v>-63523782.615932524</v>
      </c>
      <c r="S368">
        <f t="shared" si="972"/>
        <v>-635.23782615932521</v>
      </c>
      <c r="T368">
        <f t="shared" si="973"/>
        <v>-0.63523782615932523</v>
      </c>
    </row>
    <row r="369" spans="1:20" x14ac:dyDescent="0.25">
      <c r="A369" s="5">
        <v>44224</v>
      </c>
      <c r="B369">
        <v>0.19450000000000001</v>
      </c>
      <c r="C369">
        <v>0.21490000000000001</v>
      </c>
      <c r="D369">
        <v>0.19109999999999999</v>
      </c>
      <c r="E369">
        <v>0.2097</v>
      </c>
      <c r="F369">
        <v>1797078.45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0.56302521008403306</v>
      </c>
      <c r="Q369">
        <f t="shared" si="970"/>
        <v>1011800.4718487385</v>
      </c>
      <c r="R369">
        <f t="shared" si="971"/>
        <v>-63232858.786503948</v>
      </c>
      <c r="S369">
        <f t="shared" si="972"/>
        <v>-632.32858786503948</v>
      </c>
      <c r="T369">
        <f t="shared" si="973"/>
        <v>-0.63232858786503943</v>
      </c>
    </row>
    <row r="370" spans="1:20" x14ac:dyDescent="0.25">
      <c r="A370" s="5">
        <v>44223</v>
      </c>
      <c r="B370">
        <v>0.21629999999999999</v>
      </c>
      <c r="C370">
        <v>0.23280000000000001</v>
      </c>
      <c r="D370">
        <v>0.18709999999999999</v>
      </c>
      <c r="E370">
        <v>0.19539999999999999</v>
      </c>
      <c r="F370">
        <v>2410447.69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-0.6367614879649891</v>
      </c>
      <c r="Q370">
        <f t="shared" si="970"/>
        <v>-1534880.2577461707</v>
      </c>
      <c r="R370">
        <f t="shared" si="971"/>
        <v>-64244659.258352689</v>
      </c>
      <c r="S370">
        <f t="shared" si="972"/>
        <v>-642.44659258352692</v>
      </c>
      <c r="T370">
        <f t="shared" si="973"/>
        <v>-0.64244659258352688</v>
      </c>
    </row>
    <row r="371" spans="1:20" x14ac:dyDescent="0.25">
      <c r="A371" s="5">
        <v>44222</v>
      </c>
      <c r="B371">
        <v>0.21609999999999999</v>
      </c>
      <c r="C371">
        <v>0.21870000000000001</v>
      </c>
      <c r="D371">
        <v>0.20530000000000001</v>
      </c>
      <c r="E371">
        <v>0.21590000000000001</v>
      </c>
      <c r="F371">
        <v>1227608.6100000001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0.58208955223880632</v>
      </c>
      <c r="Q371">
        <f t="shared" si="970"/>
        <v>714578.14611940342</v>
      </c>
      <c r="R371">
        <f t="shared" si="971"/>
        <v>-62709779.000606522</v>
      </c>
      <c r="S371">
        <f t="shared" si="972"/>
        <v>-627.09779000606522</v>
      </c>
      <c r="T371">
        <f t="shared" si="973"/>
        <v>-0.62709779000606525</v>
      </c>
    </row>
    <row r="372" spans="1:20" x14ac:dyDescent="0.25">
      <c r="A372" s="5">
        <v>44221</v>
      </c>
      <c r="B372">
        <v>0.2235</v>
      </c>
      <c r="C372">
        <v>0.22570000000000001</v>
      </c>
      <c r="D372">
        <v>0.2155</v>
      </c>
      <c r="E372">
        <v>0.2162</v>
      </c>
      <c r="F372">
        <v>1607106.58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-0.86274509803921462</v>
      </c>
      <c r="Q372">
        <f t="shared" si="970"/>
        <v>-1386523.3239215671</v>
      </c>
      <c r="R372">
        <f t="shared" si="971"/>
        <v>-63424357.146725923</v>
      </c>
      <c r="S372">
        <f t="shared" si="972"/>
        <v>-634.24357146725924</v>
      </c>
      <c r="T372">
        <f t="shared" si="973"/>
        <v>-0.63424357146725929</v>
      </c>
    </row>
    <row r="373" spans="1:20" x14ac:dyDescent="0.25">
      <c r="A373" s="5">
        <v>44220</v>
      </c>
      <c r="B373">
        <v>0.2167</v>
      </c>
      <c r="C373">
        <v>0.23350000000000001</v>
      </c>
      <c r="D373">
        <v>0.2145</v>
      </c>
      <c r="E373">
        <v>0.22339999999999999</v>
      </c>
      <c r="F373">
        <v>2683846.0299999998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-6.3157894736843856E-2</v>
      </c>
      <c r="Q373">
        <f t="shared" si="970"/>
        <v>-169506.06505263626</v>
      </c>
      <c r="R373">
        <f t="shared" si="971"/>
        <v>-62037833.822804354</v>
      </c>
      <c r="S373">
        <f t="shared" si="972"/>
        <v>-620.3783382280435</v>
      </c>
      <c r="T373">
        <f t="shared" si="973"/>
        <v>-0.62037833822804356</v>
      </c>
    </row>
    <row r="374" spans="1:20" x14ac:dyDescent="0.25">
      <c r="A374" s="5">
        <v>44219</v>
      </c>
      <c r="B374">
        <v>0.2104</v>
      </c>
      <c r="C374">
        <v>0.22140000000000001</v>
      </c>
      <c r="D374">
        <v>0.19900000000000001</v>
      </c>
      <c r="E374">
        <v>0.2167</v>
      </c>
      <c r="F374">
        <v>2389126.2200000002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0.58035714285714202</v>
      </c>
      <c r="Q374">
        <f t="shared" si="970"/>
        <v>1386546.4669642837</v>
      </c>
      <c r="R374">
        <f t="shared" si="971"/>
        <v>-61868327.757751718</v>
      </c>
      <c r="S374">
        <f t="shared" si="972"/>
        <v>-618.68327757751717</v>
      </c>
      <c r="T374">
        <f t="shared" si="973"/>
        <v>-0.61868327757751718</v>
      </c>
    </row>
    <row r="375" spans="1:20" x14ac:dyDescent="0.25">
      <c r="A375" s="5">
        <v>44218</v>
      </c>
      <c r="B375">
        <v>0.20039999999999999</v>
      </c>
      <c r="C375">
        <v>0.22</v>
      </c>
      <c r="D375">
        <v>0.18310000000000001</v>
      </c>
      <c r="E375">
        <v>0.21049999999999999</v>
      </c>
      <c r="F375">
        <v>2602531.77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0.48509485094850885</v>
      </c>
      <c r="Q375">
        <f t="shared" si="970"/>
        <v>1262474.7610569089</v>
      </c>
      <c r="R375">
        <f t="shared" si="971"/>
        <v>-63254874.224716</v>
      </c>
      <c r="S375">
        <f t="shared" si="972"/>
        <v>-632.54874224716002</v>
      </c>
      <c r="T375">
        <f t="shared" si="973"/>
        <v>-0.63254874224716007</v>
      </c>
    </row>
    <row r="376" spans="1:20" x14ac:dyDescent="0.25">
      <c r="A376" s="5">
        <v>44217</v>
      </c>
      <c r="B376">
        <v>0.23080000000000001</v>
      </c>
      <c r="C376">
        <v>0.2319</v>
      </c>
      <c r="D376">
        <v>0.19939999999999999</v>
      </c>
      <c r="E376">
        <v>0.2016</v>
      </c>
      <c r="F376">
        <v>2235985.9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-0.86461538461538412</v>
      </c>
      <c r="Q376">
        <f t="shared" si="970"/>
        <v>-1933267.8089230757</v>
      </c>
      <c r="R376">
        <f t="shared" si="971"/>
        <v>-64517348.985772908</v>
      </c>
      <c r="S376">
        <f t="shared" si="972"/>
        <v>-645.17348985772912</v>
      </c>
      <c r="T376">
        <f t="shared" si="973"/>
        <v>-0.64517348985772915</v>
      </c>
    </row>
    <row r="377" spans="1:20" x14ac:dyDescent="0.25">
      <c r="A377" s="5">
        <v>44216</v>
      </c>
      <c r="B377">
        <v>0.23880000000000001</v>
      </c>
      <c r="C377">
        <v>0.2399</v>
      </c>
      <c r="D377">
        <v>0.2157</v>
      </c>
      <c r="E377">
        <v>0.23119999999999999</v>
      </c>
      <c r="F377">
        <v>2539644.31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0.28099173553718898</v>
      </c>
      <c r="Q377">
        <f t="shared" si="970"/>
        <v>713619.06231404678</v>
      </c>
      <c r="R377">
        <f t="shared" si="971"/>
        <v>-62584081.176849835</v>
      </c>
      <c r="S377">
        <f t="shared" si="972"/>
        <v>-625.84081176849838</v>
      </c>
      <c r="T377">
        <f t="shared" si="973"/>
        <v>-0.62584081176849837</v>
      </c>
    </row>
    <row r="378" spans="1:20" x14ac:dyDescent="0.25">
      <c r="A378" s="5">
        <v>44215</v>
      </c>
      <c r="B378">
        <v>0.24360000000000001</v>
      </c>
      <c r="C378">
        <v>0.24879999999999999</v>
      </c>
      <c r="D378">
        <v>0.23369999999999999</v>
      </c>
      <c r="E378">
        <v>0.2389</v>
      </c>
      <c r="F378">
        <v>2789338.58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-0.31125827814569412</v>
      </c>
      <c r="Q378">
        <f t="shared" si="970"/>
        <v>-868204.72357615549</v>
      </c>
      <c r="R378">
        <f t="shared" si="971"/>
        <v>-63297700.239163883</v>
      </c>
      <c r="S378">
        <f t="shared" si="972"/>
        <v>-632.97700239163885</v>
      </c>
      <c r="T378">
        <f t="shared" si="973"/>
        <v>-0.6329770023916389</v>
      </c>
    </row>
    <row r="379" spans="1:20" x14ac:dyDescent="0.25">
      <c r="A379" s="5">
        <v>44214</v>
      </c>
      <c r="B379">
        <v>0.23300000000000001</v>
      </c>
      <c r="C379">
        <v>0.24970000000000001</v>
      </c>
      <c r="D379">
        <v>0.22189999999999999</v>
      </c>
      <c r="E379">
        <v>0.24349999999999999</v>
      </c>
      <c r="F379">
        <v>4988811.74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0.55395683453237365</v>
      </c>
      <c r="Q379">
        <f t="shared" si="970"/>
        <v>2763586.359568343</v>
      </c>
      <c r="R379">
        <f t="shared" si="971"/>
        <v>-62429495.515587725</v>
      </c>
      <c r="S379">
        <f t="shared" si="972"/>
        <v>-624.29495515587723</v>
      </c>
      <c r="T379">
        <f t="shared" si="973"/>
        <v>-0.62429495515587718</v>
      </c>
    </row>
    <row r="380" spans="1:20" x14ac:dyDescent="0.25">
      <c r="A380" s="5">
        <v>44213</v>
      </c>
      <c r="B380">
        <v>0.22919999999999999</v>
      </c>
      <c r="C380">
        <v>0.249</v>
      </c>
      <c r="D380">
        <v>0.215</v>
      </c>
      <c r="E380">
        <v>0.23300000000000001</v>
      </c>
      <c r="F380">
        <v>2663276.37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5.8823529411765572E-2</v>
      </c>
      <c r="Q380">
        <f t="shared" si="970"/>
        <v>156663.31588235527</v>
      </c>
      <c r="R380">
        <f t="shared" si="971"/>
        <v>-65193081.875156067</v>
      </c>
      <c r="S380">
        <f t="shared" si="972"/>
        <v>-651.93081875156065</v>
      </c>
      <c r="T380">
        <f t="shared" si="973"/>
        <v>-0.65193081875156067</v>
      </c>
    </row>
    <row r="381" spans="1:20" x14ac:dyDescent="0.25">
      <c r="A381" s="5">
        <v>44212</v>
      </c>
      <c r="B381">
        <v>0.22420000000000001</v>
      </c>
      <c r="C381">
        <v>0.23580000000000001</v>
      </c>
      <c r="D381">
        <v>0.21840000000000001</v>
      </c>
      <c r="E381">
        <v>0.22939999999999999</v>
      </c>
      <c r="F381">
        <v>2040408.8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0.26436781609195203</v>
      </c>
      <c r="Q381">
        <f t="shared" si="970"/>
        <v>539418.41839080059</v>
      </c>
      <c r="R381">
        <f t="shared" si="971"/>
        <v>-65349745.191038422</v>
      </c>
      <c r="S381">
        <f t="shared" si="972"/>
        <v>-653.49745191038426</v>
      </c>
      <c r="T381">
        <f t="shared" si="973"/>
        <v>-0.65349745191038422</v>
      </c>
    </row>
    <row r="382" spans="1:20" x14ac:dyDescent="0.25">
      <c r="A382" s="5">
        <v>44211</v>
      </c>
      <c r="B382">
        <v>0.2281</v>
      </c>
      <c r="C382">
        <v>0.2389</v>
      </c>
      <c r="D382">
        <v>0.2051</v>
      </c>
      <c r="E382">
        <v>0.22470000000000001</v>
      </c>
      <c r="F382">
        <v>2693522.62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0.15976331360946794</v>
      </c>
      <c r="Q382">
        <f t="shared" si="970"/>
        <v>430326.09905325575</v>
      </c>
      <c r="R382">
        <f t="shared" si="971"/>
        <v>-65889163.609429225</v>
      </c>
      <c r="S382">
        <f t="shared" si="972"/>
        <v>-658.89163609429227</v>
      </c>
      <c r="T382">
        <f t="shared" si="973"/>
        <v>-0.65889163609429224</v>
      </c>
    </row>
    <row r="383" spans="1:20" x14ac:dyDescent="0.25">
      <c r="A383" s="5">
        <v>44210</v>
      </c>
      <c r="B383">
        <v>0.22559999999999999</v>
      </c>
      <c r="C383">
        <v>0.23300000000000001</v>
      </c>
      <c r="D383">
        <v>0.219</v>
      </c>
      <c r="E383">
        <v>0.2278</v>
      </c>
      <c r="F383">
        <v>2065245.13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0.25714285714285634</v>
      </c>
      <c r="Q383">
        <f t="shared" si="970"/>
        <v>531063.03342856979</v>
      </c>
      <c r="R383">
        <f t="shared" si="971"/>
        <v>-66319489.708482482</v>
      </c>
      <c r="S383">
        <f t="shared" si="972"/>
        <v>-663.19489708482479</v>
      </c>
      <c r="T383">
        <f t="shared" si="973"/>
        <v>-0.66319489708482482</v>
      </c>
    </row>
    <row r="384" spans="1:20" x14ac:dyDescent="0.25">
      <c r="A384" s="5">
        <v>44209</v>
      </c>
      <c r="B384">
        <v>0.21729999999999999</v>
      </c>
      <c r="C384">
        <v>0.23119999999999999</v>
      </c>
      <c r="D384">
        <v>0.1961</v>
      </c>
      <c r="E384">
        <v>0.22550000000000001</v>
      </c>
      <c r="F384">
        <v>2529859.75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0.67521367521367615</v>
      </c>
      <c r="Q384">
        <f t="shared" si="970"/>
        <v>1708195.8995726518</v>
      </c>
      <c r="R384">
        <f t="shared" si="971"/>
        <v>-66850552.741911054</v>
      </c>
      <c r="S384">
        <f t="shared" si="972"/>
        <v>-668.50552741911054</v>
      </c>
      <c r="T384">
        <f t="shared" si="973"/>
        <v>-0.66850552741911051</v>
      </c>
    </row>
    <row r="385" spans="1:20" x14ac:dyDescent="0.25">
      <c r="A385" s="5">
        <v>44208</v>
      </c>
      <c r="B385">
        <v>0.2382</v>
      </c>
      <c r="C385">
        <v>0.23849999999999999</v>
      </c>
      <c r="D385">
        <v>0.20899999999999999</v>
      </c>
      <c r="E385">
        <v>0.21820000000000001</v>
      </c>
      <c r="F385">
        <v>6094421.5700000003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-0.37627118644067703</v>
      </c>
      <c r="Q385">
        <f t="shared" si="970"/>
        <v>-2293155.2348135537</v>
      </c>
      <c r="R385">
        <f t="shared" si="971"/>
        <v>-68558748.641483709</v>
      </c>
      <c r="S385">
        <f t="shared" si="972"/>
        <v>-685.58748641483714</v>
      </c>
      <c r="T385">
        <f t="shared" si="973"/>
        <v>-0.68558748641483713</v>
      </c>
    </row>
    <row r="386" spans="1:20" x14ac:dyDescent="0.25">
      <c r="A386" s="5">
        <v>44207</v>
      </c>
      <c r="B386">
        <v>0.23230000000000001</v>
      </c>
      <c r="C386">
        <v>0.25140000000000001</v>
      </c>
      <c r="D386">
        <v>0.18920000000000001</v>
      </c>
      <c r="E386">
        <v>0.23830000000000001</v>
      </c>
      <c r="F386">
        <v>13613486.119999999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0.5787781350482315</v>
      </c>
      <c r="Q386">
        <f t="shared" si="970"/>
        <v>7879188.1080385847</v>
      </c>
      <c r="R386">
        <f t="shared" si="971"/>
        <v>-66265593.406670161</v>
      </c>
      <c r="S386">
        <f t="shared" si="972"/>
        <v>-662.65593406670166</v>
      </c>
      <c r="T386">
        <f t="shared" si="973"/>
        <v>-0.66265593406670165</v>
      </c>
    </row>
    <row r="387" spans="1:20" x14ac:dyDescent="0.25">
      <c r="A387" s="5">
        <v>44206</v>
      </c>
      <c r="B387">
        <v>0.23180000000000001</v>
      </c>
      <c r="C387">
        <v>0.26329999999999998</v>
      </c>
      <c r="D387">
        <v>0.20300000000000001</v>
      </c>
      <c r="E387">
        <v>0.23119999999999999</v>
      </c>
      <c r="F387">
        <v>6290171.4299999997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-6.467661691542316E-2</v>
      </c>
      <c r="Q387">
        <f t="shared" si="970"/>
        <v>-406827.00791044947</v>
      </c>
      <c r="R387">
        <f t="shared" si="971"/>
        <v>-74144781.514708742</v>
      </c>
      <c r="S387">
        <f t="shared" si="972"/>
        <v>-741.44781514708745</v>
      </c>
      <c r="T387">
        <f t="shared" si="973"/>
        <v>-0.74144781514708746</v>
      </c>
    </row>
    <row r="388" spans="1:20" x14ac:dyDescent="0.25">
      <c r="A388" s="5">
        <v>44205</v>
      </c>
      <c r="B388">
        <v>0.21890000000000001</v>
      </c>
      <c r="C388">
        <v>0.24879999999999999</v>
      </c>
      <c r="D388">
        <v>0.2051</v>
      </c>
      <c r="E388">
        <v>0.23130000000000001</v>
      </c>
      <c r="F388">
        <v>9229471.1799999997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0.19908466819222004</v>
      </c>
      <c r="Q388">
        <f t="shared" si="970"/>
        <v>1837446.2074599576</v>
      </c>
      <c r="R388">
        <f t="shared" si="971"/>
        <v>-73737954.506798297</v>
      </c>
      <c r="S388">
        <f t="shared" si="972"/>
        <v>-737.37954506798292</v>
      </c>
      <c r="T388">
        <f t="shared" si="973"/>
        <v>-0.73737954506798287</v>
      </c>
    </row>
    <row r="389" spans="1:20" x14ac:dyDescent="0.25">
      <c r="A389" s="5">
        <v>44204</v>
      </c>
      <c r="B389">
        <v>0.2263</v>
      </c>
      <c r="C389">
        <v>0.23730000000000001</v>
      </c>
      <c r="D389">
        <v>0.19620000000000001</v>
      </c>
      <c r="E389">
        <v>0.21779999999999999</v>
      </c>
      <c r="F389">
        <v>3454165.82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5.109489051094801E-2</v>
      </c>
      <c r="Q389">
        <f t="shared" si="970"/>
        <v>176490.22437955893</v>
      </c>
      <c r="R389">
        <f t="shared" si="971"/>
        <v>-75575400.714258254</v>
      </c>
      <c r="S389">
        <f t="shared" si="972"/>
        <v>-755.75400714258251</v>
      </c>
      <c r="T389">
        <f t="shared" si="973"/>
        <v>-0.75575400714258256</v>
      </c>
    </row>
    <row r="390" spans="1:20" x14ac:dyDescent="0.25">
      <c r="A390" s="5">
        <v>44203</v>
      </c>
      <c r="B390">
        <v>0.2089</v>
      </c>
      <c r="C390">
        <v>0.2616</v>
      </c>
      <c r="D390">
        <v>0.20399999999999999</v>
      </c>
      <c r="E390">
        <v>0.22620000000000001</v>
      </c>
      <c r="F390">
        <v>7795089.7400000002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-0.22916666666666596</v>
      </c>
      <c r="Q390">
        <f t="shared" ref="Q390:Q453" si="975">F390*P390</f>
        <v>-1786374.7320833278</v>
      </c>
      <c r="R390">
        <f t="shared" ref="R390:R453" si="976">R391+Q390</f>
        <v>-75751890.938637808</v>
      </c>
      <c r="S390">
        <f t="shared" ref="S390:S453" si="977">R390/100000</f>
        <v>-757.51890938637803</v>
      </c>
      <c r="T390">
        <f t="shared" ref="T390:T453" si="978">S390/1000</f>
        <v>-0.757518909386378</v>
      </c>
    </row>
    <row r="391" spans="1:20" x14ac:dyDescent="0.25">
      <c r="A391" s="5">
        <v>44202</v>
      </c>
      <c r="B391">
        <v>0.1976</v>
      </c>
      <c r="C391">
        <v>0.21729999999999999</v>
      </c>
      <c r="D391">
        <v>0.19189999999999999</v>
      </c>
      <c r="E391">
        <v>0.20880000000000001</v>
      </c>
      <c r="F391">
        <v>2912808.16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0.33070866141732458</v>
      </c>
      <c r="Q391">
        <f t="shared" si="975"/>
        <v>963290.88755906024</v>
      </c>
      <c r="R391">
        <f t="shared" si="976"/>
        <v>-73965516.206554487</v>
      </c>
      <c r="S391">
        <f t="shared" si="977"/>
        <v>-739.65516206554491</v>
      </c>
      <c r="T391">
        <f t="shared" si="978"/>
        <v>-0.73965516206554494</v>
      </c>
    </row>
    <row r="392" spans="1:20" x14ac:dyDescent="0.25">
      <c r="A392" s="5">
        <v>44201</v>
      </c>
      <c r="B392">
        <v>0.1908</v>
      </c>
      <c r="C392">
        <v>0.1991</v>
      </c>
      <c r="D392">
        <v>0.18</v>
      </c>
      <c r="E392">
        <v>0.1981</v>
      </c>
      <c r="F392">
        <v>1577335.5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0.89528795811518314</v>
      </c>
      <c r="Q392">
        <f t="shared" si="975"/>
        <v>1412169.4790575914</v>
      </c>
      <c r="R392">
        <f t="shared" si="976"/>
        <v>-74928807.094113544</v>
      </c>
      <c r="S392">
        <f t="shared" si="977"/>
        <v>-749.2880709411354</v>
      </c>
      <c r="T392">
        <f t="shared" si="978"/>
        <v>-0.74928807094113536</v>
      </c>
    </row>
    <row r="393" spans="1:20" x14ac:dyDescent="0.25">
      <c r="A393" s="5">
        <v>44200</v>
      </c>
      <c r="B393">
        <v>0.2036</v>
      </c>
      <c r="C393">
        <v>0.20799999999999999</v>
      </c>
      <c r="D393">
        <v>0.1706</v>
      </c>
      <c r="E393">
        <v>0.1908</v>
      </c>
      <c r="F393">
        <v>3679837.13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8.0213903743315607E-2</v>
      </c>
      <c r="Q393">
        <f t="shared" si="975"/>
        <v>295174.10133689875</v>
      </c>
      <c r="R393">
        <f t="shared" si="976"/>
        <v>-76340976.573171139</v>
      </c>
      <c r="S393">
        <f t="shared" si="977"/>
        <v>-763.40976573171133</v>
      </c>
      <c r="T393">
        <f t="shared" si="978"/>
        <v>-0.76340976573171138</v>
      </c>
    </row>
    <row r="394" spans="1:20" x14ac:dyDescent="0.25">
      <c r="A394" s="5">
        <v>44199</v>
      </c>
      <c r="B394">
        <v>0.20480000000000001</v>
      </c>
      <c r="C394">
        <v>0.2145</v>
      </c>
      <c r="D394">
        <v>0.18990000000000001</v>
      </c>
      <c r="E394">
        <v>0.20250000000000001</v>
      </c>
      <c r="F394">
        <v>2320230.7000000002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2.439024390243974E-2</v>
      </c>
      <c r="Q394">
        <f t="shared" si="975"/>
        <v>56590.992682928496</v>
      </c>
      <c r="R394">
        <f t="shared" si="976"/>
        <v>-76636150.674508035</v>
      </c>
      <c r="S394">
        <f t="shared" si="977"/>
        <v>-766.36150674508031</v>
      </c>
      <c r="T394">
        <f t="shared" si="978"/>
        <v>-0.7663615067450803</v>
      </c>
    </row>
    <row r="395" spans="1:20" x14ac:dyDescent="0.25">
      <c r="A395" s="5">
        <v>44198</v>
      </c>
      <c r="B395">
        <v>0.1938</v>
      </c>
      <c r="C395">
        <v>0.222</v>
      </c>
      <c r="D395">
        <v>0.192</v>
      </c>
      <c r="E395">
        <v>0.2049</v>
      </c>
      <c r="F395">
        <v>8338617.1200000001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-0.14000000000000032</v>
      </c>
      <c r="Q395">
        <f t="shared" si="975"/>
        <v>-1167406.3968000028</v>
      </c>
      <c r="R395">
        <f t="shared" si="976"/>
        <v>-76692741.667190969</v>
      </c>
      <c r="S395">
        <f t="shared" si="977"/>
        <v>-766.92741667190967</v>
      </c>
      <c r="T395">
        <f t="shared" si="978"/>
        <v>-0.76692741667190967</v>
      </c>
    </row>
    <row r="396" spans="1:20" x14ac:dyDescent="0.25">
      <c r="A396" s="5">
        <v>44197</v>
      </c>
      <c r="B396">
        <v>0.18540000000000001</v>
      </c>
      <c r="C396">
        <v>0.19670000000000001</v>
      </c>
      <c r="D396">
        <v>0.1835</v>
      </c>
      <c r="E396">
        <v>0.1933</v>
      </c>
      <c r="F396">
        <v>1099168.53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0.48484848484848336</v>
      </c>
      <c r="Q396">
        <f t="shared" si="975"/>
        <v>532930.19636363478</v>
      </c>
      <c r="R396">
        <f t="shared" si="976"/>
        <v>-75525335.270390972</v>
      </c>
      <c r="S396">
        <f t="shared" si="977"/>
        <v>-755.25335270390974</v>
      </c>
      <c r="T396">
        <f t="shared" si="978"/>
        <v>-0.7552533527039097</v>
      </c>
    </row>
    <row r="397" spans="1:20" x14ac:dyDescent="0.25">
      <c r="A397" s="5">
        <v>44196</v>
      </c>
      <c r="B397">
        <v>0.18820000000000001</v>
      </c>
      <c r="C397">
        <v>0.18820000000000001</v>
      </c>
      <c r="D397">
        <v>0.1787</v>
      </c>
      <c r="E397">
        <v>0.186</v>
      </c>
      <c r="F397">
        <v>629214.91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0.53684210526315668</v>
      </c>
      <c r="Q397">
        <f t="shared" si="975"/>
        <v>337789.05694736767</v>
      </c>
      <c r="R397">
        <f t="shared" si="976"/>
        <v>-76058265.4667546</v>
      </c>
      <c r="S397">
        <f t="shared" si="977"/>
        <v>-760.58265466754597</v>
      </c>
      <c r="T397">
        <f t="shared" si="978"/>
        <v>-0.76058265466754593</v>
      </c>
    </row>
    <row r="398" spans="1:20" x14ac:dyDescent="0.25">
      <c r="A398" s="5">
        <v>44195</v>
      </c>
      <c r="B398">
        <v>0.18890000000000001</v>
      </c>
      <c r="C398">
        <v>0.2009</v>
      </c>
      <c r="D398">
        <v>0.1822</v>
      </c>
      <c r="E398">
        <v>0.18820000000000001</v>
      </c>
      <c r="F398">
        <v>1474092.87</v>
      </c>
      <c r="G398">
        <v>0</v>
      </c>
      <c r="L398" t="s">
        <v>8</v>
      </c>
      <c r="M398" t="s">
        <v>7</v>
      </c>
      <c r="N398" t="s">
        <v>8</v>
      </c>
      <c r="P398">
        <f t="shared" si="974"/>
        <v>-0.35828877005347515</v>
      </c>
      <c r="Q398">
        <f t="shared" si="975"/>
        <v>-528150.9213368973</v>
      </c>
      <c r="R398">
        <f t="shared" si="976"/>
        <v>-76396054.523701966</v>
      </c>
      <c r="S398">
        <f t="shared" si="977"/>
        <v>-763.96054523701969</v>
      </c>
      <c r="T398">
        <f t="shared" si="978"/>
        <v>-0.76396054523701973</v>
      </c>
    </row>
    <row r="399" spans="1:20" x14ac:dyDescent="0.25">
      <c r="A399" s="5">
        <v>44194</v>
      </c>
      <c r="B399">
        <v>0.1925</v>
      </c>
      <c r="C399">
        <v>0.1943</v>
      </c>
      <c r="D399">
        <v>0.1759</v>
      </c>
      <c r="E399">
        <v>0.18770000000000001</v>
      </c>
      <c r="F399">
        <v>1161892.67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0.28260869565217445</v>
      </c>
      <c r="Q399">
        <f t="shared" si="975"/>
        <v>328360.97195652232</v>
      </c>
      <c r="R399">
        <f t="shared" si="976"/>
        <v>-75867903.602365062</v>
      </c>
      <c r="S399">
        <f t="shared" si="977"/>
        <v>-758.67903602365061</v>
      </c>
      <c r="T399">
        <f t="shared" si="978"/>
        <v>-0.75867903602365061</v>
      </c>
    </row>
    <row r="400" spans="1:20" x14ac:dyDescent="0.25">
      <c r="A400" s="5">
        <v>44193</v>
      </c>
      <c r="B400">
        <v>0.19309999999999999</v>
      </c>
      <c r="C400">
        <v>0.2019</v>
      </c>
      <c r="D400">
        <v>0.1898</v>
      </c>
      <c r="E400">
        <v>0.193</v>
      </c>
      <c r="F400">
        <v>1179239.3799999999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-0.47107438016528785</v>
      </c>
      <c r="Q400">
        <f t="shared" si="975"/>
        <v>-555509.45999999833</v>
      </c>
      <c r="R400">
        <f t="shared" si="976"/>
        <v>-76196264.574321583</v>
      </c>
      <c r="S400">
        <f t="shared" si="977"/>
        <v>-761.96264574321583</v>
      </c>
      <c r="T400">
        <f t="shared" si="978"/>
        <v>-0.76196264574321582</v>
      </c>
    </row>
    <row r="401" spans="1:20" x14ac:dyDescent="0.25">
      <c r="A401" s="5">
        <v>44192</v>
      </c>
      <c r="B401">
        <v>0.20180000000000001</v>
      </c>
      <c r="C401">
        <v>0.21179999999999999</v>
      </c>
      <c r="D401">
        <v>0.1842</v>
      </c>
      <c r="E401">
        <v>0.19489999999999999</v>
      </c>
      <c r="F401">
        <v>3285016.33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-0.22463768115942082</v>
      </c>
      <c r="Q401">
        <f t="shared" si="975"/>
        <v>-737938.45094203076</v>
      </c>
      <c r="R401">
        <f t="shared" si="976"/>
        <v>-75640755.114321589</v>
      </c>
      <c r="S401">
        <f t="shared" si="977"/>
        <v>-756.40755114321587</v>
      </c>
      <c r="T401">
        <f t="shared" si="978"/>
        <v>-0.75640755114321589</v>
      </c>
    </row>
    <row r="402" spans="1:20" x14ac:dyDescent="0.25">
      <c r="A402" s="5">
        <v>44191</v>
      </c>
      <c r="B402">
        <v>0.18590000000000001</v>
      </c>
      <c r="C402">
        <v>0.22770000000000001</v>
      </c>
      <c r="D402">
        <v>0.183</v>
      </c>
      <c r="E402">
        <v>0.2019</v>
      </c>
      <c r="F402">
        <v>8416857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-0.15436241610738288</v>
      </c>
      <c r="Q402">
        <f t="shared" si="975"/>
        <v>-1299246.3825503383</v>
      </c>
      <c r="R402">
        <f t="shared" si="976"/>
        <v>-74902816.663379565</v>
      </c>
      <c r="S402">
        <f t="shared" si="977"/>
        <v>-749.02816663379565</v>
      </c>
      <c r="T402">
        <f t="shared" si="978"/>
        <v>-0.74902816663379568</v>
      </c>
    </row>
    <row r="403" spans="1:20" x14ac:dyDescent="0.25">
      <c r="A403" s="5">
        <v>44190</v>
      </c>
      <c r="B403">
        <v>0.18049999999999999</v>
      </c>
      <c r="C403">
        <v>0.19309999999999999</v>
      </c>
      <c r="D403">
        <v>0.18</v>
      </c>
      <c r="E403">
        <v>0.18559999999999999</v>
      </c>
      <c r="F403">
        <v>1187802.81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-0.14503816793893226</v>
      </c>
      <c r="Q403">
        <f t="shared" si="975"/>
        <v>-172276.74343511567</v>
      </c>
      <c r="R403">
        <f t="shared" si="976"/>
        <v>-73603570.280829221</v>
      </c>
      <c r="S403">
        <f t="shared" si="977"/>
        <v>-736.03570280829217</v>
      </c>
      <c r="T403">
        <f t="shared" si="978"/>
        <v>-0.73603570280829222</v>
      </c>
    </row>
    <row r="404" spans="1:20" x14ac:dyDescent="0.25">
      <c r="A404" s="5">
        <v>44189</v>
      </c>
      <c r="B404">
        <v>0.16270000000000001</v>
      </c>
      <c r="C404">
        <v>0.18790000000000001</v>
      </c>
      <c r="D404">
        <v>0.15659999999999999</v>
      </c>
      <c r="E404">
        <v>0.18090000000000001</v>
      </c>
      <c r="F404">
        <v>1789267.66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0.55271565495207664</v>
      </c>
      <c r="Q404">
        <f t="shared" si="975"/>
        <v>988956.24658146955</v>
      </c>
      <c r="R404">
        <f t="shared" si="976"/>
        <v>-73431293.537394106</v>
      </c>
      <c r="S404">
        <f t="shared" si="977"/>
        <v>-734.31293537394106</v>
      </c>
      <c r="T404">
        <f t="shared" si="978"/>
        <v>-0.73431293537394104</v>
      </c>
    </row>
    <row r="405" spans="1:20" x14ac:dyDescent="0.25">
      <c r="A405" s="5">
        <v>44188</v>
      </c>
      <c r="B405">
        <v>0.1961</v>
      </c>
      <c r="C405">
        <v>0.19650000000000001</v>
      </c>
      <c r="D405">
        <v>0.14510000000000001</v>
      </c>
      <c r="E405">
        <v>0.16389999999999999</v>
      </c>
      <c r="F405">
        <v>1523641.43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-0.2684824902723742</v>
      </c>
      <c r="Q405">
        <f t="shared" si="975"/>
        <v>-409071.0454085613</v>
      </c>
      <c r="R405">
        <f t="shared" si="976"/>
        <v>-74420249.783975571</v>
      </c>
      <c r="S405">
        <f t="shared" si="977"/>
        <v>-744.20249783975567</v>
      </c>
      <c r="T405">
        <f t="shared" si="978"/>
        <v>-0.74420249783975567</v>
      </c>
    </row>
    <row r="406" spans="1:20" x14ac:dyDescent="0.25">
      <c r="A406" s="5">
        <v>44187</v>
      </c>
      <c r="B406">
        <v>0.20649999999999999</v>
      </c>
      <c r="C406">
        <v>0.20749999999999999</v>
      </c>
      <c r="D406">
        <v>0.1893</v>
      </c>
      <c r="E406">
        <v>0.19750000000000001</v>
      </c>
      <c r="F406">
        <v>1268365.71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-9.890109890109719E-2</v>
      </c>
      <c r="Q406">
        <f t="shared" si="975"/>
        <v>-125442.76252747035</v>
      </c>
      <c r="R406">
        <f t="shared" si="976"/>
        <v>-74011178.73856701</v>
      </c>
      <c r="S406">
        <f t="shared" si="977"/>
        <v>-740.11178738567014</v>
      </c>
      <c r="T406">
        <f t="shared" si="978"/>
        <v>-0.74011178738567018</v>
      </c>
    </row>
    <row r="407" spans="1:20" x14ac:dyDescent="0.25">
      <c r="A407" s="5">
        <v>44186</v>
      </c>
      <c r="B407">
        <v>0.2097</v>
      </c>
      <c r="C407">
        <v>0.21640000000000001</v>
      </c>
      <c r="D407">
        <v>0.19239999999999999</v>
      </c>
      <c r="E407">
        <v>0.20660000000000001</v>
      </c>
      <c r="F407">
        <v>1704562.36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0.18333333333333379</v>
      </c>
      <c r="Q407">
        <f t="shared" si="975"/>
        <v>312503.09933333413</v>
      </c>
      <c r="R407">
        <f t="shared" si="976"/>
        <v>-73885735.976039544</v>
      </c>
      <c r="S407">
        <f t="shared" si="977"/>
        <v>-738.85735976039541</v>
      </c>
      <c r="T407">
        <f t="shared" si="978"/>
        <v>-0.73885735976039546</v>
      </c>
    </row>
    <row r="408" spans="1:20" x14ac:dyDescent="0.25">
      <c r="A408" s="5">
        <v>44185</v>
      </c>
      <c r="B408">
        <v>0.2233</v>
      </c>
      <c r="C408">
        <v>0.2331</v>
      </c>
      <c r="D408">
        <v>0.2069</v>
      </c>
      <c r="E408">
        <v>0.20860000000000001</v>
      </c>
      <c r="F408">
        <v>1505054.6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-0.87022900763358724</v>
      </c>
      <c r="Q408">
        <f t="shared" si="975"/>
        <v>-1309742.1709923656</v>
      </c>
      <c r="R408">
        <f t="shared" si="976"/>
        <v>-74198239.075372875</v>
      </c>
      <c r="S408">
        <f t="shared" si="977"/>
        <v>-741.98239075372874</v>
      </c>
      <c r="T408">
        <f t="shared" si="978"/>
        <v>-0.74198239075372874</v>
      </c>
    </row>
    <row r="409" spans="1:20" x14ac:dyDescent="0.25">
      <c r="A409" s="5">
        <v>44184</v>
      </c>
      <c r="B409">
        <v>0.21229999999999999</v>
      </c>
      <c r="C409">
        <v>0.252</v>
      </c>
      <c r="D409">
        <v>0.2084</v>
      </c>
      <c r="E409">
        <v>0.2233</v>
      </c>
      <c r="F409">
        <v>10330711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-0.31651376146789006</v>
      </c>
      <c r="Q409">
        <f t="shared" si="975"/>
        <v>-3269812.1972477082</v>
      </c>
      <c r="R409">
        <f t="shared" si="976"/>
        <v>-72888496.904380515</v>
      </c>
      <c r="S409">
        <f t="shared" si="977"/>
        <v>-728.8849690438052</v>
      </c>
      <c r="T409">
        <f t="shared" si="978"/>
        <v>-0.72888496904380518</v>
      </c>
    </row>
    <row r="410" spans="1:20" x14ac:dyDescent="0.25">
      <c r="A410" s="5">
        <v>44183</v>
      </c>
      <c r="B410">
        <v>0.1996</v>
      </c>
      <c r="C410">
        <v>0.23480000000000001</v>
      </c>
      <c r="D410">
        <v>0.19550000000000001</v>
      </c>
      <c r="E410">
        <v>0.2117</v>
      </c>
      <c r="F410">
        <v>5518156.4500000002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-0.1755725190839699</v>
      </c>
      <c r="Q410">
        <f t="shared" si="975"/>
        <v>-968836.6286259566</v>
      </c>
      <c r="R410">
        <f t="shared" si="976"/>
        <v>-69618684.707132801</v>
      </c>
      <c r="S410">
        <f t="shared" si="977"/>
        <v>-696.18684707132797</v>
      </c>
      <c r="T410">
        <f t="shared" si="978"/>
        <v>-0.69618684707132794</v>
      </c>
    </row>
    <row r="411" spans="1:20" x14ac:dyDescent="0.25">
      <c r="A411" s="5">
        <v>44182</v>
      </c>
      <c r="B411">
        <v>0.20849999999999999</v>
      </c>
      <c r="C411">
        <v>0.21440000000000001</v>
      </c>
      <c r="D411">
        <v>0.1943</v>
      </c>
      <c r="E411">
        <v>0.1996</v>
      </c>
      <c r="F411">
        <v>2225994.8199999998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-0.47263681592039825</v>
      </c>
      <c r="Q411">
        <f t="shared" si="975"/>
        <v>-1052087.1039801</v>
      </c>
      <c r="R411">
        <f t="shared" si="976"/>
        <v>-68649848.078506842</v>
      </c>
      <c r="S411">
        <f t="shared" si="977"/>
        <v>-686.49848078506841</v>
      </c>
      <c r="T411">
        <f t="shared" si="978"/>
        <v>-0.68649848078506837</v>
      </c>
    </row>
    <row r="412" spans="1:20" x14ac:dyDescent="0.25">
      <c r="A412" s="5">
        <v>44181</v>
      </c>
      <c r="B412">
        <v>0.20730000000000001</v>
      </c>
      <c r="C412">
        <v>0.2094</v>
      </c>
      <c r="D412">
        <v>0.19259999999999999</v>
      </c>
      <c r="E412">
        <v>0.20849999999999999</v>
      </c>
      <c r="F412">
        <v>2130747.77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0.89285714285714146</v>
      </c>
      <c r="Q412">
        <f t="shared" si="975"/>
        <v>1902453.3660714256</v>
      </c>
      <c r="R412">
        <f t="shared" si="976"/>
        <v>-67597760.974526748</v>
      </c>
      <c r="S412">
        <f t="shared" si="977"/>
        <v>-675.9776097452675</v>
      </c>
      <c r="T412">
        <f t="shared" si="978"/>
        <v>-0.67597760974526755</v>
      </c>
    </row>
    <row r="413" spans="1:20" x14ac:dyDescent="0.25">
      <c r="A413" s="5">
        <v>44180</v>
      </c>
      <c r="B413">
        <v>0.2175</v>
      </c>
      <c r="C413">
        <v>0.21859999999999999</v>
      </c>
      <c r="D413">
        <v>0.20349999999999999</v>
      </c>
      <c r="E413">
        <v>0.2077</v>
      </c>
      <c r="F413">
        <v>1102444.07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-0.44370860927152206</v>
      </c>
      <c r="Q413">
        <f t="shared" si="975"/>
        <v>-489163.92509933654</v>
      </c>
      <c r="R413">
        <f t="shared" si="976"/>
        <v>-69500214.340598181</v>
      </c>
      <c r="S413">
        <f t="shared" si="977"/>
        <v>-695.00214340598177</v>
      </c>
      <c r="T413">
        <f t="shared" si="978"/>
        <v>-0.69500214340598176</v>
      </c>
    </row>
    <row r="414" spans="1:20" x14ac:dyDescent="0.25">
      <c r="A414" s="5">
        <v>44179</v>
      </c>
      <c r="B414">
        <v>0.2094</v>
      </c>
      <c r="C414">
        <v>0.22409999999999999</v>
      </c>
      <c r="D414">
        <v>0.20849999999999999</v>
      </c>
      <c r="E414">
        <v>0.21779999999999999</v>
      </c>
      <c r="F414">
        <v>2096997.12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0.19230769230769246</v>
      </c>
      <c r="Q414">
        <f t="shared" si="975"/>
        <v>403268.67692307726</v>
      </c>
      <c r="R414">
        <f t="shared" si="976"/>
        <v>-69011050.415498838</v>
      </c>
      <c r="S414">
        <f t="shared" si="977"/>
        <v>-690.11050415498835</v>
      </c>
      <c r="T414">
        <f t="shared" si="978"/>
        <v>-0.69011050415498831</v>
      </c>
    </row>
    <row r="415" spans="1:20" x14ac:dyDescent="0.25">
      <c r="A415" s="5">
        <v>44178</v>
      </c>
      <c r="B415">
        <v>0.19550000000000001</v>
      </c>
      <c r="C415">
        <v>0.23069999999999999</v>
      </c>
      <c r="D415">
        <v>0.19120000000000001</v>
      </c>
      <c r="E415">
        <v>0.20930000000000001</v>
      </c>
      <c r="F415">
        <v>9059680.7899999991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-8.3544303797467634E-2</v>
      </c>
      <c r="Q415">
        <f t="shared" si="975"/>
        <v>-756884.72422784148</v>
      </c>
      <c r="R415">
        <f t="shared" si="976"/>
        <v>-69414319.092421919</v>
      </c>
      <c r="S415">
        <f t="shared" si="977"/>
        <v>-694.1431909242192</v>
      </c>
      <c r="T415">
        <f t="shared" si="978"/>
        <v>-0.69414319092421917</v>
      </c>
    </row>
    <row r="416" spans="1:20" x14ac:dyDescent="0.25">
      <c r="A416" s="5">
        <v>44177</v>
      </c>
      <c r="B416">
        <v>0.1799</v>
      </c>
      <c r="C416">
        <v>0.2082</v>
      </c>
      <c r="D416">
        <v>0.1782</v>
      </c>
      <c r="E416">
        <v>0.19539999999999999</v>
      </c>
      <c r="F416">
        <v>2604510.81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0.14666666666666625</v>
      </c>
      <c r="Q416">
        <f t="shared" si="975"/>
        <v>381994.91879999894</v>
      </c>
      <c r="R416">
        <f t="shared" si="976"/>
        <v>-68657434.368194073</v>
      </c>
      <c r="S416">
        <f t="shared" si="977"/>
        <v>-686.57434368194072</v>
      </c>
      <c r="T416">
        <f t="shared" si="978"/>
        <v>-0.6865743436819407</v>
      </c>
    </row>
    <row r="417" spans="1:20" x14ac:dyDescent="0.25">
      <c r="A417" s="5">
        <v>44176</v>
      </c>
      <c r="B417">
        <v>0.19170000000000001</v>
      </c>
      <c r="C417">
        <v>0.1946</v>
      </c>
      <c r="D417">
        <v>0.1729</v>
      </c>
      <c r="E417">
        <v>0.18079999999999999</v>
      </c>
      <c r="F417">
        <v>1796815.99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-0.27188940092165975</v>
      </c>
      <c r="Q417">
        <f t="shared" si="975"/>
        <v>-488535.22308755899</v>
      </c>
      <c r="R417">
        <f t="shared" si="976"/>
        <v>-69039429.28699407</v>
      </c>
      <c r="S417">
        <f t="shared" si="977"/>
        <v>-690.39429286994073</v>
      </c>
      <c r="T417">
        <f t="shared" si="978"/>
        <v>-0.6903942928699407</v>
      </c>
    </row>
    <row r="418" spans="1:20" x14ac:dyDescent="0.25">
      <c r="A418" s="5">
        <v>44175</v>
      </c>
      <c r="B418">
        <v>0.20610000000000001</v>
      </c>
      <c r="C418">
        <v>0.20710000000000001</v>
      </c>
      <c r="D418">
        <v>0.1862</v>
      </c>
      <c r="E418">
        <v>0.1915</v>
      </c>
      <c r="F418">
        <v>2279464.84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-0.49282296650717716</v>
      </c>
      <c r="Q418">
        <f t="shared" si="975"/>
        <v>-1123372.6244976078</v>
      </c>
      <c r="R418">
        <f t="shared" si="976"/>
        <v>-68550894.063906506</v>
      </c>
      <c r="S418">
        <f t="shared" si="977"/>
        <v>-685.50894063906503</v>
      </c>
      <c r="T418">
        <f t="shared" si="978"/>
        <v>-0.68550894063906498</v>
      </c>
    </row>
    <row r="419" spans="1:20" x14ac:dyDescent="0.25">
      <c r="A419" s="5">
        <v>44174</v>
      </c>
      <c r="B419">
        <v>0.2074</v>
      </c>
      <c r="C419">
        <v>0.20830000000000001</v>
      </c>
      <c r="D419">
        <v>0.17680000000000001</v>
      </c>
      <c r="E419">
        <v>0.20610000000000001</v>
      </c>
      <c r="F419">
        <v>4792378.21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0.86031746031745981</v>
      </c>
      <c r="Q419">
        <f t="shared" si="975"/>
        <v>4122966.6505079339</v>
      </c>
      <c r="R419">
        <f t="shared" si="976"/>
        <v>-67427521.439408898</v>
      </c>
      <c r="S419">
        <f t="shared" si="977"/>
        <v>-674.27521439408895</v>
      </c>
      <c r="T419">
        <f t="shared" si="978"/>
        <v>-0.674275214394089</v>
      </c>
    </row>
    <row r="420" spans="1:20" x14ac:dyDescent="0.25">
      <c r="A420" s="5">
        <v>44173</v>
      </c>
      <c r="B420">
        <v>0.23019999999999999</v>
      </c>
      <c r="C420">
        <v>0.24199999999999999</v>
      </c>
      <c r="D420">
        <v>0.20669999999999999</v>
      </c>
      <c r="E420">
        <v>0.20830000000000001</v>
      </c>
      <c r="F420">
        <v>3607654.89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-0.90934844192634456</v>
      </c>
      <c r="Q420">
        <f t="shared" si="975"/>
        <v>-3280615.353229458</v>
      </c>
      <c r="R420">
        <f t="shared" si="976"/>
        <v>-71550488.089916825</v>
      </c>
      <c r="S420">
        <f t="shared" si="977"/>
        <v>-715.50488089916826</v>
      </c>
      <c r="T420">
        <f t="shared" si="978"/>
        <v>-0.71550488089916831</v>
      </c>
    </row>
    <row r="421" spans="1:20" x14ac:dyDescent="0.25">
      <c r="A421" s="5">
        <v>44172</v>
      </c>
      <c r="B421">
        <v>0.2409</v>
      </c>
      <c r="C421">
        <v>0.24210000000000001</v>
      </c>
      <c r="D421">
        <v>0.222</v>
      </c>
      <c r="E421">
        <v>0.2303</v>
      </c>
      <c r="F421">
        <v>2148954.2999999998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-0.17412935323383094</v>
      </c>
      <c r="Q421">
        <f t="shared" si="975"/>
        <v>-374196.02238805988</v>
      </c>
      <c r="R421">
        <f t="shared" si="976"/>
        <v>-68269872.736687362</v>
      </c>
      <c r="S421">
        <f t="shared" si="977"/>
        <v>-682.69872736687364</v>
      </c>
      <c r="T421">
        <f t="shared" si="978"/>
        <v>-0.68269872736687365</v>
      </c>
    </row>
    <row r="422" spans="1:20" x14ac:dyDescent="0.25">
      <c r="A422" s="5">
        <v>44171</v>
      </c>
      <c r="B422">
        <v>0.24030000000000001</v>
      </c>
      <c r="C422">
        <v>0.24260000000000001</v>
      </c>
      <c r="D422">
        <v>0.22170000000000001</v>
      </c>
      <c r="E422">
        <v>0.2419</v>
      </c>
      <c r="F422">
        <v>2965418.83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0.93301435406698507</v>
      </c>
      <c r="Q422">
        <f t="shared" si="975"/>
        <v>2766778.3342105248</v>
      </c>
      <c r="R422">
        <f t="shared" si="976"/>
        <v>-67895676.714299306</v>
      </c>
      <c r="S422">
        <f t="shared" si="977"/>
        <v>-678.95676714299304</v>
      </c>
      <c r="T422">
        <f t="shared" si="978"/>
        <v>-0.67895676714299302</v>
      </c>
    </row>
    <row r="423" spans="1:20" x14ac:dyDescent="0.25">
      <c r="A423" s="5">
        <v>44170</v>
      </c>
      <c r="B423">
        <v>0.21859999999999999</v>
      </c>
      <c r="C423">
        <v>0.25059999999999999</v>
      </c>
      <c r="D423">
        <v>0.21099999999999999</v>
      </c>
      <c r="E423">
        <v>0.23899999999999999</v>
      </c>
      <c r="F423">
        <v>4244537.55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0.41414141414141414</v>
      </c>
      <c r="Q423">
        <f t="shared" si="975"/>
        <v>1757838.7833333332</v>
      </c>
      <c r="R423">
        <f t="shared" si="976"/>
        <v>-70662455.048509836</v>
      </c>
      <c r="S423">
        <f t="shared" si="977"/>
        <v>-706.62455048509833</v>
      </c>
      <c r="T423">
        <f t="shared" si="978"/>
        <v>-0.70662455048509831</v>
      </c>
    </row>
    <row r="424" spans="1:20" x14ac:dyDescent="0.25">
      <c r="A424" s="5">
        <v>44169</v>
      </c>
      <c r="B424">
        <v>0.2601</v>
      </c>
      <c r="C424">
        <v>0.26069999999999999</v>
      </c>
      <c r="D424">
        <v>0.21659999999999999</v>
      </c>
      <c r="E424">
        <v>0.21859999999999999</v>
      </c>
      <c r="F424">
        <v>5159100.0999999996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-0.90929705215419498</v>
      </c>
      <c r="Q424">
        <f t="shared" si="975"/>
        <v>-4691154.5126984119</v>
      </c>
      <c r="R424">
        <f t="shared" si="976"/>
        <v>-72420293.831843168</v>
      </c>
      <c r="S424">
        <f t="shared" si="977"/>
        <v>-724.20293831843162</v>
      </c>
      <c r="T424">
        <f t="shared" si="978"/>
        <v>-0.72420293831843163</v>
      </c>
    </row>
    <row r="425" spans="1:20" x14ac:dyDescent="0.25">
      <c r="A425" s="5">
        <v>44168</v>
      </c>
      <c r="B425">
        <v>0.2727</v>
      </c>
      <c r="C425">
        <v>0.27900000000000003</v>
      </c>
      <c r="D425">
        <v>0.25030000000000002</v>
      </c>
      <c r="E425">
        <v>0.2601</v>
      </c>
      <c r="F425">
        <v>3712328.56</v>
      </c>
      <c r="G425">
        <v>0</v>
      </c>
      <c r="L425" t="s">
        <v>7</v>
      </c>
      <c r="M425" t="s">
        <v>7</v>
      </c>
      <c r="N425" t="s">
        <v>7</v>
      </c>
      <c r="P425">
        <f t="shared" si="974"/>
        <v>-0.3170731707317091</v>
      </c>
      <c r="Q425">
        <f t="shared" si="975"/>
        <v>-1177079.7873170797</v>
      </c>
      <c r="R425">
        <f t="shared" si="976"/>
        <v>-67729139.319144756</v>
      </c>
      <c r="S425">
        <f t="shared" si="977"/>
        <v>-677.29139319144758</v>
      </c>
      <c r="T425">
        <f t="shared" si="978"/>
        <v>-0.6772913931914476</v>
      </c>
    </row>
    <row r="426" spans="1:20" x14ac:dyDescent="0.25">
      <c r="A426" s="5">
        <v>44167</v>
      </c>
      <c r="B426">
        <v>0.25650000000000001</v>
      </c>
      <c r="C426">
        <v>0.30819999999999997</v>
      </c>
      <c r="D426">
        <v>0.2414</v>
      </c>
      <c r="E426">
        <v>0.27200000000000002</v>
      </c>
      <c r="F426">
        <v>16325774.9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-8.3832335329340438E-2</v>
      </c>
      <c r="Q426">
        <f t="shared" si="975"/>
        <v>-1368627.8359281295</v>
      </c>
      <c r="R426">
        <f t="shared" si="976"/>
        <v>-66552059.531827673</v>
      </c>
      <c r="S426">
        <f t="shared" si="977"/>
        <v>-665.52059531827672</v>
      </c>
      <c r="T426">
        <f t="shared" si="978"/>
        <v>-0.66552059531827668</v>
      </c>
    </row>
    <row r="427" spans="1:20" x14ac:dyDescent="0.25">
      <c r="A427" s="5">
        <v>44166</v>
      </c>
      <c r="B427">
        <v>0.2661</v>
      </c>
      <c r="C427">
        <v>0.3054</v>
      </c>
      <c r="D427">
        <v>0.2324</v>
      </c>
      <c r="E427">
        <v>0.25650000000000001</v>
      </c>
      <c r="F427">
        <v>14921497.449999999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-0.3397260273972601</v>
      </c>
      <c r="Q427">
        <f t="shared" si="975"/>
        <v>-5069221.0515068462</v>
      </c>
      <c r="R427">
        <f t="shared" si="976"/>
        <v>-65183431.695899546</v>
      </c>
      <c r="S427">
        <f t="shared" si="977"/>
        <v>-651.83431695899549</v>
      </c>
      <c r="T427">
        <f t="shared" si="978"/>
        <v>-0.65183431695899552</v>
      </c>
    </row>
    <row r="428" spans="1:20" x14ac:dyDescent="0.25">
      <c r="A428" s="5">
        <v>44165</v>
      </c>
      <c r="B428">
        <v>0.28010000000000002</v>
      </c>
      <c r="C428">
        <v>0.28660000000000002</v>
      </c>
      <c r="D428">
        <v>0.25269999999999998</v>
      </c>
      <c r="E428">
        <v>0.2661</v>
      </c>
      <c r="F428">
        <v>8999327.5800000001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-0.20943952802359841</v>
      </c>
      <c r="Q428">
        <f t="shared" si="975"/>
        <v>-1884814.9208849522</v>
      </c>
      <c r="R428">
        <f t="shared" si="976"/>
        <v>-60114210.644392699</v>
      </c>
      <c r="S428">
        <f t="shared" si="977"/>
        <v>-601.14210644392699</v>
      </c>
      <c r="T428">
        <f t="shared" si="978"/>
        <v>-0.60114210644392696</v>
      </c>
    </row>
    <row r="429" spans="1:20" x14ac:dyDescent="0.25">
      <c r="A429" s="5">
        <v>44164</v>
      </c>
      <c r="B429">
        <v>0.29010000000000002</v>
      </c>
      <c r="C429">
        <v>0.31559999999999999</v>
      </c>
      <c r="D429">
        <v>0.26540000000000002</v>
      </c>
      <c r="E429">
        <v>0.28139999999999998</v>
      </c>
      <c r="F429">
        <v>23521298.199999999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-0.36254980079681398</v>
      </c>
      <c r="Q429">
        <f t="shared" si="975"/>
        <v>-8527641.9768924583</v>
      </c>
      <c r="R429">
        <f t="shared" si="976"/>
        <v>-58229395.723507747</v>
      </c>
      <c r="S429">
        <f t="shared" si="977"/>
        <v>-582.29395723507741</v>
      </c>
      <c r="T429">
        <f t="shared" si="978"/>
        <v>-0.58229395723507738</v>
      </c>
    </row>
    <row r="430" spans="1:20" x14ac:dyDescent="0.25">
      <c r="A430" s="5">
        <v>44163</v>
      </c>
      <c r="B430">
        <v>0.22</v>
      </c>
      <c r="C430">
        <v>0.32319999999999999</v>
      </c>
      <c r="D430">
        <v>0.2039</v>
      </c>
      <c r="E430">
        <v>0.28860000000000002</v>
      </c>
      <c r="F430">
        <v>44943094.909999996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0.41994970662196202</v>
      </c>
      <c r="Q430">
        <f t="shared" si="975"/>
        <v>18873839.522137493</v>
      </c>
      <c r="R430">
        <f t="shared" si="976"/>
        <v>-49701753.746615291</v>
      </c>
      <c r="S430">
        <f t="shared" si="977"/>
        <v>-497.01753746615293</v>
      </c>
      <c r="T430">
        <f t="shared" si="978"/>
        <v>-0.4970175374661529</v>
      </c>
    </row>
    <row r="431" spans="1:20" x14ac:dyDescent="0.25">
      <c r="A431" s="5">
        <v>44162</v>
      </c>
      <c r="B431">
        <v>0.23580000000000001</v>
      </c>
      <c r="C431">
        <v>0.26500000000000001</v>
      </c>
      <c r="D431">
        <v>0.1988</v>
      </c>
      <c r="E431">
        <v>0.22</v>
      </c>
      <c r="F431">
        <v>19293107.920000002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-0.35951661631419957</v>
      </c>
      <c r="Q431">
        <f t="shared" si="975"/>
        <v>-6936192.8775830856</v>
      </c>
      <c r="R431">
        <f t="shared" si="976"/>
        <v>-68575593.268752784</v>
      </c>
      <c r="S431">
        <f t="shared" si="977"/>
        <v>-685.75593268752789</v>
      </c>
      <c r="T431">
        <f t="shared" si="978"/>
        <v>-0.68575593268752788</v>
      </c>
    </row>
    <row r="432" spans="1:20" x14ac:dyDescent="0.25">
      <c r="A432" s="5">
        <v>44161</v>
      </c>
      <c r="B432">
        <v>0.38329999999999997</v>
      </c>
      <c r="C432">
        <v>0.39379999999999998</v>
      </c>
      <c r="D432">
        <v>0.20569999999999999</v>
      </c>
      <c r="E432">
        <v>0.23549999999999999</v>
      </c>
      <c r="F432">
        <v>81095449.439999998</v>
      </c>
      <c r="G432">
        <v>0</v>
      </c>
      <c r="L432" t="s">
        <v>8</v>
      </c>
      <c r="M432" t="s">
        <v>7</v>
      </c>
      <c r="N432" t="s">
        <v>8</v>
      </c>
      <c r="P432">
        <f t="shared" si="974"/>
        <v>-0.68314726209463061</v>
      </c>
      <c r="Q432">
        <f t="shared" si="975"/>
        <v>-55400134.253269546</v>
      </c>
      <c r="R432">
        <f t="shared" si="976"/>
        <v>-61639400.391169704</v>
      </c>
      <c r="S432">
        <f t="shared" si="977"/>
        <v>-616.39400391169704</v>
      </c>
      <c r="T432">
        <f t="shared" si="978"/>
        <v>-0.61639400391169707</v>
      </c>
    </row>
    <row r="433" spans="1:20" x14ac:dyDescent="0.25">
      <c r="A433" s="5">
        <v>44160</v>
      </c>
      <c r="B433">
        <v>0.13600000000000001</v>
      </c>
      <c r="C433">
        <v>0.38500000000000001</v>
      </c>
      <c r="D433">
        <v>0.13450000000000001</v>
      </c>
      <c r="E433">
        <v>0.38400000000000001</v>
      </c>
      <c r="F433">
        <v>88221342.930000007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0.99201596806387227</v>
      </c>
      <c r="Q433">
        <f t="shared" si="975"/>
        <v>87516980.910598814</v>
      </c>
      <c r="R433">
        <f t="shared" si="976"/>
        <v>-6239266.1379001588</v>
      </c>
      <c r="S433">
        <f t="shared" si="977"/>
        <v>-62.392661379001588</v>
      </c>
      <c r="T433">
        <f t="shared" si="978"/>
        <v>-6.2392661379001589E-2</v>
      </c>
    </row>
    <row r="434" spans="1:20" x14ac:dyDescent="0.25">
      <c r="A434" s="5">
        <v>44159</v>
      </c>
      <c r="B434">
        <v>0.12740000000000001</v>
      </c>
      <c r="C434">
        <v>0.1391</v>
      </c>
      <c r="D434">
        <v>0.12429999999999999</v>
      </c>
      <c r="E434">
        <v>0.13589999999999999</v>
      </c>
      <c r="F434">
        <v>4032035.57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0.56756756756756666</v>
      </c>
      <c r="Q434">
        <f t="shared" si="975"/>
        <v>2288452.6208108072</v>
      </c>
      <c r="R434">
        <f t="shared" si="976"/>
        <v>-93756247.048498973</v>
      </c>
      <c r="S434">
        <f t="shared" si="977"/>
        <v>-937.56247048498972</v>
      </c>
      <c r="T434">
        <f t="shared" si="978"/>
        <v>-0.93756247048498975</v>
      </c>
    </row>
    <row r="435" spans="1:20" x14ac:dyDescent="0.25">
      <c r="A435" s="5">
        <v>44158</v>
      </c>
      <c r="B435">
        <v>0.1235</v>
      </c>
      <c r="C435">
        <v>0.1308</v>
      </c>
      <c r="D435">
        <v>0.12</v>
      </c>
      <c r="E435">
        <v>0.128</v>
      </c>
      <c r="F435">
        <v>2443356.34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0.48148148148148223</v>
      </c>
      <c r="Q435">
        <f t="shared" si="975"/>
        <v>1176430.8303703722</v>
      </c>
      <c r="R435">
        <f t="shared" si="976"/>
        <v>-96044699.66930978</v>
      </c>
      <c r="S435">
        <f t="shared" si="977"/>
        <v>-960.44699669309784</v>
      </c>
      <c r="T435">
        <f t="shared" si="978"/>
        <v>-0.96044699669309785</v>
      </c>
    </row>
    <row r="436" spans="1:20" x14ac:dyDescent="0.25">
      <c r="A436" s="5">
        <v>44157</v>
      </c>
      <c r="B436">
        <v>0.12920000000000001</v>
      </c>
      <c r="C436">
        <v>0.13239999999999999</v>
      </c>
      <c r="D436">
        <v>0.11650000000000001</v>
      </c>
      <c r="E436">
        <v>0.12379999999999999</v>
      </c>
      <c r="F436">
        <v>1882374.76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-8.1761006289308852E-2</v>
      </c>
      <c r="Q436">
        <f t="shared" si="975"/>
        <v>-153904.85459119623</v>
      </c>
      <c r="R436">
        <f t="shared" si="976"/>
        <v>-97221130.499680147</v>
      </c>
      <c r="S436">
        <f t="shared" si="977"/>
        <v>-972.21130499680146</v>
      </c>
      <c r="T436">
        <f t="shared" si="978"/>
        <v>-0.97221130499680142</v>
      </c>
    </row>
    <row r="437" spans="1:20" x14ac:dyDescent="0.25">
      <c r="A437" s="5">
        <v>44156</v>
      </c>
      <c r="B437">
        <v>0.1222</v>
      </c>
      <c r="C437">
        <v>0.1303</v>
      </c>
      <c r="D437">
        <v>0.1215</v>
      </c>
      <c r="E437">
        <v>0.12859999999999999</v>
      </c>
      <c r="F437">
        <v>2361753.1800000002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0.61363636363636209</v>
      </c>
      <c r="Q437">
        <f t="shared" si="975"/>
        <v>1449257.6331818146</v>
      </c>
      <c r="R437">
        <f t="shared" si="976"/>
        <v>-97067225.645088956</v>
      </c>
      <c r="S437">
        <f t="shared" si="977"/>
        <v>-970.67225645088956</v>
      </c>
      <c r="T437">
        <f t="shared" si="978"/>
        <v>-0.97067225645088961</v>
      </c>
    </row>
    <row r="438" spans="1:20" x14ac:dyDescent="0.25">
      <c r="A438" s="5">
        <v>44155</v>
      </c>
      <c r="B438">
        <v>0.121</v>
      </c>
      <c r="C438">
        <v>0.1236</v>
      </c>
      <c r="D438">
        <v>0.11890000000000001</v>
      </c>
      <c r="E438">
        <v>0.1221</v>
      </c>
      <c r="F438">
        <v>1405048.7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0.36170212765957332</v>
      </c>
      <c r="Q438">
        <f t="shared" si="975"/>
        <v>508209.10425531754</v>
      </c>
      <c r="R438">
        <f t="shared" si="976"/>
        <v>-98516483.278270766</v>
      </c>
      <c r="S438">
        <f t="shared" si="977"/>
        <v>-985.16483278270766</v>
      </c>
      <c r="T438">
        <f t="shared" si="978"/>
        <v>-0.98516483278270761</v>
      </c>
    </row>
    <row r="439" spans="1:20" x14ac:dyDescent="0.25">
      <c r="A439" s="5">
        <v>44154</v>
      </c>
      <c r="B439">
        <v>0.1229</v>
      </c>
      <c r="C439">
        <v>0.1426</v>
      </c>
      <c r="D439">
        <v>0.1195</v>
      </c>
      <c r="E439">
        <v>0.12</v>
      </c>
      <c r="F439">
        <v>4850552.75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-0.95670995670995673</v>
      </c>
      <c r="Q439">
        <f t="shared" si="975"/>
        <v>-4640572.1114718616</v>
      </c>
      <c r="R439">
        <f t="shared" si="976"/>
        <v>-99024692.382526085</v>
      </c>
      <c r="S439">
        <f t="shared" si="977"/>
        <v>-990.24692382526086</v>
      </c>
      <c r="T439">
        <f t="shared" si="978"/>
        <v>-0.99024692382526092</v>
      </c>
    </row>
    <row r="440" spans="1:20" x14ac:dyDescent="0.25">
      <c r="A440" s="5">
        <v>44153</v>
      </c>
      <c r="B440">
        <v>0.1182</v>
      </c>
      <c r="C440">
        <v>0.1258</v>
      </c>
      <c r="D440">
        <v>0.1138</v>
      </c>
      <c r="E440">
        <v>0.1229</v>
      </c>
      <c r="F440">
        <v>2161090.4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0.51666666666666661</v>
      </c>
      <c r="Q440">
        <f t="shared" si="975"/>
        <v>1116563.3733333331</v>
      </c>
      <c r="R440">
        <f t="shared" si="976"/>
        <v>-94384120.271054223</v>
      </c>
      <c r="S440">
        <f t="shared" si="977"/>
        <v>-943.84120271054223</v>
      </c>
      <c r="T440">
        <f t="shared" si="978"/>
        <v>-0.94384120271054228</v>
      </c>
    </row>
    <row r="441" spans="1:20" x14ac:dyDescent="0.25">
      <c r="A441" s="5">
        <v>44152</v>
      </c>
      <c r="B441">
        <v>0.1167</v>
      </c>
      <c r="C441">
        <v>0.12089999999999999</v>
      </c>
      <c r="D441">
        <v>0.1153</v>
      </c>
      <c r="E441">
        <v>0.1178</v>
      </c>
      <c r="F441">
        <v>1275537.83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-0.10714285714285537</v>
      </c>
      <c r="Q441">
        <f t="shared" si="975"/>
        <v>-136664.76749999775</v>
      </c>
      <c r="R441">
        <f t="shared" si="976"/>
        <v>-95500683.644387558</v>
      </c>
      <c r="S441">
        <f t="shared" si="977"/>
        <v>-955.00683644387561</v>
      </c>
      <c r="T441">
        <f t="shared" si="978"/>
        <v>-0.95500683644387563</v>
      </c>
    </row>
    <row r="442" spans="1:20" x14ac:dyDescent="0.25">
      <c r="A442" s="5">
        <v>44151</v>
      </c>
      <c r="B442">
        <v>0.11550000000000001</v>
      </c>
      <c r="C442">
        <v>0.11840000000000001</v>
      </c>
      <c r="D442">
        <v>0.1135</v>
      </c>
      <c r="E442">
        <v>0.1167</v>
      </c>
      <c r="F442">
        <v>943168.13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0.30612244897958918</v>
      </c>
      <c r="Q442">
        <f t="shared" si="975"/>
        <v>288724.93775509956</v>
      </c>
      <c r="R442">
        <f t="shared" si="976"/>
        <v>-95364018.87688756</v>
      </c>
      <c r="S442">
        <f t="shared" si="977"/>
        <v>-953.64018876887565</v>
      </c>
      <c r="T442">
        <f t="shared" si="978"/>
        <v>-0.95364018876887569</v>
      </c>
    </row>
    <row r="443" spans="1:20" x14ac:dyDescent="0.25">
      <c r="A443" s="5">
        <v>44150</v>
      </c>
      <c r="B443">
        <v>0.11559999999999999</v>
      </c>
      <c r="C443">
        <v>0.1188</v>
      </c>
      <c r="D443">
        <v>0.1139</v>
      </c>
      <c r="E443">
        <v>0.1158</v>
      </c>
      <c r="F443">
        <v>781726.64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-0.22448979591836804</v>
      </c>
      <c r="Q443">
        <f t="shared" si="975"/>
        <v>-175489.65387755155</v>
      </c>
      <c r="R443">
        <f t="shared" si="976"/>
        <v>-95652743.814642653</v>
      </c>
      <c r="S443">
        <f t="shared" si="977"/>
        <v>-956.52743814642656</v>
      </c>
      <c r="T443">
        <f t="shared" si="978"/>
        <v>-0.9565274381464266</v>
      </c>
    </row>
    <row r="444" spans="1:20" x14ac:dyDescent="0.25">
      <c r="A444" s="5">
        <v>44149</v>
      </c>
      <c r="B444">
        <v>0.1187</v>
      </c>
      <c r="C444">
        <v>0.1187</v>
      </c>
      <c r="D444">
        <v>0.113</v>
      </c>
      <c r="E444">
        <v>0.11609999999999999</v>
      </c>
      <c r="F444">
        <v>732465.14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8.7719298245611727E-2</v>
      </c>
      <c r="Q444">
        <f t="shared" si="975"/>
        <v>64251.328070173746</v>
      </c>
      <c r="R444">
        <f t="shared" si="976"/>
        <v>-95477254.160765097</v>
      </c>
      <c r="S444">
        <f t="shared" si="977"/>
        <v>-954.77254160765096</v>
      </c>
      <c r="T444">
        <f t="shared" si="978"/>
        <v>-0.95477254160765102</v>
      </c>
    </row>
    <row r="445" spans="1:20" x14ac:dyDescent="0.25">
      <c r="A445" s="5">
        <v>44148</v>
      </c>
      <c r="B445">
        <v>0.11550000000000001</v>
      </c>
      <c r="C445">
        <v>0.1206</v>
      </c>
      <c r="D445">
        <v>0.1148</v>
      </c>
      <c r="E445">
        <v>0.11840000000000001</v>
      </c>
      <c r="F445">
        <v>476048.54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0.24137931034482973</v>
      </c>
      <c r="Q445">
        <f t="shared" si="975"/>
        <v>114908.26827586308</v>
      </c>
      <c r="R445">
        <f t="shared" si="976"/>
        <v>-95541505.488835275</v>
      </c>
      <c r="S445">
        <f t="shared" si="977"/>
        <v>-955.41505488835276</v>
      </c>
      <c r="T445">
        <f t="shared" si="978"/>
        <v>-0.95541505488835277</v>
      </c>
    </row>
    <row r="446" spans="1:20" x14ac:dyDescent="0.25">
      <c r="A446" s="5">
        <v>44147</v>
      </c>
      <c r="B446">
        <v>0.1203</v>
      </c>
      <c r="C446">
        <v>0.1206</v>
      </c>
      <c r="D446">
        <v>0.1135</v>
      </c>
      <c r="E446">
        <v>0.1162</v>
      </c>
      <c r="F446">
        <v>511984.18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-0.23943661971831101</v>
      </c>
      <c r="Q446">
        <f t="shared" si="975"/>
        <v>-122587.76140845129</v>
      </c>
      <c r="R446">
        <f t="shared" si="976"/>
        <v>-95656413.757111132</v>
      </c>
      <c r="S446">
        <f t="shared" si="977"/>
        <v>-956.56413757111136</v>
      </c>
      <c r="T446">
        <f t="shared" si="978"/>
        <v>-0.95656413757111136</v>
      </c>
    </row>
    <row r="447" spans="1:20" x14ac:dyDescent="0.25">
      <c r="A447" s="5">
        <v>44146</v>
      </c>
      <c r="B447">
        <v>0.1193</v>
      </c>
      <c r="C447">
        <v>0.1249</v>
      </c>
      <c r="D447">
        <v>0.11840000000000001</v>
      </c>
      <c r="E447">
        <v>0.1203</v>
      </c>
      <c r="F447">
        <v>1219651.22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-0.41538461538461496</v>
      </c>
      <c r="Q447">
        <f t="shared" si="975"/>
        <v>-506624.35292307643</v>
      </c>
      <c r="R447">
        <f t="shared" si="976"/>
        <v>-95533825.995702684</v>
      </c>
      <c r="S447">
        <f t="shared" si="977"/>
        <v>-955.33825995702682</v>
      </c>
      <c r="T447">
        <f t="shared" si="978"/>
        <v>-0.95533825995702681</v>
      </c>
    </row>
    <row r="448" spans="1:20" x14ac:dyDescent="0.25">
      <c r="A448" s="5">
        <v>44145</v>
      </c>
      <c r="B448">
        <v>0.1177</v>
      </c>
      <c r="C448">
        <v>0.12429999999999999</v>
      </c>
      <c r="D448">
        <v>0.1149</v>
      </c>
      <c r="E448">
        <v>0.12</v>
      </c>
      <c r="F448">
        <v>2127316.4900000002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8.5106382978722958E-2</v>
      </c>
      <c r="Q448">
        <f t="shared" si="975"/>
        <v>181048.21191489269</v>
      </c>
      <c r="R448">
        <f t="shared" si="976"/>
        <v>-95027201.642779604</v>
      </c>
      <c r="S448">
        <f t="shared" si="977"/>
        <v>-950.27201642779607</v>
      </c>
      <c r="T448">
        <f t="shared" si="978"/>
        <v>-0.95027201642779613</v>
      </c>
    </row>
    <row r="449" spans="1:20" x14ac:dyDescent="0.25">
      <c r="A449" s="5">
        <v>44144</v>
      </c>
      <c r="B449">
        <v>0.11849999999999999</v>
      </c>
      <c r="C449">
        <v>0.127</v>
      </c>
      <c r="D449">
        <v>0.1072</v>
      </c>
      <c r="E449">
        <v>0.1181</v>
      </c>
      <c r="F449">
        <v>4222136.08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0.10101010101010041</v>
      </c>
      <c r="Q449">
        <f t="shared" si="975"/>
        <v>426478.39191918942</v>
      </c>
      <c r="R449">
        <f t="shared" si="976"/>
        <v>-95208249.854694501</v>
      </c>
      <c r="S449">
        <f t="shared" si="977"/>
        <v>-952.08249854694498</v>
      </c>
      <c r="T449">
        <f t="shared" si="978"/>
        <v>-0.95208249854694493</v>
      </c>
    </row>
    <row r="450" spans="1:20" x14ac:dyDescent="0.25">
      <c r="A450" s="5">
        <v>44143</v>
      </c>
      <c r="B450">
        <v>0.1105</v>
      </c>
      <c r="C450">
        <v>0.1211</v>
      </c>
      <c r="D450">
        <v>0.1095</v>
      </c>
      <c r="E450">
        <v>0.1192</v>
      </c>
      <c r="F450">
        <v>1104697.6000000001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0.6724137931034484</v>
      </c>
      <c r="Q450">
        <f t="shared" si="975"/>
        <v>742813.90344827611</v>
      </c>
      <c r="R450">
        <f t="shared" si="976"/>
        <v>-95634728.246613696</v>
      </c>
      <c r="S450">
        <f t="shared" si="977"/>
        <v>-956.34728246613702</v>
      </c>
      <c r="T450">
        <f t="shared" si="978"/>
        <v>-0.95634728246613698</v>
      </c>
    </row>
    <row r="451" spans="1:20" x14ac:dyDescent="0.25">
      <c r="A451" s="5">
        <v>44142</v>
      </c>
      <c r="B451">
        <v>0.1145</v>
      </c>
      <c r="C451">
        <v>0.1237</v>
      </c>
      <c r="D451">
        <v>0.1069</v>
      </c>
      <c r="E451">
        <v>0.10970000000000001</v>
      </c>
      <c r="F451">
        <v>1527511.08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-0.66666666666666552</v>
      </c>
      <c r="Q451">
        <f t="shared" si="975"/>
        <v>-1018340.7199999983</v>
      </c>
      <c r="R451">
        <f t="shared" si="976"/>
        <v>-96377542.150061965</v>
      </c>
      <c r="S451">
        <f t="shared" si="977"/>
        <v>-963.7754215006197</v>
      </c>
      <c r="T451">
        <f t="shared" si="978"/>
        <v>-0.96377542150061968</v>
      </c>
    </row>
    <row r="452" spans="1:20" x14ac:dyDescent="0.25">
      <c r="A452" s="5">
        <v>44141</v>
      </c>
      <c r="B452">
        <v>0.1067</v>
      </c>
      <c r="C452">
        <v>0.115</v>
      </c>
      <c r="D452">
        <v>0.1052</v>
      </c>
      <c r="E452">
        <v>0.1143</v>
      </c>
      <c r="F452">
        <v>1353182.12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0.85714285714285587</v>
      </c>
      <c r="Q452">
        <f t="shared" si="975"/>
        <v>1159870.388571427</v>
      </c>
      <c r="R452">
        <f t="shared" si="976"/>
        <v>-95359201.430061966</v>
      </c>
      <c r="S452">
        <f t="shared" si="977"/>
        <v>-953.59201430061967</v>
      </c>
      <c r="T452">
        <f t="shared" si="978"/>
        <v>-0.95359201430061968</v>
      </c>
    </row>
    <row r="453" spans="1:20" x14ac:dyDescent="0.25">
      <c r="A453" s="5">
        <v>44140</v>
      </c>
      <c r="B453">
        <v>0.10299999999999999</v>
      </c>
      <c r="C453">
        <v>0.10879999999999999</v>
      </c>
      <c r="D453">
        <v>0.1027</v>
      </c>
      <c r="E453">
        <v>0.1065</v>
      </c>
      <c r="F453">
        <v>622556.12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0.24590163934426273</v>
      </c>
      <c r="Q453">
        <f t="shared" si="975"/>
        <v>153087.57049180355</v>
      </c>
      <c r="R453">
        <f t="shared" si="976"/>
        <v>-96519071.818633392</v>
      </c>
      <c r="S453">
        <f t="shared" si="977"/>
        <v>-965.19071818633392</v>
      </c>
      <c r="T453">
        <f t="shared" si="978"/>
        <v>-0.96519071818633395</v>
      </c>
    </row>
    <row r="454" spans="1:20" x14ac:dyDescent="0.25">
      <c r="A454" s="5">
        <v>44139</v>
      </c>
      <c r="B454">
        <v>0.1016</v>
      </c>
      <c r="C454">
        <v>0.10630000000000001</v>
      </c>
      <c r="D454">
        <v>9.8500000000000004E-2</v>
      </c>
      <c r="E454">
        <v>0.10249999999999999</v>
      </c>
      <c r="F454">
        <v>562364.93999999994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2.5641025641022813E-2</v>
      </c>
      <c r="Q454">
        <f t="shared" ref="Q454:Q517" si="980">F454*P454</f>
        <v>14419.613846152253</v>
      </c>
      <c r="R454">
        <f t="shared" ref="R454:R517" si="981">R455+Q454</f>
        <v>-96672159.389125198</v>
      </c>
      <c r="S454">
        <f t="shared" ref="S454:S517" si="982">R454/100000</f>
        <v>-966.72159389125193</v>
      </c>
      <c r="T454">
        <f t="shared" ref="T454:T517" si="983">S454/1000</f>
        <v>-0.9667215938912519</v>
      </c>
    </row>
    <row r="455" spans="1:20" x14ac:dyDescent="0.25">
      <c r="A455" s="5">
        <v>44138</v>
      </c>
      <c r="B455">
        <v>0.10199999999999999</v>
      </c>
      <c r="C455">
        <v>0.10929999999999999</v>
      </c>
      <c r="D455">
        <v>9.8100000000000007E-2</v>
      </c>
      <c r="E455">
        <v>0.10150000000000001</v>
      </c>
      <c r="F455">
        <v>611479.29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-0.39285714285714213</v>
      </c>
      <c r="Q455">
        <f t="shared" si="980"/>
        <v>-240224.00678571386</v>
      </c>
      <c r="R455">
        <f t="shared" si="981"/>
        <v>-96686579.002971351</v>
      </c>
      <c r="S455">
        <f t="shared" si="982"/>
        <v>-966.86579002971348</v>
      </c>
      <c r="T455">
        <f t="shared" si="983"/>
        <v>-0.96686579002971351</v>
      </c>
    </row>
    <row r="456" spans="1:20" x14ac:dyDescent="0.25">
      <c r="A456" s="5">
        <v>44137</v>
      </c>
      <c r="B456">
        <v>0.1067</v>
      </c>
      <c r="C456">
        <v>0.1081</v>
      </c>
      <c r="D456">
        <v>0.1016</v>
      </c>
      <c r="E456">
        <v>0.1024</v>
      </c>
      <c r="F456">
        <v>504976.44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-0.75384615384615128</v>
      </c>
      <c r="Q456">
        <f t="shared" si="980"/>
        <v>-380674.54707692179</v>
      </c>
      <c r="R456">
        <f t="shared" si="981"/>
        <v>-96446354.996185631</v>
      </c>
      <c r="S456">
        <f t="shared" si="982"/>
        <v>-964.4635499618563</v>
      </c>
      <c r="T456">
        <f t="shared" si="983"/>
        <v>-0.96446354996185635</v>
      </c>
    </row>
    <row r="457" spans="1:20" x14ac:dyDescent="0.25">
      <c r="A457" s="5">
        <v>44136</v>
      </c>
      <c r="B457">
        <v>0.106</v>
      </c>
      <c r="C457">
        <v>0.1075</v>
      </c>
      <c r="D457">
        <v>0.1046</v>
      </c>
      <c r="E457">
        <v>0.1071</v>
      </c>
      <c r="F457">
        <v>373098.41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0.72413793103448443</v>
      </c>
      <c r="Q457">
        <f t="shared" si="980"/>
        <v>270174.7106896558</v>
      </c>
      <c r="R457">
        <f t="shared" si="981"/>
        <v>-96065680.449108705</v>
      </c>
      <c r="S457">
        <f t="shared" si="982"/>
        <v>-960.65680449108709</v>
      </c>
      <c r="T457">
        <f t="shared" si="983"/>
        <v>-0.96065680449108704</v>
      </c>
    </row>
    <row r="458" spans="1:20" x14ac:dyDescent="0.25">
      <c r="A458" s="5">
        <v>44135</v>
      </c>
      <c r="B458">
        <v>0.1042</v>
      </c>
      <c r="C458">
        <v>0.1182</v>
      </c>
      <c r="D458">
        <v>0.10340000000000001</v>
      </c>
      <c r="E458">
        <v>0.10580000000000001</v>
      </c>
      <c r="F458">
        <v>2505465.7799999998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-0.67567567567567566</v>
      </c>
      <c r="Q458">
        <f t="shared" si="980"/>
        <v>-1692882.2837837837</v>
      </c>
      <c r="R458">
        <f t="shared" si="981"/>
        <v>-96335855.159798354</v>
      </c>
      <c r="S458">
        <f t="shared" si="982"/>
        <v>-963.35855159798359</v>
      </c>
      <c r="T458">
        <f t="shared" si="983"/>
        <v>-0.96335855159798356</v>
      </c>
    </row>
    <row r="459" spans="1:20" x14ac:dyDescent="0.25">
      <c r="A459" s="5">
        <v>44134</v>
      </c>
      <c r="B459">
        <v>0.1077</v>
      </c>
      <c r="C459">
        <v>0.1094</v>
      </c>
      <c r="D459">
        <v>0.1011</v>
      </c>
      <c r="E459">
        <v>0.1042</v>
      </c>
      <c r="F459">
        <v>625959.49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-0.2530120481927699</v>
      </c>
      <c r="Q459">
        <f t="shared" si="980"/>
        <v>-158375.29265060165</v>
      </c>
      <c r="R459">
        <f t="shared" si="981"/>
        <v>-94642972.876014575</v>
      </c>
      <c r="S459">
        <f t="shared" si="982"/>
        <v>-946.42972876014574</v>
      </c>
      <c r="T459">
        <f t="shared" si="983"/>
        <v>-0.94642972876014575</v>
      </c>
    </row>
    <row r="460" spans="1:20" x14ac:dyDescent="0.25">
      <c r="A460" s="5">
        <v>44133</v>
      </c>
      <c r="B460">
        <v>0.1132</v>
      </c>
      <c r="C460">
        <v>0.1132</v>
      </c>
      <c r="D460">
        <v>0.10680000000000001</v>
      </c>
      <c r="E460">
        <v>0.1081</v>
      </c>
      <c r="F460">
        <v>896438.44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-0.59375000000000067</v>
      </c>
      <c r="Q460">
        <f t="shared" si="980"/>
        <v>-532260.32375000056</v>
      </c>
      <c r="R460">
        <f t="shared" si="981"/>
        <v>-94484597.58336398</v>
      </c>
      <c r="S460">
        <f t="shared" si="982"/>
        <v>-944.84597583363984</v>
      </c>
      <c r="T460">
        <f t="shared" si="983"/>
        <v>-0.94484597583363983</v>
      </c>
    </row>
    <row r="461" spans="1:20" x14ac:dyDescent="0.25">
      <c r="A461" s="5">
        <v>44132</v>
      </c>
      <c r="B461">
        <v>0.1181</v>
      </c>
      <c r="C461">
        <v>0.1193</v>
      </c>
      <c r="D461">
        <v>0.1101</v>
      </c>
      <c r="E461">
        <v>0.1132</v>
      </c>
      <c r="F461">
        <v>1044652.05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-0.32608695652174091</v>
      </c>
      <c r="Q461">
        <f t="shared" si="980"/>
        <v>-340647.40760869754</v>
      </c>
      <c r="R461">
        <f t="shared" si="981"/>
        <v>-93952337.259613976</v>
      </c>
      <c r="S461">
        <f t="shared" si="982"/>
        <v>-939.52337259613978</v>
      </c>
      <c r="T461">
        <f t="shared" si="983"/>
        <v>-0.93952337259613983</v>
      </c>
    </row>
    <row r="462" spans="1:20" x14ac:dyDescent="0.25">
      <c r="A462" s="5">
        <v>44131</v>
      </c>
      <c r="B462">
        <v>0.11849999999999999</v>
      </c>
      <c r="C462">
        <v>0.12089999999999999</v>
      </c>
      <c r="D462">
        <v>0.1163</v>
      </c>
      <c r="E462">
        <v>0.1178</v>
      </c>
      <c r="F462">
        <v>682834.46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-0.34782608695652018</v>
      </c>
      <c r="Q462">
        <f t="shared" si="980"/>
        <v>-237507.63826086849</v>
      </c>
      <c r="R462">
        <f t="shared" si="981"/>
        <v>-93611689.852005273</v>
      </c>
      <c r="S462">
        <f t="shared" si="982"/>
        <v>-936.1168985200527</v>
      </c>
      <c r="T462">
        <f t="shared" si="983"/>
        <v>-0.93611689852005275</v>
      </c>
    </row>
    <row r="463" spans="1:20" x14ac:dyDescent="0.25">
      <c r="A463" s="5">
        <v>44130</v>
      </c>
      <c r="B463">
        <v>0.12540000000000001</v>
      </c>
      <c r="C463">
        <v>0.1263</v>
      </c>
      <c r="D463">
        <v>0.11559999999999999</v>
      </c>
      <c r="E463">
        <v>0.1191</v>
      </c>
      <c r="F463">
        <v>1187790.8799999999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-0.34579439252336397</v>
      </c>
      <c r="Q463">
        <f t="shared" si="980"/>
        <v>-410731.42579439189</v>
      </c>
      <c r="R463">
        <f t="shared" si="981"/>
        <v>-93374182.213744402</v>
      </c>
      <c r="S463">
        <f t="shared" si="982"/>
        <v>-933.74182213744405</v>
      </c>
      <c r="T463">
        <f t="shared" si="983"/>
        <v>-0.93374182213744406</v>
      </c>
    </row>
    <row r="464" spans="1:20" x14ac:dyDescent="0.25">
      <c r="A464" s="5">
        <v>44129</v>
      </c>
      <c r="B464">
        <v>0.12570000000000001</v>
      </c>
      <c r="C464">
        <v>0.13519999999999999</v>
      </c>
      <c r="D464">
        <v>0.1246</v>
      </c>
      <c r="E464">
        <v>0.1255</v>
      </c>
      <c r="F464">
        <v>1404238.44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-0.83018867924528317</v>
      </c>
      <c r="Q464">
        <f t="shared" si="980"/>
        <v>-1165782.8558490567</v>
      </c>
      <c r="R464">
        <f t="shared" si="981"/>
        <v>-92963450.787950009</v>
      </c>
      <c r="S464">
        <f t="shared" si="982"/>
        <v>-929.63450787950012</v>
      </c>
      <c r="T464">
        <f t="shared" si="983"/>
        <v>-0.92963450787950008</v>
      </c>
    </row>
    <row r="465" spans="1:20" x14ac:dyDescent="0.25">
      <c r="A465" s="5">
        <v>44128</v>
      </c>
      <c r="B465">
        <v>0.1234</v>
      </c>
      <c r="C465">
        <v>0.12620000000000001</v>
      </c>
      <c r="D465">
        <v>0.1225</v>
      </c>
      <c r="E465">
        <v>0.125</v>
      </c>
      <c r="F465">
        <v>520944.88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0.35135135135134932</v>
      </c>
      <c r="Q465">
        <f t="shared" si="980"/>
        <v>183034.68756756652</v>
      </c>
      <c r="R465">
        <f t="shared" si="981"/>
        <v>-91797667.932100952</v>
      </c>
      <c r="S465">
        <f t="shared" si="982"/>
        <v>-917.97667932100956</v>
      </c>
      <c r="T465">
        <f t="shared" si="983"/>
        <v>-0.91797667932100957</v>
      </c>
    </row>
    <row r="466" spans="1:20" x14ac:dyDescent="0.25">
      <c r="A466" s="5">
        <v>44127</v>
      </c>
      <c r="B466">
        <v>0.1212</v>
      </c>
      <c r="C466">
        <v>0.12590000000000001</v>
      </c>
      <c r="D466">
        <v>0.1193</v>
      </c>
      <c r="E466">
        <v>0.1227</v>
      </c>
      <c r="F466">
        <v>1163053.03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3.0303030303029027E-2</v>
      </c>
      <c r="Q466">
        <f t="shared" si="980"/>
        <v>35244.031212119728</v>
      </c>
      <c r="R466">
        <f t="shared" si="981"/>
        <v>-91980702.619668514</v>
      </c>
      <c r="S466">
        <f t="shared" si="982"/>
        <v>-919.80702619668511</v>
      </c>
      <c r="T466">
        <f t="shared" si="983"/>
        <v>-0.91980702619668508</v>
      </c>
    </row>
    <row r="467" spans="1:20" x14ac:dyDescent="0.25">
      <c r="A467" s="5">
        <v>44126</v>
      </c>
      <c r="B467">
        <v>0.1187</v>
      </c>
      <c r="C467">
        <v>0.14449999999999999</v>
      </c>
      <c r="D467">
        <v>0.11799999999999999</v>
      </c>
      <c r="E467">
        <v>0.1208</v>
      </c>
      <c r="F467">
        <v>5651254.8700000001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-0.78867924528301803</v>
      </c>
      <c r="Q467">
        <f t="shared" si="980"/>
        <v>-4457027.4257735806</v>
      </c>
      <c r="R467">
        <f t="shared" si="981"/>
        <v>-92015946.650880635</v>
      </c>
      <c r="S467">
        <f t="shared" si="982"/>
        <v>-920.1594665088063</v>
      </c>
      <c r="T467">
        <f t="shared" si="983"/>
        <v>-0.92015946650880631</v>
      </c>
    </row>
    <row r="468" spans="1:20" x14ac:dyDescent="0.25">
      <c r="A468" s="5">
        <v>44125</v>
      </c>
      <c r="B468">
        <v>0.11550000000000001</v>
      </c>
      <c r="C468">
        <v>0.1221</v>
      </c>
      <c r="D468">
        <v>0.11509999999999999</v>
      </c>
      <c r="E468">
        <v>0.1187</v>
      </c>
      <c r="F468">
        <v>669629.81999999995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2.8571428571429365E-2</v>
      </c>
      <c r="Q468">
        <f t="shared" si="980"/>
        <v>19132.280571429103</v>
      </c>
      <c r="R468">
        <f t="shared" si="981"/>
        <v>-87558919.225107059</v>
      </c>
      <c r="S468">
        <f t="shared" si="982"/>
        <v>-875.58919225107059</v>
      </c>
      <c r="T468">
        <f t="shared" si="983"/>
        <v>-0.87558919225107057</v>
      </c>
    </row>
    <row r="469" spans="1:20" x14ac:dyDescent="0.25">
      <c r="A469" s="5">
        <v>44124</v>
      </c>
      <c r="B469">
        <v>0.1212</v>
      </c>
      <c r="C469">
        <v>0.1212</v>
      </c>
      <c r="D469">
        <v>0.11210000000000001</v>
      </c>
      <c r="E469">
        <v>0.1154</v>
      </c>
      <c r="F469">
        <v>556347.74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-0.27472527472527508</v>
      </c>
      <c r="Q469">
        <f t="shared" si="980"/>
        <v>-152842.78571428591</v>
      </c>
      <c r="R469">
        <f t="shared" si="981"/>
        <v>-87578051.50567849</v>
      </c>
      <c r="S469">
        <f t="shared" si="982"/>
        <v>-875.78051505678491</v>
      </c>
      <c r="T469">
        <f t="shared" si="983"/>
        <v>-0.87578051505678489</v>
      </c>
    </row>
    <row r="470" spans="1:20" x14ac:dyDescent="0.25">
      <c r="A470" s="5">
        <v>44123</v>
      </c>
      <c r="B470">
        <v>0.12189999999999999</v>
      </c>
      <c r="C470">
        <v>0.12790000000000001</v>
      </c>
      <c r="D470">
        <v>0.12039999999999999</v>
      </c>
      <c r="E470">
        <v>0.1211</v>
      </c>
      <c r="F470">
        <v>808235.18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-0.81333333333333224</v>
      </c>
      <c r="Q470">
        <f t="shared" si="980"/>
        <v>-657364.61306666583</v>
      </c>
      <c r="R470">
        <f t="shared" si="981"/>
        <v>-87425208.719964206</v>
      </c>
      <c r="S470">
        <f t="shared" si="982"/>
        <v>-874.25208719964201</v>
      </c>
      <c r="T470">
        <f t="shared" si="983"/>
        <v>-0.87425208719964198</v>
      </c>
    </row>
    <row r="471" spans="1:20" x14ac:dyDescent="0.25">
      <c r="A471" s="5">
        <v>44122</v>
      </c>
      <c r="B471">
        <v>0.1226</v>
      </c>
      <c r="C471">
        <v>0.12330000000000001</v>
      </c>
      <c r="D471">
        <v>0.1208</v>
      </c>
      <c r="E471">
        <v>0.12189999999999999</v>
      </c>
      <c r="F471">
        <v>420253.14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-0.12000000000000888</v>
      </c>
      <c r="Q471">
        <f t="shared" si="980"/>
        <v>-50430.376800003731</v>
      </c>
      <c r="R471">
        <f t="shared" si="981"/>
        <v>-86767844.106897548</v>
      </c>
      <c r="S471">
        <f t="shared" si="982"/>
        <v>-867.67844106897553</v>
      </c>
      <c r="T471">
        <f t="shared" si="983"/>
        <v>-0.86767844106897551</v>
      </c>
    </row>
    <row r="472" spans="1:20" x14ac:dyDescent="0.25">
      <c r="A472" s="5">
        <v>44121</v>
      </c>
      <c r="B472">
        <v>0.11899999999999999</v>
      </c>
      <c r="C472">
        <v>0.1283</v>
      </c>
      <c r="D472">
        <v>0.11849999999999999</v>
      </c>
      <c r="E472">
        <v>0.1217</v>
      </c>
      <c r="F472">
        <v>1322074.29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-0.34693877551020258</v>
      </c>
      <c r="Q472">
        <f t="shared" si="980"/>
        <v>-458678.83530612045</v>
      </c>
      <c r="R472">
        <f t="shared" si="981"/>
        <v>-86717413.730097547</v>
      </c>
      <c r="S472">
        <f t="shared" si="982"/>
        <v>-867.17413730097542</v>
      </c>
      <c r="T472">
        <f t="shared" si="983"/>
        <v>-0.86717413730097537</v>
      </c>
    </row>
    <row r="473" spans="1:20" x14ac:dyDescent="0.25">
      <c r="A473" s="5">
        <v>44120</v>
      </c>
      <c r="B473">
        <v>0.123</v>
      </c>
      <c r="C473">
        <v>0.1232</v>
      </c>
      <c r="D473">
        <v>0.11600000000000001</v>
      </c>
      <c r="E473">
        <v>0.1192</v>
      </c>
      <c r="F473">
        <v>720603.59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-0.1111111111111124</v>
      </c>
      <c r="Q473">
        <f t="shared" si="980"/>
        <v>-80067.065555556474</v>
      </c>
      <c r="R473">
        <f t="shared" si="981"/>
        <v>-86258734.894791424</v>
      </c>
      <c r="S473">
        <f t="shared" si="982"/>
        <v>-862.58734894791428</v>
      </c>
      <c r="T473">
        <f t="shared" si="983"/>
        <v>-0.86258734894791433</v>
      </c>
    </row>
    <row r="474" spans="1:20" x14ac:dyDescent="0.25">
      <c r="A474" s="5">
        <v>44119</v>
      </c>
      <c r="B474">
        <v>0.1211</v>
      </c>
      <c r="C474">
        <v>0.1241</v>
      </c>
      <c r="D474">
        <v>0.1181</v>
      </c>
      <c r="E474">
        <v>0.12239999999999999</v>
      </c>
      <c r="F474">
        <v>334503.95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0.43333333333333146</v>
      </c>
      <c r="Q474">
        <f t="shared" si="980"/>
        <v>144951.71166666606</v>
      </c>
      <c r="R474">
        <f t="shared" si="981"/>
        <v>-86178667.829235867</v>
      </c>
      <c r="S474">
        <f t="shared" si="982"/>
        <v>-861.78667829235872</v>
      </c>
      <c r="T474">
        <f t="shared" si="983"/>
        <v>-0.86178667829235867</v>
      </c>
    </row>
    <row r="475" spans="1:20" x14ac:dyDescent="0.25">
      <c r="A475" s="5">
        <v>44118</v>
      </c>
      <c r="B475">
        <v>0.1235</v>
      </c>
      <c r="C475">
        <v>0.1245</v>
      </c>
      <c r="D475">
        <v>0.1188</v>
      </c>
      <c r="E475">
        <v>0.1203</v>
      </c>
      <c r="F475">
        <v>321552.49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-0.47368421052631504</v>
      </c>
      <c r="Q475">
        <f t="shared" si="980"/>
        <v>-152314.33736842082</v>
      </c>
      <c r="R475">
        <f t="shared" si="981"/>
        <v>-86323619.54090254</v>
      </c>
      <c r="S475">
        <f t="shared" si="982"/>
        <v>-863.23619540902541</v>
      </c>
      <c r="T475">
        <f t="shared" si="983"/>
        <v>-0.86323619540902541</v>
      </c>
    </row>
    <row r="476" spans="1:20" x14ac:dyDescent="0.25">
      <c r="A476" s="5">
        <v>44117</v>
      </c>
      <c r="B476">
        <v>0.12609999999999999</v>
      </c>
      <c r="C476">
        <v>0.1265</v>
      </c>
      <c r="D476">
        <v>0.1211</v>
      </c>
      <c r="E476">
        <v>0.1236</v>
      </c>
      <c r="F476">
        <v>340553.68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-7.4074074074073598E-2</v>
      </c>
      <c r="Q476">
        <f t="shared" si="980"/>
        <v>-25226.198518518355</v>
      </c>
      <c r="R476">
        <f t="shared" si="981"/>
        <v>-86171305.203534126</v>
      </c>
      <c r="S476">
        <f t="shared" si="982"/>
        <v>-861.71305203534121</v>
      </c>
      <c r="T476">
        <f t="shared" si="983"/>
        <v>-0.86171305203534121</v>
      </c>
    </row>
    <row r="477" spans="1:20" x14ac:dyDescent="0.25">
      <c r="A477" s="5">
        <v>44116</v>
      </c>
      <c r="B477">
        <v>0.1268</v>
      </c>
      <c r="C477">
        <v>0.129</v>
      </c>
      <c r="D477">
        <v>0.1215</v>
      </c>
      <c r="E477">
        <v>0.1263</v>
      </c>
      <c r="F477">
        <v>768426.41</v>
      </c>
      <c r="G477">
        <v>0</v>
      </c>
      <c r="L477" t="s">
        <v>7</v>
      </c>
      <c r="M477" t="s">
        <v>7</v>
      </c>
      <c r="N477" t="s">
        <v>7</v>
      </c>
      <c r="P477">
        <f t="shared" si="979"/>
        <v>0.27999999999999853</v>
      </c>
      <c r="Q477">
        <f t="shared" si="980"/>
        <v>215159.39479999887</v>
      </c>
      <c r="R477">
        <f t="shared" si="981"/>
        <v>-86146079.005015612</v>
      </c>
      <c r="S477">
        <f t="shared" si="982"/>
        <v>-861.46079005015611</v>
      </c>
      <c r="T477">
        <f t="shared" si="983"/>
        <v>-0.86146079005015608</v>
      </c>
    </row>
    <row r="478" spans="1:20" x14ac:dyDescent="0.25">
      <c r="A478" s="5">
        <v>44115</v>
      </c>
      <c r="B478">
        <v>0.12640000000000001</v>
      </c>
      <c r="C478">
        <v>0.14000000000000001</v>
      </c>
      <c r="D478">
        <v>0.124</v>
      </c>
      <c r="E478">
        <v>0.12670000000000001</v>
      </c>
      <c r="F478">
        <v>1448962.92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-0.66249999999999931</v>
      </c>
      <c r="Q478">
        <f t="shared" si="980"/>
        <v>-959937.93449999893</v>
      </c>
      <c r="R478">
        <f t="shared" si="981"/>
        <v>-86361238.399815604</v>
      </c>
      <c r="S478">
        <f t="shared" si="982"/>
        <v>-863.61238399815602</v>
      </c>
      <c r="T478">
        <f t="shared" si="983"/>
        <v>-0.86361238399815599</v>
      </c>
    </row>
    <row r="479" spans="1:20" x14ac:dyDescent="0.25">
      <c r="A479" s="5">
        <v>44114</v>
      </c>
      <c r="B479">
        <v>0.12790000000000001</v>
      </c>
      <c r="C479">
        <v>0.14499999999999999</v>
      </c>
      <c r="D479">
        <v>0.1244</v>
      </c>
      <c r="E479">
        <v>0.12640000000000001</v>
      </c>
      <c r="F479">
        <v>2023951.22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-0.80582524271844502</v>
      </c>
      <c r="Q479">
        <f t="shared" si="980"/>
        <v>-1630950.9831067929</v>
      </c>
      <c r="R479">
        <f t="shared" si="981"/>
        <v>-85401300.46531561</v>
      </c>
      <c r="S479">
        <f t="shared" si="982"/>
        <v>-854.01300465315614</v>
      </c>
      <c r="T479">
        <f t="shared" si="983"/>
        <v>-0.8540130046531561</v>
      </c>
    </row>
    <row r="480" spans="1:20" x14ac:dyDescent="0.25">
      <c r="A480" s="5">
        <v>44113</v>
      </c>
      <c r="B480">
        <v>0.12180000000000001</v>
      </c>
      <c r="C480">
        <v>0.12939999999999999</v>
      </c>
      <c r="D480">
        <v>0.1197</v>
      </c>
      <c r="E480">
        <v>0.12740000000000001</v>
      </c>
      <c r="F480">
        <v>1539463.36</v>
      </c>
      <c r="G480">
        <v>0</v>
      </c>
      <c r="L480" t="s">
        <v>7</v>
      </c>
      <c r="M480" t="s">
        <v>8</v>
      </c>
      <c r="N480" t="s">
        <v>7</v>
      </c>
      <c r="P480">
        <f t="shared" si="979"/>
        <v>0.58762886597938624</v>
      </c>
      <c r="Q480">
        <f t="shared" si="980"/>
        <v>904633.10845361568</v>
      </c>
      <c r="R480">
        <f t="shared" si="981"/>
        <v>-83770349.482208818</v>
      </c>
      <c r="S480">
        <f t="shared" si="982"/>
        <v>-837.70349482208815</v>
      </c>
      <c r="T480">
        <f t="shared" si="983"/>
        <v>-0.83770349482208817</v>
      </c>
    </row>
    <row r="481" spans="1:20" x14ac:dyDescent="0.25">
      <c r="A481" s="5">
        <v>44112</v>
      </c>
      <c r="B481">
        <v>0.1192</v>
      </c>
      <c r="C481">
        <v>0.13220000000000001</v>
      </c>
      <c r="D481">
        <v>0.1145</v>
      </c>
      <c r="E481">
        <v>0.1215</v>
      </c>
      <c r="F481">
        <v>2239550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-0.20903954802260005</v>
      </c>
      <c r="Q481">
        <f t="shared" si="980"/>
        <v>-468154.51977401396</v>
      </c>
      <c r="R481">
        <f t="shared" si="981"/>
        <v>-84674982.590662435</v>
      </c>
      <c r="S481">
        <f t="shared" si="982"/>
        <v>-846.74982590662432</v>
      </c>
      <c r="T481">
        <f t="shared" si="983"/>
        <v>-0.84674982590662429</v>
      </c>
    </row>
    <row r="482" spans="1:20" x14ac:dyDescent="0.25">
      <c r="A482" s="5">
        <v>44111</v>
      </c>
      <c r="B482">
        <v>0.11310000000000001</v>
      </c>
      <c r="C482">
        <v>0.11940000000000001</v>
      </c>
      <c r="D482">
        <v>0.10879999999999999</v>
      </c>
      <c r="E482">
        <v>0.11940000000000001</v>
      </c>
      <c r="F482">
        <v>812388.9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1</v>
      </c>
      <c r="Q482">
        <f t="shared" si="980"/>
        <v>812388.9</v>
      </c>
      <c r="R482">
        <f t="shared" si="981"/>
        <v>-84206828.070888415</v>
      </c>
      <c r="S482">
        <f t="shared" si="982"/>
        <v>-842.06828070888412</v>
      </c>
      <c r="T482">
        <f t="shared" si="983"/>
        <v>-0.84206828070888406</v>
      </c>
    </row>
    <row r="483" spans="1:20" x14ac:dyDescent="0.25">
      <c r="A483" s="5">
        <v>44110</v>
      </c>
      <c r="B483">
        <v>0.1205</v>
      </c>
      <c r="C483">
        <v>0.15</v>
      </c>
      <c r="D483">
        <v>0.1109</v>
      </c>
      <c r="E483">
        <v>0.1125</v>
      </c>
      <c r="F483">
        <v>6718827.3799999999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-0.91815856777493587</v>
      </c>
      <c r="Q483">
        <f t="shared" si="980"/>
        <v>-6168948.9243478244</v>
      </c>
      <c r="R483">
        <f t="shared" si="981"/>
        <v>-85019216.970888421</v>
      </c>
      <c r="S483">
        <f t="shared" si="982"/>
        <v>-850.19216970888419</v>
      </c>
      <c r="T483">
        <f t="shared" si="983"/>
        <v>-0.85019216970888423</v>
      </c>
    </row>
    <row r="484" spans="1:20" x14ac:dyDescent="0.25">
      <c r="A484" s="5">
        <v>44109</v>
      </c>
      <c r="B484">
        <v>0.12330000000000001</v>
      </c>
      <c r="C484">
        <v>0.1246</v>
      </c>
      <c r="D484">
        <v>0.11849999999999999</v>
      </c>
      <c r="E484">
        <v>0.1211</v>
      </c>
      <c r="F484">
        <v>547042.56000000006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-0.14754098360655685</v>
      </c>
      <c r="Q484">
        <f t="shared" si="980"/>
        <v>-80711.197377048898</v>
      </c>
      <c r="R484">
        <f t="shared" si="981"/>
        <v>-78850268.046540603</v>
      </c>
      <c r="S484">
        <f t="shared" si="982"/>
        <v>-788.502680465406</v>
      </c>
      <c r="T484">
        <f t="shared" si="983"/>
        <v>-0.78850268046540595</v>
      </c>
    </row>
    <row r="485" spans="1:20" x14ac:dyDescent="0.25">
      <c r="A485" s="5">
        <v>44108</v>
      </c>
      <c r="B485">
        <v>0.12590000000000001</v>
      </c>
      <c r="C485">
        <v>0.1265</v>
      </c>
      <c r="D485">
        <v>0.1205</v>
      </c>
      <c r="E485">
        <v>0.1235</v>
      </c>
      <c r="F485">
        <v>974447.83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</v>
      </c>
      <c r="Q485">
        <f t="shared" si="980"/>
        <v>0</v>
      </c>
      <c r="R485">
        <f t="shared" si="981"/>
        <v>-78769556.849163547</v>
      </c>
      <c r="S485">
        <f t="shared" si="982"/>
        <v>-787.69556849163553</v>
      </c>
      <c r="T485">
        <f t="shared" si="983"/>
        <v>-0.78769556849163558</v>
      </c>
    </row>
    <row r="486" spans="1:20" x14ac:dyDescent="0.25">
      <c r="A486" s="5">
        <v>44107</v>
      </c>
      <c r="B486">
        <v>0.1293</v>
      </c>
      <c r="C486">
        <v>0.13</v>
      </c>
      <c r="D486">
        <v>0.12509999999999999</v>
      </c>
      <c r="E486">
        <v>0.12590000000000001</v>
      </c>
      <c r="F486">
        <v>839708.5</v>
      </c>
      <c r="G486">
        <v>0</v>
      </c>
      <c r="L486" t="s">
        <v>7</v>
      </c>
      <c r="M486" t="s">
        <v>7</v>
      </c>
      <c r="N486" t="s">
        <v>8</v>
      </c>
      <c r="P486">
        <f t="shared" si="979"/>
        <v>-0.67346938775509368</v>
      </c>
      <c r="Q486">
        <f t="shared" si="980"/>
        <v>-565517.96938774805</v>
      </c>
      <c r="R486">
        <f t="shared" si="981"/>
        <v>-78769556.849163547</v>
      </c>
      <c r="S486">
        <f t="shared" si="982"/>
        <v>-787.69556849163553</v>
      </c>
      <c r="T486">
        <f t="shared" si="983"/>
        <v>-0.78769556849163558</v>
      </c>
    </row>
    <row r="487" spans="1:20" x14ac:dyDescent="0.25">
      <c r="A487" s="5">
        <v>44106</v>
      </c>
      <c r="B487">
        <v>0.1416</v>
      </c>
      <c r="C487">
        <v>0.14249999999999999</v>
      </c>
      <c r="D487">
        <v>0.1255</v>
      </c>
      <c r="E487">
        <v>0.12959999999999999</v>
      </c>
      <c r="F487">
        <v>2804854.99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-0.5176470588235299</v>
      </c>
      <c r="Q487">
        <f t="shared" si="980"/>
        <v>-1451924.9360000014</v>
      </c>
      <c r="R487">
        <f t="shared" si="981"/>
        <v>-78204038.879775792</v>
      </c>
      <c r="S487">
        <f t="shared" si="982"/>
        <v>-782.04038879775794</v>
      </c>
      <c r="T487">
        <f t="shared" si="983"/>
        <v>-0.78204038879775795</v>
      </c>
    </row>
    <row r="488" spans="1:20" x14ac:dyDescent="0.25">
      <c r="A488" s="5">
        <v>44105</v>
      </c>
      <c r="B488">
        <v>0.1358</v>
      </c>
      <c r="C488">
        <v>0.1663</v>
      </c>
      <c r="D488">
        <v>0.13500000000000001</v>
      </c>
      <c r="E488">
        <v>0.1416</v>
      </c>
      <c r="F488">
        <v>8165686.4800000004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-0.57827476038338688</v>
      </c>
      <c r="Q488">
        <f t="shared" si="980"/>
        <v>-4722010.392587862</v>
      </c>
      <c r="R488">
        <f t="shared" si="981"/>
        <v>-76752113.943775788</v>
      </c>
      <c r="S488">
        <f t="shared" si="982"/>
        <v>-767.52113943775782</v>
      </c>
      <c r="T488">
        <f t="shared" si="983"/>
        <v>-0.76752113943775779</v>
      </c>
    </row>
    <row r="489" spans="1:20" x14ac:dyDescent="0.25">
      <c r="A489" s="5">
        <v>44104</v>
      </c>
      <c r="B489">
        <v>0.1295</v>
      </c>
      <c r="C489">
        <v>0.1358</v>
      </c>
      <c r="D489">
        <v>0.12770000000000001</v>
      </c>
      <c r="E489">
        <v>0.1356</v>
      </c>
      <c r="F489">
        <v>1221201.1499999999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0.95061728395061584</v>
      </c>
      <c r="Q489">
        <f t="shared" si="980"/>
        <v>1160894.9203703685</v>
      </c>
      <c r="R489">
        <f t="shared" si="981"/>
        <v>-72030103.551187932</v>
      </c>
      <c r="S489">
        <f t="shared" si="982"/>
        <v>-720.30103551187938</v>
      </c>
      <c r="T489">
        <f t="shared" si="983"/>
        <v>-0.72030103551187941</v>
      </c>
    </row>
    <row r="490" spans="1:20" x14ac:dyDescent="0.25">
      <c r="A490" s="5">
        <v>44103</v>
      </c>
      <c r="B490">
        <v>0.1211</v>
      </c>
      <c r="C490">
        <v>0.13009999999999999</v>
      </c>
      <c r="D490">
        <v>0.1206</v>
      </c>
      <c r="E490">
        <v>0.12939999999999999</v>
      </c>
      <c r="F490">
        <v>1539600.53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0.85263157894736707</v>
      </c>
      <c r="Q490">
        <f t="shared" si="980"/>
        <v>1312712.0308421033</v>
      </c>
      <c r="R490">
        <f t="shared" si="981"/>
        <v>-73190998.471558303</v>
      </c>
      <c r="S490">
        <f t="shared" si="982"/>
        <v>-731.90998471558305</v>
      </c>
      <c r="T490">
        <f t="shared" si="983"/>
        <v>-0.731909984715583</v>
      </c>
    </row>
    <row r="491" spans="1:20" x14ac:dyDescent="0.25">
      <c r="A491" s="5">
        <v>44102</v>
      </c>
      <c r="B491">
        <v>0.1205</v>
      </c>
      <c r="C491">
        <v>0.12429999999999999</v>
      </c>
      <c r="D491">
        <v>0.1203</v>
      </c>
      <c r="E491">
        <v>0.1211</v>
      </c>
      <c r="F491">
        <v>1084917.1599999999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-0.60000000000000142</v>
      </c>
      <c r="Q491">
        <f t="shared" si="980"/>
        <v>-650950.29600000149</v>
      </c>
      <c r="R491">
        <f t="shared" si="981"/>
        <v>-74503710.502400413</v>
      </c>
      <c r="S491">
        <f t="shared" si="982"/>
        <v>-745.03710502400418</v>
      </c>
      <c r="T491">
        <f t="shared" si="983"/>
        <v>-0.74503710502400422</v>
      </c>
    </row>
    <row r="492" spans="1:20" x14ac:dyDescent="0.25">
      <c r="A492" s="5">
        <v>44101</v>
      </c>
      <c r="B492">
        <v>0.12330000000000001</v>
      </c>
      <c r="C492">
        <v>0.1245</v>
      </c>
      <c r="D492">
        <v>0.1173</v>
      </c>
      <c r="E492">
        <v>0.12039999999999999</v>
      </c>
      <c r="F492">
        <v>761191.87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-0.13888888888889098</v>
      </c>
      <c r="Q492">
        <f t="shared" si="980"/>
        <v>-105721.09305555714</v>
      </c>
      <c r="R492">
        <f t="shared" si="981"/>
        <v>-73852760.206400409</v>
      </c>
      <c r="S492">
        <f t="shared" si="982"/>
        <v>-738.5276020640041</v>
      </c>
      <c r="T492">
        <f t="shared" si="983"/>
        <v>-0.73852760206400414</v>
      </c>
    </row>
    <row r="493" spans="1:20" x14ac:dyDescent="0.25">
      <c r="A493" s="5">
        <v>44100</v>
      </c>
      <c r="B493">
        <v>0.121</v>
      </c>
      <c r="C493">
        <v>0.1249</v>
      </c>
      <c r="D493">
        <v>0.1205</v>
      </c>
      <c r="E493">
        <v>0.1226</v>
      </c>
      <c r="F493">
        <v>990084.62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-4.5454545454543589E-2</v>
      </c>
      <c r="Q493">
        <f t="shared" si="980"/>
        <v>-45003.846363634519</v>
      </c>
      <c r="R493">
        <f t="shared" si="981"/>
        <v>-73747039.113344848</v>
      </c>
      <c r="S493">
        <f t="shared" si="982"/>
        <v>-737.47039113344852</v>
      </c>
      <c r="T493">
        <f t="shared" si="983"/>
        <v>-0.73747039113344848</v>
      </c>
    </row>
    <row r="494" spans="1:20" x14ac:dyDescent="0.25">
      <c r="A494" s="5">
        <v>44099</v>
      </c>
      <c r="B494">
        <v>0.1198</v>
      </c>
      <c r="C494">
        <v>0.1234</v>
      </c>
      <c r="D494">
        <v>0.1163</v>
      </c>
      <c r="E494">
        <v>0.121</v>
      </c>
      <c r="F494">
        <v>1054811.8799999999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0.32394366197183072</v>
      </c>
      <c r="Q494">
        <f t="shared" si="980"/>
        <v>341699.62309859123</v>
      </c>
      <c r="R494">
        <f t="shared" si="981"/>
        <v>-73702035.266981214</v>
      </c>
      <c r="S494">
        <f t="shared" si="982"/>
        <v>-737.02035266981215</v>
      </c>
      <c r="T494">
        <f t="shared" si="983"/>
        <v>-0.73702035266981214</v>
      </c>
    </row>
    <row r="495" spans="1:20" x14ac:dyDescent="0.25">
      <c r="A495" s="5">
        <v>44098</v>
      </c>
      <c r="B495">
        <v>0.11119999999999999</v>
      </c>
      <c r="C495">
        <v>0.1205</v>
      </c>
      <c r="D495">
        <v>0.1109</v>
      </c>
      <c r="E495">
        <v>0.1198</v>
      </c>
      <c r="F495">
        <v>1072790.58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0.85416666666666818</v>
      </c>
      <c r="Q495">
        <f t="shared" si="980"/>
        <v>916341.95375000173</v>
      </c>
      <c r="R495">
        <f t="shared" si="981"/>
        <v>-74043734.890079811</v>
      </c>
      <c r="S495">
        <f t="shared" si="982"/>
        <v>-740.43734890079816</v>
      </c>
      <c r="T495">
        <f t="shared" si="983"/>
        <v>-0.74043734890079815</v>
      </c>
    </row>
    <row r="496" spans="1:20" x14ac:dyDescent="0.25">
      <c r="A496" s="5">
        <v>44097</v>
      </c>
      <c r="B496">
        <v>0.1225</v>
      </c>
      <c r="C496">
        <v>0.1236</v>
      </c>
      <c r="D496">
        <v>0.1113</v>
      </c>
      <c r="E496">
        <v>0.11260000000000001</v>
      </c>
      <c r="F496">
        <v>950822.96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-0.78861788617886031</v>
      </c>
      <c r="Q496">
        <f t="shared" si="980"/>
        <v>-749835.99284552701</v>
      </c>
      <c r="R496">
        <f t="shared" si="981"/>
        <v>-74960076.843829811</v>
      </c>
      <c r="S496">
        <f t="shared" si="982"/>
        <v>-749.60076843829813</v>
      </c>
      <c r="T496">
        <f t="shared" si="983"/>
        <v>-0.74960076843829815</v>
      </c>
    </row>
    <row r="497" spans="1:20" x14ac:dyDescent="0.25">
      <c r="A497" s="5">
        <v>44096</v>
      </c>
      <c r="B497">
        <v>0.12039999999999999</v>
      </c>
      <c r="C497">
        <v>0.1353</v>
      </c>
      <c r="D497">
        <v>0.1172</v>
      </c>
      <c r="E497">
        <v>0.1226</v>
      </c>
      <c r="F497">
        <v>9313108.8599999994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-0.40331491712707174</v>
      </c>
      <c r="Q497">
        <f t="shared" si="980"/>
        <v>-3756115.7280662972</v>
      </c>
      <c r="R497">
        <f t="shared" si="981"/>
        <v>-74210240.85098429</v>
      </c>
      <c r="S497">
        <f t="shared" si="982"/>
        <v>-742.10240850984292</v>
      </c>
      <c r="T497">
        <f t="shared" si="983"/>
        <v>-0.74210240850984288</v>
      </c>
    </row>
    <row r="498" spans="1:20" x14ac:dyDescent="0.25">
      <c r="A498" s="5">
        <v>44095</v>
      </c>
      <c r="B498">
        <v>0.13289999999999999</v>
      </c>
      <c r="C498">
        <v>0.1401</v>
      </c>
      <c r="D498">
        <v>0.11650000000000001</v>
      </c>
      <c r="E498">
        <v>0.12</v>
      </c>
      <c r="F498">
        <v>2516746.4900000002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-0.70338983050847548</v>
      </c>
      <c r="Q498">
        <f t="shared" si="980"/>
        <v>-1770253.8870339007</v>
      </c>
      <c r="R498">
        <f t="shared" si="981"/>
        <v>-70454125.122917995</v>
      </c>
      <c r="S498">
        <f t="shared" si="982"/>
        <v>-704.54125122917992</v>
      </c>
      <c r="T498">
        <f t="shared" si="983"/>
        <v>-0.70454125122917988</v>
      </c>
    </row>
    <row r="499" spans="1:20" x14ac:dyDescent="0.25">
      <c r="A499" s="5">
        <v>44094</v>
      </c>
      <c r="B499">
        <v>0.13900000000000001</v>
      </c>
      <c r="C499">
        <v>0.14000000000000001</v>
      </c>
      <c r="D499">
        <v>0.13200000000000001</v>
      </c>
      <c r="E499">
        <v>0.13350000000000001</v>
      </c>
      <c r="F499">
        <v>1319641.5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-0.625</v>
      </c>
      <c r="Q499">
        <f t="shared" si="980"/>
        <v>-824775.9375</v>
      </c>
      <c r="R499">
        <f t="shared" si="981"/>
        <v>-68683871.2358841</v>
      </c>
      <c r="S499">
        <f t="shared" si="982"/>
        <v>-686.83871235884101</v>
      </c>
      <c r="T499">
        <f t="shared" si="983"/>
        <v>-0.68683871235884097</v>
      </c>
    </row>
    <row r="500" spans="1:20" x14ac:dyDescent="0.25">
      <c r="A500" s="5">
        <v>44093</v>
      </c>
      <c r="B500">
        <v>0.14030000000000001</v>
      </c>
      <c r="C500">
        <v>0.14180000000000001</v>
      </c>
      <c r="D500">
        <v>0.13850000000000001</v>
      </c>
      <c r="E500">
        <v>0.13900000000000001</v>
      </c>
      <c r="F500">
        <v>645603.43000000005</v>
      </c>
      <c r="G500">
        <v>0</v>
      </c>
      <c r="L500" t="s">
        <v>7</v>
      </c>
      <c r="M500" t="s">
        <v>7</v>
      </c>
      <c r="N500" t="s">
        <v>8</v>
      </c>
      <c r="P500">
        <f t="shared" si="979"/>
        <v>-0.69696969696969646</v>
      </c>
      <c r="Q500">
        <f t="shared" si="980"/>
        <v>-449966.02696969669</v>
      </c>
      <c r="R500">
        <f t="shared" si="981"/>
        <v>-67859095.2983841</v>
      </c>
      <c r="S500">
        <f t="shared" si="982"/>
        <v>-678.59095298384102</v>
      </c>
      <c r="T500">
        <f t="shared" si="983"/>
        <v>-0.67859095298384098</v>
      </c>
    </row>
    <row r="501" spans="1:20" x14ac:dyDescent="0.25">
      <c r="A501" s="5">
        <v>44092</v>
      </c>
      <c r="B501">
        <v>0.1452</v>
      </c>
      <c r="C501">
        <v>0.14610000000000001</v>
      </c>
      <c r="D501">
        <v>0.13850000000000001</v>
      </c>
      <c r="E501">
        <v>0.1406</v>
      </c>
      <c r="F501">
        <v>1136552.25</v>
      </c>
      <c r="G501">
        <v>0</v>
      </c>
      <c r="L501" t="s">
        <v>7</v>
      </c>
      <c r="M501" t="s">
        <v>7</v>
      </c>
      <c r="N501" t="s">
        <v>8</v>
      </c>
      <c r="P501">
        <f t="shared" si="979"/>
        <v>-0.44736842105263369</v>
      </c>
      <c r="Q501">
        <f t="shared" si="980"/>
        <v>-508457.58552631817</v>
      </c>
      <c r="R501">
        <f t="shared" si="981"/>
        <v>-67409129.271414399</v>
      </c>
      <c r="S501">
        <f t="shared" si="982"/>
        <v>-674.09129271414395</v>
      </c>
      <c r="T501">
        <f t="shared" si="983"/>
        <v>-0.67409129271414392</v>
      </c>
    </row>
    <row r="502" spans="1:20" x14ac:dyDescent="0.25">
      <c r="A502" s="5">
        <v>44091</v>
      </c>
      <c r="B502">
        <v>0.14219999999999999</v>
      </c>
      <c r="C502">
        <v>0.1467</v>
      </c>
      <c r="D502">
        <v>0.13819999999999999</v>
      </c>
      <c r="E502">
        <v>0.14630000000000001</v>
      </c>
      <c r="F502">
        <v>1448545.39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0.90588235294118036</v>
      </c>
      <c r="Q502">
        <f t="shared" si="980"/>
        <v>1312211.7062352996</v>
      </c>
      <c r="R502">
        <f t="shared" si="981"/>
        <v>-66900671.685888074</v>
      </c>
      <c r="S502">
        <f t="shared" si="982"/>
        <v>-669.00671685888074</v>
      </c>
      <c r="T502">
        <f t="shared" si="983"/>
        <v>-0.66900671685888069</v>
      </c>
    </row>
    <row r="503" spans="1:20" x14ac:dyDescent="0.25">
      <c r="A503" s="5">
        <v>44090</v>
      </c>
      <c r="B503">
        <v>0.14410000000000001</v>
      </c>
      <c r="C503">
        <v>0.1512</v>
      </c>
      <c r="D503">
        <v>0.13980000000000001</v>
      </c>
      <c r="E503">
        <v>0.1421</v>
      </c>
      <c r="F503">
        <v>2393556.56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-0.59649122807017585</v>
      </c>
      <c r="Q503">
        <f t="shared" si="980"/>
        <v>-1427735.4919298256</v>
      </c>
      <c r="R503">
        <f t="shared" si="981"/>
        <v>-68212883.392123371</v>
      </c>
      <c r="S503">
        <f t="shared" si="982"/>
        <v>-682.12883392123376</v>
      </c>
      <c r="T503">
        <f t="shared" si="983"/>
        <v>-0.6821288339212338</v>
      </c>
    </row>
    <row r="504" spans="1:20" x14ac:dyDescent="0.25">
      <c r="A504" s="5">
        <v>44089</v>
      </c>
      <c r="B504">
        <v>0.154</v>
      </c>
      <c r="C504">
        <v>0.1555</v>
      </c>
      <c r="D504">
        <v>0.14410000000000001</v>
      </c>
      <c r="E504">
        <v>0.1447</v>
      </c>
      <c r="F504">
        <v>1395298.48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-0.89473684210526494</v>
      </c>
      <c r="Q504">
        <f t="shared" si="980"/>
        <v>-1248424.9557894762</v>
      </c>
      <c r="R504">
        <f t="shared" si="981"/>
        <v>-66785147.900193542</v>
      </c>
      <c r="S504">
        <f t="shared" si="982"/>
        <v>-667.85147900193545</v>
      </c>
      <c r="T504">
        <f t="shared" si="983"/>
        <v>-0.66785147900193542</v>
      </c>
    </row>
    <row r="505" spans="1:20" x14ac:dyDescent="0.25">
      <c r="A505" s="5">
        <v>44088</v>
      </c>
      <c r="B505">
        <v>0.14749999999999999</v>
      </c>
      <c r="C505">
        <v>0.16250000000000001</v>
      </c>
      <c r="D505">
        <v>0.14499999999999999</v>
      </c>
      <c r="E505">
        <v>0.15409999999999999</v>
      </c>
      <c r="F505">
        <v>2663189.08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3.9999999999998731E-2</v>
      </c>
      <c r="Q505">
        <f t="shared" si="980"/>
        <v>106527.56319999663</v>
      </c>
      <c r="R505">
        <f t="shared" si="981"/>
        <v>-65536722.944404066</v>
      </c>
      <c r="S505">
        <f t="shared" si="982"/>
        <v>-655.36722944404062</v>
      </c>
      <c r="T505">
        <f t="shared" si="983"/>
        <v>-0.65536722944404058</v>
      </c>
    </row>
    <row r="506" spans="1:20" x14ac:dyDescent="0.25">
      <c r="A506" s="5">
        <v>44087</v>
      </c>
      <c r="B506">
        <v>0.159</v>
      </c>
      <c r="C506">
        <v>0.1593</v>
      </c>
      <c r="D506">
        <v>0.1434</v>
      </c>
      <c r="E506">
        <v>0.14849999999999999</v>
      </c>
      <c r="F506">
        <v>1736854.87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-0.35849056603773655</v>
      </c>
      <c r="Q506">
        <f t="shared" si="980"/>
        <v>-622646.08547169936</v>
      </c>
      <c r="R506">
        <f t="shared" si="981"/>
        <v>-65643250.507604063</v>
      </c>
      <c r="S506">
        <f t="shared" si="982"/>
        <v>-656.43250507604057</v>
      </c>
      <c r="T506">
        <f t="shared" si="983"/>
        <v>-0.65643250507604056</v>
      </c>
    </row>
    <row r="507" spans="1:20" x14ac:dyDescent="0.25">
      <c r="A507" s="5">
        <v>44086</v>
      </c>
      <c r="B507">
        <v>0.16600000000000001</v>
      </c>
      <c r="C507">
        <v>0.16600000000000001</v>
      </c>
      <c r="D507">
        <v>0.15570000000000001</v>
      </c>
      <c r="E507">
        <v>0.159</v>
      </c>
      <c r="F507">
        <v>1583986.88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-0.35922330097087452</v>
      </c>
      <c r="Q507">
        <f t="shared" si="980"/>
        <v>-569004.99572815641</v>
      </c>
      <c r="R507">
        <f t="shared" si="981"/>
        <v>-65020604.422132365</v>
      </c>
      <c r="S507">
        <f t="shared" si="982"/>
        <v>-650.20604422132362</v>
      </c>
      <c r="T507">
        <f t="shared" si="983"/>
        <v>-0.65020604422132366</v>
      </c>
    </row>
    <row r="508" spans="1:20" x14ac:dyDescent="0.25">
      <c r="A508" s="5">
        <v>44085</v>
      </c>
      <c r="B508">
        <v>0.16339999999999999</v>
      </c>
      <c r="C508">
        <v>0.16919999999999999</v>
      </c>
      <c r="D508">
        <v>0.15310000000000001</v>
      </c>
      <c r="E508">
        <v>0.16600000000000001</v>
      </c>
      <c r="F508">
        <v>3941572.64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0.60248447204969124</v>
      </c>
      <c r="Q508">
        <f t="shared" si="980"/>
        <v>2374736.311055908</v>
      </c>
      <c r="R508">
        <f t="shared" si="981"/>
        <v>-64451599.426404208</v>
      </c>
      <c r="S508">
        <f t="shared" si="982"/>
        <v>-644.51599426404209</v>
      </c>
      <c r="T508">
        <f t="shared" si="983"/>
        <v>-0.64451599426404205</v>
      </c>
    </row>
    <row r="509" spans="1:20" x14ac:dyDescent="0.25">
      <c r="A509" s="5">
        <v>44084</v>
      </c>
      <c r="B509">
        <v>0.16159999999999999</v>
      </c>
      <c r="C509">
        <v>0.16650000000000001</v>
      </c>
      <c r="D509">
        <v>0.15920000000000001</v>
      </c>
      <c r="E509">
        <v>0.1633</v>
      </c>
      <c r="F509">
        <v>4502768.4000000004</v>
      </c>
      <c r="G509">
        <v>0</v>
      </c>
      <c r="L509" t="s">
        <v>7</v>
      </c>
      <c r="M509" t="s">
        <v>7</v>
      </c>
      <c r="N509" t="s">
        <v>8</v>
      </c>
      <c r="P509">
        <f t="shared" si="979"/>
        <v>0.12328767123287453</v>
      </c>
      <c r="Q509">
        <f t="shared" si="980"/>
        <v>555135.83013697655</v>
      </c>
      <c r="R509">
        <f t="shared" si="981"/>
        <v>-66826335.737460114</v>
      </c>
      <c r="S509">
        <f t="shared" si="982"/>
        <v>-668.26335737460113</v>
      </c>
      <c r="T509">
        <f t="shared" si="983"/>
        <v>-0.66826335737460107</v>
      </c>
    </row>
    <row r="510" spans="1:20" x14ac:dyDescent="0.25">
      <c r="A510" s="5">
        <v>44083</v>
      </c>
      <c r="B510">
        <v>0.15540000000000001</v>
      </c>
      <c r="C510">
        <v>0.19400000000000001</v>
      </c>
      <c r="D510">
        <v>0.15110000000000001</v>
      </c>
      <c r="E510">
        <v>0.16170000000000001</v>
      </c>
      <c r="F510">
        <v>16443042.029999999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-0.5058275058275058</v>
      </c>
      <c r="Q510">
        <f t="shared" si="980"/>
        <v>-8317342.9382517477</v>
      </c>
      <c r="R510">
        <f t="shared" si="981"/>
        <v>-67381471.567597091</v>
      </c>
      <c r="S510">
        <f t="shared" si="982"/>
        <v>-673.81471567597089</v>
      </c>
      <c r="T510">
        <f t="shared" si="983"/>
        <v>-0.67381471567597084</v>
      </c>
    </row>
    <row r="511" spans="1:20" x14ac:dyDescent="0.25">
      <c r="A511" s="5">
        <v>44082</v>
      </c>
      <c r="B511">
        <v>0.13589999999999999</v>
      </c>
      <c r="C511">
        <v>0.16569999999999999</v>
      </c>
      <c r="D511">
        <v>0.13439999999999999</v>
      </c>
      <c r="E511">
        <v>0.15529999999999999</v>
      </c>
      <c r="F511">
        <v>5794673.7999999998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0.33546325878594285</v>
      </c>
      <c r="Q511">
        <f t="shared" si="980"/>
        <v>1943900.1565495229</v>
      </c>
      <c r="R511">
        <f t="shared" si="981"/>
        <v>-59064128.629345343</v>
      </c>
      <c r="S511">
        <f t="shared" si="982"/>
        <v>-590.64128629345339</v>
      </c>
      <c r="T511">
        <f t="shared" si="983"/>
        <v>-0.59064128629345336</v>
      </c>
    </row>
    <row r="512" spans="1:20" x14ac:dyDescent="0.25">
      <c r="A512" s="5">
        <v>44081</v>
      </c>
      <c r="B512">
        <v>0.13969999999999999</v>
      </c>
      <c r="C512">
        <v>0.1401</v>
      </c>
      <c r="D512">
        <v>0.12470000000000001</v>
      </c>
      <c r="E512">
        <v>0.13550000000000001</v>
      </c>
      <c r="F512">
        <v>1272918.22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0.4025974025974034</v>
      </c>
      <c r="Q512">
        <f t="shared" si="980"/>
        <v>512473.56909091008</v>
      </c>
      <c r="R512">
        <f t="shared" si="981"/>
        <v>-61008028.785894863</v>
      </c>
      <c r="S512">
        <f t="shared" si="982"/>
        <v>-610.08028785894862</v>
      </c>
      <c r="T512">
        <f t="shared" si="983"/>
        <v>-0.61008028785894863</v>
      </c>
    </row>
    <row r="513" spans="1:20" x14ac:dyDescent="0.25">
      <c r="A513" s="5">
        <v>44080</v>
      </c>
      <c r="B513">
        <v>0.13800000000000001</v>
      </c>
      <c r="C513">
        <v>0.1434</v>
      </c>
      <c r="D513">
        <v>0.12809999999999999</v>
      </c>
      <c r="E513">
        <v>0.1399</v>
      </c>
      <c r="F513">
        <v>1645943.25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0.5424836601307188</v>
      </c>
      <c r="Q513">
        <f t="shared" si="980"/>
        <v>892897.31862745073</v>
      </c>
      <c r="R513">
        <f t="shared" si="981"/>
        <v>-61520502.354985774</v>
      </c>
      <c r="S513">
        <f t="shared" si="982"/>
        <v>-615.20502354985774</v>
      </c>
      <c r="T513">
        <f t="shared" si="983"/>
        <v>-0.61520502354985773</v>
      </c>
    </row>
    <row r="514" spans="1:20" x14ac:dyDescent="0.25">
      <c r="A514" s="5">
        <v>44079</v>
      </c>
      <c r="B514">
        <v>0.14710000000000001</v>
      </c>
      <c r="C514">
        <v>0.15970000000000001</v>
      </c>
      <c r="D514">
        <v>0.1313</v>
      </c>
      <c r="E514">
        <v>0.13800000000000001</v>
      </c>
      <c r="F514">
        <v>4159168.62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-0.52816901408450634</v>
      </c>
      <c r="Q514">
        <f t="shared" si="980"/>
        <v>-2196743.9894366167</v>
      </c>
      <c r="R514">
        <f t="shared" si="981"/>
        <v>-62413399.673613228</v>
      </c>
      <c r="S514">
        <f t="shared" si="982"/>
        <v>-624.1339967361323</v>
      </c>
      <c r="T514">
        <f t="shared" si="983"/>
        <v>-0.62413399673613235</v>
      </c>
    </row>
    <row r="515" spans="1:20" x14ac:dyDescent="0.25">
      <c r="A515" s="5">
        <v>44078</v>
      </c>
      <c r="B515">
        <v>0.13669999999999999</v>
      </c>
      <c r="C515">
        <v>0.15049999999999999</v>
      </c>
      <c r="D515">
        <v>0.129</v>
      </c>
      <c r="E515">
        <v>0.14729999999999999</v>
      </c>
      <c r="F515">
        <v>3189890.27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0.70232558139534795</v>
      </c>
      <c r="Q515">
        <f t="shared" si="980"/>
        <v>2240341.5384651134</v>
      </c>
      <c r="R515">
        <f t="shared" si="981"/>
        <v>-60216655.684176609</v>
      </c>
      <c r="S515">
        <f t="shared" si="982"/>
        <v>-602.16655684176612</v>
      </c>
      <c r="T515">
        <f t="shared" si="983"/>
        <v>-0.60216655684176612</v>
      </c>
    </row>
    <row r="516" spans="1:20" x14ac:dyDescent="0.25">
      <c r="A516" s="5">
        <v>44077</v>
      </c>
      <c r="B516">
        <v>0.17749999999999999</v>
      </c>
      <c r="C516">
        <v>0.1782</v>
      </c>
      <c r="D516">
        <v>0.12470000000000001</v>
      </c>
      <c r="E516">
        <v>0.13669999999999999</v>
      </c>
      <c r="F516">
        <v>3667290.1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-0.55140186915887912</v>
      </c>
      <c r="Q516">
        <f t="shared" si="980"/>
        <v>-2022150.6158878529</v>
      </c>
      <c r="R516">
        <f t="shared" si="981"/>
        <v>-62456997.222641721</v>
      </c>
      <c r="S516">
        <f t="shared" si="982"/>
        <v>-624.56997222641724</v>
      </c>
      <c r="T516">
        <f t="shared" si="983"/>
        <v>-0.62456997222641719</v>
      </c>
    </row>
    <row r="517" spans="1:20" x14ac:dyDescent="0.25">
      <c r="A517" s="5">
        <v>44076</v>
      </c>
      <c r="B517">
        <v>0.19339999999999999</v>
      </c>
      <c r="C517">
        <v>0.19520000000000001</v>
      </c>
      <c r="D517">
        <v>0.1686</v>
      </c>
      <c r="E517">
        <v>0.17760000000000001</v>
      </c>
      <c r="F517">
        <v>3212157.37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-0.32330827067669143</v>
      </c>
      <c r="Q517">
        <f t="shared" si="980"/>
        <v>-1038517.0444360893</v>
      </c>
      <c r="R517">
        <f t="shared" si="981"/>
        <v>-60434846.606753871</v>
      </c>
      <c r="S517">
        <f t="shared" si="982"/>
        <v>-604.34846606753865</v>
      </c>
      <c r="T517">
        <f t="shared" si="983"/>
        <v>-0.60434846606753867</v>
      </c>
    </row>
    <row r="518" spans="1:20" x14ac:dyDescent="0.25">
      <c r="A518" s="5">
        <v>44075</v>
      </c>
      <c r="B518">
        <v>0.1908</v>
      </c>
      <c r="C518">
        <v>0.1978</v>
      </c>
      <c r="D518">
        <v>0.18720000000000001</v>
      </c>
      <c r="E518">
        <v>0.19359999999999999</v>
      </c>
      <c r="F518">
        <v>2358743.92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0.20754716981131888</v>
      </c>
      <c r="Q518">
        <f t="shared" ref="Q518:Q581" si="985">F518*P518</f>
        <v>489550.62490565592</v>
      </c>
      <c r="R518">
        <f t="shared" ref="R518:R581" si="986">R519+Q518</f>
        <v>-59396329.562317781</v>
      </c>
      <c r="S518">
        <f t="shared" ref="S518:S581" si="987">R518/100000</f>
        <v>-593.96329562317783</v>
      </c>
      <c r="T518">
        <f t="shared" ref="T518:T581" si="988">S518/1000</f>
        <v>-0.59396329562317784</v>
      </c>
    </row>
    <row r="519" spans="1:20" x14ac:dyDescent="0.25">
      <c r="A519" s="5">
        <v>44074</v>
      </c>
      <c r="B519">
        <v>0.19620000000000001</v>
      </c>
      <c r="C519">
        <v>0.2011</v>
      </c>
      <c r="D519">
        <v>0.18859999999999999</v>
      </c>
      <c r="E519">
        <v>0.19040000000000001</v>
      </c>
      <c r="F519">
        <v>2411950.02</v>
      </c>
      <c r="G519">
        <v>0</v>
      </c>
      <c r="L519" t="s">
        <v>7</v>
      </c>
      <c r="M519" t="s">
        <v>7</v>
      </c>
      <c r="N519" t="s">
        <v>8</v>
      </c>
      <c r="P519">
        <f t="shared" si="984"/>
        <v>-0.71199999999999641</v>
      </c>
      <c r="Q519">
        <f t="shared" si="985"/>
        <v>-1717308.4142399915</v>
      </c>
      <c r="R519">
        <f t="shared" si="986"/>
        <v>-59885880.187223434</v>
      </c>
      <c r="S519">
        <f t="shared" si="987"/>
        <v>-598.85880187223438</v>
      </c>
      <c r="T519">
        <f t="shared" si="988"/>
        <v>-0.59885880187223439</v>
      </c>
    </row>
    <row r="520" spans="1:20" x14ac:dyDescent="0.25">
      <c r="A520" s="5">
        <v>44073</v>
      </c>
      <c r="B520">
        <v>0.189</v>
      </c>
      <c r="C520">
        <v>0.2044</v>
      </c>
      <c r="D520">
        <v>0.189</v>
      </c>
      <c r="E520">
        <v>0.1966</v>
      </c>
      <c r="F520">
        <v>3413164.78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-1.2987012987013361E-2</v>
      </c>
      <c r="Q520">
        <f t="shared" si="985"/>
        <v>-44326.815324676601</v>
      </c>
      <c r="R520">
        <f t="shared" si="986"/>
        <v>-58168571.772983439</v>
      </c>
      <c r="S520">
        <f t="shared" si="987"/>
        <v>-581.68571772983444</v>
      </c>
      <c r="T520">
        <f t="shared" si="988"/>
        <v>-0.58168571772983446</v>
      </c>
    </row>
    <row r="521" spans="1:20" x14ac:dyDescent="0.25">
      <c r="A521" s="5">
        <v>44072</v>
      </c>
      <c r="B521">
        <v>0.18590000000000001</v>
      </c>
      <c r="C521">
        <v>0.19289999999999999</v>
      </c>
      <c r="D521">
        <v>0.183</v>
      </c>
      <c r="E521">
        <v>0.18959999999999999</v>
      </c>
      <c r="F521">
        <v>1861681.21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0.33333333333333331</v>
      </c>
      <c r="Q521">
        <f t="shared" si="985"/>
        <v>620560.40333333332</v>
      </c>
      <c r="R521">
        <f t="shared" si="986"/>
        <v>-58124244.95765876</v>
      </c>
      <c r="S521">
        <f t="shared" si="987"/>
        <v>-581.24244957658755</v>
      </c>
      <c r="T521">
        <f t="shared" si="988"/>
        <v>-0.58124244957658755</v>
      </c>
    </row>
    <row r="522" spans="1:20" x14ac:dyDescent="0.25">
      <c r="A522" s="5">
        <v>44071</v>
      </c>
      <c r="B522">
        <v>0.18229999999999999</v>
      </c>
      <c r="C522">
        <v>0.19059999999999999</v>
      </c>
      <c r="D522">
        <v>0.1804</v>
      </c>
      <c r="E522">
        <v>0.18540000000000001</v>
      </c>
      <c r="F522">
        <v>1578991.53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-1.9607843137252768E-2</v>
      </c>
      <c r="Q522">
        <f t="shared" si="985"/>
        <v>-30960.618235290749</v>
      </c>
      <c r="R522">
        <f t="shared" si="986"/>
        <v>-58744805.360992096</v>
      </c>
      <c r="S522">
        <f t="shared" si="987"/>
        <v>-587.44805360992098</v>
      </c>
      <c r="T522">
        <f t="shared" si="988"/>
        <v>-0.58744805360992103</v>
      </c>
    </row>
    <row r="523" spans="1:20" x14ac:dyDescent="0.25">
      <c r="A523" s="5">
        <v>44070</v>
      </c>
      <c r="B523">
        <v>0.19089999999999999</v>
      </c>
      <c r="C523">
        <v>0.19539999999999999</v>
      </c>
      <c r="D523">
        <v>0.17799999999999999</v>
      </c>
      <c r="E523">
        <v>0.18229999999999999</v>
      </c>
      <c r="F523">
        <v>3204286.91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-0.50574712643678177</v>
      </c>
      <c r="Q523">
        <f t="shared" si="985"/>
        <v>-1620558.8970114947</v>
      </c>
      <c r="R523">
        <f t="shared" si="986"/>
        <v>-58713844.742756806</v>
      </c>
      <c r="S523">
        <f t="shared" si="987"/>
        <v>-587.13844742756805</v>
      </c>
      <c r="T523">
        <f t="shared" si="988"/>
        <v>-0.58713844742756804</v>
      </c>
    </row>
    <row r="524" spans="1:20" x14ac:dyDescent="0.25">
      <c r="A524" s="5">
        <v>44069</v>
      </c>
      <c r="B524">
        <v>0.19109999999999999</v>
      </c>
      <c r="C524">
        <v>0.1961</v>
      </c>
      <c r="D524">
        <v>0.182</v>
      </c>
      <c r="E524">
        <v>0.19109999999999999</v>
      </c>
      <c r="F524">
        <v>2410680.41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0.29078014184397105</v>
      </c>
      <c r="Q524">
        <f t="shared" si="985"/>
        <v>700977.9915602823</v>
      </c>
      <c r="R524">
        <f t="shared" si="986"/>
        <v>-57093285.84574531</v>
      </c>
      <c r="S524">
        <f t="shared" si="987"/>
        <v>-570.93285845745311</v>
      </c>
      <c r="T524">
        <f t="shared" si="988"/>
        <v>-0.57093285845745312</v>
      </c>
    </row>
    <row r="525" spans="1:20" x14ac:dyDescent="0.25">
      <c r="A525" s="5">
        <v>44068</v>
      </c>
      <c r="B525">
        <v>0.19950000000000001</v>
      </c>
      <c r="C525">
        <v>0.2046</v>
      </c>
      <c r="D525">
        <v>0.1792</v>
      </c>
      <c r="E525">
        <v>0.19070000000000001</v>
      </c>
      <c r="F525">
        <v>4060352.6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-9.4488188976377355E-2</v>
      </c>
      <c r="Q525">
        <f t="shared" si="985"/>
        <v>-383655.36377952516</v>
      </c>
      <c r="R525">
        <f t="shared" si="986"/>
        <v>-57794263.837305591</v>
      </c>
      <c r="S525">
        <f t="shared" si="987"/>
        <v>-577.94263837305596</v>
      </c>
      <c r="T525">
        <f t="shared" si="988"/>
        <v>-0.57794263837305593</v>
      </c>
    </row>
    <row r="526" spans="1:20" x14ac:dyDescent="0.25">
      <c r="A526" s="5">
        <v>44067</v>
      </c>
      <c r="B526">
        <v>0.19839999999999999</v>
      </c>
      <c r="C526">
        <v>0.20449999999999999</v>
      </c>
      <c r="D526">
        <v>0.19470000000000001</v>
      </c>
      <c r="E526">
        <v>0.19980000000000001</v>
      </c>
      <c r="F526">
        <v>2994005.08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4.0816326530613518E-2</v>
      </c>
      <c r="Q526">
        <f t="shared" si="985"/>
        <v>122204.28897959566</v>
      </c>
      <c r="R526">
        <f t="shared" si="986"/>
        <v>-57410608.473526068</v>
      </c>
      <c r="S526">
        <f t="shared" si="987"/>
        <v>-574.10608473526065</v>
      </c>
      <c r="T526">
        <f t="shared" si="988"/>
        <v>-0.5741060847352607</v>
      </c>
    </row>
    <row r="527" spans="1:20" x14ac:dyDescent="0.25">
      <c r="A527" s="5">
        <v>44066</v>
      </c>
      <c r="B527">
        <v>0.19950000000000001</v>
      </c>
      <c r="C527">
        <v>0.19969999999999999</v>
      </c>
      <c r="D527">
        <v>0.189</v>
      </c>
      <c r="E527">
        <v>0.19839999999999999</v>
      </c>
      <c r="F527">
        <v>1991969.72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0.75700934579439305</v>
      </c>
      <c r="Q527">
        <f t="shared" si="985"/>
        <v>1507939.6945794402</v>
      </c>
      <c r="R527">
        <f t="shared" si="986"/>
        <v>-57532812.762505665</v>
      </c>
      <c r="S527">
        <f t="shared" si="987"/>
        <v>-575.32812762505671</v>
      </c>
      <c r="T527">
        <f t="shared" si="988"/>
        <v>-0.5753281276250567</v>
      </c>
    </row>
    <row r="528" spans="1:20" x14ac:dyDescent="0.25">
      <c r="A528" s="5">
        <v>44065</v>
      </c>
      <c r="B528">
        <v>0.1895</v>
      </c>
      <c r="C528">
        <v>0.19969999999999999</v>
      </c>
      <c r="D528">
        <v>0.18179999999999999</v>
      </c>
      <c r="E528">
        <v>0.1991</v>
      </c>
      <c r="F528">
        <v>3177735.07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0.93296089385474978</v>
      </c>
      <c r="Q528">
        <f t="shared" si="985"/>
        <v>2964702.5513407858</v>
      </c>
      <c r="R528">
        <f t="shared" si="986"/>
        <v>-59040752.457085103</v>
      </c>
      <c r="S528">
        <f t="shared" si="987"/>
        <v>-590.40752457085102</v>
      </c>
      <c r="T528">
        <f t="shared" si="988"/>
        <v>-0.59040752457085099</v>
      </c>
    </row>
    <row r="529" spans="1:20" x14ac:dyDescent="0.25">
      <c r="A529" s="5">
        <v>44064</v>
      </c>
      <c r="B529">
        <v>0.20749999999999999</v>
      </c>
      <c r="C529">
        <v>0.22059999999999999</v>
      </c>
      <c r="D529">
        <v>0.1867</v>
      </c>
      <c r="E529">
        <v>0.19</v>
      </c>
      <c r="F529">
        <v>9578893.0500000007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-0.80530973451327437</v>
      </c>
      <c r="Q529">
        <f t="shared" si="985"/>
        <v>-7713975.8190265493</v>
      </c>
      <c r="R529">
        <f t="shared" si="986"/>
        <v>-62005455.008425891</v>
      </c>
      <c r="S529">
        <f t="shared" si="987"/>
        <v>-620.05455008425895</v>
      </c>
      <c r="T529">
        <f t="shared" si="988"/>
        <v>-0.62005455008425892</v>
      </c>
    </row>
    <row r="530" spans="1:20" x14ac:dyDescent="0.25">
      <c r="A530" s="5">
        <v>44063</v>
      </c>
      <c r="B530">
        <v>0.1865</v>
      </c>
      <c r="C530">
        <v>0.2084</v>
      </c>
      <c r="D530">
        <v>0.18329999999999999</v>
      </c>
      <c r="E530">
        <v>0.20749999999999999</v>
      </c>
      <c r="F530">
        <v>4297700.62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0.9282868525896405</v>
      </c>
      <c r="Q530">
        <f t="shared" si="985"/>
        <v>3989498.9819123466</v>
      </c>
      <c r="R530">
        <f t="shared" si="986"/>
        <v>-54291479.189399339</v>
      </c>
      <c r="S530">
        <f t="shared" si="987"/>
        <v>-542.91479189399342</v>
      </c>
      <c r="T530">
        <f t="shared" si="988"/>
        <v>-0.54291479189399339</v>
      </c>
    </row>
    <row r="531" spans="1:20" x14ac:dyDescent="0.25">
      <c r="A531" s="5">
        <v>44062</v>
      </c>
      <c r="B531">
        <v>0.19289999999999999</v>
      </c>
      <c r="C531">
        <v>0.20100000000000001</v>
      </c>
      <c r="D531">
        <v>0.1792</v>
      </c>
      <c r="E531">
        <v>0.186</v>
      </c>
      <c r="F531">
        <v>2717120.65</v>
      </c>
      <c r="G531">
        <v>0</v>
      </c>
      <c r="L531" t="s">
        <v>7</v>
      </c>
      <c r="M531" t="s">
        <v>8</v>
      </c>
      <c r="N531" t="s">
        <v>7</v>
      </c>
      <c r="P531">
        <f t="shared" si="984"/>
        <v>-0.37614678899082604</v>
      </c>
      <c r="Q531">
        <f t="shared" si="985"/>
        <v>-1022036.2077981661</v>
      </c>
      <c r="R531">
        <f t="shared" si="986"/>
        <v>-58280978.171311684</v>
      </c>
      <c r="S531">
        <f t="shared" si="987"/>
        <v>-582.80978171311688</v>
      </c>
      <c r="T531">
        <f t="shared" si="988"/>
        <v>-0.58280978171311693</v>
      </c>
    </row>
    <row r="532" spans="1:20" x14ac:dyDescent="0.25">
      <c r="A532" s="5">
        <v>44061</v>
      </c>
      <c r="B532">
        <v>0.19489999999999999</v>
      </c>
      <c r="C532">
        <v>0.20100000000000001</v>
      </c>
      <c r="D532">
        <v>0.18329999999999999</v>
      </c>
      <c r="E532">
        <v>0.19239999999999999</v>
      </c>
      <c r="F532">
        <v>3679214.83</v>
      </c>
      <c r="G532">
        <v>0</v>
      </c>
      <c r="L532" t="s">
        <v>7</v>
      </c>
      <c r="M532" t="s">
        <v>8</v>
      </c>
      <c r="N532" t="s">
        <v>7</v>
      </c>
      <c r="P532">
        <f t="shared" si="984"/>
        <v>2.824858757061989E-2</v>
      </c>
      <c r="Q532">
        <f t="shared" si="985"/>
        <v>103932.62231637837</v>
      </c>
      <c r="R532">
        <f t="shared" si="986"/>
        <v>-57258941.963513516</v>
      </c>
      <c r="S532">
        <f t="shared" si="987"/>
        <v>-572.58941963513519</v>
      </c>
      <c r="T532">
        <f t="shared" si="988"/>
        <v>-0.57258941963513521</v>
      </c>
    </row>
    <row r="533" spans="1:20" x14ac:dyDescent="0.25">
      <c r="A533" s="5">
        <v>44060</v>
      </c>
      <c r="B533">
        <v>0.1968</v>
      </c>
      <c r="C533">
        <v>0.20519999999999999</v>
      </c>
      <c r="D533">
        <v>0.191</v>
      </c>
      <c r="E533">
        <v>0.19489999999999999</v>
      </c>
      <c r="F533">
        <v>6133042.9299999997</v>
      </c>
      <c r="G533">
        <v>0</v>
      </c>
      <c r="L533" t="s">
        <v>8</v>
      </c>
      <c r="M533" t="s">
        <v>8</v>
      </c>
      <c r="N533" t="s">
        <v>7</v>
      </c>
      <c r="P533">
        <f t="shared" si="984"/>
        <v>-0.45070422535211419</v>
      </c>
      <c r="Q533">
        <f t="shared" si="985"/>
        <v>-2764188.3628169107</v>
      </c>
      <c r="R533">
        <f t="shared" si="986"/>
        <v>-57362874.585829891</v>
      </c>
      <c r="S533">
        <f t="shared" si="987"/>
        <v>-573.62874585829888</v>
      </c>
      <c r="T533">
        <f t="shared" si="988"/>
        <v>-0.57362874585829893</v>
      </c>
    </row>
    <row r="534" spans="1:20" x14ac:dyDescent="0.25">
      <c r="A534" s="5">
        <v>44059</v>
      </c>
      <c r="B534">
        <v>0.18340000000000001</v>
      </c>
      <c r="C534">
        <v>0.1993</v>
      </c>
      <c r="D534">
        <v>0.18160000000000001</v>
      </c>
      <c r="E534">
        <v>0.1968</v>
      </c>
      <c r="F534">
        <v>5613337.0099999998</v>
      </c>
      <c r="G534">
        <v>0</v>
      </c>
      <c r="L534" t="s">
        <v>8</v>
      </c>
      <c r="M534" t="s">
        <v>8</v>
      </c>
      <c r="N534" t="s">
        <v>7</v>
      </c>
      <c r="P534">
        <f t="shared" si="984"/>
        <v>0.71751412429378492</v>
      </c>
      <c r="Q534">
        <f t="shared" si="985"/>
        <v>4027648.5890960428</v>
      </c>
      <c r="R534">
        <f t="shared" si="986"/>
        <v>-54598686.223012984</v>
      </c>
      <c r="S534">
        <f t="shared" si="987"/>
        <v>-545.98686223012987</v>
      </c>
      <c r="T534">
        <f t="shared" si="988"/>
        <v>-0.54598686223012982</v>
      </c>
    </row>
    <row r="535" spans="1:20" x14ac:dyDescent="0.25">
      <c r="A535" s="5">
        <v>44058</v>
      </c>
      <c r="B535">
        <v>0.18590000000000001</v>
      </c>
      <c r="C535">
        <v>0.18679999999999999</v>
      </c>
      <c r="D535">
        <v>0.18049999999999999</v>
      </c>
      <c r="E535">
        <v>0.1832</v>
      </c>
      <c r="F535">
        <v>2498596.5299999998</v>
      </c>
      <c r="G535">
        <v>0</v>
      </c>
      <c r="L535" t="s">
        <v>8</v>
      </c>
      <c r="M535" t="s">
        <v>8</v>
      </c>
      <c r="N535" t="s">
        <v>7</v>
      </c>
      <c r="P535">
        <f t="shared" si="984"/>
        <v>-0.14285714285714035</v>
      </c>
      <c r="Q535">
        <f t="shared" si="985"/>
        <v>-356942.36142856511</v>
      </c>
      <c r="R535">
        <f t="shared" si="986"/>
        <v>-58626334.812109023</v>
      </c>
      <c r="S535">
        <f t="shared" si="987"/>
        <v>-586.26334812109019</v>
      </c>
      <c r="T535">
        <f t="shared" si="988"/>
        <v>-0.58626334812109016</v>
      </c>
    </row>
    <row r="536" spans="1:20" x14ac:dyDescent="0.25">
      <c r="A536" s="5">
        <v>44057</v>
      </c>
      <c r="B536">
        <v>0.18540000000000001</v>
      </c>
      <c r="C536">
        <v>0.1893</v>
      </c>
      <c r="D536">
        <v>0.1799</v>
      </c>
      <c r="E536">
        <v>0.1855</v>
      </c>
      <c r="F536">
        <v>4291497.68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0.19148936170212741</v>
      </c>
      <c r="Q536">
        <f t="shared" si="985"/>
        <v>821776.15148936061</v>
      </c>
      <c r="R536">
        <f t="shared" si="986"/>
        <v>-58269392.450680457</v>
      </c>
      <c r="S536">
        <f t="shared" si="987"/>
        <v>-582.69392450680459</v>
      </c>
      <c r="T536">
        <f t="shared" si="988"/>
        <v>-0.58269392450680457</v>
      </c>
    </row>
    <row r="537" spans="1:20" x14ac:dyDescent="0.25">
      <c r="A537" s="5">
        <v>44056</v>
      </c>
      <c r="B537">
        <v>0.18559999999999999</v>
      </c>
      <c r="C537">
        <v>0.1903</v>
      </c>
      <c r="D537">
        <v>0.17369999999999999</v>
      </c>
      <c r="E537">
        <v>0.18540000000000001</v>
      </c>
      <c r="F537">
        <v>5723699.71</v>
      </c>
      <c r="G537">
        <v>0</v>
      </c>
      <c r="L537" t="s">
        <v>7</v>
      </c>
      <c r="M537" t="s">
        <v>8</v>
      </c>
      <c r="N537" t="s">
        <v>7</v>
      </c>
      <c r="P537">
        <f t="shared" si="984"/>
        <v>0.40963855421686907</v>
      </c>
      <c r="Q537">
        <f t="shared" si="985"/>
        <v>2344648.0739759128</v>
      </c>
      <c r="R537">
        <f t="shared" si="986"/>
        <v>-59091168.602169819</v>
      </c>
      <c r="S537">
        <f t="shared" si="987"/>
        <v>-590.91168602169819</v>
      </c>
      <c r="T537">
        <f t="shared" si="988"/>
        <v>-0.59091168602169819</v>
      </c>
    </row>
    <row r="538" spans="1:20" x14ac:dyDescent="0.25">
      <c r="A538" s="5">
        <v>44055</v>
      </c>
      <c r="B538">
        <v>0.18310000000000001</v>
      </c>
      <c r="C538">
        <v>0.188</v>
      </c>
      <c r="D538">
        <v>0.17530000000000001</v>
      </c>
      <c r="E538">
        <v>0.18579999999999999</v>
      </c>
      <c r="F538">
        <v>3540608.59</v>
      </c>
      <c r="G538">
        <v>0</v>
      </c>
      <c r="L538" t="s">
        <v>7</v>
      </c>
      <c r="M538" t="s">
        <v>8</v>
      </c>
      <c r="N538" t="s">
        <v>7</v>
      </c>
      <c r="P538">
        <f t="shared" si="984"/>
        <v>0.65354330708661268</v>
      </c>
      <c r="Q538">
        <f t="shared" si="985"/>
        <v>2313941.0470078685</v>
      </c>
      <c r="R538">
        <f t="shared" si="986"/>
        <v>-61435816.676145732</v>
      </c>
      <c r="S538">
        <f t="shared" si="987"/>
        <v>-614.35816676145737</v>
      </c>
      <c r="T538">
        <f t="shared" si="988"/>
        <v>-0.61435816676145738</v>
      </c>
    </row>
    <row r="539" spans="1:20" x14ac:dyDescent="0.25">
      <c r="A539" s="5">
        <v>44054</v>
      </c>
      <c r="B539">
        <v>0.19750000000000001</v>
      </c>
      <c r="C539">
        <v>0.19919999999999999</v>
      </c>
      <c r="D539">
        <v>0.17710000000000001</v>
      </c>
      <c r="E539">
        <v>0.18310000000000001</v>
      </c>
      <c r="F539">
        <v>5364818.8499999996</v>
      </c>
      <c r="G539">
        <v>0</v>
      </c>
      <c r="L539" t="s">
        <v>7</v>
      </c>
      <c r="M539" t="s">
        <v>8</v>
      </c>
      <c r="N539" t="s">
        <v>7</v>
      </c>
      <c r="P539">
        <f t="shared" si="984"/>
        <v>-0.45701357466063253</v>
      </c>
      <c r="Q539">
        <f t="shared" si="985"/>
        <v>-2451795.0400452437</v>
      </c>
      <c r="R539">
        <f t="shared" si="986"/>
        <v>-63749757.723153599</v>
      </c>
      <c r="S539">
        <f t="shared" si="987"/>
        <v>-637.49757723153596</v>
      </c>
      <c r="T539">
        <f t="shared" si="988"/>
        <v>-0.63749757723153599</v>
      </c>
    </row>
    <row r="540" spans="1:20" x14ac:dyDescent="0.25">
      <c r="A540" s="5">
        <v>44053</v>
      </c>
      <c r="B540">
        <v>0.193</v>
      </c>
      <c r="C540">
        <v>0.20100000000000001</v>
      </c>
      <c r="D540">
        <v>0.17860000000000001</v>
      </c>
      <c r="E540">
        <v>0.1968</v>
      </c>
      <c r="F540">
        <v>7280601.5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0.62499999999999922</v>
      </c>
      <c r="Q540">
        <f t="shared" si="985"/>
        <v>4550375.9374999944</v>
      </c>
      <c r="R540">
        <f t="shared" si="986"/>
        <v>-61297962.683108352</v>
      </c>
      <c r="S540">
        <f t="shared" si="987"/>
        <v>-612.97962683108346</v>
      </c>
      <c r="T540">
        <f t="shared" si="988"/>
        <v>-0.61297962683108342</v>
      </c>
    </row>
    <row r="541" spans="1:20" x14ac:dyDescent="0.25">
      <c r="A541" s="5">
        <v>44052</v>
      </c>
      <c r="B541">
        <v>0.18609999999999999</v>
      </c>
      <c r="C541">
        <v>0.19489999999999999</v>
      </c>
      <c r="D541">
        <v>0.18310000000000001</v>
      </c>
      <c r="E541">
        <v>0.193</v>
      </c>
      <c r="F541">
        <v>5191242.4000000004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0.67796610169491722</v>
      </c>
      <c r="Q541">
        <f t="shared" si="985"/>
        <v>3519486.3728813664</v>
      </c>
      <c r="R541">
        <f t="shared" si="986"/>
        <v>-65848338.620608345</v>
      </c>
      <c r="S541">
        <f t="shared" si="987"/>
        <v>-658.48338620608342</v>
      </c>
      <c r="T541">
        <f t="shared" si="988"/>
        <v>-0.65848338620608338</v>
      </c>
    </row>
    <row r="542" spans="1:20" x14ac:dyDescent="0.25">
      <c r="A542" s="5">
        <v>44051</v>
      </c>
      <c r="B542">
        <v>0.1772</v>
      </c>
      <c r="C542">
        <v>0.1883</v>
      </c>
      <c r="D542">
        <v>0.17380000000000001</v>
      </c>
      <c r="E542">
        <v>0.18609999999999999</v>
      </c>
      <c r="F542">
        <v>4346997.4800000004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0.69655172413792965</v>
      </c>
      <c r="Q542">
        <f t="shared" si="985"/>
        <v>3027908.5895172358</v>
      </c>
      <c r="R542">
        <f t="shared" si="986"/>
        <v>-69367824.993489712</v>
      </c>
      <c r="S542">
        <f t="shared" si="987"/>
        <v>-693.67824993489717</v>
      </c>
      <c r="T542">
        <f t="shared" si="988"/>
        <v>-0.69367824993489713</v>
      </c>
    </row>
    <row r="543" spans="1:20" x14ac:dyDescent="0.25">
      <c r="A543" s="5">
        <v>44050</v>
      </c>
      <c r="B543">
        <v>0.17530000000000001</v>
      </c>
      <c r="C543">
        <v>0.18290000000000001</v>
      </c>
      <c r="D543">
        <v>0.16880000000000001</v>
      </c>
      <c r="E543">
        <v>0.1767</v>
      </c>
      <c r="F543">
        <v>2973894.13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0.12056737588652335</v>
      </c>
      <c r="Q543">
        <f t="shared" si="985"/>
        <v>358554.61141843529</v>
      </c>
      <c r="R543">
        <f t="shared" si="986"/>
        <v>-72395733.583006948</v>
      </c>
      <c r="S543">
        <f t="shared" si="987"/>
        <v>-723.9573358300695</v>
      </c>
      <c r="T543">
        <f t="shared" si="988"/>
        <v>-0.72395733583006949</v>
      </c>
    </row>
    <row r="544" spans="1:20" x14ac:dyDescent="0.25">
      <c r="A544" s="5">
        <v>44049</v>
      </c>
      <c r="B544">
        <v>0.1711</v>
      </c>
      <c r="C544">
        <v>0.18149999999999999</v>
      </c>
      <c r="D544">
        <v>0.16850000000000001</v>
      </c>
      <c r="E544">
        <v>0.17530000000000001</v>
      </c>
      <c r="F544">
        <v>3222444.89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4.615384615384753E-2</v>
      </c>
      <c r="Q544">
        <f t="shared" si="985"/>
        <v>148728.22569231215</v>
      </c>
      <c r="R544">
        <f t="shared" si="986"/>
        <v>-72754288.194425389</v>
      </c>
      <c r="S544">
        <f t="shared" si="987"/>
        <v>-727.54288194425385</v>
      </c>
      <c r="T544">
        <f t="shared" si="988"/>
        <v>-0.72754288194425387</v>
      </c>
    </row>
    <row r="545" spans="1:20" x14ac:dyDescent="0.25">
      <c r="A545" s="5">
        <v>44048</v>
      </c>
      <c r="B545">
        <v>0.16900000000000001</v>
      </c>
      <c r="C545">
        <v>0.17749999999999999</v>
      </c>
      <c r="D545">
        <v>0.16850000000000001</v>
      </c>
      <c r="E545">
        <v>0.1719</v>
      </c>
      <c r="F545">
        <v>2721586.26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-0.24444444444444582</v>
      </c>
      <c r="Q545">
        <f t="shared" si="985"/>
        <v>-665276.64133333706</v>
      </c>
      <c r="R545">
        <f t="shared" si="986"/>
        <v>-72903016.420117706</v>
      </c>
      <c r="S545">
        <f t="shared" si="987"/>
        <v>-729.03016420117706</v>
      </c>
      <c r="T545">
        <f t="shared" si="988"/>
        <v>-0.72903016420117706</v>
      </c>
    </row>
    <row r="546" spans="1:20" x14ac:dyDescent="0.25">
      <c r="A546" s="5">
        <v>44047</v>
      </c>
      <c r="B546">
        <v>0.17030000000000001</v>
      </c>
      <c r="C546">
        <v>0.17399999999999999</v>
      </c>
      <c r="D546">
        <v>0.16539999999999999</v>
      </c>
      <c r="E546">
        <v>0.16869999999999999</v>
      </c>
      <c r="F546">
        <v>1534868.63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-0.23255813953488402</v>
      </c>
      <c r="Q546">
        <f t="shared" si="985"/>
        <v>-356946.19302325626</v>
      </c>
      <c r="R546">
        <f t="shared" si="986"/>
        <v>-72237739.778784364</v>
      </c>
      <c r="S546">
        <f t="shared" si="987"/>
        <v>-722.37739778784362</v>
      </c>
      <c r="T546">
        <f t="shared" si="988"/>
        <v>-0.7223773977878436</v>
      </c>
    </row>
    <row r="547" spans="1:20" x14ac:dyDescent="0.25">
      <c r="A547" s="5">
        <v>44046</v>
      </c>
      <c r="B547">
        <v>0.16889999999999999</v>
      </c>
      <c r="C547">
        <v>0.17499999999999999</v>
      </c>
      <c r="D547">
        <v>0.16839999999999999</v>
      </c>
      <c r="E547">
        <v>0.16969999999999999</v>
      </c>
      <c r="F547">
        <v>1480032.41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-0.60606060606060708</v>
      </c>
      <c r="Q547">
        <f t="shared" si="985"/>
        <v>-896989.33939394087</v>
      </c>
      <c r="R547">
        <f t="shared" si="986"/>
        <v>-71880793.585761115</v>
      </c>
      <c r="S547">
        <f t="shared" si="987"/>
        <v>-718.80793585761114</v>
      </c>
      <c r="T547">
        <f t="shared" si="988"/>
        <v>-0.71880793585761116</v>
      </c>
    </row>
    <row r="548" spans="1:20" x14ac:dyDescent="0.25">
      <c r="A548" s="5">
        <v>44045</v>
      </c>
      <c r="B548">
        <v>0.17630000000000001</v>
      </c>
      <c r="C548">
        <v>0.184</v>
      </c>
      <c r="D548">
        <v>0.15210000000000001</v>
      </c>
      <c r="E548">
        <v>0.16930000000000001</v>
      </c>
      <c r="F548">
        <v>2531115.33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7.8369905956112956E-2</v>
      </c>
      <c r="Q548">
        <f t="shared" si="985"/>
        <v>198363.27037617582</v>
      </c>
      <c r="R548">
        <f t="shared" si="986"/>
        <v>-70983804.246367171</v>
      </c>
      <c r="S548">
        <f t="shared" si="987"/>
        <v>-709.83804246367174</v>
      </c>
      <c r="T548">
        <f t="shared" si="988"/>
        <v>-0.70983804246367177</v>
      </c>
    </row>
    <row r="549" spans="1:20" x14ac:dyDescent="0.25">
      <c r="A549" s="5">
        <v>44044</v>
      </c>
      <c r="B549">
        <v>0.1744</v>
      </c>
      <c r="C549">
        <v>0.18129999999999999</v>
      </c>
      <c r="D549">
        <v>0.17</v>
      </c>
      <c r="E549">
        <v>0.17599999999999999</v>
      </c>
      <c r="F549">
        <v>1812476.65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6.1946902654865472E-2</v>
      </c>
      <c r="Q549">
        <f t="shared" si="985"/>
        <v>112277.31460176667</v>
      </c>
      <c r="R549">
        <f t="shared" si="986"/>
        <v>-71182167.516743347</v>
      </c>
      <c r="S549">
        <f t="shared" si="987"/>
        <v>-711.82167516743345</v>
      </c>
      <c r="T549">
        <f t="shared" si="988"/>
        <v>-0.71182167516743344</v>
      </c>
    </row>
    <row r="550" spans="1:20" x14ac:dyDescent="0.25">
      <c r="A550" s="5">
        <v>44043</v>
      </c>
      <c r="B550">
        <v>0.17449999999999999</v>
      </c>
      <c r="C550">
        <v>0.17580000000000001</v>
      </c>
      <c r="D550">
        <v>0.17130000000000001</v>
      </c>
      <c r="E550">
        <v>0.1744</v>
      </c>
      <c r="F550">
        <v>1057940.3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0.37777777777777283</v>
      </c>
      <c r="Q550">
        <f t="shared" si="985"/>
        <v>399666.33555555035</v>
      </c>
      <c r="R550">
        <f t="shared" si="986"/>
        <v>-71294444.831345111</v>
      </c>
      <c r="S550">
        <f t="shared" si="987"/>
        <v>-712.94444831345106</v>
      </c>
      <c r="T550">
        <f t="shared" si="988"/>
        <v>-0.71294444831345105</v>
      </c>
    </row>
    <row r="551" spans="1:20" x14ac:dyDescent="0.25">
      <c r="A551" s="5">
        <v>44042</v>
      </c>
      <c r="B551">
        <v>0.1759</v>
      </c>
      <c r="C551">
        <v>0.1852</v>
      </c>
      <c r="D551">
        <v>0.1729</v>
      </c>
      <c r="E551">
        <v>0.17460000000000001</v>
      </c>
      <c r="F551">
        <v>1894873.34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-0.72357723577235666</v>
      </c>
      <c r="Q551">
        <f t="shared" si="985"/>
        <v>-1371087.213495933</v>
      </c>
      <c r="R551">
        <f t="shared" si="986"/>
        <v>-71694111.166900665</v>
      </c>
      <c r="S551">
        <f t="shared" si="987"/>
        <v>-716.94111166900666</v>
      </c>
      <c r="T551">
        <f t="shared" si="988"/>
        <v>-0.71694111166900665</v>
      </c>
    </row>
    <row r="552" spans="1:20" x14ac:dyDescent="0.25">
      <c r="A552" s="5">
        <v>44041</v>
      </c>
      <c r="B552">
        <v>0.1709</v>
      </c>
      <c r="C552">
        <v>0.19</v>
      </c>
      <c r="D552">
        <v>0.17069999999999999</v>
      </c>
      <c r="E552">
        <v>0.17630000000000001</v>
      </c>
      <c r="F552">
        <v>3909541.11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-0.41968911917098256</v>
      </c>
      <c r="Q552">
        <f t="shared" si="985"/>
        <v>-1640791.8648186454</v>
      </c>
      <c r="R552">
        <f t="shared" si="986"/>
        <v>-70323023.953404725</v>
      </c>
      <c r="S552">
        <f t="shared" si="987"/>
        <v>-703.2302395340472</v>
      </c>
      <c r="T552">
        <f t="shared" si="988"/>
        <v>-0.70323023953404717</v>
      </c>
    </row>
    <row r="553" spans="1:20" x14ac:dyDescent="0.25">
      <c r="A553" s="5">
        <v>44040</v>
      </c>
      <c r="B553">
        <v>0.16669999999999999</v>
      </c>
      <c r="C553">
        <v>0.17449999999999999</v>
      </c>
      <c r="D553">
        <v>0.16300000000000001</v>
      </c>
      <c r="E553">
        <v>0.1709</v>
      </c>
      <c r="F553">
        <v>1988069.53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0.37391304347826126</v>
      </c>
      <c r="Q553">
        <f t="shared" si="985"/>
        <v>743365.1286086964</v>
      </c>
      <c r="R553">
        <f t="shared" si="986"/>
        <v>-68682232.088586077</v>
      </c>
      <c r="S553">
        <f t="shared" si="987"/>
        <v>-686.82232088586079</v>
      </c>
      <c r="T553">
        <f t="shared" si="988"/>
        <v>-0.68682232088586082</v>
      </c>
    </row>
    <row r="554" spans="1:20" x14ac:dyDescent="0.25">
      <c r="A554" s="5">
        <v>44039</v>
      </c>
      <c r="B554">
        <v>0.1782</v>
      </c>
      <c r="C554">
        <v>0.18079999999999999</v>
      </c>
      <c r="D554">
        <v>0.15229999999999999</v>
      </c>
      <c r="E554">
        <v>0.16669999999999999</v>
      </c>
      <c r="F554">
        <v>4127364.58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1.05263157894735E-2</v>
      </c>
      <c r="Q554">
        <f t="shared" si="985"/>
        <v>43445.942947367665</v>
      </c>
      <c r="R554">
        <f t="shared" si="986"/>
        <v>-69425597.217194781</v>
      </c>
      <c r="S554">
        <f t="shared" si="987"/>
        <v>-694.25597217194786</v>
      </c>
      <c r="T554">
        <f t="shared" si="988"/>
        <v>-0.6942559721719479</v>
      </c>
    </row>
    <row r="555" spans="1:20" x14ac:dyDescent="0.25">
      <c r="A555" s="5">
        <v>44038</v>
      </c>
      <c r="B555">
        <v>0.18279999999999999</v>
      </c>
      <c r="C555">
        <v>0.18509999999999999</v>
      </c>
      <c r="D555">
        <v>0.17530000000000001</v>
      </c>
      <c r="E555">
        <v>0.17879999999999999</v>
      </c>
      <c r="F555">
        <v>1773789.03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-0.28571428571428897</v>
      </c>
      <c r="Q555">
        <f t="shared" si="985"/>
        <v>-506796.86571429152</v>
      </c>
      <c r="R555">
        <f t="shared" si="986"/>
        <v>-69469043.160142154</v>
      </c>
      <c r="S555">
        <f t="shared" si="987"/>
        <v>-694.69043160142155</v>
      </c>
      <c r="T555">
        <f t="shared" si="988"/>
        <v>-0.69469043160142152</v>
      </c>
    </row>
    <row r="556" spans="1:20" x14ac:dyDescent="0.25">
      <c r="A556" s="5">
        <v>44037</v>
      </c>
      <c r="B556">
        <v>0.1807</v>
      </c>
      <c r="C556">
        <v>0.1855</v>
      </c>
      <c r="D556">
        <v>0.18010000000000001</v>
      </c>
      <c r="E556">
        <v>0.18340000000000001</v>
      </c>
      <c r="F556">
        <v>1358222.7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0.22222222222222393</v>
      </c>
      <c r="Q556">
        <f t="shared" si="985"/>
        <v>301827.26666666899</v>
      </c>
      <c r="R556">
        <f t="shared" si="986"/>
        <v>-68962246.294427857</v>
      </c>
      <c r="S556">
        <f t="shared" si="987"/>
        <v>-689.6224629442786</v>
      </c>
      <c r="T556">
        <f t="shared" si="988"/>
        <v>-0.68962246294427865</v>
      </c>
    </row>
    <row r="557" spans="1:20" x14ac:dyDescent="0.25">
      <c r="A557" s="5">
        <v>44036</v>
      </c>
      <c r="B557">
        <v>0.18629999999999999</v>
      </c>
      <c r="C557">
        <v>0.18679999999999999</v>
      </c>
      <c r="D557">
        <v>0.18029999999999999</v>
      </c>
      <c r="E557">
        <v>0.18110000000000001</v>
      </c>
      <c r="F557">
        <v>1599834.92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-0.75384615384614706</v>
      </c>
      <c r="Q557">
        <f t="shared" si="985"/>
        <v>-1206029.4012307583</v>
      </c>
      <c r="R557">
        <f t="shared" si="986"/>
        <v>-69264073.561094522</v>
      </c>
      <c r="S557">
        <f t="shared" si="987"/>
        <v>-692.64073561094517</v>
      </c>
      <c r="T557">
        <f t="shared" si="988"/>
        <v>-0.69264073561094519</v>
      </c>
    </row>
    <row r="558" spans="1:20" x14ac:dyDescent="0.25">
      <c r="A558" s="5">
        <v>44035</v>
      </c>
      <c r="B558">
        <v>0.1883</v>
      </c>
      <c r="C558">
        <v>0.1903</v>
      </c>
      <c r="D558">
        <v>0.1852</v>
      </c>
      <c r="E558">
        <v>0.18629999999999999</v>
      </c>
      <c r="F558">
        <v>2334326.15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-0.56862745098039558</v>
      </c>
      <c r="Q558">
        <f t="shared" si="985"/>
        <v>-1327361.9284313805</v>
      </c>
      <c r="R558">
        <f t="shared" si="986"/>
        <v>-68058044.15986377</v>
      </c>
      <c r="S558">
        <f t="shared" si="987"/>
        <v>-680.58044159863766</v>
      </c>
      <c r="T558">
        <f t="shared" si="988"/>
        <v>-0.68058044159863762</v>
      </c>
    </row>
    <row r="559" spans="1:20" x14ac:dyDescent="0.25">
      <c r="A559" s="5">
        <v>44034</v>
      </c>
      <c r="B559">
        <v>0.18559999999999999</v>
      </c>
      <c r="C559">
        <v>0.19070000000000001</v>
      </c>
      <c r="D559">
        <v>0.18390000000000001</v>
      </c>
      <c r="E559">
        <v>0.18870000000000001</v>
      </c>
      <c r="F559">
        <v>2189550.35</v>
      </c>
      <c r="G559">
        <v>0</v>
      </c>
      <c r="L559" t="s">
        <v>7</v>
      </c>
      <c r="M559" t="s">
        <v>7</v>
      </c>
      <c r="N559" t="s">
        <v>7</v>
      </c>
      <c r="P559">
        <f t="shared" si="984"/>
        <v>0.41176470588235248</v>
      </c>
      <c r="Q559">
        <f t="shared" si="985"/>
        <v>901579.55588235194</v>
      </c>
      <c r="R559">
        <f t="shared" si="986"/>
        <v>-66730682.231432393</v>
      </c>
      <c r="S559">
        <f t="shared" si="987"/>
        <v>-667.30682231432388</v>
      </c>
      <c r="T559">
        <f t="shared" si="988"/>
        <v>-0.66730682231432392</v>
      </c>
    </row>
    <row r="560" spans="1:20" x14ac:dyDescent="0.25">
      <c r="A560" s="5">
        <v>44033</v>
      </c>
      <c r="B560">
        <v>0.1875</v>
      </c>
      <c r="C560">
        <v>0.18759999999999999</v>
      </c>
      <c r="D560">
        <v>0.1794</v>
      </c>
      <c r="E560">
        <v>0.186</v>
      </c>
      <c r="F560">
        <v>2057099.96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0.60975609756097726</v>
      </c>
      <c r="Q560">
        <f t="shared" si="985"/>
        <v>1254329.2439024425</v>
      </c>
      <c r="R560">
        <f t="shared" si="986"/>
        <v>-67632261.787314743</v>
      </c>
      <c r="S560">
        <f t="shared" si="987"/>
        <v>-676.32261787314746</v>
      </c>
      <c r="T560">
        <f t="shared" si="988"/>
        <v>-0.67632261787314751</v>
      </c>
    </row>
    <row r="561" spans="1:104" x14ac:dyDescent="0.25">
      <c r="A561" s="5">
        <v>44032</v>
      </c>
      <c r="B561">
        <v>0.18629999999999999</v>
      </c>
      <c r="C561">
        <v>0.19239999999999999</v>
      </c>
      <c r="D561">
        <v>0.185</v>
      </c>
      <c r="E561">
        <v>0.18690000000000001</v>
      </c>
      <c r="F561">
        <v>2625403.8199999998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-0.48648648648648235</v>
      </c>
      <c r="Q561">
        <f t="shared" si="985"/>
        <v>-1277223.479999989</v>
      </c>
      <c r="R561">
        <f t="shared" si="986"/>
        <v>-68886591.031217188</v>
      </c>
      <c r="S561">
        <f t="shared" si="987"/>
        <v>-688.86591031217188</v>
      </c>
      <c r="T561">
        <f t="shared" si="988"/>
        <v>-0.68886591031217193</v>
      </c>
      <c r="CZ561" t="s">
        <v>7</v>
      </c>
    </row>
    <row r="562" spans="1:104" x14ac:dyDescent="0.25">
      <c r="A562" s="5">
        <v>44031</v>
      </c>
      <c r="B562">
        <v>0.18629999999999999</v>
      </c>
      <c r="C562">
        <v>0.19259999999999999</v>
      </c>
      <c r="D562">
        <v>0.18160000000000001</v>
      </c>
      <c r="E562">
        <v>0.18590000000000001</v>
      </c>
      <c r="F562">
        <v>3257738.56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-0.21818181818181723</v>
      </c>
      <c r="Q562">
        <f t="shared" si="985"/>
        <v>-710779.32218181505</v>
      </c>
      <c r="R562">
        <f t="shared" si="986"/>
        <v>-67609367.551217198</v>
      </c>
      <c r="S562">
        <f t="shared" si="987"/>
        <v>-676.09367551217201</v>
      </c>
      <c r="T562">
        <f t="shared" si="988"/>
        <v>-0.67609367551217203</v>
      </c>
      <c r="CZ562" t="s">
        <v>7</v>
      </c>
    </row>
    <row r="563" spans="1:104" x14ac:dyDescent="0.25">
      <c r="A563" s="5">
        <v>44030</v>
      </c>
      <c r="B563">
        <v>0.18629999999999999</v>
      </c>
      <c r="C563">
        <v>0.193</v>
      </c>
      <c r="D563">
        <v>0.1807</v>
      </c>
      <c r="E563">
        <v>0.1867</v>
      </c>
      <c r="F563">
        <v>3736668.68</v>
      </c>
      <c r="G563">
        <v>0</v>
      </c>
      <c r="L563" t="s">
        <v>7</v>
      </c>
      <c r="M563" t="s">
        <v>7</v>
      </c>
      <c r="N563" t="s">
        <v>7</v>
      </c>
      <c r="P563">
        <f t="shared" si="984"/>
        <v>-2.4390243902438585E-2</v>
      </c>
      <c r="Q563">
        <f t="shared" si="985"/>
        <v>-91138.260487803243</v>
      </c>
      <c r="R563">
        <f t="shared" si="986"/>
        <v>-66898588.229035378</v>
      </c>
      <c r="S563">
        <f t="shared" si="987"/>
        <v>-668.98588229035374</v>
      </c>
      <c r="T563">
        <f t="shared" si="988"/>
        <v>-0.66898588229035372</v>
      </c>
      <c r="CZ563" t="s">
        <v>7</v>
      </c>
    </row>
    <row r="564" spans="1:104" x14ac:dyDescent="0.25">
      <c r="A564" s="5">
        <v>44029</v>
      </c>
      <c r="B564">
        <v>0.18079999999999999</v>
      </c>
      <c r="C564">
        <v>0.1948</v>
      </c>
      <c r="D564">
        <v>0.1759</v>
      </c>
      <c r="E564">
        <v>0.1865</v>
      </c>
      <c r="F564">
        <v>5473661.9800000004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0.12169312169312151</v>
      </c>
      <c r="Q564">
        <f t="shared" si="985"/>
        <v>666107.01343915251</v>
      </c>
      <c r="R564">
        <f t="shared" si="986"/>
        <v>-66807449.968547575</v>
      </c>
      <c r="S564">
        <f t="shared" si="987"/>
        <v>-668.07449968547576</v>
      </c>
      <c r="T564">
        <f t="shared" si="988"/>
        <v>-0.66807449968547572</v>
      </c>
    </row>
    <row r="565" spans="1:104" x14ac:dyDescent="0.25">
      <c r="A565" s="5">
        <v>44028</v>
      </c>
      <c r="B565">
        <v>0.19159999999999999</v>
      </c>
      <c r="C565">
        <v>0.1943</v>
      </c>
      <c r="D565">
        <v>0.17199999999999999</v>
      </c>
      <c r="E565">
        <v>0.18090000000000001</v>
      </c>
      <c r="F565">
        <v>5086658.67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-0.20179372197309298</v>
      </c>
      <c r="Q565">
        <f t="shared" si="985"/>
        <v>-1026455.7854260029</v>
      </c>
      <c r="R565">
        <f t="shared" si="986"/>
        <v>-67473556.981986731</v>
      </c>
      <c r="S565">
        <f t="shared" si="987"/>
        <v>-674.73556981986735</v>
      </c>
      <c r="T565">
        <f t="shared" si="988"/>
        <v>-0.67473556981986738</v>
      </c>
    </row>
    <row r="566" spans="1:104" x14ac:dyDescent="0.25">
      <c r="A566" s="5">
        <v>44027</v>
      </c>
      <c r="B566">
        <v>0.20349999999999999</v>
      </c>
      <c r="C566">
        <v>0.2056</v>
      </c>
      <c r="D566">
        <v>0.18959999999999999</v>
      </c>
      <c r="E566">
        <v>0.19159999999999999</v>
      </c>
      <c r="F566">
        <v>7078400.4900000002</v>
      </c>
      <c r="G566">
        <v>0</v>
      </c>
      <c r="L566" t="s">
        <v>8</v>
      </c>
      <c r="M566" t="s">
        <v>7</v>
      </c>
      <c r="N566" t="s">
        <v>7</v>
      </c>
      <c r="P566">
        <f t="shared" si="984"/>
        <v>-0.75</v>
      </c>
      <c r="Q566">
        <f t="shared" si="985"/>
        <v>-5308800.3674999997</v>
      </c>
      <c r="R566">
        <f t="shared" si="986"/>
        <v>-66447101.196560733</v>
      </c>
      <c r="S566">
        <f t="shared" si="987"/>
        <v>-664.47101196560732</v>
      </c>
      <c r="T566">
        <f t="shared" si="988"/>
        <v>-0.66447101196560732</v>
      </c>
    </row>
    <row r="567" spans="1:104" x14ac:dyDescent="0.25">
      <c r="A567" s="5">
        <v>44026</v>
      </c>
      <c r="B567">
        <v>0.18590000000000001</v>
      </c>
      <c r="C567">
        <v>0.223</v>
      </c>
      <c r="D567">
        <v>0.1812</v>
      </c>
      <c r="E567">
        <v>0.20349999999999999</v>
      </c>
      <c r="F567">
        <v>17885511.690000001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6.6985645933013607E-2</v>
      </c>
      <c r="Q567">
        <f t="shared" si="985"/>
        <v>1198072.553397116</v>
      </c>
      <c r="R567">
        <f t="shared" si="986"/>
        <v>-61138300.829060733</v>
      </c>
      <c r="S567">
        <f t="shared" si="987"/>
        <v>-611.38300829060734</v>
      </c>
      <c r="T567">
        <f t="shared" si="988"/>
        <v>-0.61138300829060732</v>
      </c>
    </row>
    <row r="568" spans="1:104" x14ac:dyDescent="0.25">
      <c r="A568" s="5">
        <v>44025</v>
      </c>
      <c r="B568">
        <v>0.1895</v>
      </c>
      <c r="C568">
        <v>0.1961</v>
      </c>
      <c r="D568">
        <v>0.1822</v>
      </c>
      <c r="E568">
        <v>0.1865</v>
      </c>
      <c r="F568">
        <v>4732604.71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-0.38129496402877705</v>
      </c>
      <c r="Q568">
        <f t="shared" si="985"/>
        <v>-1804518.3426618709</v>
      </c>
      <c r="R568">
        <f t="shared" si="986"/>
        <v>-62336373.382457852</v>
      </c>
      <c r="S568">
        <f t="shared" si="987"/>
        <v>-623.3637338245785</v>
      </c>
      <c r="T568">
        <f t="shared" si="988"/>
        <v>-0.62336373382457855</v>
      </c>
    </row>
    <row r="569" spans="1:104" x14ac:dyDescent="0.25">
      <c r="A569" s="5">
        <v>44024</v>
      </c>
      <c r="B569">
        <v>0.1951</v>
      </c>
      <c r="C569">
        <v>0.19670000000000001</v>
      </c>
      <c r="D569">
        <v>0.186</v>
      </c>
      <c r="E569">
        <v>0.18990000000000001</v>
      </c>
      <c r="F569">
        <v>3383239.08</v>
      </c>
      <c r="G569">
        <v>0</v>
      </c>
      <c r="L569" t="s">
        <v>8</v>
      </c>
      <c r="M569" t="s">
        <v>7</v>
      </c>
      <c r="N569" t="s">
        <v>7</v>
      </c>
      <c r="P569">
        <f t="shared" si="984"/>
        <v>-0.27102803738317588</v>
      </c>
      <c r="Q569">
        <f t="shared" si="985"/>
        <v>-916952.64785046154</v>
      </c>
      <c r="R569">
        <f t="shared" si="986"/>
        <v>-60531855.03979598</v>
      </c>
      <c r="S569">
        <f t="shared" si="987"/>
        <v>-605.31855039795983</v>
      </c>
      <c r="T569">
        <f t="shared" si="988"/>
        <v>-0.60531855039795979</v>
      </c>
    </row>
    <row r="570" spans="1:104" x14ac:dyDescent="0.25">
      <c r="A570" s="5">
        <v>44023</v>
      </c>
      <c r="B570">
        <v>0.1862</v>
      </c>
      <c r="C570">
        <v>0.19969999999999999</v>
      </c>
      <c r="D570">
        <v>0.185</v>
      </c>
      <c r="E570">
        <v>0.1951</v>
      </c>
      <c r="F570">
        <v>4966259.43</v>
      </c>
      <c r="G570">
        <v>0</v>
      </c>
      <c r="L570" t="s">
        <v>8</v>
      </c>
      <c r="M570" t="s">
        <v>7</v>
      </c>
      <c r="N570" t="s">
        <v>7</v>
      </c>
      <c r="P570">
        <f t="shared" si="984"/>
        <v>0.37414965986394616</v>
      </c>
      <c r="Q570">
        <f t="shared" si="985"/>
        <v>1858124.2765306151</v>
      </c>
      <c r="R570">
        <f t="shared" si="986"/>
        <v>-59614902.391945519</v>
      </c>
      <c r="S570">
        <f t="shared" si="987"/>
        <v>-596.1490239194552</v>
      </c>
      <c r="T570">
        <f t="shared" si="988"/>
        <v>-0.59614902391945523</v>
      </c>
    </row>
    <row r="571" spans="1:104" x14ac:dyDescent="0.25">
      <c r="A571" s="5">
        <v>44022</v>
      </c>
      <c r="B571">
        <v>0.1943</v>
      </c>
      <c r="C571">
        <v>0.1943</v>
      </c>
      <c r="D571">
        <v>0.18010000000000001</v>
      </c>
      <c r="E571">
        <v>0.1862</v>
      </c>
      <c r="F571">
        <v>3220805.83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-0.14084507042253544</v>
      </c>
      <c r="Q571">
        <f t="shared" si="985"/>
        <v>-453634.62394366274</v>
      </c>
      <c r="R571">
        <f t="shared" si="986"/>
        <v>-61473026.668476135</v>
      </c>
      <c r="S571">
        <f t="shared" si="987"/>
        <v>-614.73026668476132</v>
      </c>
      <c r="T571">
        <f t="shared" si="988"/>
        <v>-0.61473026668476127</v>
      </c>
    </row>
    <row r="572" spans="1:104" x14ac:dyDescent="0.25">
      <c r="A572" s="5">
        <v>44021</v>
      </c>
      <c r="B572">
        <v>0.20549999999999999</v>
      </c>
      <c r="C572">
        <v>0.20549999999999999</v>
      </c>
      <c r="D572">
        <v>0.1852</v>
      </c>
      <c r="E572">
        <v>0.19420000000000001</v>
      </c>
      <c r="F572">
        <v>7020479.4299999997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-0.11330049261083598</v>
      </c>
      <c r="Q572">
        <f t="shared" si="985"/>
        <v>-795423.77778324101</v>
      </c>
      <c r="R572">
        <f t="shared" si="986"/>
        <v>-61019392.04453247</v>
      </c>
      <c r="S572">
        <f t="shared" si="987"/>
        <v>-610.19392044532469</v>
      </c>
      <c r="T572">
        <f t="shared" si="988"/>
        <v>-0.61019392044532472</v>
      </c>
    </row>
    <row r="573" spans="1:104" x14ac:dyDescent="0.25">
      <c r="A573" s="5">
        <v>44020</v>
      </c>
      <c r="B573">
        <v>0.20669999999999999</v>
      </c>
      <c r="C573">
        <v>0.20780000000000001</v>
      </c>
      <c r="D573">
        <v>0.2</v>
      </c>
      <c r="E573">
        <v>0.20549999999999999</v>
      </c>
      <c r="F573">
        <v>6167033.0599999996</v>
      </c>
      <c r="G573">
        <v>0</v>
      </c>
      <c r="L573" t="s">
        <v>7</v>
      </c>
      <c r="M573" t="s">
        <v>8</v>
      </c>
      <c r="N573" t="s">
        <v>7</v>
      </c>
      <c r="P573">
        <f t="shared" si="984"/>
        <v>0.41025641025640414</v>
      </c>
      <c r="Q573">
        <f t="shared" si="985"/>
        <v>2530064.8451281674</v>
      </c>
      <c r="R573">
        <f t="shared" si="986"/>
        <v>-60223968.266749233</v>
      </c>
      <c r="S573">
        <f t="shared" si="987"/>
        <v>-602.23968266749227</v>
      </c>
      <c r="T573">
        <f t="shared" si="988"/>
        <v>-0.60223968266749228</v>
      </c>
    </row>
    <row r="574" spans="1:104" x14ac:dyDescent="0.25">
      <c r="A574" s="5">
        <v>44019</v>
      </c>
      <c r="B574">
        <v>0.2059</v>
      </c>
      <c r="C574">
        <v>0.21859999999999999</v>
      </c>
      <c r="D574">
        <v>0.20349999999999999</v>
      </c>
      <c r="E574">
        <v>0.20669999999999999</v>
      </c>
      <c r="F574">
        <v>8780591.5899999999</v>
      </c>
      <c r="G574">
        <v>0</v>
      </c>
      <c r="L574" t="s">
        <v>7</v>
      </c>
      <c r="M574" t="s">
        <v>8</v>
      </c>
      <c r="N574" t="s">
        <v>7</v>
      </c>
      <c r="P574">
        <f t="shared" si="984"/>
        <v>-0.57615894039734994</v>
      </c>
      <c r="Q574">
        <f t="shared" si="985"/>
        <v>-5059016.3465562817</v>
      </c>
      <c r="R574">
        <f t="shared" si="986"/>
        <v>-62754033.111877397</v>
      </c>
      <c r="S574">
        <f t="shared" si="987"/>
        <v>-627.54033111877402</v>
      </c>
      <c r="T574">
        <f t="shared" si="988"/>
        <v>-0.62754033111877405</v>
      </c>
    </row>
    <row r="575" spans="1:104" x14ac:dyDescent="0.25">
      <c r="A575" s="5">
        <v>44018</v>
      </c>
      <c r="B575">
        <v>0.20730000000000001</v>
      </c>
      <c r="C575">
        <v>0.22040000000000001</v>
      </c>
      <c r="D575">
        <v>0.20200000000000001</v>
      </c>
      <c r="E575">
        <v>0.2059</v>
      </c>
      <c r="F575">
        <v>8165873.5800000001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-0.57608695652174058</v>
      </c>
      <c r="Q575">
        <f t="shared" si="985"/>
        <v>-4704253.2580434904</v>
      </c>
      <c r="R575">
        <f t="shared" si="986"/>
        <v>-57695016.765321113</v>
      </c>
      <c r="S575">
        <f t="shared" si="987"/>
        <v>-576.95016765321111</v>
      </c>
      <c r="T575">
        <f t="shared" si="988"/>
        <v>-0.57695016765321117</v>
      </c>
    </row>
    <row r="576" spans="1:104" x14ac:dyDescent="0.25">
      <c r="A576" s="5">
        <v>44017</v>
      </c>
      <c r="B576">
        <v>0.21160000000000001</v>
      </c>
      <c r="C576">
        <v>0.22500000000000001</v>
      </c>
      <c r="D576">
        <v>0.2016</v>
      </c>
      <c r="E576">
        <v>0.2069</v>
      </c>
      <c r="F576">
        <v>8220042.1900000004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-0.54700854700854717</v>
      </c>
      <c r="Q576">
        <f t="shared" si="985"/>
        <v>-4496433.3347008564</v>
      </c>
      <c r="R576">
        <f t="shared" si="986"/>
        <v>-52990763.507277623</v>
      </c>
      <c r="S576">
        <f t="shared" si="987"/>
        <v>-529.9076350727762</v>
      </c>
      <c r="T576">
        <f t="shared" si="988"/>
        <v>-0.52990763507277616</v>
      </c>
    </row>
    <row r="577" spans="1:20" x14ac:dyDescent="0.25">
      <c r="A577" s="5">
        <v>44016</v>
      </c>
      <c r="B577">
        <v>0.19550000000000001</v>
      </c>
      <c r="C577">
        <v>0.24199999999999999</v>
      </c>
      <c r="D577">
        <v>0.1933</v>
      </c>
      <c r="E577">
        <v>0.21129999999999999</v>
      </c>
      <c r="F577">
        <v>23051464.91</v>
      </c>
      <c r="G577">
        <v>0</v>
      </c>
      <c r="L577" t="s">
        <v>8</v>
      </c>
      <c r="M577" t="s">
        <v>8</v>
      </c>
      <c r="N577" t="s">
        <v>7</v>
      </c>
      <c r="P577">
        <f t="shared" si="984"/>
        <v>-0.26078028747433302</v>
      </c>
      <c r="Q577">
        <f t="shared" si="985"/>
        <v>-6011367.6459343005</v>
      </c>
      <c r="R577">
        <f t="shared" si="986"/>
        <v>-48494330.17257677</v>
      </c>
      <c r="S577">
        <f t="shared" si="987"/>
        <v>-484.9433017257677</v>
      </c>
      <c r="T577">
        <f t="shared" si="988"/>
        <v>-0.48494330172576772</v>
      </c>
    </row>
    <row r="578" spans="1:20" x14ac:dyDescent="0.25">
      <c r="A578" s="5">
        <v>44015</v>
      </c>
      <c r="B578">
        <v>0.20680000000000001</v>
      </c>
      <c r="C578">
        <v>0.215</v>
      </c>
      <c r="D578">
        <v>0.19359999999999999</v>
      </c>
      <c r="E578">
        <v>0.19620000000000001</v>
      </c>
      <c r="F578">
        <v>8105565.3099999996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-0.75700934579439083</v>
      </c>
      <c r="Q578">
        <f t="shared" si="985"/>
        <v>-6135988.6926168082</v>
      </c>
      <c r="R578">
        <f t="shared" si="986"/>
        <v>-42482962.526642472</v>
      </c>
      <c r="S578">
        <f t="shared" si="987"/>
        <v>-424.82962526642473</v>
      </c>
      <c r="T578">
        <f t="shared" si="988"/>
        <v>-0.4248296252664247</v>
      </c>
    </row>
    <row r="579" spans="1:20" x14ac:dyDescent="0.25">
      <c r="A579" s="5">
        <v>44014</v>
      </c>
      <c r="B579">
        <v>0.23980000000000001</v>
      </c>
      <c r="C579">
        <v>0.24060000000000001</v>
      </c>
      <c r="D579">
        <v>0.1996</v>
      </c>
      <c r="E579">
        <v>0.20680000000000001</v>
      </c>
      <c r="F579">
        <v>12016541.060000001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-0.64878048780487751</v>
      </c>
      <c r="Q579">
        <f t="shared" si="985"/>
        <v>-7796097.3706341404</v>
      </c>
      <c r="R579">
        <f t="shared" si="986"/>
        <v>-36346973.834025666</v>
      </c>
      <c r="S579">
        <f t="shared" si="987"/>
        <v>-363.46973834025664</v>
      </c>
      <c r="T579">
        <f t="shared" si="988"/>
        <v>-0.36346973834025664</v>
      </c>
    </row>
    <row r="580" spans="1:20" x14ac:dyDescent="0.25">
      <c r="A580" s="5">
        <v>44013</v>
      </c>
      <c r="B580">
        <v>0.24199999999999999</v>
      </c>
      <c r="C580">
        <v>0.25</v>
      </c>
      <c r="D580">
        <v>0.22509999999999999</v>
      </c>
      <c r="E580">
        <v>0.23980000000000001</v>
      </c>
      <c r="F580">
        <v>17194290.550000001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0.18072289156626631</v>
      </c>
      <c r="Q580">
        <f t="shared" si="985"/>
        <v>3107401.9066265277</v>
      </c>
      <c r="R580">
        <f t="shared" si="986"/>
        <v>-28550876.463391524</v>
      </c>
      <c r="S580">
        <f t="shared" si="987"/>
        <v>-285.50876463391523</v>
      </c>
      <c r="T580">
        <f t="shared" si="988"/>
        <v>-0.28550876463391522</v>
      </c>
    </row>
    <row r="581" spans="1:20" x14ac:dyDescent="0.25">
      <c r="A581" s="5">
        <v>44012</v>
      </c>
      <c r="B581">
        <v>0.28960000000000002</v>
      </c>
      <c r="C581">
        <v>0.29849999999999999</v>
      </c>
      <c r="D581">
        <v>0.2404</v>
      </c>
      <c r="E581">
        <v>0.24199999999999999</v>
      </c>
      <c r="F581">
        <v>18200172.719999999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-0.94492254733218617</v>
      </c>
      <c r="Q581">
        <f t="shared" si="985"/>
        <v>-17197753.568468161</v>
      </c>
      <c r="R581">
        <f t="shared" si="986"/>
        <v>-31658278.37001805</v>
      </c>
      <c r="S581">
        <f t="shared" si="987"/>
        <v>-316.58278370018053</v>
      </c>
      <c r="T581">
        <f t="shared" si="988"/>
        <v>-0.3165827837001805</v>
      </c>
    </row>
    <row r="582" spans="1:20" x14ac:dyDescent="0.25">
      <c r="A582" s="5">
        <v>44011</v>
      </c>
      <c r="B582">
        <v>0.25779999999999997</v>
      </c>
      <c r="C582">
        <v>0.29799999999999999</v>
      </c>
      <c r="D582">
        <v>0.25209999999999999</v>
      </c>
      <c r="E582">
        <v>0.28960000000000002</v>
      </c>
      <c r="F582">
        <v>29976702</v>
      </c>
      <c r="G582">
        <v>0</v>
      </c>
      <c r="L582" t="s">
        <v>8</v>
      </c>
      <c r="M582" t="s">
        <v>8</v>
      </c>
      <c r="N582" t="s">
        <v>8</v>
      </c>
      <c r="P582">
        <f t="shared" ref="P582:P645" si="989">IF(C582=D582,0,((E582-D582)-(C582-E582))/(C582-D582))</f>
        <v>0.6339869281045768</v>
      </c>
      <c r="Q582">
        <f t="shared" ref="Q582:Q645" si="990">F582*P582</f>
        <v>19004837.215686325</v>
      </c>
      <c r="R582">
        <f t="shared" ref="R582:R645" si="991">R583+Q582</f>
        <v>-14460524.801549889</v>
      </c>
      <c r="S582">
        <f t="shared" ref="S582:S645" si="992">R582/100000</f>
        <v>-144.60524801549889</v>
      </c>
      <c r="T582">
        <f t="shared" ref="T582:T645" si="993">S582/1000</f>
        <v>-0.1446052480154989</v>
      </c>
    </row>
    <row r="583" spans="1:20" x14ac:dyDescent="0.25">
      <c r="A583" s="5">
        <v>44010</v>
      </c>
      <c r="B583">
        <v>0.2319</v>
      </c>
      <c r="C583">
        <v>0.27579999999999999</v>
      </c>
      <c r="D583">
        <v>0.2117</v>
      </c>
      <c r="E583">
        <v>0.25769999999999998</v>
      </c>
      <c r="F583">
        <v>28058939.030000001</v>
      </c>
      <c r="G583">
        <v>0</v>
      </c>
      <c r="L583" t="s">
        <v>8</v>
      </c>
      <c r="M583" t="s">
        <v>8</v>
      </c>
      <c r="N583" t="s">
        <v>8</v>
      </c>
      <c r="P583">
        <f t="shared" si="989"/>
        <v>0.43525741029641163</v>
      </c>
      <c r="Q583">
        <f t="shared" si="990"/>
        <v>12212861.137862708</v>
      </c>
      <c r="R583">
        <f t="shared" si="991"/>
        <v>-33465362.017236214</v>
      </c>
      <c r="S583">
        <f t="shared" si="992"/>
        <v>-334.65362017236214</v>
      </c>
      <c r="T583">
        <f t="shared" si="993"/>
        <v>-0.33465362017236217</v>
      </c>
    </row>
    <row r="584" spans="1:20" x14ac:dyDescent="0.25">
      <c r="A584" s="5">
        <v>44009</v>
      </c>
      <c r="B584">
        <v>0.25750000000000001</v>
      </c>
      <c r="C584">
        <v>0.26769999999999999</v>
      </c>
      <c r="D584">
        <v>0.20880000000000001</v>
      </c>
      <c r="E584">
        <v>0.23219999999999999</v>
      </c>
      <c r="F584">
        <v>25643360.510000002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-0.20543293718166436</v>
      </c>
      <c r="Q584">
        <f t="shared" si="990"/>
        <v>-5267990.8687776029</v>
      </c>
      <c r="R584">
        <f t="shared" si="991"/>
        <v>-45678223.155098923</v>
      </c>
      <c r="S584">
        <f t="shared" si="992"/>
        <v>-456.78223155098925</v>
      </c>
      <c r="T584">
        <f t="shared" si="993"/>
        <v>-0.45678223155098924</v>
      </c>
    </row>
    <row r="585" spans="1:20" x14ac:dyDescent="0.25">
      <c r="A585" s="5">
        <v>44008</v>
      </c>
      <c r="B585">
        <v>0.20280000000000001</v>
      </c>
      <c r="C585">
        <v>0.28849999999999998</v>
      </c>
      <c r="D585">
        <v>0.20280000000000001</v>
      </c>
      <c r="E585">
        <v>0.25740000000000002</v>
      </c>
      <c r="F585">
        <v>51500471.310000002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0.27421236872812199</v>
      </c>
      <c r="Q585">
        <f t="shared" si="990"/>
        <v>14122066.228529789</v>
      </c>
      <c r="R585">
        <f t="shared" si="991"/>
        <v>-40410232.28632132</v>
      </c>
      <c r="S585">
        <f t="shared" si="992"/>
        <v>-404.1023228632132</v>
      </c>
      <c r="T585">
        <f t="shared" si="993"/>
        <v>-0.40410232286321318</v>
      </c>
    </row>
    <row r="586" spans="1:20" x14ac:dyDescent="0.25">
      <c r="A586" s="5">
        <v>44007</v>
      </c>
      <c r="B586">
        <v>0.17199999999999999</v>
      </c>
      <c r="C586">
        <v>0.2286</v>
      </c>
      <c r="D586">
        <v>0.16500000000000001</v>
      </c>
      <c r="E586">
        <v>0.20280000000000001</v>
      </c>
      <c r="F586">
        <v>20282349.899999999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0.18867924528301908</v>
      </c>
      <c r="Q586">
        <f t="shared" si="990"/>
        <v>3826858.471698117</v>
      </c>
      <c r="R586">
        <f t="shared" si="991"/>
        <v>-54532298.514851108</v>
      </c>
      <c r="S586">
        <f t="shared" si="992"/>
        <v>-545.32298514851107</v>
      </c>
      <c r="T586">
        <f t="shared" si="993"/>
        <v>-0.54532298514851107</v>
      </c>
    </row>
    <row r="587" spans="1:20" x14ac:dyDescent="0.25">
      <c r="A587" s="5">
        <v>44006</v>
      </c>
      <c r="B587">
        <v>0.1678</v>
      </c>
      <c r="C587">
        <v>0.18440000000000001</v>
      </c>
      <c r="D587">
        <v>0.16</v>
      </c>
      <c r="E587">
        <v>0.17199999999999999</v>
      </c>
      <c r="F587">
        <v>6086649.2199999997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-1.6393442622952423E-2</v>
      </c>
      <c r="Q587">
        <f t="shared" si="990"/>
        <v>-99781.13475410812</v>
      </c>
      <c r="R587">
        <f t="shared" si="991"/>
        <v>-58359156.986549228</v>
      </c>
      <c r="S587">
        <f t="shared" si="992"/>
        <v>-583.59156986549226</v>
      </c>
      <c r="T587">
        <f t="shared" si="993"/>
        <v>-0.58359156986549221</v>
      </c>
    </row>
    <row r="588" spans="1:20" x14ac:dyDescent="0.25">
      <c r="A588" s="5">
        <v>44005</v>
      </c>
      <c r="B588">
        <v>0.16839999999999999</v>
      </c>
      <c r="C588">
        <v>0.1905</v>
      </c>
      <c r="D588">
        <v>0.16589999999999999</v>
      </c>
      <c r="E588">
        <v>0.1686</v>
      </c>
      <c r="F588">
        <v>10659193.42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-0.78048780487804825</v>
      </c>
      <c r="Q588">
        <f t="shared" si="990"/>
        <v>-8319370.4741463354</v>
      </c>
      <c r="R588">
        <f t="shared" si="991"/>
        <v>-58259375.851795122</v>
      </c>
      <c r="S588">
        <f t="shared" si="992"/>
        <v>-582.59375851795119</v>
      </c>
      <c r="T588">
        <f t="shared" si="993"/>
        <v>-0.58259375851795114</v>
      </c>
    </row>
    <row r="589" spans="1:20" x14ac:dyDescent="0.25">
      <c r="A589" s="5">
        <v>44004</v>
      </c>
      <c r="B589">
        <v>0.14949999999999999</v>
      </c>
      <c r="C589">
        <v>0.19439999999999999</v>
      </c>
      <c r="D589">
        <v>0.14419999999999999</v>
      </c>
      <c r="E589">
        <v>0.1696</v>
      </c>
      <c r="F589">
        <v>22933688.600000001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1.1952191235060104E-2</v>
      </c>
      <c r="Q589">
        <f t="shared" si="990"/>
        <v>274107.83187251783</v>
      </c>
      <c r="R589">
        <f t="shared" si="991"/>
        <v>-49940005.377648786</v>
      </c>
      <c r="S589">
        <f t="shared" si="992"/>
        <v>-499.40005377648788</v>
      </c>
      <c r="T589">
        <f t="shared" si="993"/>
        <v>-0.49940005377648788</v>
      </c>
    </row>
    <row r="590" spans="1:20" x14ac:dyDescent="0.25">
      <c r="A590" s="5">
        <v>44003</v>
      </c>
      <c r="B590">
        <v>0.1348</v>
      </c>
      <c r="C590">
        <v>0.157</v>
      </c>
      <c r="D590">
        <v>0.1346</v>
      </c>
      <c r="E590">
        <v>0.14940000000000001</v>
      </c>
      <c r="F590">
        <v>4440703.79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0.3214285714285719</v>
      </c>
      <c r="Q590">
        <f t="shared" si="990"/>
        <v>1427369.0753571449</v>
      </c>
      <c r="R590">
        <f t="shared" si="991"/>
        <v>-50214113.209521301</v>
      </c>
      <c r="S590">
        <f t="shared" si="992"/>
        <v>-502.14113209521304</v>
      </c>
      <c r="T590">
        <f t="shared" si="993"/>
        <v>-0.50214113209521305</v>
      </c>
    </row>
    <row r="591" spans="1:20" x14ac:dyDescent="0.25">
      <c r="A591" s="5">
        <v>44002</v>
      </c>
      <c r="B591">
        <v>0.13400000000000001</v>
      </c>
      <c r="C591">
        <v>0.1424</v>
      </c>
      <c r="D591">
        <v>0.13100000000000001</v>
      </c>
      <c r="E591">
        <v>0.13469999999999999</v>
      </c>
      <c r="F591">
        <v>2196843.85</v>
      </c>
      <c r="G591">
        <v>0</v>
      </c>
      <c r="L591" t="s">
        <v>8</v>
      </c>
      <c r="M591" t="s">
        <v>8</v>
      </c>
      <c r="N591" t="s">
        <v>7</v>
      </c>
      <c r="P591">
        <f t="shared" si="989"/>
        <v>-0.35087719298245906</v>
      </c>
      <c r="Q591">
        <f t="shared" si="990"/>
        <v>-770822.40350877843</v>
      </c>
      <c r="R591">
        <f t="shared" si="991"/>
        <v>-51641482.284878448</v>
      </c>
      <c r="S591">
        <f t="shared" si="992"/>
        <v>-516.41482284878452</v>
      </c>
      <c r="T591">
        <f t="shared" si="993"/>
        <v>-0.51641482284878448</v>
      </c>
    </row>
    <row r="592" spans="1:20" x14ac:dyDescent="0.25">
      <c r="A592" s="5">
        <v>44001</v>
      </c>
      <c r="B592">
        <v>0.1416</v>
      </c>
      <c r="C592">
        <v>0.1429</v>
      </c>
      <c r="D592">
        <v>0.13020000000000001</v>
      </c>
      <c r="E592">
        <v>0.13339999999999999</v>
      </c>
      <c r="F592">
        <v>2519402.91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-0.49606299212598687</v>
      </c>
      <c r="Q592">
        <f t="shared" si="990"/>
        <v>-1249782.5459055186</v>
      </c>
      <c r="R592">
        <f t="shared" si="991"/>
        <v>-50870659.881369673</v>
      </c>
      <c r="S592">
        <f t="shared" si="992"/>
        <v>-508.7065988136967</v>
      </c>
      <c r="T592">
        <f t="shared" si="993"/>
        <v>-0.50870659881369673</v>
      </c>
    </row>
    <row r="593" spans="1:20" x14ac:dyDescent="0.25">
      <c r="A593" s="5">
        <v>44000</v>
      </c>
      <c r="B593">
        <v>0.13469999999999999</v>
      </c>
      <c r="C593">
        <v>0.14499999999999999</v>
      </c>
      <c r="D593">
        <v>0.1313</v>
      </c>
      <c r="E593">
        <v>0.1416</v>
      </c>
      <c r="F593">
        <v>6361398.6500000004</v>
      </c>
      <c r="G593">
        <v>0</v>
      </c>
      <c r="L593" t="s">
        <v>8</v>
      </c>
      <c r="M593" t="s">
        <v>8</v>
      </c>
      <c r="N593" t="s">
        <v>7</v>
      </c>
      <c r="P593">
        <f t="shared" si="989"/>
        <v>0.50364963503649796</v>
      </c>
      <c r="Q593">
        <f t="shared" si="990"/>
        <v>3203916.1083941711</v>
      </c>
      <c r="R593">
        <f t="shared" si="991"/>
        <v>-49620877.335464157</v>
      </c>
      <c r="S593">
        <f t="shared" si="992"/>
        <v>-496.20877335464155</v>
      </c>
      <c r="T593">
        <f t="shared" si="993"/>
        <v>-0.49620877335464153</v>
      </c>
    </row>
    <row r="594" spans="1:20" x14ac:dyDescent="0.25">
      <c r="A594" s="5">
        <v>43999</v>
      </c>
      <c r="B594">
        <v>0.1216</v>
      </c>
      <c r="C594">
        <v>0.13950000000000001</v>
      </c>
      <c r="D594">
        <v>0.1216</v>
      </c>
      <c r="E594">
        <v>0.13469999999999999</v>
      </c>
      <c r="F594">
        <v>4928177.3899999997</v>
      </c>
      <c r="G594">
        <v>0</v>
      </c>
      <c r="L594" t="s">
        <v>8</v>
      </c>
      <c r="M594" t="s">
        <v>8</v>
      </c>
      <c r="N594" t="s">
        <v>7</v>
      </c>
      <c r="P594">
        <f t="shared" si="989"/>
        <v>0.46368715083798628</v>
      </c>
      <c r="Q594">
        <f t="shared" si="990"/>
        <v>2285132.5327932835</v>
      </c>
      <c r="R594">
        <f t="shared" si="991"/>
        <v>-52824793.443858325</v>
      </c>
      <c r="S594">
        <f t="shared" si="992"/>
        <v>-528.24793443858323</v>
      </c>
      <c r="T594">
        <f t="shared" si="993"/>
        <v>-0.5282479344385832</v>
      </c>
    </row>
    <row r="595" spans="1:20" x14ac:dyDescent="0.25">
      <c r="A595" s="5">
        <v>43998</v>
      </c>
      <c r="B595">
        <v>0.121</v>
      </c>
      <c r="C595">
        <v>0.1246</v>
      </c>
      <c r="D595">
        <v>0.11840000000000001</v>
      </c>
      <c r="E595">
        <v>0.1216</v>
      </c>
      <c r="F595">
        <v>1229805.22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3.2258064516127734E-2</v>
      </c>
      <c r="Q595">
        <f t="shared" si="990"/>
        <v>39671.13612903066</v>
      </c>
      <c r="R595">
        <f t="shared" si="991"/>
        <v>-55109925.976651609</v>
      </c>
      <c r="S595">
        <f t="shared" si="992"/>
        <v>-551.09925976651607</v>
      </c>
      <c r="T595">
        <f t="shared" si="993"/>
        <v>-0.55109925976651608</v>
      </c>
    </row>
    <row r="596" spans="1:20" x14ac:dyDescent="0.25">
      <c r="A596" s="5">
        <v>43997</v>
      </c>
      <c r="B596">
        <v>0.1225</v>
      </c>
      <c r="C596">
        <v>0.1234</v>
      </c>
      <c r="D596">
        <v>0.1081</v>
      </c>
      <c r="E596">
        <v>0.1212</v>
      </c>
      <c r="F596">
        <v>1904210.38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0.71241830065359546</v>
      </c>
      <c r="Q596">
        <f t="shared" si="990"/>
        <v>1356594.3230065373</v>
      </c>
      <c r="R596">
        <f t="shared" si="991"/>
        <v>-55149597.112780638</v>
      </c>
      <c r="S596">
        <f t="shared" si="992"/>
        <v>-551.49597112780634</v>
      </c>
      <c r="T596">
        <f t="shared" si="993"/>
        <v>-0.55149597112780635</v>
      </c>
    </row>
    <row r="597" spans="1:20" x14ac:dyDescent="0.25">
      <c r="A597" s="5">
        <v>43996</v>
      </c>
      <c r="B597">
        <v>0.128</v>
      </c>
      <c r="C597">
        <v>0.1288</v>
      </c>
      <c r="D597">
        <v>0.12189999999999999</v>
      </c>
      <c r="E597">
        <v>0.1225</v>
      </c>
      <c r="F597">
        <v>1164994.7</v>
      </c>
      <c r="G597">
        <v>0</v>
      </c>
      <c r="L597" t="s">
        <v>7</v>
      </c>
      <c r="M597" t="s">
        <v>8</v>
      </c>
      <c r="N597" t="s">
        <v>7</v>
      </c>
      <c r="P597">
        <f t="shared" si="989"/>
        <v>-0.82608695652173825</v>
      </c>
      <c r="Q597">
        <f t="shared" si="990"/>
        <v>-962386.92608695547</v>
      </c>
      <c r="R597">
        <f t="shared" si="991"/>
        <v>-56506191.435787179</v>
      </c>
      <c r="S597">
        <f t="shared" si="992"/>
        <v>-565.06191435787184</v>
      </c>
      <c r="T597">
        <f t="shared" si="993"/>
        <v>-0.5650619143578719</v>
      </c>
    </row>
    <row r="598" spans="1:20" x14ac:dyDescent="0.25">
      <c r="A598" s="5">
        <v>43995</v>
      </c>
      <c r="B598">
        <v>0.12659999999999999</v>
      </c>
      <c r="C598">
        <v>0.1368</v>
      </c>
      <c r="D598">
        <v>0.12379999999999999</v>
      </c>
      <c r="E598">
        <v>0.12790000000000001</v>
      </c>
      <c r="F598">
        <v>3455962.74</v>
      </c>
      <c r="G598">
        <v>0</v>
      </c>
      <c r="L598" t="s">
        <v>8</v>
      </c>
      <c r="M598" t="s">
        <v>8</v>
      </c>
      <c r="N598" t="s">
        <v>7</v>
      </c>
      <c r="P598">
        <f t="shared" si="989"/>
        <v>-0.36923076923076664</v>
      </c>
      <c r="Q598">
        <f t="shared" si="990"/>
        <v>-1276047.7809230681</v>
      </c>
      <c r="R598">
        <f t="shared" si="991"/>
        <v>-55543804.509700224</v>
      </c>
      <c r="S598">
        <f t="shared" si="992"/>
        <v>-555.43804509700226</v>
      </c>
      <c r="T598">
        <f t="shared" si="993"/>
        <v>-0.55543804509700223</v>
      </c>
    </row>
    <row r="599" spans="1:20" x14ac:dyDescent="0.25">
      <c r="A599" s="5">
        <v>43994</v>
      </c>
      <c r="B599">
        <v>0.1119</v>
      </c>
      <c r="C599">
        <v>0.128</v>
      </c>
      <c r="D599">
        <v>0.10979999999999999</v>
      </c>
      <c r="E599">
        <v>0.12559999999999999</v>
      </c>
      <c r="F599">
        <v>2593524.5099999998</v>
      </c>
      <c r="G599">
        <v>0</v>
      </c>
      <c r="L599" t="s">
        <v>8</v>
      </c>
      <c r="M599" t="s">
        <v>7</v>
      </c>
      <c r="N599" t="s">
        <v>7</v>
      </c>
      <c r="P599">
        <f t="shared" si="989"/>
        <v>0.73626373626373487</v>
      </c>
      <c r="Q599">
        <f t="shared" si="990"/>
        <v>1909518.045824172</v>
      </c>
      <c r="R599">
        <f t="shared" si="991"/>
        <v>-54267756.728777155</v>
      </c>
      <c r="S599">
        <f t="shared" si="992"/>
        <v>-542.67756728777158</v>
      </c>
      <c r="T599">
        <f t="shared" si="993"/>
        <v>-0.54267756728777161</v>
      </c>
    </row>
    <row r="600" spans="1:20" x14ac:dyDescent="0.25">
      <c r="A600" s="5">
        <v>43993</v>
      </c>
      <c r="B600">
        <v>0.13170000000000001</v>
      </c>
      <c r="C600">
        <v>0.13320000000000001</v>
      </c>
      <c r="D600">
        <v>0.1075</v>
      </c>
      <c r="E600">
        <v>0.1125</v>
      </c>
      <c r="F600">
        <v>3777503.28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-0.61089494163424107</v>
      </c>
      <c r="Q600">
        <f t="shared" si="990"/>
        <v>-2307657.6457587541</v>
      </c>
      <c r="R600">
        <f t="shared" si="991"/>
        <v>-56177274.774601325</v>
      </c>
      <c r="S600">
        <f t="shared" si="992"/>
        <v>-561.77274774601324</v>
      </c>
      <c r="T600">
        <f t="shared" si="993"/>
        <v>-0.56177274774601327</v>
      </c>
    </row>
    <row r="601" spans="1:20" x14ac:dyDescent="0.25">
      <c r="A601" s="5">
        <v>43992</v>
      </c>
      <c r="B601">
        <v>0.1358</v>
      </c>
      <c r="C601">
        <v>0.1358</v>
      </c>
      <c r="D601">
        <v>0.12759999999999999</v>
      </c>
      <c r="E601">
        <v>0.1318</v>
      </c>
      <c r="F601">
        <v>2140447.2400000002</v>
      </c>
      <c r="G601">
        <v>0</v>
      </c>
      <c r="L601" t="s">
        <v>8</v>
      </c>
      <c r="M601" t="s">
        <v>7</v>
      </c>
      <c r="N601" t="s">
        <v>7</v>
      </c>
      <c r="P601">
        <f t="shared" si="989"/>
        <v>2.4390243902439684E-2</v>
      </c>
      <c r="Q601">
        <f t="shared" si="990"/>
        <v>52206.030243903857</v>
      </c>
      <c r="R601">
        <f t="shared" si="991"/>
        <v>-53869617.12884257</v>
      </c>
      <c r="S601">
        <f t="shared" si="992"/>
        <v>-538.69617128842572</v>
      </c>
      <c r="T601">
        <f t="shared" si="993"/>
        <v>-0.53869617128842573</v>
      </c>
    </row>
    <row r="602" spans="1:20" x14ac:dyDescent="0.25">
      <c r="A602" s="5">
        <v>43991</v>
      </c>
      <c r="B602">
        <v>0.12820000000000001</v>
      </c>
      <c r="C602">
        <v>0.13650000000000001</v>
      </c>
      <c r="D602">
        <v>0.1263</v>
      </c>
      <c r="E602">
        <v>0.1358</v>
      </c>
      <c r="F602">
        <v>2284188.2999999998</v>
      </c>
      <c r="G602">
        <v>0</v>
      </c>
      <c r="L602" t="s">
        <v>8</v>
      </c>
      <c r="M602" t="s">
        <v>7</v>
      </c>
      <c r="N602" t="s">
        <v>7</v>
      </c>
      <c r="P602">
        <f t="shared" si="989"/>
        <v>0.86274509803921462</v>
      </c>
      <c r="Q602">
        <f t="shared" si="990"/>
        <v>1970672.2588235268</v>
      </c>
      <c r="R602">
        <f t="shared" si="991"/>
        <v>-53921823.159086473</v>
      </c>
      <c r="S602">
        <f t="shared" si="992"/>
        <v>-539.21823159086478</v>
      </c>
      <c r="T602">
        <f t="shared" si="993"/>
        <v>-0.53921823159086479</v>
      </c>
    </row>
    <row r="603" spans="1:20" x14ac:dyDescent="0.25">
      <c r="A603" s="5">
        <v>43990</v>
      </c>
      <c r="B603">
        <v>0.125</v>
      </c>
      <c r="C603">
        <v>0.13070000000000001</v>
      </c>
      <c r="D603">
        <v>0.124</v>
      </c>
      <c r="E603">
        <v>0.12839999999999999</v>
      </c>
      <c r="F603">
        <v>2257087.37</v>
      </c>
      <c r="G603">
        <v>0</v>
      </c>
      <c r="L603" t="s">
        <v>8</v>
      </c>
      <c r="M603" t="s">
        <v>7</v>
      </c>
      <c r="N603" t="s">
        <v>7</v>
      </c>
      <c r="P603">
        <f t="shared" si="989"/>
        <v>0.31343283582088949</v>
      </c>
      <c r="Q603">
        <f t="shared" si="990"/>
        <v>707445.2950746133</v>
      </c>
      <c r="R603">
        <f t="shared" si="991"/>
        <v>-55892495.417910002</v>
      </c>
      <c r="S603">
        <f t="shared" si="992"/>
        <v>-558.92495417910004</v>
      </c>
      <c r="T603">
        <f t="shared" si="993"/>
        <v>-0.55892495417910004</v>
      </c>
    </row>
    <row r="604" spans="1:20" x14ac:dyDescent="0.25">
      <c r="A604" s="5">
        <v>43989</v>
      </c>
      <c r="B604">
        <v>0.12820000000000001</v>
      </c>
      <c r="C604">
        <v>0.13020000000000001</v>
      </c>
      <c r="D604">
        <v>0.1215</v>
      </c>
      <c r="E604">
        <v>0.12570000000000001</v>
      </c>
      <c r="F604">
        <v>1606147.37</v>
      </c>
      <c r="G604">
        <v>0</v>
      </c>
      <c r="L604" t="s">
        <v>8</v>
      </c>
      <c r="M604" t="s">
        <v>7</v>
      </c>
      <c r="N604" t="s">
        <v>7</v>
      </c>
      <c r="P604">
        <f t="shared" si="989"/>
        <v>-3.4482758620688995E-2</v>
      </c>
      <c r="Q604">
        <f t="shared" si="990"/>
        <v>-55384.392068964458</v>
      </c>
      <c r="R604">
        <f t="shared" si="991"/>
        <v>-56599940.712984614</v>
      </c>
      <c r="S604">
        <f t="shared" si="992"/>
        <v>-565.99940712984619</v>
      </c>
      <c r="T604">
        <f t="shared" si="993"/>
        <v>-0.5659994071298462</v>
      </c>
    </row>
    <row r="605" spans="1:20" x14ac:dyDescent="0.25">
      <c r="A605" s="5">
        <v>43988</v>
      </c>
      <c r="B605">
        <v>0.124</v>
      </c>
      <c r="C605">
        <v>0.13100000000000001</v>
      </c>
      <c r="D605">
        <v>0.121</v>
      </c>
      <c r="E605">
        <v>0.12740000000000001</v>
      </c>
      <c r="F605">
        <v>2248850.2400000002</v>
      </c>
      <c r="G605">
        <v>0</v>
      </c>
      <c r="L605" t="s">
        <v>7</v>
      </c>
      <c r="M605" t="s">
        <v>7</v>
      </c>
      <c r="N605" t="s">
        <v>7</v>
      </c>
      <c r="P605">
        <f t="shared" si="989"/>
        <v>0.28000000000000225</v>
      </c>
      <c r="Q605">
        <f t="shared" si="990"/>
        <v>629678.06720000517</v>
      </c>
      <c r="R605">
        <f t="shared" si="991"/>
        <v>-56544556.320915647</v>
      </c>
      <c r="S605">
        <f t="shared" si="992"/>
        <v>-565.44556320915649</v>
      </c>
      <c r="T605">
        <f t="shared" si="993"/>
        <v>-0.56544556320915651</v>
      </c>
    </row>
    <row r="606" spans="1:20" x14ac:dyDescent="0.25">
      <c r="A606" s="5">
        <v>43987</v>
      </c>
      <c r="B606">
        <v>0.1268</v>
      </c>
      <c r="C606">
        <v>0.1275</v>
      </c>
      <c r="D606">
        <v>0.12379999999999999</v>
      </c>
      <c r="E606">
        <v>0.1241</v>
      </c>
      <c r="F606">
        <v>1307706.95</v>
      </c>
      <c r="G606">
        <v>0</v>
      </c>
      <c r="L606" t="s">
        <v>7</v>
      </c>
      <c r="M606" t="s">
        <v>8</v>
      </c>
      <c r="N606" t="s">
        <v>7</v>
      </c>
      <c r="P606">
        <f t="shared" si="989"/>
        <v>-0.83783783783783361</v>
      </c>
      <c r="Q606">
        <f t="shared" si="990"/>
        <v>-1095646.3635135079</v>
      </c>
      <c r="R606">
        <f t="shared" si="991"/>
        <v>-57174234.388115652</v>
      </c>
      <c r="S606">
        <f t="shared" si="992"/>
        <v>-571.74234388115656</v>
      </c>
      <c r="T606">
        <f t="shared" si="993"/>
        <v>-0.57174234388115652</v>
      </c>
    </row>
    <row r="607" spans="1:20" x14ac:dyDescent="0.25">
      <c r="A607" s="5">
        <v>43986</v>
      </c>
      <c r="B607">
        <v>0.1275</v>
      </c>
      <c r="C607">
        <v>0.12889999999999999</v>
      </c>
      <c r="D607">
        <v>0.12280000000000001</v>
      </c>
      <c r="E607">
        <v>0.126</v>
      </c>
      <c r="F607">
        <v>2021627.64</v>
      </c>
      <c r="G607">
        <v>0</v>
      </c>
      <c r="L607" t="s">
        <v>7</v>
      </c>
      <c r="M607" t="s">
        <v>8</v>
      </c>
      <c r="N607" t="s">
        <v>7</v>
      </c>
      <c r="P607">
        <f t="shared" si="989"/>
        <v>4.9180327868854026E-2</v>
      </c>
      <c r="Q607">
        <f t="shared" si="990"/>
        <v>99424.310163937596</v>
      </c>
      <c r="R607">
        <f t="shared" si="991"/>
        <v>-56078588.024602145</v>
      </c>
      <c r="S607">
        <f t="shared" si="992"/>
        <v>-560.78588024602141</v>
      </c>
      <c r="T607">
        <f t="shared" si="993"/>
        <v>-0.56078588024602138</v>
      </c>
    </row>
    <row r="608" spans="1:20" x14ac:dyDescent="0.25">
      <c r="A608" s="5">
        <v>43985</v>
      </c>
      <c r="B608">
        <v>0.1328</v>
      </c>
      <c r="C608">
        <v>0.13780000000000001</v>
      </c>
      <c r="D608">
        <v>0.125</v>
      </c>
      <c r="E608">
        <v>0.12759999999999999</v>
      </c>
      <c r="F608">
        <v>3880101.83</v>
      </c>
      <c r="G608">
        <v>0</v>
      </c>
      <c r="L608" t="s">
        <v>7</v>
      </c>
      <c r="M608" t="s">
        <v>8</v>
      </c>
      <c r="N608" t="s">
        <v>7</v>
      </c>
      <c r="P608">
        <f t="shared" si="989"/>
        <v>-0.59375000000000155</v>
      </c>
      <c r="Q608">
        <f t="shared" si="990"/>
        <v>-2303810.4615625059</v>
      </c>
      <c r="R608">
        <f t="shared" si="991"/>
        <v>-56178012.334766082</v>
      </c>
      <c r="S608">
        <f t="shared" si="992"/>
        <v>-561.78012334766083</v>
      </c>
      <c r="T608">
        <f t="shared" si="993"/>
        <v>-0.56178012334766081</v>
      </c>
    </row>
    <row r="609" spans="1:20" x14ac:dyDescent="0.25">
      <c r="A609" s="5">
        <v>43984</v>
      </c>
      <c r="B609">
        <v>0.122</v>
      </c>
      <c r="C609">
        <v>0.14399999999999999</v>
      </c>
      <c r="D609">
        <v>0.1212</v>
      </c>
      <c r="E609">
        <v>0.1323</v>
      </c>
      <c r="F609">
        <v>9518147.9299999997</v>
      </c>
      <c r="G609">
        <v>0</v>
      </c>
      <c r="L609" t="s">
        <v>8</v>
      </c>
      <c r="M609" t="s">
        <v>8</v>
      </c>
      <c r="N609" t="s">
        <v>7</v>
      </c>
      <c r="P609">
        <f t="shared" si="989"/>
        <v>-2.6315789473683762E-2</v>
      </c>
      <c r="Q609">
        <f t="shared" si="990"/>
        <v>-250477.57710525888</v>
      </c>
      <c r="R609">
        <f t="shared" si="991"/>
        <v>-53874201.873203576</v>
      </c>
      <c r="S609">
        <f t="shared" si="992"/>
        <v>-538.74201873203572</v>
      </c>
      <c r="T609">
        <f t="shared" si="993"/>
        <v>-0.53874201873203575</v>
      </c>
    </row>
    <row r="610" spans="1:20" x14ac:dyDescent="0.25">
      <c r="A610" s="5">
        <v>43983</v>
      </c>
      <c r="B610">
        <v>0.11559999999999999</v>
      </c>
      <c r="C610">
        <v>0.12809999999999999</v>
      </c>
      <c r="D610">
        <v>0.11559999999999999</v>
      </c>
      <c r="E610">
        <v>0.122</v>
      </c>
      <c r="F610">
        <v>3218581.85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2.4000000000000694E-2</v>
      </c>
      <c r="Q610">
        <f t="shared" si="990"/>
        <v>77245.964400002238</v>
      </c>
      <c r="R610">
        <f t="shared" si="991"/>
        <v>-53623724.296098314</v>
      </c>
      <c r="S610">
        <f t="shared" si="992"/>
        <v>-536.23724296098317</v>
      </c>
      <c r="T610">
        <f t="shared" si="993"/>
        <v>-0.53623724296098318</v>
      </c>
    </row>
    <row r="611" spans="1:20" x14ac:dyDescent="0.25">
      <c r="A611" s="5">
        <v>43982</v>
      </c>
      <c r="B611">
        <v>0.1205</v>
      </c>
      <c r="C611">
        <v>0.1236</v>
      </c>
      <c r="D611">
        <v>0.11509999999999999</v>
      </c>
      <c r="E611">
        <v>0.11650000000000001</v>
      </c>
      <c r="F611">
        <v>1974786.06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-0.67058823529411504</v>
      </c>
      <c r="Q611">
        <f t="shared" si="990"/>
        <v>-1324268.2990588185</v>
      </c>
      <c r="R611">
        <f t="shared" si="991"/>
        <v>-53700970.260498315</v>
      </c>
      <c r="S611">
        <f t="shared" si="992"/>
        <v>-537.0097026049832</v>
      </c>
      <c r="T611">
        <f t="shared" si="993"/>
        <v>-0.53700970260498315</v>
      </c>
    </row>
    <row r="612" spans="1:20" x14ac:dyDescent="0.25">
      <c r="A612" s="5">
        <v>43981</v>
      </c>
      <c r="B612">
        <v>0.1212</v>
      </c>
      <c r="C612">
        <v>0.12529999999999999</v>
      </c>
      <c r="D612">
        <v>0.1171</v>
      </c>
      <c r="E612">
        <v>0.121</v>
      </c>
      <c r="F612">
        <v>3537889.1</v>
      </c>
      <c r="G612">
        <v>0</v>
      </c>
      <c r="L612" t="s">
        <v>8</v>
      </c>
      <c r="M612" t="s">
        <v>7</v>
      </c>
      <c r="N612" t="s">
        <v>7</v>
      </c>
      <c r="P612">
        <f t="shared" si="989"/>
        <v>-4.8780487804877759E-2</v>
      </c>
      <c r="Q612">
        <f t="shared" si="990"/>
        <v>-172579.95609755995</v>
      </c>
      <c r="R612">
        <f t="shared" si="991"/>
        <v>-52376701.961439498</v>
      </c>
      <c r="S612">
        <f t="shared" si="992"/>
        <v>-523.76701961439494</v>
      </c>
      <c r="T612">
        <f t="shared" si="993"/>
        <v>-0.52376701961439498</v>
      </c>
    </row>
    <row r="613" spans="1:20" x14ac:dyDescent="0.25">
      <c r="A613" s="5">
        <v>43980</v>
      </c>
      <c r="B613">
        <v>0.1206</v>
      </c>
      <c r="C613">
        <v>0.13020000000000001</v>
      </c>
      <c r="D613">
        <v>0.1147</v>
      </c>
      <c r="E613">
        <v>0.1216</v>
      </c>
      <c r="F613">
        <v>5641768.6600000001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-0.10967741935483907</v>
      </c>
      <c r="Q613">
        <f t="shared" si="990"/>
        <v>-618774.62722580857</v>
      </c>
      <c r="R613">
        <f t="shared" si="991"/>
        <v>-52204122.00534194</v>
      </c>
      <c r="S613">
        <f t="shared" si="992"/>
        <v>-522.04122005341935</v>
      </c>
      <c r="T613">
        <f t="shared" si="993"/>
        <v>-0.52204122005341935</v>
      </c>
    </row>
    <row r="614" spans="1:20" x14ac:dyDescent="0.25">
      <c r="A614" s="5">
        <v>43979</v>
      </c>
      <c r="B614">
        <v>0.1265</v>
      </c>
      <c r="C614">
        <v>0.12690000000000001</v>
      </c>
      <c r="D614">
        <v>0.1168</v>
      </c>
      <c r="E614">
        <v>0.1206</v>
      </c>
      <c r="F614">
        <v>4414819.59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-0.24752475247524883</v>
      </c>
      <c r="Q614">
        <f t="shared" si="990"/>
        <v>-1092777.1262376294</v>
      </c>
      <c r="R614">
        <f t="shared" si="991"/>
        <v>-51585347.378116131</v>
      </c>
      <c r="S614">
        <f t="shared" si="992"/>
        <v>-515.85347378116126</v>
      </c>
      <c r="T614">
        <f t="shared" si="993"/>
        <v>-0.51585347378116131</v>
      </c>
    </row>
    <row r="615" spans="1:20" x14ac:dyDescent="0.25">
      <c r="A615" s="5">
        <v>43978</v>
      </c>
      <c r="B615">
        <v>0.1467</v>
      </c>
      <c r="C615">
        <v>0.1484</v>
      </c>
      <c r="D615">
        <v>0.1211</v>
      </c>
      <c r="E615">
        <v>0.12609999999999999</v>
      </c>
      <c r="F615">
        <v>22594865.960000001</v>
      </c>
      <c r="G615">
        <v>0</v>
      </c>
      <c r="L615" t="s">
        <v>7</v>
      </c>
      <c r="M615" t="s">
        <v>7</v>
      </c>
      <c r="N615" t="s">
        <v>7</v>
      </c>
      <c r="P615">
        <f t="shared" si="989"/>
        <v>-0.63369963369963445</v>
      </c>
      <c r="Q615">
        <f t="shared" si="990"/>
        <v>-14318358.282344339</v>
      </c>
      <c r="R615">
        <f t="shared" si="991"/>
        <v>-50492570.2518785</v>
      </c>
      <c r="S615">
        <f t="shared" si="992"/>
        <v>-504.92570251878499</v>
      </c>
      <c r="T615">
        <f t="shared" si="993"/>
        <v>-0.50492570251878499</v>
      </c>
    </row>
    <row r="616" spans="1:20" x14ac:dyDescent="0.25">
      <c r="A616" s="5">
        <v>43977</v>
      </c>
      <c r="B616">
        <v>0.1158</v>
      </c>
      <c r="C616">
        <v>0.22359999999999999</v>
      </c>
      <c r="D616">
        <v>0.1051</v>
      </c>
      <c r="E616">
        <v>0.1467</v>
      </c>
      <c r="F616">
        <v>36986138.969999999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-0.2978902953586498</v>
      </c>
      <c r="Q616">
        <f t="shared" si="990"/>
        <v>-11017811.861949367</v>
      </c>
      <c r="R616">
        <f t="shared" si="991"/>
        <v>-36174211.969534159</v>
      </c>
      <c r="S616">
        <f t="shared" si="992"/>
        <v>-361.74211969534161</v>
      </c>
      <c r="T616">
        <f t="shared" si="993"/>
        <v>-0.36174211969534159</v>
      </c>
    </row>
    <row r="617" spans="1:20" x14ac:dyDescent="0.25">
      <c r="A617" s="5">
        <v>43976</v>
      </c>
      <c r="B617">
        <v>9.8500000000000004E-2</v>
      </c>
      <c r="C617">
        <v>0.1207</v>
      </c>
      <c r="D617">
        <v>9.8400000000000001E-2</v>
      </c>
      <c r="E617">
        <v>0.1158</v>
      </c>
      <c r="F617">
        <v>3164294.4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0.56053811659192809</v>
      </c>
      <c r="Q617">
        <f t="shared" si="990"/>
        <v>1773707.6233183851</v>
      </c>
      <c r="R617">
        <f t="shared" si="991"/>
        <v>-25156400.107584789</v>
      </c>
      <c r="S617">
        <f t="shared" si="992"/>
        <v>-251.5640010758479</v>
      </c>
      <c r="T617">
        <f t="shared" si="993"/>
        <v>-0.25156400107584792</v>
      </c>
    </row>
    <row r="618" spans="1:20" x14ac:dyDescent="0.25">
      <c r="A618" s="5">
        <v>43975</v>
      </c>
      <c r="B618">
        <v>0.1032</v>
      </c>
      <c r="C618">
        <v>0.1099</v>
      </c>
      <c r="D618">
        <v>9.8500000000000004E-2</v>
      </c>
      <c r="E618">
        <v>9.8500000000000004E-2</v>
      </c>
      <c r="F618">
        <v>2487144.14</v>
      </c>
      <c r="G618">
        <v>0</v>
      </c>
      <c r="L618" t="s">
        <v>7</v>
      </c>
      <c r="M618" t="s">
        <v>7</v>
      </c>
      <c r="N618" t="s">
        <v>7</v>
      </c>
      <c r="P618">
        <f t="shared" si="989"/>
        <v>-1</v>
      </c>
      <c r="Q618">
        <f t="shared" si="990"/>
        <v>-2487144.14</v>
      </c>
      <c r="R618">
        <f t="shared" si="991"/>
        <v>-26930107.730903175</v>
      </c>
      <c r="S618">
        <f t="shared" si="992"/>
        <v>-269.30107730903177</v>
      </c>
      <c r="T618">
        <f t="shared" si="993"/>
        <v>-0.26930107730903174</v>
      </c>
    </row>
    <row r="619" spans="1:20" x14ac:dyDescent="0.25">
      <c r="A619" s="5">
        <v>43974</v>
      </c>
      <c r="B619">
        <v>0.10929999999999999</v>
      </c>
      <c r="C619">
        <v>0.11310000000000001</v>
      </c>
      <c r="D619">
        <v>9.9599999999999994E-2</v>
      </c>
      <c r="E619">
        <v>0.1032</v>
      </c>
      <c r="F619">
        <v>2012901.21</v>
      </c>
      <c r="G619">
        <v>0</v>
      </c>
      <c r="L619" t="s">
        <v>7</v>
      </c>
      <c r="M619" t="s">
        <v>7</v>
      </c>
      <c r="N619" t="s">
        <v>7</v>
      </c>
      <c r="P619">
        <f t="shared" si="989"/>
        <v>-0.46666666666666623</v>
      </c>
      <c r="Q619">
        <f t="shared" si="990"/>
        <v>-939353.89799999911</v>
      </c>
      <c r="R619">
        <f t="shared" si="991"/>
        <v>-24442963.590903174</v>
      </c>
      <c r="S619">
        <f t="shared" si="992"/>
        <v>-244.42963590903173</v>
      </c>
      <c r="T619">
        <f t="shared" si="993"/>
        <v>-0.24442963590903172</v>
      </c>
    </row>
    <row r="620" spans="1:20" x14ac:dyDescent="0.25">
      <c r="A620" s="5">
        <v>43973</v>
      </c>
      <c r="B620">
        <v>0.10050000000000001</v>
      </c>
      <c r="C620">
        <v>0.14990000000000001</v>
      </c>
      <c r="D620">
        <v>9.7199999999999995E-2</v>
      </c>
      <c r="E620">
        <v>0.10920000000000001</v>
      </c>
      <c r="F620">
        <v>8371677.1900000004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-0.54459203036053094</v>
      </c>
      <c r="Q620">
        <f t="shared" si="990"/>
        <v>-4559148.6784250448</v>
      </c>
      <c r="R620">
        <f t="shared" si="991"/>
        <v>-23503609.692903176</v>
      </c>
      <c r="S620">
        <f t="shared" si="992"/>
        <v>-235.03609692903177</v>
      </c>
      <c r="T620">
        <f t="shared" si="993"/>
        <v>-0.23503609692903177</v>
      </c>
    </row>
    <row r="621" spans="1:20" x14ac:dyDescent="0.25">
      <c r="A621" s="5">
        <v>43972</v>
      </c>
      <c r="B621">
        <v>0.1013</v>
      </c>
      <c r="C621">
        <v>0.104</v>
      </c>
      <c r="D621">
        <v>9.1300000000000006E-2</v>
      </c>
      <c r="E621">
        <v>0.10050000000000001</v>
      </c>
      <c r="F621">
        <v>1581068.42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0.44881889763779648</v>
      </c>
      <c r="Q621">
        <f t="shared" si="990"/>
        <v>709613.38535433263</v>
      </c>
      <c r="R621">
        <f t="shared" si="991"/>
        <v>-18944461.014478132</v>
      </c>
      <c r="S621">
        <f t="shared" si="992"/>
        <v>-189.44461014478131</v>
      </c>
      <c r="T621">
        <f t="shared" si="993"/>
        <v>-0.18944461014478131</v>
      </c>
    </row>
    <row r="622" spans="1:20" x14ac:dyDescent="0.25">
      <c r="A622" s="5">
        <v>43971</v>
      </c>
      <c r="B622">
        <v>9.5699999999999993E-2</v>
      </c>
      <c r="C622">
        <v>0.108</v>
      </c>
      <c r="D622">
        <v>9.4899999999999998E-2</v>
      </c>
      <c r="E622">
        <v>0.1009</v>
      </c>
      <c r="F622">
        <v>2673185.11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-8.3969465648854186E-2</v>
      </c>
      <c r="Q622">
        <f t="shared" si="990"/>
        <v>-224465.9252671735</v>
      </c>
      <c r="R622">
        <f t="shared" si="991"/>
        <v>-19654074.399832465</v>
      </c>
      <c r="S622">
        <f t="shared" si="992"/>
        <v>-196.54074399832464</v>
      </c>
      <c r="T622">
        <f t="shared" si="993"/>
        <v>-0.19654074399832464</v>
      </c>
    </row>
    <row r="623" spans="1:20" x14ac:dyDescent="0.25">
      <c r="A623" s="5">
        <v>43970</v>
      </c>
      <c r="B623">
        <v>9.5000000000000001E-2</v>
      </c>
      <c r="C623">
        <v>9.8000000000000004E-2</v>
      </c>
      <c r="D623">
        <v>9.2999999999999999E-2</v>
      </c>
      <c r="E623">
        <v>9.5200000000000007E-2</v>
      </c>
      <c r="F623">
        <v>891119.5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-0.11999999999999778</v>
      </c>
      <c r="Q623">
        <f t="shared" si="990"/>
        <v>-106934.33999999802</v>
      </c>
      <c r="R623">
        <f t="shared" si="991"/>
        <v>-19429608.47456529</v>
      </c>
      <c r="S623">
        <f t="shared" si="992"/>
        <v>-194.29608474565291</v>
      </c>
      <c r="T623">
        <f t="shared" si="993"/>
        <v>-0.19429608474565291</v>
      </c>
    </row>
    <row r="624" spans="1:20" x14ac:dyDescent="0.25">
      <c r="A624" s="5">
        <v>43969</v>
      </c>
      <c r="B624">
        <v>9.2600000000000002E-2</v>
      </c>
      <c r="C624">
        <v>9.6100000000000005E-2</v>
      </c>
      <c r="D624">
        <v>9.1600000000000001E-2</v>
      </c>
      <c r="E624">
        <v>9.5299999999999996E-2</v>
      </c>
      <c r="F624">
        <v>1101005.8400000001</v>
      </c>
      <c r="G624">
        <v>0</v>
      </c>
      <c r="L624" t="s">
        <v>8</v>
      </c>
      <c r="M624" t="s">
        <v>7</v>
      </c>
      <c r="N624" t="s">
        <v>8</v>
      </c>
      <c r="P624">
        <f t="shared" si="989"/>
        <v>0.64444444444444071</v>
      </c>
      <c r="Q624">
        <f t="shared" si="990"/>
        <v>709537.09688888479</v>
      </c>
      <c r="R624">
        <f t="shared" si="991"/>
        <v>-19322674.13456529</v>
      </c>
      <c r="S624">
        <f t="shared" si="992"/>
        <v>-193.2267413456529</v>
      </c>
      <c r="T624">
        <f t="shared" si="993"/>
        <v>-0.1932267413456529</v>
      </c>
    </row>
    <row r="625" spans="1:20" x14ac:dyDescent="0.25">
      <c r="A625" s="5">
        <v>43968</v>
      </c>
      <c r="B625">
        <v>9.1399999999999995E-2</v>
      </c>
      <c r="C625">
        <v>9.4399999999999998E-2</v>
      </c>
      <c r="D625">
        <v>9.11E-2</v>
      </c>
      <c r="E625">
        <v>9.1800000000000007E-2</v>
      </c>
      <c r="F625">
        <v>464237.95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-0.57575757575757169</v>
      </c>
      <c r="Q625">
        <f t="shared" si="990"/>
        <v>-267288.5166666648</v>
      </c>
      <c r="R625">
        <f t="shared" si="991"/>
        <v>-20032211.231454175</v>
      </c>
      <c r="S625">
        <f t="shared" si="992"/>
        <v>-200.32211231454176</v>
      </c>
      <c r="T625">
        <f t="shared" si="993"/>
        <v>-0.20032211231454175</v>
      </c>
    </row>
    <row r="626" spans="1:20" x14ac:dyDescent="0.25">
      <c r="A626" s="5">
        <v>43967</v>
      </c>
      <c r="B626">
        <v>9.0399999999999994E-2</v>
      </c>
      <c r="C626">
        <v>9.3299999999999994E-2</v>
      </c>
      <c r="D626">
        <v>8.9599999999999999E-2</v>
      </c>
      <c r="E626">
        <v>9.1999999999999998E-2</v>
      </c>
      <c r="F626">
        <v>477362.28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0.2972972972972987</v>
      </c>
      <c r="Q626">
        <f t="shared" si="990"/>
        <v>141918.51567567635</v>
      </c>
      <c r="R626">
        <f t="shared" si="991"/>
        <v>-19764922.714787509</v>
      </c>
      <c r="S626">
        <f t="shared" si="992"/>
        <v>-197.64922714787508</v>
      </c>
      <c r="T626">
        <f t="shared" si="993"/>
        <v>-0.19764922714787508</v>
      </c>
    </row>
    <row r="627" spans="1:20" x14ac:dyDescent="0.25">
      <c r="A627" s="5">
        <v>43966</v>
      </c>
      <c r="B627">
        <v>9.2100000000000001E-2</v>
      </c>
      <c r="C627">
        <v>9.4799999999999995E-2</v>
      </c>
      <c r="D627">
        <v>8.8900000000000007E-2</v>
      </c>
      <c r="E627">
        <v>8.9599999999999999E-2</v>
      </c>
      <c r="F627">
        <v>1097899.3500000001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-0.76271186440678185</v>
      </c>
      <c r="Q627">
        <f t="shared" si="990"/>
        <v>-837380.86016949394</v>
      </c>
      <c r="R627">
        <f t="shared" si="991"/>
        <v>-19906841.230463184</v>
      </c>
      <c r="S627">
        <f t="shared" si="992"/>
        <v>-199.06841230463183</v>
      </c>
      <c r="T627">
        <f t="shared" si="993"/>
        <v>-0.19906841230463185</v>
      </c>
    </row>
    <row r="628" spans="1:20" x14ac:dyDescent="0.25">
      <c r="A628" s="5">
        <v>43965</v>
      </c>
      <c r="B628">
        <v>9.1800000000000007E-2</v>
      </c>
      <c r="C628">
        <v>9.3200000000000005E-2</v>
      </c>
      <c r="D628">
        <v>9.01E-2</v>
      </c>
      <c r="E628">
        <v>9.1700000000000004E-2</v>
      </c>
      <c r="F628">
        <v>1040903.98</v>
      </c>
      <c r="G628">
        <v>0</v>
      </c>
      <c r="L628" t="s">
        <v>7</v>
      </c>
      <c r="M628" t="s">
        <v>7</v>
      </c>
      <c r="N628" t="s">
        <v>8</v>
      </c>
      <c r="P628">
        <f t="shared" si="989"/>
        <v>3.2258064516129899E-2</v>
      </c>
      <c r="Q628">
        <f t="shared" si="990"/>
        <v>33577.547741936389</v>
      </c>
      <c r="R628">
        <f t="shared" si="991"/>
        <v>-19069460.370293692</v>
      </c>
      <c r="S628">
        <f t="shared" si="992"/>
        <v>-190.69460370293692</v>
      </c>
      <c r="T628">
        <f t="shared" si="993"/>
        <v>-0.19069460370293692</v>
      </c>
    </row>
    <row r="629" spans="1:20" x14ac:dyDescent="0.25">
      <c r="A629" s="5">
        <v>43964</v>
      </c>
      <c r="B629">
        <v>9.2299999999999993E-2</v>
      </c>
      <c r="C629">
        <v>9.2299999999999993E-2</v>
      </c>
      <c r="D629">
        <v>9.0300000000000005E-2</v>
      </c>
      <c r="E629">
        <v>9.1899999999999996E-2</v>
      </c>
      <c r="F629">
        <v>849852.86</v>
      </c>
      <c r="G629">
        <v>0</v>
      </c>
      <c r="L629" t="s">
        <v>7</v>
      </c>
      <c r="M629" t="s">
        <v>7</v>
      </c>
      <c r="N629" t="s">
        <v>8</v>
      </c>
      <c r="P629">
        <f t="shared" si="989"/>
        <v>0.6</v>
      </c>
      <c r="Q629">
        <f t="shared" si="990"/>
        <v>509911.71599999996</v>
      </c>
      <c r="R629">
        <f t="shared" si="991"/>
        <v>-19103037.918035626</v>
      </c>
      <c r="S629">
        <f t="shared" si="992"/>
        <v>-191.03037918035628</v>
      </c>
      <c r="T629">
        <f t="shared" si="993"/>
        <v>-0.19103037918035629</v>
      </c>
    </row>
    <row r="630" spans="1:20" x14ac:dyDescent="0.25">
      <c r="A630" s="5">
        <v>43963</v>
      </c>
      <c r="B630">
        <v>9.0700000000000003E-2</v>
      </c>
      <c r="C630">
        <v>9.3200000000000005E-2</v>
      </c>
      <c r="D630">
        <v>8.8400000000000006E-2</v>
      </c>
      <c r="E630">
        <v>9.1399999999999995E-2</v>
      </c>
      <c r="F630">
        <v>1362850.05</v>
      </c>
      <c r="G630">
        <v>0</v>
      </c>
      <c r="L630" t="s">
        <v>7</v>
      </c>
      <c r="M630" t="s">
        <v>7</v>
      </c>
      <c r="N630" t="s">
        <v>8</v>
      </c>
      <c r="P630">
        <f t="shared" si="989"/>
        <v>0.24999999999999567</v>
      </c>
      <c r="Q630">
        <f t="shared" si="990"/>
        <v>340712.51249999413</v>
      </c>
      <c r="R630">
        <f t="shared" si="991"/>
        <v>-19612949.634035625</v>
      </c>
      <c r="S630">
        <f t="shared" si="992"/>
        <v>-196.12949634035624</v>
      </c>
      <c r="T630">
        <f t="shared" si="993"/>
        <v>-0.19612949634035623</v>
      </c>
    </row>
    <row r="631" spans="1:20" x14ac:dyDescent="0.25">
      <c r="A631" s="5">
        <v>43962</v>
      </c>
      <c r="B631">
        <v>9.8799999999999999E-2</v>
      </c>
      <c r="C631">
        <v>9.9199999999999997E-2</v>
      </c>
      <c r="D631">
        <v>8.6599999999999996E-2</v>
      </c>
      <c r="E631">
        <v>9.06E-2</v>
      </c>
      <c r="F631">
        <v>3697122.49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-0.3650793650793645</v>
      </c>
      <c r="Q631">
        <f t="shared" si="990"/>
        <v>-1349743.1312698391</v>
      </c>
      <c r="R631">
        <f t="shared" si="991"/>
        <v>-19953662.14653562</v>
      </c>
      <c r="S631">
        <f t="shared" si="992"/>
        <v>-199.53662146535621</v>
      </c>
      <c r="T631">
        <f t="shared" si="993"/>
        <v>-0.1995366214653562</v>
      </c>
    </row>
    <row r="632" spans="1:20" x14ac:dyDescent="0.25">
      <c r="A632" s="5">
        <v>43961</v>
      </c>
      <c r="B632">
        <v>9.2200000000000004E-2</v>
      </c>
      <c r="C632">
        <v>0.11899999999999999</v>
      </c>
      <c r="D632">
        <v>8.2000000000000003E-2</v>
      </c>
      <c r="E632">
        <v>9.8799999999999999E-2</v>
      </c>
      <c r="F632">
        <v>20763234.210000001</v>
      </c>
      <c r="G632">
        <v>0</v>
      </c>
      <c r="L632" t="s">
        <v>7</v>
      </c>
      <c r="M632" t="s">
        <v>8</v>
      </c>
      <c r="N632" t="s">
        <v>8</v>
      </c>
      <c r="P632">
        <f t="shared" si="989"/>
        <v>-9.1891891891891925E-2</v>
      </c>
      <c r="Q632">
        <f t="shared" si="990"/>
        <v>-1907972.8733513521</v>
      </c>
      <c r="R632">
        <f t="shared" si="991"/>
        <v>-18603919.015265781</v>
      </c>
      <c r="S632">
        <f t="shared" si="992"/>
        <v>-186.03919015265782</v>
      </c>
      <c r="T632">
        <f t="shared" si="993"/>
        <v>-0.18603919015265782</v>
      </c>
    </row>
    <row r="633" spans="1:20" x14ac:dyDescent="0.25">
      <c r="A633" s="5">
        <v>43960</v>
      </c>
      <c r="B633">
        <v>9.5600000000000004E-2</v>
      </c>
      <c r="C633">
        <v>9.98E-2</v>
      </c>
      <c r="D633">
        <v>9.0999999999999998E-2</v>
      </c>
      <c r="E633">
        <v>9.2200000000000004E-2</v>
      </c>
      <c r="F633">
        <v>2284611.58</v>
      </c>
      <c r="G633">
        <v>0</v>
      </c>
      <c r="L633" t="s">
        <v>7</v>
      </c>
      <c r="M633" t="s">
        <v>8</v>
      </c>
      <c r="N633" t="s">
        <v>7</v>
      </c>
      <c r="P633">
        <f t="shared" si="989"/>
        <v>-0.72727272727272585</v>
      </c>
      <c r="Q633">
        <f t="shared" si="990"/>
        <v>-1661535.6945454513</v>
      </c>
      <c r="R633">
        <f t="shared" si="991"/>
        <v>-16695946.141914429</v>
      </c>
      <c r="S633">
        <f t="shared" si="992"/>
        <v>-166.9594614191443</v>
      </c>
      <c r="T633">
        <f t="shared" si="993"/>
        <v>-0.16695946141914431</v>
      </c>
    </row>
    <row r="634" spans="1:20" x14ac:dyDescent="0.25">
      <c r="A634" s="5">
        <v>43959</v>
      </c>
      <c r="B634">
        <v>9.2399999999999996E-2</v>
      </c>
      <c r="C634">
        <v>0.1043</v>
      </c>
      <c r="D634">
        <v>9.0399999999999994E-2</v>
      </c>
      <c r="E634">
        <v>9.5899999999999999E-2</v>
      </c>
      <c r="F634">
        <v>3352871.11</v>
      </c>
      <c r="G634">
        <v>0</v>
      </c>
      <c r="L634" t="s">
        <v>8</v>
      </c>
      <c r="M634" t="s">
        <v>8</v>
      </c>
      <c r="N634" t="s">
        <v>7</v>
      </c>
      <c r="P634">
        <f t="shared" si="989"/>
        <v>-0.2086330935251797</v>
      </c>
      <c r="Q634">
        <f t="shared" si="990"/>
        <v>-699519.87187050306</v>
      </c>
      <c r="R634">
        <f t="shared" si="991"/>
        <v>-15034410.447368978</v>
      </c>
      <c r="S634">
        <f t="shared" si="992"/>
        <v>-150.34410447368978</v>
      </c>
      <c r="T634">
        <f t="shared" si="993"/>
        <v>-0.15034410447368979</v>
      </c>
    </row>
    <row r="635" spans="1:20" x14ac:dyDescent="0.25">
      <c r="A635" s="5">
        <v>43958</v>
      </c>
      <c r="B635">
        <v>9.01E-2</v>
      </c>
      <c r="C635">
        <v>9.2499999999999999E-2</v>
      </c>
      <c r="D635">
        <v>8.7800000000000003E-2</v>
      </c>
      <c r="E635">
        <v>9.2200000000000004E-2</v>
      </c>
      <c r="F635">
        <v>1503916.6</v>
      </c>
      <c r="G635">
        <v>0</v>
      </c>
      <c r="L635" t="s">
        <v>7</v>
      </c>
      <c r="M635" t="s">
        <v>8</v>
      </c>
      <c r="N635" t="s">
        <v>7</v>
      </c>
      <c r="P635">
        <f t="shared" si="989"/>
        <v>0.87234042553191704</v>
      </c>
      <c r="Q635">
        <f t="shared" si="990"/>
        <v>1311927.246808514</v>
      </c>
      <c r="R635">
        <f t="shared" si="991"/>
        <v>-14334890.575498475</v>
      </c>
      <c r="S635">
        <f t="shared" si="992"/>
        <v>-143.34890575498474</v>
      </c>
      <c r="T635">
        <f t="shared" si="993"/>
        <v>-0.14334890575498474</v>
      </c>
    </row>
    <row r="636" spans="1:20" x14ac:dyDescent="0.25">
      <c r="A636" s="5">
        <v>43957</v>
      </c>
      <c r="B636">
        <v>9.2999999999999999E-2</v>
      </c>
      <c r="C636">
        <v>9.4899999999999998E-2</v>
      </c>
      <c r="D636">
        <v>8.9399999999999993E-2</v>
      </c>
      <c r="E636">
        <v>9.0300000000000005E-2</v>
      </c>
      <c r="F636">
        <v>697313.71</v>
      </c>
      <c r="G636">
        <v>0</v>
      </c>
      <c r="L636" t="s">
        <v>7</v>
      </c>
      <c r="M636" t="s">
        <v>8</v>
      </c>
      <c r="N636" t="s">
        <v>7</v>
      </c>
      <c r="P636">
        <f t="shared" si="989"/>
        <v>-0.67272727272726873</v>
      </c>
      <c r="Q636">
        <f t="shared" si="990"/>
        <v>-469101.95036363357</v>
      </c>
      <c r="R636">
        <f t="shared" si="991"/>
        <v>-15646817.822306989</v>
      </c>
      <c r="S636">
        <f t="shared" si="992"/>
        <v>-156.46817822306988</v>
      </c>
      <c r="T636">
        <f t="shared" si="993"/>
        <v>-0.15646817822306988</v>
      </c>
    </row>
    <row r="637" spans="1:20" x14ac:dyDescent="0.25">
      <c r="A637" s="5">
        <v>43956</v>
      </c>
      <c r="B637">
        <v>9.4200000000000006E-2</v>
      </c>
      <c r="C637">
        <v>9.9000000000000005E-2</v>
      </c>
      <c r="D637">
        <v>9.1899999999999996E-2</v>
      </c>
      <c r="E637">
        <v>9.2600000000000002E-2</v>
      </c>
      <c r="F637">
        <v>476800.85</v>
      </c>
      <c r="G637">
        <v>0</v>
      </c>
      <c r="L637" t="s">
        <v>8</v>
      </c>
      <c r="M637" t="s">
        <v>8</v>
      </c>
      <c r="N637" t="s">
        <v>7</v>
      </c>
      <c r="P637">
        <f t="shared" si="989"/>
        <v>-0.80281690140844919</v>
      </c>
      <c r="Q637">
        <f t="shared" si="990"/>
        <v>-382783.78098591475</v>
      </c>
      <c r="R637">
        <f t="shared" si="991"/>
        <v>-15177715.871943355</v>
      </c>
      <c r="S637">
        <f t="shared" si="992"/>
        <v>-151.77715871943354</v>
      </c>
      <c r="T637">
        <f t="shared" si="993"/>
        <v>-0.15177715871943354</v>
      </c>
    </row>
    <row r="638" spans="1:20" x14ac:dyDescent="0.25">
      <c r="A638" s="5">
        <v>43955</v>
      </c>
      <c r="B638">
        <v>9.4799999999999995E-2</v>
      </c>
      <c r="C638">
        <v>9.5000000000000001E-2</v>
      </c>
      <c r="D638">
        <v>9.0499999999999997E-2</v>
      </c>
      <c r="E638">
        <v>9.3799999999999994E-2</v>
      </c>
      <c r="F638">
        <v>1057953.08</v>
      </c>
      <c r="G638">
        <v>0</v>
      </c>
      <c r="L638" t="s">
        <v>7</v>
      </c>
      <c r="M638" t="s">
        <v>8</v>
      </c>
      <c r="N638" t="s">
        <v>7</v>
      </c>
      <c r="P638">
        <f t="shared" si="989"/>
        <v>0.46666666666666418</v>
      </c>
      <c r="Q638">
        <f t="shared" si="990"/>
        <v>493711.43733333074</v>
      </c>
      <c r="R638">
        <f t="shared" si="991"/>
        <v>-14794932.09095744</v>
      </c>
      <c r="S638">
        <f t="shared" si="992"/>
        <v>-147.9493209095744</v>
      </c>
      <c r="T638">
        <f t="shared" si="993"/>
        <v>-0.14794932090957438</v>
      </c>
    </row>
    <row r="639" spans="1:20" x14ac:dyDescent="0.25">
      <c r="A639" s="5">
        <v>43954</v>
      </c>
      <c r="B639">
        <v>9.9599999999999994E-2</v>
      </c>
      <c r="C639">
        <v>0.10009999999999999</v>
      </c>
      <c r="D639">
        <v>9.2799999999999994E-2</v>
      </c>
      <c r="E639">
        <v>9.74E-2</v>
      </c>
      <c r="F639">
        <v>959868.49</v>
      </c>
      <c r="G639">
        <v>0</v>
      </c>
      <c r="L639" t="s">
        <v>7</v>
      </c>
      <c r="M639" t="s">
        <v>8</v>
      </c>
      <c r="N639" t="s">
        <v>7</v>
      </c>
      <c r="P639">
        <f t="shared" si="989"/>
        <v>0.26027397260274143</v>
      </c>
      <c r="Q639">
        <f t="shared" si="990"/>
        <v>249828.78506849479</v>
      </c>
      <c r="R639">
        <f t="shared" si="991"/>
        <v>-15288643.528290771</v>
      </c>
      <c r="S639">
        <f t="shared" si="992"/>
        <v>-152.88643528290771</v>
      </c>
      <c r="T639">
        <f t="shared" si="993"/>
        <v>-0.15288643528290771</v>
      </c>
    </row>
    <row r="640" spans="1:20" x14ac:dyDescent="0.25">
      <c r="A640" s="5">
        <v>43953</v>
      </c>
      <c r="B640">
        <v>9.6600000000000005E-2</v>
      </c>
      <c r="C640">
        <v>0.1043</v>
      </c>
      <c r="D640">
        <v>9.5799999999999996E-2</v>
      </c>
      <c r="E640">
        <v>0.1043</v>
      </c>
      <c r="F640">
        <v>926907.56</v>
      </c>
      <c r="G640">
        <v>0</v>
      </c>
      <c r="L640" t="s">
        <v>8</v>
      </c>
      <c r="M640" t="s">
        <v>8</v>
      </c>
      <c r="N640" t="s">
        <v>7</v>
      </c>
      <c r="P640">
        <f t="shared" si="989"/>
        <v>1</v>
      </c>
      <c r="Q640">
        <f t="shared" si="990"/>
        <v>926907.56</v>
      </c>
      <c r="R640">
        <f t="shared" si="991"/>
        <v>-15538472.313359266</v>
      </c>
      <c r="S640">
        <f t="shared" si="992"/>
        <v>-155.38472313359267</v>
      </c>
      <c r="T640">
        <f t="shared" si="993"/>
        <v>-0.15538472313359267</v>
      </c>
    </row>
    <row r="641" spans="1:20" x14ac:dyDescent="0.25">
      <c r="A641" s="5">
        <v>43952</v>
      </c>
      <c r="B641">
        <v>9.1800000000000007E-2</v>
      </c>
      <c r="C641">
        <v>9.8400000000000001E-2</v>
      </c>
      <c r="D641">
        <v>9.1700000000000004E-2</v>
      </c>
      <c r="E641">
        <v>9.6699999999999994E-2</v>
      </c>
      <c r="F641">
        <v>1080039.18</v>
      </c>
      <c r="G641">
        <v>0</v>
      </c>
      <c r="L641" t="s">
        <v>7</v>
      </c>
      <c r="M641" t="s">
        <v>8</v>
      </c>
      <c r="N641" t="s">
        <v>7</v>
      </c>
      <c r="P641">
        <f t="shared" si="989"/>
        <v>0.49253731343283352</v>
      </c>
      <c r="Q641">
        <f t="shared" si="990"/>
        <v>531959.59611940046</v>
      </c>
      <c r="R641">
        <f t="shared" si="991"/>
        <v>-16465379.873359267</v>
      </c>
      <c r="S641">
        <f t="shared" si="992"/>
        <v>-164.65379873359268</v>
      </c>
      <c r="T641">
        <f t="shared" si="993"/>
        <v>-0.16465379873359268</v>
      </c>
    </row>
    <row r="642" spans="1:20" x14ac:dyDescent="0.25">
      <c r="A642" s="5">
        <v>43951</v>
      </c>
      <c r="B642">
        <v>9.5000000000000001E-2</v>
      </c>
      <c r="C642">
        <v>0.1013</v>
      </c>
      <c r="D642">
        <v>9.06E-2</v>
      </c>
      <c r="E642">
        <v>9.1800000000000007E-2</v>
      </c>
      <c r="F642">
        <v>1706089.86</v>
      </c>
      <c r="G642">
        <v>0</v>
      </c>
      <c r="L642" t="s">
        <v>8</v>
      </c>
      <c r="M642" t="s">
        <v>8</v>
      </c>
      <c r="N642" t="s">
        <v>7</v>
      </c>
      <c r="P642">
        <f t="shared" si="989"/>
        <v>-0.77570093457943801</v>
      </c>
      <c r="Q642">
        <f t="shared" si="990"/>
        <v>-1323415.4988785025</v>
      </c>
      <c r="R642">
        <f t="shared" si="991"/>
        <v>-16997339.469478667</v>
      </c>
      <c r="S642">
        <f t="shared" si="992"/>
        <v>-169.97339469478666</v>
      </c>
      <c r="T642">
        <f t="shared" si="993"/>
        <v>-0.16997339469478667</v>
      </c>
    </row>
    <row r="643" spans="1:20" x14ac:dyDescent="0.25">
      <c r="A643" s="5">
        <v>43950</v>
      </c>
      <c r="B643">
        <v>9.2399999999999996E-2</v>
      </c>
      <c r="C643">
        <v>9.5600000000000004E-2</v>
      </c>
      <c r="D643">
        <v>8.9399999999999993E-2</v>
      </c>
      <c r="E643">
        <v>9.5000000000000001E-2</v>
      </c>
      <c r="F643">
        <v>1371497.22</v>
      </c>
      <c r="G643">
        <v>0</v>
      </c>
      <c r="L643" t="s">
        <v>7</v>
      </c>
      <c r="M643" t="s">
        <v>8</v>
      </c>
      <c r="N643" t="s">
        <v>7</v>
      </c>
      <c r="P643">
        <f t="shared" si="989"/>
        <v>0.80645161290322509</v>
      </c>
      <c r="Q643">
        <f t="shared" si="990"/>
        <v>1106046.1451612893</v>
      </c>
      <c r="R643">
        <f t="shared" si="991"/>
        <v>-15673923.970600165</v>
      </c>
      <c r="S643">
        <f t="shared" si="992"/>
        <v>-156.73923970600165</v>
      </c>
      <c r="T643">
        <f t="shared" si="993"/>
        <v>-0.15673923970600165</v>
      </c>
    </row>
    <row r="644" spans="1:20" x14ac:dyDescent="0.25">
      <c r="A644" s="5">
        <v>43949</v>
      </c>
      <c r="B644">
        <v>9.1600000000000001E-2</v>
      </c>
      <c r="C644">
        <v>9.5000000000000001E-2</v>
      </c>
      <c r="D644">
        <v>8.9300000000000004E-2</v>
      </c>
      <c r="E644">
        <v>9.2200000000000004E-2</v>
      </c>
      <c r="F644">
        <v>1018774.66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1.754385964912332E-2</v>
      </c>
      <c r="Q644">
        <f t="shared" si="990"/>
        <v>17873.23964912333</v>
      </c>
      <c r="R644">
        <f t="shared" si="991"/>
        <v>-16779970.115761455</v>
      </c>
      <c r="S644">
        <f t="shared" si="992"/>
        <v>-167.79970115761455</v>
      </c>
      <c r="T644">
        <f t="shared" si="993"/>
        <v>-0.16779970115761456</v>
      </c>
    </row>
    <row r="645" spans="1:20" x14ac:dyDescent="0.25">
      <c r="A645" s="5">
        <v>43948</v>
      </c>
      <c r="B645">
        <v>9.4E-2</v>
      </c>
      <c r="C645">
        <v>9.4500000000000001E-2</v>
      </c>
      <c r="D645">
        <v>8.9300000000000004E-2</v>
      </c>
      <c r="E645">
        <v>9.11E-2</v>
      </c>
      <c r="F645">
        <v>1775767.42</v>
      </c>
      <c r="G645">
        <v>0</v>
      </c>
      <c r="L645" t="s">
        <v>7</v>
      </c>
      <c r="M645" t="s">
        <v>8</v>
      </c>
      <c r="N645" t="s">
        <v>7</v>
      </c>
      <c r="P645">
        <f t="shared" si="989"/>
        <v>-0.30769230769230871</v>
      </c>
      <c r="Q645">
        <f t="shared" si="990"/>
        <v>-546389.97538461722</v>
      </c>
      <c r="R645">
        <f t="shared" si="991"/>
        <v>-16797843.35541058</v>
      </c>
      <c r="S645">
        <f t="shared" si="992"/>
        <v>-167.97843355410581</v>
      </c>
      <c r="T645">
        <f t="shared" si="993"/>
        <v>-0.1679784335541058</v>
      </c>
    </row>
    <row r="646" spans="1:20" x14ac:dyDescent="0.25">
      <c r="A646" s="5">
        <v>43947</v>
      </c>
      <c r="B646">
        <v>8.9599999999999999E-2</v>
      </c>
      <c r="C646">
        <v>9.6799999999999997E-2</v>
      </c>
      <c r="D646">
        <v>8.8499999999999995E-2</v>
      </c>
      <c r="E646">
        <v>9.3799999999999994E-2</v>
      </c>
      <c r="F646">
        <v>3003893.9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0.27710843373493926</v>
      </c>
      <c r="Q646">
        <f t="shared" ref="Q646:Q709" si="995">F646*P646</f>
        <v>832404.33373493829</v>
      </c>
      <c r="R646">
        <f t="shared" ref="R646:R709" si="996">R647+Q646</f>
        <v>-16251453.380025962</v>
      </c>
      <c r="S646">
        <f t="shared" ref="S646:S709" si="997">R646/100000</f>
        <v>-162.51453380025961</v>
      </c>
      <c r="T646">
        <f t="shared" ref="T646:T709" si="998">S646/1000</f>
        <v>-0.16251453380025963</v>
      </c>
    </row>
    <row r="647" spans="1:20" x14ac:dyDescent="0.25">
      <c r="A647" s="5">
        <v>43946</v>
      </c>
      <c r="B647">
        <v>8.8499999999999995E-2</v>
      </c>
      <c r="C647">
        <v>9.1499999999999998E-2</v>
      </c>
      <c r="D647">
        <v>8.7400000000000005E-2</v>
      </c>
      <c r="E647">
        <v>8.9700000000000002E-2</v>
      </c>
      <c r="F647">
        <v>1512552.12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0.12195121951219545</v>
      </c>
      <c r="Q647">
        <f t="shared" si="995"/>
        <v>184457.5756097566</v>
      </c>
      <c r="R647">
        <f t="shared" si="996"/>
        <v>-17083857.713760901</v>
      </c>
      <c r="S647">
        <f t="shared" si="997"/>
        <v>-170.83857713760901</v>
      </c>
      <c r="T647">
        <f t="shared" si="998"/>
        <v>-0.170838577137609</v>
      </c>
    </row>
    <row r="648" spans="1:20" x14ac:dyDescent="0.25">
      <c r="A648" s="5">
        <v>43945</v>
      </c>
      <c r="B648">
        <v>8.5599999999999996E-2</v>
      </c>
      <c r="C648">
        <v>8.9499999999999996E-2</v>
      </c>
      <c r="D648">
        <v>8.5000000000000006E-2</v>
      </c>
      <c r="E648">
        <v>8.8300000000000003E-2</v>
      </c>
      <c r="F648">
        <v>1111229.22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0.46666666666666873</v>
      </c>
      <c r="Q648">
        <f t="shared" si="995"/>
        <v>518573.63600000227</v>
      </c>
      <c r="R648">
        <f t="shared" si="996"/>
        <v>-17268315.289370656</v>
      </c>
      <c r="S648">
        <f t="shared" si="997"/>
        <v>-172.68315289370656</v>
      </c>
      <c r="T648">
        <f t="shared" si="998"/>
        <v>-0.17268315289370656</v>
      </c>
    </row>
    <row r="649" spans="1:20" x14ac:dyDescent="0.25">
      <c r="A649" s="5">
        <v>43944</v>
      </c>
      <c r="B649">
        <v>8.5500000000000007E-2</v>
      </c>
      <c r="C649">
        <v>8.8999999999999996E-2</v>
      </c>
      <c r="D649">
        <v>8.2500000000000004E-2</v>
      </c>
      <c r="E649">
        <v>8.5800000000000001E-2</v>
      </c>
      <c r="F649">
        <v>1171754.72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1.5384615384615845E-2</v>
      </c>
      <c r="Q649">
        <f t="shared" si="995"/>
        <v>18026.995692308232</v>
      </c>
      <c r="R649">
        <f t="shared" si="996"/>
        <v>-17786888.92537066</v>
      </c>
      <c r="S649">
        <f t="shared" si="997"/>
        <v>-177.86888925370658</v>
      </c>
      <c r="T649">
        <f t="shared" si="998"/>
        <v>-0.17786888925370659</v>
      </c>
    </row>
    <row r="650" spans="1:20" x14ac:dyDescent="0.25">
      <c r="A650" s="5">
        <v>43943</v>
      </c>
      <c r="B650">
        <v>8.3099999999999993E-2</v>
      </c>
      <c r="C650">
        <v>8.6199999999999999E-2</v>
      </c>
      <c r="D650">
        <v>8.2000000000000003E-2</v>
      </c>
      <c r="E650">
        <v>8.5300000000000001E-2</v>
      </c>
      <c r="F650">
        <v>476885.39</v>
      </c>
      <c r="G650">
        <v>0</v>
      </c>
      <c r="L650" t="s">
        <v>7</v>
      </c>
      <c r="M650" t="s">
        <v>7</v>
      </c>
      <c r="N650" t="s">
        <v>7</v>
      </c>
      <c r="P650">
        <f t="shared" si="994"/>
        <v>0.57142857142857195</v>
      </c>
      <c r="Q650">
        <f t="shared" si="995"/>
        <v>272505.93714285741</v>
      </c>
      <c r="R650">
        <f t="shared" si="996"/>
        <v>-17804915.921062969</v>
      </c>
      <c r="S650">
        <f t="shared" si="997"/>
        <v>-178.04915921062968</v>
      </c>
      <c r="T650">
        <f t="shared" si="998"/>
        <v>-0.17804915921062969</v>
      </c>
    </row>
    <row r="651" spans="1:20" x14ac:dyDescent="0.25">
      <c r="A651" s="5">
        <v>43942</v>
      </c>
      <c r="B651">
        <v>8.5199999999999998E-2</v>
      </c>
      <c r="C651">
        <v>8.6900000000000005E-2</v>
      </c>
      <c r="D651">
        <v>8.1900000000000001E-2</v>
      </c>
      <c r="E651">
        <v>8.3000000000000004E-2</v>
      </c>
      <c r="F651">
        <v>823306.52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-0.55999999999999894</v>
      </c>
      <c r="Q651">
        <f t="shared" si="995"/>
        <v>-461051.65119999915</v>
      </c>
      <c r="R651">
        <f t="shared" si="996"/>
        <v>-18077421.858205825</v>
      </c>
      <c r="S651">
        <f t="shared" si="997"/>
        <v>-180.77421858205824</v>
      </c>
      <c r="T651">
        <f t="shared" si="998"/>
        <v>-0.18077421858205825</v>
      </c>
    </row>
    <row r="652" spans="1:20" x14ac:dyDescent="0.25">
      <c r="A652" s="5">
        <v>43941</v>
      </c>
      <c r="B652">
        <v>8.5300000000000001E-2</v>
      </c>
      <c r="C652">
        <v>9.3600000000000003E-2</v>
      </c>
      <c r="D652">
        <v>8.2299999999999998E-2</v>
      </c>
      <c r="E652">
        <v>8.5199999999999998E-2</v>
      </c>
      <c r="F652">
        <v>5052250.47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-0.48672566371681442</v>
      </c>
      <c r="Q652">
        <f t="shared" si="995"/>
        <v>-2459059.9632743374</v>
      </c>
      <c r="R652">
        <f t="shared" si="996"/>
        <v>-17616370.207005825</v>
      </c>
      <c r="S652">
        <f t="shared" si="997"/>
        <v>-176.16370207005824</v>
      </c>
      <c r="T652">
        <f t="shared" si="998"/>
        <v>-0.17616370207005824</v>
      </c>
    </row>
    <row r="653" spans="1:20" x14ac:dyDescent="0.25">
      <c r="A653" s="5">
        <v>43940</v>
      </c>
      <c r="B653">
        <v>8.6499999999999994E-2</v>
      </c>
      <c r="C653">
        <v>0.17280000000000001</v>
      </c>
      <c r="D653">
        <v>7.8600000000000003E-2</v>
      </c>
      <c r="E653">
        <v>8.5500000000000007E-2</v>
      </c>
      <c r="F653">
        <v>2712490.65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-0.85350318471337572</v>
      </c>
      <c r="Q653">
        <f t="shared" si="995"/>
        <v>-2315119.4082802543</v>
      </c>
      <c r="R653">
        <f t="shared" si="996"/>
        <v>-15157310.243731488</v>
      </c>
      <c r="S653">
        <f t="shared" si="997"/>
        <v>-151.57310243731487</v>
      </c>
      <c r="T653">
        <f t="shared" si="998"/>
        <v>-0.15157310243731487</v>
      </c>
    </row>
    <row r="654" spans="1:20" x14ac:dyDescent="0.25">
      <c r="A654" s="5">
        <v>43939</v>
      </c>
      <c r="B654">
        <v>8.5199999999999998E-2</v>
      </c>
      <c r="C654">
        <v>8.7300000000000003E-2</v>
      </c>
      <c r="D654">
        <v>8.4199999999999997E-2</v>
      </c>
      <c r="E654">
        <v>8.6999999999999994E-2</v>
      </c>
      <c r="F654">
        <v>416535.24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0.80645161290322065</v>
      </c>
      <c r="Q654">
        <f t="shared" si="995"/>
        <v>335915.51612903009</v>
      </c>
      <c r="R654">
        <f t="shared" si="996"/>
        <v>-12842190.835451234</v>
      </c>
      <c r="S654">
        <f t="shared" si="997"/>
        <v>-128.42190835451234</v>
      </c>
      <c r="T654">
        <f t="shared" si="998"/>
        <v>-0.12842190835451234</v>
      </c>
    </row>
    <row r="655" spans="1:20" x14ac:dyDescent="0.25">
      <c r="A655" s="5">
        <v>43938</v>
      </c>
      <c r="B655">
        <v>8.4699999999999998E-2</v>
      </c>
      <c r="C655">
        <v>8.6199999999999999E-2</v>
      </c>
      <c r="D655">
        <v>8.2500000000000004E-2</v>
      </c>
      <c r="E655">
        <v>8.4199999999999997E-2</v>
      </c>
      <c r="F655">
        <v>425632.11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-8.1081081081083514E-2</v>
      </c>
      <c r="Q655">
        <f t="shared" si="995"/>
        <v>-34510.711621622657</v>
      </c>
      <c r="R655">
        <f t="shared" si="996"/>
        <v>-13178106.351580264</v>
      </c>
      <c r="S655">
        <f t="shared" si="997"/>
        <v>-131.78106351580263</v>
      </c>
      <c r="T655">
        <f t="shared" si="998"/>
        <v>-0.13178106351580263</v>
      </c>
    </row>
    <row r="656" spans="1:20" x14ac:dyDescent="0.25">
      <c r="A656" s="5">
        <v>43937</v>
      </c>
      <c r="B656">
        <v>8.1100000000000005E-2</v>
      </c>
      <c r="C656">
        <v>8.6199999999999999E-2</v>
      </c>
      <c r="D656">
        <v>7.8600000000000003E-2</v>
      </c>
      <c r="E656">
        <v>8.48E-2</v>
      </c>
      <c r="F656">
        <v>578192.6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0.63157894736842124</v>
      </c>
      <c r="Q656">
        <f t="shared" si="995"/>
        <v>365174.27368421061</v>
      </c>
      <c r="R656">
        <f t="shared" si="996"/>
        <v>-13143595.639958641</v>
      </c>
      <c r="S656">
        <f t="shared" si="997"/>
        <v>-131.43595639958642</v>
      </c>
      <c r="T656">
        <f t="shared" si="998"/>
        <v>-0.13143595639958641</v>
      </c>
    </row>
    <row r="657" spans="1:20" x14ac:dyDescent="0.25">
      <c r="A657" s="5">
        <v>43936</v>
      </c>
      <c r="B657">
        <v>8.4099999999999994E-2</v>
      </c>
      <c r="C657">
        <v>8.6400000000000005E-2</v>
      </c>
      <c r="D657">
        <v>8.0399999999999999E-2</v>
      </c>
      <c r="E657">
        <v>8.1299999999999997E-2</v>
      </c>
      <c r="F657">
        <v>410708.91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-0.70000000000000095</v>
      </c>
      <c r="Q657">
        <f t="shared" si="995"/>
        <v>-287496.23700000037</v>
      </c>
      <c r="R657">
        <f t="shared" si="996"/>
        <v>-13508769.913642852</v>
      </c>
      <c r="S657">
        <f t="shared" si="997"/>
        <v>-135.08769913642851</v>
      </c>
      <c r="T657">
        <f t="shared" si="998"/>
        <v>-0.13508769913642851</v>
      </c>
    </row>
    <row r="658" spans="1:20" x14ac:dyDescent="0.25">
      <c r="A658" s="5">
        <v>43935</v>
      </c>
      <c r="B658">
        <v>8.3900000000000002E-2</v>
      </c>
      <c r="C658">
        <v>8.6999999999999994E-2</v>
      </c>
      <c r="D658">
        <v>8.1699999999999995E-2</v>
      </c>
      <c r="E658">
        <v>8.4099999999999994E-2</v>
      </c>
      <c r="F658">
        <v>731488.26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-9.4339622641509538E-2</v>
      </c>
      <c r="Q658">
        <f t="shared" si="995"/>
        <v>-69008.326415094416</v>
      </c>
      <c r="R658">
        <f t="shared" si="996"/>
        <v>-13221273.676642852</v>
      </c>
      <c r="S658">
        <f t="shared" si="997"/>
        <v>-132.21273676642852</v>
      </c>
      <c r="T658">
        <f t="shared" si="998"/>
        <v>-0.13221273676642853</v>
      </c>
    </row>
    <row r="659" spans="1:20" x14ac:dyDescent="0.25">
      <c r="A659" s="5">
        <v>43934</v>
      </c>
      <c r="B659">
        <v>8.4699999999999998E-2</v>
      </c>
      <c r="C659">
        <v>8.6300000000000002E-2</v>
      </c>
      <c r="D659">
        <v>0.08</v>
      </c>
      <c r="E659">
        <v>8.3199999999999996E-2</v>
      </c>
      <c r="F659">
        <v>561929.04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1.5873015873014124E-2</v>
      </c>
      <c r="Q659">
        <f t="shared" si="995"/>
        <v>8919.5085714275883</v>
      </c>
      <c r="R659">
        <f t="shared" si="996"/>
        <v>-13152265.350227758</v>
      </c>
      <c r="S659">
        <f t="shared" si="997"/>
        <v>-131.52265350227759</v>
      </c>
      <c r="T659">
        <f t="shared" si="998"/>
        <v>-0.1315226535022776</v>
      </c>
    </row>
    <row r="660" spans="1:20" x14ac:dyDescent="0.25">
      <c r="A660" s="5">
        <v>43933</v>
      </c>
      <c r="B660">
        <v>8.3299999999999999E-2</v>
      </c>
      <c r="C660">
        <v>8.8300000000000003E-2</v>
      </c>
      <c r="D660">
        <v>8.1100000000000005E-2</v>
      </c>
      <c r="E660">
        <v>8.4900000000000003E-2</v>
      </c>
      <c r="F660">
        <v>443454.33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5.5555555555555233E-2</v>
      </c>
      <c r="Q660">
        <f t="shared" si="995"/>
        <v>24636.351666666524</v>
      </c>
      <c r="R660">
        <f t="shared" si="996"/>
        <v>-13161184.858799186</v>
      </c>
      <c r="S660">
        <f t="shared" si="997"/>
        <v>-131.61184858799186</v>
      </c>
      <c r="T660">
        <f t="shared" si="998"/>
        <v>-0.13161184858799185</v>
      </c>
    </row>
    <row r="661" spans="1:20" x14ac:dyDescent="0.25">
      <c r="A661" s="5">
        <v>43932</v>
      </c>
      <c r="B661">
        <v>8.1799999999999998E-2</v>
      </c>
      <c r="C661">
        <v>8.5800000000000001E-2</v>
      </c>
      <c r="D661">
        <v>8.09E-2</v>
      </c>
      <c r="E661">
        <v>8.3000000000000004E-2</v>
      </c>
      <c r="F661">
        <v>340930.98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-0.14285714285714124</v>
      </c>
      <c r="Q661">
        <f t="shared" si="995"/>
        <v>-48704.425714285157</v>
      </c>
      <c r="R661">
        <f t="shared" si="996"/>
        <v>-13185821.210465852</v>
      </c>
      <c r="S661">
        <f t="shared" si="997"/>
        <v>-131.85821210465852</v>
      </c>
      <c r="T661">
        <f t="shared" si="998"/>
        <v>-0.13185821210465851</v>
      </c>
    </row>
    <row r="662" spans="1:20" x14ac:dyDescent="0.25">
      <c r="A662" s="5">
        <v>43931</v>
      </c>
      <c r="B662">
        <v>9.0200000000000002E-2</v>
      </c>
      <c r="C662">
        <v>9.1200000000000003E-2</v>
      </c>
      <c r="D662">
        <v>8.0500000000000002E-2</v>
      </c>
      <c r="E662">
        <v>8.1799999999999998E-2</v>
      </c>
      <c r="F662">
        <v>729709.01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-0.75700934579439338</v>
      </c>
      <c r="Q662">
        <f t="shared" si="995"/>
        <v>-552396.54028037447</v>
      </c>
      <c r="R662">
        <f t="shared" si="996"/>
        <v>-13137116.784751566</v>
      </c>
      <c r="S662">
        <f t="shared" si="997"/>
        <v>-131.37116784751566</v>
      </c>
      <c r="T662">
        <f t="shared" si="998"/>
        <v>-0.13137116784751565</v>
      </c>
    </row>
    <row r="663" spans="1:20" x14ac:dyDescent="0.25">
      <c r="A663" s="5">
        <v>43930</v>
      </c>
      <c r="B663">
        <v>9.0999999999999998E-2</v>
      </c>
      <c r="C663">
        <v>9.4399999999999998E-2</v>
      </c>
      <c r="D663">
        <v>8.8400000000000006E-2</v>
      </c>
      <c r="E663">
        <v>9.1200000000000003E-2</v>
      </c>
      <c r="F663">
        <v>647601.74</v>
      </c>
      <c r="G663">
        <v>0</v>
      </c>
      <c r="L663" t="s">
        <v>8</v>
      </c>
      <c r="M663" t="s">
        <v>7</v>
      </c>
      <c r="N663" t="s">
        <v>7</v>
      </c>
      <c r="P663">
        <f t="shared" si="994"/>
        <v>-6.666666666666636E-2</v>
      </c>
      <c r="Q663">
        <f t="shared" si="995"/>
        <v>-43173.449333333134</v>
      </c>
      <c r="R663">
        <f t="shared" si="996"/>
        <v>-12584720.244471192</v>
      </c>
      <c r="S663">
        <f t="shared" si="997"/>
        <v>-125.84720244471193</v>
      </c>
      <c r="T663">
        <f t="shared" si="998"/>
        <v>-0.12584720244471193</v>
      </c>
    </row>
    <row r="664" spans="1:20" x14ac:dyDescent="0.25">
      <c r="A664" s="5">
        <v>43929</v>
      </c>
      <c r="B664">
        <v>8.7300000000000003E-2</v>
      </c>
      <c r="C664">
        <v>9.1899999999999996E-2</v>
      </c>
      <c r="D664">
        <v>8.6699999999999999E-2</v>
      </c>
      <c r="E664">
        <v>9.0999999999999998E-2</v>
      </c>
      <c r="F664">
        <v>450844.36</v>
      </c>
      <c r="G664">
        <v>0</v>
      </c>
      <c r="L664" t="s">
        <v>8</v>
      </c>
      <c r="M664" t="s">
        <v>7</v>
      </c>
      <c r="N664" t="s">
        <v>7</v>
      </c>
      <c r="P664">
        <f t="shared" si="994"/>
        <v>0.65384615384615441</v>
      </c>
      <c r="Q664">
        <f t="shared" si="995"/>
        <v>294782.85076923104</v>
      </c>
      <c r="R664">
        <f t="shared" si="996"/>
        <v>-12541546.79513786</v>
      </c>
      <c r="S664">
        <f t="shared" si="997"/>
        <v>-125.4154679513786</v>
      </c>
      <c r="T664">
        <f t="shared" si="998"/>
        <v>-0.12541546795137859</v>
      </c>
    </row>
    <row r="665" spans="1:20" x14ac:dyDescent="0.25">
      <c r="A665" s="5">
        <v>43928</v>
      </c>
      <c r="B665">
        <v>8.9300000000000004E-2</v>
      </c>
      <c r="C665">
        <v>9.1899999999999996E-2</v>
      </c>
      <c r="D665">
        <v>8.5400000000000004E-2</v>
      </c>
      <c r="E665">
        <v>8.77E-2</v>
      </c>
      <c r="F665">
        <v>941265.12</v>
      </c>
      <c r="G665">
        <v>0</v>
      </c>
      <c r="L665" t="s">
        <v>8</v>
      </c>
      <c r="M665" t="s">
        <v>7</v>
      </c>
      <c r="N665" t="s">
        <v>7</v>
      </c>
      <c r="P665">
        <f t="shared" si="994"/>
        <v>-0.29230769230769249</v>
      </c>
      <c r="Q665">
        <f t="shared" si="995"/>
        <v>-275139.03507692326</v>
      </c>
      <c r="R665">
        <f t="shared" si="996"/>
        <v>-12836329.645907091</v>
      </c>
      <c r="S665">
        <f t="shared" si="997"/>
        <v>-128.36329645907091</v>
      </c>
      <c r="T665">
        <f t="shared" si="998"/>
        <v>-0.12836329645907091</v>
      </c>
    </row>
    <row r="666" spans="1:20" x14ac:dyDescent="0.25">
      <c r="A666" s="5">
        <v>43927</v>
      </c>
      <c r="B666">
        <v>8.4599999999999995E-2</v>
      </c>
      <c r="C666">
        <v>0.09</v>
      </c>
      <c r="D666">
        <v>8.43E-2</v>
      </c>
      <c r="E666">
        <v>8.9200000000000002E-2</v>
      </c>
      <c r="F666">
        <v>958987.52</v>
      </c>
      <c r="G666">
        <v>0</v>
      </c>
      <c r="L666" t="s">
        <v>8</v>
      </c>
      <c r="M666" t="s">
        <v>7</v>
      </c>
      <c r="N666" t="s">
        <v>7</v>
      </c>
      <c r="P666">
        <f t="shared" si="994"/>
        <v>0.71929824561403666</v>
      </c>
      <c r="Q666">
        <f t="shared" si="995"/>
        <v>689798.0407017559</v>
      </c>
      <c r="R666">
        <f t="shared" si="996"/>
        <v>-12561190.610830167</v>
      </c>
      <c r="S666">
        <f t="shared" si="997"/>
        <v>-125.61190610830167</v>
      </c>
      <c r="T666">
        <f t="shared" si="998"/>
        <v>-0.12561190610830167</v>
      </c>
    </row>
    <row r="667" spans="1:20" x14ac:dyDescent="0.25">
      <c r="A667" s="5">
        <v>43926</v>
      </c>
      <c r="B667">
        <v>8.5400000000000004E-2</v>
      </c>
      <c r="C667">
        <v>8.5699999999999998E-2</v>
      </c>
      <c r="D667">
        <v>8.2000000000000003E-2</v>
      </c>
      <c r="E667">
        <v>8.4599999999999995E-2</v>
      </c>
      <c r="F667">
        <v>482671.04</v>
      </c>
      <c r="G667">
        <v>0</v>
      </c>
      <c r="L667" t="s">
        <v>8</v>
      </c>
      <c r="M667" t="s">
        <v>7</v>
      </c>
      <c r="N667" t="s">
        <v>7</v>
      </c>
      <c r="P667">
        <f t="shared" si="994"/>
        <v>0.40540540540540254</v>
      </c>
      <c r="Q667">
        <f t="shared" si="995"/>
        <v>195677.44864864726</v>
      </c>
      <c r="R667">
        <f t="shared" si="996"/>
        <v>-13250988.651531924</v>
      </c>
      <c r="S667">
        <f t="shared" si="997"/>
        <v>-132.50988651531924</v>
      </c>
      <c r="T667">
        <f t="shared" si="998"/>
        <v>-0.13250988651531923</v>
      </c>
    </row>
    <row r="668" spans="1:20" x14ac:dyDescent="0.25">
      <c r="A668" s="5">
        <v>43925</v>
      </c>
      <c r="B668">
        <v>8.5199999999999998E-2</v>
      </c>
      <c r="C668">
        <v>8.5999999999999993E-2</v>
      </c>
      <c r="D668">
        <v>8.3299999999999999E-2</v>
      </c>
      <c r="E668">
        <v>8.5400000000000004E-2</v>
      </c>
      <c r="F668">
        <v>282121.89</v>
      </c>
      <c r="G668">
        <v>0</v>
      </c>
      <c r="L668" t="s">
        <v>8</v>
      </c>
      <c r="M668" t="s">
        <v>7</v>
      </c>
      <c r="N668" t="s">
        <v>7</v>
      </c>
      <c r="P668">
        <f t="shared" si="994"/>
        <v>0.55555555555556246</v>
      </c>
      <c r="Q668">
        <f t="shared" si="995"/>
        <v>156734.38333333528</v>
      </c>
      <c r="R668">
        <f t="shared" si="996"/>
        <v>-13446666.10018057</v>
      </c>
      <c r="S668">
        <f t="shared" si="997"/>
        <v>-134.4666610018057</v>
      </c>
      <c r="T668">
        <f t="shared" si="998"/>
        <v>-0.13446666100180571</v>
      </c>
    </row>
    <row r="669" spans="1:20" x14ac:dyDescent="0.25">
      <c r="A669" s="5">
        <v>43924</v>
      </c>
      <c r="B669">
        <v>8.4099999999999994E-2</v>
      </c>
      <c r="C669">
        <v>8.6099999999999996E-2</v>
      </c>
      <c r="D669">
        <v>8.2600000000000007E-2</v>
      </c>
      <c r="E669">
        <v>8.4699999999999998E-2</v>
      </c>
      <c r="F669">
        <v>368453.11</v>
      </c>
      <c r="G669">
        <v>0</v>
      </c>
      <c r="L669" t="s">
        <v>8</v>
      </c>
      <c r="M669" t="s">
        <v>7</v>
      </c>
      <c r="N669" t="s">
        <v>7</v>
      </c>
      <c r="P669">
        <f t="shared" si="994"/>
        <v>0.1999999999999984</v>
      </c>
      <c r="Q669">
        <f t="shared" si="995"/>
        <v>73690.621999999406</v>
      </c>
      <c r="R669">
        <f t="shared" si="996"/>
        <v>-13603400.483513905</v>
      </c>
      <c r="S669">
        <f t="shared" si="997"/>
        <v>-136.03400483513906</v>
      </c>
      <c r="T669">
        <f t="shared" si="998"/>
        <v>-0.13603400483513906</v>
      </c>
    </row>
    <row r="670" spans="1:20" x14ac:dyDescent="0.25">
      <c r="A670" s="5">
        <v>43923</v>
      </c>
      <c r="B670">
        <v>8.2900000000000001E-2</v>
      </c>
      <c r="C670">
        <v>8.7099999999999997E-2</v>
      </c>
      <c r="D670">
        <v>8.2000000000000003E-2</v>
      </c>
      <c r="E670">
        <v>8.4400000000000003E-2</v>
      </c>
      <c r="F670">
        <v>1001599.87</v>
      </c>
      <c r="G670">
        <v>0</v>
      </c>
      <c r="L670" t="s">
        <v>8</v>
      </c>
      <c r="M670" t="s">
        <v>7</v>
      </c>
      <c r="N670" t="s">
        <v>7</v>
      </c>
      <c r="P670">
        <f t="shared" si="994"/>
        <v>-5.8823529411763747E-2</v>
      </c>
      <c r="Q670">
        <f t="shared" si="995"/>
        <v>-58917.639411763746</v>
      </c>
      <c r="R670">
        <f t="shared" si="996"/>
        <v>-13677091.105513904</v>
      </c>
      <c r="S670">
        <f t="shared" si="997"/>
        <v>-136.77091105513904</v>
      </c>
      <c r="T670">
        <f t="shared" si="998"/>
        <v>-0.13677091105513903</v>
      </c>
    </row>
    <row r="671" spans="1:20" x14ac:dyDescent="0.25">
      <c r="A671" s="5">
        <v>43922</v>
      </c>
      <c r="B671">
        <v>8.2900000000000001E-2</v>
      </c>
      <c r="C671">
        <v>8.4599999999999995E-2</v>
      </c>
      <c r="D671">
        <v>0.08</v>
      </c>
      <c r="E671">
        <v>8.2900000000000001E-2</v>
      </c>
      <c r="F671">
        <v>1163938.95</v>
      </c>
      <c r="G671">
        <v>0</v>
      </c>
      <c r="L671" t="s">
        <v>7</v>
      </c>
      <c r="M671" t="s">
        <v>7</v>
      </c>
      <c r="N671" t="s">
        <v>7</v>
      </c>
      <c r="P671">
        <f t="shared" si="994"/>
        <v>0.26086956521739313</v>
      </c>
      <c r="Q671">
        <f t="shared" si="995"/>
        <v>303636.24782608909</v>
      </c>
      <c r="R671">
        <f t="shared" si="996"/>
        <v>-13618173.46610214</v>
      </c>
      <c r="S671">
        <f t="shared" si="997"/>
        <v>-136.18173466102141</v>
      </c>
      <c r="T671">
        <f t="shared" si="998"/>
        <v>-0.1361817346610214</v>
      </c>
    </row>
    <row r="672" spans="1:20" x14ac:dyDescent="0.25">
      <c r="A672" s="5">
        <v>43921</v>
      </c>
      <c r="B672">
        <v>8.3500000000000005E-2</v>
      </c>
      <c r="C672">
        <v>9.9000000000000005E-2</v>
      </c>
      <c r="D672">
        <v>8.1600000000000006E-2</v>
      </c>
      <c r="E672">
        <v>8.3500000000000005E-2</v>
      </c>
      <c r="F672">
        <v>4468030.43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-0.78160919540229901</v>
      </c>
      <c r="Q672">
        <f t="shared" si="995"/>
        <v>-3492253.6694252877</v>
      </c>
      <c r="R672">
        <f t="shared" si="996"/>
        <v>-13921809.713928228</v>
      </c>
      <c r="S672">
        <f t="shared" si="997"/>
        <v>-139.21809713928229</v>
      </c>
      <c r="T672">
        <f t="shared" si="998"/>
        <v>-0.13921809713928229</v>
      </c>
    </row>
    <row r="673" spans="1:20" x14ac:dyDescent="0.25">
      <c r="A673" s="5">
        <v>43920</v>
      </c>
      <c r="B673">
        <v>7.8700000000000006E-2</v>
      </c>
      <c r="C673">
        <v>8.5099999999999995E-2</v>
      </c>
      <c r="D673">
        <v>7.8700000000000006E-2</v>
      </c>
      <c r="E673">
        <v>8.3500000000000005E-2</v>
      </c>
      <c r="F673">
        <v>863424.7</v>
      </c>
      <c r="G673">
        <v>0</v>
      </c>
      <c r="L673" t="s">
        <v>7</v>
      </c>
      <c r="M673" t="s">
        <v>7</v>
      </c>
      <c r="N673" t="s">
        <v>7</v>
      </c>
      <c r="P673">
        <f t="shared" si="994"/>
        <v>0.50000000000000222</v>
      </c>
      <c r="Q673">
        <f t="shared" si="995"/>
        <v>431712.3500000019</v>
      </c>
      <c r="R673">
        <f t="shared" si="996"/>
        <v>-10429556.04450294</v>
      </c>
      <c r="S673">
        <f t="shared" si="997"/>
        <v>-104.29556044502939</v>
      </c>
      <c r="T673">
        <f t="shared" si="998"/>
        <v>-0.1042955604450294</v>
      </c>
    </row>
    <row r="674" spans="1:20" x14ac:dyDescent="0.25">
      <c r="A674" s="5">
        <v>43919</v>
      </c>
      <c r="B674">
        <v>7.9399999999999998E-2</v>
      </c>
      <c r="C674">
        <v>8.48E-2</v>
      </c>
      <c r="D674">
        <v>7.6799999999999993E-2</v>
      </c>
      <c r="E674">
        <v>7.8899999999999998E-2</v>
      </c>
      <c r="F674">
        <v>814667.11</v>
      </c>
      <c r="G674">
        <v>0</v>
      </c>
      <c r="L674" t="s">
        <v>8</v>
      </c>
      <c r="M674" t="s">
        <v>7</v>
      </c>
      <c r="N674" t="s">
        <v>7</v>
      </c>
      <c r="P674">
        <f t="shared" si="994"/>
        <v>-0.47499999999999931</v>
      </c>
      <c r="Q674">
        <f t="shared" si="995"/>
        <v>-386966.87724999944</v>
      </c>
      <c r="R674">
        <f t="shared" si="996"/>
        <v>-10861268.394502942</v>
      </c>
      <c r="S674">
        <f t="shared" si="997"/>
        <v>-108.61268394502942</v>
      </c>
      <c r="T674">
        <f t="shared" si="998"/>
        <v>-0.10861268394502942</v>
      </c>
    </row>
    <row r="675" spans="1:20" x14ac:dyDescent="0.25">
      <c r="A675" s="5">
        <v>43918</v>
      </c>
      <c r="B675">
        <v>7.9500000000000001E-2</v>
      </c>
      <c r="C675">
        <v>7.9600000000000004E-2</v>
      </c>
      <c r="D675">
        <v>7.5399999999999995E-2</v>
      </c>
      <c r="E675">
        <v>7.8799999999999995E-2</v>
      </c>
      <c r="F675">
        <v>865648.63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0.61904761904761563</v>
      </c>
      <c r="Q675">
        <f t="shared" si="995"/>
        <v>535877.72333333036</v>
      </c>
      <c r="R675">
        <f t="shared" si="996"/>
        <v>-10474301.517252943</v>
      </c>
      <c r="S675">
        <f t="shared" si="997"/>
        <v>-104.74301517252943</v>
      </c>
      <c r="T675">
        <f t="shared" si="998"/>
        <v>-0.10474301517252943</v>
      </c>
    </row>
    <row r="676" spans="1:20" x14ac:dyDescent="0.25">
      <c r="A676" s="5">
        <v>43917</v>
      </c>
      <c r="B676">
        <v>8.2699999999999996E-2</v>
      </c>
      <c r="C676">
        <v>9.9900000000000003E-2</v>
      </c>
      <c r="D676">
        <v>7.8799999999999995E-2</v>
      </c>
      <c r="E676">
        <v>7.9600000000000004E-2</v>
      </c>
      <c r="F676">
        <v>3023691.92</v>
      </c>
      <c r="G676">
        <v>0</v>
      </c>
      <c r="L676" t="s">
        <v>8</v>
      </c>
      <c r="M676" t="s">
        <v>8</v>
      </c>
      <c r="N676" t="s">
        <v>7</v>
      </c>
      <c r="P676">
        <f t="shared" si="994"/>
        <v>-0.92417061611374329</v>
      </c>
      <c r="Q676">
        <f t="shared" si="995"/>
        <v>-2794407.2246445473</v>
      </c>
      <c r="R676">
        <f t="shared" si="996"/>
        <v>-11010179.240586273</v>
      </c>
      <c r="S676">
        <f t="shared" si="997"/>
        <v>-110.10179240586274</v>
      </c>
      <c r="T676">
        <f t="shared" si="998"/>
        <v>-0.11010179240586274</v>
      </c>
    </row>
    <row r="677" spans="1:20" x14ac:dyDescent="0.25">
      <c r="A677" s="5">
        <v>43916</v>
      </c>
      <c r="B677">
        <v>8.2600000000000007E-2</v>
      </c>
      <c r="C677">
        <v>8.5300000000000001E-2</v>
      </c>
      <c r="D677">
        <v>7.8399999999999997E-2</v>
      </c>
      <c r="E677">
        <v>8.3099999999999993E-2</v>
      </c>
      <c r="F677">
        <v>975698.49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0.36231884057970826</v>
      </c>
      <c r="Q677">
        <f t="shared" si="995"/>
        <v>353513.94565217209</v>
      </c>
      <c r="R677">
        <f t="shared" si="996"/>
        <v>-8215772.015941726</v>
      </c>
      <c r="S677">
        <f t="shared" si="997"/>
        <v>-82.157720159417266</v>
      </c>
      <c r="T677">
        <f t="shared" si="998"/>
        <v>-8.2157720159417261E-2</v>
      </c>
    </row>
    <row r="678" spans="1:20" x14ac:dyDescent="0.25">
      <c r="A678" s="5">
        <v>43915</v>
      </c>
      <c r="B678">
        <v>8.2100000000000006E-2</v>
      </c>
      <c r="C678">
        <v>8.5599999999999996E-2</v>
      </c>
      <c r="D678">
        <v>7.7299999999999994E-2</v>
      </c>
      <c r="E678">
        <v>8.1799999999999998E-2</v>
      </c>
      <c r="F678">
        <v>1342467.23</v>
      </c>
      <c r="G678">
        <v>0</v>
      </c>
      <c r="L678" t="s">
        <v>7</v>
      </c>
      <c r="M678" t="s">
        <v>8</v>
      </c>
      <c r="N678" t="s">
        <v>7</v>
      </c>
      <c r="P678">
        <f t="shared" si="994"/>
        <v>8.4337349397591091E-2</v>
      </c>
      <c r="Q678">
        <f t="shared" si="995"/>
        <v>113220.12783132627</v>
      </c>
      <c r="R678">
        <f t="shared" si="996"/>
        <v>-8569285.961593898</v>
      </c>
      <c r="S678">
        <f t="shared" si="997"/>
        <v>-85.692859615938985</v>
      </c>
      <c r="T678">
        <f t="shared" si="998"/>
        <v>-8.569285961593899E-2</v>
      </c>
    </row>
    <row r="679" spans="1:20" x14ac:dyDescent="0.25">
      <c r="A679" s="5">
        <v>43914</v>
      </c>
      <c r="B679">
        <v>7.9699999999999993E-2</v>
      </c>
      <c r="C679">
        <v>8.8900000000000007E-2</v>
      </c>
      <c r="D679">
        <v>7.5600000000000001E-2</v>
      </c>
      <c r="E679">
        <v>8.2100000000000006E-2</v>
      </c>
      <c r="F679">
        <v>1099003.99</v>
      </c>
      <c r="G679">
        <v>0</v>
      </c>
      <c r="L679" t="s">
        <v>8</v>
      </c>
      <c r="M679" t="s">
        <v>8</v>
      </c>
      <c r="N679" t="s">
        <v>7</v>
      </c>
      <c r="P679">
        <f t="shared" si="994"/>
        <v>-2.2556390977443202E-2</v>
      </c>
      <c r="Q679">
        <f t="shared" si="995"/>
        <v>-24789.563684210079</v>
      </c>
      <c r="R679">
        <f t="shared" si="996"/>
        <v>-8682506.0894252248</v>
      </c>
      <c r="S679">
        <f t="shared" si="997"/>
        <v>-86.825060894252246</v>
      </c>
      <c r="T679">
        <f t="shared" si="998"/>
        <v>-8.6825060894252251E-2</v>
      </c>
    </row>
    <row r="680" spans="1:20" x14ac:dyDescent="0.25">
      <c r="A680" s="5">
        <v>43913</v>
      </c>
      <c r="B680">
        <v>7.2300000000000003E-2</v>
      </c>
      <c r="C680">
        <v>0.08</v>
      </c>
      <c r="D680">
        <v>7.2099999999999997E-2</v>
      </c>
      <c r="E680">
        <v>7.9699999999999993E-2</v>
      </c>
      <c r="F680">
        <v>768428.42</v>
      </c>
      <c r="G680">
        <v>0</v>
      </c>
      <c r="L680" t="s">
        <v>8</v>
      </c>
      <c r="M680" t="s">
        <v>7</v>
      </c>
      <c r="N680" t="s">
        <v>7</v>
      </c>
      <c r="P680">
        <f t="shared" si="994"/>
        <v>0.92405063291139022</v>
      </c>
      <c r="Q680">
        <f t="shared" si="995"/>
        <v>710066.76784809958</v>
      </c>
      <c r="R680">
        <f t="shared" si="996"/>
        <v>-8657716.5257410146</v>
      </c>
      <c r="S680">
        <f t="shared" si="997"/>
        <v>-86.577165257410144</v>
      </c>
      <c r="T680">
        <f t="shared" si="998"/>
        <v>-8.6577165257410146E-2</v>
      </c>
    </row>
    <row r="681" spans="1:20" x14ac:dyDescent="0.25">
      <c r="A681" s="5">
        <v>43912</v>
      </c>
      <c r="B681">
        <v>8.1799999999999998E-2</v>
      </c>
      <c r="C681">
        <v>8.8700000000000001E-2</v>
      </c>
      <c r="D681">
        <v>7.22E-2</v>
      </c>
      <c r="E681">
        <v>7.22E-2</v>
      </c>
      <c r="F681">
        <v>1084759.55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-1</v>
      </c>
      <c r="Q681">
        <f t="shared" si="995"/>
        <v>-1084759.55</v>
      </c>
      <c r="R681">
        <f t="shared" si="996"/>
        <v>-9367783.2935891151</v>
      </c>
      <c r="S681">
        <f t="shared" si="997"/>
        <v>-93.677832935891146</v>
      </c>
      <c r="T681">
        <f t="shared" si="998"/>
        <v>-9.3677832935891145E-2</v>
      </c>
    </row>
    <row r="682" spans="1:20" x14ac:dyDescent="0.25">
      <c r="A682" s="5">
        <v>43911</v>
      </c>
      <c r="B682">
        <v>8.3099999999999993E-2</v>
      </c>
      <c r="C682">
        <v>8.9099999999999999E-2</v>
      </c>
      <c r="D682">
        <v>7.6700000000000004E-2</v>
      </c>
      <c r="E682">
        <v>8.1799999999999998E-2</v>
      </c>
      <c r="F682">
        <v>1609068.11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-0.17741935483871035</v>
      </c>
      <c r="Q682">
        <f t="shared" si="995"/>
        <v>-285479.82596774306</v>
      </c>
      <c r="R682">
        <f t="shared" si="996"/>
        <v>-8283023.7435891153</v>
      </c>
      <c r="S682">
        <f t="shared" si="997"/>
        <v>-82.830237435891149</v>
      </c>
      <c r="T682">
        <f t="shared" si="998"/>
        <v>-8.2830237435891144E-2</v>
      </c>
    </row>
    <row r="683" spans="1:20" x14ac:dyDescent="0.25">
      <c r="A683" s="5">
        <v>43910</v>
      </c>
      <c r="B683">
        <v>7.8399999999999997E-2</v>
      </c>
      <c r="C683">
        <v>0.114</v>
      </c>
      <c r="D683">
        <v>7.4099999999999999E-2</v>
      </c>
      <c r="E683">
        <v>8.3299999999999999E-2</v>
      </c>
      <c r="F683">
        <v>5283894.03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-0.53884711779448624</v>
      </c>
      <c r="Q683">
        <f t="shared" si="995"/>
        <v>-2847211.0687969928</v>
      </c>
      <c r="R683">
        <f t="shared" si="996"/>
        <v>-7997543.9176213723</v>
      </c>
      <c r="S683">
        <f t="shared" si="997"/>
        <v>-79.975439176213726</v>
      </c>
      <c r="T683">
        <f t="shared" si="998"/>
        <v>-7.997543917621372E-2</v>
      </c>
    </row>
    <row r="684" spans="1:20" x14ac:dyDescent="0.25">
      <c r="A684" s="5">
        <v>43909</v>
      </c>
      <c r="B684">
        <v>6.6500000000000004E-2</v>
      </c>
      <c r="C684">
        <v>0.1082</v>
      </c>
      <c r="D684">
        <v>6.6199999999999995E-2</v>
      </c>
      <c r="E684">
        <v>7.8399999999999997E-2</v>
      </c>
      <c r="F684">
        <v>3181500.45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-0.41904761904761906</v>
      </c>
      <c r="Q684">
        <f t="shared" si="995"/>
        <v>-1333200.1885714286</v>
      </c>
      <c r="R684">
        <f t="shared" si="996"/>
        <v>-5150332.84882438</v>
      </c>
      <c r="S684">
        <f t="shared" si="997"/>
        <v>-51.503328488243802</v>
      </c>
      <c r="T684">
        <f t="shared" si="998"/>
        <v>-5.1503328488243801E-2</v>
      </c>
    </row>
    <row r="685" spans="1:20" x14ac:dyDescent="0.25">
      <c r="A685" s="5">
        <v>43908</v>
      </c>
      <c r="B685">
        <v>6.6900000000000001E-2</v>
      </c>
      <c r="C685">
        <v>6.8400000000000002E-2</v>
      </c>
      <c r="D685">
        <v>6.2E-2</v>
      </c>
      <c r="E685">
        <v>6.6500000000000004E-2</v>
      </c>
      <c r="F685">
        <v>813359.01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0.40625000000000061</v>
      </c>
      <c r="Q685">
        <f t="shared" si="995"/>
        <v>330427.09781250049</v>
      </c>
      <c r="R685">
        <f t="shared" si="996"/>
        <v>-3817132.6602529516</v>
      </c>
      <c r="S685">
        <f t="shared" si="997"/>
        <v>-38.171326602529518</v>
      </c>
      <c r="T685">
        <f t="shared" si="998"/>
        <v>-3.8171326602529518E-2</v>
      </c>
    </row>
    <row r="686" spans="1:20" x14ac:dyDescent="0.25">
      <c r="A686" s="5">
        <v>43907</v>
      </c>
      <c r="B686">
        <v>6.5100000000000005E-2</v>
      </c>
      <c r="C686">
        <v>7.9899999999999999E-2</v>
      </c>
      <c r="D686">
        <v>6.25E-2</v>
      </c>
      <c r="E686">
        <v>6.6900000000000001E-2</v>
      </c>
      <c r="F686">
        <v>1443862.79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-0.49425287356321823</v>
      </c>
      <c r="Q686">
        <f t="shared" si="995"/>
        <v>-713633.33298850548</v>
      </c>
      <c r="R686">
        <f t="shared" si="996"/>
        <v>-4147559.7580654519</v>
      </c>
      <c r="S686">
        <f t="shared" si="997"/>
        <v>-41.475597580654515</v>
      </c>
      <c r="T686">
        <f t="shared" si="998"/>
        <v>-4.1475597580654514E-2</v>
      </c>
    </row>
    <row r="687" spans="1:20" x14ac:dyDescent="0.25">
      <c r="A687" s="5">
        <v>43906</v>
      </c>
      <c r="B687">
        <v>7.9799999999999996E-2</v>
      </c>
      <c r="C687">
        <v>8.48E-2</v>
      </c>
      <c r="D687">
        <v>5.5100000000000003E-2</v>
      </c>
      <c r="E687">
        <v>6.4500000000000002E-2</v>
      </c>
      <c r="F687">
        <v>4227424.5199999996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-0.36700336700336705</v>
      </c>
      <c r="Q687">
        <f t="shared" si="995"/>
        <v>-1551479.0325925925</v>
      </c>
      <c r="R687">
        <f t="shared" si="996"/>
        <v>-3433926.4250769466</v>
      </c>
      <c r="S687">
        <f t="shared" si="997"/>
        <v>-34.339264250769467</v>
      </c>
      <c r="T687">
        <f t="shared" si="998"/>
        <v>-3.4339264250769469E-2</v>
      </c>
    </row>
    <row r="688" spans="1:20" x14ac:dyDescent="0.25">
      <c r="A688" s="5">
        <v>43905</v>
      </c>
      <c r="B688">
        <v>6.3700000000000007E-2</v>
      </c>
      <c r="C688">
        <v>0.12</v>
      </c>
      <c r="D688">
        <v>6.3500000000000001E-2</v>
      </c>
      <c r="E688">
        <v>7.9600000000000004E-2</v>
      </c>
      <c r="F688">
        <v>9207830.7400000002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-0.43008849557522105</v>
      </c>
      <c r="Q688">
        <f t="shared" si="995"/>
        <v>-3960182.0704778745</v>
      </c>
      <c r="R688">
        <f t="shared" si="996"/>
        <v>-1882447.3924843539</v>
      </c>
      <c r="S688">
        <f t="shared" si="997"/>
        <v>-18.824473924843538</v>
      </c>
      <c r="T688">
        <f t="shared" si="998"/>
        <v>-1.8824473924843536E-2</v>
      </c>
    </row>
    <row r="689" spans="1:20" x14ac:dyDescent="0.25">
      <c r="A689" s="5">
        <v>43904</v>
      </c>
      <c r="B689">
        <v>6.08E-2</v>
      </c>
      <c r="C689">
        <v>6.9400000000000003E-2</v>
      </c>
      <c r="D689">
        <v>5.7599999999999998E-2</v>
      </c>
      <c r="E689">
        <v>6.3700000000000007E-2</v>
      </c>
      <c r="F689">
        <v>863220.89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3.389830508474672E-2</v>
      </c>
      <c r="Q689">
        <f t="shared" si="995"/>
        <v>29261.725084746591</v>
      </c>
      <c r="R689">
        <f t="shared" si="996"/>
        <v>2077734.6779935206</v>
      </c>
      <c r="S689">
        <f t="shared" si="997"/>
        <v>20.777346779935208</v>
      </c>
      <c r="T689">
        <f t="shared" si="998"/>
        <v>2.0777346779935209E-2</v>
      </c>
    </row>
    <row r="690" spans="1:20" x14ac:dyDescent="0.25">
      <c r="A690" s="5">
        <v>43903</v>
      </c>
      <c r="B690">
        <v>5.6899999999999999E-2</v>
      </c>
      <c r="C690">
        <v>6.7199999999999996E-2</v>
      </c>
      <c r="D690">
        <v>3.6400000000000002E-2</v>
      </c>
      <c r="E690">
        <v>6.1600000000000002E-2</v>
      </c>
      <c r="F690">
        <v>1650698.84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0.63636363636363669</v>
      </c>
      <c r="Q690">
        <f t="shared" si="995"/>
        <v>1050444.716363637</v>
      </c>
      <c r="R690">
        <f t="shared" si="996"/>
        <v>2048472.9529087741</v>
      </c>
      <c r="S690">
        <f t="shared" si="997"/>
        <v>20.48472952908774</v>
      </c>
      <c r="T690">
        <f t="shared" si="998"/>
        <v>2.0484729529087739E-2</v>
      </c>
    </row>
    <row r="691" spans="1:20" x14ac:dyDescent="0.25">
      <c r="A691" s="5">
        <v>43902</v>
      </c>
      <c r="B691">
        <v>0.10920000000000001</v>
      </c>
      <c r="C691">
        <v>0.1114</v>
      </c>
      <c r="D691">
        <v>5.4600000000000003E-2</v>
      </c>
      <c r="E691">
        <v>5.5399999999999998E-2</v>
      </c>
      <c r="F691">
        <v>1548762.66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-0.97183098591549311</v>
      </c>
      <c r="Q691">
        <f t="shared" si="995"/>
        <v>-1505135.5428169016</v>
      </c>
      <c r="R691">
        <f t="shared" si="996"/>
        <v>998028.23654513713</v>
      </c>
      <c r="S691">
        <f t="shared" si="997"/>
        <v>9.9802823654513713</v>
      </c>
      <c r="T691">
        <f t="shared" si="998"/>
        <v>9.9802823654513706E-3</v>
      </c>
    </row>
    <row r="692" spans="1:20" x14ac:dyDescent="0.25">
      <c r="A692" s="5">
        <v>43901</v>
      </c>
      <c r="B692">
        <v>0.1154</v>
      </c>
      <c r="C692">
        <v>0.11650000000000001</v>
      </c>
      <c r="D692">
        <v>0.1024</v>
      </c>
      <c r="E692">
        <v>0.1106</v>
      </c>
      <c r="F692">
        <v>498380.17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0.16312056737588626</v>
      </c>
      <c r="Q692">
        <f t="shared" si="995"/>
        <v>81296.056099290639</v>
      </c>
      <c r="R692">
        <f t="shared" si="996"/>
        <v>2503163.7793620387</v>
      </c>
      <c r="S692">
        <f t="shared" si="997"/>
        <v>25.031637793620387</v>
      </c>
      <c r="T692">
        <f t="shared" si="998"/>
        <v>2.5031637793620387E-2</v>
      </c>
    </row>
    <row r="693" spans="1:20" x14ac:dyDescent="0.25">
      <c r="A693" s="5">
        <v>43900</v>
      </c>
      <c r="B693">
        <v>0.11459999999999999</v>
      </c>
      <c r="C693">
        <v>0.11899999999999999</v>
      </c>
      <c r="D693">
        <v>0.1094</v>
      </c>
      <c r="E693">
        <v>0.1149</v>
      </c>
      <c r="F693">
        <v>625824.67000000004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0.14583333333333465</v>
      </c>
      <c r="Q693">
        <f t="shared" si="995"/>
        <v>91266.097708334157</v>
      </c>
      <c r="R693">
        <f t="shared" si="996"/>
        <v>2421867.7232627482</v>
      </c>
      <c r="S693">
        <f t="shared" si="997"/>
        <v>24.218677232627481</v>
      </c>
      <c r="T693">
        <f t="shared" si="998"/>
        <v>2.4218677232627481E-2</v>
      </c>
    </row>
    <row r="694" spans="1:20" x14ac:dyDescent="0.25">
      <c r="A694" s="5">
        <v>43899</v>
      </c>
      <c r="B694">
        <v>0.1124</v>
      </c>
      <c r="C694">
        <v>0.11509999999999999</v>
      </c>
      <c r="D694">
        <v>0.1041</v>
      </c>
      <c r="E694">
        <v>0.1145</v>
      </c>
      <c r="F694">
        <v>958990.69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0.89090909090909276</v>
      </c>
      <c r="Q694">
        <f t="shared" si="995"/>
        <v>854373.52381818357</v>
      </c>
      <c r="R694">
        <f t="shared" si="996"/>
        <v>2330601.625554414</v>
      </c>
      <c r="S694">
        <f t="shared" si="997"/>
        <v>23.30601625554414</v>
      </c>
      <c r="T694">
        <f t="shared" si="998"/>
        <v>2.330601625554414E-2</v>
      </c>
    </row>
    <row r="695" spans="1:20" x14ac:dyDescent="0.25">
      <c r="A695" s="5">
        <v>43898</v>
      </c>
      <c r="B695">
        <v>0.128</v>
      </c>
      <c r="C695">
        <v>0.12820000000000001</v>
      </c>
      <c r="D695">
        <v>0.11</v>
      </c>
      <c r="E695">
        <v>0.1111</v>
      </c>
      <c r="F695">
        <v>1431888.07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-0.87912087912087877</v>
      </c>
      <c r="Q695">
        <f t="shared" si="995"/>
        <v>-1258802.6989010985</v>
      </c>
      <c r="R695">
        <f t="shared" si="996"/>
        <v>1476228.1017362305</v>
      </c>
      <c r="S695">
        <f t="shared" si="997"/>
        <v>14.762281017362305</v>
      </c>
      <c r="T695">
        <f t="shared" si="998"/>
        <v>1.4762281017362305E-2</v>
      </c>
    </row>
    <row r="696" spans="1:20" x14ac:dyDescent="0.25">
      <c r="A696" s="5">
        <v>43897</v>
      </c>
      <c r="B696">
        <v>0.13550000000000001</v>
      </c>
      <c r="C696">
        <v>0.14330000000000001</v>
      </c>
      <c r="D696">
        <v>0.12559999999999999</v>
      </c>
      <c r="E696">
        <v>0.128</v>
      </c>
      <c r="F696">
        <v>3375740.78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-0.72881355932203273</v>
      </c>
      <c r="Q696">
        <f t="shared" si="995"/>
        <v>-2460285.653220335</v>
      </c>
      <c r="R696">
        <f t="shared" si="996"/>
        <v>2735030.800637329</v>
      </c>
      <c r="S696">
        <f t="shared" si="997"/>
        <v>27.35030800637329</v>
      </c>
      <c r="T696">
        <f t="shared" si="998"/>
        <v>2.7350308006373291E-2</v>
      </c>
    </row>
    <row r="697" spans="1:20" x14ac:dyDescent="0.25">
      <c r="A697" s="5">
        <v>43896</v>
      </c>
      <c r="B697">
        <v>0.13450000000000001</v>
      </c>
      <c r="C697">
        <v>0.1366</v>
      </c>
      <c r="D697">
        <v>0.12859999999999999</v>
      </c>
      <c r="E697">
        <v>0.13550000000000001</v>
      </c>
      <c r="F697">
        <v>1888080.4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0.72500000000000275</v>
      </c>
      <c r="Q697">
        <f t="shared" si="995"/>
        <v>1368858.2900000052</v>
      </c>
      <c r="R697">
        <f t="shared" si="996"/>
        <v>5195316.453857664</v>
      </c>
      <c r="S697">
        <f t="shared" si="997"/>
        <v>51.953164538576637</v>
      </c>
      <c r="T697">
        <f t="shared" si="998"/>
        <v>5.1953164538576638E-2</v>
      </c>
    </row>
    <row r="698" spans="1:20" x14ac:dyDescent="0.25">
      <c r="A698" s="5">
        <v>43895</v>
      </c>
      <c r="B698">
        <v>0.1308</v>
      </c>
      <c r="C698">
        <v>0.13950000000000001</v>
      </c>
      <c r="D698">
        <v>0.1303</v>
      </c>
      <c r="E698">
        <v>0.13500000000000001</v>
      </c>
      <c r="F698">
        <v>2021786.45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2.1739130434783198E-2</v>
      </c>
      <c r="Q698">
        <f t="shared" si="995"/>
        <v>43951.879347827278</v>
      </c>
      <c r="R698">
        <f t="shared" si="996"/>
        <v>3826458.1638576584</v>
      </c>
      <c r="S698">
        <f t="shared" si="997"/>
        <v>38.264581638576587</v>
      </c>
      <c r="T698">
        <f t="shared" si="998"/>
        <v>3.8264581638576586E-2</v>
      </c>
    </row>
    <row r="699" spans="1:20" x14ac:dyDescent="0.25">
      <c r="A699" s="5">
        <v>43894</v>
      </c>
      <c r="B699">
        <v>0.13220000000000001</v>
      </c>
      <c r="C699">
        <v>0.1343</v>
      </c>
      <c r="D699">
        <v>0.127</v>
      </c>
      <c r="E699">
        <v>0.1308</v>
      </c>
      <c r="F699">
        <v>1240160.71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4.1095890410958173E-2</v>
      </c>
      <c r="Q699">
        <f t="shared" si="995"/>
        <v>50965.508630136079</v>
      </c>
      <c r="R699">
        <f t="shared" si="996"/>
        <v>3782506.2845098311</v>
      </c>
      <c r="S699">
        <f t="shared" si="997"/>
        <v>37.825062845098309</v>
      </c>
      <c r="T699">
        <f t="shared" si="998"/>
        <v>3.782506284509831E-2</v>
      </c>
    </row>
    <row r="700" spans="1:20" x14ac:dyDescent="0.25">
      <c r="A700" s="5">
        <v>43893</v>
      </c>
      <c r="B700">
        <v>0.13500000000000001</v>
      </c>
      <c r="C700">
        <v>0.1399</v>
      </c>
      <c r="D700">
        <v>0.1285</v>
      </c>
      <c r="E700">
        <v>0.13189999999999999</v>
      </c>
      <c r="F700">
        <v>563690.59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-0.40350877192982659</v>
      </c>
      <c r="Q700">
        <f t="shared" si="995"/>
        <v>-227454.09771929937</v>
      </c>
      <c r="R700">
        <f t="shared" si="996"/>
        <v>3731540.7758796951</v>
      </c>
      <c r="S700">
        <f t="shared" si="997"/>
        <v>37.315407758796951</v>
      </c>
      <c r="T700">
        <f t="shared" si="998"/>
        <v>3.7315407758796951E-2</v>
      </c>
    </row>
    <row r="701" spans="1:20" x14ac:dyDescent="0.25">
      <c r="A701" s="5">
        <v>43892</v>
      </c>
      <c r="B701">
        <v>0.1268</v>
      </c>
      <c r="C701">
        <v>0.13750000000000001</v>
      </c>
      <c r="D701">
        <v>0.1268</v>
      </c>
      <c r="E701">
        <v>0.13500000000000001</v>
      </c>
      <c r="F701">
        <v>643798.59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0.53271028037383206</v>
      </c>
      <c r="Q701">
        <f t="shared" si="995"/>
        <v>342958.12738317775</v>
      </c>
      <c r="R701">
        <f t="shared" si="996"/>
        <v>3958994.8735989942</v>
      </c>
      <c r="S701">
        <f t="shared" si="997"/>
        <v>39.589948735989942</v>
      </c>
      <c r="T701">
        <f t="shared" si="998"/>
        <v>3.9589948735989942E-2</v>
      </c>
    </row>
    <row r="702" spans="1:20" x14ac:dyDescent="0.25">
      <c r="A702" s="5">
        <v>43891</v>
      </c>
      <c r="B702">
        <v>0.12540000000000001</v>
      </c>
      <c r="C702">
        <v>0.13339999999999999</v>
      </c>
      <c r="D702">
        <v>0.1237</v>
      </c>
      <c r="E702">
        <v>0.12809999999999999</v>
      </c>
      <c r="F702">
        <v>360265.55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-9.2783505154640539E-2</v>
      </c>
      <c r="Q702">
        <f t="shared" si="995"/>
        <v>-33426.700515464407</v>
      </c>
      <c r="R702">
        <f t="shared" si="996"/>
        <v>3616036.7462158166</v>
      </c>
      <c r="S702">
        <f t="shared" si="997"/>
        <v>36.160367462158163</v>
      </c>
      <c r="T702">
        <f t="shared" si="998"/>
        <v>3.6160367462158165E-2</v>
      </c>
    </row>
    <row r="703" spans="1:20" x14ac:dyDescent="0.25">
      <c r="A703" s="5">
        <v>43890</v>
      </c>
      <c r="B703">
        <v>0.13</v>
      </c>
      <c r="C703">
        <v>0.13489999999999999</v>
      </c>
      <c r="D703">
        <v>0.12429999999999999</v>
      </c>
      <c r="E703">
        <v>0.12540000000000001</v>
      </c>
      <c r="F703">
        <v>707061.67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-0.79245283018867585</v>
      </c>
      <c r="Q703">
        <f t="shared" si="995"/>
        <v>-560313.02150943165</v>
      </c>
      <c r="R703">
        <f t="shared" si="996"/>
        <v>3649463.446731281</v>
      </c>
      <c r="S703">
        <f t="shared" si="997"/>
        <v>36.494634467312807</v>
      </c>
      <c r="T703">
        <f t="shared" si="998"/>
        <v>3.6494634467312805E-2</v>
      </c>
    </row>
    <row r="704" spans="1:20" x14ac:dyDescent="0.25">
      <c r="A704" s="5">
        <v>43889</v>
      </c>
      <c r="B704">
        <v>0.12889999999999999</v>
      </c>
      <c r="C704">
        <v>0.1376</v>
      </c>
      <c r="D704">
        <v>0.11840000000000001</v>
      </c>
      <c r="E704">
        <v>0.12939999999999999</v>
      </c>
      <c r="F704">
        <v>1880468.35</v>
      </c>
      <c r="G704">
        <v>0</v>
      </c>
      <c r="L704" t="s">
        <v>7</v>
      </c>
      <c r="M704" t="s">
        <v>8</v>
      </c>
      <c r="N704" t="s">
        <v>7</v>
      </c>
      <c r="P704">
        <f t="shared" si="994"/>
        <v>0.14583333333333176</v>
      </c>
      <c r="Q704">
        <f t="shared" si="995"/>
        <v>274234.96770833037</v>
      </c>
      <c r="R704">
        <f t="shared" si="996"/>
        <v>4209776.4682407128</v>
      </c>
      <c r="S704">
        <f t="shared" si="997"/>
        <v>42.097764682407124</v>
      </c>
      <c r="T704">
        <f t="shared" si="998"/>
        <v>4.2097764682407127E-2</v>
      </c>
    </row>
    <row r="705" spans="1:20" x14ac:dyDescent="0.25">
      <c r="A705" s="5">
        <v>43888</v>
      </c>
      <c r="B705">
        <v>0.1207</v>
      </c>
      <c r="C705">
        <v>0.13789999999999999</v>
      </c>
      <c r="D705">
        <v>0.11509999999999999</v>
      </c>
      <c r="E705">
        <v>0.12920000000000001</v>
      </c>
      <c r="F705">
        <v>1118277.51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0.23684210526315919</v>
      </c>
      <c r="Q705">
        <f t="shared" si="995"/>
        <v>264855.19973684353</v>
      </c>
      <c r="R705">
        <f t="shared" si="996"/>
        <v>3935541.5005323826</v>
      </c>
      <c r="S705">
        <f t="shared" si="997"/>
        <v>39.355415005323827</v>
      </c>
      <c r="T705">
        <f t="shared" si="998"/>
        <v>3.9355415005323829E-2</v>
      </c>
    </row>
    <row r="706" spans="1:20" x14ac:dyDescent="0.25">
      <c r="A706" s="5">
        <v>43887</v>
      </c>
      <c r="B706">
        <v>0.14069999999999999</v>
      </c>
      <c r="C706">
        <v>0.14099999999999999</v>
      </c>
      <c r="D706">
        <v>0.11509999999999999</v>
      </c>
      <c r="E706">
        <v>0.12089999999999999</v>
      </c>
      <c r="F706">
        <v>1293855.21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-0.55212355212355202</v>
      </c>
      <c r="Q706">
        <f t="shared" si="995"/>
        <v>-714367.93447876431</v>
      </c>
      <c r="R706">
        <f t="shared" si="996"/>
        <v>3670686.3007955393</v>
      </c>
      <c r="S706">
        <f t="shared" si="997"/>
        <v>36.706863007955391</v>
      </c>
      <c r="T706">
        <f t="shared" si="998"/>
        <v>3.6706863007955393E-2</v>
      </c>
    </row>
    <row r="707" spans="1:20" x14ac:dyDescent="0.25">
      <c r="A707" s="5">
        <v>43886</v>
      </c>
      <c r="B707">
        <v>0.1565</v>
      </c>
      <c r="C707">
        <v>0.1565</v>
      </c>
      <c r="D707">
        <v>0.1391</v>
      </c>
      <c r="E707">
        <v>0.14180000000000001</v>
      </c>
      <c r="F707">
        <v>2094660.68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-0.68965517241379215</v>
      </c>
      <c r="Q707">
        <f t="shared" si="995"/>
        <v>-1444593.572413791</v>
      </c>
      <c r="R707">
        <f t="shared" si="996"/>
        <v>4385054.2352743037</v>
      </c>
      <c r="S707">
        <f t="shared" si="997"/>
        <v>43.850542352743034</v>
      </c>
      <c r="T707">
        <f t="shared" si="998"/>
        <v>4.3850542352743035E-2</v>
      </c>
    </row>
    <row r="708" spans="1:20" x14ac:dyDescent="0.25">
      <c r="A708" s="5">
        <v>43885</v>
      </c>
      <c r="B708">
        <v>0.1678</v>
      </c>
      <c r="C708">
        <v>0.16869999999999999</v>
      </c>
      <c r="D708">
        <v>0.1525</v>
      </c>
      <c r="E708">
        <v>0.15579999999999999</v>
      </c>
      <c r="F708">
        <v>2201376.1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-0.59259259259259267</v>
      </c>
      <c r="Q708">
        <f t="shared" si="995"/>
        <v>-1304519.1703703706</v>
      </c>
      <c r="R708">
        <f t="shared" si="996"/>
        <v>5829647.8076880947</v>
      </c>
      <c r="S708">
        <f t="shared" si="997"/>
        <v>58.296478076880945</v>
      </c>
      <c r="T708">
        <f t="shared" si="998"/>
        <v>5.8296478076880945E-2</v>
      </c>
    </row>
    <row r="709" spans="1:20" x14ac:dyDescent="0.25">
      <c r="A709" s="5">
        <v>43884</v>
      </c>
      <c r="B709">
        <v>0.16020000000000001</v>
      </c>
      <c r="C709">
        <v>0.16800000000000001</v>
      </c>
      <c r="D709">
        <v>0.15870000000000001</v>
      </c>
      <c r="E709">
        <v>0.16800000000000001</v>
      </c>
      <c r="F709">
        <v>1649328.78</v>
      </c>
      <c r="G709">
        <v>0</v>
      </c>
      <c r="L709" t="s">
        <v>7</v>
      </c>
      <c r="M709" t="s">
        <v>8</v>
      </c>
      <c r="N709" t="s">
        <v>7</v>
      </c>
      <c r="P709">
        <f t="shared" si="994"/>
        <v>1</v>
      </c>
      <c r="Q709">
        <f t="shared" si="995"/>
        <v>1649328.78</v>
      </c>
      <c r="R709">
        <f t="shared" si="996"/>
        <v>7134166.9780584648</v>
      </c>
      <c r="S709">
        <f t="shared" si="997"/>
        <v>71.341669780584652</v>
      </c>
      <c r="T709">
        <f t="shared" si="998"/>
        <v>7.1341669780584649E-2</v>
      </c>
    </row>
    <row r="710" spans="1:20" x14ac:dyDescent="0.25">
      <c r="A710" s="5">
        <v>43883</v>
      </c>
      <c r="B710">
        <v>0.1686</v>
      </c>
      <c r="C710">
        <v>0.18129999999999999</v>
      </c>
      <c r="D710">
        <v>0.15290000000000001</v>
      </c>
      <c r="E710">
        <v>0.16</v>
      </c>
      <c r="F710">
        <v>3178165.52</v>
      </c>
      <c r="G710">
        <v>0</v>
      </c>
      <c r="L710" t="s">
        <v>8</v>
      </c>
      <c r="M710" t="s">
        <v>8</v>
      </c>
      <c r="N710" t="s">
        <v>7</v>
      </c>
      <c r="P710">
        <f t="shared" ref="P710:P766" si="999">IF(C710=D710,0,((E710-D710)-(C710-E710))/(C710-D710))</f>
        <v>-0.5</v>
      </c>
      <c r="Q710">
        <f t="shared" ref="Q710:Q766" si="1000">F710*P710</f>
        <v>-1589082.76</v>
      </c>
      <c r="R710">
        <f t="shared" ref="R710:R766" si="1001">R711+Q710</f>
        <v>5484838.1980584646</v>
      </c>
      <c r="S710">
        <f t="shared" ref="S710:S766" si="1002">R710/100000</f>
        <v>54.848381980584648</v>
      </c>
      <c r="T710">
        <f t="shared" ref="T710:T766" si="1003">S710/1000</f>
        <v>5.484838198058465E-2</v>
      </c>
    </row>
    <row r="711" spans="1:20" x14ac:dyDescent="0.25">
      <c r="A711" s="5">
        <v>43882</v>
      </c>
      <c r="B711">
        <v>0.1615</v>
      </c>
      <c r="C711">
        <v>0.17530000000000001</v>
      </c>
      <c r="D711">
        <v>0.16</v>
      </c>
      <c r="E711">
        <v>0.16869999999999999</v>
      </c>
      <c r="F711">
        <v>987130.64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0.13725490196078183</v>
      </c>
      <c r="Q711">
        <f t="shared" si="1000"/>
        <v>135488.51921568383</v>
      </c>
      <c r="R711">
        <f t="shared" si="1001"/>
        <v>7073920.9580584643</v>
      </c>
      <c r="S711">
        <f t="shared" si="1002"/>
        <v>70.739209580584642</v>
      </c>
      <c r="T711">
        <f t="shared" si="1003"/>
        <v>7.0739209580584647E-2</v>
      </c>
    </row>
    <row r="712" spans="1:20" x14ac:dyDescent="0.25">
      <c r="A712" s="5">
        <v>43881</v>
      </c>
      <c r="B712">
        <v>0.1678</v>
      </c>
      <c r="C712">
        <v>0.1706</v>
      </c>
      <c r="D712">
        <v>0.15659999999999999</v>
      </c>
      <c r="E712">
        <v>0.1628</v>
      </c>
      <c r="F712">
        <v>1136997.53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-0.11428571428571349</v>
      </c>
      <c r="Q712">
        <f t="shared" si="1000"/>
        <v>-129942.57485714195</v>
      </c>
      <c r="R712">
        <f t="shared" si="1001"/>
        <v>6938432.4388427809</v>
      </c>
      <c r="S712">
        <f t="shared" si="1002"/>
        <v>69.384324388427814</v>
      </c>
      <c r="T712">
        <f t="shared" si="1003"/>
        <v>6.9384324388427815E-2</v>
      </c>
    </row>
    <row r="713" spans="1:20" x14ac:dyDescent="0.25">
      <c r="A713" s="5">
        <v>43880</v>
      </c>
      <c r="B713">
        <v>0.182</v>
      </c>
      <c r="C713">
        <v>0.19359999999999999</v>
      </c>
      <c r="D713">
        <v>0.16500000000000001</v>
      </c>
      <c r="E713">
        <v>0.1671</v>
      </c>
      <c r="F713">
        <v>1027274.59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-0.85314685314685368</v>
      </c>
      <c r="Q713">
        <f t="shared" si="1000"/>
        <v>-876416.08377622429</v>
      </c>
      <c r="R713">
        <f t="shared" si="1001"/>
        <v>7068375.0136999227</v>
      </c>
      <c r="S713">
        <f t="shared" si="1002"/>
        <v>70.683750136999222</v>
      </c>
      <c r="T713">
        <f t="shared" si="1003"/>
        <v>7.0683750136999221E-2</v>
      </c>
    </row>
    <row r="714" spans="1:20" x14ac:dyDescent="0.25">
      <c r="A714" s="5">
        <v>43879</v>
      </c>
      <c r="B714">
        <v>0.18</v>
      </c>
      <c r="C714">
        <v>0.1893</v>
      </c>
      <c r="D714">
        <v>0.17150000000000001</v>
      </c>
      <c r="E714">
        <v>0.182</v>
      </c>
      <c r="F714">
        <v>1067456.52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0.17977528089887548</v>
      </c>
      <c r="Q714">
        <f t="shared" si="1000"/>
        <v>191902.2957303361</v>
      </c>
      <c r="R714">
        <f t="shared" si="1001"/>
        <v>7944791.0974761471</v>
      </c>
      <c r="S714">
        <f t="shared" si="1002"/>
        <v>79.44791097476147</v>
      </c>
      <c r="T714">
        <f t="shared" si="1003"/>
        <v>7.9447910974761476E-2</v>
      </c>
    </row>
    <row r="715" spans="1:20" x14ac:dyDescent="0.25">
      <c r="A715" s="5">
        <v>43878</v>
      </c>
      <c r="B715">
        <v>0.18990000000000001</v>
      </c>
      <c r="C715">
        <v>0.19500000000000001</v>
      </c>
      <c r="D715">
        <v>0.1608</v>
      </c>
      <c r="E715">
        <v>0.18129999999999999</v>
      </c>
      <c r="F715">
        <v>1949919.63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0.1988304093567243</v>
      </c>
      <c r="Q715">
        <f t="shared" si="1000"/>
        <v>387703.31824561238</v>
      </c>
      <c r="R715">
        <f t="shared" si="1001"/>
        <v>7752888.8017458105</v>
      </c>
      <c r="S715">
        <f t="shared" si="1002"/>
        <v>77.528888017458101</v>
      </c>
      <c r="T715">
        <f t="shared" si="1003"/>
        <v>7.7528888017458095E-2</v>
      </c>
    </row>
    <row r="716" spans="1:20" x14ac:dyDescent="0.25">
      <c r="A716" s="5">
        <v>43877</v>
      </c>
      <c r="B716">
        <v>0.2142</v>
      </c>
      <c r="C716">
        <v>0.2457</v>
      </c>
      <c r="D716">
        <v>0.16789999999999999</v>
      </c>
      <c r="E716">
        <v>0.19020000000000001</v>
      </c>
      <c r="F716">
        <v>3019782.76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-0.42673521850899715</v>
      </c>
      <c r="Q716">
        <f t="shared" si="1000"/>
        <v>-1288647.6559383024</v>
      </c>
      <c r="R716">
        <f t="shared" si="1001"/>
        <v>7365185.4835001985</v>
      </c>
      <c r="S716">
        <f t="shared" si="1002"/>
        <v>73.651854835001984</v>
      </c>
      <c r="T716">
        <f t="shared" si="1003"/>
        <v>7.3651854835001987E-2</v>
      </c>
    </row>
    <row r="717" spans="1:20" x14ac:dyDescent="0.25">
      <c r="A717" s="5">
        <v>43876</v>
      </c>
      <c r="B717">
        <v>0.21279999999999999</v>
      </c>
      <c r="C717">
        <v>0.3</v>
      </c>
      <c r="D717">
        <v>0.20039999999999999</v>
      </c>
      <c r="E717">
        <v>0.2142</v>
      </c>
      <c r="F717">
        <v>5426290.4400000004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-0.72289156626506013</v>
      </c>
      <c r="Q717">
        <f t="shared" si="1000"/>
        <v>-3922619.5951807224</v>
      </c>
      <c r="R717">
        <f t="shared" si="1001"/>
        <v>8653833.1394385006</v>
      </c>
      <c r="S717">
        <f t="shared" si="1002"/>
        <v>86.538331394385011</v>
      </c>
      <c r="T717">
        <f t="shared" si="1003"/>
        <v>8.6538331394385007E-2</v>
      </c>
    </row>
    <row r="718" spans="1:20" x14ac:dyDescent="0.25">
      <c r="A718" s="5">
        <v>43875</v>
      </c>
      <c r="B718">
        <v>0.19370000000000001</v>
      </c>
      <c r="C718">
        <v>0.2137</v>
      </c>
      <c r="D718">
        <v>0.1885</v>
      </c>
      <c r="E718">
        <v>0.21279999999999999</v>
      </c>
      <c r="F718">
        <v>2083476.25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0.9285714285714276</v>
      </c>
      <c r="Q718">
        <f t="shared" si="1000"/>
        <v>1934656.5178571409</v>
      </c>
      <c r="R718">
        <f t="shared" si="1001"/>
        <v>12576452.734619223</v>
      </c>
      <c r="S718">
        <f t="shared" si="1002"/>
        <v>125.76452734619222</v>
      </c>
      <c r="T718">
        <f t="shared" si="1003"/>
        <v>0.12576452734619223</v>
      </c>
    </row>
    <row r="719" spans="1:20" x14ac:dyDescent="0.25">
      <c r="A719" s="5">
        <v>43874</v>
      </c>
      <c r="B719">
        <v>0.18079999999999999</v>
      </c>
      <c r="C719">
        <v>0.19889999999999999</v>
      </c>
      <c r="D719">
        <v>0.1668</v>
      </c>
      <c r="E719">
        <v>0.1948</v>
      </c>
      <c r="F719">
        <v>2322558.21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0.74454828660436179</v>
      </c>
      <c r="Q719">
        <f t="shared" si="1000"/>
        <v>1729256.7357943933</v>
      </c>
      <c r="R719">
        <f t="shared" si="1001"/>
        <v>10641796.216762083</v>
      </c>
      <c r="S719">
        <f t="shared" si="1002"/>
        <v>106.41796216762083</v>
      </c>
      <c r="T719">
        <f t="shared" si="1003"/>
        <v>0.10641796216762082</v>
      </c>
    </row>
    <row r="720" spans="1:20" x14ac:dyDescent="0.25">
      <c r="A720" s="5">
        <v>43873</v>
      </c>
      <c r="B720">
        <v>0.16070000000000001</v>
      </c>
      <c r="C720">
        <v>0.18640000000000001</v>
      </c>
      <c r="D720">
        <v>0.16070000000000001</v>
      </c>
      <c r="E720">
        <v>0.18079999999999999</v>
      </c>
      <c r="F720">
        <v>1667097.37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0.56420233463034852</v>
      </c>
      <c r="Q720">
        <f t="shared" si="1000"/>
        <v>940580.22821011406</v>
      </c>
      <c r="R720">
        <f t="shared" si="1001"/>
        <v>8912539.4809676893</v>
      </c>
      <c r="S720">
        <f t="shared" si="1002"/>
        <v>89.125394809676891</v>
      </c>
      <c r="T720">
        <f t="shared" si="1003"/>
        <v>8.9125394809676892E-2</v>
      </c>
    </row>
    <row r="721" spans="1:20" x14ac:dyDescent="0.25">
      <c r="A721" s="5">
        <v>43872</v>
      </c>
      <c r="B721">
        <v>0.156</v>
      </c>
      <c r="C721">
        <v>0.161</v>
      </c>
      <c r="D721">
        <v>0.15090000000000001</v>
      </c>
      <c r="E721">
        <v>0.16070000000000001</v>
      </c>
      <c r="F721">
        <v>591869.86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0.94059405940594165</v>
      </c>
      <c r="Q721">
        <f t="shared" si="1000"/>
        <v>556709.27425742638</v>
      </c>
      <c r="R721">
        <f t="shared" si="1001"/>
        <v>7971959.2527575754</v>
      </c>
      <c r="S721">
        <f t="shared" si="1002"/>
        <v>79.719592527575756</v>
      </c>
      <c r="T721">
        <f t="shared" si="1003"/>
        <v>7.9719592527575753E-2</v>
      </c>
    </row>
    <row r="722" spans="1:20" x14ac:dyDescent="0.25">
      <c r="A722" s="5">
        <v>43871</v>
      </c>
      <c r="B722">
        <v>0.16209999999999999</v>
      </c>
      <c r="C722">
        <v>0.1623</v>
      </c>
      <c r="D722">
        <v>0.14879999999999999</v>
      </c>
      <c r="E722">
        <v>0.15570000000000001</v>
      </c>
      <c r="F722">
        <v>1375033.79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2.2222222222223868E-2</v>
      </c>
      <c r="Q722">
        <f t="shared" si="1000"/>
        <v>30556.306444446709</v>
      </c>
      <c r="R722">
        <f t="shared" si="1001"/>
        <v>7415249.9785001492</v>
      </c>
      <c r="S722">
        <f t="shared" si="1002"/>
        <v>74.152499785001496</v>
      </c>
      <c r="T722">
        <f t="shared" si="1003"/>
        <v>7.4152499785001491E-2</v>
      </c>
    </row>
    <row r="723" spans="1:20" x14ac:dyDescent="0.25">
      <c r="A723" s="5">
        <v>43870</v>
      </c>
      <c r="B723">
        <v>0.158</v>
      </c>
      <c r="C723">
        <v>0.16439999999999999</v>
      </c>
      <c r="D723">
        <v>0.15770000000000001</v>
      </c>
      <c r="E723">
        <v>0.16209999999999999</v>
      </c>
      <c r="F723">
        <v>532544.73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0.31343283582089493</v>
      </c>
      <c r="Q723">
        <f t="shared" si="1000"/>
        <v>166917.00492537281</v>
      </c>
      <c r="R723">
        <f t="shared" si="1001"/>
        <v>7384693.6720557027</v>
      </c>
      <c r="S723">
        <f t="shared" si="1002"/>
        <v>73.846936720557025</v>
      </c>
      <c r="T723">
        <f t="shared" si="1003"/>
        <v>7.3846936720557019E-2</v>
      </c>
    </row>
    <row r="724" spans="1:20" x14ac:dyDescent="0.25">
      <c r="A724" s="5">
        <v>43869</v>
      </c>
      <c r="B724">
        <v>0.16139999999999999</v>
      </c>
      <c r="C724">
        <v>0.16220000000000001</v>
      </c>
      <c r="D724">
        <v>0.1515</v>
      </c>
      <c r="E724">
        <v>0.1565</v>
      </c>
      <c r="F724">
        <v>301986.14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-6.5420560747664031E-2</v>
      </c>
      <c r="Q724">
        <f t="shared" si="1000"/>
        <v>-19756.102616822576</v>
      </c>
      <c r="R724">
        <f t="shared" si="1001"/>
        <v>7217776.6671303296</v>
      </c>
      <c r="S724">
        <f t="shared" si="1002"/>
        <v>72.177766671303303</v>
      </c>
      <c r="T724">
        <f t="shared" si="1003"/>
        <v>7.2177766671303309E-2</v>
      </c>
    </row>
    <row r="725" spans="1:20" x14ac:dyDescent="0.25">
      <c r="A725" s="5">
        <v>43868</v>
      </c>
      <c r="B725">
        <v>0.16089999999999999</v>
      </c>
      <c r="C725">
        <v>0.16700000000000001</v>
      </c>
      <c r="D725">
        <v>0.1542</v>
      </c>
      <c r="E725">
        <v>0.16139999999999999</v>
      </c>
      <c r="F725">
        <v>622111.18000000005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0.12499999999999702</v>
      </c>
      <c r="Q725">
        <f t="shared" si="1000"/>
        <v>77763.897499998144</v>
      </c>
      <c r="R725">
        <f t="shared" si="1001"/>
        <v>7237532.769747152</v>
      </c>
      <c r="S725">
        <f t="shared" si="1002"/>
        <v>72.375327697471519</v>
      </c>
      <c r="T725">
        <f t="shared" si="1003"/>
        <v>7.2375327697471514E-2</v>
      </c>
    </row>
    <row r="726" spans="1:20" x14ac:dyDescent="0.25">
      <c r="A726" s="5">
        <v>43867</v>
      </c>
      <c r="B726">
        <v>0.1585</v>
      </c>
      <c r="C726">
        <v>0.1641</v>
      </c>
      <c r="D726">
        <v>0.1537</v>
      </c>
      <c r="E726">
        <v>0.16089999999999999</v>
      </c>
      <c r="F726">
        <v>1025893.62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0.38461538461538258</v>
      </c>
      <c r="Q726">
        <f t="shared" si="1000"/>
        <v>394574.46923076716</v>
      </c>
      <c r="R726">
        <f t="shared" si="1001"/>
        <v>7159768.8722471539</v>
      </c>
      <c r="S726">
        <f t="shared" si="1002"/>
        <v>71.597688722471545</v>
      </c>
      <c r="T726">
        <f t="shared" si="1003"/>
        <v>7.1597688722471547E-2</v>
      </c>
    </row>
    <row r="727" spans="1:20" x14ac:dyDescent="0.25">
      <c r="A727" s="5">
        <v>43866</v>
      </c>
      <c r="B727">
        <v>0.15390000000000001</v>
      </c>
      <c r="C727">
        <v>0.16</v>
      </c>
      <c r="D727">
        <v>0.15</v>
      </c>
      <c r="E727">
        <v>0.15840000000000001</v>
      </c>
      <c r="F727">
        <v>470584.92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0.68000000000000227</v>
      </c>
      <c r="Q727">
        <f t="shared" si="1000"/>
        <v>319997.74560000107</v>
      </c>
      <c r="R727">
        <f t="shared" si="1001"/>
        <v>6765194.4030163866</v>
      </c>
      <c r="S727">
        <f t="shared" si="1002"/>
        <v>67.651944030163861</v>
      </c>
      <c r="T727">
        <f t="shared" si="1003"/>
        <v>6.7651944030163863E-2</v>
      </c>
    </row>
    <row r="728" spans="1:20" x14ac:dyDescent="0.25">
      <c r="A728" s="5">
        <v>43865</v>
      </c>
      <c r="B728">
        <v>0.1452</v>
      </c>
      <c r="C728">
        <v>0.1542</v>
      </c>
      <c r="D728">
        <v>0.1419</v>
      </c>
      <c r="E728">
        <v>0.15290000000000001</v>
      </c>
      <c r="F728">
        <v>649621.37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0.78861788617886264</v>
      </c>
      <c r="Q728">
        <f t="shared" si="1000"/>
        <v>512303.03162601683</v>
      </c>
      <c r="R728">
        <f t="shared" si="1001"/>
        <v>6445196.6574163856</v>
      </c>
      <c r="S728">
        <f t="shared" si="1002"/>
        <v>64.451966574163862</v>
      </c>
      <c r="T728">
        <f t="shared" si="1003"/>
        <v>6.4451966574163869E-2</v>
      </c>
    </row>
    <row r="729" spans="1:20" x14ac:dyDescent="0.25">
      <c r="A729" s="5">
        <v>43864</v>
      </c>
      <c r="B729">
        <v>0.1409</v>
      </c>
      <c r="C729">
        <v>0.14849999999999999</v>
      </c>
      <c r="D729">
        <v>0.14000000000000001</v>
      </c>
      <c r="E729">
        <v>0.14399999999999999</v>
      </c>
      <c r="F729">
        <v>722666.99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-5.8823529411768161E-2</v>
      </c>
      <c r="Q729">
        <f t="shared" si="1000"/>
        <v>-42509.822941178965</v>
      </c>
      <c r="R729">
        <f t="shared" si="1001"/>
        <v>5932893.6257903688</v>
      </c>
      <c r="S729">
        <f t="shared" si="1002"/>
        <v>59.328936257903685</v>
      </c>
      <c r="T729">
        <f t="shared" si="1003"/>
        <v>5.9328936257903683E-2</v>
      </c>
    </row>
    <row r="730" spans="1:20" x14ac:dyDescent="0.25">
      <c r="A730" s="5">
        <v>43863</v>
      </c>
      <c r="B730">
        <v>0.14050000000000001</v>
      </c>
      <c r="C730">
        <v>0.14610000000000001</v>
      </c>
      <c r="D730">
        <v>0.13639999999999999</v>
      </c>
      <c r="E730">
        <v>0.1419</v>
      </c>
      <c r="F730">
        <v>461260.99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0.13402061855670039</v>
      </c>
      <c r="Q730">
        <f t="shared" si="1000"/>
        <v>61818.48319587599</v>
      </c>
      <c r="R730">
        <f t="shared" si="1001"/>
        <v>5975403.4487315482</v>
      </c>
      <c r="S730">
        <f t="shared" si="1002"/>
        <v>59.754034487315479</v>
      </c>
      <c r="T730">
        <f t="shared" si="1003"/>
        <v>5.9754034487315477E-2</v>
      </c>
    </row>
    <row r="731" spans="1:20" x14ac:dyDescent="0.25">
      <c r="A731" s="5">
        <v>43862</v>
      </c>
      <c r="B731">
        <v>0.1429</v>
      </c>
      <c r="C731">
        <v>0.14299999999999999</v>
      </c>
      <c r="D731">
        <v>0.13469999999999999</v>
      </c>
      <c r="E731">
        <v>0.1404</v>
      </c>
      <c r="F731">
        <v>459985.37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0.37349397590361672</v>
      </c>
      <c r="Q731">
        <f t="shared" si="1000"/>
        <v>171801.76469879621</v>
      </c>
      <c r="R731">
        <f t="shared" si="1001"/>
        <v>5913584.9655356724</v>
      </c>
      <c r="S731">
        <f t="shared" si="1002"/>
        <v>59.135849655356722</v>
      </c>
      <c r="T731">
        <f t="shared" si="1003"/>
        <v>5.9135849655356724E-2</v>
      </c>
    </row>
    <row r="732" spans="1:20" x14ac:dyDescent="0.25">
      <c r="A732" s="5">
        <v>43861</v>
      </c>
      <c r="B732">
        <v>0.12379999999999999</v>
      </c>
      <c r="C732">
        <v>0.1447</v>
      </c>
      <c r="D732">
        <v>0.1225</v>
      </c>
      <c r="E732">
        <v>0.1429</v>
      </c>
      <c r="F732">
        <v>2943394.86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0.83783783783783816</v>
      </c>
      <c r="Q732">
        <f t="shared" si="1000"/>
        <v>2466087.5854054061</v>
      </c>
      <c r="R732">
        <f t="shared" si="1001"/>
        <v>5741783.2008368764</v>
      </c>
      <c r="S732">
        <f t="shared" si="1002"/>
        <v>57.417832008368762</v>
      </c>
      <c r="T732">
        <f t="shared" si="1003"/>
        <v>5.7417832008368759E-2</v>
      </c>
    </row>
    <row r="733" spans="1:20" x14ac:dyDescent="0.25">
      <c r="A733" s="5">
        <v>43860</v>
      </c>
      <c r="B733">
        <v>0.1157</v>
      </c>
      <c r="C733">
        <v>0.126</v>
      </c>
      <c r="D733">
        <v>0.114</v>
      </c>
      <c r="E733">
        <v>0.1244</v>
      </c>
      <c r="F733">
        <v>2334263.71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0.73333333333333262</v>
      </c>
      <c r="Q733">
        <f t="shared" si="1000"/>
        <v>1711793.3873333316</v>
      </c>
      <c r="R733">
        <f t="shared" si="1001"/>
        <v>3275695.6154314699</v>
      </c>
      <c r="S733">
        <f t="shared" si="1002"/>
        <v>32.7569561543147</v>
      </c>
      <c r="T733">
        <f t="shared" si="1003"/>
        <v>3.2756956154314704E-2</v>
      </c>
    </row>
    <row r="734" spans="1:20" x14ac:dyDescent="0.25">
      <c r="A734" s="5">
        <v>43859</v>
      </c>
      <c r="B734">
        <v>0.1087</v>
      </c>
      <c r="C734">
        <v>0.1217</v>
      </c>
      <c r="D734">
        <v>0.107</v>
      </c>
      <c r="E734">
        <v>0.1157</v>
      </c>
      <c r="F734">
        <v>2442502.13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0.18367346938775464</v>
      </c>
      <c r="Q734">
        <f t="shared" si="1000"/>
        <v>448622.84020408051</v>
      </c>
      <c r="R734">
        <f t="shared" si="1001"/>
        <v>1563902.2280981382</v>
      </c>
      <c r="S734">
        <f t="shared" si="1002"/>
        <v>15.639022280981383</v>
      </c>
      <c r="T734">
        <f t="shared" si="1003"/>
        <v>1.5639022280981383E-2</v>
      </c>
    </row>
    <row r="735" spans="1:20" x14ac:dyDescent="0.25">
      <c r="A735" s="5">
        <v>43858</v>
      </c>
      <c r="B735">
        <v>0.10580000000000001</v>
      </c>
      <c r="C735">
        <v>0.10970000000000001</v>
      </c>
      <c r="D735">
        <v>0.1046</v>
      </c>
      <c r="E735">
        <v>0.10829999999999999</v>
      </c>
      <c r="F735">
        <v>1532627.5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0.4509803921568587</v>
      </c>
      <c r="Q735">
        <f t="shared" si="1000"/>
        <v>691184.950980386</v>
      </c>
      <c r="R735">
        <f t="shared" si="1001"/>
        <v>1115279.3878940577</v>
      </c>
      <c r="S735">
        <f t="shared" si="1002"/>
        <v>11.152793878940576</v>
      </c>
      <c r="T735">
        <f t="shared" si="1003"/>
        <v>1.1152793878940576E-2</v>
      </c>
    </row>
    <row r="736" spans="1:20" x14ac:dyDescent="0.25">
      <c r="A736" s="5">
        <v>43857</v>
      </c>
      <c r="B736">
        <v>0.1053</v>
      </c>
      <c r="C736">
        <v>0.1069</v>
      </c>
      <c r="D736">
        <v>0.104</v>
      </c>
      <c r="E736">
        <v>0.10580000000000001</v>
      </c>
      <c r="F736">
        <v>372456.64</v>
      </c>
      <c r="G736">
        <v>0</v>
      </c>
      <c r="L736" t="s">
        <v>7</v>
      </c>
      <c r="M736" t="s">
        <v>8</v>
      </c>
      <c r="N736" t="s">
        <v>8</v>
      </c>
      <c r="P736">
        <f t="shared" si="999"/>
        <v>0.24137931034483451</v>
      </c>
      <c r="Q736">
        <f t="shared" si="1000"/>
        <v>89903.32689655431</v>
      </c>
      <c r="R736">
        <f t="shared" si="1001"/>
        <v>424094.43691367179</v>
      </c>
      <c r="S736">
        <f t="shared" si="1002"/>
        <v>4.2409443691367175</v>
      </c>
      <c r="T736">
        <f t="shared" si="1003"/>
        <v>4.2409443691367177E-3</v>
      </c>
    </row>
    <row r="737" spans="1:20" x14ac:dyDescent="0.25">
      <c r="A737" s="5">
        <v>43856</v>
      </c>
      <c r="B737">
        <v>0.1038</v>
      </c>
      <c r="C737">
        <v>0.106</v>
      </c>
      <c r="D737">
        <v>0.1031</v>
      </c>
      <c r="E737">
        <v>0.10539999999999999</v>
      </c>
      <c r="F737">
        <v>1254564.71</v>
      </c>
      <c r="G737">
        <v>0</v>
      </c>
      <c r="L737" t="s">
        <v>7</v>
      </c>
      <c r="M737" t="s">
        <v>8</v>
      </c>
      <c r="N737" t="s">
        <v>8</v>
      </c>
      <c r="P737">
        <f t="shared" si="999"/>
        <v>0.58620689655172187</v>
      </c>
      <c r="Q737">
        <f t="shared" si="1000"/>
        <v>735434.48517241096</v>
      </c>
      <c r="R737">
        <f t="shared" si="1001"/>
        <v>334191.11001711746</v>
      </c>
      <c r="S737">
        <f t="shared" si="1002"/>
        <v>3.3419111001711745</v>
      </c>
      <c r="T737">
        <f t="shared" si="1003"/>
        <v>3.3419111001711747E-3</v>
      </c>
    </row>
    <row r="738" spans="1:20" x14ac:dyDescent="0.25">
      <c r="A738" s="5">
        <v>43855</v>
      </c>
      <c r="B738">
        <v>0.1048</v>
      </c>
      <c r="C738">
        <v>0.10580000000000001</v>
      </c>
      <c r="D738">
        <v>0.10290000000000001</v>
      </c>
      <c r="E738">
        <v>0.1037</v>
      </c>
      <c r="F738">
        <v>507390.52</v>
      </c>
      <c r="G738">
        <v>0</v>
      </c>
      <c r="L738" t="s">
        <v>7</v>
      </c>
      <c r="M738" t="s">
        <v>8</v>
      </c>
      <c r="N738" t="s">
        <v>8</v>
      </c>
      <c r="P738">
        <f t="shared" si="999"/>
        <v>-0.4482758620689688</v>
      </c>
      <c r="Q738">
        <f t="shared" si="1000"/>
        <v>-227450.92275862236</v>
      </c>
      <c r="R738">
        <f t="shared" si="1001"/>
        <v>-401243.3751552935</v>
      </c>
      <c r="S738">
        <f t="shared" si="1002"/>
        <v>-4.0124337515529351</v>
      </c>
      <c r="T738">
        <f t="shared" si="1003"/>
        <v>-4.0124337515529355E-3</v>
      </c>
    </row>
    <row r="739" spans="1:20" x14ac:dyDescent="0.25">
      <c r="A739" s="5">
        <v>43854</v>
      </c>
      <c r="B739">
        <v>0.108</v>
      </c>
      <c r="C739">
        <v>0.1085</v>
      </c>
      <c r="D739">
        <v>0.1024</v>
      </c>
      <c r="E739">
        <v>0.104</v>
      </c>
      <c r="F739">
        <v>920756.14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-0.47540983606557646</v>
      </c>
      <c r="Q739">
        <f t="shared" si="1000"/>
        <v>-437736.52557377296</v>
      </c>
      <c r="R739">
        <f t="shared" si="1001"/>
        <v>-173792.45239667117</v>
      </c>
      <c r="S739">
        <f t="shared" si="1002"/>
        <v>-1.7379245239667118</v>
      </c>
      <c r="T739">
        <f t="shared" si="1003"/>
        <v>-1.7379245239667119E-3</v>
      </c>
    </row>
    <row r="740" spans="1:20" x14ac:dyDescent="0.25">
      <c r="A740" s="5">
        <v>43853</v>
      </c>
      <c r="B740">
        <v>0.1069</v>
      </c>
      <c r="C740">
        <v>0.1103</v>
      </c>
      <c r="D740">
        <v>0.1036</v>
      </c>
      <c r="E740">
        <v>0.1087</v>
      </c>
      <c r="F740">
        <v>1625948.9</v>
      </c>
      <c r="G740">
        <v>0</v>
      </c>
      <c r="L740" t="s">
        <v>8</v>
      </c>
      <c r="M740" t="s">
        <v>8</v>
      </c>
      <c r="N740" t="s">
        <v>8</v>
      </c>
      <c r="P740">
        <f t="shared" si="999"/>
        <v>0.52238805970149527</v>
      </c>
      <c r="Q740">
        <f t="shared" si="1000"/>
        <v>849376.29104478052</v>
      </c>
      <c r="R740">
        <f t="shared" si="1001"/>
        <v>263944.07317710179</v>
      </c>
      <c r="S740">
        <f t="shared" si="1002"/>
        <v>2.639440731771018</v>
      </c>
      <c r="T740">
        <f t="shared" si="1003"/>
        <v>2.6394407317710182E-3</v>
      </c>
    </row>
    <row r="741" spans="1:20" x14ac:dyDescent="0.25">
      <c r="A741" s="5">
        <v>43852</v>
      </c>
      <c r="B741">
        <v>0.10489999999999999</v>
      </c>
      <c r="C741">
        <v>0.107</v>
      </c>
      <c r="D741">
        <v>0.10340000000000001</v>
      </c>
      <c r="E741">
        <v>0.107</v>
      </c>
      <c r="F741">
        <v>1197540.22</v>
      </c>
      <c r="G741">
        <v>0</v>
      </c>
      <c r="L741" t="s">
        <v>7</v>
      </c>
      <c r="M741" t="s">
        <v>8</v>
      </c>
      <c r="N741" t="s">
        <v>8</v>
      </c>
      <c r="P741">
        <f t="shared" si="999"/>
        <v>1</v>
      </c>
      <c r="Q741">
        <f t="shared" si="1000"/>
        <v>1197540.22</v>
      </c>
      <c r="R741">
        <f t="shared" si="1001"/>
        <v>-585432.21786767873</v>
      </c>
      <c r="S741">
        <f t="shared" si="1002"/>
        <v>-5.8543221786767869</v>
      </c>
      <c r="T741">
        <f t="shared" si="1003"/>
        <v>-5.8543221786767873E-3</v>
      </c>
    </row>
    <row r="742" spans="1:20" x14ac:dyDescent="0.25">
      <c r="A742" s="5">
        <v>43851</v>
      </c>
      <c r="B742">
        <v>0.1047</v>
      </c>
      <c r="C742">
        <v>0.1076</v>
      </c>
      <c r="D742">
        <v>0.1033</v>
      </c>
      <c r="E742">
        <v>0.1062</v>
      </c>
      <c r="F742">
        <v>686340.93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0.34883720930232603</v>
      </c>
      <c r="Q742">
        <f t="shared" si="1000"/>
        <v>239421.25465116312</v>
      </c>
      <c r="R742">
        <f t="shared" si="1001"/>
        <v>-1782972.4378676787</v>
      </c>
      <c r="S742">
        <f t="shared" si="1002"/>
        <v>-17.829724378676787</v>
      </c>
      <c r="T742">
        <f t="shared" si="1003"/>
        <v>-1.7829724378676786E-2</v>
      </c>
    </row>
    <row r="743" spans="1:20" x14ac:dyDescent="0.25">
      <c r="A743" s="5">
        <v>43850</v>
      </c>
      <c r="B743">
        <v>0.107</v>
      </c>
      <c r="C743">
        <v>0.1072</v>
      </c>
      <c r="D743">
        <v>0.10199999999999999</v>
      </c>
      <c r="E743">
        <v>0.1043</v>
      </c>
      <c r="F743">
        <v>765146.71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-0.11538461538461313</v>
      </c>
      <c r="Q743">
        <f t="shared" si="1000"/>
        <v>-88286.158846152117</v>
      </c>
      <c r="R743">
        <f t="shared" si="1001"/>
        <v>-2022393.6925188419</v>
      </c>
      <c r="S743">
        <f t="shared" si="1002"/>
        <v>-20.223936925188418</v>
      </c>
      <c r="T743">
        <f t="shared" si="1003"/>
        <v>-2.0223936925188417E-2</v>
      </c>
    </row>
    <row r="744" spans="1:20" x14ac:dyDescent="0.25">
      <c r="A744" s="5">
        <v>43849</v>
      </c>
      <c r="B744">
        <v>0.11169999999999999</v>
      </c>
      <c r="C744">
        <v>0.115</v>
      </c>
      <c r="D744">
        <v>0.10249999999999999</v>
      </c>
      <c r="E744">
        <v>0.1069</v>
      </c>
      <c r="F744">
        <v>873631.79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-0.29600000000000043</v>
      </c>
      <c r="Q744">
        <f t="shared" si="1000"/>
        <v>-258595.00984000039</v>
      </c>
      <c r="R744">
        <f t="shared" si="1001"/>
        <v>-1934107.5336726899</v>
      </c>
      <c r="S744">
        <f t="shared" si="1002"/>
        <v>-19.341075336726899</v>
      </c>
      <c r="T744">
        <f t="shared" si="1003"/>
        <v>-1.9341075336726899E-2</v>
      </c>
    </row>
    <row r="745" spans="1:20" x14ac:dyDescent="0.25">
      <c r="A745" s="5">
        <v>43848</v>
      </c>
      <c r="B745">
        <v>0.11700000000000001</v>
      </c>
      <c r="C745">
        <v>0.11749999999999999</v>
      </c>
      <c r="D745">
        <v>0.10970000000000001</v>
      </c>
      <c r="E745">
        <v>0.1128</v>
      </c>
      <c r="F745">
        <v>1198391.3500000001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-0.20512820512820598</v>
      </c>
      <c r="Q745">
        <f t="shared" si="1000"/>
        <v>-245823.86666666772</v>
      </c>
      <c r="R745">
        <f t="shared" si="1001"/>
        <v>-1675512.5238326895</v>
      </c>
      <c r="S745">
        <f t="shared" si="1002"/>
        <v>-16.755125238326894</v>
      </c>
      <c r="T745">
        <f t="shared" si="1003"/>
        <v>-1.6755125238326892E-2</v>
      </c>
    </row>
    <row r="746" spans="1:20" x14ac:dyDescent="0.25">
      <c r="A746" s="5">
        <v>43847</v>
      </c>
      <c r="B746">
        <v>0.1116</v>
      </c>
      <c r="C746">
        <v>0.11799999999999999</v>
      </c>
      <c r="D746">
        <v>0.1087</v>
      </c>
      <c r="E746">
        <v>0.11559999999999999</v>
      </c>
      <c r="F746">
        <v>1349310.82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0.483870967741935</v>
      </c>
      <c r="Q746">
        <f t="shared" si="1000"/>
        <v>652892.33225806395</v>
      </c>
      <c r="R746">
        <f t="shared" si="1001"/>
        <v>-1429688.6571660219</v>
      </c>
      <c r="S746">
        <f t="shared" si="1002"/>
        <v>-14.296886571660218</v>
      </c>
      <c r="T746">
        <f t="shared" si="1003"/>
        <v>-1.4296886571660219E-2</v>
      </c>
    </row>
    <row r="747" spans="1:20" x14ac:dyDescent="0.25">
      <c r="A747" s="5">
        <v>43846</v>
      </c>
      <c r="B747">
        <v>0.1149</v>
      </c>
      <c r="C747">
        <v>0.115</v>
      </c>
      <c r="D747">
        <v>0.1077</v>
      </c>
      <c r="E747">
        <v>0.1116</v>
      </c>
      <c r="F747">
        <v>1240269.21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6.8493150684931559E-2</v>
      </c>
      <c r="Q747">
        <f t="shared" si="1000"/>
        <v>84949.945890411022</v>
      </c>
      <c r="R747">
        <f t="shared" si="1001"/>
        <v>-2082580.9894240859</v>
      </c>
      <c r="S747">
        <f t="shared" si="1002"/>
        <v>-20.825809894240859</v>
      </c>
      <c r="T747">
        <f t="shared" si="1003"/>
        <v>-2.0825809894240859E-2</v>
      </c>
    </row>
    <row r="748" spans="1:20" x14ac:dyDescent="0.25">
      <c r="A748" s="5">
        <v>43845</v>
      </c>
      <c r="B748">
        <v>0.113</v>
      </c>
      <c r="C748">
        <v>0.1186</v>
      </c>
      <c r="D748">
        <v>0.1104</v>
      </c>
      <c r="E748">
        <v>0.1149</v>
      </c>
      <c r="F748">
        <v>2187020.9500000002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9.7560975609757211E-2</v>
      </c>
      <c r="Q748">
        <f t="shared" si="1000"/>
        <v>213367.89756097808</v>
      </c>
      <c r="R748">
        <f t="shared" si="1001"/>
        <v>-2167530.935314497</v>
      </c>
      <c r="S748">
        <f t="shared" si="1002"/>
        <v>-21.675309353144971</v>
      </c>
      <c r="T748">
        <f t="shared" si="1003"/>
        <v>-2.1675309353144972E-2</v>
      </c>
    </row>
    <row r="749" spans="1:20" x14ac:dyDescent="0.25">
      <c r="A749" s="5">
        <v>43844</v>
      </c>
      <c r="B749">
        <v>0.1027</v>
      </c>
      <c r="C749">
        <v>0.1159</v>
      </c>
      <c r="D749">
        <v>0.1016</v>
      </c>
      <c r="E749">
        <v>0.1132</v>
      </c>
      <c r="F749">
        <v>2437027.7799999998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0.62237762237762151</v>
      </c>
      <c r="Q749">
        <f t="shared" si="1000"/>
        <v>1516751.5553846131</v>
      </c>
      <c r="R749">
        <f t="shared" si="1001"/>
        <v>-2380898.8328754753</v>
      </c>
      <c r="S749">
        <f t="shared" si="1002"/>
        <v>-23.808988328754754</v>
      </c>
      <c r="T749">
        <f t="shared" si="1003"/>
        <v>-2.3808988328754756E-2</v>
      </c>
    </row>
    <row r="750" spans="1:20" x14ac:dyDescent="0.25">
      <c r="A750" s="5">
        <v>43843</v>
      </c>
      <c r="B750">
        <v>0.104</v>
      </c>
      <c r="C750">
        <v>0.1047</v>
      </c>
      <c r="D750">
        <v>0.1004</v>
      </c>
      <c r="E750">
        <v>0.1027</v>
      </c>
      <c r="F750">
        <v>652451</v>
      </c>
      <c r="G750">
        <v>0</v>
      </c>
      <c r="L750" t="s">
        <v>7</v>
      </c>
      <c r="M750" t="s">
        <v>7</v>
      </c>
      <c r="N750" t="s">
        <v>8</v>
      </c>
      <c r="P750">
        <f t="shared" si="999"/>
        <v>6.9767441860463922E-2</v>
      </c>
      <c r="Q750">
        <f t="shared" si="1000"/>
        <v>45519.83720930155</v>
      </c>
      <c r="R750">
        <f t="shared" si="1001"/>
        <v>-3897650.3882600884</v>
      </c>
      <c r="S750">
        <f t="shared" si="1002"/>
        <v>-38.976503882600881</v>
      </c>
      <c r="T750">
        <f t="shared" si="1003"/>
        <v>-3.8976503882600884E-2</v>
      </c>
    </row>
    <row r="751" spans="1:20" x14ac:dyDescent="0.25">
      <c r="A751" s="5">
        <v>43842</v>
      </c>
      <c r="B751">
        <v>0.10390000000000001</v>
      </c>
      <c r="C751">
        <v>0.109</v>
      </c>
      <c r="D751">
        <v>0.1024</v>
      </c>
      <c r="E751">
        <v>0.105</v>
      </c>
      <c r="F751">
        <v>881129.52</v>
      </c>
      <c r="G751">
        <v>0</v>
      </c>
      <c r="L751" t="s">
        <v>7</v>
      </c>
      <c r="M751" t="s">
        <v>7</v>
      </c>
      <c r="N751" t="s">
        <v>8</v>
      </c>
      <c r="P751">
        <f t="shared" si="999"/>
        <v>-0.21212121212121415</v>
      </c>
      <c r="Q751">
        <f t="shared" si="1000"/>
        <v>-186906.26181818362</v>
      </c>
      <c r="R751">
        <f t="shared" si="1001"/>
        <v>-3943170.2254693899</v>
      </c>
      <c r="S751">
        <f t="shared" si="1002"/>
        <v>-39.431702254693896</v>
      </c>
      <c r="T751">
        <f t="shared" si="1003"/>
        <v>-3.9431702254693897E-2</v>
      </c>
    </row>
    <row r="752" spans="1:20" x14ac:dyDescent="0.25">
      <c r="A752" s="5">
        <v>43841</v>
      </c>
      <c r="B752">
        <v>9.9599999999999994E-2</v>
      </c>
      <c r="C752">
        <v>0.11070000000000001</v>
      </c>
      <c r="D752">
        <v>9.8400000000000001E-2</v>
      </c>
      <c r="E752">
        <v>0.10390000000000001</v>
      </c>
      <c r="F752">
        <v>1936323.99</v>
      </c>
      <c r="G752">
        <v>0</v>
      </c>
      <c r="L752" t="s">
        <v>8</v>
      </c>
      <c r="M752" t="s">
        <v>7</v>
      </c>
      <c r="N752" t="s">
        <v>8</v>
      </c>
      <c r="P752">
        <f t="shared" si="999"/>
        <v>-0.1056910569105687</v>
      </c>
      <c r="Q752">
        <f t="shared" si="1000"/>
        <v>-204652.12902438946</v>
      </c>
      <c r="R752">
        <f t="shared" si="1001"/>
        <v>-3756263.9636512063</v>
      </c>
      <c r="S752">
        <f t="shared" si="1002"/>
        <v>-37.562639636512067</v>
      </c>
      <c r="T752">
        <f t="shared" si="1003"/>
        <v>-3.7562639636512067E-2</v>
      </c>
    </row>
    <row r="753" spans="1:20" x14ac:dyDescent="0.25">
      <c r="A753" s="5">
        <v>43840</v>
      </c>
      <c r="B753">
        <v>9.9099999999999994E-2</v>
      </c>
      <c r="C753">
        <v>0.10589999999999999</v>
      </c>
      <c r="D753">
        <v>9.6000000000000002E-2</v>
      </c>
      <c r="E753">
        <v>9.9599999999999994E-2</v>
      </c>
      <c r="F753">
        <v>1942064.94</v>
      </c>
      <c r="G753">
        <v>0</v>
      </c>
      <c r="L753" t="s">
        <v>7</v>
      </c>
      <c r="M753" t="s">
        <v>7</v>
      </c>
      <c r="N753" t="s">
        <v>8</v>
      </c>
      <c r="P753">
        <f t="shared" si="999"/>
        <v>-0.27272727272727376</v>
      </c>
      <c r="Q753">
        <f t="shared" si="1000"/>
        <v>-529654.07454545656</v>
      </c>
      <c r="R753">
        <f t="shared" si="1001"/>
        <v>-3551611.8346268167</v>
      </c>
      <c r="S753">
        <f t="shared" si="1002"/>
        <v>-35.516118346268165</v>
      </c>
      <c r="T753">
        <f t="shared" si="1003"/>
        <v>-3.5516118346268166E-2</v>
      </c>
    </row>
    <row r="754" spans="1:20" x14ac:dyDescent="0.25">
      <c r="A754" s="5">
        <v>43839</v>
      </c>
      <c r="B754">
        <v>0.1008</v>
      </c>
      <c r="C754">
        <v>0.11119999999999999</v>
      </c>
      <c r="D754">
        <v>9.4899999999999998E-2</v>
      </c>
      <c r="E754">
        <v>9.9099999999999994E-2</v>
      </c>
      <c r="F754">
        <v>2311954.0299999998</v>
      </c>
      <c r="G754">
        <v>0</v>
      </c>
      <c r="L754" t="s">
        <v>8</v>
      </c>
      <c r="M754" t="s">
        <v>7</v>
      </c>
      <c r="N754" t="s">
        <v>8</v>
      </c>
      <c r="P754">
        <f t="shared" si="999"/>
        <v>-0.48466257668711699</v>
      </c>
      <c r="Q754">
        <f t="shared" si="1000"/>
        <v>-1120517.5973619642</v>
      </c>
      <c r="R754">
        <f t="shared" si="1001"/>
        <v>-3021957.7600813601</v>
      </c>
      <c r="S754">
        <f t="shared" si="1002"/>
        <v>-30.219577600813601</v>
      </c>
      <c r="T754">
        <f t="shared" si="1003"/>
        <v>-3.0219577600813601E-2</v>
      </c>
    </row>
    <row r="755" spans="1:20" x14ac:dyDescent="0.25">
      <c r="A755" s="5">
        <v>43838</v>
      </c>
      <c r="B755">
        <v>9.9699999999999997E-2</v>
      </c>
      <c r="C755">
        <v>0.10639999999999999</v>
      </c>
      <c r="D755">
        <v>9.5299999999999996E-2</v>
      </c>
      <c r="E755">
        <v>0.1016</v>
      </c>
      <c r="F755">
        <v>1021732.66</v>
      </c>
      <c r="G755">
        <v>0</v>
      </c>
      <c r="L755" t="s">
        <v>7</v>
      </c>
      <c r="M755" t="s">
        <v>7</v>
      </c>
      <c r="N755" t="s">
        <v>8</v>
      </c>
      <c r="P755">
        <f t="shared" si="999"/>
        <v>0.13513513513513528</v>
      </c>
      <c r="Q755">
        <f t="shared" si="1000"/>
        <v>138071.98108108123</v>
      </c>
      <c r="R755">
        <f t="shared" si="1001"/>
        <v>-1901440.1627193962</v>
      </c>
      <c r="S755">
        <f t="shared" si="1002"/>
        <v>-19.014401627193962</v>
      </c>
      <c r="T755">
        <f t="shared" si="1003"/>
        <v>-1.9014401627193964E-2</v>
      </c>
    </row>
    <row r="756" spans="1:20" x14ac:dyDescent="0.25">
      <c r="A756" s="5">
        <v>43837</v>
      </c>
      <c r="B756">
        <v>0.1024</v>
      </c>
      <c r="C756">
        <v>0.1055</v>
      </c>
      <c r="D756">
        <v>9.8500000000000004E-2</v>
      </c>
      <c r="E756">
        <v>9.9699999999999997E-2</v>
      </c>
      <c r="F756">
        <v>673389.34</v>
      </c>
      <c r="G756">
        <v>0</v>
      </c>
      <c r="L756" t="s">
        <v>7</v>
      </c>
      <c r="M756" t="s">
        <v>7</v>
      </c>
      <c r="N756" t="s">
        <v>8</v>
      </c>
      <c r="P756">
        <f t="shared" si="999"/>
        <v>-0.65714285714285881</v>
      </c>
      <c r="Q756">
        <f t="shared" si="1000"/>
        <v>-442512.99485714396</v>
      </c>
      <c r="R756">
        <f t="shared" si="1001"/>
        <v>-2039512.1438004775</v>
      </c>
      <c r="S756">
        <f t="shared" si="1002"/>
        <v>-20.395121438004775</v>
      </c>
      <c r="T756">
        <f t="shared" si="1003"/>
        <v>-2.0395121438004774E-2</v>
      </c>
    </row>
    <row r="757" spans="1:20" x14ac:dyDescent="0.25">
      <c r="A757" s="5">
        <v>43836</v>
      </c>
      <c r="B757">
        <v>9.98E-2</v>
      </c>
      <c r="C757">
        <v>0.1066</v>
      </c>
      <c r="D757">
        <v>9.98E-2</v>
      </c>
      <c r="E757">
        <v>0.1024</v>
      </c>
      <c r="F757">
        <v>368682.82</v>
      </c>
      <c r="G757">
        <v>0</v>
      </c>
      <c r="L757" t="s">
        <v>8</v>
      </c>
      <c r="M757" t="s">
        <v>7</v>
      </c>
      <c r="N757" t="s">
        <v>8</v>
      </c>
      <c r="P757">
        <f t="shared" si="999"/>
        <v>-0.23529411764705738</v>
      </c>
      <c r="Q757">
        <f t="shared" si="1000"/>
        <v>-86748.898823528885</v>
      </c>
      <c r="R757">
        <f t="shared" si="1001"/>
        <v>-1596999.1489433337</v>
      </c>
      <c r="S757">
        <f t="shared" si="1002"/>
        <v>-15.969991489433337</v>
      </c>
      <c r="T757">
        <f t="shared" si="1003"/>
        <v>-1.5969991489433337E-2</v>
      </c>
    </row>
    <row r="758" spans="1:20" x14ac:dyDescent="0.25">
      <c r="A758" s="5">
        <v>43835</v>
      </c>
      <c r="B758">
        <v>9.8900000000000002E-2</v>
      </c>
      <c r="C758">
        <v>0.1017</v>
      </c>
      <c r="D758">
        <v>9.8400000000000001E-2</v>
      </c>
      <c r="E758">
        <v>9.98E-2</v>
      </c>
      <c r="F758">
        <v>429629.95</v>
      </c>
      <c r="G758">
        <v>0</v>
      </c>
      <c r="L758" t="s">
        <v>8</v>
      </c>
      <c r="M758" t="s">
        <v>7</v>
      </c>
      <c r="N758" t="s">
        <v>8</v>
      </c>
      <c r="P758">
        <f t="shared" si="999"/>
        <v>-0.15151515151515177</v>
      </c>
      <c r="Q758">
        <f t="shared" si="1000"/>
        <v>-65095.446969697077</v>
      </c>
      <c r="R758">
        <f t="shared" si="1001"/>
        <v>-1510250.2501198049</v>
      </c>
      <c r="S758">
        <f t="shared" si="1002"/>
        <v>-15.102502501198048</v>
      </c>
      <c r="T758">
        <f t="shared" si="1003"/>
        <v>-1.5102502501198049E-2</v>
      </c>
    </row>
    <row r="759" spans="1:20" x14ac:dyDescent="0.25">
      <c r="A759" s="5">
        <v>43834</v>
      </c>
      <c r="B759">
        <v>9.9500000000000005E-2</v>
      </c>
      <c r="C759">
        <v>0.1018</v>
      </c>
      <c r="D759">
        <v>9.8100000000000007E-2</v>
      </c>
      <c r="E759">
        <v>9.8100000000000007E-2</v>
      </c>
      <c r="F759">
        <v>328937.98</v>
      </c>
      <c r="G759">
        <v>0</v>
      </c>
      <c r="L759" t="s">
        <v>8</v>
      </c>
      <c r="M759" t="s">
        <v>7</v>
      </c>
      <c r="N759" t="s">
        <v>8</v>
      </c>
      <c r="P759">
        <f t="shared" si="999"/>
        <v>-1</v>
      </c>
      <c r="Q759">
        <f t="shared" si="1000"/>
        <v>-328937.98</v>
      </c>
      <c r="R759">
        <f t="shared" si="1001"/>
        <v>-1445154.8031501079</v>
      </c>
      <c r="S759">
        <f t="shared" si="1002"/>
        <v>-14.451548031501078</v>
      </c>
      <c r="T759">
        <f t="shared" si="1003"/>
        <v>-1.4451548031501078E-2</v>
      </c>
    </row>
    <row r="760" spans="1:20" x14ac:dyDescent="0.25">
      <c r="A760" s="5">
        <v>43833</v>
      </c>
      <c r="B760">
        <v>9.4799999999999995E-2</v>
      </c>
      <c r="C760">
        <v>0.1</v>
      </c>
      <c r="D760">
        <v>9.2600000000000002E-2</v>
      </c>
      <c r="E760">
        <v>9.9500000000000005E-2</v>
      </c>
      <c r="F760">
        <v>279769.31</v>
      </c>
      <c r="G760">
        <v>0</v>
      </c>
      <c r="L760" t="s">
        <v>7</v>
      </c>
      <c r="M760" t="s">
        <v>7</v>
      </c>
      <c r="N760" t="s">
        <v>8</v>
      </c>
      <c r="P760">
        <f t="shared" si="999"/>
        <v>0.8648648648648648</v>
      </c>
      <c r="Q760">
        <f t="shared" si="1000"/>
        <v>241962.64648648645</v>
      </c>
      <c r="R760">
        <f t="shared" si="1001"/>
        <v>-1116216.8231501079</v>
      </c>
      <c r="S760">
        <f t="shared" si="1002"/>
        <v>-11.162168231501079</v>
      </c>
      <c r="T760">
        <f t="shared" si="1003"/>
        <v>-1.1162168231501079E-2</v>
      </c>
    </row>
    <row r="761" spans="1:20" x14ac:dyDescent="0.25">
      <c r="A761" s="5">
        <v>43832</v>
      </c>
      <c r="B761">
        <v>9.6000000000000002E-2</v>
      </c>
      <c r="C761">
        <v>9.8400000000000001E-2</v>
      </c>
      <c r="D761">
        <v>9.2899999999999996E-2</v>
      </c>
      <c r="E761">
        <v>9.5000000000000001E-2</v>
      </c>
      <c r="F761">
        <v>656275.05000000005</v>
      </c>
      <c r="G761">
        <v>0</v>
      </c>
      <c r="L761" t="s">
        <v>7</v>
      </c>
      <c r="M761" t="s">
        <v>7</v>
      </c>
      <c r="N761" t="s">
        <v>8</v>
      </c>
      <c r="P761">
        <f t="shared" si="999"/>
        <v>-0.23636363636363536</v>
      </c>
      <c r="Q761">
        <f t="shared" si="1000"/>
        <v>-155119.55727272661</v>
      </c>
      <c r="R761">
        <f t="shared" si="1001"/>
        <v>-1358179.4696365944</v>
      </c>
      <c r="S761">
        <f t="shared" si="1002"/>
        <v>-13.581794696365945</v>
      </c>
      <c r="T761">
        <f t="shared" si="1003"/>
        <v>-1.3581794696365945E-2</v>
      </c>
    </row>
    <row r="762" spans="1:20" x14ac:dyDescent="0.25">
      <c r="A762" s="5">
        <v>43831</v>
      </c>
      <c r="B762">
        <v>9.5100000000000004E-2</v>
      </c>
      <c r="C762">
        <v>0.1009</v>
      </c>
      <c r="D762">
        <v>9.3799999999999994E-2</v>
      </c>
      <c r="E762">
        <v>9.5600000000000004E-2</v>
      </c>
      <c r="F762">
        <v>1063378.81</v>
      </c>
      <c r="G762">
        <v>0</v>
      </c>
      <c r="L762" t="s">
        <v>7</v>
      </c>
      <c r="M762" t="s">
        <v>7</v>
      </c>
      <c r="N762" t="s">
        <v>8</v>
      </c>
      <c r="P762">
        <f t="shared" si="999"/>
        <v>-0.49295774647887108</v>
      </c>
      <c r="Q762">
        <f t="shared" si="1000"/>
        <v>-524200.82183098362</v>
      </c>
      <c r="R762">
        <f t="shared" si="1001"/>
        <v>-1203059.9123638677</v>
      </c>
      <c r="S762">
        <f t="shared" si="1002"/>
        <v>-12.030599123638677</v>
      </c>
      <c r="T762">
        <f t="shared" si="1003"/>
        <v>-1.2030599123638677E-2</v>
      </c>
    </row>
    <row r="763" spans="1:20" x14ac:dyDescent="0.25">
      <c r="A763" s="5">
        <v>43830</v>
      </c>
      <c r="B763">
        <v>9.8900000000000002E-2</v>
      </c>
      <c r="C763">
        <v>9.9599999999999994E-2</v>
      </c>
      <c r="D763">
        <v>9.5000000000000001E-2</v>
      </c>
      <c r="E763">
        <v>9.5100000000000004E-2</v>
      </c>
      <c r="F763">
        <v>249719.58</v>
      </c>
      <c r="G763">
        <v>0</v>
      </c>
      <c r="L763" t="s">
        <v>7</v>
      </c>
      <c r="M763" t="s">
        <v>7</v>
      </c>
      <c r="N763" t="s">
        <v>8</v>
      </c>
      <c r="P763">
        <f t="shared" si="999"/>
        <v>-0.95652173913043348</v>
      </c>
      <c r="Q763">
        <f t="shared" si="1000"/>
        <v>-238862.2069565214</v>
      </c>
      <c r="R763">
        <f t="shared" si="1001"/>
        <v>-678859.090532884</v>
      </c>
      <c r="S763">
        <f t="shared" si="1002"/>
        <v>-6.7885909053288396</v>
      </c>
      <c r="T763">
        <f t="shared" si="1003"/>
        <v>-6.7885909053288394E-3</v>
      </c>
    </row>
    <row r="764" spans="1:20" x14ac:dyDescent="0.25">
      <c r="A764" s="5">
        <v>43829</v>
      </c>
      <c r="B764">
        <v>0.1008</v>
      </c>
      <c r="C764">
        <v>0.1012</v>
      </c>
      <c r="D764">
        <v>9.8900000000000002E-2</v>
      </c>
      <c r="E764">
        <v>9.9299999999999999E-2</v>
      </c>
      <c r="F764">
        <v>239236.85</v>
      </c>
      <c r="G764">
        <v>0</v>
      </c>
      <c r="L764" t="s">
        <v>7</v>
      </c>
      <c r="M764" t="s">
        <v>7</v>
      </c>
      <c r="N764" t="s">
        <v>8</v>
      </c>
      <c r="P764">
        <f t="shared" si="999"/>
        <v>-0.65217391304347982</v>
      </c>
      <c r="Q764">
        <f t="shared" si="1000"/>
        <v>-156024.03260869603</v>
      </c>
      <c r="R764">
        <f t="shared" si="1001"/>
        <v>-439996.88357636257</v>
      </c>
      <c r="S764">
        <f t="shared" si="1002"/>
        <v>-4.3999688357636257</v>
      </c>
      <c r="T764">
        <f t="shared" si="1003"/>
        <v>-4.3999688357636256E-3</v>
      </c>
    </row>
    <row r="765" spans="1:20" x14ac:dyDescent="0.25">
      <c r="A765" s="5">
        <v>43828</v>
      </c>
      <c r="B765">
        <v>9.9199999999999997E-2</v>
      </c>
      <c r="C765">
        <v>0.10199999999999999</v>
      </c>
      <c r="D765">
        <v>9.9199999999999997E-2</v>
      </c>
      <c r="E765">
        <v>0.1013</v>
      </c>
      <c r="F765">
        <v>108507.82</v>
      </c>
      <c r="G765">
        <v>0</v>
      </c>
      <c r="L765" t="s">
        <v>7</v>
      </c>
      <c r="M765" t="s">
        <v>7</v>
      </c>
      <c r="N765" t="s">
        <v>8</v>
      </c>
      <c r="P765">
        <f t="shared" si="999"/>
        <v>0.500000000000005</v>
      </c>
      <c r="Q765">
        <f t="shared" si="1000"/>
        <v>54253.910000000549</v>
      </c>
      <c r="R765">
        <f t="shared" si="1001"/>
        <v>-283972.85096766654</v>
      </c>
      <c r="S765">
        <f t="shared" si="1002"/>
        <v>-2.8397285096766653</v>
      </c>
      <c r="T765">
        <f t="shared" si="1003"/>
        <v>-2.8397285096766652E-3</v>
      </c>
    </row>
    <row r="766" spans="1:20" x14ac:dyDescent="0.25">
      <c r="A766" s="5">
        <v>43827</v>
      </c>
      <c r="B766">
        <v>0.1002</v>
      </c>
      <c r="C766">
        <v>0.10100000000000001</v>
      </c>
      <c r="D766">
        <v>9.8799999999999999E-2</v>
      </c>
      <c r="E766">
        <v>9.9599999999999994E-2</v>
      </c>
      <c r="F766">
        <v>288691.73</v>
      </c>
      <c r="G766">
        <v>0</v>
      </c>
      <c r="L766" t="s">
        <v>7</v>
      </c>
      <c r="M766" t="s">
        <v>7</v>
      </c>
      <c r="N766" t="s">
        <v>8</v>
      </c>
      <c r="P766">
        <f t="shared" si="999"/>
        <v>-0.27272727272727959</v>
      </c>
      <c r="Q766">
        <f t="shared" si="1000"/>
        <v>-78734.108181820164</v>
      </c>
      <c r="R766">
        <f t="shared" si="1001"/>
        <v>-338226.7609676671</v>
      </c>
      <c r="S766">
        <f t="shared" si="1002"/>
        <v>-3.3822676096766711</v>
      </c>
      <c r="T766">
        <f t="shared" si="1003"/>
        <v>-3.3822676096766711E-3</v>
      </c>
    </row>
    <row r="767" spans="1:20" x14ac:dyDescent="0.25">
      <c r="A767" s="5">
        <v>43826</v>
      </c>
      <c r="B767">
        <v>0.1018</v>
      </c>
      <c r="C767">
        <v>0.1033</v>
      </c>
      <c r="D767">
        <v>9.8900000000000002E-2</v>
      </c>
      <c r="E767">
        <v>0.10009999999999999</v>
      </c>
      <c r="F767">
        <v>354171.31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-0.45454545454545797</v>
      </c>
      <c r="Q767">
        <f t="shared" ref="Q767:Q830" si="1005">F767*P767</f>
        <v>-160986.9590909103</v>
      </c>
      <c r="R767">
        <f t="shared" ref="R767:R830" si="1006">R768+Q767</f>
        <v>-259492.65278584696</v>
      </c>
      <c r="S767">
        <f t="shared" ref="S767:S830" si="1007">R767/100000</f>
        <v>-2.5949265278584694</v>
      </c>
      <c r="T767">
        <f t="shared" ref="T767:T830" si="1008">S767/1000</f>
        <v>-2.5949265278584696E-3</v>
      </c>
    </row>
    <row r="768" spans="1:20" x14ac:dyDescent="0.25">
      <c r="A768" s="5">
        <v>43825</v>
      </c>
      <c r="B768">
        <v>0.1012</v>
      </c>
      <c r="C768">
        <v>0.10440000000000001</v>
      </c>
      <c r="D768">
        <v>9.9900000000000003E-2</v>
      </c>
      <c r="E768">
        <v>0.1016</v>
      </c>
      <c r="F768">
        <v>255981.09</v>
      </c>
      <c r="G768">
        <v>0</v>
      </c>
      <c r="L768" t="s">
        <v>7</v>
      </c>
      <c r="M768" t="s">
        <v>7</v>
      </c>
      <c r="N768" t="s">
        <v>8</v>
      </c>
      <c r="P768">
        <f t="shared" si="1004"/>
        <v>-0.24444444444444816</v>
      </c>
      <c r="Q768">
        <f t="shared" si="1005"/>
        <v>-62573.155333334282</v>
      </c>
      <c r="R768">
        <f t="shared" si="1006"/>
        <v>-98505.693694936665</v>
      </c>
      <c r="S768">
        <f t="shared" si="1007"/>
        <v>-0.98505693694936669</v>
      </c>
      <c r="T768">
        <f t="shared" si="1008"/>
        <v>-9.8505693694936661E-4</v>
      </c>
    </row>
    <row r="769" spans="1:20" x14ac:dyDescent="0.25">
      <c r="A769" s="5">
        <v>43824</v>
      </c>
      <c r="B769">
        <v>0.1046</v>
      </c>
      <c r="C769">
        <v>0.1046</v>
      </c>
      <c r="D769">
        <v>0.1008</v>
      </c>
      <c r="E769">
        <v>0.1014</v>
      </c>
      <c r="F769">
        <v>112355.26</v>
      </c>
      <c r="G769">
        <v>0</v>
      </c>
      <c r="L769" t="s">
        <v>7</v>
      </c>
      <c r="M769" t="s">
        <v>7</v>
      </c>
      <c r="N769" t="s">
        <v>8</v>
      </c>
      <c r="P769">
        <f t="shared" si="1004"/>
        <v>-0.6842105263157876</v>
      </c>
      <c r="Q769">
        <f t="shared" si="1005"/>
        <v>-76874.65157894716</v>
      </c>
      <c r="R769">
        <f t="shared" si="1006"/>
        <v>-35932.538361602376</v>
      </c>
      <c r="S769">
        <f t="shared" si="1007"/>
        <v>-0.35932538361602373</v>
      </c>
      <c r="T769">
        <f t="shared" si="1008"/>
        <v>-3.5932538361602373E-4</v>
      </c>
    </row>
    <row r="770" spans="1:20" x14ac:dyDescent="0.25">
      <c r="A770" s="5">
        <v>43823</v>
      </c>
      <c r="B770">
        <v>0.1017</v>
      </c>
      <c r="C770">
        <v>0.1056</v>
      </c>
      <c r="D770">
        <v>0.1007</v>
      </c>
      <c r="E770">
        <v>0.10440000000000001</v>
      </c>
      <c r="F770">
        <v>135144.48000000001</v>
      </c>
      <c r="G770">
        <v>0</v>
      </c>
      <c r="L770" t="s">
        <v>7</v>
      </c>
      <c r="M770" t="s">
        <v>7</v>
      </c>
      <c r="N770" t="s">
        <v>8</v>
      </c>
      <c r="P770">
        <f t="shared" si="1004"/>
        <v>0.51020408163265618</v>
      </c>
      <c r="Q770">
        <f t="shared" si="1005"/>
        <v>68951.265306122878</v>
      </c>
      <c r="R770">
        <f t="shared" si="1006"/>
        <v>40942.113217344784</v>
      </c>
      <c r="S770">
        <f t="shared" si="1007"/>
        <v>0.40942113217344783</v>
      </c>
      <c r="T770">
        <f t="shared" si="1008"/>
        <v>4.0942113217344784E-4</v>
      </c>
    </row>
    <row r="771" spans="1:20" x14ac:dyDescent="0.25">
      <c r="A771" s="5">
        <v>43822</v>
      </c>
      <c r="B771">
        <v>0.1045</v>
      </c>
      <c r="C771">
        <v>0.1079</v>
      </c>
      <c r="D771">
        <v>0.1007</v>
      </c>
      <c r="E771">
        <v>0.10100000000000001</v>
      </c>
      <c r="F771">
        <v>513868.31</v>
      </c>
      <c r="G771">
        <v>0</v>
      </c>
      <c r="L771" t="s">
        <v>7</v>
      </c>
      <c r="M771" t="s">
        <v>7</v>
      </c>
      <c r="N771" t="s">
        <v>8</v>
      </c>
      <c r="P771">
        <f t="shared" si="1004"/>
        <v>-0.9166666666666643</v>
      </c>
      <c r="Q771">
        <f t="shared" si="1005"/>
        <v>-471045.95083333214</v>
      </c>
      <c r="R771">
        <f t="shared" si="1006"/>
        <v>-28009.152088778093</v>
      </c>
      <c r="S771">
        <f t="shared" si="1007"/>
        <v>-0.28009152088778094</v>
      </c>
      <c r="T771">
        <f t="shared" si="1008"/>
        <v>-2.8009152088778093E-4</v>
      </c>
    </row>
    <row r="772" spans="1:20" x14ac:dyDescent="0.25">
      <c r="A772" s="5">
        <v>43821</v>
      </c>
      <c r="B772">
        <v>0.1028</v>
      </c>
      <c r="C772">
        <v>0.105</v>
      </c>
      <c r="D772">
        <v>0.1013</v>
      </c>
      <c r="E772">
        <v>0.1043</v>
      </c>
      <c r="F772">
        <v>768509.22</v>
      </c>
      <c r="G772">
        <v>0</v>
      </c>
      <c r="L772" t="s">
        <v>7</v>
      </c>
      <c r="M772" t="s">
        <v>7</v>
      </c>
      <c r="N772" t="s">
        <v>8</v>
      </c>
      <c r="P772">
        <f t="shared" si="1004"/>
        <v>0.62162162162162526</v>
      </c>
      <c r="Q772">
        <f t="shared" si="1005"/>
        <v>477721.94756757037</v>
      </c>
      <c r="R772">
        <f t="shared" si="1006"/>
        <v>443036.79874455405</v>
      </c>
      <c r="S772">
        <f t="shared" si="1007"/>
        <v>4.4303679874455408</v>
      </c>
      <c r="T772">
        <f t="shared" si="1008"/>
        <v>4.4303679874455404E-3</v>
      </c>
    </row>
    <row r="773" spans="1:20" x14ac:dyDescent="0.25">
      <c r="A773" s="5">
        <v>43820</v>
      </c>
      <c r="B773">
        <v>0.1079</v>
      </c>
      <c r="C773">
        <v>0.10879999999999999</v>
      </c>
      <c r="D773">
        <v>0.1023</v>
      </c>
      <c r="E773">
        <v>0.1028</v>
      </c>
      <c r="F773">
        <v>702981.18</v>
      </c>
      <c r="G773">
        <v>0</v>
      </c>
      <c r="L773" t="s">
        <v>7</v>
      </c>
      <c r="M773" t="s">
        <v>7</v>
      </c>
      <c r="N773" t="s">
        <v>8</v>
      </c>
      <c r="P773">
        <f t="shared" si="1004"/>
        <v>-0.84615384615384581</v>
      </c>
      <c r="Q773">
        <f t="shared" si="1005"/>
        <v>-594830.22923076898</v>
      </c>
      <c r="R773">
        <f t="shared" si="1006"/>
        <v>-34685.148823016323</v>
      </c>
      <c r="S773">
        <f t="shared" si="1007"/>
        <v>-0.34685148823016321</v>
      </c>
      <c r="T773">
        <f t="shared" si="1008"/>
        <v>-3.4685148823016318E-4</v>
      </c>
    </row>
    <row r="774" spans="1:20" x14ac:dyDescent="0.25">
      <c r="A774" s="5">
        <v>43819</v>
      </c>
      <c r="B774">
        <v>0.1104</v>
      </c>
      <c r="C774">
        <v>0.124</v>
      </c>
      <c r="D774">
        <v>0.1065</v>
      </c>
      <c r="E774">
        <v>0.1072</v>
      </c>
      <c r="F774">
        <v>1696066.55</v>
      </c>
      <c r="G774">
        <v>0</v>
      </c>
      <c r="L774" t="s">
        <v>7</v>
      </c>
      <c r="M774" t="s">
        <v>8</v>
      </c>
      <c r="N774" t="s">
        <v>8</v>
      </c>
      <c r="P774">
        <f t="shared" si="1004"/>
        <v>-0.91999999999999926</v>
      </c>
      <c r="Q774">
        <f t="shared" si="1005"/>
        <v>-1560381.2259999989</v>
      </c>
      <c r="R774">
        <f t="shared" si="1006"/>
        <v>560145.08040775266</v>
      </c>
      <c r="S774">
        <f t="shared" si="1007"/>
        <v>5.6014508040775262</v>
      </c>
      <c r="T774">
        <f t="shared" si="1008"/>
        <v>5.6014508040775259E-3</v>
      </c>
    </row>
    <row r="775" spans="1:20" x14ac:dyDescent="0.25">
      <c r="A775" s="5">
        <v>43818</v>
      </c>
      <c r="B775">
        <v>0.1069</v>
      </c>
      <c r="C775">
        <v>0.124</v>
      </c>
      <c r="D775">
        <v>0.1041</v>
      </c>
      <c r="E775">
        <v>0.1104</v>
      </c>
      <c r="F775">
        <v>2131652.2599999998</v>
      </c>
      <c r="G775">
        <v>0</v>
      </c>
      <c r="L775" t="s">
        <v>8</v>
      </c>
      <c r="M775" t="s">
        <v>8</v>
      </c>
      <c r="N775" t="s">
        <v>8</v>
      </c>
      <c r="P775">
        <f t="shared" si="1004"/>
        <v>-0.36683417085427139</v>
      </c>
      <c r="Q775">
        <f t="shared" si="1005"/>
        <v>-781962.88934673369</v>
      </c>
      <c r="R775">
        <f t="shared" si="1006"/>
        <v>2120526.3064077515</v>
      </c>
      <c r="S775">
        <f t="shared" si="1007"/>
        <v>21.205263064077513</v>
      </c>
      <c r="T775">
        <f t="shared" si="1008"/>
        <v>2.1205263064077513E-2</v>
      </c>
    </row>
    <row r="776" spans="1:20" x14ac:dyDescent="0.25">
      <c r="A776" s="5">
        <v>43817</v>
      </c>
      <c r="B776">
        <v>9.01E-2</v>
      </c>
      <c r="C776">
        <v>0.11219999999999999</v>
      </c>
      <c r="D776">
        <v>8.9399999999999993E-2</v>
      </c>
      <c r="E776">
        <v>0.107</v>
      </c>
      <c r="F776">
        <v>952363.49</v>
      </c>
      <c r="G776">
        <v>0</v>
      </c>
      <c r="L776" t="s">
        <v>8</v>
      </c>
      <c r="M776" t="s">
        <v>8</v>
      </c>
      <c r="N776" t="s">
        <v>7</v>
      </c>
      <c r="P776">
        <f t="shared" si="1004"/>
        <v>0.54385964912280738</v>
      </c>
      <c r="Q776">
        <f t="shared" si="1005"/>
        <v>517952.07350877224</v>
      </c>
      <c r="R776">
        <f t="shared" si="1006"/>
        <v>2902489.1957544852</v>
      </c>
      <c r="S776">
        <f t="shared" si="1007"/>
        <v>29.024891957544853</v>
      </c>
      <c r="T776">
        <f t="shared" si="1008"/>
        <v>2.9024891957544853E-2</v>
      </c>
    </row>
    <row r="777" spans="1:20" x14ac:dyDescent="0.25">
      <c r="A777" s="5">
        <v>43816</v>
      </c>
      <c r="B777">
        <v>9.5699999999999993E-2</v>
      </c>
      <c r="C777">
        <v>9.6500000000000002E-2</v>
      </c>
      <c r="D777">
        <v>8.8800000000000004E-2</v>
      </c>
      <c r="E777">
        <v>9.01E-2</v>
      </c>
      <c r="F777">
        <v>242709.1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-0.66233766233766345</v>
      </c>
      <c r="Q777">
        <f t="shared" si="1005"/>
        <v>-160755.37792207819</v>
      </c>
      <c r="R777">
        <f t="shared" si="1006"/>
        <v>2384537.1222457131</v>
      </c>
      <c r="S777">
        <f t="shared" si="1007"/>
        <v>23.845371222457132</v>
      </c>
      <c r="T777">
        <f t="shared" si="1008"/>
        <v>2.3845371222457133E-2</v>
      </c>
    </row>
    <row r="778" spans="1:20" x14ac:dyDescent="0.25">
      <c r="A778" s="5">
        <v>43815</v>
      </c>
      <c r="B778">
        <v>0.1017</v>
      </c>
      <c r="C778">
        <v>0.105</v>
      </c>
      <c r="D778">
        <v>9.4700000000000006E-2</v>
      </c>
      <c r="E778">
        <v>9.5699999999999993E-2</v>
      </c>
      <c r="F778">
        <v>445535.59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-0.80582524271844891</v>
      </c>
      <c r="Q778">
        <f t="shared" si="1005"/>
        <v>-359023.82495145738</v>
      </c>
      <c r="R778">
        <f t="shared" si="1006"/>
        <v>2545292.5001677913</v>
      </c>
      <c r="S778">
        <f t="shared" si="1007"/>
        <v>25.452925001677912</v>
      </c>
      <c r="T778">
        <f t="shared" si="1008"/>
        <v>2.5452925001677913E-2</v>
      </c>
    </row>
    <row r="779" spans="1:20" x14ac:dyDescent="0.25">
      <c r="A779" s="5">
        <v>43814</v>
      </c>
      <c r="B779">
        <v>0.1014</v>
      </c>
      <c r="C779">
        <v>0.1048</v>
      </c>
      <c r="D779">
        <v>0.10009999999999999</v>
      </c>
      <c r="E779">
        <v>0.1026</v>
      </c>
      <c r="F779">
        <v>95163.42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6.3829787234041299E-2</v>
      </c>
      <c r="Q779">
        <f t="shared" si="1005"/>
        <v>6074.2608510637101</v>
      </c>
      <c r="R779">
        <f t="shared" si="1006"/>
        <v>2904316.3251192486</v>
      </c>
      <c r="S779">
        <f t="shared" si="1007"/>
        <v>29.043163251192485</v>
      </c>
      <c r="T779">
        <f t="shared" si="1008"/>
        <v>2.9043163251192484E-2</v>
      </c>
    </row>
    <row r="780" spans="1:20" x14ac:dyDescent="0.25">
      <c r="A780" s="5">
        <v>43813</v>
      </c>
      <c r="B780">
        <v>0.1046</v>
      </c>
      <c r="C780">
        <v>0.10680000000000001</v>
      </c>
      <c r="D780">
        <v>9.8100000000000007E-2</v>
      </c>
      <c r="E780">
        <v>0.10050000000000001</v>
      </c>
      <c r="F780">
        <v>284546.28000000003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-0.44827586206896564</v>
      </c>
      <c r="Q780">
        <f t="shared" si="1005"/>
        <v>-127555.22896551729</v>
      </c>
      <c r="R780">
        <f t="shared" si="1006"/>
        <v>2898242.0642681848</v>
      </c>
      <c r="S780">
        <f t="shared" si="1007"/>
        <v>28.982420642681848</v>
      </c>
      <c r="T780">
        <f t="shared" si="1008"/>
        <v>2.8982420642681847E-2</v>
      </c>
    </row>
    <row r="781" spans="1:20" x14ac:dyDescent="0.25">
      <c r="A781" s="5">
        <v>43812</v>
      </c>
      <c r="B781">
        <v>0.10050000000000001</v>
      </c>
      <c r="C781">
        <v>0.1085</v>
      </c>
      <c r="D781">
        <v>0.10050000000000001</v>
      </c>
      <c r="E781">
        <v>0.1046</v>
      </c>
      <c r="F781">
        <v>195757.53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2.4999999999999002E-2</v>
      </c>
      <c r="Q781">
        <f t="shared" si="1005"/>
        <v>4893.9382499998046</v>
      </c>
      <c r="R781">
        <f t="shared" si="1006"/>
        <v>3025797.293233702</v>
      </c>
      <c r="S781">
        <f t="shared" si="1007"/>
        <v>30.257972932337019</v>
      </c>
      <c r="T781">
        <f t="shared" si="1008"/>
        <v>3.0257972932337018E-2</v>
      </c>
    </row>
    <row r="782" spans="1:20" x14ac:dyDescent="0.25">
      <c r="A782" s="5">
        <v>43811</v>
      </c>
      <c r="B782">
        <v>0.1033</v>
      </c>
      <c r="C782">
        <v>0.105</v>
      </c>
      <c r="D782">
        <v>9.8400000000000001E-2</v>
      </c>
      <c r="E782">
        <v>0.10199999999999999</v>
      </c>
      <c r="F782">
        <v>301602.71000000002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9.0909090909089385E-2</v>
      </c>
      <c r="Q782">
        <f t="shared" si="1005"/>
        <v>27418.428181817722</v>
      </c>
      <c r="R782">
        <f t="shared" si="1006"/>
        <v>3020903.3549837023</v>
      </c>
      <c r="S782">
        <f t="shared" si="1007"/>
        <v>30.209033549837024</v>
      </c>
      <c r="T782">
        <f t="shared" si="1008"/>
        <v>3.0209033549837023E-2</v>
      </c>
    </row>
    <row r="783" spans="1:20" x14ac:dyDescent="0.25">
      <c r="A783" s="5">
        <v>43810</v>
      </c>
      <c r="B783">
        <v>0.10100000000000001</v>
      </c>
      <c r="C783">
        <v>0.1051</v>
      </c>
      <c r="D783">
        <v>0.1008</v>
      </c>
      <c r="E783">
        <v>0.1033</v>
      </c>
      <c r="F783">
        <v>221216.99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0.16279069767442012</v>
      </c>
      <c r="Q783">
        <f t="shared" si="1005"/>
        <v>36012.068139535215</v>
      </c>
      <c r="R783">
        <f t="shared" si="1006"/>
        <v>2993484.9268018845</v>
      </c>
      <c r="S783">
        <f t="shared" si="1007"/>
        <v>29.934849268018844</v>
      </c>
      <c r="T783">
        <f t="shared" si="1008"/>
        <v>2.9934849268018843E-2</v>
      </c>
    </row>
    <row r="784" spans="1:20" x14ac:dyDescent="0.25">
      <c r="A784" s="5">
        <v>43809</v>
      </c>
      <c r="B784">
        <v>0.11020000000000001</v>
      </c>
      <c r="C784">
        <v>0.1119</v>
      </c>
      <c r="D784">
        <v>9.9699999999999997E-2</v>
      </c>
      <c r="E784">
        <v>0.10150000000000001</v>
      </c>
      <c r="F784">
        <v>1235494.81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-0.7049180327868837</v>
      </c>
      <c r="Q784">
        <f t="shared" si="1005"/>
        <v>-870922.57098360464</v>
      </c>
      <c r="R784">
        <f t="shared" si="1006"/>
        <v>2957472.8586623492</v>
      </c>
      <c r="S784">
        <f t="shared" si="1007"/>
        <v>29.574728586623493</v>
      </c>
      <c r="T784">
        <f t="shared" si="1008"/>
        <v>2.9574728586623494E-2</v>
      </c>
    </row>
    <row r="785" spans="1:20" x14ac:dyDescent="0.25">
      <c r="A785" s="5">
        <v>43808</v>
      </c>
      <c r="B785">
        <v>0.11890000000000001</v>
      </c>
      <c r="C785">
        <v>0.11899999999999999</v>
      </c>
      <c r="D785">
        <v>0.11</v>
      </c>
      <c r="E785">
        <v>0.1114</v>
      </c>
      <c r="F785">
        <v>710206.13</v>
      </c>
      <c r="G785">
        <v>0</v>
      </c>
      <c r="L785" t="s">
        <v>7</v>
      </c>
      <c r="M785" t="s">
        <v>7</v>
      </c>
      <c r="N785" t="s">
        <v>8</v>
      </c>
      <c r="P785">
        <f t="shared" si="1004"/>
        <v>-0.68888888888888899</v>
      </c>
      <c r="Q785">
        <f t="shared" si="1005"/>
        <v>-489253.11177777784</v>
      </c>
      <c r="R785">
        <f t="shared" si="1006"/>
        <v>3828395.4296459537</v>
      </c>
      <c r="S785">
        <f t="shared" si="1007"/>
        <v>38.283954296459534</v>
      </c>
      <c r="T785">
        <f t="shared" si="1008"/>
        <v>3.8283954296459533E-2</v>
      </c>
    </row>
    <row r="786" spans="1:20" x14ac:dyDescent="0.25">
      <c r="A786" s="5">
        <v>43807</v>
      </c>
      <c r="B786">
        <v>0.1103</v>
      </c>
      <c r="C786">
        <v>0.14199999999999999</v>
      </c>
      <c r="D786">
        <v>0.1067</v>
      </c>
      <c r="E786">
        <v>0.11799999999999999</v>
      </c>
      <c r="F786">
        <v>3092308.73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-0.35977337110481611</v>
      </c>
      <c r="Q786">
        <f t="shared" si="1005"/>
        <v>-1112530.3362889525</v>
      </c>
      <c r="R786">
        <f t="shared" si="1006"/>
        <v>4317648.5414237315</v>
      </c>
      <c r="S786">
        <f t="shared" si="1007"/>
        <v>43.176485414237312</v>
      </c>
      <c r="T786">
        <f t="shared" si="1008"/>
        <v>4.3176485414237312E-2</v>
      </c>
    </row>
    <row r="787" spans="1:20" x14ac:dyDescent="0.25">
      <c r="A787" s="5">
        <v>43806</v>
      </c>
      <c r="B787">
        <v>0.1087</v>
      </c>
      <c r="C787">
        <v>0.11219999999999999</v>
      </c>
      <c r="D787">
        <v>0.1072</v>
      </c>
      <c r="E787">
        <v>0.11020000000000001</v>
      </c>
      <c r="F787">
        <v>245584.67</v>
      </c>
      <c r="G787">
        <v>0</v>
      </c>
      <c r="L787" t="s">
        <v>7</v>
      </c>
      <c r="M787" t="s">
        <v>7</v>
      </c>
      <c r="N787" t="s">
        <v>8</v>
      </c>
      <c r="P787">
        <f t="shared" si="1004"/>
        <v>0.20000000000000334</v>
      </c>
      <c r="Q787">
        <f t="shared" si="1005"/>
        <v>49116.934000000823</v>
      </c>
      <c r="R787">
        <f t="shared" si="1006"/>
        <v>5430178.8777126838</v>
      </c>
      <c r="S787">
        <f t="shared" si="1007"/>
        <v>54.301788777126838</v>
      </c>
      <c r="T787">
        <f t="shared" si="1008"/>
        <v>5.4301788777126839E-2</v>
      </c>
    </row>
    <row r="788" spans="1:20" x14ac:dyDescent="0.25">
      <c r="A788" s="5">
        <v>43805</v>
      </c>
      <c r="B788">
        <v>0.1066</v>
      </c>
      <c r="C788">
        <v>0.11</v>
      </c>
      <c r="D788">
        <v>0.1055</v>
      </c>
      <c r="E788">
        <v>0.10929999999999999</v>
      </c>
      <c r="F788">
        <v>303082.53000000003</v>
      </c>
      <c r="G788">
        <v>0</v>
      </c>
      <c r="L788" t="s">
        <v>7</v>
      </c>
      <c r="M788" t="s">
        <v>7</v>
      </c>
      <c r="N788" t="s">
        <v>8</v>
      </c>
      <c r="P788">
        <f t="shared" si="1004"/>
        <v>0.68888888888888644</v>
      </c>
      <c r="Q788">
        <f t="shared" si="1005"/>
        <v>208790.18733333261</v>
      </c>
      <c r="R788">
        <f t="shared" si="1006"/>
        <v>5381061.9437126834</v>
      </c>
      <c r="S788">
        <f t="shared" si="1007"/>
        <v>53.810619437126832</v>
      </c>
      <c r="T788">
        <f t="shared" si="1008"/>
        <v>5.3810619437126832E-2</v>
      </c>
    </row>
    <row r="789" spans="1:20" x14ac:dyDescent="0.25">
      <c r="A789" s="5">
        <v>43804</v>
      </c>
      <c r="B789">
        <v>0.10979999999999999</v>
      </c>
      <c r="C789">
        <v>0.11070000000000001</v>
      </c>
      <c r="D789">
        <v>0.1053</v>
      </c>
      <c r="E789">
        <v>0.1072</v>
      </c>
      <c r="F789">
        <v>353978.62</v>
      </c>
      <c r="G789">
        <v>0</v>
      </c>
      <c r="L789" t="s">
        <v>7</v>
      </c>
      <c r="M789" t="s">
        <v>7</v>
      </c>
      <c r="N789" t="s">
        <v>8</v>
      </c>
      <c r="P789">
        <f t="shared" si="1004"/>
        <v>-0.29629629629629695</v>
      </c>
      <c r="Q789">
        <f t="shared" si="1005"/>
        <v>-104882.5540740743</v>
      </c>
      <c r="R789">
        <f t="shared" si="1006"/>
        <v>5172271.756379351</v>
      </c>
      <c r="S789">
        <f t="shared" si="1007"/>
        <v>51.722717563793509</v>
      </c>
      <c r="T789">
        <f t="shared" si="1008"/>
        <v>5.1722717563793506E-2</v>
      </c>
    </row>
    <row r="790" spans="1:20" x14ac:dyDescent="0.25">
      <c r="A790" s="5">
        <v>43803</v>
      </c>
      <c r="B790">
        <v>0.1159</v>
      </c>
      <c r="C790">
        <v>0.11849999999999999</v>
      </c>
      <c r="D790">
        <v>0.1085</v>
      </c>
      <c r="E790">
        <v>0.11070000000000001</v>
      </c>
      <c r="F790">
        <v>415091.08</v>
      </c>
      <c r="G790">
        <v>0</v>
      </c>
      <c r="L790" t="s">
        <v>7</v>
      </c>
      <c r="M790" t="s">
        <v>7</v>
      </c>
      <c r="N790" t="s">
        <v>8</v>
      </c>
      <c r="P790">
        <f t="shared" si="1004"/>
        <v>-0.55999999999999828</v>
      </c>
      <c r="Q790">
        <f t="shared" si="1005"/>
        <v>-232451.0047999993</v>
      </c>
      <c r="R790">
        <f t="shared" si="1006"/>
        <v>5277154.3104534252</v>
      </c>
      <c r="S790">
        <f t="shared" si="1007"/>
        <v>52.771543104534253</v>
      </c>
      <c r="T790">
        <f t="shared" si="1008"/>
        <v>5.2771543104534253E-2</v>
      </c>
    </row>
    <row r="791" spans="1:20" x14ac:dyDescent="0.25">
      <c r="A791" s="5">
        <v>43802</v>
      </c>
      <c r="B791">
        <v>0.1125</v>
      </c>
      <c r="C791">
        <v>0.12239999999999999</v>
      </c>
      <c r="D791">
        <v>0.1104</v>
      </c>
      <c r="E791">
        <v>0.11600000000000001</v>
      </c>
      <c r="F791">
        <v>308419.28000000003</v>
      </c>
      <c r="G791">
        <v>0</v>
      </c>
      <c r="L791" t="s">
        <v>8</v>
      </c>
      <c r="M791" t="s">
        <v>7</v>
      </c>
      <c r="N791" t="s">
        <v>8</v>
      </c>
      <c r="P791">
        <f t="shared" si="1004"/>
        <v>-6.6666666666665125E-2</v>
      </c>
      <c r="Q791">
        <f t="shared" si="1005"/>
        <v>-20561.28533333286</v>
      </c>
      <c r="R791">
        <f t="shared" si="1006"/>
        <v>5509605.3152534245</v>
      </c>
      <c r="S791">
        <f t="shared" si="1007"/>
        <v>55.096053152534246</v>
      </c>
      <c r="T791">
        <f t="shared" si="1008"/>
        <v>5.5096053152534248E-2</v>
      </c>
    </row>
    <row r="792" spans="1:20" x14ac:dyDescent="0.25">
      <c r="A792" s="5">
        <v>43801</v>
      </c>
      <c r="B792">
        <v>0.11409999999999999</v>
      </c>
      <c r="C792">
        <v>0.1148</v>
      </c>
      <c r="D792">
        <v>0.10929999999999999</v>
      </c>
      <c r="E792">
        <v>0.1125</v>
      </c>
      <c r="F792">
        <v>195357.62</v>
      </c>
      <c r="G792">
        <v>0</v>
      </c>
      <c r="L792" t="s">
        <v>7</v>
      </c>
      <c r="M792" t="s">
        <v>7</v>
      </c>
      <c r="N792" t="s">
        <v>8</v>
      </c>
      <c r="P792">
        <f t="shared" si="1004"/>
        <v>0.16363636363636566</v>
      </c>
      <c r="Q792">
        <f t="shared" si="1005"/>
        <v>31967.61054545494</v>
      </c>
      <c r="R792">
        <f t="shared" si="1006"/>
        <v>5530166.6005867571</v>
      </c>
      <c r="S792">
        <f t="shared" si="1007"/>
        <v>55.301666005867574</v>
      </c>
      <c r="T792">
        <f t="shared" si="1008"/>
        <v>5.5301666005867577E-2</v>
      </c>
    </row>
    <row r="793" spans="1:20" x14ac:dyDescent="0.25">
      <c r="A793" s="5">
        <v>43800</v>
      </c>
      <c r="B793">
        <v>0.1142</v>
      </c>
      <c r="C793">
        <v>0.12139999999999999</v>
      </c>
      <c r="D793">
        <v>0.1074</v>
      </c>
      <c r="E793">
        <v>0.1139</v>
      </c>
      <c r="F793">
        <v>358808.34</v>
      </c>
      <c r="G793">
        <v>0</v>
      </c>
      <c r="L793" t="s">
        <v>7</v>
      </c>
      <c r="M793" t="s">
        <v>7</v>
      </c>
      <c r="N793" t="s">
        <v>8</v>
      </c>
      <c r="P793">
        <f t="shared" si="1004"/>
        <v>-7.1428571428570509E-2</v>
      </c>
      <c r="Q793">
        <f t="shared" si="1005"/>
        <v>-25629.167142856815</v>
      </c>
      <c r="R793">
        <f t="shared" si="1006"/>
        <v>5498198.9900413025</v>
      </c>
      <c r="S793">
        <f t="shared" si="1007"/>
        <v>54.981989900413026</v>
      </c>
      <c r="T793">
        <f t="shared" si="1008"/>
        <v>5.4981989900413024E-2</v>
      </c>
    </row>
    <row r="794" spans="1:20" x14ac:dyDescent="0.25">
      <c r="A794" s="5">
        <v>43799</v>
      </c>
      <c r="B794">
        <v>0.1191</v>
      </c>
      <c r="C794">
        <v>0.12</v>
      </c>
      <c r="D794">
        <v>0.1116</v>
      </c>
      <c r="E794">
        <v>0.1142</v>
      </c>
      <c r="F794">
        <v>312873.34999999998</v>
      </c>
      <c r="G794">
        <v>0</v>
      </c>
      <c r="L794" t="s">
        <v>7</v>
      </c>
      <c r="M794" t="s">
        <v>8</v>
      </c>
      <c r="N794" t="s">
        <v>8</v>
      </c>
      <c r="P794">
        <f t="shared" si="1004"/>
        <v>-0.38095238095238237</v>
      </c>
      <c r="Q794">
        <f t="shared" si="1005"/>
        <v>-119189.84761904806</v>
      </c>
      <c r="R794">
        <f t="shared" si="1006"/>
        <v>5523828.1571841594</v>
      </c>
      <c r="S794">
        <f t="shared" si="1007"/>
        <v>55.238281571841597</v>
      </c>
      <c r="T794">
        <f t="shared" si="1008"/>
        <v>5.5238281571841595E-2</v>
      </c>
    </row>
    <row r="795" spans="1:20" x14ac:dyDescent="0.25">
      <c r="A795" s="5">
        <v>43798</v>
      </c>
      <c r="B795">
        <v>0.1169</v>
      </c>
      <c r="C795">
        <v>0.11990000000000001</v>
      </c>
      <c r="D795">
        <v>0.1152</v>
      </c>
      <c r="E795">
        <v>0.1191</v>
      </c>
      <c r="F795">
        <v>589473.72</v>
      </c>
      <c r="G795">
        <v>0</v>
      </c>
      <c r="L795" t="s">
        <v>7</v>
      </c>
      <c r="M795" t="s">
        <v>8</v>
      </c>
      <c r="N795" t="s">
        <v>8</v>
      </c>
      <c r="P795">
        <f t="shared" si="1004"/>
        <v>0.65957446808510323</v>
      </c>
      <c r="Q795">
        <f t="shared" si="1005"/>
        <v>388801.81531914708</v>
      </c>
      <c r="R795">
        <f t="shared" si="1006"/>
        <v>5643018.0048032077</v>
      </c>
      <c r="S795">
        <f t="shared" si="1007"/>
        <v>56.430180048032078</v>
      </c>
      <c r="T795">
        <f t="shared" si="1008"/>
        <v>5.6430180048032075E-2</v>
      </c>
    </row>
    <row r="796" spans="1:20" x14ac:dyDescent="0.25">
      <c r="A796" s="5">
        <v>43797</v>
      </c>
      <c r="B796">
        <v>0.12139999999999999</v>
      </c>
      <c r="C796">
        <v>0.12379999999999999</v>
      </c>
      <c r="D796">
        <v>0.1149</v>
      </c>
      <c r="E796">
        <v>0.11700000000000001</v>
      </c>
      <c r="F796">
        <v>806052.57</v>
      </c>
      <c r="G796">
        <v>0</v>
      </c>
      <c r="L796" t="s">
        <v>7</v>
      </c>
      <c r="M796" t="s">
        <v>8</v>
      </c>
      <c r="N796" t="s">
        <v>8</v>
      </c>
      <c r="P796">
        <f t="shared" si="1004"/>
        <v>-0.52808988764044795</v>
      </c>
      <c r="Q796">
        <f t="shared" si="1005"/>
        <v>-425668.21112359426</v>
      </c>
      <c r="R796">
        <f t="shared" si="1006"/>
        <v>5254216.1894840607</v>
      </c>
      <c r="S796">
        <f t="shared" si="1007"/>
        <v>52.542161894840611</v>
      </c>
      <c r="T796">
        <f t="shared" si="1008"/>
        <v>5.2542161894840608E-2</v>
      </c>
    </row>
    <row r="797" spans="1:20" x14ac:dyDescent="0.25">
      <c r="A797" s="5">
        <v>43796</v>
      </c>
      <c r="B797">
        <v>0.10879999999999999</v>
      </c>
      <c r="C797">
        <v>0.1323</v>
      </c>
      <c r="D797">
        <v>0.106</v>
      </c>
      <c r="E797">
        <v>0.12139999999999999</v>
      </c>
      <c r="F797">
        <v>1045688.9</v>
      </c>
      <c r="G797">
        <v>0</v>
      </c>
      <c r="L797" t="s">
        <v>8</v>
      </c>
      <c r="M797" t="s">
        <v>8</v>
      </c>
      <c r="N797" t="s">
        <v>8</v>
      </c>
      <c r="P797">
        <f t="shared" si="1004"/>
        <v>0.17110266159695778</v>
      </c>
      <c r="Q797">
        <f t="shared" si="1005"/>
        <v>178920.15399239503</v>
      </c>
      <c r="R797">
        <f t="shared" si="1006"/>
        <v>5679884.4006076548</v>
      </c>
      <c r="S797">
        <f t="shared" si="1007"/>
        <v>56.79884400607655</v>
      </c>
      <c r="T797">
        <f t="shared" si="1008"/>
        <v>5.679884400607655E-2</v>
      </c>
    </row>
    <row r="798" spans="1:20" x14ac:dyDescent="0.25">
      <c r="A798" s="5">
        <v>43795</v>
      </c>
      <c r="B798">
        <v>0.1066</v>
      </c>
      <c r="C798">
        <v>0.1103</v>
      </c>
      <c r="D798">
        <v>0.1043</v>
      </c>
      <c r="E798">
        <v>0.10979999999999999</v>
      </c>
      <c r="F798">
        <v>187313.79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0.83333333333333293</v>
      </c>
      <c r="Q798">
        <f t="shared" si="1005"/>
        <v>156094.82499999992</v>
      </c>
      <c r="R798">
        <f t="shared" si="1006"/>
        <v>5500964.2466152599</v>
      </c>
      <c r="S798">
        <f t="shared" si="1007"/>
        <v>55.009642466152599</v>
      </c>
      <c r="T798">
        <f t="shared" si="1008"/>
        <v>5.50096424661526E-2</v>
      </c>
    </row>
    <row r="799" spans="1:20" x14ac:dyDescent="0.25">
      <c r="A799" s="5">
        <v>43794</v>
      </c>
      <c r="B799">
        <v>0.105</v>
      </c>
      <c r="C799">
        <v>0.1095</v>
      </c>
      <c r="D799">
        <v>8.5599999999999996E-2</v>
      </c>
      <c r="E799">
        <v>0.10730000000000001</v>
      </c>
      <c r="F799">
        <v>443061.08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0.81589958158995868</v>
      </c>
      <c r="Q799">
        <f t="shared" si="1005"/>
        <v>361493.34979079524</v>
      </c>
      <c r="R799">
        <f t="shared" si="1006"/>
        <v>5344869.4216152597</v>
      </c>
      <c r="S799">
        <f t="shared" si="1007"/>
        <v>53.448694216152596</v>
      </c>
      <c r="T799">
        <f t="shared" si="1008"/>
        <v>5.3448694216152594E-2</v>
      </c>
    </row>
    <row r="800" spans="1:20" x14ac:dyDescent="0.25">
      <c r="A800" s="5">
        <v>43793</v>
      </c>
      <c r="B800">
        <v>0.11600000000000001</v>
      </c>
      <c r="C800">
        <v>0.1164</v>
      </c>
      <c r="D800">
        <v>0.10489999999999999</v>
      </c>
      <c r="E800">
        <v>0.105</v>
      </c>
      <c r="F800">
        <v>218308.56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-0.98260869565217346</v>
      </c>
      <c r="Q800">
        <f t="shared" si="1005"/>
        <v>-214511.88939130426</v>
      </c>
      <c r="R800">
        <f t="shared" si="1006"/>
        <v>4983376.0718244649</v>
      </c>
      <c r="S800">
        <f t="shared" si="1007"/>
        <v>49.833760718244648</v>
      </c>
      <c r="T800">
        <f t="shared" si="1008"/>
        <v>4.9833760718244649E-2</v>
      </c>
    </row>
    <row r="801" spans="1:20" x14ac:dyDescent="0.25">
      <c r="A801" s="5">
        <v>43792</v>
      </c>
      <c r="B801">
        <v>0.1123</v>
      </c>
      <c r="C801">
        <v>0.1179</v>
      </c>
      <c r="D801">
        <v>0.1094</v>
      </c>
      <c r="E801">
        <v>0.1159</v>
      </c>
      <c r="F801">
        <v>399032.54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0.52941176470588236</v>
      </c>
      <c r="Q801">
        <f t="shared" si="1005"/>
        <v>211252.52117647059</v>
      </c>
      <c r="R801">
        <f t="shared" si="1006"/>
        <v>5197887.9612157689</v>
      </c>
      <c r="S801">
        <f t="shared" si="1007"/>
        <v>51.978879612157691</v>
      </c>
      <c r="T801">
        <f t="shared" si="1008"/>
        <v>5.1978879612157691E-2</v>
      </c>
    </row>
    <row r="802" spans="1:20" x14ac:dyDescent="0.25">
      <c r="A802" s="5">
        <v>43791</v>
      </c>
      <c r="B802">
        <v>0.124</v>
      </c>
      <c r="C802">
        <v>0.1246</v>
      </c>
      <c r="D802">
        <v>0.105</v>
      </c>
      <c r="E802">
        <v>0.1142</v>
      </c>
      <c r="F802">
        <v>363301.3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-6.1224489795918685E-2</v>
      </c>
      <c r="Q802">
        <f t="shared" si="1005"/>
        <v>-22242.936734693991</v>
      </c>
      <c r="R802">
        <f t="shared" si="1006"/>
        <v>4986635.4400392985</v>
      </c>
      <c r="S802">
        <f t="shared" si="1007"/>
        <v>49.866354400392986</v>
      </c>
      <c r="T802">
        <f t="shared" si="1008"/>
        <v>4.9866354400392984E-2</v>
      </c>
    </row>
    <row r="803" spans="1:20" x14ac:dyDescent="0.25">
      <c r="A803" s="5">
        <v>43790</v>
      </c>
      <c r="B803">
        <v>0.13320000000000001</v>
      </c>
      <c r="C803">
        <v>0.13489999999999999</v>
      </c>
      <c r="D803">
        <v>0.1201</v>
      </c>
      <c r="E803">
        <v>0.12429999999999999</v>
      </c>
      <c r="F803">
        <v>208807.24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-0.43243243243243279</v>
      </c>
      <c r="Q803">
        <f t="shared" si="1005"/>
        <v>-90295.022702702772</v>
      </c>
      <c r="R803">
        <f t="shared" si="1006"/>
        <v>5008878.3767739926</v>
      </c>
      <c r="S803">
        <f t="shared" si="1007"/>
        <v>50.088783767739926</v>
      </c>
      <c r="T803">
        <f t="shared" si="1008"/>
        <v>5.0088783767739925E-2</v>
      </c>
    </row>
    <row r="804" spans="1:20" x14ac:dyDescent="0.25">
      <c r="A804" s="5">
        <v>43789</v>
      </c>
      <c r="B804">
        <v>0.13120000000000001</v>
      </c>
      <c r="C804">
        <v>0.13669999999999999</v>
      </c>
      <c r="D804">
        <v>0.1293</v>
      </c>
      <c r="E804">
        <v>0.1333</v>
      </c>
      <c r="F804">
        <v>289487.64</v>
      </c>
      <c r="G804">
        <v>0</v>
      </c>
      <c r="L804" t="s">
        <v>8</v>
      </c>
      <c r="M804" t="s">
        <v>7</v>
      </c>
      <c r="N804" t="s">
        <v>7</v>
      </c>
      <c r="P804">
        <f t="shared" si="1004"/>
        <v>8.1081081081083514E-2</v>
      </c>
      <c r="Q804">
        <f t="shared" si="1005"/>
        <v>23471.970810811516</v>
      </c>
      <c r="R804">
        <f t="shared" si="1006"/>
        <v>5099173.3994766949</v>
      </c>
      <c r="S804">
        <f t="shared" si="1007"/>
        <v>50.991733994766946</v>
      </c>
      <c r="T804">
        <f t="shared" si="1008"/>
        <v>5.0991733994766947E-2</v>
      </c>
    </row>
    <row r="805" spans="1:20" x14ac:dyDescent="0.25">
      <c r="A805" s="5">
        <v>43788</v>
      </c>
      <c r="B805">
        <v>0.1371</v>
      </c>
      <c r="C805">
        <v>0.1386</v>
      </c>
      <c r="D805">
        <v>0.12670000000000001</v>
      </c>
      <c r="E805">
        <v>0.13039999999999999</v>
      </c>
      <c r="F805">
        <v>916042.43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-0.37815126050420456</v>
      </c>
      <c r="Q805">
        <f t="shared" si="1005"/>
        <v>-346402.59957983461</v>
      </c>
      <c r="R805">
        <f t="shared" si="1006"/>
        <v>5075701.4286658829</v>
      </c>
      <c r="S805">
        <f t="shared" si="1007"/>
        <v>50.75701428665883</v>
      </c>
      <c r="T805">
        <f t="shared" si="1008"/>
        <v>5.0757014286658832E-2</v>
      </c>
    </row>
    <row r="806" spans="1:20" x14ac:dyDescent="0.25">
      <c r="A806" s="5">
        <v>43787</v>
      </c>
      <c r="B806">
        <v>0.14360000000000001</v>
      </c>
      <c r="C806">
        <v>0.14599999999999999</v>
      </c>
      <c r="D806">
        <v>0.13339999999999999</v>
      </c>
      <c r="E806">
        <v>0.1356</v>
      </c>
      <c r="F806">
        <v>296069.28000000003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-0.65079365079364959</v>
      </c>
      <c r="Q806">
        <f t="shared" si="1005"/>
        <v>-192680.00761904728</v>
      </c>
      <c r="R806">
        <f t="shared" si="1006"/>
        <v>5422104.0282457173</v>
      </c>
      <c r="S806">
        <f t="shared" si="1007"/>
        <v>54.221040282457174</v>
      </c>
      <c r="T806">
        <f t="shared" si="1008"/>
        <v>5.4221040282457174E-2</v>
      </c>
    </row>
    <row r="807" spans="1:20" x14ac:dyDescent="0.25">
      <c r="A807" s="5">
        <v>43786</v>
      </c>
      <c r="B807">
        <v>0.14449999999999999</v>
      </c>
      <c r="C807">
        <v>0.14610000000000001</v>
      </c>
      <c r="D807">
        <v>0.14199999999999999</v>
      </c>
      <c r="E807">
        <v>0.14530000000000001</v>
      </c>
      <c r="F807">
        <v>182576.56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0.60975609756097993</v>
      </c>
      <c r="Q807">
        <f t="shared" si="1005"/>
        <v>111327.1707317081</v>
      </c>
      <c r="R807">
        <f t="shared" si="1006"/>
        <v>5614784.0358647648</v>
      </c>
      <c r="S807">
        <f t="shared" si="1007"/>
        <v>56.147840358647649</v>
      </c>
      <c r="T807">
        <f t="shared" si="1008"/>
        <v>5.6147840358647651E-2</v>
      </c>
    </row>
    <row r="808" spans="1:20" x14ac:dyDescent="0.25">
      <c r="A808" s="5">
        <v>43785</v>
      </c>
      <c r="B808">
        <v>0.14580000000000001</v>
      </c>
      <c r="C808">
        <v>0.1469</v>
      </c>
      <c r="D808">
        <v>0.1419</v>
      </c>
      <c r="E808">
        <v>0.14449999999999999</v>
      </c>
      <c r="F808">
        <v>275328.48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3.999999999999556E-2</v>
      </c>
      <c r="Q808">
        <f t="shared" si="1005"/>
        <v>11013.139199998777</v>
      </c>
      <c r="R808">
        <f t="shared" si="1006"/>
        <v>5503456.8651330564</v>
      </c>
      <c r="S808">
        <f t="shared" si="1007"/>
        <v>55.034568651330567</v>
      </c>
      <c r="T808">
        <f t="shared" si="1008"/>
        <v>5.5034568651330565E-2</v>
      </c>
    </row>
    <row r="809" spans="1:20" x14ac:dyDescent="0.25">
      <c r="A809" s="5">
        <v>43784</v>
      </c>
      <c r="B809">
        <v>0.1452</v>
      </c>
      <c r="C809">
        <v>0.1477</v>
      </c>
      <c r="D809">
        <v>0.1401</v>
      </c>
      <c r="E809">
        <v>0.14499999999999999</v>
      </c>
      <c r="F809">
        <v>514679.26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0.28947368421052383</v>
      </c>
      <c r="Q809">
        <f t="shared" si="1005"/>
        <v>148986.10157894608</v>
      </c>
      <c r="R809">
        <f t="shared" si="1006"/>
        <v>5492443.7259330573</v>
      </c>
      <c r="S809">
        <f t="shared" si="1007"/>
        <v>54.924437259330574</v>
      </c>
      <c r="T809">
        <f t="shared" si="1008"/>
        <v>5.4924437259330577E-2</v>
      </c>
    </row>
    <row r="810" spans="1:20" x14ac:dyDescent="0.25">
      <c r="A810" s="5">
        <v>43783</v>
      </c>
      <c r="B810">
        <v>0.15010000000000001</v>
      </c>
      <c r="C810">
        <v>0.151</v>
      </c>
      <c r="D810">
        <v>0.1421</v>
      </c>
      <c r="E810">
        <v>0.14499999999999999</v>
      </c>
      <c r="F810">
        <v>603301.67000000004</v>
      </c>
      <c r="G810">
        <v>0</v>
      </c>
      <c r="L810" t="s">
        <v>8</v>
      </c>
      <c r="M810" t="s">
        <v>7</v>
      </c>
      <c r="N810" t="s">
        <v>7</v>
      </c>
      <c r="P810">
        <f t="shared" si="1004"/>
        <v>-0.34831460674157555</v>
      </c>
      <c r="Q810">
        <f t="shared" si="1005"/>
        <v>-210138.78393258579</v>
      </c>
      <c r="R810">
        <f t="shared" si="1006"/>
        <v>5343457.624354111</v>
      </c>
      <c r="S810">
        <f t="shared" si="1007"/>
        <v>53.434576243541109</v>
      </c>
      <c r="T810">
        <f t="shared" si="1008"/>
        <v>5.3434576243541108E-2</v>
      </c>
    </row>
    <row r="811" spans="1:20" x14ac:dyDescent="0.25">
      <c r="A811" s="5">
        <v>43782</v>
      </c>
      <c r="B811">
        <v>0.1479</v>
      </c>
      <c r="C811">
        <v>0.152</v>
      </c>
      <c r="D811">
        <v>0.14530000000000001</v>
      </c>
      <c r="E811">
        <v>0.1502</v>
      </c>
      <c r="F811">
        <v>541630.94999999995</v>
      </c>
      <c r="G811">
        <v>0</v>
      </c>
      <c r="L811" t="s">
        <v>8</v>
      </c>
      <c r="M811" t="s">
        <v>7</v>
      </c>
      <c r="N811" t="s">
        <v>7</v>
      </c>
      <c r="P811">
        <f t="shared" si="1004"/>
        <v>0.462686567164179</v>
      </c>
      <c r="Q811">
        <f t="shared" si="1005"/>
        <v>250605.36492537305</v>
      </c>
      <c r="R811">
        <f t="shared" si="1006"/>
        <v>5553596.4082866972</v>
      </c>
      <c r="S811">
        <f t="shared" si="1007"/>
        <v>55.535964082866975</v>
      </c>
      <c r="T811">
        <f t="shared" si="1008"/>
        <v>5.5535964082866977E-2</v>
      </c>
    </row>
    <row r="812" spans="1:20" x14ac:dyDescent="0.25">
      <c r="A812" s="5">
        <v>43781</v>
      </c>
      <c r="B812">
        <v>0.1459</v>
      </c>
      <c r="C812">
        <v>0.1522</v>
      </c>
      <c r="D812">
        <v>0.14330000000000001</v>
      </c>
      <c r="E812">
        <v>0.14729999999999999</v>
      </c>
      <c r="F812">
        <v>578040.99</v>
      </c>
      <c r="G812">
        <v>0</v>
      </c>
      <c r="L812" t="s">
        <v>8</v>
      </c>
      <c r="M812" t="s">
        <v>7</v>
      </c>
      <c r="N812" t="s">
        <v>7</v>
      </c>
      <c r="P812">
        <f t="shared" si="1004"/>
        <v>-0.10112359550562253</v>
      </c>
      <c r="Q812">
        <f t="shared" si="1005"/>
        <v>-58453.583258429593</v>
      </c>
      <c r="R812">
        <f t="shared" si="1006"/>
        <v>5302991.0433613239</v>
      </c>
      <c r="S812">
        <f t="shared" si="1007"/>
        <v>53.029910433613239</v>
      </c>
      <c r="T812">
        <f t="shared" si="1008"/>
        <v>5.3029910433613242E-2</v>
      </c>
    </row>
    <row r="813" spans="1:20" x14ac:dyDescent="0.25">
      <c r="A813" s="5">
        <v>43780</v>
      </c>
      <c r="B813">
        <v>0.15110000000000001</v>
      </c>
      <c r="C813">
        <v>0.15179999999999999</v>
      </c>
      <c r="D813">
        <v>0.14099999999999999</v>
      </c>
      <c r="E813">
        <v>0.1459</v>
      </c>
      <c r="F813">
        <v>544646.55000000005</v>
      </c>
      <c r="G813">
        <v>0</v>
      </c>
      <c r="L813" t="s">
        <v>8</v>
      </c>
      <c r="M813" t="s">
        <v>7</v>
      </c>
      <c r="N813" t="s">
        <v>7</v>
      </c>
      <c r="P813">
        <f t="shared" si="1004"/>
        <v>-9.2592592592590076E-2</v>
      </c>
      <c r="Q813">
        <f t="shared" si="1005"/>
        <v>-50430.236111109742</v>
      </c>
      <c r="R813">
        <f t="shared" si="1006"/>
        <v>5361444.6266197534</v>
      </c>
      <c r="S813">
        <f t="shared" si="1007"/>
        <v>53.614446266197533</v>
      </c>
      <c r="T813">
        <f t="shared" si="1008"/>
        <v>5.3614446266197532E-2</v>
      </c>
    </row>
    <row r="814" spans="1:20" x14ac:dyDescent="0.25">
      <c r="A814" s="5">
        <v>43779</v>
      </c>
      <c r="B814">
        <v>0.1464</v>
      </c>
      <c r="C814">
        <v>0.15179999999999999</v>
      </c>
      <c r="D814">
        <v>0.14430000000000001</v>
      </c>
      <c r="E814">
        <v>0.15110000000000001</v>
      </c>
      <c r="F814">
        <v>426272.87</v>
      </c>
      <c r="G814">
        <v>0</v>
      </c>
      <c r="L814" t="s">
        <v>8</v>
      </c>
      <c r="M814" t="s">
        <v>7</v>
      </c>
      <c r="N814" t="s">
        <v>7</v>
      </c>
      <c r="P814">
        <f t="shared" si="1004"/>
        <v>0.81333333333333857</v>
      </c>
      <c r="Q814">
        <f t="shared" si="1005"/>
        <v>346701.93426666892</v>
      </c>
      <c r="R814">
        <f t="shared" si="1006"/>
        <v>5411874.8627308635</v>
      </c>
      <c r="S814">
        <f t="shared" si="1007"/>
        <v>54.118748627308634</v>
      </c>
      <c r="T814">
        <f t="shared" si="1008"/>
        <v>5.4118748627308637E-2</v>
      </c>
    </row>
    <row r="815" spans="1:20" x14ac:dyDescent="0.25">
      <c r="A815" s="5">
        <v>43778</v>
      </c>
      <c r="B815">
        <v>0.1411</v>
      </c>
      <c r="C815">
        <v>0.1489</v>
      </c>
      <c r="D815">
        <v>0.13900000000000001</v>
      </c>
      <c r="E815">
        <v>0.1467</v>
      </c>
      <c r="F815">
        <v>759382.4</v>
      </c>
      <c r="G815">
        <v>0</v>
      </c>
      <c r="L815" t="s">
        <v>8</v>
      </c>
      <c r="M815" t="s">
        <v>7</v>
      </c>
      <c r="N815" t="s">
        <v>7</v>
      </c>
      <c r="P815">
        <f t="shared" si="1004"/>
        <v>0.55555555555555369</v>
      </c>
      <c r="Q815">
        <f t="shared" si="1005"/>
        <v>421879.11111110973</v>
      </c>
      <c r="R815">
        <f t="shared" si="1006"/>
        <v>5065172.9284641948</v>
      </c>
      <c r="S815">
        <f t="shared" si="1007"/>
        <v>50.651729284641945</v>
      </c>
      <c r="T815">
        <f t="shared" si="1008"/>
        <v>5.0651729284641948E-2</v>
      </c>
    </row>
    <row r="816" spans="1:20" x14ac:dyDescent="0.25">
      <c r="A816" s="5">
        <v>43777</v>
      </c>
      <c r="B816">
        <v>0.14929999999999999</v>
      </c>
      <c r="C816">
        <v>0.1502</v>
      </c>
      <c r="D816">
        <v>0.13500000000000001</v>
      </c>
      <c r="E816">
        <v>0.1411</v>
      </c>
      <c r="F816">
        <v>450405.27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-0.19736842105263186</v>
      </c>
      <c r="Q816">
        <f t="shared" si="1005"/>
        <v>-88895.776973684347</v>
      </c>
      <c r="R816">
        <f t="shared" si="1006"/>
        <v>4643293.8173530847</v>
      </c>
      <c r="S816">
        <f t="shared" si="1007"/>
        <v>46.43293817353085</v>
      </c>
      <c r="T816">
        <f t="shared" si="1008"/>
        <v>4.6432938173530849E-2</v>
      </c>
    </row>
    <row r="817" spans="1:20" x14ac:dyDescent="0.25">
      <c r="A817" s="5">
        <v>43776</v>
      </c>
      <c r="B817">
        <v>0.154</v>
      </c>
      <c r="C817">
        <v>0.156</v>
      </c>
      <c r="D817">
        <v>0.14680000000000001</v>
      </c>
      <c r="E817">
        <v>0.14849999999999999</v>
      </c>
      <c r="F817">
        <v>359205.77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-0.63043478260869956</v>
      </c>
      <c r="Q817">
        <f t="shared" si="1005"/>
        <v>-226455.81152174054</v>
      </c>
      <c r="R817">
        <f t="shared" si="1006"/>
        <v>4732189.594326769</v>
      </c>
      <c r="S817">
        <f t="shared" si="1007"/>
        <v>47.321895943267691</v>
      </c>
      <c r="T817">
        <f t="shared" si="1008"/>
        <v>4.7321895943267689E-2</v>
      </c>
    </row>
    <row r="818" spans="1:20" x14ac:dyDescent="0.25">
      <c r="A818" s="5">
        <v>43775</v>
      </c>
      <c r="B818">
        <v>0.15409999999999999</v>
      </c>
      <c r="C818">
        <v>0.15629999999999999</v>
      </c>
      <c r="D818">
        <v>0.15040000000000001</v>
      </c>
      <c r="E818">
        <v>0.15390000000000001</v>
      </c>
      <c r="F818">
        <v>498406.83</v>
      </c>
      <c r="G818">
        <v>0</v>
      </c>
      <c r="L818" t="s">
        <v>7</v>
      </c>
      <c r="M818" t="s">
        <v>7</v>
      </c>
      <c r="N818" t="s">
        <v>8</v>
      </c>
      <c r="P818">
        <f t="shared" si="1004"/>
        <v>0.18644067796610506</v>
      </c>
      <c r="Q818">
        <f t="shared" si="1005"/>
        <v>92923.307288137265</v>
      </c>
      <c r="R818">
        <f t="shared" si="1006"/>
        <v>4958645.4058485096</v>
      </c>
      <c r="S818">
        <f t="shared" si="1007"/>
        <v>49.586454058485096</v>
      </c>
      <c r="T818">
        <f t="shared" si="1008"/>
        <v>4.9586454058485094E-2</v>
      </c>
    </row>
    <row r="819" spans="1:20" x14ac:dyDescent="0.25">
      <c r="A819" s="5">
        <v>43774</v>
      </c>
      <c r="B819">
        <v>0.15740000000000001</v>
      </c>
      <c r="C819">
        <v>0.1598</v>
      </c>
      <c r="D819">
        <v>0.15160000000000001</v>
      </c>
      <c r="E819">
        <v>0.1555</v>
      </c>
      <c r="F819">
        <v>363292.8</v>
      </c>
      <c r="G819">
        <v>0</v>
      </c>
      <c r="L819" t="s">
        <v>7</v>
      </c>
      <c r="M819" t="s">
        <v>7</v>
      </c>
      <c r="N819" t="s">
        <v>8</v>
      </c>
      <c r="P819">
        <f t="shared" si="1004"/>
        <v>-4.8780487804879535E-2</v>
      </c>
      <c r="Q819">
        <f t="shared" si="1005"/>
        <v>-17721.600000000541</v>
      </c>
      <c r="R819">
        <f t="shared" si="1006"/>
        <v>4865722.0985603724</v>
      </c>
      <c r="S819">
        <f t="shared" si="1007"/>
        <v>48.657220985603722</v>
      </c>
      <c r="T819">
        <f t="shared" si="1008"/>
        <v>4.8657220985603725E-2</v>
      </c>
    </row>
    <row r="820" spans="1:20" x14ac:dyDescent="0.25">
      <c r="A820" s="5">
        <v>43773</v>
      </c>
      <c r="B820">
        <v>0.1585</v>
      </c>
      <c r="C820">
        <v>0.1585</v>
      </c>
      <c r="D820">
        <v>0.15279999999999999</v>
      </c>
      <c r="E820">
        <v>0.15659999999999999</v>
      </c>
      <c r="F820">
        <v>331127.75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0.3333333333333301</v>
      </c>
      <c r="Q820">
        <f t="shared" si="1005"/>
        <v>110375.91666666559</v>
      </c>
      <c r="R820">
        <f t="shared" si="1006"/>
        <v>4883443.6985603729</v>
      </c>
      <c r="S820">
        <f t="shared" si="1007"/>
        <v>48.83443698560373</v>
      </c>
      <c r="T820">
        <f t="shared" si="1008"/>
        <v>4.8834436985603732E-2</v>
      </c>
    </row>
    <row r="821" spans="1:20" x14ac:dyDescent="0.25">
      <c r="A821" s="5">
        <v>43772</v>
      </c>
      <c r="B821">
        <v>0.15939999999999999</v>
      </c>
      <c r="C821">
        <v>0.15970000000000001</v>
      </c>
      <c r="D821">
        <v>0.15390000000000001</v>
      </c>
      <c r="E821">
        <v>0.15859999999999999</v>
      </c>
      <c r="F821">
        <v>361891.36</v>
      </c>
      <c r="G821">
        <v>0</v>
      </c>
      <c r="L821" t="s">
        <v>7</v>
      </c>
      <c r="M821" t="s">
        <v>7</v>
      </c>
      <c r="N821" t="s">
        <v>8</v>
      </c>
      <c r="P821">
        <f t="shared" si="1004"/>
        <v>0.62068965517240771</v>
      </c>
      <c r="Q821">
        <f t="shared" si="1005"/>
        <v>224622.22344827364</v>
      </c>
      <c r="R821">
        <f t="shared" si="1006"/>
        <v>4773067.7818937069</v>
      </c>
      <c r="S821">
        <f t="shared" si="1007"/>
        <v>47.730677818937068</v>
      </c>
      <c r="T821">
        <f t="shared" si="1008"/>
        <v>4.773067781893707E-2</v>
      </c>
    </row>
    <row r="822" spans="1:20" x14ac:dyDescent="0.25">
      <c r="A822" s="5">
        <v>43771</v>
      </c>
      <c r="B822">
        <v>0.15720000000000001</v>
      </c>
      <c r="C822">
        <v>0.16220000000000001</v>
      </c>
      <c r="D822">
        <v>0.15509999999999999</v>
      </c>
      <c r="E822">
        <v>0.159</v>
      </c>
      <c r="F822">
        <v>370515.03</v>
      </c>
      <c r="G822">
        <v>0</v>
      </c>
      <c r="L822" t="s">
        <v>7</v>
      </c>
      <c r="M822" t="s">
        <v>7</v>
      </c>
      <c r="N822" t="s">
        <v>8</v>
      </c>
      <c r="P822">
        <f t="shared" si="1004"/>
        <v>9.8591549295775197E-2</v>
      </c>
      <c r="Q822">
        <f t="shared" si="1005"/>
        <v>36529.650845070631</v>
      </c>
      <c r="R822">
        <f t="shared" si="1006"/>
        <v>4548445.5584454332</v>
      </c>
      <c r="S822">
        <f t="shared" si="1007"/>
        <v>45.484455584454331</v>
      </c>
      <c r="T822">
        <f t="shared" si="1008"/>
        <v>4.5484455584454332E-2</v>
      </c>
    </row>
    <row r="823" spans="1:20" x14ac:dyDescent="0.25">
      <c r="A823" s="5">
        <v>43770</v>
      </c>
      <c r="B823">
        <v>0.1578</v>
      </c>
      <c r="C823">
        <v>0.1585</v>
      </c>
      <c r="D823">
        <v>0.15409999999999999</v>
      </c>
      <c r="E823">
        <v>0.15559999999999999</v>
      </c>
      <c r="F823">
        <v>255453.65</v>
      </c>
      <c r="G823">
        <v>0</v>
      </c>
      <c r="L823" t="s">
        <v>7</v>
      </c>
      <c r="M823" t="s">
        <v>7</v>
      </c>
      <c r="N823" t="s">
        <v>8</v>
      </c>
      <c r="P823">
        <f t="shared" si="1004"/>
        <v>-0.3181818181818199</v>
      </c>
      <c r="Q823">
        <f t="shared" si="1005"/>
        <v>-81280.706818182254</v>
      </c>
      <c r="R823">
        <f t="shared" si="1006"/>
        <v>4511915.9076003628</v>
      </c>
      <c r="S823">
        <f t="shared" si="1007"/>
        <v>45.119159076003626</v>
      </c>
      <c r="T823">
        <f t="shared" si="1008"/>
        <v>4.5119159076003626E-2</v>
      </c>
    </row>
    <row r="824" spans="1:20" x14ac:dyDescent="0.25">
      <c r="A824" s="5">
        <v>43769</v>
      </c>
      <c r="B824">
        <v>0.16200000000000001</v>
      </c>
      <c r="C824">
        <v>0.1633</v>
      </c>
      <c r="D824">
        <v>0.1545</v>
      </c>
      <c r="E824">
        <v>0.15790000000000001</v>
      </c>
      <c r="F824">
        <v>359757.39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-0.22727272727272427</v>
      </c>
      <c r="Q824">
        <f t="shared" si="1005"/>
        <v>-81763.043181817106</v>
      </c>
      <c r="R824">
        <f t="shared" si="1006"/>
        <v>4593196.6144185448</v>
      </c>
      <c r="S824">
        <f t="shared" si="1007"/>
        <v>45.931966144185445</v>
      </c>
      <c r="T824">
        <f t="shared" si="1008"/>
        <v>4.5931966144185446E-2</v>
      </c>
    </row>
    <row r="825" spans="1:20" x14ac:dyDescent="0.25">
      <c r="A825" s="5">
        <v>43768</v>
      </c>
      <c r="B825">
        <v>0.16689999999999999</v>
      </c>
      <c r="C825">
        <v>0.17030000000000001</v>
      </c>
      <c r="D825">
        <v>0.1583</v>
      </c>
      <c r="E825">
        <v>0.16200000000000001</v>
      </c>
      <c r="F825">
        <v>414776.9</v>
      </c>
      <c r="G825">
        <v>0</v>
      </c>
      <c r="L825" t="s">
        <v>7</v>
      </c>
      <c r="M825" t="s">
        <v>7</v>
      </c>
      <c r="N825" t="s">
        <v>8</v>
      </c>
      <c r="P825">
        <f t="shared" si="1004"/>
        <v>-0.38333333333333242</v>
      </c>
      <c r="Q825">
        <f t="shared" si="1005"/>
        <v>-158997.8116666663</v>
      </c>
      <c r="R825">
        <f t="shared" si="1006"/>
        <v>4674959.6576003619</v>
      </c>
      <c r="S825">
        <f t="shared" si="1007"/>
        <v>46.749596576003619</v>
      </c>
      <c r="T825">
        <f t="shared" si="1008"/>
        <v>4.6749596576003617E-2</v>
      </c>
    </row>
    <row r="826" spans="1:20" x14ac:dyDescent="0.25">
      <c r="A826" s="5">
        <v>43767</v>
      </c>
      <c r="B826">
        <v>0.15770000000000001</v>
      </c>
      <c r="C826">
        <v>0.1865</v>
      </c>
      <c r="D826">
        <v>0.15629999999999999</v>
      </c>
      <c r="E826">
        <v>0.16589999999999999</v>
      </c>
      <c r="F826">
        <v>1084908.9099999999</v>
      </c>
      <c r="G826">
        <v>0</v>
      </c>
      <c r="L826" t="s">
        <v>8</v>
      </c>
      <c r="M826" t="s">
        <v>7</v>
      </c>
      <c r="N826" t="s">
        <v>8</v>
      </c>
      <c r="P826">
        <f t="shared" si="1004"/>
        <v>-0.36423841059602674</v>
      </c>
      <c r="Q826">
        <f t="shared" si="1005"/>
        <v>-395165.49701986776</v>
      </c>
      <c r="R826">
        <f t="shared" si="1006"/>
        <v>4833957.4692670284</v>
      </c>
      <c r="S826">
        <f t="shared" si="1007"/>
        <v>48.339574692670283</v>
      </c>
      <c r="T826">
        <f t="shared" si="1008"/>
        <v>4.8339574692670285E-2</v>
      </c>
    </row>
    <row r="827" spans="1:20" x14ac:dyDescent="0.25">
      <c r="A827" s="5">
        <v>43766</v>
      </c>
      <c r="B827">
        <v>0.17100000000000001</v>
      </c>
      <c r="C827">
        <v>0.18990000000000001</v>
      </c>
      <c r="D827">
        <v>0.157</v>
      </c>
      <c r="E827">
        <v>0.15770000000000001</v>
      </c>
      <c r="F827">
        <v>1492813.35</v>
      </c>
      <c r="G827">
        <v>0</v>
      </c>
      <c r="L827" t="s">
        <v>7</v>
      </c>
      <c r="M827" t="s">
        <v>7</v>
      </c>
      <c r="N827" t="s">
        <v>8</v>
      </c>
      <c r="P827">
        <f t="shared" si="1004"/>
        <v>-0.9574468085106379</v>
      </c>
      <c r="Q827">
        <f t="shared" si="1005"/>
        <v>-1429289.3776595739</v>
      </c>
      <c r="R827">
        <f t="shared" si="1006"/>
        <v>5229122.9662868958</v>
      </c>
      <c r="S827">
        <f t="shared" si="1007"/>
        <v>52.291229662868957</v>
      </c>
      <c r="T827">
        <f t="shared" si="1008"/>
        <v>5.2291229662868956E-2</v>
      </c>
    </row>
    <row r="828" spans="1:20" x14ac:dyDescent="0.25">
      <c r="A828" s="5">
        <v>43765</v>
      </c>
      <c r="B828">
        <v>0.14180000000000001</v>
      </c>
      <c r="C828">
        <v>0.19089999999999999</v>
      </c>
      <c r="D828">
        <v>0.1399</v>
      </c>
      <c r="E828">
        <v>0.17319999999999999</v>
      </c>
      <c r="F828">
        <v>2703615.21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0.30588235294117661</v>
      </c>
      <c r="Q828">
        <f t="shared" si="1005"/>
        <v>826988.18188235327</v>
      </c>
      <c r="R828">
        <f t="shared" si="1006"/>
        <v>6658412.3439464699</v>
      </c>
      <c r="S828">
        <f t="shared" si="1007"/>
        <v>66.584123439464705</v>
      </c>
      <c r="T828">
        <f t="shared" si="1008"/>
        <v>6.658412343946471E-2</v>
      </c>
    </row>
    <row r="829" spans="1:20" x14ac:dyDescent="0.25">
      <c r="A829" s="5">
        <v>43764</v>
      </c>
      <c r="B829">
        <v>0.1356</v>
      </c>
      <c r="C829">
        <v>0.14549999999999999</v>
      </c>
      <c r="D829">
        <v>0.121</v>
      </c>
      <c r="E829">
        <v>0.13969999999999999</v>
      </c>
      <c r="F829">
        <v>1170213.3700000001</v>
      </c>
      <c r="G829">
        <v>0</v>
      </c>
      <c r="L829" t="s">
        <v>7</v>
      </c>
      <c r="M829" t="s">
        <v>7</v>
      </c>
      <c r="N829" t="s">
        <v>7</v>
      </c>
      <c r="P829">
        <f t="shared" si="1004"/>
        <v>0.52653061224489783</v>
      </c>
      <c r="Q829">
        <f t="shared" si="1005"/>
        <v>616153.16216326517</v>
      </c>
      <c r="R829">
        <f t="shared" si="1006"/>
        <v>5831424.1620641164</v>
      </c>
      <c r="S829">
        <f t="shared" si="1007"/>
        <v>58.314241620641162</v>
      </c>
      <c r="T829">
        <f t="shared" si="1008"/>
        <v>5.8314241620641159E-2</v>
      </c>
    </row>
    <row r="830" spans="1:20" x14ac:dyDescent="0.25">
      <c r="A830" s="5">
        <v>43763</v>
      </c>
      <c r="B830">
        <v>0.1268</v>
      </c>
      <c r="C830">
        <v>0.1459</v>
      </c>
      <c r="D830">
        <v>0.125</v>
      </c>
      <c r="E830">
        <v>0.13439999999999999</v>
      </c>
      <c r="F830">
        <v>783322.24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-0.1004784688995224</v>
      </c>
      <c r="Q830">
        <f t="shared" si="1005"/>
        <v>-78707.01933014422</v>
      </c>
      <c r="R830">
        <f t="shared" si="1006"/>
        <v>5215270.9999008514</v>
      </c>
      <c r="S830">
        <f t="shared" si="1007"/>
        <v>52.152709999008515</v>
      </c>
      <c r="T830">
        <f t="shared" si="1008"/>
        <v>5.2152709999008513E-2</v>
      </c>
    </row>
    <row r="831" spans="1:20" x14ac:dyDescent="0.25">
      <c r="A831" s="5">
        <v>43762</v>
      </c>
      <c r="B831">
        <v>0.12280000000000001</v>
      </c>
      <c r="C831">
        <v>0.13070000000000001</v>
      </c>
      <c r="D831">
        <v>0.1198</v>
      </c>
      <c r="E831">
        <v>0.128</v>
      </c>
      <c r="F831">
        <v>168173.68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0.50458715596330161</v>
      </c>
      <c r="Q831">
        <f t="shared" ref="Q831:Q894" si="1010">F831*P831</f>
        <v>84858.278899082376</v>
      </c>
      <c r="R831">
        <f t="shared" ref="R831:R894" si="1011">R832+Q831</f>
        <v>5293978.0192309953</v>
      </c>
      <c r="S831">
        <f t="shared" ref="S831:S894" si="1012">R831/100000</f>
        <v>52.939780192309954</v>
      </c>
      <c r="T831">
        <f t="shared" ref="T831:T894" si="1013">S831/1000</f>
        <v>5.2939780192309951E-2</v>
      </c>
    </row>
    <row r="832" spans="1:20" x14ac:dyDescent="0.25">
      <c r="A832" s="5">
        <v>43761</v>
      </c>
      <c r="B832">
        <v>0.13089999999999999</v>
      </c>
      <c r="C832">
        <v>0.13750000000000001</v>
      </c>
      <c r="D832">
        <v>0.11749999999999999</v>
      </c>
      <c r="E832">
        <v>0.1222</v>
      </c>
      <c r="F832">
        <v>213858.24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-0.52999999999999947</v>
      </c>
      <c r="Q832">
        <f t="shared" si="1010"/>
        <v>-113344.86719999988</v>
      </c>
      <c r="R832">
        <f t="shared" si="1011"/>
        <v>5209119.7403319133</v>
      </c>
      <c r="S832">
        <f t="shared" si="1012"/>
        <v>52.091197403319136</v>
      </c>
      <c r="T832">
        <f t="shared" si="1013"/>
        <v>5.2091197403319134E-2</v>
      </c>
    </row>
    <row r="833" spans="1:20" x14ac:dyDescent="0.25">
      <c r="A833" s="5">
        <v>43760</v>
      </c>
      <c r="B833">
        <v>0.13350000000000001</v>
      </c>
      <c r="C833">
        <v>0.13600000000000001</v>
      </c>
      <c r="D833">
        <v>0.1303</v>
      </c>
      <c r="E833">
        <v>0.1305</v>
      </c>
      <c r="F833">
        <v>253228.13</v>
      </c>
      <c r="G833">
        <v>0</v>
      </c>
      <c r="L833" t="s">
        <v>7</v>
      </c>
      <c r="M833" t="s">
        <v>7</v>
      </c>
      <c r="N833" t="s">
        <v>7</v>
      </c>
      <c r="P833">
        <f t="shared" si="1009"/>
        <v>-0.92982456140350689</v>
      </c>
      <c r="Q833">
        <f t="shared" si="1010"/>
        <v>-235457.73491228023</v>
      </c>
      <c r="R833">
        <f t="shared" si="1011"/>
        <v>5322464.6075319136</v>
      </c>
      <c r="S833">
        <f t="shared" si="1012"/>
        <v>53.224646075319136</v>
      </c>
      <c r="T833">
        <f t="shared" si="1013"/>
        <v>5.3224646075319133E-2</v>
      </c>
    </row>
    <row r="834" spans="1:20" x14ac:dyDescent="0.25">
      <c r="A834" s="5">
        <v>43759</v>
      </c>
      <c r="B834">
        <v>0.13420000000000001</v>
      </c>
      <c r="C834">
        <v>0.13739999999999999</v>
      </c>
      <c r="D834">
        <v>0.13109999999999999</v>
      </c>
      <c r="E834">
        <v>0.13239999999999999</v>
      </c>
      <c r="F834">
        <v>242731.03</v>
      </c>
      <c r="G834">
        <v>0</v>
      </c>
      <c r="L834" t="s">
        <v>7</v>
      </c>
      <c r="M834" t="s">
        <v>7</v>
      </c>
      <c r="N834" t="s">
        <v>7</v>
      </c>
      <c r="P834">
        <f t="shared" si="1009"/>
        <v>-0.58730158730158866</v>
      </c>
      <c r="Q834">
        <f t="shared" si="1010"/>
        <v>-142556.31920634952</v>
      </c>
      <c r="R834">
        <f t="shared" si="1011"/>
        <v>5557922.3424441935</v>
      </c>
      <c r="S834">
        <f t="shared" si="1012"/>
        <v>55.579223424441935</v>
      </c>
      <c r="T834">
        <f t="shared" si="1013"/>
        <v>5.5579223424441937E-2</v>
      </c>
    </row>
    <row r="835" spans="1:20" x14ac:dyDescent="0.25">
      <c r="A835" s="5">
        <v>43758</v>
      </c>
      <c r="B835">
        <v>0.1348</v>
      </c>
      <c r="C835">
        <v>0.13669999999999999</v>
      </c>
      <c r="D835">
        <v>0.13170000000000001</v>
      </c>
      <c r="E835">
        <v>0.1336</v>
      </c>
      <c r="F835">
        <v>157771.32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-0.24000000000000243</v>
      </c>
      <c r="Q835">
        <f t="shared" si="1010"/>
        <v>-37865.116800000389</v>
      </c>
      <c r="R835">
        <f t="shared" si="1011"/>
        <v>5700478.6616505431</v>
      </c>
      <c r="S835">
        <f t="shared" si="1012"/>
        <v>57.004786616505434</v>
      </c>
      <c r="T835">
        <f t="shared" si="1013"/>
        <v>5.7004786616505432E-2</v>
      </c>
    </row>
    <row r="836" spans="1:20" x14ac:dyDescent="0.25">
      <c r="A836" s="5">
        <v>43757</v>
      </c>
      <c r="B836">
        <v>0.13389999999999999</v>
      </c>
      <c r="C836">
        <v>0.13669999999999999</v>
      </c>
      <c r="D836">
        <v>0.1318</v>
      </c>
      <c r="E836">
        <v>0.1348</v>
      </c>
      <c r="F836">
        <v>133068.68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0.22448979591837151</v>
      </c>
      <c r="Q836">
        <f t="shared" si="1010"/>
        <v>29872.560816327084</v>
      </c>
      <c r="R836">
        <f t="shared" si="1011"/>
        <v>5738343.7784505431</v>
      </c>
      <c r="S836">
        <f t="shared" si="1012"/>
        <v>57.383437784505432</v>
      </c>
      <c r="T836">
        <f t="shared" si="1013"/>
        <v>5.7383437784505435E-2</v>
      </c>
    </row>
    <row r="837" spans="1:20" x14ac:dyDescent="0.25">
      <c r="A837" s="5">
        <v>43756</v>
      </c>
      <c r="B837">
        <v>0.1376</v>
      </c>
      <c r="C837">
        <v>0.13789999999999999</v>
      </c>
      <c r="D837">
        <v>0.12939999999999999</v>
      </c>
      <c r="E837">
        <v>0.13389999999999999</v>
      </c>
      <c r="F837">
        <v>186697.56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5.8823529411764705E-2</v>
      </c>
      <c r="Q837">
        <f t="shared" si="1010"/>
        <v>10982.209411764705</v>
      </c>
      <c r="R837">
        <f t="shared" si="1011"/>
        <v>5708471.217634216</v>
      </c>
      <c r="S837">
        <f t="shared" si="1012"/>
        <v>57.084712176342158</v>
      </c>
      <c r="T837">
        <f t="shared" si="1013"/>
        <v>5.7084712176342159E-2</v>
      </c>
    </row>
    <row r="838" spans="1:20" x14ac:dyDescent="0.25">
      <c r="A838" s="5">
        <v>43755</v>
      </c>
      <c r="B838">
        <v>0.1356</v>
      </c>
      <c r="C838">
        <v>0.14779999999999999</v>
      </c>
      <c r="D838">
        <v>0.1333</v>
      </c>
      <c r="E838">
        <v>0.1366</v>
      </c>
      <c r="F838">
        <v>296223.40000000002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-0.54482758620689642</v>
      </c>
      <c r="Q838">
        <f t="shared" si="1010"/>
        <v>-161390.67999999996</v>
      </c>
      <c r="R838">
        <f t="shared" si="1011"/>
        <v>5697489.0082224514</v>
      </c>
      <c r="S838">
        <f t="shared" si="1012"/>
        <v>56.974890082224512</v>
      </c>
      <c r="T838">
        <f t="shared" si="1013"/>
        <v>5.6974890082224512E-2</v>
      </c>
    </row>
    <row r="839" spans="1:20" x14ac:dyDescent="0.25">
      <c r="A839" s="5">
        <v>43754</v>
      </c>
      <c r="B839">
        <v>0.1389</v>
      </c>
      <c r="C839">
        <v>0.1484</v>
      </c>
      <c r="D839">
        <v>0.1273</v>
      </c>
      <c r="E839">
        <v>0.1356</v>
      </c>
      <c r="F839">
        <v>635201.22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-0.21327014218009491</v>
      </c>
      <c r="Q839">
        <f t="shared" si="1010"/>
        <v>-135469.45450236974</v>
      </c>
      <c r="R839">
        <f t="shared" si="1011"/>
        <v>5858879.6882224511</v>
      </c>
      <c r="S839">
        <f t="shared" si="1012"/>
        <v>58.588796882224514</v>
      </c>
      <c r="T839">
        <f t="shared" si="1013"/>
        <v>5.8588796882224514E-2</v>
      </c>
    </row>
    <row r="840" spans="1:20" x14ac:dyDescent="0.25">
      <c r="A840" s="5">
        <v>43753</v>
      </c>
      <c r="B840">
        <v>0.1484</v>
      </c>
      <c r="C840">
        <v>0.15</v>
      </c>
      <c r="D840">
        <v>0.1368</v>
      </c>
      <c r="E840">
        <v>0.1389</v>
      </c>
      <c r="F840">
        <v>540903.51</v>
      </c>
      <c r="G840">
        <v>0</v>
      </c>
      <c r="L840" t="s">
        <v>7</v>
      </c>
      <c r="M840" t="s">
        <v>7</v>
      </c>
      <c r="N840" t="s">
        <v>7</v>
      </c>
      <c r="P840">
        <f t="shared" si="1009"/>
        <v>-0.68181818181818299</v>
      </c>
      <c r="Q840">
        <f t="shared" si="1010"/>
        <v>-368797.84772727336</v>
      </c>
      <c r="R840">
        <f t="shared" si="1011"/>
        <v>5994349.1427248204</v>
      </c>
      <c r="S840">
        <f t="shared" si="1012"/>
        <v>59.943491427248205</v>
      </c>
      <c r="T840">
        <f t="shared" si="1013"/>
        <v>5.9943491427248204E-2</v>
      </c>
    </row>
    <row r="841" spans="1:20" x14ac:dyDescent="0.25">
      <c r="A841" s="5">
        <v>43752</v>
      </c>
      <c r="B841">
        <v>0.14729999999999999</v>
      </c>
      <c r="C841">
        <v>0.15029999999999999</v>
      </c>
      <c r="D841">
        <v>0.14499999999999999</v>
      </c>
      <c r="E841">
        <v>0.14749999999999999</v>
      </c>
      <c r="F841">
        <v>347591.25</v>
      </c>
      <c r="G841">
        <v>0</v>
      </c>
      <c r="L841" t="s">
        <v>7</v>
      </c>
      <c r="M841" t="s">
        <v>7</v>
      </c>
      <c r="N841" t="s">
        <v>7</v>
      </c>
      <c r="P841">
        <f t="shared" si="1009"/>
        <v>-5.6603773584904669E-2</v>
      </c>
      <c r="Q841">
        <f t="shared" si="1010"/>
        <v>-19674.976415093995</v>
      </c>
      <c r="R841">
        <f t="shared" si="1011"/>
        <v>6363146.990452094</v>
      </c>
      <c r="S841">
        <f t="shared" si="1012"/>
        <v>63.631469904520941</v>
      </c>
      <c r="T841">
        <f t="shared" si="1013"/>
        <v>6.363146990452094E-2</v>
      </c>
    </row>
    <row r="842" spans="1:20" x14ac:dyDescent="0.25">
      <c r="A842" s="5">
        <v>43751</v>
      </c>
      <c r="B842">
        <v>0.15609999999999999</v>
      </c>
      <c r="C842">
        <v>0.1578</v>
      </c>
      <c r="D842">
        <v>0.14580000000000001</v>
      </c>
      <c r="E842">
        <v>0.14829999999999999</v>
      </c>
      <c r="F842">
        <v>432863.3</v>
      </c>
      <c r="G842">
        <v>0</v>
      </c>
      <c r="L842" t="s">
        <v>7</v>
      </c>
      <c r="M842" t="s">
        <v>7</v>
      </c>
      <c r="N842" t="s">
        <v>7</v>
      </c>
      <c r="P842">
        <f t="shared" si="1009"/>
        <v>-0.58333333333333703</v>
      </c>
      <c r="Q842">
        <f t="shared" si="1010"/>
        <v>-252503.59166666828</v>
      </c>
      <c r="R842">
        <f t="shared" si="1011"/>
        <v>6382821.966867188</v>
      </c>
      <c r="S842">
        <f t="shared" si="1012"/>
        <v>63.828219668671878</v>
      </c>
      <c r="T842">
        <f t="shared" si="1013"/>
        <v>6.3828219668671873E-2</v>
      </c>
    </row>
    <row r="843" spans="1:20" x14ac:dyDescent="0.25">
      <c r="A843" s="5">
        <v>43750</v>
      </c>
      <c r="B843">
        <v>0.16789999999999999</v>
      </c>
      <c r="C843">
        <v>0.16900000000000001</v>
      </c>
      <c r="D843">
        <v>0.15390000000000001</v>
      </c>
      <c r="E843">
        <v>0.15690000000000001</v>
      </c>
      <c r="F843">
        <v>901882.22</v>
      </c>
      <c r="G843">
        <v>0</v>
      </c>
      <c r="L843" t="s">
        <v>7</v>
      </c>
      <c r="M843" t="s">
        <v>7</v>
      </c>
      <c r="N843" t="s">
        <v>8</v>
      </c>
      <c r="P843">
        <f t="shared" si="1009"/>
        <v>-0.6026490066225163</v>
      </c>
      <c r="Q843">
        <f t="shared" si="1010"/>
        <v>-543518.42397350969</v>
      </c>
      <c r="R843">
        <f t="shared" si="1011"/>
        <v>6635325.5585338566</v>
      </c>
      <c r="S843">
        <f t="shared" si="1012"/>
        <v>66.353255585338573</v>
      </c>
      <c r="T843">
        <f t="shared" si="1013"/>
        <v>6.6353255585338569E-2</v>
      </c>
    </row>
    <row r="844" spans="1:20" x14ac:dyDescent="0.25">
      <c r="A844" s="5">
        <v>43749</v>
      </c>
      <c r="B844">
        <v>0.16020000000000001</v>
      </c>
      <c r="C844">
        <v>0.20630000000000001</v>
      </c>
      <c r="D844">
        <v>0.1517</v>
      </c>
      <c r="E844">
        <v>0.16789999999999999</v>
      </c>
      <c r="F844">
        <v>4139940.48</v>
      </c>
      <c r="G844">
        <v>0</v>
      </c>
      <c r="L844" t="s">
        <v>8</v>
      </c>
      <c r="M844" t="s">
        <v>8</v>
      </c>
      <c r="N844" t="s">
        <v>8</v>
      </c>
      <c r="P844">
        <f t="shared" si="1009"/>
        <v>-0.40659340659340698</v>
      </c>
      <c r="Q844">
        <f t="shared" si="1010"/>
        <v>-1683272.5028571445</v>
      </c>
      <c r="R844">
        <f t="shared" si="1011"/>
        <v>7178843.9825073667</v>
      </c>
      <c r="S844">
        <f t="shared" si="1012"/>
        <v>71.788439825073667</v>
      </c>
      <c r="T844">
        <f t="shared" si="1013"/>
        <v>7.1788439825073672E-2</v>
      </c>
    </row>
    <row r="845" spans="1:20" x14ac:dyDescent="0.25">
      <c r="A845" s="5">
        <v>43748</v>
      </c>
      <c r="B845">
        <v>0.15290000000000001</v>
      </c>
      <c r="C845">
        <v>0.1605</v>
      </c>
      <c r="D845">
        <v>0.1363</v>
      </c>
      <c r="E845">
        <v>0.16020000000000001</v>
      </c>
      <c r="F845">
        <v>1243223.7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0.97520661157024835</v>
      </c>
      <c r="Q845">
        <f t="shared" si="1010"/>
        <v>1212399.971900827</v>
      </c>
      <c r="R845">
        <f t="shared" si="1011"/>
        <v>8862116.4853645116</v>
      </c>
      <c r="S845">
        <f t="shared" si="1012"/>
        <v>88.621164853645112</v>
      </c>
      <c r="T845">
        <f t="shared" si="1013"/>
        <v>8.8621164853645115E-2</v>
      </c>
    </row>
    <row r="846" spans="1:20" x14ac:dyDescent="0.25">
      <c r="A846" s="5">
        <v>43747</v>
      </c>
      <c r="B846">
        <v>0.15579999999999999</v>
      </c>
      <c r="C846">
        <v>0.16220000000000001</v>
      </c>
      <c r="D846">
        <v>0.14990000000000001</v>
      </c>
      <c r="E846">
        <v>0.1537</v>
      </c>
      <c r="F846">
        <v>386888.37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-0.38211382113821202</v>
      </c>
      <c r="Q846">
        <f t="shared" si="1010"/>
        <v>-147835.3934146344</v>
      </c>
      <c r="R846">
        <f t="shared" si="1011"/>
        <v>7649716.5134636853</v>
      </c>
      <c r="S846">
        <f t="shared" si="1012"/>
        <v>76.497165134636859</v>
      </c>
      <c r="T846">
        <f t="shared" si="1013"/>
        <v>7.6497165134636863E-2</v>
      </c>
    </row>
    <row r="847" spans="1:20" x14ac:dyDescent="0.25">
      <c r="A847" s="5">
        <v>43746</v>
      </c>
      <c r="B847">
        <v>0.15440000000000001</v>
      </c>
      <c r="C847">
        <v>0.15840000000000001</v>
      </c>
      <c r="D847">
        <v>0.151</v>
      </c>
      <c r="E847">
        <v>0.15709999999999999</v>
      </c>
      <c r="F847">
        <v>256876.96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0.64864864864864313</v>
      </c>
      <c r="Q847">
        <f t="shared" si="1010"/>
        <v>166622.89297297155</v>
      </c>
      <c r="R847">
        <f t="shared" si="1011"/>
        <v>7797551.9068783196</v>
      </c>
      <c r="S847">
        <f t="shared" si="1012"/>
        <v>77.9755190687832</v>
      </c>
      <c r="T847">
        <f t="shared" si="1013"/>
        <v>7.7975519068783194E-2</v>
      </c>
    </row>
    <row r="848" spans="1:20" x14ac:dyDescent="0.25">
      <c r="A848" s="5">
        <v>43745</v>
      </c>
      <c r="B848">
        <v>0.1444</v>
      </c>
      <c r="C848">
        <v>0.157</v>
      </c>
      <c r="D848">
        <v>0.1421</v>
      </c>
      <c r="E848">
        <v>0.15440000000000001</v>
      </c>
      <c r="F848">
        <v>329499.45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0.65100671140939703</v>
      </c>
      <c r="Q848">
        <f t="shared" si="1010"/>
        <v>214506.35335570507</v>
      </c>
      <c r="R848">
        <f t="shared" si="1011"/>
        <v>7630929.0139053483</v>
      </c>
      <c r="S848">
        <f t="shared" si="1012"/>
        <v>76.309290139053488</v>
      </c>
      <c r="T848">
        <f t="shared" si="1013"/>
        <v>7.6309290139053493E-2</v>
      </c>
    </row>
    <row r="849" spans="1:20" x14ac:dyDescent="0.25">
      <c r="A849" s="5">
        <v>43744</v>
      </c>
      <c r="B849">
        <v>0.14330000000000001</v>
      </c>
      <c r="C849">
        <v>0.14879999999999999</v>
      </c>
      <c r="D849">
        <v>0.13730000000000001</v>
      </c>
      <c r="E849">
        <v>0.14460000000000001</v>
      </c>
      <c r="F849">
        <v>450299.01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0.26956521739130646</v>
      </c>
      <c r="Q849">
        <f t="shared" si="1010"/>
        <v>121384.95052174009</v>
      </c>
      <c r="R849">
        <f t="shared" si="1011"/>
        <v>7416422.6605496434</v>
      </c>
      <c r="S849">
        <f t="shared" si="1012"/>
        <v>74.164226605496438</v>
      </c>
      <c r="T849">
        <f t="shared" si="1013"/>
        <v>7.4164226605496444E-2</v>
      </c>
    </row>
    <row r="850" spans="1:20" x14ac:dyDescent="0.25">
      <c r="A850" s="5">
        <v>43743</v>
      </c>
      <c r="B850">
        <v>0.13320000000000001</v>
      </c>
      <c r="C850">
        <v>0.1489</v>
      </c>
      <c r="D850">
        <v>0.13059999999999999</v>
      </c>
      <c r="E850">
        <v>0.1431</v>
      </c>
      <c r="F850">
        <v>660075.44999999995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0.36612021857923538</v>
      </c>
      <c r="Q850">
        <f t="shared" si="1010"/>
        <v>241666.96803278715</v>
      </c>
      <c r="R850">
        <f t="shared" si="1011"/>
        <v>7295037.7100279033</v>
      </c>
      <c r="S850">
        <f t="shared" si="1012"/>
        <v>72.950377100279027</v>
      </c>
      <c r="T850">
        <f t="shared" si="1013"/>
        <v>7.2950377100279032E-2</v>
      </c>
    </row>
    <row r="851" spans="1:20" x14ac:dyDescent="0.25">
      <c r="A851" s="5">
        <v>43742</v>
      </c>
      <c r="B851">
        <v>0.1353</v>
      </c>
      <c r="C851">
        <v>0.1353</v>
      </c>
      <c r="D851">
        <v>0.1288</v>
      </c>
      <c r="E851">
        <v>0.1331</v>
      </c>
      <c r="F851">
        <v>364575.31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0.32307692307692137</v>
      </c>
      <c r="Q851">
        <f t="shared" si="1010"/>
        <v>117785.86938461477</v>
      </c>
      <c r="R851">
        <f t="shared" si="1011"/>
        <v>7053370.7419951158</v>
      </c>
      <c r="S851">
        <f t="shared" si="1012"/>
        <v>70.533707419951156</v>
      </c>
      <c r="T851">
        <f t="shared" si="1013"/>
        <v>7.0533707419951158E-2</v>
      </c>
    </row>
    <row r="852" spans="1:20" x14ac:dyDescent="0.25">
      <c r="A852" s="5">
        <v>43741</v>
      </c>
      <c r="B852">
        <v>0.1409</v>
      </c>
      <c r="C852">
        <v>0.14099999999999999</v>
      </c>
      <c r="D852">
        <v>0.13159999999999999</v>
      </c>
      <c r="E852">
        <v>0.13689999999999999</v>
      </c>
      <c r="F852">
        <v>346491.95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0.12765957446808593</v>
      </c>
      <c r="Q852">
        <f t="shared" si="1010"/>
        <v>44233.014893617306</v>
      </c>
      <c r="R852">
        <f t="shared" si="1011"/>
        <v>6935584.872610501</v>
      </c>
      <c r="S852">
        <f t="shared" si="1012"/>
        <v>69.355848726105009</v>
      </c>
      <c r="T852">
        <f t="shared" si="1013"/>
        <v>6.9355848726105007E-2</v>
      </c>
    </row>
    <row r="853" spans="1:20" x14ac:dyDescent="0.25">
      <c r="A853" s="5">
        <v>43740</v>
      </c>
      <c r="B853">
        <v>0.13150000000000001</v>
      </c>
      <c r="C853">
        <v>0.1421</v>
      </c>
      <c r="D853">
        <v>0.13109999999999999</v>
      </c>
      <c r="E853">
        <v>0.1409</v>
      </c>
      <c r="F853">
        <v>401099.69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0.78181818181818086</v>
      </c>
      <c r="Q853">
        <f t="shared" si="1010"/>
        <v>313587.03036363597</v>
      </c>
      <c r="R853">
        <f t="shared" si="1011"/>
        <v>6891351.8577168835</v>
      </c>
      <c r="S853">
        <f t="shared" si="1012"/>
        <v>68.91351857716883</v>
      </c>
      <c r="T853">
        <f t="shared" si="1013"/>
        <v>6.8913518577168834E-2</v>
      </c>
    </row>
    <row r="854" spans="1:20" x14ac:dyDescent="0.25">
      <c r="A854" s="5">
        <v>43739</v>
      </c>
      <c r="B854">
        <v>0.13009999999999999</v>
      </c>
      <c r="C854">
        <v>0.1396</v>
      </c>
      <c r="D854">
        <v>0.12870000000000001</v>
      </c>
      <c r="E854">
        <v>0.13109999999999999</v>
      </c>
      <c r="F854">
        <v>373838.41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-0.5596330275229382</v>
      </c>
      <c r="Q854">
        <f t="shared" si="1010"/>
        <v>-209212.32119266145</v>
      </c>
      <c r="R854">
        <f t="shared" si="1011"/>
        <v>6577764.8273532474</v>
      </c>
      <c r="S854">
        <f t="shared" si="1012"/>
        <v>65.777648273532478</v>
      </c>
      <c r="T854">
        <f t="shared" si="1013"/>
        <v>6.5777648273532482E-2</v>
      </c>
    </row>
    <row r="855" spans="1:20" x14ac:dyDescent="0.25">
      <c r="A855" s="5">
        <v>43738</v>
      </c>
      <c r="B855">
        <v>0.12429999999999999</v>
      </c>
      <c r="C855">
        <v>0.13489999999999999</v>
      </c>
      <c r="D855">
        <v>0.12</v>
      </c>
      <c r="E855">
        <v>0.1318</v>
      </c>
      <c r="F855">
        <v>240765.02</v>
      </c>
      <c r="G855">
        <v>0</v>
      </c>
      <c r="L855" t="s">
        <v>7</v>
      </c>
      <c r="M855" t="s">
        <v>8</v>
      </c>
      <c r="N855" t="s">
        <v>7</v>
      </c>
      <c r="P855">
        <f t="shared" si="1009"/>
        <v>0.58389261744966547</v>
      </c>
      <c r="Q855">
        <f t="shared" si="1010"/>
        <v>140580.91771812105</v>
      </c>
      <c r="R855">
        <f t="shared" si="1011"/>
        <v>6786977.1485459087</v>
      </c>
      <c r="S855">
        <f t="shared" si="1012"/>
        <v>67.869771485459083</v>
      </c>
      <c r="T855">
        <f t="shared" si="1013"/>
        <v>6.7869771485459085E-2</v>
      </c>
    </row>
    <row r="856" spans="1:20" x14ac:dyDescent="0.25">
      <c r="A856" s="5">
        <v>43737</v>
      </c>
      <c r="B856">
        <v>0.1303</v>
      </c>
      <c r="C856">
        <v>0.1386</v>
      </c>
      <c r="D856">
        <v>0.12039999999999999</v>
      </c>
      <c r="E856">
        <v>0.1244</v>
      </c>
      <c r="F856">
        <v>97169.47</v>
      </c>
      <c r="G856">
        <v>0</v>
      </c>
      <c r="L856" t="s">
        <v>8</v>
      </c>
      <c r="M856" t="s">
        <v>8</v>
      </c>
      <c r="N856" t="s">
        <v>7</v>
      </c>
      <c r="P856">
        <f t="shared" si="1009"/>
        <v>-0.56043956043956022</v>
      </c>
      <c r="Q856">
        <f t="shared" si="1010"/>
        <v>-54457.615054945032</v>
      </c>
      <c r="R856">
        <f t="shared" si="1011"/>
        <v>6646396.2308277879</v>
      </c>
      <c r="S856">
        <f t="shared" si="1012"/>
        <v>66.463962308277885</v>
      </c>
      <c r="T856">
        <f t="shared" si="1013"/>
        <v>6.6463962308277891E-2</v>
      </c>
    </row>
    <row r="857" spans="1:20" x14ac:dyDescent="0.25">
      <c r="A857" s="5">
        <v>43736</v>
      </c>
      <c r="B857">
        <v>0.12970000000000001</v>
      </c>
      <c r="C857">
        <v>0.13730000000000001</v>
      </c>
      <c r="D857">
        <v>0.12529999999999999</v>
      </c>
      <c r="E857">
        <v>0.1285</v>
      </c>
      <c r="F857">
        <v>210920.86</v>
      </c>
      <c r="G857">
        <v>0</v>
      </c>
      <c r="L857" t="s">
        <v>8</v>
      </c>
      <c r="M857" t="s">
        <v>8</v>
      </c>
      <c r="N857" t="s">
        <v>7</v>
      </c>
      <c r="P857">
        <f t="shared" si="1009"/>
        <v>-0.46666666666666573</v>
      </c>
      <c r="Q857">
        <f t="shared" si="1010"/>
        <v>-98429.734666666467</v>
      </c>
      <c r="R857">
        <f t="shared" si="1011"/>
        <v>6700853.8458827334</v>
      </c>
      <c r="S857">
        <f t="shared" si="1012"/>
        <v>67.008538458827331</v>
      </c>
      <c r="T857">
        <f t="shared" si="1013"/>
        <v>6.700853845882733E-2</v>
      </c>
    </row>
    <row r="858" spans="1:20" x14ac:dyDescent="0.25">
      <c r="A858" s="5">
        <v>43735</v>
      </c>
      <c r="B858">
        <v>0.1232</v>
      </c>
      <c r="C858">
        <v>0.13189999999999999</v>
      </c>
      <c r="D858">
        <v>0.1206</v>
      </c>
      <c r="E858">
        <v>0.13070000000000001</v>
      </c>
      <c r="F858">
        <v>143729.42000000001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0.7876106194690301</v>
      </c>
      <c r="Q858">
        <f t="shared" si="1010"/>
        <v>113202.81752212442</v>
      </c>
      <c r="R858">
        <f t="shared" si="1011"/>
        <v>6799283.5805493994</v>
      </c>
      <c r="S858">
        <f t="shared" si="1012"/>
        <v>67.992835805493996</v>
      </c>
      <c r="T858">
        <f t="shared" si="1013"/>
        <v>6.7992835805493992E-2</v>
      </c>
    </row>
    <row r="859" spans="1:20" x14ac:dyDescent="0.25">
      <c r="A859" s="5">
        <v>43734</v>
      </c>
      <c r="B859">
        <v>0.13089999999999999</v>
      </c>
      <c r="C859">
        <v>0.13300000000000001</v>
      </c>
      <c r="D859">
        <v>0.1123</v>
      </c>
      <c r="E859">
        <v>0.1232</v>
      </c>
      <c r="F859">
        <v>235291.54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5.3140096618357641E-2</v>
      </c>
      <c r="Q859">
        <f t="shared" si="1010"/>
        <v>12503.415169082162</v>
      </c>
      <c r="R859">
        <f t="shared" si="1011"/>
        <v>6686080.763027275</v>
      </c>
      <c r="S859">
        <f t="shared" si="1012"/>
        <v>66.860807630272745</v>
      </c>
      <c r="T859">
        <f t="shared" si="1013"/>
        <v>6.6860807630272745E-2</v>
      </c>
    </row>
    <row r="860" spans="1:20" x14ac:dyDescent="0.25">
      <c r="A860" s="5">
        <v>43733</v>
      </c>
      <c r="B860">
        <v>0.1295</v>
      </c>
      <c r="C860">
        <v>0.13869999999999999</v>
      </c>
      <c r="D860">
        <v>0.12330000000000001</v>
      </c>
      <c r="E860">
        <v>0.1308</v>
      </c>
      <c r="F860">
        <v>155028.82999999999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-2.5974025974025844E-2</v>
      </c>
      <c r="Q860">
        <f t="shared" si="1010"/>
        <v>-4026.7228571428368</v>
      </c>
      <c r="R860">
        <f t="shared" si="1011"/>
        <v>6673577.3478581924</v>
      </c>
      <c r="S860">
        <f t="shared" si="1012"/>
        <v>66.735773478581919</v>
      </c>
      <c r="T860">
        <f t="shared" si="1013"/>
        <v>6.6735773478581922E-2</v>
      </c>
    </row>
    <row r="861" spans="1:20" x14ac:dyDescent="0.25">
      <c r="A861" s="5">
        <v>43732</v>
      </c>
      <c r="B861">
        <v>0.1681</v>
      </c>
      <c r="C861">
        <v>0.17169999999999999</v>
      </c>
      <c r="D861">
        <v>0.1203</v>
      </c>
      <c r="E861">
        <v>0.12809999999999999</v>
      </c>
      <c r="F861">
        <v>603809.81000000006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-0.69649805447470858</v>
      </c>
      <c r="Q861">
        <f t="shared" si="1010"/>
        <v>-420552.35793774348</v>
      </c>
      <c r="R861">
        <f t="shared" si="1011"/>
        <v>6677604.0707153352</v>
      </c>
      <c r="S861">
        <f t="shared" si="1012"/>
        <v>66.776040707153356</v>
      </c>
      <c r="T861">
        <f t="shared" si="1013"/>
        <v>6.6776040707153358E-2</v>
      </c>
    </row>
    <row r="862" spans="1:20" x14ac:dyDescent="0.25">
      <c r="A862" s="5">
        <v>43731</v>
      </c>
      <c r="B862">
        <v>0.1749</v>
      </c>
      <c r="C862">
        <v>0.18060000000000001</v>
      </c>
      <c r="D862">
        <v>0.16669999999999999</v>
      </c>
      <c r="E862">
        <v>0.1696</v>
      </c>
      <c r="F862">
        <v>1331658.93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-0.582733812949639</v>
      </c>
      <c r="Q862">
        <f t="shared" si="1010"/>
        <v>-776002.68582733639</v>
      </c>
      <c r="R862">
        <f t="shared" si="1011"/>
        <v>7098156.4286530791</v>
      </c>
      <c r="S862">
        <f t="shared" si="1012"/>
        <v>70.981564286530798</v>
      </c>
      <c r="T862">
        <f t="shared" si="1013"/>
        <v>7.0981564286530796E-2</v>
      </c>
    </row>
    <row r="863" spans="1:20" x14ac:dyDescent="0.25">
      <c r="A863" s="5">
        <v>43730</v>
      </c>
      <c r="B863">
        <v>0.1822</v>
      </c>
      <c r="C863">
        <v>0.18229999999999999</v>
      </c>
      <c r="D863">
        <v>0.17369999999999999</v>
      </c>
      <c r="E863">
        <v>0.1749</v>
      </c>
      <c r="F863">
        <v>271017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-0.72093023255813793</v>
      </c>
      <c r="Q863">
        <f t="shared" si="1010"/>
        <v>-195384.34883720888</v>
      </c>
      <c r="R863">
        <f t="shared" si="1011"/>
        <v>7874159.1144804154</v>
      </c>
      <c r="S863">
        <f t="shared" si="1012"/>
        <v>78.741591144804147</v>
      </c>
      <c r="T863">
        <f t="shared" si="1013"/>
        <v>7.8741591144804141E-2</v>
      </c>
    </row>
    <row r="864" spans="1:20" x14ac:dyDescent="0.25">
      <c r="A864" s="5">
        <v>43729</v>
      </c>
      <c r="B864">
        <v>0.18720000000000001</v>
      </c>
      <c r="C864">
        <v>0.18720000000000001</v>
      </c>
      <c r="D864">
        <v>0.1789</v>
      </c>
      <c r="E864">
        <v>0.1822</v>
      </c>
      <c r="F864">
        <v>192792.55</v>
      </c>
      <c r="G864">
        <v>0</v>
      </c>
      <c r="L864" t="s">
        <v>8</v>
      </c>
      <c r="M864" t="s">
        <v>7</v>
      </c>
      <c r="N864" t="s">
        <v>7</v>
      </c>
      <c r="P864">
        <f t="shared" si="1009"/>
        <v>-0.20481927710843453</v>
      </c>
      <c r="Q864">
        <f t="shared" si="1010"/>
        <v>-39487.630722891721</v>
      </c>
      <c r="R864">
        <f t="shared" si="1011"/>
        <v>8069543.4633176243</v>
      </c>
      <c r="S864">
        <f t="shared" si="1012"/>
        <v>80.695434633176248</v>
      </c>
      <c r="T864">
        <f t="shared" si="1013"/>
        <v>8.0695434633176244E-2</v>
      </c>
    </row>
    <row r="865" spans="1:20" x14ac:dyDescent="0.25">
      <c r="A865" s="5">
        <v>43728</v>
      </c>
      <c r="B865">
        <v>0.19120000000000001</v>
      </c>
      <c r="C865">
        <v>0.19120000000000001</v>
      </c>
      <c r="D865">
        <v>0.18310000000000001</v>
      </c>
      <c r="E865">
        <v>0.1862</v>
      </c>
      <c r="F865">
        <v>383575.14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-0.23456790123456958</v>
      </c>
      <c r="Q865">
        <f t="shared" si="1010"/>
        <v>-89974.415555556203</v>
      </c>
      <c r="R865">
        <f t="shared" si="1011"/>
        <v>8109031.0940405158</v>
      </c>
      <c r="S865">
        <f t="shared" si="1012"/>
        <v>81.090310940405161</v>
      </c>
      <c r="T865">
        <f t="shared" si="1013"/>
        <v>8.1090310940405155E-2</v>
      </c>
    </row>
    <row r="866" spans="1:20" x14ac:dyDescent="0.25">
      <c r="A866" s="5">
        <v>43727</v>
      </c>
      <c r="B866">
        <v>0.182</v>
      </c>
      <c r="C866">
        <v>0.215</v>
      </c>
      <c r="D866">
        <v>0.1701</v>
      </c>
      <c r="E866">
        <v>0.19040000000000001</v>
      </c>
      <c r="F866">
        <v>1932209.59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-9.5768374164810044E-2</v>
      </c>
      <c r="Q866">
        <f t="shared" si="1010"/>
        <v>-185044.57097995421</v>
      </c>
      <c r="R866">
        <f t="shared" si="1011"/>
        <v>8199005.5095960721</v>
      </c>
      <c r="S866">
        <f t="shared" si="1012"/>
        <v>81.990055095960727</v>
      </c>
      <c r="T866">
        <f t="shared" si="1013"/>
        <v>8.1990055095960732E-2</v>
      </c>
    </row>
    <row r="867" spans="1:20" x14ac:dyDescent="0.25">
      <c r="A867" s="5">
        <v>43726</v>
      </c>
      <c r="B867">
        <v>0.1764</v>
      </c>
      <c r="C867">
        <v>0.18729999999999999</v>
      </c>
      <c r="D867">
        <v>0.17610000000000001</v>
      </c>
      <c r="E867">
        <v>0.1835</v>
      </c>
      <c r="F867">
        <v>451759.54</v>
      </c>
      <c r="G867">
        <v>0</v>
      </c>
      <c r="L867" t="s">
        <v>7</v>
      </c>
      <c r="M867" t="s">
        <v>7</v>
      </c>
      <c r="N867" t="s">
        <v>7</v>
      </c>
      <c r="P867">
        <f t="shared" si="1009"/>
        <v>0.32142857142857106</v>
      </c>
      <c r="Q867">
        <f t="shared" si="1010"/>
        <v>145208.4235714284</v>
      </c>
      <c r="R867">
        <f t="shared" si="1011"/>
        <v>8384050.0805760268</v>
      </c>
      <c r="S867">
        <f t="shared" si="1012"/>
        <v>83.840500805760271</v>
      </c>
      <c r="T867">
        <f t="shared" si="1013"/>
        <v>8.3840500805760276E-2</v>
      </c>
    </row>
    <row r="868" spans="1:20" x14ac:dyDescent="0.25">
      <c r="A868" s="5">
        <v>43725</v>
      </c>
      <c r="B868">
        <v>0.1744</v>
      </c>
      <c r="C868">
        <v>0.19470000000000001</v>
      </c>
      <c r="D868">
        <v>0.17019999999999999</v>
      </c>
      <c r="E868">
        <v>0.17610000000000001</v>
      </c>
      <c r="F868">
        <v>539215.81999999995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-0.51836734693877462</v>
      </c>
      <c r="Q868">
        <f t="shared" si="1010"/>
        <v>-279511.8740408158</v>
      </c>
      <c r="R868">
        <f t="shared" si="1011"/>
        <v>8238841.6570045985</v>
      </c>
      <c r="S868">
        <f t="shared" si="1012"/>
        <v>82.38841657004599</v>
      </c>
      <c r="T868">
        <f t="shared" si="1013"/>
        <v>8.2388416570045989E-2</v>
      </c>
    </row>
    <row r="869" spans="1:20" x14ac:dyDescent="0.25">
      <c r="A869" s="5">
        <v>43724</v>
      </c>
      <c r="B869">
        <v>0.1762</v>
      </c>
      <c r="C869">
        <v>0.17749999999999999</v>
      </c>
      <c r="D869">
        <v>0.1729</v>
      </c>
      <c r="E869">
        <v>0.17530000000000001</v>
      </c>
      <c r="F869">
        <v>156462.51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4.3478260869572564E-2</v>
      </c>
      <c r="Q869">
        <f t="shared" si="1010"/>
        <v>6802.7178260881064</v>
      </c>
      <c r="R869">
        <f t="shared" si="1011"/>
        <v>8518353.5310454145</v>
      </c>
      <c r="S869">
        <f t="shared" si="1012"/>
        <v>85.183535310454147</v>
      </c>
      <c r="T869">
        <f t="shared" si="1013"/>
        <v>8.5183535310454153E-2</v>
      </c>
    </row>
    <row r="870" spans="1:20" x14ac:dyDescent="0.25">
      <c r="A870" s="5">
        <v>43723</v>
      </c>
      <c r="B870">
        <v>0.17510000000000001</v>
      </c>
      <c r="C870">
        <v>0.17649999999999999</v>
      </c>
      <c r="D870">
        <v>0.17219999999999999</v>
      </c>
      <c r="E870">
        <v>0.1762</v>
      </c>
      <c r="F870">
        <v>78543.98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0.86046511627907218</v>
      </c>
      <c r="Q870">
        <f t="shared" si="1010"/>
        <v>67584.354883721113</v>
      </c>
      <c r="R870">
        <f t="shared" si="1011"/>
        <v>8511550.8132193256</v>
      </c>
      <c r="S870">
        <f t="shared" si="1012"/>
        <v>85.115508132193256</v>
      </c>
      <c r="T870">
        <f t="shared" si="1013"/>
        <v>8.5115508132193249E-2</v>
      </c>
    </row>
    <row r="871" spans="1:20" x14ac:dyDescent="0.25">
      <c r="A871" s="5">
        <v>43722</v>
      </c>
      <c r="B871">
        <v>0.17480000000000001</v>
      </c>
      <c r="C871">
        <v>0.1762</v>
      </c>
      <c r="D871">
        <v>0.17150000000000001</v>
      </c>
      <c r="E871">
        <v>0.17519999999999999</v>
      </c>
      <c r="F871">
        <v>124659.84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0.57446808510638092</v>
      </c>
      <c r="Q871">
        <f t="shared" si="1010"/>
        <v>71613.099574467822</v>
      </c>
      <c r="R871">
        <f t="shared" si="1011"/>
        <v>8443966.4583356045</v>
      </c>
      <c r="S871">
        <f t="shared" si="1012"/>
        <v>84.439664583356048</v>
      </c>
      <c r="T871">
        <f t="shared" si="1013"/>
        <v>8.4439664583356042E-2</v>
      </c>
    </row>
    <row r="872" spans="1:20" x14ac:dyDescent="0.25">
      <c r="A872" s="5">
        <v>43721</v>
      </c>
      <c r="B872">
        <v>0.17449999999999999</v>
      </c>
      <c r="C872">
        <v>0.1789</v>
      </c>
      <c r="D872">
        <v>0.17119999999999999</v>
      </c>
      <c r="E872">
        <v>0.17469999999999999</v>
      </c>
      <c r="F872">
        <v>140915.48000000001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-9.0909090909091564E-2</v>
      </c>
      <c r="Q872">
        <f t="shared" si="1010"/>
        <v>-12810.498181818275</v>
      </c>
      <c r="R872">
        <f t="shared" si="1011"/>
        <v>8372353.3587611374</v>
      </c>
      <c r="S872">
        <f t="shared" si="1012"/>
        <v>83.723533587611371</v>
      </c>
      <c r="T872">
        <f t="shared" si="1013"/>
        <v>8.3723533587611365E-2</v>
      </c>
    </row>
    <row r="873" spans="1:20" x14ac:dyDescent="0.25">
      <c r="A873" s="5">
        <v>43720</v>
      </c>
      <c r="B873">
        <v>0.17319999999999999</v>
      </c>
      <c r="C873">
        <v>0.17680000000000001</v>
      </c>
      <c r="D873">
        <v>0.16889999999999999</v>
      </c>
      <c r="E873">
        <v>0.17449999999999999</v>
      </c>
      <c r="F873">
        <v>165959.70000000001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0.41772151898733695</v>
      </c>
      <c r="Q873">
        <f t="shared" si="1010"/>
        <v>69324.937974682747</v>
      </c>
      <c r="R873">
        <f t="shared" si="1011"/>
        <v>8385163.8569429554</v>
      </c>
      <c r="S873">
        <f t="shared" si="1012"/>
        <v>83.851638569429554</v>
      </c>
      <c r="T873">
        <f t="shared" si="1013"/>
        <v>8.3851638569429551E-2</v>
      </c>
    </row>
    <row r="874" spans="1:20" x14ac:dyDescent="0.25">
      <c r="A874" s="5">
        <v>43719</v>
      </c>
      <c r="B874">
        <v>0.17419999999999999</v>
      </c>
      <c r="C874">
        <v>0.17710000000000001</v>
      </c>
      <c r="D874">
        <v>0.1691</v>
      </c>
      <c r="E874">
        <v>0.17319999999999999</v>
      </c>
      <c r="F874">
        <v>77313.919999999998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2.4999999999997226E-2</v>
      </c>
      <c r="Q874">
        <f t="shared" si="1010"/>
        <v>1932.8479999997855</v>
      </c>
      <c r="R874">
        <f t="shared" si="1011"/>
        <v>8315838.9189682724</v>
      </c>
      <c r="S874">
        <f t="shared" si="1012"/>
        <v>83.158389189682723</v>
      </c>
      <c r="T874">
        <f t="shared" si="1013"/>
        <v>8.3158389189682727E-2</v>
      </c>
    </row>
    <row r="875" spans="1:20" x14ac:dyDescent="0.25">
      <c r="A875" s="5">
        <v>43718</v>
      </c>
      <c r="B875">
        <v>0.1744</v>
      </c>
      <c r="C875">
        <v>0.18160000000000001</v>
      </c>
      <c r="D875">
        <v>0.17280000000000001</v>
      </c>
      <c r="E875">
        <v>0.17499999999999999</v>
      </c>
      <c r="F875">
        <v>135808.4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-0.50000000000000477</v>
      </c>
      <c r="Q875">
        <f t="shared" si="1010"/>
        <v>-67904.200000000652</v>
      </c>
      <c r="R875">
        <f t="shared" si="1011"/>
        <v>8313906.0709682722</v>
      </c>
      <c r="S875">
        <f t="shared" si="1012"/>
        <v>83.139060709682724</v>
      </c>
      <c r="T875">
        <f t="shared" si="1013"/>
        <v>8.313906070968273E-2</v>
      </c>
    </row>
    <row r="876" spans="1:20" x14ac:dyDescent="0.25">
      <c r="A876" s="5">
        <v>43717</v>
      </c>
      <c r="B876">
        <v>0.17780000000000001</v>
      </c>
      <c r="C876">
        <v>0.1789</v>
      </c>
      <c r="D876">
        <v>0.17100000000000001</v>
      </c>
      <c r="E876">
        <v>0.17499999999999999</v>
      </c>
      <c r="F876">
        <v>181682.28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1.2658227848096374E-2</v>
      </c>
      <c r="Q876">
        <f t="shared" si="1010"/>
        <v>2299.7756962016429</v>
      </c>
      <c r="R876">
        <f t="shared" si="1011"/>
        <v>8381810.2709682724</v>
      </c>
      <c r="S876">
        <f t="shared" si="1012"/>
        <v>83.818102709682719</v>
      </c>
      <c r="T876">
        <f t="shared" si="1013"/>
        <v>8.3818102709682721E-2</v>
      </c>
    </row>
    <row r="877" spans="1:20" x14ac:dyDescent="0.25">
      <c r="A877" s="5">
        <v>43716</v>
      </c>
      <c r="B877">
        <v>0.1774</v>
      </c>
      <c r="C877">
        <v>0.1862</v>
      </c>
      <c r="D877">
        <v>0.1721</v>
      </c>
      <c r="E877">
        <v>0.17749999999999999</v>
      </c>
      <c r="F877">
        <v>130730.76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-0.23404255319149112</v>
      </c>
      <c r="Q877">
        <f t="shared" si="1010"/>
        <v>-30596.56085106406</v>
      </c>
      <c r="R877">
        <f t="shared" si="1011"/>
        <v>8379510.4952720711</v>
      </c>
      <c r="S877">
        <f t="shared" si="1012"/>
        <v>83.795104952720706</v>
      </c>
      <c r="T877">
        <f t="shared" si="1013"/>
        <v>8.3795104952720703E-2</v>
      </c>
    </row>
    <row r="878" spans="1:20" x14ac:dyDescent="0.25">
      <c r="A878" s="5">
        <v>43715</v>
      </c>
      <c r="B878">
        <v>0.17499999999999999</v>
      </c>
      <c r="C878">
        <v>0.17899999999999999</v>
      </c>
      <c r="D878">
        <v>0.17019999999999999</v>
      </c>
      <c r="E878">
        <v>0.17660000000000001</v>
      </c>
      <c r="F878">
        <v>92400.8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0.45454545454545797</v>
      </c>
      <c r="Q878">
        <f t="shared" si="1010"/>
        <v>42000.363636363953</v>
      </c>
      <c r="R878">
        <f t="shared" si="1011"/>
        <v>8410107.0561231356</v>
      </c>
      <c r="S878">
        <f t="shared" si="1012"/>
        <v>84.101070561231353</v>
      </c>
      <c r="T878">
        <f t="shared" si="1013"/>
        <v>8.4101070561231353E-2</v>
      </c>
    </row>
    <row r="879" spans="1:20" x14ac:dyDescent="0.25">
      <c r="A879" s="5">
        <v>43714</v>
      </c>
      <c r="B879">
        <v>0.17280000000000001</v>
      </c>
      <c r="C879">
        <v>0.182</v>
      </c>
      <c r="D879">
        <v>0.16950000000000001</v>
      </c>
      <c r="E879">
        <v>0.17330000000000001</v>
      </c>
      <c r="F879">
        <v>115247.96</v>
      </c>
      <c r="G879">
        <v>0</v>
      </c>
      <c r="L879" t="s">
        <v>8</v>
      </c>
      <c r="M879" t="s">
        <v>7</v>
      </c>
      <c r="N879" t="s">
        <v>7</v>
      </c>
      <c r="P879">
        <f t="shared" si="1009"/>
        <v>-0.39199999999999952</v>
      </c>
      <c r="Q879">
        <f t="shared" si="1010"/>
        <v>-45177.200319999945</v>
      </c>
      <c r="R879">
        <f t="shared" si="1011"/>
        <v>8368106.6924867723</v>
      </c>
      <c r="S879">
        <f t="shared" si="1012"/>
        <v>83.681066924867721</v>
      </c>
      <c r="T879">
        <f t="shared" si="1013"/>
        <v>8.3681066924867722E-2</v>
      </c>
    </row>
    <row r="880" spans="1:20" x14ac:dyDescent="0.25">
      <c r="A880" s="5">
        <v>43713</v>
      </c>
      <c r="B880">
        <v>0.1729</v>
      </c>
      <c r="C880">
        <v>0.1792</v>
      </c>
      <c r="D880">
        <v>0.1701</v>
      </c>
      <c r="E880">
        <v>0.17280000000000001</v>
      </c>
      <c r="F880">
        <v>254393.48</v>
      </c>
      <c r="G880">
        <v>0</v>
      </c>
      <c r="L880" t="s">
        <v>8</v>
      </c>
      <c r="M880" t="s">
        <v>7</v>
      </c>
      <c r="N880" t="s">
        <v>7</v>
      </c>
      <c r="P880">
        <f t="shared" si="1009"/>
        <v>-0.40659340659340465</v>
      </c>
      <c r="Q880">
        <f t="shared" si="1010"/>
        <v>-103434.71164835116</v>
      </c>
      <c r="R880">
        <f t="shared" si="1011"/>
        <v>8413283.8928067721</v>
      </c>
      <c r="S880">
        <f t="shared" si="1012"/>
        <v>84.132838928067727</v>
      </c>
      <c r="T880">
        <f t="shared" si="1013"/>
        <v>8.4132838928067721E-2</v>
      </c>
    </row>
    <row r="881" spans="1:20" x14ac:dyDescent="0.25">
      <c r="A881" s="5">
        <v>43712</v>
      </c>
      <c r="B881">
        <v>0.1804</v>
      </c>
      <c r="C881">
        <v>0.1804</v>
      </c>
      <c r="D881">
        <v>0.16739999999999999</v>
      </c>
      <c r="E881">
        <v>0.17230000000000001</v>
      </c>
      <c r="F881">
        <v>466731.1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-0.24615384615384445</v>
      </c>
      <c r="Q881">
        <f t="shared" si="1010"/>
        <v>-114887.65538461458</v>
      </c>
      <c r="R881">
        <f t="shared" si="1011"/>
        <v>8516718.6044551227</v>
      </c>
      <c r="S881">
        <f t="shared" si="1012"/>
        <v>85.167186044551229</v>
      </c>
      <c r="T881">
        <f t="shared" si="1013"/>
        <v>8.516718604455123E-2</v>
      </c>
    </row>
    <row r="882" spans="1:20" x14ac:dyDescent="0.25">
      <c r="A882" s="5">
        <v>43711</v>
      </c>
      <c r="B882">
        <v>0.1797</v>
      </c>
      <c r="C882">
        <v>0.188</v>
      </c>
      <c r="D882">
        <v>0.1769</v>
      </c>
      <c r="E882">
        <v>0.1802</v>
      </c>
      <c r="F882">
        <v>226568.68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-0.40540540540540582</v>
      </c>
      <c r="Q882">
        <f t="shared" si="1010"/>
        <v>-91852.167567567652</v>
      </c>
      <c r="R882">
        <f t="shared" si="1011"/>
        <v>8631606.2598397378</v>
      </c>
      <c r="S882">
        <f t="shared" si="1012"/>
        <v>86.31606259839738</v>
      </c>
      <c r="T882">
        <f t="shared" si="1013"/>
        <v>8.6316062598397386E-2</v>
      </c>
    </row>
    <row r="883" spans="1:20" x14ac:dyDescent="0.25">
      <c r="A883" s="5">
        <v>43710</v>
      </c>
      <c r="B883">
        <v>0.18149999999999999</v>
      </c>
      <c r="C883">
        <v>0.18390000000000001</v>
      </c>
      <c r="D883">
        <v>0.17580000000000001</v>
      </c>
      <c r="E883">
        <v>0.17929999999999999</v>
      </c>
      <c r="F883">
        <v>188270.07999999999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-0.13580246913580815</v>
      </c>
      <c r="Q883">
        <f t="shared" si="1010"/>
        <v>-25567.541728396129</v>
      </c>
      <c r="R883">
        <f t="shared" si="1011"/>
        <v>8723458.4274073057</v>
      </c>
      <c r="S883">
        <f t="shared" si="1012"/>
        <v>87.234584274073057</v>
      </c>
      <c r="T883">
        <f t="shared" si="1013"/>
        <v>8.723458427407306E-2</v>
      </c>
    </row>
    <row r="884" spans="1:20" x14ac:dyDescent="0.25">
      <c r="A884" s="5">
        <v>43709</v>
      </c>
      <c r="B884">
        <v>0.17299999999999999</v>
      </c>
      <c r="C884">
        <v>0.18340000000000001</v>
      </c>
      <c r="D884">
        <v>0.1719</v>
      </c>
      <c r="E884">
        <v>0.18149999999999999</v>
      </c>
      <c r="F884">
        <v>187708.48</v>
      </c>
      <c r="G884">
        <v>0</v>
      </c>
      <c r="L884" t="s">
        <v>8</v>
      </c>
      <c r="M884" t="s">
        <v>7</v>
      </c>
      <c r="N884" t="s">
        <v>7</v>
      </c>
      <c r="P884">
        <f t="shared" si="1009"/>
        <v>0.66956521739130237</v>
      </c>
      <c r="Q884">
        <f t="shared" si="1010"/>
        <v>125683.06921739093</v>
      </c>
      <c r="R884">
        <f t="shared" si="1011"/>
        <v>8749025.9691357017</v>
      </c>
      <c r="S884">
        <f t="shared" si="1012"/>
        <v>87.490259691357011</v>
      </c>
      <c r="T884">
        <f t="shared" si="1013"/>
        <v>8.7490259691357014E-2</v>
      </c>
    </row>
    <row r="885" spans="1:20" x14ac:dyDescent="0.25">
      <c r="A885" s="5">
        <v>43708</v>
      </c>
      <c r="B885">
        <v>0.1721</v>
      </c>
      <c r="C885">
        <v>0.17610000000000001</v>
      </c>
      <c r="D885">
        <v>0.1704</v>
      </c>
      <c r="E885">
        <v>0.17299999999999999</v>
      </c>
      <c r="F885">
        <v>97922.2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-8.7719298245618818E-2</v>
      </c>
      <c r="Q885">
        <f t="shared" si="1010"/>
        <v>-8589.6666666671354</v>
      </c>
      <c r="R885">
        <f t="shared" si="1011"/>
        <v>8623342.8999183103</v>
      </c>
      <c r="S885">
        <f t="shared" si="1012"/>
        <v>86.233428999183104</v>
      </c>
      <c r="T885">
        <f t="shared" si="1013"/>
        <v>8.6233428999183098E-2</v>
      </c>
    </row>
    <row r="886" spans="1:20" x14ac:dyDescent="0.25">
      <c r="A886" s="5">
        <v>43707</v>
      </c>
      <c r="B886">
        <v>0.17050000000000001</v>
      </c>
      <c r="C886">
        <v>0.1736</v>
      </c>
      <c r="D886">
        <v>0.1668</v>
      </c>
      <c r="E886">
        <v>0.1736</v>
      </c>
      <c r="F886">
        <v>119513.41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1</v>
      </c>
      <c r="Q886">
        <f t="shared" si="1010"/>
        <v>119513.41</v>
      </c>
      <c r="R886">
        <f t="shared" si="1011"/>
        <v>8631932.5665849783</v>
      </c>
      <c r="S886">
        <f t="shared" si="1012"/>
        <v>86.319325665849789</v>
      </c>
      <c r="T886">
        <f t="shared" si="1013"/>
        <v>8.6319325665849794E-2</v>
      </c>
    </row>
    <row r="887" spans="1:20" x14ac:dyDescent="0.25">
      <c r="A887" s="5">
        <v>43706</v>
      </c>
      <c r="B887">
        <v>0.1726</v>
      </c>
      <c r="C887">
        <v>0.1744</v>
      </c>
      <c r="D887">
        <v>0.1651</v>
      </c>
      <c r="E887">
        <v>0.1706</v>
      </c>
      <c r="F887">
        <v>180087.7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0.18279569892473188</v>
      </c>
      <c r="Q887">
        <f t="shared" si="1010"/>
        <v>32919.256989247442</v>
      </c>
      <c r="R887">
        <f t="shared" si="1011"/>
        <v>8512419.1565849781</v>
      </c>
      <c r="S887">
        <f t="shared" si="1012"/>
        <v>85.124191565849785</v>
      </c>
      <c r="T887">
        <f t="shared" si="1013"/>
        <v>8.5124191565849786E-2</v>
      </c>
    </row>
    <row r="888" spans="1:20" x14ac:dyDescent="0.25">
      <c r="A888" s="5">
        <v>43705</v>
      </c>
      <c r="B888">
        <v>0.185</v>
      </c>
      <c r="C888">
        <v>0.1928</v>
      </c>
      <c r="D888">
        <v>0.16850000000000001</v>
      </c>
      <c r="E888">
        <v>0.1726</v>
      </c>
      <c r="F888">
        <v>493174.01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-0.66255144032921853</v>
      </c>
      <c r="Q888">
        <f t="shared" si="1010"/>
        <v>-326753.15065843641</v>
      </c>
      <c r="R888">
        <f t="shared" si="1011"/>
        <v>8479499.89959573</v>
      </c>
      <c r="S888">
        <f t="shared" si="1012"/>
        <v>84.7949989959573</v>
      </c>
      <c r="T888">
        <f t="shared" si="1013"/>
        <v>8.4794998995957299E-2</v>
      </c>
    </row>
    <row r="889" spans="1:20" x14ac:dyDescent="0.25">
      <c r="A889" s="5">
        <v>43704</v>
      </c>
      <c r="B889">
        <v>0.19320000000000001</v>
      </c>
      <c r="C889">
        <v>0.19370000000000001</v>
      </c>
      <c r="D889">
        <v>0.1797</v>
      </c>
      <c r="E889">
        <v>0.1842</v>
      </c>
      <c r="F889">
        <v>347021.21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-0.35714285714285715</v>
      </c>
      <c r="Q889">
        <f t="shared" si="1010"/>
        <v>-123936.14642857143</v>
      </c>
      <c r="R889">
        <f t="shared" si="1011"/>
        <v>8806253.0502541661</v>
      </c>
      <c r="S889">
        <f t="shared" si="1012"/>
        <v>88.062530502541662</v>
      </c>
      <c r="T889">
        <f t="shared" si="1013"/>
        <v>8.8062530502541661E-2</v>
      </c>
    </row>
    <row r="890" spans="1:20" x14ac:dyDescent="0.25">
      <c r="A890" s="5">
        <v>43703</v>
      </c>
      <c r="B890">
        <v>0.19670000000000001</v>
      </c>
      <c r="C890">
        <v>0.20069999999999999</v>
      </c>
      <c r="D890">
        <v>0.188</v>
      </c>
      <c r="E890">
        <v>0.19220000000000001</v>
      </c>
      <c r="F890">
        <v>251363.16</v>
      </c>
      <c r="G890">
        <v>0</v>
      </c>
      <c r="L890" t="s">
        <v>7</v>
      </c>
      <c r="M890" t="s">
        <v>8</v>
      </c>
      <c r="N890" t="s">
        <v>7</v>
      </c>
      <c r="P890">
        <f t="shared" si="1009"/>
        <v>-0.33858267716535229</v>
      </c>
      <c r="Q890">
        <f t="shared" si="1010"/>
        <v>-85107.211653542792</v>
      </c>
      <c r="R890">
        <f t="shared" si="1011"/>
        <v>8930189.1966827381</v>
      </c>
      <c r="S890">
        <f t="shared" si="1012"/>
        <v>89.301891966827384</v>
      </c>
      <c r="T890">
        <f t="shared" si="1013"/>
        <v>8.930189196682739E-2</v>
      </c>
    </row>
    <row r="891" spans="1:20" x14ac:dyDescent="0.25">
      <c r="A891" s="5">
        <v>43702</v>
      </c>
      <c r="B891">
        <v>0.19359999999999999</v>
      </c>
      <c r="C891">
        <v>0.21709999999999999</v>
      </c>
      <c r="D891">
        <v>0.1883</v>
      </c>
      <c r="E891">
        <v>0.19600000000000001</v>
      </c>
      <c r="F891">
        <v>1180907.72</v>
      </c>
      <c r="G891">
        <v>0</v>
      </c>
      <c r="L891" t="s">
        <v>8</v>
      </c>
      <c r="M891" t="s">
        <v>8</v>
      </c>
      <c r="N891" t="s">
        <v>7</v>
      </c>
      <c r="P891">
        <f t="shared" si="1009"/>
        <v>-0.46527777777777679</v>
      </c>
      <c r="Q891">
        <f t="shared" si="1010"/>
        <v>-549450.11972222105</v>
      </c>
      <c r="R891">
        <f t="shared" si="1011"/>
        <v>9015296.4083362818</v>
      </c>
      <c r="S891">
        <f t="shared" si="1012"/>
        <v>90.152964083362818</v>
      </c>
      <c r="T891">
        <f t="shared" si="1013"/>
        <v>9.0152964083362819E-2</v>
      </c>
    </row>
    <row r="892" spans="1:20" x14ac:dyDescent="0.25">
      <c r="A892" s="5">
        <v>43701</v>
      </c>
      <c r="B892">
        <v>0.1807</v>
      </c>
      <c r="C892">
        <v>0.20469999999999999</v>
      </c>
      <c r="D892">
        <v>0.1807</v>
      </c>
      <c r="E892">
        <v>0.19239999999999999</v>
      </c>
      <c r="F892">
        <v>518516.76</v>
      </c>
      <c r="G892">
        <v>0</v>
      </c>
      <c r="L892" t="s">
        <v>8</v>
      </c>
      <c r="M892" t="s">
        <v>8</v>
      </c>
      <c r="N892" t="s">
        <v>7</v>
      </c>
      <c r="P892">
        <f t="shared" si="1009"/>
        <v>-2.5000000000000723E-2</v>
      </c>
      <c r="Q892">
        <f t="shared" si="1010"/>
        <v>-12962.919000000375</v>
      </c>
      <c r="R892">
        <f t="shared" si="1011"/>
        <v>9564746.5280585028</v>
      </c>
      <c r="S892">
        <f t="shared" si="1012"/>
        <v>95.647465280585024</v>
      </c>
      <c r="T892">
        <f t="shared" si="1013"/>
        <v>9.5647465280585028E-2</v>
      </c>
    </row>
    <row r="893" spans="1:20" x14ac:dyDescent="0.25">
      <c r="A893" s="5">
        <v>43700</v>
      </c>
      <c r="B893">
        <v>0.1762</v>
      </c>
      <c r="C893">
        <v>0.19420000000000001</v>
      </c>
      <c r="D893">
        <v>0.17369999999999999</v>
      </c>
      <c r="E893">
        <v>0.18090000000000001</v>
      </c>
      <c r="F893">
        <v>851235.98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-0.29756097560975553</v>
      </c>
      <c r="Q893">
        <f t="shared" si="1010"/>
        <v>-253294.60868292634</v>
      </c>
      <c r="R893">
        <f t="shared" si="1011"/>
        <v>9577709.4470585026</v>
      </c>
      <c r="S893">
        <f t="shared" si="1012"/>
        <v>95.777094470585027</v>
      </c>
      <c r="T893">
        <f t="shared" si="1013"/>
        <v>9.5777094470585022E-2</v>
      </c>
    </row>
    <row r="894" spans="1:20" x14ac:dyDescent="0.25">
      <c r="A894" s="5">
        <v>43699</v>
      </c>
      <c r="B894">
        <v>0.17330000000000001</v>
      </c>
      <c r="C894">
        <v>0.183</v>
      </c>
      <c r="D894">
        <v>0.1658</v>
      </c>
      <c r="E894">
        <v>0.17630000000000001</v>
      </c>
      <c r="F894">
        <v>219498.82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0.22093023255814112</v>
      </c>
      <c r="Q894">
        <f t="shared" si="1010"/>
        <v>48493.925348837562</v>
      </c>
      <c r="R894">
        <f t="shared" si="1011"/>
        <v>9831004.0557414293</v>
      </c>
      <c r="S894">
        <f t="shared" si="1012"/>
        <v>98.310040557414297</v>
      </c>
      <c r="T894">
        <f t="shared" si="1013"/>
        <v>9.8310040557414297E-2</v>
      </c>
    </row>
    <row r="895" spans="1:20" x14ac:dyDescent="0.25">
      <c r="A895" s="5">
        <v>43698</v>
      </c>
      <c r="B895">
        <v>0.18260000000000001</v>
      </c>
      <c r="C895">
        <v>0.18260000000000001</v>
      </c>
      <c r="D895">
        <v>0.1658</v>
      </c>
      <c r="E895">
        <v>0.17230000000000001</v>
      </c>
      <c r="F895">
        <v>185087.5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-0.22619047619047594</v>
      </c>
      <c r="Q895">
        <f t="shared" ref="Q895:Q958" si="1015">F895*P895</f>
        <v>-41865.029761904712</v>
      </c>
      <c r="R895">
        <f t="shared" ref="R895:R958" si="1016">R896+Q895</f>
        <v>9782510.1303925924</v>
      </c>
      <c r="S895">
        <f t="shared" ref="S895:S958" si="1017">R895/100000</f>
        <v>97.825101303925919</v>
      </c>
      <c r="T895">
        <f t="shared" ref="T895:T958" si="1018">S895/1000</f>
        <v>9.7825101303925924E-2</v>
      </c>
    </row>
    <row r="896" spans="1:20" x14ac:dyDescent="0.25">
      <c r="A896" s="5">
        <v>43697</v>
      </c>
      <c r="B896">
        <v>0.1888</v>
      </c>
      <c r="C896">
        <v>0.19189999999999999</v>
      </c>
      <c r="D896">
        <v>0.17979999999999999</v>
      </c>
      <c r="E896">
        <v>0.18160000000000001</v>
      </c>
      <c r="F896">
        <v>206325.96</v>
      </c>
      <c r="G896">
        <v>0</v>
      </c>
      <c r="L896" t="s">
        <v>7</v>
      </c>
      <c r="M896" t="s">
        <v>7</v>
      </c>
      <c r="N896" t="s">
        <v>7</v>
      </c>
      <c r="P896">
        <f t="shared" si="1014"/>
        <v>-0.70247933884297131</v>
      </c>
      <c r="Q896">
        <f t="shared" si="1015"/>
        <v>-144939.72396694135</v>
      </c>
      <c r="R896">
        <f t="shared" si="1016"/>
        <v>9824375.1601544973</v>
      </c>
      <c r="S896">
        <f t="shared" si="1017"/>
        <v>98.243751601544972</v>
      </c>
      <c r="T896">
        <f t="shared" si="1018"/>
        <v>9.8243751601544971E-2</v>
      </c>
    </row>
    <row r="897" spans="1:20" x14ac:dyDescent="0.25">
      <c r="A897" s="5">
        <v>43696</v>
      </c>
      <c r="B897">
        <v>0.18049999999999999</v>
      </c>
      <c r="C897">
        <v>0.2099</v>
      </c>
      <c r="D897">
        <v>0.1772</v>
      </c>
      <c r="E897">
        <v>0.18820000000000001</v>
      </c>
      <c r="F897">
        <v>749764.38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-0.32721712538226255</v>
      </c>
      <c r="Q897">
        <f t="shared" si="1015"/>
        <v>-245335.74513761434</v>
      </c>
      <c r="R897">
        <f t="shared" si="1016"/>
        <v>9969314.8841214385</v>
      </c>
      <c r="S897">
        <f t="shared" si="1017"/>
        <v>99.693148841214381</v>
      </c>
      <c r="T897">
        <f t="shared" si="1018"/>
        <v>9.9693148841214385E-2</v>
      </c>
    </row>
    <row r="898" spans="1:20" x14ac:dyDescent="0.25">
      <c r="A898" s="5">
        <v>43695</v>
      </c>
      <c r="B898">
        <v>0.17730000000000001</v>
      </c>
      <c r="C898">
        <v>0.18579999999999999</v>
      </c>
      <c r="D898">
        <v>0.1764</v>
      </c>
      <c r="E898">
        <v>0.1804</v>
      </c>
      <c r="F898">
        <v>124680.3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-0.14893617021276445</v>
      </c>
      <c r="Q898">
        <f t="shared" si="1015"/>
        <v>-18569.406382978537</v>
      </c>
      <c r="R898">
        <f t="shared" si="1016"/>
        <v>10214650.629259054</v>
      </c>
      <c r="S898">
        <f t="shared" si="1017"/>
        <v>102.14650629259053</v>
      </c>
      <c r="T898">
        <f t="shared" si="1018"/>
        <v>0.10214650629259053</v>
      </c>
    </row>
    <row r="899" spans="1:20" x14ac:dyDescent="0.25">
      <c r="A899" s="5">
        <v>43694</v>
      </c>
      <c r="B899">
        <v>0.17499999999999999</v>
      </c>
      <c r="C899">
        <v>0.17730000000000001</v>
      </c>
      <c r="D899">
        <v>0.1711</v>
      </c>
      <c r="E899">
        <v>0.17730000000000001</v>
      </c>
      <c r="F899">
        <v>141185.91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1</v>
      </c>
      <c r="Q899">
        <f t="shared" si="1015"/>
        <v>141185.91</v>
      </c>
      <c r="R899">
        <f t="shared" si="1016"/>
        <v>10233220.035642032</v>
      </c>
      <c r="S899">
        <f t="shared" si="1017"/>
        <v>102.33220035642032</v>
      </c>
      <c r="T899">
        <f t="shared" si="1018"/>
        <v>0.10233220035642032</v>
      </c>
    </row>
    <row r="900" spans="1:20" x14ac:dyDescent="0.25">
      <c r="A900" s="5">
        <v>43693</v>
      </c>
      <c r="B900">
        <v>0.1807</v>
      </c>
      <c r="C900">
        <v>0.18490000000000001</v>
      </c>
      <c r="D900">
        <v>0.1711</v>
      </c>
      <c r="E900">
        <v>0.17510000000000001</v>
      </c>
      <c r="F900">
        <v>327746.12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-0.42028985507246353</v>
      </c>
      <c r="Q900">
        <f t="shared" si="1015"/>
        <v>-137748.36927536223</v>
      </c>
      <c r="R900">
        <f t="shared" si="1016"/>
        <v>10092034.125642031</v>
      </c>
      <c r="S900">
        <f t="shared" si="1017"/>
        <v>100.92034125642031</v>
      </c>
      <c r="T900">
        <f t="shared" si="1018"/>
        <v>0.10092034125642031</v>
      </c>
    </row>
    <row r="901" spans="1:20" x14ac:dyDescent="0.25">
      <c r="A901" s="5">
        <v>43692</v>
      </c>
      <c r="B901">
        <v>0.18160000000000001</v>
      </c>
      <c r="C901">
        <v>0.18509999999999999</v>
      </c>
      <c r="D901">
        <v>0.1757</v>
      </c>
      <c r="E901">
        <v>0.18090000000000001</v>
      </c>
      <c r="F901">
        <v>547805.12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0.10638297872340739</v>
      </c>
      <c r="Q901">
        <f t="shared" si="1015"/>
        <v>58277.140425533631</v>
      </c>
      <c r="R901">
        <f t="shared" si="1016"/>
        <v>10229782.494917393</v>
      </c>
      <c r="S901">
        <f t="shared" si="1017"/>
        <v>102.29782494917393</v>
      </c>
      <c r="T901">
        <f t="shared" si="1018"/>
        <v>0.10229782494917393</v>
      </c>
    </row>
    <row r="902" spans="1:20" x14ac:dyDescent="0.25">
      <c r="A902" s="5">
        <v>43691</v>
      </c>
      <c r="B902">
        <v>0.20300000000000001</v>
      </c>
      <c r="C902">
        <v>0.20300000000000001</v>
      </c>
      <c r="D902">
        <v>0.1782</v>
      </c>
      <c r="E902">
        <v>0.18160000000000001</v>
      </c>
      <c r="F902">
        <v>415193.49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-0.72580645161290225</v>
      </c>
      <c r="Q902">
        <f t="shared" si="1015"/>
        <v>-301350.11370967701</v>
      </c>
      <c r="R902">
        <f t="shared" si="1016"/>
        <v>10171505.35449186</v>
      </c>
      <c r="S902">
        <f t="shared" si="1017"/>
        <v>101.7150535449186</v>
      </c>
      <c r="T902">
        <f t="shared" si="1018"/>
        <v>0.10171505354491861</v>
      </c>
    </row>
    <row r="903" spans="1:20" x14ac:dyDescent="0.25">
      <c r="A903" s="5">
        <v>43690</v>
      </c>
      <c r="B903">
        <v>0.2079</v>
      </c>
      <c r="C903">
        <v>0.20899999999999999</v>
      </c>
      <c r="D903">
        <v>0.19739999999999999</v>
      </c>
      <c r="E903">
        <v>0.20300000000000001</v>
      </c>
      <c r="F903">
        <v>378194.28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-3.4482758620685859E-2</v>
      </c>
      <c r="Q903">
        <f t="shared" si="1015"/>
        <v>-13041.182068964083</v>
      </c>
      <c r="R903">
        <f t="shared" si="1016"/>
        <v>10472855.468201537</v>
      </c>
      <c r="S903">
        <f t="shared" si="1017"/>
        <v>104.72855468201537</v>
      </c>
      <c r="T903">
        <f t="shared" si="1018"/>
        <v>0.10472855468201538</v>
      </c>
    </row>
    <row r="904" spans="1:20" x14ac:dyDescent="0.25">
      <c r="A904" s="5">
        <v>43689</v>
      </c>
      <c r="B904">
        <v>0.2112</v>
      </c>
      <c r="C904">
        <v>0.21190000000000001</v>
      </c>
      <c r="D904">
        <v>0.20250000000000001</v>
      </c>
      <c r="E904">
        <v>0.2079</v>
      </c>
      <c r="F904">
        <v>243244.04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0.14893617021276445</v>
      </c>
      <c r="Q904">
        <f t="shared" si="1015"/>
        <v>36227.835744680488</v>
      </c>
      <c r="R904">
        <f t="shared" si="1016"/>
        <v>10485896.650270501</v>
      </c>
      <c r="S904">
        <f t="shared" si="1017"/>
        <v>104.85896650270502</v>
      </c>
      <c r="T904">
        <f t="shared" si="1018"/>
        <v>0.10485896650270501</v>
      </c>
    </row>
    <row r="905" spans="1:20" x14ac:dyDescent="0.25">
      <c r="A905" s="5">
        <v>43688</v>
      </c>
      <c r="B905">
        <v>0.2072</v>
      </c>
      <c r="C905">
        <v>0.21410000000000001</v>
      </c>
      <c r="D905">
        <v>0.2039</v>
      </c>
      <c r="E905">
        <v>0.2112</v>
      </c>
      <c r="F905">
        <v>207474.18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0.43137254901960598</v>
      </c>
      <c r="Q905">
        <f t="shared" si="1015"/>
        <v>89498.66588235255</v>
      </c>
      <c r="R905">
        <f t="shared" si="1016"/>
        <v>10449668.81452582</v>
      </c>
      <c r="S905">
        <f t="shared" si="1017"/>
        <v>104.4966881452582</v>
      </c>
      <c r="T905">
        <f t="shared" si="1018"/>
        <v>0.1044966881452582</v>
      </c>
    </row>
    <row r="906" spans="1:20" x14ac:dyDescent="0.25">
      <c r="A906" s="5">
        <v>43687</v>
      </c>
      <c r="B906">
        <v>0.20660000000000001</v>
      </c>
      <c r="C906">
        <v>0.2089</v>
      </c>
      <c r="D906">
        <v>0.1963</v>
      </c>
      <c r="E906">
        <v>0.2072</v>
      </c>
      <c r="F906">
        <v>299393.39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0.73015873015872901</v>
      </c>
      <c r="Q906">
        <f t="shared" si="1015"/>
        <v>218604.69746031714</v>
      </c>
      <c r="R906">
        <f t="shared" si="1016"/>
        <v>10360170.148643468</v>
      </c>
      <c r="S906">
        <f t="shared" si="1017"/>
        <v>103.60170148643468</v>
      </c>
      <c r="T906">
        <f t="shared" si="1018"/>
        <v>0.10360170148643467</v>
      </c>
    </row>
    <row r="907" spans="1:20" x14ac:dyDescent="0.25">
      <c r="A907" s="5">
        <v>43686</v>
      </c>
      <c r="B907">
        <v>0.2157</v>
      </c>
      <c r="C907">
        <v>0.21859999999999999</v>
      </c>
      <c r="D907">
        <v>0.2021</v>
      </c>
      <c r="E907">
        <v>0.20660000000000001</v>
      </c>
      <c r="F907">
        <v>445481.99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-0.45454545454545364</v>
      </c>
      <c r="Q907">
        <f t="shared" si="1015"/>
        <v>-202491.81363636322</v>
      </c>
      <c r="R907">
        <f t="shared" si="1016"/>
        <v>10141565.45118315</v>
      </c>
      <c r="S907">
        <f t="shared" si="1017"/>
        <v>101.41565451183149</v>
      </c>
      <c r="T907">
        <f t="shared" si="1018"/>
        <v>0.10141565451183149</v>
      </c>
    </row>
    <row r="908" spans="1:20" x14ac:dyDescent="0.25">
      <c r="A908" s="5">
        <v>43685</v>
      </c>
      <c r="B908">
        <v>0.22439999999999999</v>
      </c>
      <c r="C908">
        <v>0.22500000000000001</v>
      </c>
      <c r="D908">
        <v>0.21249999999999999</v>
      </c>
      <c r="E908">
        <v>0.21640000000000001</v>
      </c>
      <c r="F908">
        <v>344633.89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-0.37599999999999822</v>
      </c>
      <c r="Q908">
        <f t="shared" si="1015"/>
        <v>-129582.34263999939</v>
      </c>
      <c r="R908">
        <f t="shared" si="1016"/>
        <v>10344057.264819512</v>
      </c>
      <c r="S908">
        <f t="shared" si="1017"/>
        <v>103.44057264819511</v>
      </c>
      <c r="T908">
        <f t="shared" si="1018"/>
        <v>0.10344057264819512</v>
      </c>
    </row>
    <row r="909" spans="1:20" x14ac:dyDescent="0.25">
      <c r="A909" s="5">
        <v>43684</v>
      </c>
      <c r="B909">
        <v>0.2215</v>
      </c>
      <c r="C909">
        <v>0.22789999999999999</v>
      </c>
      <c r="D909">
        <v>0.21759999999999999</v>
      </c>
      <c r="E909">
        <v>0.22409999999999999</v>
      </c>
      <c r="F909">
        <v>353546.93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0.26213592233009775</v>
      </c>
      <c r="Q909">
        <f t="shared" si="1015"/>
        <v>92677.350582524508</v>
      </c>
      <c r="R909">
        <f t="shared" si="1016"/>
        <v>10473639.607459512</v>
      </c>
      <c r="S909">
        <f t="shared" si="1017"/>
        <v>104.73639607459512</v>
      </c>
      <c r="T909">
        <f t="shared" si="1018"/>
        <v>0.10473639607459512</v>
      </c>
    </row>
    <row r="910" spans="1:20" x14ac:dyDescent="0.25">
      <c r="A910" s="5">
        <v>43683</v>
      </c>
      <c r="B910">
        <v>0.2369</v>
      </c>
      <c r="C910">
        <v>0.23699999999999999</v>
      </c>
      <c r="D910">
        <v>0.22</v>
      </c>
      <c r="E910">
        <v>0.22220000000000001</v>
      </c>
      <c r="F910">
        <v>555761.87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-0.74117647058823422</v>
      </c>
      <c r="Q910">
        <f t="shared" si="1015"/>
        <v>-411917.62129411707</v>
      </c>
      <c r="R910">
        <f t="shared" si="1016"/>
        <v>10380962.256876986</v>
      </c>
      <c r="S910">
        <f t="shared" si="1017"/>
        <v>103.80962256876987</v>
      </c>
      <c r="T910">
        <f t="shared" si="1018"/>
        <v>0.10380962256876987</v>
      </c>
    </row>
    <row r="911" spans="1:20" x14ac:dyDescent="0.25">
      <c r="A911" s="5">
        <v>43682</v>
      </c>
      <c r="B911">
        <v>0.23910000000000001</v>
      </c>
      <c r="C911">
        <v>0.24679999999999999</v>
      </c>
      <c r="D911">
        <v>0.23100000000000001</v>
      </c>
      <c r="E911">
        <v>0.23749999999999999</v>
      </c>
      <c r="F911">
        <v>453135.11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-0.1772151898734195</v>
      </c>
      <c r="Q911">
        <f t="shared" si="1015"/>
        <v>-80302.424556962826</v>
      </c>
      <c r="R911">
        <f t="shared" si="1016"/>
        <v>10792879.878171103</v>
      </c>
      <c r="S911">
        <f t="shared" si="1017"/>
        <v>107.92879878171104</v>
      </c>
      <c r="T911">
        <f t="shared" si="1018"/>
        <v>0.10792879878171104</v>
      </c>
    </row>
    <row r="912" spans="1:20" x14ac:dyDescent="0.25">
      <c r="A912" s="5">
        <v>43681</v>
      </c>
      <c r="B912">
        <v>0.24879999999999999</v>
      </c>
      <c r="C912">
        <v>0.24959999999999999</v>
      </c>
      <c r="D912">
        <v>0.23599999999999999</v>
      </c>
      <c r="E912">
        <v>0.23910000000000001</v>
      </c>
      <c r="F912">
        <v>169924.19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-0.54411764705882071</v>
      </c>
      <c r="Q912">
        <f t="shared" si="1015"/>
        <v>-92458.750441175987</v>
      </c>
      <c r="R912">
        <f t="shared" si="1016"/>
        <v>10873182.302728066</v>
      </c>
      <c r="S912">
        <f t="shared" si="1017"/>
        <v>108.73182302728067</v>
      </c>
      <c r="T912">
        <f t="shared" si="1018"/>
        <v>0.10873182302728067</v>
      </c>
    </row>
    <row r="913" spans="1:20" x14ac:dyDescent="0.25">
      <c r="A913" s="5">
        <v>43680</v>
      </c>
      <c r="B913">
        <v>0.2336</v>
      </c>
      <c r="C913">
        <v>0.24990000000000001</v>
      </c>
      <c r="D913">
        <v>0.2336</v>
      </c>
      <c r="E913">
        <v>0.24840000000000001</v>
      </c>
      <c r="F913">
        <v>311513.93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0.81595092024539873</v>
      </c>
      <c r="Q913">
        <f t="shared" si="1015"/>
        <v>254180.0778527607</v>
      </c>
      <c r="R913">
        <f t="shared" si="1016"/>
        <v>10965641.053169243</v>
      </c>
      <c r="S913">
        <f t="shared" si="1017"/>
        <v>109.65641053169243</v>
      </c>
      <c r="T913">
        <f t="shared" si="1018"/>
        <v>0.10965641053169244</v>
      </c>
    </row>
    <row r="914" spans="1:20" x14ac:dyDescent="0.25">
      <c r="A914" s="5">
        <v>43679</v>
      </c>
      <c r="B914">
        <v>0.23480000000000001</v>
      </c>
      <c r="C914">
        <v>0.249</v>
      </c>
      <c r="D914">
        <v>0.23119999999999999</v>
      </c>
      <c r="E914">
        <v>0.2336</v>
      </c>
      <c r="F914">
        <v>295648.25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-0.73033707865168407</v>
      </c>
      <c r="Q914">
        <f t="shared" si="1015"/>
        <v>-215922.87921348275</v>
      </c>
      <c r="R914">
        <f t="shared" si="1016"/>
        <v>10711460.975316482</v>
      </c>
      <c r="S914">
        <f t="shared" si="1017"/>
        <v>107.11460975316481</v>
      </c>
      <c r="T914">
        <f t="shared" si="1018"/>
        <v>0.10711460975316481</v>
      </c>
    </row>
    <row r="915" spans="1:20" x14ac:dyDescent="0.25">
      <c r="A915" s="5">
        <v>43678</v>
      </c>
      <c r="B915">
        <v>0.24479999999999999</v>
      </c>
      <c r="C915">
        <v>0.24660000000000001</v>
      </c>
      <c r="D915">
        <v>0.23250000000000001</v>
      </c>
      <c r="E915">
        <v>0.23480000000000001</v>
      </c>
      <c r="F915">
        <v>191215.42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-0.67375886524822748</v>
      </c>
      <c r="Q915">
        <f t="shared" si="1015"/>
        <v>-128833.08439716323</v>
      </c>
      <c r="R915">
        <f t="shared" si="1016"/>
        <v>10927383.854529964</v>
      </c>
      <c r="S915">
        <f t="shared" si="1017"/>
        <v>109.27383854529964</v>
      </c>
      <c r="T915">
        <f t="shared" si="1018"/>
        <v>0.10927383854529964</v>
      </c>
    </row>
    <row r="916" spans="1:20" x14ac:dyDescent="0.25">
      <c r="A916" s="5">
        <v>43677</v>
      </c>
      <c r="B916">
        <v>0.24390000000000001</v>
      </c>
      <c r="C916">
        <v>0.24979999999999999</v>
      </c>
      <c r="D916">
        <v>0.24060000000000001</v>
      </c>
      <c r="E916">
        <v>0.2447</v>
      </c>
      <c r="F916">
        <v>253706.06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-0.1086956521739133</v>
      </c>
      <c r="Q916">
        <f t="shared" si="1015"/>
        <v>-27576.74565217398</v>
      </c>
      <c r="R916">
        <f t="shared" si="1016"/>
        <v>11056216.938927127</v>
      </c>
      <c r="S916">
        <f t="shared" si="1017"/>
        <v>110.56216938927128</v>
      </c>
      <c r="T916">
        <f t="shared" si="1018"/>
        <v>0.11056216938927127</v>
      </c>
    </row>
    <row r="917" spans="1:20" x14ac:dyDescent="0.25">
      <c r="A917" s="5">
        <v>43676</v>
      </c>
      <c r="B917">
        <v>0.24049999999999999</v>
      </c>
      <c r="C917">
        <v>0.25159999999999999</v>
      </c>
      <c r="D917">
        <v>0.2341</v>
      </c>
      <c r="E917">
        <v>0.24529999999999999</v>
      </c>
      <c r="F917">
        <v>278033.90000000002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0.27999999999999947</v>
      </c>
      <c r="Q917">
        <f t="shared" si="1015"/>
        <v>77849.491999999853</v>
      </c>
      <c r="R917">
        <f t="shared" si="1016"/>
        <v>11083793.684579302</v>
      </c>
      <c r="S917">
        <f t="shared" si="1017"/>
        <v>110.83793684579301</v>
      </c>
      <c r="T917">
        <f t="shared" si="1018"/>
        <v>0.110837936845793</v>
      </c>
    </row>
    <row r="918" spans="1:20" x14ac:dyDescent="0.25">
      <c r="A918" s="5">
        <v>43675</v>
      </c>
      <c r="B918">
        <v>0.23119999999999999</v>
      </c>
      <c r="C918">
        <v>0.2576</v>
      </c>
      <c r="D918">
        <v>0.22939999999999999</v>
      </c>
      <c r="E918">
        <v>0.2407</v>
      </c>
      <c r="F918">
        <v>565818.46</v>
      </c>
      <c r="G918">
        <v>0</v>
      </c>
      <c r="L918" t="s">
        <v>8</v>
      </c>
      <c r="M918" t="s">
        <v>7</v>
      </c>
      <c r="N918" t="s">
        <v>7</v>
      </c>
      <c r="P918">
        <f t="shared" si="1014"/>
        <v>-0.1985815602836877</v>
      </c>
      <c r="Q918">
        <f t="shared" si="1015"/>
        <v>-112361.11262411333</v>
      </c>
      <c r="R918">
        <f t="shared" si="1016"/>
        <v>11005944.192579301</v>
      </c>
      <c r="S918">
        <f t="shared" si="1017"/>
        <v>110.05944192579301</v>
      </c>
      <c r="T918">
        <f t="shared" si="1018"/>
        <v>0.11005944192579301</v>
      </c>
    </row>
    <row r="919" spans="1:20" x14ac:dyDescent="0.25">
      <c r="A919" s="5">
        <v>43674</v>
      </c>
      <c r="B919">
        <v>0.23200000000000001</v>
      </c>
      <c r="C919">
        <v>0.23430000000000001</v>
      </c>
      <c r="D919">
        <v>0.2238</v>
      </c>
      <c r="E919">
        <v>0.2319</v>
      </c>
      <c r="F919">
        <v>201500.46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0.54285714285714071</v>
      </c>
      <c r="Q919">
        <f t="shared" si="1015"/>
        <v>109385.96399999956</v>
      </c>
      <c r="R919">
        <f t="shared" si="1016"/>
        <v>11118305.305203414</v>
      </c>
      <c r="S919">
        <f t="shared" si="1017"/>
        <v>111.18305305203414</v>
      </c>
      <c r="T919">
        <f t="shared" si="1018"/>
        <v>0.11118305305203414</v>
      </c>
    </row>
    <row r="920" spans="1:20" x14ac:dyDescent="0.25">
      <c r="A920" s="5">
        <v>43673</v>
      </c>
      <c r="B920">
        <v>0.2465</v>
      </c>
      <c r="C920">
        <v>0.26619999999999999</v>
      </c>
      <c r="D920">
        <v>0.22850000000000001</v>
      </c>
      <c r="E920">
        <v>0.23230000000000001</v>
      </c>
      <c r="F920">
        <v>657493.36</v>
      </c>
      <c r="G920">
        <v>0</v>
      </c>
      <c r="L920" t="s">
        <v>8</v>
      </c>
      <c r="M920" t="s">
        <v>7</v>
      </c>
      <c r="N920" t="s">
        <v>7</v>
      </c>
      <c r="P920">
        <f t="shared" si="1014"/>
        <v>-0.79840848806366049</v>
      </c>
      <c r="Q920">
        <f t="shared" si="1015"/>
        <v>-524948.27946949599</v>
      </c>
      <c r="R920">
        <f t="shared" si="1016"/>
        <v>11008919.341203414</v>
      </c>
      <c r="S920">
        <f t="shared" si="1017"/>
        <v>110.08919341203413</v>
      </c>
      <c r="T920">
        <f t="shared" si="1018"/>
        <v>0.11008919341203413</v>
      </c>
    </row>
    <row r="921" spans="1:20" x14ac:dyDescent="0.25">
      <c r="A921" s="5">
        <v>43672</v>
      </c>
      <c r="B921">
        <v>0.24479999999999999</v>
      </c>
      <c r="C921">
        <v>0.25319999999999998</v>
      </c>
      <c r="D921">
        <v>0.24010000000000001</v>
      </c>
      <c r="E921">
        <v>0.24590000000000001</v>
      </c>
      <c r="F921">
        <v>263181.36</v>
      </c>
      <c r="G921">
        <v>0</v>
      </c>
      <c r="L921" t="s">
        <v>8</v>
      </c>
      <c r="M921" t="s">
        <v>7</v>
      </c>
      <c r="N921" t="s">
        <v>7</v>
      </c>
      <c r="P921">
        <f t="shared" si="1014"/>
        <v>-0.11450381679389135</v>
      </c>
      <c r="Q921">
        <f t="shared" si="1015"/>
        <v>-30135.270229007165</v>
      </c>
      <c r="R921">
        <f t="shared" si="1016"/>
        <v>11533867.62067291</v>
      </c>
      <c r="S921">
        <f t="shared" si="1017"/>
        <v>115.33867620672909</v>
      </c>
      <c r="T921">
        <f t="shared" si="1018"/>
        <v>0.11533867620672909</v>
      </c>
    </row>
    <row r="922" spans="1:20" x14ac:dyDescent="0.25">
      <c r="A922" s="5">
        <v>43671</v>
      </c>
      <c r="B922">
        <v>0.24399999999999999</v>
      </c>
      <c r="C922">
        <v>0.25290000000000001</v>
      </c>
      <c r="D922">
        <v>0.24249999999999999</v>
      </c>
      <c r="E922">
        <v>0.24479999999999999</v>
      </c>
      <c r="F922">
        <v>284943.84999999998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-0.55769230769230926</v>
      </c>
      <c r="Q922">
        <f t="shared" si="1015"/>
        <v>-158910.9932692312</v>
      </c>
      <c r="R922">
        <f t="shared" si="1016"/>
        <v>11564002.890901918</v>
      </c>
      <c r="S922">
        <f t="shared" si="1017"/>
        <v>115.64002890901918</v>
      </c>
      <c r="T922">
        <f t="shared" si="1018"/>
        <v>0.11564002890901919</v>
      </c>
    </row>
    <row r="923" spans="1:20" x14ac:dyDescent="0.25">
      <c r="A923" s="5">
        <v>43670</v>
      </c>
      <c r="B923">
        <v>0.25180000000000002</v>
      </c>
      <c r="C923">
        <v>0.25419999999999998</v>
      </c>
      <c r="D923">
        <v>0.22950000000000001</v>
      </c>
      <c r="E923">
        <v>0.245</v>
      </c>
      <c r="F923">
        <v>432397.09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0.25506072874493957</v>
      </c>
      <c r="Q923">
        <f t="shared" si="1015"/>
        <v>110287.51688259123</v>
      </c>
      <c r="R923">
        <f t="shared" si="1016"/>
        <v>11722913.884171149</v>
      </c>
      <c r="S923">
        <f t="shared" si="1017"/>
        <v>117.22913884171149</v>
      </c>
      <c r="T923">
        <f t="shared" si="1018"/>
        <v>0.11722913884171149</v>
      </c>
    </row>
    <row r="924" spans="1:20" x14ac:dyDescent="0.25">
      <c r="A924" s="5">
        <v>43669</v>
      </c>
      <c r="B924">
        <v>0.25140000000000001</v>
      </c>
      <c r="C924">
        <v>0.26989999999999997</v>
      </c>
      <c r="D924">
        <v>0.248</v>
      </c>
      <c r="E924">
        <v>0.2515</v>
      </c>
      <c r="F924">
        <v>515544.08</v>
      </c>
      <c r="G924">
        <v>0</v>
      </c>
      <c r="L924" t="s">
        <v>8</v>
      </c>
      <c r="M924" t="s">
        <v>8</v>
      </c>
      <c r="N924" t="s">
        <v>7</v>
      </c>
      <c r="P924">
        <f t="shared" si="1014"/>
        <v>-0.68036529680365232</v>
      </c>
      <c r="Q924">
        <f t="shared" si="1015"/>
        <v>-350758.3010045659</v>
      </c>
      <c r="R924">
        <f t="shared" si="1016"/>
        <v>11612626.367288558</v>
      </c>
      <c r="S924">
        <f t="shared" si="1017"/>
        <v>116.12626367288557</v>
      </c>
      <c r="T924">
        <f t="shared" si="1018"/>
        <v>0.11612626367288557</v>
      </c>
    </row>
    <row r="925" spans="1:20" x14ac:dyDescent="0.25">
      <c r="A925" s="5">
        <v>43668</v>
      </c>
      <c r="B925">
        <v>0.2437</v>
      </c>
      <c r="C925">
        <v>0.2646</v>
      </c>
      <c r="D925">
        <v>0.2427</v>
      </c>
      <c r="E925">
        <v>0.25040000000000001</v>
      </c>
      <c r="F925">
        <v>437658.28</v>
      </c>
      <c r="G925">
        <v>0</v>
      </c>
      <c r="L925" t="s">
        <v>8</v>
      </c>
      <c r="M925" t="s">
        <v>8</v>
      </c>
      <c r="N925" t="s">
        <v>7</v>
      </c>
      <c r="P925">
        <f t="shared" si="1014"/>
        <v>-0.29680365296803551</v>
      </c>
      <c r="Q925">
        <f t="shared" si="1015"/>
        <v>-129898.57625570733</v>
      </c>
      <c r="R925">
        <f t="shared" si="1016"/>
        <v>11963384.668293124</v>
      </c>
      <c r="S925">
        <f t="shared" si="1017"/>
        <v>119.63384668293124</v>
      </c>
      <c r="T925">
        <f t="shared" si="1018"/>
        <v>0.11963384668293124</v>
      </c>
    </row>
    <row r="926" spans="1:20" x14ac:dyDescent="0.25">
      <c r="A926" s="5">
        <v>43667</v>
      </c>
      <c r="B926">
        <v>0.25090000000000001</v>
      </c>
      <c r="C926">
        <v>0.2545</v>
      </c>
      <c r="D926">
        <v>0.2364</v>
      </c>
      <c r="E926">
        <v>0.24390000000000001</v>
      </c>
      <c r="F926">
        <v>256213.44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-0.17127071823204368</v>
      </c>
      <c r="Q926">
        <f t="shared" si="1015"/>
        <v>-43881.85988950263</v>
      </c>
      <c r="R926">
        <f t="shared" si="1016"/>
        <v>12093283.244548831</v>
      </c>
      <c r="S926">
        <f t="shared" si="1017"/>
        <v>120.93283244548832</v>
      </c>
      <c r="T926">
        <f t="shared" si="1018"/>
        <v>0.12093283244548832</v>
      </c>
    </row>
    <row r="927" spans="1:20" x14ac:dyDescent="0.25">
      <c r="A927" s="5">
        <v>43666</v>
      </c>
      <c r="B927">
        <v>0.2485</v>
      </c>
      <c r="C927">
        <v>0.26100000000000001</v>
      </c>
      <c r="D927">
        <v>0.24410000000000001</v>
      </c>
      <c r="E927">
        <v>0.25269999999999998</v>
      </c>
      <c r="F927">
        <v>460804.48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1.7751479289937231E-2</v>
      </c>
      <c r="Q927">
        <f t="shared" si="1015"/>
        <v>8179.961183430295</v>
      </c>
      <c r="R927">
        <f t="shared" si="1016"/>
        <v>12137165.104438333</v>
      </c>
      <c r="S927">
        <f t="shared" si="1017"/>
        <v>121.37165104438333</v>
      </c>
      <c r="T927">
        <f t="shared" si="1018"/>
        <v>0.12137165104438333</v>
      </c>
    </row>
    <row r="928" spans="1:20" x14ac:dyDescent="0.25">
      <c r="A928" s="5">
        <v>43665</v>
      </c>
      <c r="B928">
        <v>0.2399</v>
      </c>
      <c r="C928">
        <v>0.25259999999999999</v>
      </c>
      <c r="D928">
        <v>0.23569999999999999</v>
      </c>
      <c r="E928">
        <v>0.2485</v>
      </c>
      <c r="F928">
        <v>440357.88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0.51479289940828488</v>
      </c>
      <c r="Q928">
        <f t="shared" si="1015"/>
        <v>226693.1098224856</v>
      </c>
      <c r="R928">
        <f t="shared" si="1016"/>
        <v>12128985.143254902</v>
      </c>
      <c r="S928">
        <f t="shared" si="1017"/>
        <v>121.28985143254903</v>
      </c>
      <c r="T928">
        <f t="shared" si="1018"/>
        <v>0.12128985143254903</v>
      </c>
    </row>
    <row r="929" spans="1:20" x14ac:dyDescent="0.25">
      <c r="A929" s="5">
        <v>43664</v>
      </c>
      <c r="B929">
        <v>0.22439999999999999</v>
      </c>
      <c r="C929">
        <v>0.24179999999999999</v>
      </c>
      <c r="D929">
        <v>0.2155</v>
      </c>
      <c r="E929">
        <v>0.2387</v>
      </c>
      <c r="F929">
        <v>641117.81000000006</v>
      </c>
      <c r="G929">
        <v>0</v>
      </c>
      <c r="L929" t="s">
        <v>8</v>
      </c>
      <c r="M929" t="s">
        <v>7</v>
      </c>
      <c r="N929" t="s">
        <v>7</v>
      </c>
      <c r="P929">
        <f t="shared" si="1014"/>
        <v>0.76425855513308039</v>
      </c>
      <c r="Q929">
        <f t="shared" si="1015"/>
        <v>489979.77114068478</v>
      </c>
      <c r="R929">
        <f t="shared" si="1016"/>
        <v>11902292.033432417</v>
      </c>
      <c r="S929">
        <f t="shared" si="1017"/>
        <v>119.02292033432417</v>
      </c>
      <c r="T929">
        <f t="shared" si="1018"/>
        <v>0.11902292033432417</v>
      </c>
    </row>
    <row r="930" spans="1:20" x14ac:dyDescent="0.25">
      <c r="A930" s="5">
        <v>43663</v>
      </c>
      <c r="B930">
        <v>0.2109</v>
      </c>
      <c r="C930">
        <v>0.23039999999999999</v>
      </c>
      <c r="D930">
        <v>0.20669999999999999</v>
      </c>
      <c r="E930">
        <v>0.22370000000000001</v>
      </c>
      <c r="F930">
        <v>324121.7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0.43459915611814481</v>
      </c>
      <c r="Q930">
        <f t="shared" si="1015"/>
        <v>140863.0172995785</v>
      </c>
      <c r="R930">
        <f t="shared" si="1016"/>
        <v>11412312.262291731</v>
      </c>
      <c r="S930">
        <f t="shared" si="1017"/>
        <v>114.12312262291731</v>
      </c>
      <c r="T930">
        <f t="shared" si="1018"/>
        <v>0.11412312262291731</v>
      </c>
    </row>
    <row r="931" spans="1:20" x14ac:dyDescent="0.25">
      <c r="A931" s="5">
        <v>43662</v>
      </c>
      <c r="B931">
        <v>0.24740000000000001</v>
      </c>
      <c r="C931">
        <v>0.2535</v>
      </c>
      <c r="D931">
        <v>0.21010000000000001</v>
      </c>
      <c r="E931">
        <v>0.21160000000000001</v>
      </c>
      <c r="F931">
        <v>449770.78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-0.93087557603686633</v>
      </c>
      <c r="Q931">
        <f t="shared" si="1015"/>
        <v>-418680.63391705073</v>
      </c>
      <c r="R931">
        <f t="shared" si="1016"/>
        <v>11271449.244992154</v>
      </c>
      <c r="S931">
        <f t="shared" si="1017"/>
        <v>112.71449244992154</v>
      </c>
      <c r="T931">
        <f t="shared" si="1018"/>
        <v>0.11271449244992153</v>
      </c>
    </row>
    <row r="932" spans="1:20" x14ac:dyDescent="0.25">
      <c r="A932" s="5">
        <v>43661</v>
      </c>
      <c r="B932">
        <v>0.24829999999999999</v>
      </c>
      <c r="C932">
        <v>0.25090000000000001</v>
      </c>
      <c r="D932">
        <v>0.2301</v>
      </c>
      <c r="E932">
        <v>0.2472</v>
      </c>
      <c r="F932">
        <v>485627.42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0.64423076923076861</v>
      </c>
      <c r="Q932">
        <f t="shared" si="1015"/>
        <v>312856.12634615356</v>
      </c>
      <c r="R932">
        <f t="shared" si="1016"/>
        <v>11690129.878909204</v>
      </c>
      <c r="S932">
        <f t="shared" si="1017"/>
        <v>116.90129878909204</v>
      </c>
      <c r="T932">
        <f t="shared" si="1018"/>
        <v>0.11690129878909204</v>
      </c>
    </row>
    <row r="933" spans="1:20" x14ac:dyDescent="0.25">
      <c r="A933" s="5">
        <v>43660</v>
      </c>
      <c r="B933">
        <v>0.2893</v>
      </c>
      <c r="C933">
        <v>0.28939999999999999</v>
      </c>
      <c r="D933">
        <v>0.24679999999999999</v>
      </c>
      <c r="E933">
        <v>0.24829999999999999</v>
      </c>
      <c r="F933">
        <v>746571.53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-0.92957746478873238</v>
      </c>
      <c r="Q933">
        <f t="shared" si="1015"/>
        <v>-693996.07014084503</v>
      </c>
      <c r="R933">
        <f t="shared" si="1016"/>
        <v>11377273.75256305</v>
      </c>
      <c r="S933">
        <f t="shared" si="1017"/>
        <v>113.7727375256305</v>
      </c>
      <c r="T933">
        <f t="shared" si="1018"/>
        <v>0.11377273752563051</v>
      </c>
    </row>
    <row r="934" spans="1:20" x14ac:dyDescent="0.25">
      <c r="A934" s="5">
        <v>43659</v>
      </c>
      <c r="B934">
        <v>0.31569999999999998</v>
      </c>
      <c r="C934">
        <v>0.31609999999999999</v>
      </c>
      <c r="D934">
        <v>0.28089999999999998</v>
      </c>
      <c r="E934">
        <v>0.2893</v>
      </c>
      <c r="F934">
        <v>714413.48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-0.52272727272727182</v>
      </c>
      <c r="Q934">
        <f t="shared" si="1015"/>
        <v>-373443.40999999933</v>
      </c>
      <c r="R934">
        <f t="shared" si="1016"/>
        <v>12071269.822703894</v>
      </c>
      <c r="S934">
        <f t="shared" si="1017"/>
        <v>120.71269822703894</v>
      </c>
      <c r="T934">
        <f t="shared" si="1018"/>
        <v>0.12071269822703894</v>
      </c>
    </row>
    <row r="935" spans="1:20" x14ac:dyDescent="0.25">
      <c r="A935" s="5">
        <v>43658</v>
      </c>
      <c r="B935">
        <v>0.27439999999999998</v>
      </c>
      <c r="C935">
        <v>0.377</v>
      </c>
      <c r="D935">
        <v>0.27360000000000001</v>
      </c>
      <c r="E935">
        <v>0.31530000000000002</v>
      </c>
      <c r="F935">
        <v>3532355.86</v>
      </c>
      <c r="G935">
        <v>0</v>
      </c>
      <c r="L935" t="s">
        <v>8</v>
      </c>
      <c r="M935" t="s">
        <v>8</v>
      </c>
      <c r="N935" t="s">
        <v>7</v>
      </c>
      <c r="P935">
        <f t="shared" si="1014"/>
        <v>-0.19342359767891648</v>
      </c>
      <c r="Q935">
        <f t="shared" si="1015"/>
        <v>-683240.97872340295</v>
      </c>
      <c r="R935">
        <f t="shared" si="1016"/>
        <v>12444713.232703894</v>
      </c>
      <c r="S935">
        <f t="shared" si="1017"/>
        <v>124.44713232703894</v>
      </c>
      <c r="T935">
        <f t="shared" si="1018"/>
        <v>0.12444713232703894</v>
      </c>
    </row>
    <row r="936" spans="1:20" x14ac:dyDescent="0.25">
      <c r="A936" s="5">
        <v>43657</v>
      </c>
      <c r="B936">
        <v>0.31480000000000002</v>
      </c>
      <c r="C936">
        <v>0.31480000000000002</v>
      </c>
      <c r="D936">
        <v>0.26700000000000002</v>
      </c>
      <c r="E936">
        <v>0.27439999999999998</v>
      </c>
      <c r="F936">
        <v>637528.46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-0.69037656903765854</v>
      </c>
      <c r="Q936">
        <f t="shared" si="1015"/>
        <v>-440134.71087866212</v>
      </c>
      <c r="R936">
        <f t="shared" si="1016"/>
        <v>13127954.211427297</v>
      </c>
      <c r="S936">
        <f t="shared" si="1017"/>
        <v>131.27954211427297</v>
      </c>
      <c r="T936">
        <f t="shared" si="1018"/>
        <v>0.13127954211427298</v>
      </c>
    </row>
    <row r="937" spans="1:20" x14ac:dyDescent="0.25">
      <c r="A937" s="5">
        <v>43656</v>
      </c>
      <c r="B937">
        <v>0.34160000000000001</v>
      </c>
      <c r="C937">
        <v>0.34560000000000002</v>
      </c>
      <c r="D937">
        <v>0.3024</v>
      </c>
      <c r="E937">
        <v>0.31509999999999999</v>
      </c>
      <c r="F937">
        <v>657151.39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-0.41203703703703776</v>
      </c>
      <c r="Q937">
        <f t="shared" si="1015"/>
        <v>-270770.71162037086</v>
      </c>
      <c r="R937">
        <f t="shared" si="1016"/>
        <v>13568088.92230596</v>
      </c>
      <c r="S937">
        <f t="shared" si="1017"/>
        <v>135.68088922305961</v>
      </c>
      <c r="T937">
        <f t="shared" si="1018"/>
        <v>0.1356808892230596</v>
      </c>
    </row>
    <row r="938" spans="1:20" x14ac:dyDescent="0.25">
      <c r="A938" s="5">
        <v>43655</v>
      </c>
      <c r="B938">
        <v>0.35539999999999999</v>
      </c>
      <c r="C938">
        <v>0.35759999999999997</v>
      </c>
      <c r="D938">
        <v>0.33760000000000001</v>
      </c>
      <c r="E938">
        <v>0.3427</v>
      </c>
      <c r="F938">
        <v>413737.37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-0.48999999999999971</v>
      </c>
      <c r="Q938">
        <f t="shared" si="1015"/>
        <v>-202731.31129999988</v>
      </c>
      <c r="R938">
        <f t="shared" si="1016"/>
        <v>13838859.633926332</v>
      </c>
      <c r="S938">
        <f t="shared" si="1017"/>
        <v>138.38859633926333</v>
      </c>
      <c r="T938">
        <f t="shared" si="1018"/>
        <v>0.13838859633926334</v>
      </c>
    </row>
    <row r="939" spans="1:20" x14ac:dyDescent="0.25">
      <c r="A939" s="5">
        <v>43654</v>
      </c>
      <c r="B939">
        <v>0.3624</v>
      </c>
      <c r="C939">
        <v>0.36820000000000003</v>
      </c>
      <c r="D939">
        <v>0.3533</v>
      </c>
      <c r="E939">
        <v>0.35510000000000003</v>
      </c>
      <c r="F939">
        <v>395596.02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-0.75838926174496368</v>
      </c>
      <c r="Q939">
        <f t="shared" si="1015"/>
        <v>-300015.7735570459</v>
      </c>
      <c r="R939">
        <f t="shared" si="1016"/>
        <v>14041590.945226332</v>
      </c>
      <c r="S939">
        <f t="shared" si="1017"/>
        <v>140.41590945226332</v>
      </c>
      <c r="T939">
        <f t="shared" si="1018"/>
        <v>0.14041590945226332</v>
      </c>
    </row>
    <row r="940" spans="1:20" x14ac:dyDescent="0.25">
      <c r="A940" s="5">
        <v>43653</v>
      </c>
      <c r="B940">
        <v>0.35659999999999997</v>
      </c>
      <c r="C940">
        <v>0.37</v>
      </c>
      <c r="D940">
        <v>0.35439999999999999</v>
      </c>
      <c r="E940">
        <v>0.36299999999999999</v>
      </c>
      <c r="F940">
        <v>204051.71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0.10256410256410192</v>
      </c>
      <c r="Q940">
        <f t="shared" si="1015"/>
        <v>20928.380512820382</v>
      </c>
      <c r="R940">
        <f t="shared" si="1016"/>
        <v>14341606.718783379</v>
      </c>
      <c r="S940">
        <f t="shared" si="1017"/>
        <v>143.41606718783379</v>
      </c>
      <c r="T940">
        <f t="shared" si="1018"/>
        <v>0.14341606718783378</v>
      </c>
    </row>
    <row r="941" spans="1:20" x14ac:dyDescent="0.25">
      <c r="A941" s="5">
        <v>43652</v>
      </c>
      <c r="B941">
        <v>0.3513</v>
      </c>
      <c r="C941">
        <v>0.36149999999999999</v>
      </c>
      <c r="D941">
        <v>0.35039999999999999</v>
      </c>
      <c r="E941">
        <v>0.35820000000000002</v>
      </c>
      <c r="F941">
        <v>294025.07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0.40540540540541081</v>
      </c>
      <c r="Q941">
        <f t="shared" si="1015"/>
        <v>119199.3527027043</v>
      </c>
      <c r="R941">
        <f t="shared" si="1016"/>
        <v>14320678.338270558</v>
      </c>
      <c r="S941">
        <f t="shared" si="1017"/>
        <v>143.20678338270557</v>
      </c>
      <c r="T941">
        <f t="shared" si="1018"/>
        <v>0.14320678338270557</v>
      </c>
    </row>
    <row r="942" spans="1:20" x14ac:dyDescent="0.25">
      <c r="A942" s="5">
        <v>43651</v>
      </c>
      <c r="B942">
        <v>0.35010000000000002</v>
      </c>
      <c r="C942">
        <v>0.35639999999999999</v>
      </c>
      <c r="D942">
        <v>0.3463</v>
      </c>
      <c r="E942">
        <v>0.3513</v>
      </c>
      <c r="F942">
        <v>222982.38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-9.9009900990088134E-3</v>
      </c>
      <c r="Q942">
        <f t="shared" si="1015"/>
        <v>-2207.7463366334209</v>
      </c>
      <c r="R942">
        <f t="shared" si="1016"/>
        <v>14201478.985567853</v>
      </c>
      <c r="S942">
        <f t="shared" si="1017"/>
        <v>142.01478985567852</v>
      </c>
      <c r="T942">
        <f t="shared" si="1018"/>
        <v>0.1420147898556785</v>
      </c>
    </row>
    <row r="943" spans="1:20" x14ac:dyDescent="0.25">
      <c r="A943" s="5">
        <v>43650</v>
      </c>
      <c r="B943">
        <v>0.36620000000000003</v>
      </c>
      <c r="C943">
        <v>0.36799999999999999</v>
      </c>
      <c r="D943">
        <v>0.34870000000000001</v>
      </c>
      <c r="E943">
        <v>0.35020000000000001</v>
      </c>
      <c r="F943">
        <v>320175.45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-0.84455958549222776</v>
      </c>
      <c r="Q943">
        <f t="shared" si="1015"/>
        <v>-270407.24533678748</v>
      </c>
      <c r="R943">
        <f t="shared" si="1016"/>
        <v>14203686.731904486</v>
      </c>
      <c r="S943">
        <f t="shared" si="1017"/>
        <v>142.03686731904486</v>
      </c>
      <c r="T943">
        <f t="shared" si="1018"/>
        <v>0.14203686731904486</v>
      </c>
    </row>
    <row r="944" spans="1:20" x14ac:dyDescent="0.25">
      <c r="A944" s="5">
        <v>43649</v>
      </c>
      <c r="B944">
        <v>0.36370000000000002</v>
      </c>
      <c r="C944">
        <v>0.3679</v>
      </c>
      <c r="D944">
        <v>0.35120000000000001</v>
      </c>
      <c r="E944">
        <v>0.36730000000000002</v>
      </c>
      <c r="F944">
        <v>401548.87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0.92814371257485151</v>
      </c>
      <c r="Q944">
        <f t="shared" si="1015"/>
        <v>372695.05898203643</v>
      </c>
      <c r="R944">
        <f t="shared" si="1016"/>
        <v>14474093.977241274</v>
      </c>
      <c r="S944">
        <f t="shared" si="1017"/>
        <v>144.74093977241273</v>
      </c>
      <c r="T944">
        <f t="shared" si="1018"/>
        <v>0.14474093977241273</v>
      </c>
    </row>
    <row r="945" spans="1:20" x14ac:dyDescent="0.25">
      <c r="A945" s="5">
        <v>43648</v>
      </c>
      <c r="B945">
        <v>0.37890000000000001</v>
      </c>
      <c r="C945">
        <v>0.37990000000000002</v>
      </c>
      <c r="D945">
        <v>0.3448</v>
      </c>
      <c r="E945">
        <v>0.36380000000000001</v>
      </c>
      <c r="F945">
        <v>660520.94999999995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8.2621082621082961E-2</v>
      </c>
      <c r="Q945">
        <f t="shared" si="1015"/>
        <v>54572.955982906205</v>
      </c>
      <c r="R945">
        <f t="shared" si="1016"/>
        <v>14101398.918259237</v>
      </c>
      <c r="S945">
        <f t="shared" si="1017"/>
        <v>141.01398918259238</v>
      </c>
      <c r="T945">
        <f t="shared" si="1018"/>
        <v>0.14101398918259239</v>
      </c>
    </row>
    <row r="946" spans="1:20" x14ac:dyDescent="0.25">
      <c r="A946" s="5">
        <v>43647</v>
      </c>
      <c r="B946">
        <v>0.38040000000000002</v>
      </c>
      <c r="C946">
        <v>0.39579999999999999</v>
      </c>
      <c r="D946">
        <v>0.36159999999999998</v>
      </c>
      <c r="E946">
        <v>0.379</v>
      </c>
      <c r="F946">
        <v>542521.56000000006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1.7543859649124117E-2</v>
      </c>
      <c r="Q946">
        <f t="shared" si="1015"/>
        <v>9517.9221052638695</v>
      </c>
      <c r="R946">
        <f t="shared" si="1016"/>
        <v>14046825.96227633</v>
      </c>
      <c r="S946">
        <f t="shared" si="1017"/>
        <v>140.4682596227633</v>
      </c>
      <c r="T946">
        <f t="shared" si="1018"/>
        <v>0.1404682596227633</v>
      </c>
    </row>
    <row r="947" spans="1:20" x14ac:dyDescent="0.25">
      <c r="A947" s="5">
        <v>43646</v>
      </c>
      <c r="B947">
        <v>0.39150000000000001</v>
      </c>
      <c r="C947">
        <v>0.42299999999999999</v>
      </c>
      <c r="D947">
        <v>0.37380000000000002</v>
      </c>
      <c r="E947">
        <v>0.37740000000000001</v>
      </c>
      <c r="F947">
        <v>1578142.49</v>
      </c>
      <c r="G947">
        <v>0</v>
      </c>
      <c r="L947" t="s">
        <v>8</v>
      </c>
      <c r="M947" t="s">
        <v>7</v>
      </c>
      <c r="N947" t="s">
        <v>7</v>
      </c>
      <c r="P947">
        <f t="shared" si="1014"/>
        <v>-0.85365853658536606</v>
      </c>
      <c r="Q947">
        <f t="shared" si="1015"/>
        <v>-1347194.8085365857</v>
      </c>
      <c r="R947">
        <f t="shared" si="1016"/>
        <v>14037308.040171066</v>
      </c>
      <c r="S947">
        <f t="shared" si="1017"/>
        <v>140.37308040171067</v>
      </c>
      <c r="T947">
        <f t="shared" si="1018"/>
        <v>0.14037308040171068</v>
      </c>
    </row>
    <row r="948" spans="1:20" x14ac:dyDescent="0.25">
      <c r="A948" s="5">
        <v>43645</v>
      </c>
      <c r="B948">
        <v>0.38769999999999999</v>
      </c>
      <c r="C948">
        <v>0.40720000000000001</v>
      </c>
      <c r="D948">
        <v>0.36799999999999999</v>
      </c>
      <c r="E948">
        <v>0.39150000000000001</v>
      </c>
      <c r="F948">
        <v>402040.04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0.19897959183673539</v>
      </c>
      <c r="Q948">
        <f t="shared" si="1015"/>
        <v>79997.763061224759</v>
      </c>
      <c r="R948">
        <f t="shared" si="1016"/>
        <v>15384502.848707652</v>
      </c>
      <c r="S948">
        <f t="shared" si="1017"/>
        <v>153.84502848707652</v>
      </c>
      <c r="T948">
        <f t="shared" si="1018"/>
        <v>0.15384502848707651</v>
      </c>
    </row>
    <row r="949" spans="1:20" x14ac:dyDescent="0.25">
      <c r="A949" s="5">
        <v>43644</v>
      </c>
      <c r="B949">
        <v>0.37009999999999998</v>
      </c>
      <c r="C949">
        <v>0.39</v>
      </c>
      <c r="D949">
        <v>0.36919999999999997</v>
      </c>
      <c r="E949">
        <v>0.38619999999999999</v>
      </c>
      <c r="F949">
        <v>382019.07</v>
      </c>
      <c r="G949">
        <v>0</v>
      </c>
      <c r="L949" t="s">
        <v>7</v>
      </c>
      <c r="M949" t="s">
        <v>7</v>
      </c>
      <c r="N949" t="s">
        <v>7</v>
      </c>
      <c r="P949">
        <f t="shared" si="1014"/>
        <v>0.63461538461538292</v>
      </c>
      <c r="Q949">
        <f t="shared" si="1015"/>
        <v>242435.17903846089</v>
      </c>
      <c r="R949">
        <f t="shared" si="1016"/>
        <v>15304505.085646426</v>
      </c>
      <c r="S949">
        <f t="shared" si="1017"/>
        <v>153.04505085646426</v>
      </c>
      <c r="T949">
        <f t="shared" si="1018"/>
        <v>0.15304505085646425</v>
      </c>
    </row>
    <row r="950" spans="1:20" x14ac:dyDescent="0.25">
      <c r="A950" s="5">
        <v>43643</v>
      </c>
      <c r="B950">
        <v>0.42380000000000001</v>
      </c>
      <c r="C950">
        <v>0.4249</v>
      </c>
      <c r="D950">
        <v>0.36509999999999998</v>
      </c>
      <c r="E950">
        <v>0.37159999999999999</v>
      </c>
      <c r="F950">
        <v>1121383.1200000001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-0.78260869565217384</v>
      </c>
      <c r="Q950">
        <f t="shared" si="1015"/>
        <v>-877604.18086956523</v>
      </c>
      <c r="R950">
        <f t="shared" si="1016"/>
        <v>15062069.906607965</v>
      </c>
      <c r="S950">
        <f t="shared" si="1017"/>
        <v>150.62069906607965</v>
      </c>
      <c r="T950">
        <f t="shared" si="1018"/>
        <v>0.15062069906607964</v>
      </c>
    </row>
    <row r="951" spans="1:20" x14ac:dyDescent="0.25">
      <c r="A951" s="5">
        <v>43642</v>
      </c>
      <c r="B951">
        <v>0.44450000000000001</v>
      </c>
      <c r="C951">
        <v>0.45479999999999998</v>
      </c>
      <c r="D951">
        <v>0.41499999999999998</v>
      </c>
      <c r="E951">
        <v>0.4249</v>
      </c>
      <c r="F951">
        <v>1199903.54</v>
      </c>
      <c r="G951">
        <v>0</v>
      </c>
      <c r="L951" t="s">
        <v>7</v>
      </c>
      <c r="M951" t="s">
        <v>8</v>
      </c>
      <c r="N951" t="s">
        <v>7</v>
      </c>
      <c r="P951">
        <f t="shared" si="1014"/>
        <v>-0.50251256281406942</v>
      </c>
      <c r="Q951">
        <f t="shared" si="1015"/>
        <v>-602966.60301507427</v>
      </c>
      <c r="R951">
        <f t="shared" si="1016"/>
        <v>15939674.087477529</v>
      </c>
      <c r="S951">
        <f t="shared" si="1017"/>
        <v>159.3967408747753</v>
      </c>
      <c r="T951">
        <f t="shared" si="1018"/>
        <v>0.15939674087477532</v>
      </c>
    </row>
    <row r="952" spans="1:20" x14ac:dyDescent="0.25">
      <c r="A952" s="5">
        <v>43641</v>
      </c>
      <c r="B952">
        <v>0.43480000000000002</v>
      </c>
      <c r="C952">
        <v>0.44969999999999999</v>
      </c>
      <c r="D952">
        <v>0.43</v>
      </c>
      <c r="E952">
        <v>0.44409999999999999</v>
      </c>
      <c r="F952">
        <v>569840.82999999996</v>
      </c>
      <c r="G952">
        <v>0</v>
      </c>
      <c r="L952" t="s">
        <v>8</v>
      </c>
      <c r="M952" t="s">
        <v>8</v>
      </c>
      <c r="N952" t="s">
        <v>7</v>
      </c>
      <c r="P952">
        <f t="shared" si="1014"/>
        <v>0.43147208121827457</v>
      </c>
      <c r="Q952">
        <f t="shared" si="1015"/>
        <v>245870.40888324898</v>
      </c>
      <c r="R952">
        <f t="shared" si="1016"/>
        <v>16542640.690492604</v>
      </c>
      <c r="S952">
        <f t="shared" si="1017"/>
        <v>165.42640690492604</v>
      </c>
      <c r="T952">
        <f t="shared" si="1018"/>
        <v>0.16542640690492605</v>
      </c>
    </row>
    <row r="953" spans="1:20" x14ac:dyDescent="0.25">
      <c r="A953" s="5">
        <v>43640</v>
      </c>
      <c r="B953">
        <v>0.43959999999999999</v>
      </c>
      <c r="C953">
        <v>0.43959999999999999</v>
      </c>
      <c r="D953">
        <v>0.42909999999999998</v>
      </c>
      <c r="E953">
        <v>0.437</v>
      </c>
      <c r="F953">
        <v>272977.17</v>
      </c>
      <c r="G953">
        <v>0</v>
      </c>
      <c r="L953" t="s">
        <v>8</v>
      </c>
      <c r="M953" t="s">
        <v>8</v>
      </c>
      <c r="N953" t="s">
        <v>7</v>
      </c>
      <c r="P953">
        <f t="shared" si="1014"/>
        <v>0.50476190476190685</v>
      </c>
      <c r="Q953">
        <f t="shared" si="1015"/>
        <v>137788.47628571486</v>
      </c>
      <c r="R953">
        <f t="shared" si="1016"/>
        <v>16296770.281609355</v>
      </c>
      <c r="S953">
        <f t="shared" si="1017"/>
        <v>162.96770281609355</v>
      </c>
      <c r="T953">
        <f t="shared" si="1018"/>
        <v>0.16296770281609355</v>
      </c>
    </row>
    <row r="954" spans="1:20" x14ac:dyDescent="0.25">
      <c r="A954" s="5">
        <v>43639</v>
      </c>
      <c r="B954">
        <v>0.44440000000000002</v>
      </c>
      <c r="C954">
        <v>0.4446</v>
      </c>
      <c r="D954">
        <v>0.433</v>
      </c>
      <c r="E954">
        <v>0.43809999999999999</v>
      </c>
      <c r="F954">
        <v>439281.87</v>
      </c>
      <c r="G954">
        <v>0</v>
      </c>
      <c r="L954" t="s">
        <v>8</v>
      </c>
      <c r="M954" t="s">
        <v>8</v>
      </c>
      <c r="N954" t="s">
        <v>7</v>
      </c>
      <c r="P954">
        <f t="shared" si="1014"/>
        <v>-0.12068965517241487</v>
      </c>
      <c r="Q954">
        <f t="shared" si="1015"/>
        <v>-53016.777413793578</v>
      </c>
      <c r="R954">
        <f t="shared" si="1016"/>
        <v>16158981.80532364</v>
      </c>
      <c r="S954">
        <f t="shared" si="1017"/>
        <v>161.5898180532364</v>
      </c>
      <c r="T954">
        <f t="shared" si="1018"/>
        <v>0.16158981805323641</v>
      </c>
    </row>
    <row r="955" spans="1:20" x14ac:dyDescent="0.25">
      <c r="A955" s="5">
        <v>43638</v>
      </c>
      <c r="B955">
        <v>0.42930000000000001</v>
      </c>
      <c r="C955">
        <v>0.46079999999999999</v>
      </c>
      <c r="D955">
        <v>0.41339999999999999</v>
      </c>
      <c r="E955">
        <v>0.44140000000000001</v>
      </c>
      <c r="F955">
        <v>1491861.46</v>
      </c>
      <c r="G955">
        <v>0</v>
      </c>
      <c r="L955" t="s">
        <v>8</v>
      </c>
      <c r="M955" t="s">
        <v>8</v>
      </c>
      <c r="N955" t="s">
        <v>7</v>
      </c>
      <c r="P955">
        <f t="shared" si="1014"/>
        <v>0.18143459915611926</v>
      </c>
      <c r="Q955">
        <f t="shared" si="1015"/>
        <v>270675.28599156282</v>
      </c>
      <c r="R955">
        <f t="shared" si="1016"/>
        <v>16211998.582737433</v>
      </c>
      <c r="S955">
        <f t="shared" si="1017"/>
        <v>162.11998582737434</v>
      </c>
      <c r="T955">
        <f t="shared" si="1018"/>
        <v>0.16211998582737433</v>
      </c>
    </row>
    <row r="956" spans="1:20" x14ac:dyDescent="0.25">
      <c r="A956" s="5">
        <v>43637</v>
      </c>
      <c r="B956">
        <v>0.43880000000000002</v>
      </c>
      <c r="C956">
        <v>0.43980000000000002</v>
      </c>
      <c r="D956">
        <v>0.4168</v>
      </c>
      <c r="E956">
        <v>0.42930000000000001</v>
      </c>
      <c r="F956">
        <v>730573.01</v>
      </c>
      <c r="G956">
        <v>0</v>
      </c>
      <c r="L956" t="s">
        <v>7</v>
      </c>
      <c r="M956" t="s">
        <v>8</v>
      </c>
      <c r="N956" t="s">
        <v>7</v>
      </c>
      <c r="P956">
        <f t="shared" si="1014"/>
        <v>8.6956521739130432E-2</v>
      </c>
      <c r="Q956">
        <f t="shared" si="1015"/>
        <v>63528.087826086958</v>
      </c>
      <c r="R956">
        <f t="shared" si="1016"/>
        <v>15941323.29674587</v>
      </c>
      <c r="S956">
        <f t="shared" si="1017"/>
        <v>159.4132329674587</v>
      </c>
      <c r="T956">
        <f t="shared" si="1018"/>
        <v>0.15941323296745868</v>
      </c>
    </row>
    <row r="957" spans="1:20" x14ac:dyDescent="0.25">
      <c r="A957" s="5">
        <v>43636</v>
      </c>
      <c r="B957">
        <v>0.44979999999999998</v>
      </c>
      <c r="C957">
        <v>0.4511</v>
      </c>
      <c r="D957">
        <v>0.43009999999999998</v>
      </c>
      <c r="E957">
        <v>0.43580000000000002</v>
      </c>
      <c r="F957">
        <v>514974.65</v>
      </c>
      <c r="G957">
        <v>0</v>
      </c>
      <c r="L957" t="s">
        <v>7</v>
      </c>
      <c r="M957" t="s">
        <v>8</v>
      </c>
      <c r="N957" t="s">
        <v>7</v>
      </c>
      <c r="P957">
        <f t="shared" si="1014"/>
        <v>-0.45714285714285396</v>
      </c>
      <c r="Q957">
        <f t="shared" si="1015"/>
        <v>-235416.98285714124</v>
      </c>
      <c r="R957">
        <f t="shared" si="1016"/>
        <v>15877795.208919784</v>
      </c>
      <c r="S957">
        <f t="shared" si="1017"/>
        <v>158.77795208919784</v>
      </c>
      <c r="T957">
        <f t="shared" si="1018"/>
        <v>0.15877795208919784</v>
      </c>
    </row>
    <row r="958" spans="1:20" x14ac:dyDescent="0.25">
      <c r="A958" s="5">
        <v>43635</v>
      </c>
      <c r="B958">
        <v>0.42749999999999999</v>
      </c>
      <c r="C958">
        <v>0.4501</v>
      </c>
      <c r="D958">
        <v>0.42320000000000002</v>
      </c>
      <c r="E958">
        <v>0.44979999999999998</v>
      </c>
      <c r="F958">
        <v>565882.73</v>
      </c>
      <c r="G958">
        <v>0</v>
      </c>
      <c r="L958" t="s">
        <v>7</v>
      </c>
      <c r="M958" t="s">
        <v>8</v>
      </c>
      <c r="N958" t="s">
        <v>7</v>
      </c>
      <c r="P958">
        <f t="shared" si="1014"/>
        <v>0.97769516728624362</v>
      </c>
      <c r="Q958">
        <f t="shared" si="1015"/>
        <v>553260.81037174619</v>
      </c>
      <c r="R958">
        <f t="shared" si="1016"/>
        <v>16113212.191776926</v>
      </c>
      <c r="S958">
        <f t="shared" si="1017"/>
        <v>161.13212191776927</v>
      </c>
      <c r="T958">
        <f t="shared" si="1018"/>
        <v>0.16113212191776927</v>
      </c>
    </row>
    <row r="959" spans="1:20" x14ac:dyDescent="0.25">
      <c r="A959" s="5">
        <v>43634</v>
      </c>
      <c r="B959">
        <v>0.43369999999999997</v>
      </c>
      <c r="C959">
        <v>0.45500000000000002</v>
      </c>
      <c r="D959">
        <v>0.42</v>
      </c>
      <c r="E959">
        <v>0.4274</v>
      </c>
      <c r="F959">
        <v>855667.82</v>
      </c>
      <c r="G959">
        <v>0</v>
      </c>
      <c r="L959" t="s">
        <v>8</v>
      </c>
      <c r="M959" t="s">
        <v>8</v>
      </c>
      <c r="N959" t="s">
        <v>7</v>
      </c>
      <c r="P959">
        <f t="shared" ref="P959:P1022" si="1019">IF(C959=D959,0,((E959-D959)-(C959-E959))/(C959-D959))</f>
        <v>-0.57714285714285651</v>
      </c>
      <c r="Q959">
        <f t="shared" ref="Q959:Q1022" si="1020">F959*P959</f>
        <v>-493842.57039999944</v>
      </c>
      <c r="R959">
        <f t="shared" ref="R959:R1022" si="1021">R960+Q959</f>
        <v>15559951.38140518</v>
      </c>
      <c r="S959">
        <f t="shared" ref="S959:S1022" si="1022">R959/100000</f>
        <v>155.59951381405179</v>
      </c>
      <c r="T959">
        <f t="shared" ref="T959:T1022" si="1023">S959/1000</f>
        <v>0.15559951381405179</v>
      </c>
    </row>
    <row r="960" spans="1:20" x14ac:dyDescent="0.25">
      <c r="A960" s="5">
        <v>43633</v>
      </c>
      <c r="B960">
        <v>0.43020000000000003</v>
      </c>
      <c r="C960">
        <v>0.435</v>
      </c>
      <c r="D960">
        <v>0.42320000000000002</v>
      </c>
      <c r="E960">
        <v>0.43169999999999997</v>
      </c>
      <c r="F960">
        <v>407403.14</v>
      </c>
      <c r="G960">
        <v>0</v>
      </c>
      <c r="L960" t="s">
        <v>7</v>
      </c>
      <c r="M960" t="s">
        <v>8</v>
      </c>
      <c r="N960" t="s">
        <v>7</v>
      </c>
      <c r="P960">
        <f t="shared" si="1019"/>
        <v>0.44067796610168958</v>
      </c>
      <c r="Q960">
        <f t="shared" si="1020"/>
        <v>179533.58711864191</v>
      </c>
      <c r="R960">
        <f t="shared" si="1021"/>
        <v>16053793.95180518</v>
      </c>
      <c r="S960">
        <f t="shared" si="1022"/>
        <v>160.53793951805179</v>
      </c>
      <c r="T960">
        <f t="shared" si="1023"/>
        <v>0.16053793951805179</v>
      </c>
    </row>
    <row r="961" spans="1:20" x14ac:dyDescent="0.25">
      <c r="A961" s="5">
        <v>43632</v>
      </c>
      <c r="B961">
        <v>0.43020000000000003</v>
      </c>
      <c r="C961">
        <v>0.43280000000000002</v>
      </c>
      <c r="D961">
        <v>0.4168</v>
      </c>
      <c r="E961">
        <v>0.42959999999999998</v>
      </c>
      <c r="F961">
        <v>384776.1</v>
      </c>
      <c r="G961">
        <v>0</v>
      </c>
      <c r="L961" t="s">
        <v>7</v>
      </c>
      <c r="M961" t="s">
        <v>8</v>
      </c>
      <c r="N961" t="s">
        <v>7</v>
      </c>
      <c r="P961">
        <f t="shared" si="1019"/>
        <v>0.59999999999999587</v>
      </c>
      <c r="Q961">
        <f t="shared" si="1020"/>
        <v>230865.6599999984</v>
      </c>
      <c r="R961">
        <f t="shared" si="1021"/>
        <v>15874260.364686538</v>
      </c>
      <c r="S961">
        <f t="shared" si="1022"/>
        <v>158.74260364686538</v>
      </c>
      <c r="T961">
        <f t="shared" si="1023"/>
        <v>0.15874260364686538</v>
      </c>
    </row>
    <row r="962" spans="1:20" x14ac:dyDescent="0.25">
      <c r="A962" s="5">
        <v>43631</v>
      </c>
      <c r="B962">
        <v>0.42059999999999997</v>
      </c>
      <c r="C962">
        <v>0.43469999999999998</v>
      </c>
      <c r="D962">
        <v>0.41320000000000001</v>
      </c>
      <c r="E962">
        <v>0.43070000000000003</v>
      </c>
      <c r="F962">
        <v>327684.64</v>
      </c>
      <c r="G962">
        <v>0</v>
      </c>
      <c r="L962" t="s">
        <v>7</v>
      </c>
      <c r="M962" t="s">
        <v>8</v>
      </c>
      <c r="N962" t="s">
        <v>7</v>
      </c>
      <c r="P962">
        <f t="shared" si="1019"/>
        <v>0.62790697674419027</v>
      </c>
      <c r="Q962">
        <f t="shared" si="1020"/>
        <v>205755.47162790838</v>
      </c>
      <c r="R962">
        <f t="shared" si="1021"/>
        <v>15643394.704686539</v>
      </c>
      <c r="S962">
        <f t="shared" si="1022"/>
        <v>156.4339470468654</v>
      </c>
      <c r="T962">
        <f t="shared" si="1023"/>
        <v>0.15643394704686539</v>
      </c>
    </row>
    <row r="963" spans="1:20" x14ac:dyDescent="0.25">
      <c r="A963" s="5">
        <v>43630</v>
      </c>
      <c r="B963">
        <v>0.43390000000000001</v>
      </c>
      <c r="C963">
        <v>0.44119999999999998</v>
      </c>
      <c r="D963">
        <v>0.41</v>
      </c>
      <c r="E963">
        <v>0.42059999999999997</v>
      </c>
      <c r="F963">
        <v>380846.56</v>
      </c>
      <c r="G963">
        <v>0</v>
      </c>
      <c r="L963" t="s">
        <v>7</v>
      </c>
      <c r="M963" t="s">
        <v>8</v>
      </c>
      <c r="N963" t="s">
        <v>7</v>
      </c>
      <c r="P963">
        <f t="shared" si="1019"/>
        <v>-0.32051282051282076</v>
      </c>
      <c r="Q963">
        <f t="shared" si="1020"/>
        <v>-122066.20512820523</v>
      </c>
      <c r="R963">
        <f t="shared" si="1021"/>
        <v>15437639.233058631</v>
      </c>
      <c r="S963">
        <f t="shared" si="1022"/>
        <v>154.37639233058633</v>
      </c>
      <c r="T963">
        <f t="shared" si="1023"/>
        <v>0.15437639233058634</v>
      </c>
    </row>
    <row r="964" spans="1:20" x14ac:dyDescent="0.25">
      <c r="A964" s="5">
        <v>43629</v>
      </c>
      <c r="B964">
        <v>0.443</v>
      </c>
      <c r="C964">
        <v>0.45300000000000001</v>
      </c>
      <c r="D964">
        <v>0.43309999999999998</v>
      </c>
      <c r="E964">
        <v>0.43540000000000001</v>
      </c>
      <c r="F964">
        <v>342481.36</v>
      </c>
      <c r="G964">
        <v>0</v>
      </c>
      <c r="L964" t="s">
        <v>8</v>
      </c>
      <c r="M964" t="s">
        <v>8</v>
      </c>
      <c r="N964" t="s">
        <v>7</v>
      </c>
      <c r="P964">
        <f t="shared" si="1019"/>
        <v>-0.76884422110552553</v>
      </c>
      <c r="Q964">
        <f t="shared" si="1020"/>
        <v>-263314.81447236106</v>
      </c>
      <c r="R964">
        <f t="shared" si="1021"/>
        <v>15559705.438186837</v>
      </c>
      <c r="S964">
        <f t="shared" si="1022"/>
        <v>155.59705438186836</v>
      </c>
      <c r="T964">
        <f t="shared" si="1023"/>
        <v>0.15559705438186835</v>
      </c>
    </row>
    <row r="965" spans="1:20" x14ac:dyDescent="0.25">
      <c r="A965" s="5">
        <v>43628</v>
      </c>
      <c r="B965">
        <v>0.4501</v>
      </c>
      <c r="C965">
        <v>0.45019999999999999</v>
      </c>
      <c r="D965">
        <v>0.42920000000000003</v>
      </c>
      <c r="E965">
        <v>0.4446</v>
      </c>
      <c r="F965">
        <v>442377.68</v>
      </c>
      <c r="G965">
        <v>0</v>
      </c>
      <c r="L965" t="s">
        <v>8</v>
      </c>
      <c r="M965" t="s">
        <v>8</v>
      </c>
      <c r="N965" t="s">
        <v>7</v>
      </c>
      <c r="P965">
        <f t="shared" si="1019"/>
        <v>0.46666666666666634</v>
      </c>
      <c r="Q965">
        <f t="shared" si="1020"/>
        <v>206442.9173333332</v>
      </c>
      <c r="R965">
        <f t="shared" si="1021"/>
        <v>15823020.252659198</v>
      </c>
      <c r="S965">
        <f t="shared" si="1022"/>
        <v>158.23020252659197</v>
      </c>
      <c r="T965">
        <f t="shared" si="1023"/>
        <v>0.15823020252659198</v>
      </c>
    </row>
    <row r="966" spans="1:20" x14ac:dyDescent="0.25">
      <c r="A966" s="5">
        <v>43627</v>
      </c>
      <c r="B966">
        <v>0.4335</v>
      </c>
      <c r="C966">
        <v>0.45229999999999998</v>
      </c>
      <c r="D966">
        <v>0.43009999999999998</v>
      </c>
      <c r="E966">
        <v>0.45019999999999999</v>
      </c>
      <c r="F966">
        <v>691372.39</v>
      </c>
      <c r="G966">
        <v>0</v>
      </c>
      <c r="L966" t="s">
        <v>8</v>
      </c>
      <c r="M966" t="s">
        <v>8</v>
      </c>
      <c r="N966" t="s">
        <v>7</v>
      </c>
      <c r="P966">
        <f t="shared" si="1019"/>
        <v>0.81081081081081163</v>
      </c>
      <c r="Q966">
        <f t="shared" si="1020"/>
        <v>560572.20810810872</v>
      </c>
      <c r="R966">
        <f t="shared" si="1021"/>
        <v>15616577.335325865</v>
      </c>
      <c r="S966">
        <f t="shared" si="1022"/>
        <v>156.16577335325866</v>
      </c>
      <c r="T966">
        <f t="shared" si="1023"/>
        <v>0.15616577335325865</v>
      </c>
    </row>
    <row r="967" spans="1:20" x14ac:dyDescent="0.25">
      <c r="A967" s="5">
        <v>43626</v>
      </c>
      <c r="B967">
        <v>0.41549999999999998</v>
      </c>
      <c r="C967">
        <v>0.435</v>
      </c>
      <c r="D967">
        <v>0.4007</v>
      </c>
      <c r="E967">
        <v>0.43209999999999998</v>
      </c>
      <c r="F967">
        <v>760676.01</v>
      </c>
      <c r="G967">
        <v>0</v>
      </c>
      <c r="L967" t="s">
        <v>7</v>
      </c>
      <c r="M967" t="s">
        <v>8</v>
      </c>
      <c r="N967" t="s">
        <v>7</v>
      </c>
      <c r="P967">
        <f t="shared" si="1019"/>
        <v>0.83090379008746273</v>
      </c>
      <c r="Q967">
        <f t="shared" si="1020"/>
        <v>632048.57973760867</v>
      </c>
      <c r="R967">
        <f t="shared" si="1021"/>
        <v>15056005.127217757</v>
      </c>
      <c r="S967">
        <f t="shared" si="1022"/>
        <v>150.56005127217756</v>
      </c>
      <c r="T967">
        <f t="shared" si="1023"/>
        <v>0.15056005127217756</v>
      </c>
    </row>
    <row r="968" spans="1:20" x14ac:dyDescent="0.25">
      <c r="A968" s="5">
        <v>43625</v>
      </c>
      <c r="B968">
        <v>0.43880000000000002</v>
      </c>
      <c r="C968">
        <v>0.46479999999999999</v>
      </c>
      <c r="D968">
        <v>0.40279999999999999</v>
      </c>
      <c r="E968">
        <v>0.41549999999999998</v>
      </c>
      <c r="F968">
        <v>776581.37</v>
      </c>
      <c r="G968">
        <v>0</v>
      </c>
      <c r="L968" t="s">
        <v>7</v>
      </c>
      <c r="M968" t="s">
        <v>8</v>
      </c>
      <c r="N968" t="s">
        <v>7</v>
      </c>
      <c r="P968">
        <f t="shared" si="1019"/>
        <v>-0.59032258064516163</v>
      </c>
      <c r="Q968">
        <f t="shared" si="1020"/>
        <v>-458433.5184193551</v>
      </c>
      <c r="R968">
        <f t="shared" si="1021"/>
        <v>14423956.547480147</v>
      </c>
      <c r="S968">
        <f t="shared" si="1022"/>
        <v>144.23956547480148</v>
      </c>
      <c r="T968">
        <f t="shared" si="1023"/>
        <v>0.14423956547480149</v>
      </c>
    </row>
    <row r="969" spans="1:20" x14ac:dyDescent="0.25">
      <c r="A969" s="5">
        <v>43624</v>
      </c>
      <c r="B969">
        <v>0.42359999999999998</v>
      </c>
      <c r="C969">
        <v>0.47</v>
      </c>
      <c r="D969">
        <v>0.42120000000000002</v>
      </c>
      <c r="E969">
        <v>0.43919999999999998</v>
      </c>
      <c r="F969">
        <v>1358483.2</v>
      </c>
      <c r="G969">
        <v>0</v>
      </c>
      <c r="L969" t="s">
        <v>8</v>
      </c>
      <c r="M969" t="s">
        <v>8</v>
      </c>
      <c r="N969" t="s">
        <v>7</v>
      </c>
      <c r="P969">
        <f t="shared" si="1019"/>
        <v>-0.26229508196721407</v>
      </c>
      <c r="Q969">
        <f t="shared" si="1020"/>
        <v>-356323.46229508327</v>
      </c>
      <c r="R969">
        <f t="shared" si="1021"/>
        <v>14882390.065899502</v>
      </c>
      <c r="S969">
        <f t="shared" si="1022"/>
        <v>148.82390065899503</v>
      </c>
      <c r="T969">
        <f t="shared" si="1023"/>
        <v>0.14882390065899503</v>
      </c>
    </row>
    <row r="970" spans="1:20" x14ac:dyDescent="0.25">
      <c r="A970" s="5">
        <v>43623</v>
      </c>
      <c r="B970">
        <v>0.41020000000000001</v>
      </c>
      <c r="C970">
        <v>0.42699999999999999</v>
      </c>
      <c r="D970">
        <v>0.40439999999999998</v>
      </c>
      <c r="E970">
        <v>0.42359999999999998</v>
      </c>
      <c r="F970">
        <v>403070.24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0.69911504424778648</v>
      </c>
      <c r="Q970">
        <f t="shared" si="1020"/>
        <v>281792.46867256588</v>
      </c>
      <c r="R970">
        <f t="shared" si="1021"/>
        <v>15238713.528194586</v>
      </c>
      <c r="S970">
        <f t="shared" si="1022"/>
        <v>152.38713528194586</v>
      </c>
      <c r="T970">
        <f t="shared" si="1023"/>
        <v>0.15238713528194586</v>
      </c>
    </row>
    <row r="971" spans="1:20" x14ac:dyDescent="0.25">
      <c r="A971" s="5">
        <v>43622</v>
      </c>
      <c r="B971">
        <v>0.39200000000000002</v>
      </c>
      <c r="C971">
        <v>0.43190000000000001</v>
      </c>
      <c r="D971">
        <v>0.39069999999999999</v>
      </c>
      <c r="E971">
        <v>0.41020000000000001</v>
      </c>
      <c r="F971">
        <v>880903.11</v>
      </c>
      <c r="G971">
        <v>0</v>
      </c>
      <c r="L971" t="s">
        <v>8</v>
      </c>
      <c r="M971" t="s">
        <v>7</v>
      </c>
      <c r="N971" t="s">
        <v>7</v>
      </c>
      <c r="P971">
        <f t="shared" si="1019"/>
        <v>-5.3398058252426675E-2</v>
      </c>
      <c r="Q971">
        <f t="shared" si="1020"/>
        <v>-47038.515582523825</v>
      </c>
      <c r="R971">
        <f t="shared" si="1021"/>
        <v>14956921.05952202</v>
      </c>
      <c r="S971">
        <f t="shared" si="1022"/>
        <v>149.5692105952202</v>
      </c>
      <c r="T971">
        <f t="shared" si="1023"/>
        <v>0.14956921059522019</v>
      </c>
    </row>
    <row r="972" spans="1:20" x14ac:dyDescent="0.25">
      <c r="A972" s="5">
        <v>43621</v>
      </c>
      <c r="B972">
        <v>0.38769999999999999</v>
      </c>
      <c r="C972">
        <v>0.40139999999999998</v>
      </c>
      <c r="D972">
        <v>0.38</v>
      </c>
      <c r="E972">
        <v>0.3901</v>
      </c>
      <c r="F972">
        <v>512913.04</v>
      </c>
      <c r="G972">
        <v>0</v>
      </c>
      <c r="L972" t="s">
        <v>7</v>
      </c>
      <c r="M972" t="s">
        <v>7</v>
      </c>
      <c r="N972" t="s">
        <v>7</v>
      </c>
      <c r="P972">
        <f t="shared" si="1019"/>
        <v>-5.6074766355139263E-2</v>
      </c>
      <c r="Q972">
        <f t="shared" si="1020"/>
        <v>-28761.478878504196</v>
      </c>
      <c r="R972">
        <f t="shared" si="1021"/>
        <v>15003959.575104544</v>
      </c>
      <c r="S972">
        <f t="shared" si="1022"/>
        <v>150.03959575104543</v>
      </c>
      <c r="T972">
        <f t="shared" si="1023"/>
        <v>0.15003959575104542</v>
      </c>
    </row>
    <row r="973" spans="1:20" x14ac:dyDescent="0.25">
      <c r="A973" s="5">
        <v>43620</v>
      </c>
      <c r="B973">
        <v>0.41760000000000003</v>
      </c>
      <c r="C973">
        <v>0.42470000000000002</v>
      </c>
      <c r="D973">
        <v>0.3765</v>
      </c>
      <c r="E973">
        <v>0.38690000000000002</v>
      </c>
      <c r="F973">
        <v>709797.91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-0.56846473029045574</v>
      </c>
      <c r="Q973">
        <f t="shared" si="1020"/>
        <v>-403495.07746887917</v>
      </c>
      <c r="R973">
        <f t="shared" si="1021"/>
        <v>15032721.053983048</v>
      </c>
      <c r="S973">
        <f t="shared" si="1022"/>
        <v>150.32721053983047</v>
      </c>
      <c r="T973">
        <f t="shared" si="1023"/>
        <v>0.15032721053983047</v>
      </c>
    </row>
    <row r="974" spans="1:20" x14ac:dyDescent="0.25">
      <c r="A974" s="5">
        <v>43619</v>
      </c>
      <c r="B974">
        <v>0.45279999999999998</v>
      </c>
      <c r="C974">
        <v>0.45829999999999999</v>
      </c>
      <c r="D974">
        <v>0.41460000000000002</v>
      </c>
      <c r="E974">
        <v>0.41760000000000003</v>
      </c>
      <c r="F974">
        <v>598750.93999999994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-0.86270022883295172</v>
      </c>
      <c r="Q974">
        <f t="shared" si="1020"/>
        <v>-516542.57295194489</v>
      </c>
      <c r="R974">
        <f t="shared" si="1021"/>
        <v>15436216.131451927</v>
      </c>
      <c r="S974">
        <f t="shared" si="1022"/>
        <v>154.36216131451928</v>
      </c>
      <c r="T974">
        <f t="shared" si="1023"/>
        <v>0.1543621613145193</v>
      </c>
    </row>
    <row r="975" spans="1:20" x14ac:dyDescent="0.25">
      <c r="A975" s="5">
        <v>43618</v>
      </c>
      <c r="B975">
        <v>0.44080000000000003</v>
      </c>
      <c r="C975">
        <v>0.45479999999999998</v>
      </c>
      <c r="D975">
        <v>0.43709999999999999</v>
      </c>
      <c r="E975">
        <v>0.44950000000000001</v>
      </c>
      <c r="F975">
        <v>377985.09</v>
      </c>
      <c r="G975">
        <v>0</v>
      </c>
      <c r="L975" t="s">
        <v>8</v>
      </c>
      <c r="M975" t="s">
        <v>7</v>
      </c>
      <c r="N975" t="s">
        <v>8</v>
      </c>
      <c r="P975">
        <f t="shared" si="1019"/>
        <v>0.40112994350282788</v>
      </c>
      <c r="Q975">
        <f t="shared" si="1020"/>
        <v>151621.13779661132</v>
      </c>
      <c r="R975">
        <f t="shared" si="1021"/>
        <v>15952758.704403872</v>
      </c>
      <c r="S975">
        <f t="shared" si="1022"/>
        <v>159.52758704403871</v>
      </c>
      <c r="T975">
        <f t="shared" si="1023"/>
        <v>0.15952758704403872</v>
      </c>
    </row>
    <row r="976" spans="1:20" x14ac:dyDescent="0.25">
      <c r="A976" s="5">
        <v>43617</v>
      </c>
      <c r="B976">
        <v>0.45700000000000002</v>
      </c>
      <c r="C976">
        <v>0.45929999999999999</v>
      </c>
      <c r="D976">
        <v>0.43280000000000002</v>
      </c>
      <c r="E976">
        <v>0.43980000000000002</v>
      </c>
      <c r="F976">
        <v>659185.98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-0.47169811320754607</v>
      </c>
      <c r="Q976">
        <f t="shared" si="1020"/>
        <v>-310936.78301886719</v>
      </c>
      <c r="R976">
        <f t="shared" si="1021"/>
        <v>15801137.566607261</v>
      </c>
      <c r="S976">
        <f t="shared" si="1022"/>
        <v>158.01137566607261</v>
      </c>
      <c r="T976">
        <f t="shared" si="1023"/>
        <v>0.15801137566607262</v>
      </c>
    </row>
    <row r="977" spans="1:20" x14ac:dyDescent="0.25">
      <c r="A977" s="5">
        <v>43616</v>
      </c>
      <c r="B977">
        <v>0.44590000000000002</v>
      </c>
      <c r="C977">
        <v>0.45989999999999998</v>
      </c>
      <c r="D977">
        <v>0.42359999999999998</v>
      </c>
      <c r="E977">
        <v>0.4572</v>
      </c>
      <c r="F977">
        <v>697589.01</v>
      </c>
      <c r="G977">
        <v>0</v>
      </c>
      <c r="L977" t="s">
        <v>7</v>
      </c>
      <c r="M977" t="s">
        <v>7</v>
      </c>
      <c r="N977" t="s">
        <v>8</v>
      </c>
      <c r="P977">
        <f t="shared" si="1019"/>
        <v>0.85123966942148865</v>
      </c>
      <c r="Q977">
        <f t="shared" si="1020"/>
        <v>593815.43826446356</v>
      </c>
      <c r="R977">
        <f t="shared" si="1021"/>
        <v>16112074.349626128</v>
      </c>
      <c r="S977">
        <f t="shared" si="1022"/>
        <v>161.12074349626127</v>
      </c>
      <c r="T977">
        <f t="shared" si="1023"/>
        <v>0.16112074349626127</v>
      </c>
    </row>
    <row r="978" spans="1:20" x14ac:dyDescent="0.25">
      <c r="A978" s="5">
        <v>43615</v>
      </c>
      <c r="B978">
        <v>0.49569999999999997</v>
      </c>
      <c r="C978">
        <v>0.51370000000000005</v>
      </c>
      <c r="D978">
        <v>0.42220000000000002</v>
      </c>
      <c r="E978">
        <v>0.44590000000000002</v>
      </c>
      <c r="F978">
        <v>1678530.05</v>
      </c>
      <c r="G978">
        <v>0</v>
      </c>
      <c r="L978" t="s">
        <v>8</v>
      </c>
      <c r="M978" t="s">
        <v>7</v>
      </c>
      <c r="N978" t="s">
        <v>8</v>
      </c>
      <c r="P978">
        <f t="shared" si="1019"/>
        <v>-0.48196721311475427</v>
      </c>
      <c r="Q978">
        <f t="shared" si="1020"/>
        <v>-808996.45032786916</v>
      </c>
      <c r="R978">
        <f t="shared" si="1021"/>
        <v>15518258.911361665</v>
      </c>
      <c r="S978">
        <f t="shared" si="1022"/>
        <v>155.18258911361664</v>
      </c>
      <c r="T978">
        <f t="shared" si="1023"/>
        <v>0.15518258911361665</v>
      </c>
    </row>
    <row r="979" spans="1:20" x14ac:dyDescent="0.25">
      <c r="A979" s="5">
        <v>43614</v>
      </c>
      <c r="B979">
        <v>0.4768</v>
      </c>
      <c r="C979">
        <v>0.50580000000000003</v>
      </c>
      <c r="D979">
        <v>0.46300000000000002</v>
      </c>
      <c r="E979">
        <v>0.49769999999999998</v>
      </c>
      <c r="F979">
        <v>1314146.33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0.62149532710280142</v>
      </c>
      <c r="Q979">
        <f t="shared" si="1020"/>
        <v>816735.80322429608</v>
      </c>
      <c r="R979">
        <f t="shared" si="1021"/>
        <v>16327255.361689534</v>
      </c>
      <c r="S979">
        <f t="shared" si="1022"/>
        <v>163.27255361689535</v>
      </c>
      <c r="T979">
        <f t="shared" si="1023"/>
        <v>0.16327255361689536</v>
      </c>
    </row>
    <row r="980" spans="1:20" x14ac:dyDescent="0.25">
      <c r="A980" s="5">
        <v>43613</v>
      </c>
      <c r="B980">
        <v>0.4869</v>
      </c>
      <c r="C980">
        <v>0.4909</v>
      </c>
      <c r="D980">
        <v>0.46250000000000002</v>
      </c>
      <c r="E980">
        <v>0.47899999999999998</v>
      </c>
      <c r="F980">
        <v>902048.74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0.16197183098591339</v>
      </c>
      <c r="Q980">
        <f t="shared" si="1020"/>
        <v>146106.48605633614</v>
      </c>
      <c r="R980">
        <f t="shared" si="1021"/>
        <v>15510519.558465239</v>
      </c>
      <c r="S980">
        <f t="shared" si="1022"/>
        <v>155.10519558465239</v>
      </c>
      <c r="T980">
        <f t="shared" si="1023"/>
        <v>0.15510519558465238</v>
      </c>
    </row>
    <row r="981" spans="1:20" x14ac:dyDescent="0.25">
      <c r="A981" s="5">
        <v>43612</v>
      </c>
      <c r="B981">
        <v>0.47060000000000002</v>
      </c>
      <c r="C981">
        <v>0.49330000000000002</v>
      </c>
      <c r="D981">
        <v>0.46039999999999998</v>
      </c>
      <c r="E981">
        <v>0.48709999999999998</v>
      </c>
      <c r="F981">
        <v>1603749.7</v>
      </c>
      <c r="G981">
        <v>0</v>
      </c>
      <c r="L981" t="s">
        <v>7</v>
      </c>
      <c r="M981" t="s">
        <v>8</v>
      </c>
      <c r="N981" t="s">
        <v>8</v>
      </c>
      <c r="P981">
        <f t="shared" si="1019"/>
        <v>0.62310030395136584</v>
      </c>
      <c r="Q981">
        <f t="shared" si="1020"/>
        <v>999296.92553191178</v>
      </c>
      <c r="R981">
        <f t="shared" si="1021"/>
        <v>15364413.072408903</v>
      </c>
      <c r="S981">
        <f t="shared" si="1022"/>
        <v>153.64413072408902</v>
      </c>
      <c r="T981">
        <f t="shared" si="1023"/>
        <v>0.15364413072408903</v>
      </c>
    </row>
    <row r="982" spans="1:20" x14ac:dyDescent="0.25">
      <c r="A982" s="5">
        <v>43611</v>
      </c>
      <c r="B982">
        <v>0.47139999999999999</v>
      </c>
      <c r="C982">
        <v>0.52500000000000002</v>
      </c>
      <c r="D982">
        <v>0.44640000000000002</v>
      </c>
      <c r="E982">
        <v>0.47039999999999998</v>
      </c>
      <c r="F982">
        <v>3012394.44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-0.38931297709923751</v>
      </c>
      <c r="Q982">
        <f t="shared" si="1020"/>
        <v>-1172764.2476335904</v>
      </c>
      <c r="R982">
        <f t="shared" si="1021"/>
        <v>14365116.146876991</v>
      </c>
      <c r="S982">
        <f t="shared" si="1022"/>
        <v>143.65116146876991</v>
      </c>
      <c r="T982">
        <f t="shared" si="1023"/>
        <v>0.14365116146876991</v>
      </c>
    </row>
    <row r="983" spans="1:20" x14ac:dyDescent="0.25">
      <c r="A983" s="5">
        <v>43610</v>
      </c>
      <c r="B983">
        <v>0.4491</v>
      </c>
      <c r="C983">
        <v>0.48130000000000001</v>
      </c>
      <c r="D983">
        <v>0.4415</v>
      </c>
      <c r="E983">
        <v>0.47020000000000001</v>
      </c>
      <c r="F983">
        <v>1144451.93</v>
      </c>
      <c r="G983">
        <v>0</v>
      </c>
      <c r="L983" t="s">
        <v>8</v>
      </c>
      <c r="M983" t="s">
        <v>8</v>
      </c>
      <c r="N983" t="s">
        <v>8</v>
      </c>
      <c r="P983">
        <f t="shared" si="1019"/>
        <v>0.44221105527638199</v>
      </c>
      <c r="Q983">
        <f t="shared" si="1020"/>
        <v>506089.29567839205</v>
      </c>
      <c r="R983">
        <f t="shared" si="1021"/>
        <v>15537880.39451058</v>
      </c>
      <c r="S983">
        <f t="shared" si="1022"/>
        <v>155.3788039451058</v>
      </c>
      <c r="T983">
        <f t="shared" si="1023"/>
        <v>0.15537880394510581</v>
      </c>
    </row>
    <row r="984" spans="1:20" x14ac:dyDescent="0.25">
      <c r="A984" s="5">
        <v>43609</v>
      </c>
      <c r="B984">
        <v>0.44490000000000002</v>
      </c>
      <c r="C984">
        <v>0.46500000000000002</v>
      </c>
      <c r="D984">
        <v>0.43149999999999999</v>
      </c>
      <c r="E984">
        <v>0.44359999999999999</v>
      </c>
      <c r="F984">
        <v>1066666.4099999999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-0.27761194029850811</v>
      </c>
      <c r="Q984">
        <f t="shared" si="1020"/>
        <v>-296119.33173134393</v>
      </c>
      <c r="R984">
        <f t="shared" si="1021"/>
        <v>15031791.098832188</v>
      </c>
      <c r="S984">
        <f t="shared" si="1022"/>
        <v>150.31791098832187</v>
      </c>
      <c r="T984">
        <f t="shared" si="1023"/>
        <v>0.15031791098832187</v>
      </c>
    </row>
    <row r="985" spans="1:20" x14ac:dyDescent="0.25">
      <c r="A985" s="5">
        <v>43608</v>
      </c>
      <c r="B985">
        <v>0.42959999999999998</v>
      </c>
      <c r="C985">
        <v>0.46829999999999999</v>
      </c>
      <c r="D985">
        <v>0.40600000000000003</v>
      </c>
      <c r="E985">
        <v>0.44529999999999997</v>
      </c>
      <c r="F985">
        <v>1861648.43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0.26163723916532799</v>
      </c>
      <c r="Q985">
        <f t="shared" si="1020"/>
        <v>487076.55552166735</v>
      </c>
      <c r="R985">
        <f t="shared" si="1021"/>
        <v>15327910.430563532</v>
      </c>
      <c r="S985">
        <f t="shared" si="1022"/>
        <v>153.27910430563531</v>
      </c>
      <c r="T985">
        <f t="shared" si="1023"/>
        <v>0.15327910430563532</v>
      </c>
    </row>
    <row r="986" spans="1:20" x14ac:dyDescent="0.25">
      <c r="A986" s="5">
        <v>43607</v>
      </c>
      <c r="B986">
        <v>0.43290000000000001</v>
      </c>
      <c r="C986">
        <v>0.48670000000000002</v>
      </c>
      <c r="D986">
        <v>0.41549999999999998</v>
      </c>
      <c r="E986">
        <v>0.42799999999999999</v>
      </c>
      <c r="F986">
        <v>2277657.02</v>
      </c>
      <c r="G986">
        <v>0</v>
      </c>
      <c r="L986" t="s">
        <v>8</v>
      </c>
      <c r="M986" t="s">
        <v>8</v>
      </c>
      <c r="N986" t="s">
        <v>8</v>
      </c>
      <c r="P986">
        <f t="shared" si="1019"/>
        <v>-0.64887640449438189</v>
      </c>
      <c r="Q986">
        <f t="shared" si="1020"/>
        <v>-1477917.8978089886</v>
      </c>
      <c r="R986">
        <f t="shared" si="1021"/>
        <v>14840833.875041865</v>
      </c>
      <c r="S986">
        <f t="shared" si="1022"/>
        <v>148.40833875041864</v>
      </c>
      <c r="T986">
        <f t="shared" si="1023"/>
        <v>0.14840833875041864</v>
      </c>
    </row>
    <row r="987" spans="1:20" x14ac:dyDescent="0.25">
      <c r="A987" s="5">
        <v>43606</v>
      </c>
      <c r="B987">
        <v>0.42720000000000002</v>
      </c>
      <c r="C987">
        <v>0.4788</v>
      </c>
      <c r="D987">
        <v>0.41499999999999998</v>
      </c>
      <c r="E987">
        <v>0.43290000000000001</v>
      </c>
      <c r="F987">
        <v>4304287.03</v>
      </c>
      <c r="G987">
        <v>0</v>
      </c>
      <c r="L987" t="s">
        <v>7</v>
      </c>
      <c r="M987" t="s">
        <v>7</v>
      </c>
      <c r="N987" t="s">
        <v>8</v>
      </c>
      <c r="P987">
        <f t="shared" si="1019"/>
        <v>-0.43887147335423132</v>
      </c>
      <c r="Q987">
        <f t="shared" si="1020"/>
        <v>-1889028.7905956085</v>
      </c>
      <c r="R987">
        <f t="shared" si="1021"/>
        <v>16318751.772850854</v>
      </c>
      <c r="S987">
        <f t="shared" si="1022"/>
        <v>163.18751772850854</v>
      </c>
      <c r="T987">
        <f t="shared" si="1023"/>
        <v>0.16318751772850854</v>
      </c>
    </row>
    <row r="988" spans="1:20" x14ac:dyDescent="0.25">
      <c r="A988" s="5">
        <v>43605</v>
      </c>
      <c r="B988">
        <v>0.41</v>
      </c>
      <c r="C988">
        <v>0.49370000000000003</v>
      </c>
      <c r="D988">
        <v>0.38</v>
      </c>
      <c r="E988">
        <v>0.4279</v>
      </c>
      <c r="F988">
        <v>2733025.6</v>
      </c>
      <c r="G988">
        <v>0</v>
      </c>
      <c r="L988" t="s">
        <v>8</v>
      </c>
      <c r="M988" t="s">
        <v>8</v>
      </c>
      <c r="N988" t="s">
        <v>8</v>
      </c>
      <c r="P988">
        <f t="shared" si="1019"/>
        <v>-0.15743183817062464</v>
      </c>
      <c r="Q988">
        <f t="shared" si="1020"/>
        <v>-430265.24397537432</v>
      </c>
      <c r="R988">
        <f t="shared" si="1021"/>
        <v>18207780.563446462</v>
      </c>
      <c r="S988">
        <f t="shared" si="1022"/>
        <v>182.07780563446462</v>
      </c>
      <c r="T988">
        <f t="shared" si="1023"/>
        <v>0.18207780563446463</v>
      </c>
    </row>
    <row r="989" spans="1:20" x14ac:dyDescent="0.25">
      <c r="A989" s="5">
        <v>43604</v>
      </c>
      <c r="B989">
        <v>0.39429999999999998</v>
      </c>
      <c r="C989">
        <v>0.41310000000000002</v>
      </c>
      <c r="D989">
        <v>0.39</v>
      </c>
      <c r="E989">
        <v>0.40749999999999997</v>
      </c>
      <c r="F989">
        <v>1169545.23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0.51515151515151103</v>
      </c>
      <c r="Q989">
        <f t="shared" si="1020"/>
        <v>602492.99727272242</v>
      </c>
      <c r="R989">
        <f t="shared" si="1021"/>
        <v>18638045.807421837</v>
      </c>
      <c r="S989">
        <f t="shared" si="1022"/>
        <v>186.38045807421838</v>
      </c>
      <c r="T989">
        <f t="shared" si="1023"/>
        <v>0.18638045807421838</v>
      </c>
    </row>
    <row r="990" spans="1:20" x14ac:dyDescent="0.25">
      <c r="A990" s="5">
        <v>43603</v>
      </c>
      <c r="B990">
        <v>0.38829999999999998</v>
      </c>
      <c r="C990">
        <v>0.41</v>
      </c>
      <c r="D990">
        <v>0.37090000000000001</v>
      </c>
      <c r="E990">
        <v>0.39660000000000001</v>
      </c>
      <c r="F990">
        <v>1092415.3500000001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0.3145780051150906</v>
      </c>
      <c r="Q990">
        <f t="shared" si="1020"/>
        <v>343649.84156010352</v>
      </c>
      <c r="R990">
        <f t="shared" si="1021"/>
        <v>18035552.810149115</v>
      </c>
      <c r="S990">
        <f t="shared" si="1022"/>
        <v>180.35552810149116</v>
      </c>
      <c r="T990">
        <f t="shared" si="1023"/>
        <v>0.18035552810149116</v>
      </c>
    </row>
    <row r="991" spans="1:20" x14ac:dyDescent="0.25">
      <c r="A991" s="5">
        <v>43602</v>
      </c>
      <c r="B991">
        <v>0.42359999999999998</v>
      </c>
      <c r="C991">
        <v>0.42380000000000001</v>
      </c>
      <c r="D991">
        <v>0.35610000000000003</v>
      </c>
      <c r="E991">
        <v>0.38779999999999998</v>
      </c>
      <c r="F991">
        <v>1217240.9099999999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-6.3515509601182907E-2</v>
      </c>
      <c r="Q991">
        <f t="shared" si="1020"/>
        <v>-77313.676706057609</v>
      </c>
      <c r="R991">
        <f t="shared" si="1021"/>
        <v>17691902.968589012</v>
      </c>
      <c r="S991">
        <f t="shared" si="1022"/>
        <v>176.91902968589011</v>
      </c>
      <c r="T991">
        <f t="shared" si="1023"/>
        <v>0.1769190296858901</v>
      </c>
    </row>
    <row r="992" spans="1:20" x14ac:dyDescent="0.25">
      <c r="A992" s="5">
        <v>43601</v>
      </c>
      <c r="B992">
        <v>0.44309999999999999</v>
      </c>
      <c r="C992">
        <v>0.47470000000000001</v>
      </c>
      <c r="D992">
        <v>0.3906</v>
      </c>
      <c r="E992">
        <v>0.4209</v>
      </c>
      <c r="F992">
        <v>2495410.84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-0.27942925089179571</v>
      </c>
      <c r="Q992">
        <f t="shared" si="1020"/>
        <v>-697290.78168846667</v>
      </c>
      <c r="R992">
        <f t="shared" si="1021"/>
        <v>17769216.645295069</v>
      </c>
      <c r="S992">
        <f t="shared" si="1022"/>
        <v>177.69216645295069</v>
      </c>
      <c r="T992">
        <f t="shared" si="1023"/>
        <v>0.17769216645295069</v>
      </c>
    </row>
    <row r="993" spans="1:20" x14ac:dyDescent="0.25">
      <c r="A993" s="5">
        <v>43600</v>
      </c>
      <c r="B993">
        <v>0.4007</v>
      </c>
      <c r="C993">
        <v>0.44779999999999998</v>
      </c>
      <c r="D993">
        <v>0.39279999999999998</v>
      </c>
      <c r="E993">
        <v>0.44309999999999999</v>
      </c>
      <c r="F993">
        <v>1343204.3</v>
      </c>
      <c r="G993">
        <v>0</v>
      </c>
      <c r="L993" t="s">
        <v>8</v>
      </c>
      <c r="M993" t="s">
        <v>8</v>
      </c>
      <c r="N993" t="s">
        <v>7</v>
      </c>
      <c r="P993">
        <f t="shared" si="1019"/>
        <v>0.82909090909090977</v>
      </c>
      <c r="Q993">
        <f t="shared" si="1020"/>
        <v>1113638.4741818192</v>
      </c>
      <c r="R993">
        <f t="shared" si="1021"/>
        <v>18466507.426983535</v>
      </c>
      <c r="S993">
        <f t="shared" si="1022"/>
        <v>184.66507426983534</v>
      </c>
      <c r="T993">
        <f t="shared" si="1023"/>
        <v>0.18466507426983533</v>
      </c>
    </row>
    <row r="994" spans="1:20" x14ac:dyDescent="0.25">
      <c r="A994" s="5">
        <v>43599</v>
      </c>
      <c r="B994">
        <v>0.36570000000000003</v>
      </c>
      <c r="C994">
        <v>0.41649999999999998</v>
      </c>
      <c r="D994">
        <v>0.36080000000000001</v>
      </c>
      <c r="E994">
        <v>0.4007</v>
      </c>
      <c r="F994">
        <v>1770934.44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0.43267504488330383</v>
      </c>
      <c r="Q994">
        <f t="shared" si="1020"/>
        <v>766239.13831238856</v>
      </c>
      <c r="R994">
        <f t="shared" si="1021"/>
        <v>17352868.952801716</v>
      </c>
      <c r="S994">
        <f t="shared" si="1022"/>
        <v>173.52868952801717</v>
      </c>
      <c r="T994">
        <f t="shared" si="1023"/>
        <v>0.17352868952801717</v>
      </c>
    </row>
    <row r="995" spans="1:20" x14ac:dyDescent="0.25">
      <c r="A995" s="5">
        <v>43598</v>
      </c>
      <c r="B995">
        <v>0.36330000000000001</v>
      </c>
      <c r="C995">
        <v>0.38080000000000003</v>
      </c>
      <c r="D995">
        <v>0.35770000000000002</v>
      </c>
      <c r="E995">
        <v>0.36520000000000002</v>
      </c>
      <c r="F995">
        <v>861355.18</v>
      </c>
      <c r="G995">
        <v>0</v>
      </c>
      <c r="L995" t="s">
        <v>7</v>
      </c>
      <c r="M995" t="s">
        <v>7</v>
      </c>
      <c r="N995" t="s">
        <v>7</v>
      </c>
      <c r="P995">
        <f t="shared" si="1019"/>
        <v>-0.35064935064935032</v>
      </c>
      <c r="Q995">
        <f t="shared" si="1020"/>
        <v>-302033.63454545429</v>
      </c>
      <c r="R995">
        <f t="shared" si="1021"/>
        <v>16586629.814489326</v>
      </c>
      <c r="S995">
        <f t="shared" si="1022"/>
        <v>165.86629814489325</v>
      </c>
      <c r="T995">
        <f t="shared" si="1023"/>
        <v>0.16586629814489326</v>
      </c>
    </row>
    <row r="996" spans="1:20" x14ac:dyDescent="0.25">
      <c r="A996" s="5">
        <v>43597</v>
      </c>
      <c r="B996">
        <v>0.38990000000000002</v>
      </c>
      <c r="C996">
        <v>0.3947</v>
      </c>
      <c r="D996">
        <v>0.3538</v>
      </c>
      <c r="E996">
        <v>0.36470000000000002</v>
      </c>
      <c r="F996">
        <v>678688.93</v>
      </c>
      <c r="G996">
        <v>0</v>
      </c>
      <c r="L996" t="s">
        <v>8</v>
      </c>
      <c r="M996" t="s">
        <v>7</v>
      </c>
      <c r="N996" t="s">
        <v>7</v>
      </c>
      <c r="P996">
        <f t="shared" si="1019"/>
        <v>-0.46699266503667369</v>
      </c>
      <c r="Q996">
        <f t="shared" si="1020"/>
        <v>-316942.7521515885</v>
      </c>
      <c r="R996">
        <f t="shared" si="1021"/>
        <v>16888663.44903478</v>
      </c>
      <c r="S996">
        <f t="shared" si="1022"/>
        <v>168.8866344903478</v>
      </c>
      <c r="T996">
        <f t="shared" si="1023"/>
        <v>0.1688866344903478</v>
      </c>
    </row>
    <row r="997" spans="1:20" x14ac:dyDescent="0.25">
      <c r="A997" s="5">
        <v>43596</v>
      </c>
      <c r="B997">
        <v>0.37640000000000001</v>
      </c>
      <c r="C997">
        <v>0.39389999999999997</v>
      </c>
      <c r="D997">
        <v>0.35189999999999999</v>
      </c>
      <c r="E997">
        <v>0.38990000000000002</v>
      </c>
      <c r="F997">
        <v>809869.57</v>
      </c>
      <c r="G997">
        <v>0</v>
      </c>
      <c r="L997" t="s">
        <v>8</v>
      </c>
      <c r="M997" t="s">
        <v>7</v>
      </c>
      <c r="N997" t="s">
        <v>7</v>
      </c>
      <c r="P997">
        <f t="shared" si="1019"/>
        <v>0.80952380952381187</v>
      </c>
      <c r="Q997">
        <f t="shared" si="1020"/>
        <v>655608.69952381134</v>
      </c>
      <c r="R997">
        <f t="shared" si="1021"/>
        <v>17205606.20118637</v>
      </c>
      <c r="S997">
        <f t="shared" si="1022"/>
        <v>172.0560620118637</v>
      </c>
      <c r="T997">
        <f t="shared" si="1023"/>
        <v>0.17205606201186371</v>
      </c>
    </row>
    <row r="998" spans="1:20" x14ac:dyDescent="0.25">
      <c r="A998" s="5">
        <v>43595</v>
      </c>
      <c r="B998">
        <v>0.35410000000000003</v>
      </c>
      <c r="C998">
        <v>0.37990000000000002</v>
      </c>
      <c r="D998">
        <v>0.34399999999999997</v>
      </c>
      <c r="E998">
        <v>0.3795</v>
      </c>
      <c r="F998">
        <v>324147.96000000002</v>
      </c>
      <c r="G998">
        <v>0</v>
      </c>
      <c r="L998" t="s">
        <v>8</v>
      </c>
      <c r="M998" t="s">
        <v>7</v>
      </c>
      <c r="N998" t="s">
        <v>7</v>
      </c>
      <c r="P998">
        <f t="shared" si="1019"/>
        <v>0.97771587743732524</v>
      </c>
      <c r="Q998">
        <f t="shared" si="1020"/>
        <v>316924.607130919</v>
      </c>
      <c r="R998">
        <f t="shared" si="1021"/>
        <v>16549997.50166256</v>
      </c>
      <c r="S998">
        <f t="shared" si="1022"/>
        <v>165.4999750166256</v>
      </c>
      <c r="T998">
        <f t="shared" si="1023"/>
        <v>0.16549997501662561</v>
      </c>
    </row>
    <row r="999" spans="1:20" x14ac:dyDescent="0.25">
      <c r="A999" s="5">
        <v>43594</v>
      </c>
      <c r="B999">
        <v>0.38750000000000001</v>
      </c>
      <c r="C999">
        <v>0.3921</v>
      </c>
      <c r="D999">
        <v>0.34860000000000002</v>
      </c>
      <c r="E999">
        <v>0.35189999999999999</v>
      </c>
      <c r="F999">
        <v>263860.89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-0.84827586206896688</v>
      </c>
      <c r="Q999">
        <f t="shared" si="1020"/>
        <v>-223826.82393103486</v>
      </c>
      <c r="R999">
        <f t="shared" si="1021"/>
        <v>16233072.894531641</v>
      </c>
      <c r="S999">
        <f t="shared" si="1022"/>
        <v>162.33072894531642</v>
      </c>
      <c r="T999">
        <f t="shared" si="1023"/>
        <v>0.16233072894531642</v>
      </c>
    </row>
    <row r="1000" spans="1:20" x14ac:dyDescent="0.25">
      <c r="A1000" s="5">
        <v>43593</v>
      </c>
      <c r="B1000">
        <v>0.40479999999999999</v>
      </c>
      <c r="C1000">
        <v>0.40479999999999999</v>
      </c>
      <c r="D1000">
        <v>0.38169999999999998</v>
      </c>
      <c r="E1000">
        <v>0.38790000000000002</v>
      </c>
      <c r="F1000">
        <v>142464.51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-0.46320346320346006</v>
      </c>
      <c r="Q1000">
        <f t="shared" si="1020"/>
        <v>-65990.054415583974</v>
      </c>
      <c r="R1000">
        <f t="shared" si="1021"/>
        <v>16456899.718462676</v>
      </c>
      <c r="S1000">
        <f t="shared" si="1022"/>
        <v>164.56899718462677</v>
      </c>
      <c r="T1000">
        <f t="shared" si="1023"/>
        <v>0.16456899718462675</v>
      </c>
    </row>
    <row r="1001" spans="1:20" x14ac:dyDescent="0.25">
      <c r="A1001" s="5">
        <v>43592</v>
      </c>
      <c r="B1001">
        <v>0.4204</v>
      </c>
      <c r="C1001">
        <v>0.42309999999999998</v>
      </c>
      <c r="D1001">
        <v>0.40139999999999998</v>
      </c>
      <c r="E1001">
        <v>0.40489999999999998</v>
      </c>
      <c r="F1001">
        <v>244194.33</v>
      </c>
      <c r="G1001">
        <v>0</v>
      </c>
      <c r="L1001" t="s">
        <v>7</v>
      </c>
      <c r="M1001" t="s">
        <v>7</v>
      </c>
      <c r="N1001" t="s">
        <v>7</v>
      </c>
      <c r="P1001">
        <f t="shared" si="1019"/>
        <v>-0.6774193548387093</v>
      </c>
      <c r="Q1001">
        <f t="shared" si="1020"/>
        <v>-165421.96548387085</v>
      </c>
      <c r="R1001">
        <f t="shared" si="1021"/>
        <v>16522889.772878259</v>
      </c>
      <c r="S1001">
        <f t="shared" si="1022"/>
        <v>165.22889772878258</v>
      </c>
      <c r="T1001">
        <f t="shared" si="1023"/>
        <v>0.16522889772878258</v>
      </c>
    </row>
    <row r="1002" spans="1:20" x14ac:dyDescent="0.25">
      <c r="A1002" s="5">
        <v>43591</v>
      </c>
      <c r="B1002">
        <v>0.4148</v>
      </c>
      <c r="C1002">
        <v>0.42049999999999998</v>
      </c>
      <c r="D1002">
        <v>0.39900000000000002</v>
      </c>
      <c r="E1002">
        <v>0.41810000000000003</v>
      </c>
      <c r="F1002">
        <v>306738.57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0.77674418604651518</v>
      </c>
      <c r="Q1002">
        <f t="shared" si="1020"/>
        <v>238257.40088372203</v>
      </c>
      <c r="R1002">
        <f t="shared" si="1021"/>
        <v>16688311.73836213</v>
      </c>
      <c r="S1002">
        <f t="shared" si="1022"/>
        <v>166.88311738362131</v>
      </c>
      <c r="T1002">
        <f t="shared" si="1023"/>
        <v>0.1668831173836213</v>
      </c>
    </row>
    <row r="1003" spans="1:20" x14ac:dyDescent="0.25">
      <c r="A1003" s="5">
        <v>43590</v>
      </c>
      <c r="B1003">
        <v>0.41789999999999999</v>
      </c>
      <c r="C1003">
        <v>0.42149999999999999</v>
      </c>
      <c r="D1003">
        <v>0.40889999999999999</v>
      </c>
      <c r="E1003">
        <v>0.4133</v>
      </c>
      <c r="F1003">
        <v>160073.37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-0.30158730158729918</v>
      </c>
      <c r="Q1003">
        <f t="shared" si="1020"/>
        <v>-48276.095714285329</v>
      </c>
      <c r="R1003">
        <f t="shared" si="1021"/>
        <v>16450054.337478409</v>
      </c>
      <c r="S1003">
        <f t="shared" si="1022"/>
        <v>164.50054337478409</v>
      </c>
      <c r="T1003">
        <f t="shared" si="1023"/>
        <v>0.16450054337478409</v>
      </c>
    </row>
    <row r="1004" spans="1:20" x14ac:dyDescent="0.25">
      <c r="A1004" s="5">
        <v>43589</v>
      </c>
      <c r="B1004">
        <v>0.43080000000000002</v>
      </c>
      <c r="C1004">
        <v>0.44</v>
      </c>
      <c r="D1004">
        <v>0.40570000000000001</v>
      </c>
      <c r="E1004">
        <v>0.41899999999999998</v>
      </c>
      <c r="F1004">
        <v>227798.68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-0.22448979591836854</v>
      </c>
      <c r="Q1004">
        <f t="shared" si="1020"/>
        <v>-51138.479183673742</v>
      </c>
      <c r="R1004">
        <f t="shared" si="1021"/>
        <v>16498330.433192695</v>
      </c>
      <c r="S1004">
        <f t="shared" si="1022"/>
        <v>164.98330433192694</v>
      </c>
      <c r="T1004">
        <f t="shared" si="1023"/>
        <v>0.16498330433192696</v>
      </c>
    </row>
    <row r="1005" spans="1:20" x14ac:dyDescent="0.25">
      <c r="A1005" s="5">
        <v>43588</v>
      </c>
      <c r="B1005">
        <v>0.4274</v>
      </c>
      <c r="C1005">
        <v>0.43940000000000001</v>
      </c>
      <c r="D1005">
        <v>0.4168</v>
      </c>
      <c r="E1005">
        <v>0.43059999999999998</v>
      </c>
      <c r="F1005">
        <v>293447.01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0.221238938053095</v>
      </c>
      <c r="Q1005">
        <f t="shared" si="1020"/>
        <v>64921.904867255951</v>
      </c>
      <c r="R1005">
        <f t="shared" si="1021"/>
        <v>16549468.912376368</v>
      </c>
      <c r="S1005">
        <f t="shared" si="1022"/>
        <v>165.49468912376369</v>
      </c>
      <c r="T1005">
        <f t="shared" si="1023"/>
        <v>0.16549468912376369</v>
      </c>
    </row>
    <row r="1006" spans="1:20" x14ac:dyDescent="0.25">
      <c r="A1006" s="5">
        <v>43587</v>
      </c>
      <c r="B1006">
        <v>0.42309999999999998</v>
      </c>
      <c r="C1006">
        <v>0.43459999999999999</v>
      </c>
      <c r="D1006">
        <v>0.4138</v>
      </c>
      <c r="E1006">
        <v>0.42759999999999998</v>
      </c>
      <c r="F1006">
        <v>201269.47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0.32692307692307587</v>
      </c>
      <c r="Q1006">
        <f t="shared" si="1020"/>
        <v>65799.634423076714</v>
      </c>
      <c r="R1006">
        <f t="shared" si="1021"/>
        <v>16484547.007509112</v>
      </c>
      <c r="S1006">
        <f t="shared" si="1022"/>
        <v>164.84547007509113</v>
      </c>
      <c r="T1006">
        <f t="shared" si="1023"/>
        <v>0.16484547007509112</v>
      </c>
    </row>
    <row r="1007" spans="1:20" x14ac:dyDescent="0.25">
      <c r="A1007" s="5">
        <v>43586</v>
      </c>
      <c r="B1007">
        <v>0.42399999999999999</v>
      </c>
      <c r="C1007">
        <v>0.436</v>
      </c>
      <c r="D1007">
        <v>0.41930000000000001</v>
      </c>
      <c r="E1007">
        <v>0.42280000000000001</v>
      </c>
      <c r="F1007">
        <v>360145.17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-0.58083832335329288</v>
      </c>
      <c r="Q1007">
        <f t="shared" si="1020"/>
        <v>-209186.11670658662</v>
      </c>
      <c r="R1007">
        <f t="shared" si="1021"/>
        <v>16418747.373086035</v>
      </c>
      <c r="S1007">
        <f t="shared" si="1022"/>
        <v>164.18747373086035</v>
      </c>
      <c r="T1007">
        <f t="shared" si="1023"/>
        <v>0.16418747373086034</v>
      </c>
    </row>
    <row r="1008" spans="1:20" x14ac:dyDescent="0.25">
      <c r="A1008" s="5">
        <v>43585</v>
      </c>
      <c r="B1008">
        <v>0.40799999999999997</v>
      </c>
      <c r="C1008">
        <v>0.42499999999999999</v>
      </c>
      <c r="D1008">
        <v>0.39800000000000002</v>
      </c>
      <c r="E1008">
        <v>0.42399999999999999</v>
      </c>
      <c r="F1008">
        <v>278893.71999999997</v>
      </c>
      <c r="G1008">
        <v>0</v>
      </c>
      <c r="L1008" t="s">
        <v>7</v>
      </c>
      <c r="M1008" t="s">
        <v>7</v>
      </c>
      <c r="N1008" t="s">
        <v>7</v>
      </c>
      <c r="P1008">
        <f t="shared" si="1019"/>
        <v>0.92592592592592582</v>
      </c>
      <c r="Q1008">
        <f t="shared" si="1020"/>
        <v>258234.92592592587</v>
      </c>
      <c r="R1008">
        <f t="shared" si="1021"/>
        <v>16627933.489792623</v>
      </c>
      <c r="S1008">
        <f t="shared" si="1022"/>
        <v>166.27933489792622</v>
      </c>
      <c r="T1008">
        <f t="shared" si="1023"/>
        <v>0.16627933489792621</v>
      </c>
    </row>
    <row r="1009" spans="1:20" x14ac:dyDescent="0.25">
      <c r="A1009" s="5">
        <v>43584</v>
      </c>
      <c r="B1009">
        <v>0.44390000000000002</v>
      </c>
      <c r="C1009">
        <v>0.44740000000000002</v>
      </c>
      <c r="D1009">
        <v>0.39700000000000002</v>
      </c>
      <c r="E1009">
        <v>0.40799999999999997</v>
      </c>
      <c r="F1009">
        <v>328906.88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-0.56349206349206526</v>
      </c>
      <c r="Q1009">
        <f t="shared" si="1020"/>
        <v>-185336.4165079371</v>
      </c>
      <c r="R1009">
        <f t="shared" si="1021"/>
        <v>16369698.563866697</v>
      </c>
      <c r="S1009">
        <f t="shared" si="1022"/>
        <v>163.69698563866697</v>
      </c>
      <c r="T1009">
        <f t="shared" si="1023"/>
        <v>0.16369698563866697</v>
      </c>
    </row>
    <row r="1010" spans="1:20" x14ac:dyDescent="0.25">
      <c r="A1010" s="5">
        <v>43583</v>
      </c>
      <c r="B1010">
        <v>0.4415</v>
      </c>
      <c r="C1010">
        <v>0.47810000000000002</v>
      </c>
      <c r="D1010">
        <v>0.435</v>
      </c>
      <c r="E1010">
        <v>0.44390000000000002</v>
      </c>
      <c r="F1010">
        <v>487700.08</v>
      </c>
      <c r="G1010">
        <v>0</v>
      </c>
      <c r="L1010" t="s">
        <v>8</v>
      </c>
      <c r="M1010" t="s">
        <v>7</v>
      </c>
      <c r="N1010" t="s">
        <v>7</v>
      </c>
      <c r="P1010">
        <f t="shared" si="1019"/>
        <v>-0.58700696055684387</v>
      </c>
      <c r="Q1010">
        <f t="shared" si="1020"/>
        <v>-286283.34162412962</v>
      </c>
      <c r="R1010">
        <f t="shared" si="1021"/>
        <v>16555034.980374634</v>
      </c>
      <c r="S1010">
        <f t="shared" si="1022"/>
        <v>165.55034980374634</v>
      </c>
      <c r="T1010">
        <f t="shared" si="1023"/>
        <v>0.16555034980374633</v>
      </c>
    </row>
    <row r="1011" spans="1:20" x14ac:dyDescent="0.25">
      <c r="A1011" s="5">
        <v>43582</v>
      </c>
      <c r="B1011">
        <v>0.43519999999999998</v>
      </c>
      <c r="C1011">
        <v>0.45240000000000002</v>
      </c>
      <c r="D1011">
        <v>0.42</v>
      </c>
      <c r="E1011">
        <v>0.44169999999999998</v>
      </c>
      <c r="F1011">
        <v>391056.25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0.33950617283950435</v>
      </c>
      <c r="Q1011">
        <f t="shared" si="1020"/>
        <v>132766.01080246843</v>
      </c>
      <c r="R1011">
        <f t="shared" si="1021"/>
        <v>16841318.321998764</v>
      </c>
      <c r="S1011">
        <f t="shared" si="1022"/>
        <v>168.41318321998764</v>
      </c>
      <c r="T1011">
        <f t="shared" si="1023"/>
        <v>0.16841318321998763</v>
      </c>
    </row>
    <row r="1012" spans="1:20" x14ac:dyDescent="0.25">
      <c r="A1012" s="5">
        <v>43581</v>
      </c>
      <c r="B1012">
        <v>0.44230000000000003</v>
      </c>
      <c r="C1012">
        <v>0.45929999999999999</v>
      </c>
      <c r="D1012">
        <v>0.40789999999999998</v>
      </c>
      <c r="E1012">
        <v>0.43519999999999998</v>
      </c>
      <c r="F1012">
        <v>449446.54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6.225680933852102E-2</v>
      </c>
      <c r="Q1012">
        <f t="shared" si="1020"/>
        <v>27981.10754863796</v>
      </c>
      <c r="R1012">
        <f t="shared" si="1021"/>
        <v>16708552.311196296</v>
      </c>
      <c r="S1012">
        <f t="shared" si="1022"/>
        <v>167.08552311196294</v>
      </c>
      <c r="T1012">
        <f t="shared" si="1023"/>
        <v>0.16708552311196295</v>
      </c>
    </row>
    <row r="1013" spans="1:20" x14ac:dyDescent="0.25">
      <c r="A1013" s="5">
        <v>43580</v>
      </c>
      <c r="B1013">
        <v>0.47070000000000001</v>
      </c>
      <c r="C1013">
        <v>0.48060000000000003</v>
      </c>
      <c r="D1013">
        <v>0.43709999999999999</v>
      </c>
      <c r="E1013">
        <v>0.44269999999999998</v>
      </c>
      <c r="F1013">
        <v>371671.47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-0.74252873563218447</v>
      </c>
      <c r="Q1013">
        <f t="shared" si="1020"/>
        <v>-275976.74668965535</v>
      </c>
      <c r="R1013">
        <f t="shared" si="1021"/>
        <v>16680571.203647658</v>
      </c>
      <c r="S1013">
        <f t="shared" si="1022"/>
        <v>166.80571203647659</v>
      </c>
      <c r="T1013">
        <f t="shared" si="1023"/>
        <v>0.16680571203647659</v>
      </c>
    </row>
    <row r="1014" spans="1:20" x14ac:dyDescent="0.25">
      <c r="A1014" s="5">
        <v>43579</v>
      </c>
      <c r="B1014">
        <v>0.52149999999999996</v>
      </c>
      <c r="C1014">
        <v>0.52429999999999999</v>
      </c>
      <c r="D1014">
        <v>0.4531</v>
      </c>
      <c r="E1014">
        <v>0.47070000000000001</v>
      </c>
      <c r="F1014">
        <v>740988.6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-0.50561797752808968</v>
      </c>
      <c r="Q1014">
        <f t="shared" si="1020"/>
        <v>-374657.15730337059</v>
      </c>
      <c r="R1014">
        <f t="shared" si="1021"/>
        <v>16956547.950337313</v>
      </c>
      <c r="S1014">
        <f t="shared" si="1022"/>
        <v>169.56547950337313</v>
      </c>
      <c r="T1014">
        <f t="shared" si="1023"/>
        <v>0.16956547950337314</v>
      </c>
    </row>
    <row r="1015" spans="1:20" x14ac:dyDescent="0.25">
      <c r="A1015" s="5">
        <v>43578</v>
      </c>
      <c r="B1015">
        <v>0.54300000000000004</v>
      </c>
      <c r="C1015">
        <v>0.54600000000000004</v>
      </c>
      <c r="D1015">
        <v>0.52070000000000005</v>
      </c>
      <c r="E1015">
        <v>0.52259999999999995</v>
      </c>
      <c r="F1015">
        <v>440476.27</v>
      </c>
      <c r="G1015">
        <v>0</v>
      </c>
      <c r="L1015" t="s">
        <v>7</v>
      </c>
      <c r="M1015" t="s">
        <v>7</v>
      </c>
      <c r="N1015" t="s">
        <v>7</v>
      </c>
      <c r="P1015">
        <f t="shared" si="1019"/>
        <v>-0.84980237154150973</v>
      </c>
      <c r="Q1015">
        <f t="shared" si="1020"/>
        <v>-374317.77885375835</v>
      </c>
      <c r="R1015">
        <f t="shared" si="1021"/>
        <v>17331205.107640684</v>
      </c>
      <c r="S1015">
        <f t="shared" si="1022"/>
        <v>173.31205107640685</v>
      </c>
      <c r="T1015">
        <f t="shared" si="1023"/>
        <v>0.17331205107640685</v>
      </c>
    </row>
    <row r="1016" spans="1:20" x14ac:dyDescent="0.25">
      <c r="A1016" s="5">
        <v>43577</v>
      </c>
      <c r="B1016">
        <v>0.54100000000000004</v>
      </c>
      <c r="C1016">
        <v>0.55000000000000004</v>
      </c>
      <c r="D1016">
        <v>0.53</v>
      </c>
      <c r="E1016">
        <v>0.54339999999999999</v>
      </c>
      <c r="F1016">
        <v>437988.64</v>
      </c>
      <c r="G1016">
        <v>0</v>
      </c>
      <c r="L1016" t="s">
        <v>7</v>
      </c>
      <c r="M1016" t="s">
        <v>7</v>
      </c>
      <c r="N1016" t="s">
        <v>7</v>
      </c>
      <c r="P1016">
        <f t="shared" si="1019"/>
        <v>0.33999999999999558</v>
      </c>
      <c r="Q1016">
        <f t="shared" si="1020"/>
        <v>148916.13759999807</v>
      </c>
      <c r="R1016">
        <f t="shared" si="1021"/>
        <v>17705522.886494443</v>
      </c>
      <c r="S1016">
        <f t="shared" si="1022"/>
        <v>177.05522886494444</v>
      </c>
      <c r="T1016">
        <f t="shared" si="1023"/>
        <v>0.17705522886494443</v>
      </c>
    </row>
    <row r="1017" spans="1:20" x14ac:dyDescent="0.25">
      <c r="A1017" s="5">
        <v>43576</v>
      </c>
      <c r="B1017">
        <v>0.58479999999999999</v>
      </c>
      <c r="C1017">
        <v>0.58989999999999998</v>
      </c>
      <c r="D1017">
        <v>0.52500000000000002</v>
      </c>
      <c r="E1017">
        <v>0.54010000000000002</v>
      </c>
      <c r="F1017">
        <v>822992.77</v>
      </c>
      <c r="G1017">
        <v>0</v>
      </c>
      <c r="L1017" t="s">
        <v>7</v>
      </c>
      <c r="M1017" t="s">
        <v>7</v>
      </c>
      <c r="N1017" t="s">
        <v>7</v>
      </c>
      <c r="P1017">
        <f t="shared" si="1019"/>
        <v>-0.53466872110939867</v>
      </c>
      <c r="Q1017">
        <f t="shared" si="1020"/>
        <v>-440028.49181818147</v>
      </c>
      <c r="R1017">
        <f t="shared" si="1021"/>
        <v>17556606.748894446</v>
      </c>
      <c r="S1017">
        <f t="shared" si="1022"/>
        <v>175.56606748894447</v>
      </c>
      <c r="T1017">
        <f t="shared" si="1023"/>
        <v>0.17556606748894446</v>
      </c>
    </row>
    <row r="1018" spans="1:20" x14ac:dyDescent="0.25">
      <c r="A1018" s="5">
        <v>43575</v>
      </c>
      <c r="B1018">
        <v>0.58579999999999999</v>
      </c>
      <c r="C1018">
        <v>0.59930000000000005</v>
      </c>
      <c r="D1018">
        <v>0.57540000000000002</v>
      </c>
      <c r="E1018">
        <v>0.58479999999999999</v>
      </c>
      <c r="F1018">
        <v>266707.33</v>
      </c>
      <c r="G1018">
        <v>0</v>
      </c>
      <c r="L1018" t="s">
        <v>7</v>
      </c>
      <c r="M1018" t="s">
        <v>8</v>
      </c>
      <c r="N1018" t="s">
        <v>7</v>
      </c>
      <c r="P1018">
        <f t="shared" si="1019"/>
        <v>-0.21338912133891622</v>
      </c>
      <c r="Q1018">
        <f t="shared" si="1020"/>
        <v>-56912.442803348371</v>
      </c>
      <c r="R1018">
        <f t="shared" si="1021"/>
        <v>17996635.240712628</v>
      </c>
      <c r="S1018">
        <f t="shared" si="1022"/>
        <v>179.96635240712627</v>
      </c>
      <c r="T1018">
        <f t="shared" si="1023"/>
        <v>0.17996635240712627</v>
      </c>
    </row>
    <row r="1019" spans="1:20" x14ac:dyDescent="0.25">
      <c r="A1019" s="5">
        <v>43574</v>
      </c>
      <c r="B1019">
        <v>0.58709999999999996</v>
      </c>
      <c r="C1019">
        <v>0.59370000000000001</v>
      </c>
      <c r="D1019">
        <v>0.56530000000000002</v>
      </c>
      <c r="E1019">
        <v>0.58360000000000001</v>
      </c>
      <c r="F1019">
        <v>497863.37</v>
      </c>
      <c r="G1019">
        <v>0</v>
      </c>
      <c r="L1019" t="s">
        <v>7</v>
      </c>
      <c r="M1019" t="s">
        <v>8</v>
      </c>
      <c r="N1019" t="s">
        <v>7</v>
      </c>
      <c r="P1019">
        <f t="shared" si="1019"/>
        <v>0.28873239436619685</v>
      </c>
      <c r="Q1019">
        <f t="shared" si="1020"/>
        <v>143749.28288732379</v>
      </c>
      <c r="R1019">
        <f t="shared" si="1021"/>
        <v>18053547.683515977</v>
      </c>
      <c r="S1019">
        <f t="shared" si="1022"/>
        <v>180.53547683515978</v>
      </c>
      <c r="T1019">
        <f t="shared" si="1023"/>
        <v>0.18053547683515977</v>
      </c>
    </row>
    <row r="1020" spans="1:20" x14ac:dyDescent="0.25">
      <c r="A1020" s="5">
        <v>43573</v>
      </c>
      <c r="B1020">
        <v>0.58489999999999998</v>
      </c>
      <c r="C1020">
        <v>0.6</v>
      </c>
      <c r="D1020">
        <v>0.56810000000000005</v>
      </c>
      <c r="E1020">
        <v>0.58409999999999995</v>
      </c>
      <c r="F1020">
        <v>925229.97</v>
      </c>
      <c r="G1020">
        <v>0</v>
      </c>
      <c r="L1020" t="s">
        <v>7</v>
      </c>
      <c r="M1020" t="s">
        <v>8</v>
      </c>
      <c r="N1020" t="s">
        <v>7</v>
      </c>
      <c r="P1020">
        <f t="shared" si="1019"/>
        <v>3.1347962382406954E-3</v>
      </c>
      <c r="Q1020">
        <f t="shared" si="1020"/>
        <v>2900.4074294635516</v>
      </c>
      <c r="R1020">
        <f t="shared" si="1021"/>
        <v>17909798.400628652</v>
      </c>
      <c r="S1020">
        <f t="shared" si="1022"/>
        <v>179.09798400628654</v>
      </c>
      <c r="T1020">
        <f t="shared" si="1023"/>
        <v>0.17909798400628654</v>
      </c>
    </row>
    <row r="1021" spans="1:20" x14ac:dyDescent="0.25">
      <c r="A1021" s="5">
        <v>43572</v>
      </c>
      <c r="B1021">
        <v>0.54</v>
      </c>
      <c r="C1021">
        <v>0.66290000000000004</v>
      </c>
      <c r="D1021">
        <v>0.54</v>
      </c>
      <c r="E1021">
        <v>0.58489999999999998</v>
      </c>
      <c r="F1021">
        <v>3149590.41</v>
      </c>
      <c r="G1021">
        <v>0</v>
      </c>
      <c r="L1021" t="s">
        <v>8</v>
      </c>
      <c r="M1021" t="s">
        <v>8</v>
      </c>
      <c r="N1021" t="s">
        <v>7</v>
      </c>
      <c r="P1021">
        <f t="shared" si="1019"/>
        <v>-0.26932465419039975</v>
      </c>
      <c r="Q1021">
        <f t="shared" si="1020"/>
        <v>-848262.34801464935</v>
      </c>
      <c r="R1021">
        <f t="shared" si="1021"/>
        <v>17906897.993199188</v>
      </c>
      <c r="S1021">
        <f t="shared" si="1022"/>
        <v>179.06897993199189</v>
      </c>
      <c r="T1021">
        <f t="shared" si="1023"/>
        <v>0.17906897993199189</v>
      </c>
    </row>
    <row r="1022" spans="1:20" x14ac:dyDescent="0.25">
      <c r="A1022" s="5">
        <v>43571</v>
      </c>
      <c r="B1022">
        <v>0.52769999999999995</v>
      </c>
      <c r="C1022">
        <v>0.55900000000000005</v>
      </c>
      <c r="D1022">
        <v>0.52010000000000001</v>
      </c>
      <c r="E1022">
        <v>0.54</v>
      </c>
      <c r="F1022">
        <v>266055.61</v>
      </c>
      <c r="G1022">
        <v>0</v>
      </c>
      <c r="L1022" t="s">
        <v>7</v>
      </c>
      <c r="M1022" t="s">
        <v>7</v>
      </c>
      <c r="N1022" t="s">
        <v>7</v>
      </c>
      <c r="P1022">
        <f t="shared" si="1019"/>
        <v>2.3136246786632668E-2</v>
      </c>
      <c r="Q1022">
        <f t="shared" si="1020"/>
        <v>6155.5282519280936</v>
      </c>
      <c r="R1022">
        <f t="shared" si="1021"/>
        <v>18755160.341213837</v>
      </c>
      <c r="S1022">
        <f t="shared" si="1022"/>
        <v>187.55160341213838</v>
      </c>
      <c r="T1022">
        <f t="shared" si="1023"/>
        <v>0.18755160341213839</v>
      </c>
    </row>
    <row r="1023" spans="1:20" x14ac:dyDescent="0.25">
      <c r="A1023" s="5">
        <v>43570</v>
      </c>
      <c r="B1023">
        <v>0.54859999999999998</v>
      </c>
      <c r="C1023">
        <v>0.56499999999999995</v>
      </c>
      <c r="D1023">
        <v>0.51690000000000003</v>
      </c>
      <c r="E1023">
        <v>0.5302</v>
      </c>
      <c r="F1023">
        <v>461142.31</v>
      </c>
      <c r="G1023">
        <v>0</v>
      </c>
      <c r="L1023" t="s">
        <v>8</v>
      </c>
      <c r="M1023" t="s">
        <v>7</v>
      </c>
      <c r="N1023" t="s">
        <v>7</v>
      </c>
      <c r="P1023">
        <f t="shared" ref="P1023:P1079" si="1024">IF(C1023=D1023,0,((E1023-D1023)-(C1023-E1023))/(C1023-D1023))</f>
        <v>-0.44698544698544695</v>
      </c>
      <c r="Q1023">
        <f t="shared" ref="Q1023:Q1079" si="1025">F1023*P1023</f>
        <v>-206123.90155925154</v>
      </c>
      <c r="R1023">
        <f t="shared" ref="R1023:R1079" si="1026">R1024+Q1023</f>
        <v>18749004.81296191</v>
      </c>
      <c r="S1023">
        <f t="shared" ref="S1023:S1079" si="1027">R1023/100000</f>
        <v>187.49004812961911</v>
      </c>
      <c r="T1023">
        <f t="shared" ref="T1023:T1079" si="1028">S1023/1000</f>
        <v>0.18749004812961911</v>
      </c>
    </row>
    <row r="1024" spans="1:20" x14ac:dyDescent="0.25">
      <c r="A1024" s="5">
        <v>43569</v>
      </c>
      <c r="B1024">
        <v>0.52839999999999998</v>
      </c>
      <c r="C1024">
        <v>0.55149999999999999</v>
      </c>
      <c r="D1024">
        <v>0.51529999999999998</v>
      </c>
      <c r="E1024">
        <v>0.54859999999999998</v>
      </c>
      <c r="F1024">
        <v>378829.48</v>
      </c>
      <c r="G1024">
        <v>0</v>
      </c>
      <c r="L1024" t="s">
        <v>8</v>
      </c>
      <c r="M1024" t="s">
        <v>7</v>
      </c>
      <c r="N1024" t="s">
        <v>7</v>
      </c>
      <c r="P1024">
        <f t="shared" si="1024"/>
        <v>0.83977900552486118</v>
      </c>
      <c r="Q1024">
        <f t="shared" si="1025"/>
        <v>318133.04397790029</v>
      </c>
      <c r="R1024">
        <f t="shared" si="1026"/>
        <v>18955128.714521162</v>
      </c>
      <c r="S1024">
        <f t="shared" si="1027"/>
        <v>189.55128714521163</v>
      </c>
      <c r="T1024">
        <f t="shared" si="1028"/>
        <v>0.18955128714521163</v>
      </c>
    </row>
    <row r="1025" spans="1:20" x14ac:dyDescent="0.25">
      <c r="A1025" s="5">
        <v>43568</v>
      </c>
      <c r="B1025">
        <v>0.52449999999999997</v>
      </c>
      <c r="C1025">
        <v>0.53500000000000003</v>
      </c>
      <c r="D1025">
        <v>0.51600000000000001</v>
      </c>
      <c r="E1025">
        <v>0.52839999999999998</v>
      </c>
      <c r="F1025">
        <v>214592.7</v>
      </c>
      <c r="G1025">
        <v>0</v>
      </c>
      <c r="L1025" t="s">
        <v>8</v>
      </c>
      <c r="M1025" t="s">
        <v>7</v>
      </c>
      <c r="N1025" t="s">
        <v>7</v>
      </c>
      <c r="P1025">
        <f t="shared" si="1024"/>
        <v>0.30526315789473218</v>
      </c>
      <c r="Q1025">
        <f t="shared" si="1025"/>
        <v>65507.245263156896</v>
      </c>
      <c r="R1025">
        <f t="shared" si="1026"/>
        <v>18636995.670543261</v>
      </c>
      <c r="S1025">
        <f t="shared" si="1027"/>
        <v>186.3699567054326</v>
      </c>
      <c r="T1025">
        <f t="shared" si="1028"/>
        <v>0.1863699567054326</v>
      </c>
    </row>
    <row r="1026" spans="1:20" x14ac:dyDescent="0.25">
      <c r="A1026" s="5">
        <v>43567</v>
      </c>
      <c r="B1026">
        <v>0.52470000000000006</v>
      </c>
      <c r="C1026">
        <v>0.52929999999999999</v>
      </c>
      <c r="D1026">
        <v>0.49159999999999998</v>
      </c>
      <c r="E1026">
        <v>0.52380000000000004</v>
      </c>
      <c r="F1026">
        <v>542263.39</v>
      </c>
      <c r="G1026">
        <v>0</v>
      </c>
      <c r="L1026" t="s">
        <v>8</v>
      </c>
      <c r="M1026" t="s">
        <v>7</v>
      </c>
      <c r="N1026" t="s">
        <v>7</v>
      </c>
      <c r="P1026">
        <f t="shared" si="1024"/>
        <v>0.70822281167109036</v>
      </c>
      <c r="Q1026">
        <f t="shared" si="1025"/>
        <v>384043.30273209704</v>
      </c>
      <c r="R1026">
        <f t="shared" si="1026"/>
        <v>18571488.425280105</v>
      </c>
      <c r="S1026">
        <f t="shared" si="1027"/>
        <v>185.71488425280106</v>
      </c>
      <c r="T1026">
        <f t="shared" si="1028"/>
        <v>0.18571488425280105</v>
      </c>
    </row>
    <row r="1027" spans="1:20" x14ac:dyDescent="0.25">
      <c r="A1027" s="5">
        <v>43566</v>
      </c>
      <c r="B1027">
        <v>0.59440000000000004</v>
      </c>
      <c r="C1027">
        <v>0.60909999999999997</v>
      </c>
      <c r="D1027">
        <v>0.48720000000000002</v>
      </c>
      <c r="E1027">
        <v>0.52810000000000001</v>
      </c>
      <c r="F1027">
        <v>1501249.61</v>
      </c>
      <c r="G1027">
        <v>0</v>
      </c>
      <c r="L1027" t="s">
        <v>7</v>
      </c>
      <c r="M1027" t="s">
        <v>7</v>
      </c>
      <c r="N1027" t="s">
        <v>7</v>
      </c>
      <c r="P1027">
        <f t="shared" si="1024"/>
        <v>-0.32895816242821974</v>
      </c>
      <c r="Q1027">
        <f t="shared" si="1025"/>
        <v>-493848.31305168156</v>
      </c>
      <c r="R1027">
        <f t="shared" si="1026"/>
        <v>18187445.122548006</v>
      </c>
      <c r="S1027">
        <f t="shared" si="1027"/>
        <v>181.87445122548007</v>
      </c>
      <c r="T1027">
        <f t="shared" si="1028"/>
        <v>0.18187445122548007</v>
      </c>
    </row>
    <row r="1028" spans="1:20" x14ac:dyDescent="0.25">
      <c r="A1028" s="5">
        <v>43565</v>
      </c>
      <c r="B1028">
        <v>0.59840000000000004</v>
      </c>
      <c r="C1028">
        <v>0.6099</v>
      </c>
      <c r="D1028">
        <v>0.58660000000000001</v>
      </c>
      <c r="E1028">
        <v>0.59330000000000005</v>
      </c>
      <c r="F1028">
        <v>547382.46</v>
      </c>
      <c r="G1028">
        <v>0</v>
      </c>
      <c r="L1028" t="s">
        <v>8</v>
      </c>
      <c r="M1028" t="s">
        <v>7</v>
      </c>
      <c r="N1028" t="s">
        <v>7</v>
      </c>
      <c r="P1028">
        <f t="shared" si="1024"/>
        <v>-0.42489270386265726</v>
      </c>
      <c r="Q1028">
        <f t="shared" si="1025"/>
        <v>-232578.81347639282</v>
      </c>
      <c r="R1028">
        <f t="shared" si="1026"/>
        <v>18681293.435599688</v>
      </c>
      <c r="S1028">
        <f t="shared" si="1027"/>
        <v>186.81293435599687</v>
      </c>
      <c r="T1028">
        <f t="shared" si="1028"/>
        <v>0.18681293435599688</v>
      </c>
    </row>
    <row r="1029" spans="1:20" x14ac:dyDescent="0.25">
      <c r="A1029" s="5">
        <v>43564</v>
      </c>
      <c r="B1029">
        <v>0.62180000000000002</v>
      </c>
      <c r="C1029">
        <v>0.62190000000000001</v>
      </c>
      <c r="D1029">
        <v>0.55900000000000005</v>
      </c>
      <c r="E1029">
        <v>0.59889999999999999</v>
      </c>
      <c r="F1029">
        <v>832250.63</v>
      </c>
      <c r="G1029">
        <v>0</v>
      </c>
      <c r="L1029" t="s">
        <v>7</v>
      </c>
      <c r="M1029" t="s">
        <v>7</v>
      </c>
      <c r="N1029" t="s">
        <v>7</v>
      </c>
      <c r="P1029">
        <f t="shared" si="1024"/>
        <v>0.26868044515103223</v>
      </c>
      <c r="Q1029">
        <f t="shared" si="1025"/>
        <v>223609.46974562702</v>
      </c>
      <c r="R1029">
        <f t="shared" si="1026"/>
        <v>18913872.24907608</v>
      </c>
      <c r="S1029">
        <f t="shared" si="1027"/>
        <v>189.13872249076078</v>
      </c>
      <c r="T1029">
        <f t="shared" si="1028"/>
        <v>0.18913872249076077</v>
      </c>
    </row>
    <row r="1030" spans="1:20" x14ac:dyDescent="0.25">
      <c r="A1030" s="5">
        <v>43563</v>
      </c>
      <c r="B1030">
        <v>0.64200000000000002</v>
      </c>
      <c r="C1030">
        <v>0.6482</v>
      </c>
      <c r="D1030">
        <v>0.59730000000000005</v>
      </c>
      <c r="E1030">
        <v>0.62180000000000002</v>
      </c>
      <c r="F1030">
        <v>630893.19999999995</v>
      </c>
      <c r="G1030">
        <v>0</v>
      </c>
      <c r="L1030" t="s">
        <v>7</v>
      </c>
      <c r="M1030" t="s">
        <v>8</v>
      </c>
      <c r="N1030" t="s">
        <v>7</v>
      </c>
      <c r="P1030">
        <f t="shared" si="1024"/>
        <v>-3.7328094302554321E-2</v>
      </c>
      <c r="Q1030">
        <f t="shared" si="1025"/>
        <v>-23550.040864440263</v>
      </c>
      <c r="R1030">
        <f t="shared" si="1026"/>
        <v>18690262.779330451</v>
      </c>
      <c r="S1030">
        <f t="shared" si="1027"/>
        <v>186.9026277933045</v>
      </c>
      <c r="T1030">
        <f t="shared" si="1028"/>
        <v>0.18690262779330449</v>
      </c>
    </row>
    <row r="1031" spans="1:20" x14ac:dyDescent="0.25">
      <c r="A1031" s="5">
        <v>43562</v>
      </c>
      <c r="B1031">
        <v>0.64670000000000005</v>
      </c>
      <c r="C1031">
        <v>0.65490000000000004</v>
      </c>
      <c r="D1031">
        <v>0.62919999999999998</v>
      </c>
      <c r="E1031">
        <v>0.64200000000000002</v>
      </c>
      <c r="F1031">
        <v>462442.01</v>
      </c>
      <c r="G1031">
        <v>0</v>
      </c>
      <c r="L1031" t="s">
        <v>7</v>
      </c>
      <c r="M1031" t="s">
        <v>8</v>
      </c>
      <c r="N1031" t="s">
        <v>7</v>
      </c>
      <c r="P1031">
        <f t="shared" si="1024"/>
        <v>-3.8910505836571505E-3</v>
      </c>
      <c r="Q1031">
        <f t="shared" si="1025"/>
        <v>-1799.3852529180858</v>
      </c>
      <c r="R1031">
        <f t="shared" si="1026"/>
        <v>18713812.820194893</v>
      </c>
      <c r="S1031">
        <f t="shared" si="1027"/>
        <v>187.13812820194892</v>
      </c>
      <c r="T1031">
        <f t="shared" si="1028"/>
        <v>0.18713812820194892</v>
      </c>
    </row>
    <row r="1032" spans="1:20" x14ac:dyDescent="0.25">
      <c r="A1032" s="5">
        <v>43561</v>
      </c>
      <c r="B1032">
        <v>0.65839999999999999</v>
      </c>
      <c r="C1032">
        <v>0.67959999999999998</v>
      </c>
      <c r="D1032">
        <v>0.63500000000000001</v>
      </c>
      <c r="E1032">
        <v>0.64849999999999997</v>
      </c>
      <c r="F1032">
        <v>881623.89</v>
      </c>
      <c r="G1032">
        <v>0</v>
      </c>
      <c r="L1032" t="s">
        <v>8</v>
      </c>
      <c r="M1032" t="s">
        <v>8</v>
      </c>
      <c r="N1032" t="s">
        <v>7</v>
      </c>
      <c r="P1032">
        <f t="shared" si="1024"/>
        <v>-0.39461883408071907</v>
      </c>
      <c r="Q1032">
        <f t="shared" si="1025"/>
        <v>-347905.39156950812</v>
      </c>
      <c r="R1032">
        <f t="shared" si="1026"/>
        <v>18715612.205447812</v>
      </c>
      <c r="S1032">
        <f t="shared" si="1027"/>
        <v>187.15612205447812</v>
      </c>
      <c r="T1032">
        <f t="shared" si="1028"/>
        <v>0.18715612205447812</v>
      </c>
    </row>
    <row r="1033" spans="1:20" x14ac:dyDescent="0.25">
      <c r="A1033" s="5">
        <v>43560</v>
      </c>
      <c r="B1033">
        <v>0.64239999999999997</v>
      </c>
      <c r="C1033">
        <v>0.66359999999999997</v>
      </c>
      <c r="D1033">
        <v>0.63770000000000004</v>
      </c>
      <c r="E1033">
        <v>0.65769999999999995</v>
      </c>
      <c r="F1033">
        <v>671220.35</v>
      </c>
      <c r="G1033">
        <v>0</v>
      </c>
      <c r="L1033" t="s">
        <v>8</v>
      </c>
      <c r="M1033" t="s">
        <v>8</v>
      </c>
      <c r="N1033" t="s">
        <v>7</v>
      </c>
      <c r="P1033">
        <f t="shared" si="1024"/>
        <v>0.54440154440154176</v>
      </c>
      <c r="Q1033">
        <f t="shared" si="1025"/>
        <v>365413.39517374337</v>
      </c>
      <c r="R1033">
        <f t="shared" si="1026"/>
        <v>19063517.597017318</v>
      </c>
      <c r="S1033">
        <f t="shared" si="1027"/>
        <v>190.63517597017318</v>
      </c>
      <c r="T1033">
        <f t="shared" si="1028"/>
        <v>0.19063517597017318</v>
      </c>
    </row>
    <row r="1034" spans="1:20" x14ac:dyDescent="0.25">
      <c r="A1034" s="5">
        <v>43559</v>
      </c>
      <c r="B1034">
        <v>0.60960000000000003</v>
      </c>
      <c r="C1034">
        <v>0.66390000000000005</v>
      </c>
      <c r="D1034">
        <v>0.60750000000000004</v>
      </c>
      <c r="E1034">
        <v>0.64419999999999999</v>
      </c>
      <c r="F1034">
        <v>1806153.86</v>
      </c>
      <c r="G1034">
        <v>0</v>
      </c>
      <c r="L1034" t="s">
        <v>7</v>
      </c>
      <c r="M1034" t="s">
        <v>8</v>
      </c>
      <c r="N1034" t="s">
        <v>7</v>
      </c>
      <c r="P1034">
        <f t="shared" si="1024"/>
        <v>0.30141843971631033</v>
      </c>
      <c r="Q1034">
        <f t="shared" si="1025"/>
        <v>544408.07836879126</v>
      </c>
      <c r="R1034">
        <f t="shared" si="1026"/>
        <v>18698104.201843575</v>
      </c>
      <c r="S1034">
        <f t="shared" si="1027"/>
        <v>186.98104201843574</v>
      </c>
      <c r="T1034">
        <f t="shared" si="1028"/>
        <v>0.18698104201843574</v>
      </c>
    </row>
    <row r="1035" spans="1:20" x14ac:dyDescent="0.25">
      <c r="A1035" s="5">
        <v>43558</v>
      </c>
      <c r="B1035">
        <v>0.62980000000000003</v>
      </c>
      <c r="C1035">
        <v>0.67269999999999996</v>
      </c>
      <c r="D1035">
        <v>0.59660000000000002</v>
      </c>
      <c r="E1035">
        <v>0.61329999999999996</v>
      </c>
      <c r="F1035">
        <v>2678909.56</v>
      </c>
      <c r="G1035">
        <v>0</v>
      </c>
      <c r="L1035" t="s">
        <v>8</v>
      </c>
      <c r="M1035" t="s">
        <v>8</v>
      </c>
      <c r="N1035" t="s">
        <v>7</v>
      </c>
      <c r="P1035">
        <f t="shared" si="1024"/>
        <v>-0.56110381077529703</v>
      </c>
      <c r="Q1035">
        <f t="shared" si="1025"/>
        <v>-1503146.3628383742</v>
      </c>
      <c r="R1035">
        <f t="shared" si="1026"/>
        <v>18153696.123474784</v>
      </c>
      <c r="S1035">
        <f t="shared" si="1027"/>
        <v>181.53696123474785</v>
      </c>
      <c r="T1035">
        <f t="shared" si="1028"/>
        <v>0.18153696123474786</v>
      </c>
    </row>
    <row r="1036" spans="1:20" x14ac:dyDescent="0.25">
      <c r="A1036" s="5">
        <v>43557</v>
      </c>
      <c r="B1036">
        <v>0.59670000000000001</v>
      </c>
      <c r="C1036">
        <v>0.63</v>
      </c>
      <c r="D1036">
        <v>0.57799999999999996</v>
      </c>
      <c r="E1036">
        <v>0.62939999999999996</v>
      </c>
      <c r="F1036">
        <v>2174087.2799999998</v>
      </c>
      <c r="G1036">
        <v>0</v>
      </c>
      <c r="L1036" t="s">
        <v>8</v>
      </c>
      <c r="M1036" t="s">
        <v>7</v>
      </c>
      <c r="N1036" t="s">
        <v>7</v>
      </c>
      <c r="P1036">
        <f t="shared" si="1024"/>
        <v>0.97692307692307523</v>
      </c>
      <c r="Q1036">
        <f t="shared" si="1025"/>
        <v>2123916.035076919</v>
      </c>
      <c r="R1036">
        <f t="shared" si="1026"/>
        <v>19656842.486313157</v>
      </c>
      <c r="S1036">
        <f t="shared" si="1027"/>
        <v>196.56842486313155</v>
      </c>
      <c r="T1036">
        <f t="shared" si="1028"/>
        <v>0.19656842486313156</v>
      </c>
    </row>
    <row r="1037" spans="1:20" x14ac:dyDescent="0.25">
      <c r="A1037" s="5">
        <v>43556</v>
      </c>
      <c r="B1037">
        <v>0.60099999999999998</v>
      </c>
      <c r="C1037">
        <v>0.60229999999999995</v>
      </c>
      <c r="D1037">
        <v>0.58940000000000003</v>
      </c>
      <c r="E1037">
        <v>0.59389999999999998</v>
      </c>
      <c r="F1037">
        <v>424450.75</v>
      </c>
      <c r="G1037">
        <v>0</v>
      </c>
      <c r="L1037" t="s">
        <v>7</v>
      </c>
      <c r="M1037" t="s">
        <v>7</v>
      </c>
      <c r="N1037" t="s">
        <v>7</v>
      </c>
      <c r="P1037">
        <f t="shared" si="1024"/>
        <v>-0.30232558139535204</v>
      </c>
      <c r="Q1037">
        <f t="shared" si="1025"/>
        <v>-128322.31976744322</v>
      </c>
      <c r="R1037">
        <f t="shared" si="1026"/>
        <v>17532926.451236237</v>
      </c>
      <c r="S1037">
        <f t="shared" si="1027"/>
        <v>175.32926451236236</v>
      </c>
      <c r="T1037">
        <f t="shared" si="1028"/>
        <v>0.17532926451236236</v>
      </c>
    </row>
    <row r="1038" spans="1:20" x14ac:dyDescent="0.25">
      <c r="A1038" s="5">
        <v>43555</v>
      </c>
      <c r="B1038">
        <v>0.59209999999999996</v>
      </c>
      <c r="C1038">
        <v>0.60229999999999995</v>
      </c>
      <c r="D1038">
        <v>0.58279999999999998</v>
      </c>
      <c r="E1038">
        <v>0.5998</v>
      </c>
      <c r="F1038">
        <v>583199.5</v>
      </c>
      <c r="G1038">
        <v>0</v>
      </c>
      <c r="L1038" t="s">
        <v>7</v>
      </c>
      <c r="M1038" t="s">
        <v>7</v>
      </c>
      <c r="N1038" t="s">
        <v>7</v>
      </c>
      <c r="P1038">
        <f t="shared" si="1024"/>
        <v>0.74358974358974861</v>
      </c>
      <c r="Q1038">
        <f t="shared" si="1025"/>
        <v>433661.1666666696</v>
      </c>
      <c r="R1038">
        <f t="shared" si="1026"/>
        <v>17661248.771003678</v>
      </c>
      <c r="S1038">
        <f t="shared" si="1027"/>
        <v>176.61248771003679</v>
      </c>
      <c r="T1038">
        <f t="shared" si="1028"/>
        <v>0.17661248771003679</v>
      </c>
    </row>
    <row r="1039" spans="1:20" x14ac:dyDescent="0.25">
      <c r="A1039" s="5">
        <v>43554</v>
      </c>
      <c r="B1039">
        <v>0.60050000000000003</v>
      </c>
      <c r="C1039">
        <v>0.60760000000000003</v>
      </c>
      <c r="D1039">
        <v>0.57879999999999998</v>
      </c>
      <c r="E1039">
        <v>0.59250000000000003</v>
      </c>
      <c r="F1039">
        <v>559477.49</v>
      </c>
      <c r="G1039">
        <v>0</v>
      </c>
      <c r="L1039" t="s">
        <v>7</v>
      </c>
      <c r="M1039" t="s">
        <v>7</v>
      </c>
      <c r="N1039" t="s">
        <v>7</v>
      </c>
      <c r="P1039">
        <f t="shared" si="1024"/>
        <v>-4.861111111110953E-2</v>
      </c>
      <c r="Q1039">
        <f t="shared" si="1025"/>
        <v>-27196.822430554672</v>
      </c>
      <c r="R1039">
        <f t="shared" si="1026"/>
        <v>17227587.604337011</v>
      </c>
      <c r="S1039">
        <f t="shared" si="1027"/>
        <v>172.27587604337012</v>
      </c>
      <c r="T1039">
        <f t="shared" si="1028"/>
        <v>0.17227587604337011</v>
      </c>
    </row>
    <row r="1040" spans="1:20" x14ac:dyDescent="0.25">
      <c r="A1040" s="5">
        <v>43553</v>
      </c>
      <c r="B1040">
        <v>0.60540000000000005</v>
      </c>
      <c r="C1040">
        <v>0.60650000000000004</v>
      </c>
      <c r="D1040">
        <v>0.59219999999999995</v>
      </c>
      <c r="E1040">
        <v>0.60009999999999997</v>
      </c>
      <c r="F1040">
        <v>391664.32</v>
      </c>
      <c r="G1040">
        <v>0</v>
      </c>
      <c r="L1040" t="s">
        <v>8</v>
      </c>
      <c r="M1040" t="s">
        <v>7</v>
      </c>
      <c r="N1040" t="s">
        <v>7</v>
      </c>
      <c r="P1040">
        <f t="shared" si="1024"/>
        <v>0.10489510489510044</v>
      </c>
      <c r="Q1040">
        <f t="shared" si="1025"/>
        <v>41083.669930068187</v>
      </c>
      <c r="R1040">
        <f t="shared" si="1026"/>
        <v>17254784.426767565</v>
      </c>
      <c r="S1040">
        <f t="shared" si="1027"/>
        <v>172.54784426767566</v>
      </c>
      <c r="T1040">
        <f t="shared" si="1028"/>
        <v>0.17254784426767567</v>
      </c>
    </row>
    <row r="1041" spans="1:20" x14ac:dyDescent="0.25">
      <c r="A1041" s="5">
        <v>43552</v>
      </c>
      <c r="B1041">
        <v>0.6079</v>
      </c>
      <c r="C1041">
        <v>0.628</v>
      </c>
      <c r="D1041">
        <v>0.59109999999999996</v>
      </c>
      <c r="E1041">
        <v>0.60640000000000005</v>
      </c>
      <c r="F1041">
        <v>738495.8</v>
      </c>
      <c r="G1041">
        <v>0</v>
      </c>
      <c r="L1041" t="s">
        <v>8</v>
      </c>
      <c r="M1041" t="s">
        <v>7</v>
      </c>
      <c r="N1041" t="s">
        <v>7</v>
      </c>
      <c r="P1041">
        <f t="shared" si="1024"/>
        <v>-0.17073170731706921</v>
      </c>
      <c r="Q1041">
        <f t="shared" si="1025"/>
        <v>-126084.64878048489</v>
      </c>
      <c r="R1041">
        <f t="shared" si="1026"/>
        <v>17213700.756837498</v>
      </c>
      <c r="S1041">
        <f t="shared" si="1027"/>
        <v>172.137007568375</v>
      </c>
      <c r="T1041">
        <f t="shared" si="1028"/>
        <v>0.17213700756837499</v>
      </c>
    </row>
    <row r="1042" spans="1:20" x14ac:dyDescent="0.25">
      <c r="A1042" s="5">
        <v>43551</v>
      </c>
      <c r="B1042">
        <v>0.58530000000000004</v>
      </c>
      <c r="C1042">
        <v>0.61960000000000004</v>
      </c>
      <c r="D1042">
        <v>0.57720000000000005</v>
      </c>
      <c r="E1042">
        <v>0.60880000000000001</v>
      </c>
      <c r="F1042">
        <v>687179.95</v>
      </c>
      <c r="G1042">
        <v>0</v>
      </c>
      <c r="L1042" t="s">
        <v>8</v>
      </c>
      <c r="M1042" t="s">
        <v>7</v>
      </c>
      <c r="N1042" t="s">
        <v>7</v>
      </c>
      <c r="P1042">
        <f t="shared" si="1024"/>
        <v>0.49056603773584745</v>
      </c>
      <c r="Q1042">
        <f t="shared" si="1025"/>
        <v>337107.14528301771</v>
      </c>
      <c r="R1042">
        <f t="shared" si="1026"/>
        <v>17339785.405617982</v>
      </c>
      <c r="S1042">
        <f t="shared" si="1027"/>
        <v>173.39785405617982</v>
      </c>
      <c r="T1042">
        <f t="shared" si="1028"/>
        <v>0.17339785405617983</v>
      </c>
    </row>
    <row r="1043" spans="1:20" x14ac:dyDescent="0.25">
      <c r="A1043" s="5">
        <v>43550</v>
      </c>
      <c r="B1043">
        <v>0.59650000000000003</v>
      </c>
      <c r="C1043">
        <v>0.59950000000000003</v>
      </c>
      <c r="D1043">
        <v>0.55249999999999999</v>
      </c>
      <c r="E1043">
        <v>0.58630000000000004</v>
      </c>
      <c r="F1043">
        <v>731879.74</v>
      </c>
      <c r="G1043">
        <v>0</v>
      </c>
      <c r="L1043" t="s">
        <v>7</v>
      </c>
      <c r="M1043" t="s">
        <v>7</v>
      </c>
      <c r="N1043" t="s">
        <v>7</v>
      </c>
      <c r="P1043">
        <f t="shared" si="1024"/>
        <v>0.4382978723404265</v>
      </c>
      <c r="Q1043">
        <f t="shared" si="1025"/>
        <v>320781.33285106451</v>
      </c>
      <c r="R1043">
        <f t="shared" si="1026"/>
        <v>17002678.260334965</v>
      </c>
      <c r="S1043">
        <f t="shared" si="1027"/>
        <v>170.02678260334966</v>
      </c>
      <c r="T1043">
        <f t="shared" si="1028"/>
        <v>0.17002678260334966</v>
      </c>
    </row>
    <row r="1044" spans="1:20" x14ac:dyDescent="0.25">
      <c r="A1044" s="5">
        <v>43549</v>
      </c>
      <c r="B1044">
        <v>0.626</v>
      </c>
      <c r="C1044">
        <v>0.62639999999999996</v>
      </c>
      <c r="D1044">
        <v>0.57999999999999996</v>
      </c>
      <c r="E1044">
        <v>0.59599999999999997</v>
      </c>
      <c r="F1044">
        <v>738350.15</v>
      </c>
      <c r="G1044">
        <v>0</v>
      </c>
      <c r="L1044" t="s">
        <v>7</v>
      </c>
      <c r="M1044" t="s">
        <v>7</v>
      </c>
      <c r="N1044" t="s">
        <v>7</v>
      </c>
      <c r="P1044">
        <f t="shared" si="1024"/>
        <v>-0.31034482758620624</v>
      </c>
      <c r="Q1044">
        <f t="shared" si="1025"/>
        <v>-229143.14999999953</v>
      </c>
      <c r="R1044">
        <f t="shared" si="1026"/>
        <v>16681896.9274839</v>
      </c>
      <c r="S1044">
        <f t="shared" si="1027"/>
        <v>166.81896927483899</v>
      </c>
      <c r="T1044">
        <f t="shared" si="1028"/>
        <v>0.166818969274839</v>
      </c>
    </row>
    <row r="1045" spans="1:20" x14ac:dyDescent="0.25">
      <c r="A1045" s="5">
        <v>43548</v>
      </c>
      <c r="B1045">
        <v>0.63480000000000003</v>
      </c>
      <c r="C1045">
        <v>0.63800000000000001</v>
      </c>
      <c r="D1045">
        <v>0.61109999999999998</v>
      </c>
      <c r="E1045">
        <v>0.62609999999999999</v>
      </c>
      <c r="F1045">
        <v>658208.71</v>
      </c>
      <c r="G1045">
        <v>0</v>
      </c>
      <c r="L1045" t="s">
        <v>7</v>
      </c>
      <c r="M1045" t="s">
        <v>7</v>
      </c>
      <c r="N1045" t="s">
        <v>7</v>
      </c>
      <c r="P1045">
        <f t="shared" si="1024"/>
        <v>0.11524163568773188</v>
      </c>
      <c r="Q1045">
        <f t="shared" si="1025"/>
        <v>75853.048364311966</v>
      </c>
      <c r="R1045">
        <f t="shared" si="1026"/>
        <v>16911040.0774839</v>
      </c>
      <c r="S1045">
        <f t="shared" si="1027"/>
        <v>169.11040077483901</v>
      </c>
      <c r="T1045">
        <f t="shared" si="1028"/>
        <v>0.16911040077483902</v>
      </c>
    </row>
    <row r="1046" spans="1:20" x14ac:dyDescent="0.25">
      <c r="A1046" s="5">
        <v>43547</v>
      </c>
      <c r="B1046">
        <v>0.64449999999999996</v>
      </c>
      <c r="C1046">
        <v>0.64449999999999996</v>
      </c>
      <c r="D1046">
        <v>0.62360000000000004</v>
      </c>
      <c r="E1046">
        <v>0.63470000000000004</v>
      </c>
      <c r="F1046">
        <v>591664.75</v>
      </c>
      <c r="G1046">
        <v>0</v>
      </c>
      <c r="L1046" t="s">
        <v>7</v>
      </c>
      <c r="M1046" t="s">
        <v>7</v>
      </c>
      <c r="N1046" t="s">
        <v>7</v>
      </c>
      <c r="P1046">
        <f t="shared" si="1024"/>
        <v>6.2200956937803059E-2</v>
      </c>
      <c r="Q1046">
        <f t="shared" si="1025"/>
        <v>36802.113636366012</v>
      </c>
      <c r="R1046">
        <f t="shared" si="1026"/>
        <v>16835187.029119588</v>
      </c>
      <c r="S1046">
        <f t="shared" si="1027"/>
        <v>168.35187029119589</v>
      </c>
      <c r="T1046">
        <f t="shared" si="1028"/>
        <v>0.16835187029119589</v>
      </c>
    </row>
    <row r="1047" spans="1:20" x14ac:dyDescent="0.25">
      <c r="A1047" s="5">
        <v>43546</v>
      </c>
      <c r="B1047">
        <v>0.62629999999999997</v>
      </c>
      <c r="C1047">
        <v>0.64990000000000003</v>
      </c>
      <c r="D1047">
        <v>0.62319999999999998</v>
      </c>
      <c r="E1047">
        <v>0.6452</v>
      </c>
      <c r="F1047">
        <v>1610625.05</v>
      </c>
      <c r="G1047">
        <v>0</v>
      </c>
      <c r="L1047" t="s">
        <v>7</v>
      </c>
      <c r="M1047" t="s">
        <v>7</v>
      </c>
      <c r="N1047" t="s">
        <v>7</v>
      </c>
      <c r="P1047">
        <f t="shared" si="1024"/>
        <v>0.64794007490636496</v>
      </c>
      <c r="Q1047">
        <f t="shared" si="1025"/>
        <v>1043588.5155430678</v>
      </c>
      <c r="R1047">
        <f t="shared" si="1026"/>
        <v>16798384.915483221</v>
      </c>
      <c r="S1047">
        <f t="shared" si="1027"/>
        <v>167.98384915483223</v>
      </c>
      <c r="T1047">
        <f t="shared" si="1028"/>
        <v>0.16798384915483222</v>
      </c>
    </row>
    <row r="1048" spans="1:20" x14ac:dyDescent="0.25">
      <c r="A1048" s="5">
        <v>43545</v>
      </c>
      <c r="B1048">
        <v>0.65749999999999997</v>
      </c>
      <c r="C1048">
        <v>0.68420000000000003</v>
      </c>
      <c r="D1048">
        <v>0.57999999999999996</v>
      </c>
      <c r="E1048">
        <v>0.62549999999999994</v>
      </c>
      <c r="F1048">
        <v>4865155.26</v>
      </c>
      <c r="G1048">
        <v>0</v>
      </c>
      <c r="L1048" t="s">
        <v>8</v>
      </c>
      <c r="M1048" t="s">
        <v>7</v>
      </c>
      <c r="N1048" t="s">
        <v>7</v>
      </c>
      <c r="P1048">
        <f t="shared" si="1024"/>
        <v>-0.12667946257197785</v>
      </c>
      <c r="Q1048">
        <f t="shared" si="1025"/>
        <v>-616315.25366603117</v>
      </c>
      <c r="R1048">
        <f t="shared" si="1026"/>
        <v>15754796.399940152</v>
      </c>
      <c r="S1048">
        <f t="shared" si="1027"/>
        <v>157.5479639994015</v>
      </c>
      <c r="T1048">
        <f t="shared" si="1028"/>
        <v>0.15754796399940149</v>
      </c>
    </row>
    <row r="1049" spans="1:20" x14ac:dyDescent="0.25">
      <c r="A1049" s="5">
        <v>43544</v>
      </c>
      <c r="B1049">
        <v>0.61080000000000001</v>
      </c>
      <c r="C1049">
        <v>0.66169999999999995</v>
      </c>
      <c r="D1049">
        <v>0.6</v>
      </c>
      <c r="E1049">
        <v>0.65800000000000003</v>
      </c>
      <c r="F1049">
        <v>25717847.18</v>
      </c>
      <c r="G1049">
        <v>0</v>
      </c>
      <c r="L1049" t="s">
        <v>8</v>
      </c>
      <c r="M1049" t="s">
        <v>7</v>
      </c>
      <c r="N1049" t="s">
        <v>7</v>
      </c>
      <c r="P1049">
        <f t="shared" si="1024"/>
        <v>0.88006482982172041</v>
      </c>
      <c r="Q1049">
        <f t="shared" si="1025"/>
        <v>22633372.801847711</v>
      </c>
      <c r="R1049">
        <f t="shared" si="1026"/>
        <v>16371111.653606184</v>
      </c>
      <c r="S1049">
        <f t="shared" si="1027"/>
        <v>163.71111653606184</v>
      </c>
      <c r="T1049">
        <f t="shared" si="1028"/>
        <v>0.16371111653606182</v>
      </c>
    </row>
    <row r="1050" spans="1:20" x14ac:dyDescent="0.25">
      <c r="A1050" s="5">
        <v>43543</v>
      </c>
      <c r="B1050">
        <v>0.62450000000000006</v>
      </c>
      <c r="C1050">
        <v>0.62450000000000006</v>
      </c>
      <c r="D1050">
        <v>0.59689999999999999</v>
      </c>
      <c r="E1050">
        <v>0.61140000000000005</v>
      </c>
      <c r="F1050">
        <v>10846968.48</v>
      </c>
      <c r="G1050">
        <v>0</v>
      </c>
      <c r="L1050" t="s">
        <v>7</v>
      </c>
      <c r="M1050" t="s">
        <v>7</v>
      </c>
      <c r="N1050" t="s">
        <v>7</v>
      </c>
      <c r="P1050">
        <f t="shared" si="1024"/>
        <v>5.0724637681161755E-2</v>
      </c>
      <c r="Q1050">
        <f t="shared" si="1025"/>
        <v>550208.54608698189</v>
      </c>
      <c r="R1050">
        <f t="shared" si="1026"/>
        <v>-6262261.1482415274</v>
      </c>
      <c r="S1050">
        <f t="shared" si="1027"/>
        <v>-62.622611482415273</v>
      </c>
      <c r="T1050">
        <f t="shared" si="1028"/>
        <v>-6.2622611482415269E-2</v>
      </c>
    </row>
    <row r="1051" spans="1:20" x14ac:dyDescent="0.25">
      <c r="A1051" s="5">
        <v>43542</v>
      </c>
      <c r="B1051">
        <v>0.64480000000000004</v>
      </c>
      <c r="C1051">
        <v>0.64480000000000004</v>
      </c>
      <c r="D1051">
        <v>0.61</v>
      </c>
      <c r="E1051">
        <v>0.62450000000000006</v>
      </c>
      <c r="F1051">
        <v>10278355.630000001</v>
      </c>
      <c r="G1051">
        <v>0</v>
      </c>
      <c r="L1051" t="s">
        <v>8</v>
      </c>
      <c r="M1051" t="s">
        <v>7</v>
      </c>
      <c r="N1051" t="s">
        <v>7</v>
      </c>
      <c r="P1051">
        <f t="shared" si="1024"/>
        <v>-0.16666666666666402</v>
      </c>
      <c r="Q1051">
        <f t="shared" si="1025"/>
        <v>-1713059.2716666397</v>
      </c>
      <c r="R1051">
        <f t="shared" si="1026"/>
        <v>-6812469.6943285093</v>
      </c>
      <c r="S1051">
        <f t="shared" si="1027"/>
        <v>-68.124696943285088</v>
      </c>
      <c r="T1051">
        <f t="shared" si="1028"/>
        <v>-6.8124696943285087E-2</v>
      </c>
    </row>
    <row r="1052" spans="1:20" x14ac:dyDescent="0.25">
      <c r="A1052" s="5">
        <v>43541</v>
      </c>
      <c r="B1052">
        <v>0.62949999999999995</v>
      </c>
      <c r="C1052">
        <v>0.65500000000000003</v>
      </c>
      <c r="D1052">
        <v>0.61509999999999998</v>
      </c>
      <c r="E1052">
        <v>0.64480000000000004</v>
      </c>
      <c r="F1052">
        <v>10264349.23</v>
      </c>
      <c r="G1052">
        <v>0</v>
      </c>
      <c r="L1052" t="s">
        <v>8</v>
      </c>
      <c r="M1052" t="s">
        <v>7</v>
      </c>
      <c r="N1052" t="s">
        <v>7</v>
      </c>
      <c r="P1052">
        <f t="shared" si="1024"/>
        <v>0.48872180451127945</v>
      </c>
      <c r="Q1052">
        <f t="shared" si="1025"/>
        <v>5016411.2778195618</v>
      </c>
      <c r="R1052">
        <f t="shared" si="1026"/>
        <v>-5099410.4226618698</v>
      </c>
      <c r="S1052">
        <f t="shared" si="1027"/>
        <v>-50.994104226618695</v>
      </c>
      <c r="T1052">
        <f t="shared" si="1028"/>
        <v>-5.0994104226618694E-2</v>
      </c>
    </row>
    <row r="1053" spans="1:20" x14ac:dyDescent="0.25">
      <c r="A1053" s="5">
        <v>43540</v>
      </c>
      <c r="B1053">
        <v>0.64</v>
      </c>
      <c r="C1053">
        <v>0.64200000000000002</v>
      </c>
      <c r="D1053">
        <v>0.61350000000000005</v>
      </c>
      <c r="E1053">
        <v>0.62949999999999995</v>
      </c>
      <c r="F1053">
        <v>4039435.77</v>
      </c>
      <c r="G1053">
        <v>0</v>
      </c>
      <c r="L1053" t="s">
        <v>8</v>
      </c>
      <c r="M1053" t="s">
        <v>7</v>
      </c>
      <c r="N1053" t="s">
        <v>7</v>
      </c>
      <c r="P1053">
        <f t="shared" si="1024"/>
        <v>0.12280701754385405</v>
      </c>
      <c r="Q1053">
        <f t="shared" si="1025"/>
        <v>496071.05947366159</v>
      </c>
      <c r="R1053">
        <f t="shared" si="1026"/>
        <v>-10115821.700481432</v>
      </c>
      <c r="S1053">
        <f t="shared" si="1027"/>
        <v>-101.15821700481432</v>
      </c>
      <c r="T1053">
        <f t="shared" si="1028"/>
        <v>-0.10115821700481432</v>
      </c>
    </row>
    <row r="1054" spans="1:20" x14ac:dyDescent="0.25">
      <c r="A1054" s="5">
        <v>43539</v>
      </c>
      <c r="B1054">
        <v>0.623</v>
      </c>
      <c r="C1054">
        <v>0.64170000000000005</v>
      </c>
      <c r="D1054">
        <v>0.58979999999999999</v>
      </c>
      <c r="E1054">
        <v>0.64</v>
      </c>
      <c r="F1054">
        <v>6334297.4400000004</v>
      </c>
      <c r="G1054">
        <v>0</v>
      </c>
      <c r="L1054" t="s">
        <v>7</v>
      </c>
      <c r="M1054" t="s">
        <v>7</v>
      </c>
      <c r="N1054" t="s">
        <v>7</v>
      </c>
      <c r="P1054">
        <f t="shared" si="1024"/>
        <v>0.93448940269749392</v>
      </c>
      <c r="Q1054">
        <f t="shared" si="1025"/>
        <v>5919333.8312138654</v>
      </c>
      <c r="R1054">
        <f t="shared" si="1026"/>
        <v>-10611892.759955093</v>
      </c>
      <c r="S1054">
        <f t="shared" si="1027"/>
        <v>-106.11892759955093</v>
      </c>
      <c r="T1054">
        <f t="shared" si="1028"/>
        <v>-0.10611892759955092</v>
      </c>
    </row>
    <row r="1055" spans="1:20" x14ac:dyDescent="0.25">
      <c r="A1055" s="5">
        <v>43538</v>
      </c>
      <c r="B1055">
        <v>0.74109999999999998</v>
      </c>
      <c r="C1055">
        <v>0.76580000000000004</v>
      </c>
      <c r="D1055">
        <v>0.6</v>
      </c>
      <c r="E1055">
        <v>0.62339999999999995</v>
      </c>
      <c r="F1055">
        <v>12290758.109999999</v>
      </c>
      <c r="G1055">
        <v>0</v>
      </c>
      <c r="L1055" t="s">
        <v>7</v>
      </c>
      <c r="M1055" t="s">
        <v>7</v>
      </c>
      <c r="N1055" t="s">
        <v>7</v>
      </c>
      <c r="P1055">
        <f t="shared" si="1024"/>
        <v>-0.71773220747889066</v>
      </c>
      <c r="Q1055">
        <f t="shared" si="1025"/>
        <v>-8821472.9498793781</v>
      </c>
      <c r="R1055">
        <f t="shared" si="1026"/>
        <v>-16531226.591168959</v>
      </c>
      <c r="S1055">
        <f t="shared" si="1027"/>
        <v>-165.31226591168959</v>
      </c>
      <c r="T1055">
        <f t="shared" si="1028"/>
        <v>-0.1653122659116896</v>
      </c>
    </row>
    <row r="1056" spans="1:20" x14ac:dyDescent="0.25">
      <c r="A1056" s="5">
        <v>43537</v>
      </c>
      <c r="B1056">
        <v>0.51100000000000001</v>
      </c>
      <c r="C1056">
        <v>0.88</v>
      </c>
      <c r="D1056">
        <v>0.51049999999999995</v>
      </c>
      <c r="E1056">
        <v>0.73899999999999999</v>
      </c>
      <c r="F1056">
        <v>21698353.510000002</v>
      </c>
      <c r="G1056">
        <v>0</v>
      </c>
      <c r="L1056" t="s">
        <v>8</v>
      </c>
      <c r="M1056" t="s">
        <v>8</v>
      </c>
      <c r="N1056" t="s">
        <v>8</v>
      </c>
      <c r="P1056">
        <f t="shared" si="1024"/>
        <v>0.23680649526387013</v>
      </c>
      <c r="Q1056">
        <f t="shared" si="1025"/>
        <v>5138311.0476995949</v>
      </c>
      <c r="R1056">
        <f t="shared" si="1026"/>
        <v>-7709753.6412895806</v>
      </c>
      <c r="S1056">
        <f t="shared" si="1027"/>
        <v>-77.097536412895806</v>
      </c>
      <c r="T1056">
        <f t="shared" si="1028"/>
        <v>-7.7097536412895809E-2</v>
      </c>
    </row>
    <row r="1057" spans="1:20" x14ac:dyDescent="0.25">
      <c r="A1057" s="5">
        <v>43536</v>
      </c>
      <c r="B1057">
        <v>0.4899</v>
      </c>
      <c r="C1057">
        <v>0.56159999999999999</v>
      </c>
      <c r="D1057">
        <v>0.4788</v>
      </c>
      <c r="E1057">
        <v>0.51100000000000001</v>
      </c>
      <c r="F1057">
        <v>1811584.37</v>
      </c>
      <c r="G1057">
        <v>0</v>
      </c>
      <c r="L1057" t="s">
        <v>8</v>
      </c>
      <c r="M1057" t="s">
        <v>8</v>
      </c>
      <c r="N1057" t="s">
        <v>7</v>
      </c>
      <c r="P1057">
        <f t="shared" si="1024"/>
        <v>-0.22222222222222193</v>
      </c>
      <c r="Q1057">
        <f t="shared" si="1025"/>
        <v>-402574.30444444396</v>
      </c>
      <c r="R1057">
        <f t="shared" si="1026"/>
        <v>-12848064.688989175</v>
      </c>
      <c r="S1057">
        <f t="shared" si="1027"/>
        <v>-128.48064688989174</v>
      </c>
      <c r="T1057">
        <f t="shared" si="1028"/>
        <v>-0.12848064688989175</v>
      </c>
    </row>
    <row r="1058" spans="1:20" x14ac:dyDescent="0.25">
      <c r="A1058" s="5">
        <v>43535</v>
      </c>
      <c r="B1058">
        <v>0.51500000000000001</v>
      </c>
      <c r="C1058">
        <v>0.55169999999999997</v>
      </c>
      <c r="D1058">
        <v>0.47010000000000002</v>
      </c>
      <c r="E1058">
        <v>0.4899</v>
      </c>
      <c r="F1058">
        <v>1594759.75</v>
      </c>
      <c r="G1058">
        <v>0</v>
      </c>
      <c r="L1058" t="s">
        <v>7</v>
      </c>
      <c r="M1058" t="s">
        <v>7</v>
      </c>
      <c r="N1058" t="s">
        <v>7</v>
      </c>
      <c r="P1058">
        <f t="shared" si="1024"/>
        <v>-0.51470588235294124</v>
      </c>
      <c r="Q1058">
        <f t="shared" si="1025"/>
        <v>-820832.22426470602</v>
      </c>
      <c r="R1058">
        <f t="shared" si="1026"/>
        <v>-12445490.384544732</v>
      </c>
      <c r="S1058">
        <f t="shared" si="1027"/>
        <v>-124.45490384544732</v>
      </c>
      <c r="T1058">
        <f t="shared" si="1028"/>
        <v>-0.12445490384544731</v>
      </c>
    </row>
    <row r="1059" spans="1:20" x14ac:dyDescent="0.25">
      <c r="A1059" s="5">
        <v>43534</v>
      </c>
      <c r="B1059">
        <v>0.53869999999999996</v>
      </c>
      <c r="C1059">
        <v>0.54</v>
      </c>
      <c r="D1059">
        <v>0.49</v>
      </c>
      <c r="E1059">
        <v>0.5151</v>
      </c>
      <c r="F1059">
        <v>1095067.8400000001</v>
      </c>
      <c r="G1059">
        <v>0</v>
      </c>
      <c r="L1059" t="s">
        <v>7</v>
      </c>
      <c r="M1059" t="s">
        <v>7</v>
      </c>
      <c r="N1059" t="s">
        <v>7</v>
      </c>
      <c r="P1059">
        <f t="shared" si="1024"/>
        <v>3.999999999999556E-3</v>
      </c>
      <c r="Q1059">
        <f t="shared" si="1025"/>
        <v>4380.2713599995141</v>
      </c>
      <c r="R1059">
        <f t="shared" si="1026"/>
        <v>-11624658.160280026</v>
      </c>
      <c r="S1059">
        <f t="shared" si="1027"/>
        <v>-116.24658160280026</v>
      </c>
      <c r="T1059">
        <f t="shared" si="1028"/>
        <v>-0.11624658160280026</v>
      </c>
    </row>
    <row r="1060" spans="1:20" x14ac:dyDescent="0.25">
      <c r="A1060" s="5">
        <v>43533</v>
      </c>
      <c r="B1060">
        <v>0.52949999999999997</v>
      </c>
      <c r="C1060">
        <v>0.56000000000000005</v>
      </c>
      <c r="D1060">
        <v>0.5161</v>
      </c>
      <c r="E1060">
        <v>0.54</v>
      </c>
      <c r="F1060">
        <v>991144.04</v>
      </c>
      <c r="G1060">
        <v>0</v>
      </c>
      <c r="L1060" t="s">
        <v>7</v>
      </c>
      <c r="M1060" t="s">
        <v>8</v>
      </c>
      <c r="N1060" t="s">
        <v>7</v>
      </c>
      <c r="P1060">
        <f t="shared" si="1024"/>
        <v>8.8838268792710937E-2</v>
      </c>
      <c r="Q1060">
        <f t="shared" si="1025"/>
        <v>88051.520637813446</v>
      </c>
      <c r="R1060">
        <f t="shared" si="1026"/>
        <v>-11629038.431640025</v>
      </c>
      <c r="S1060">
        <f t="shared" si="1027"/>
        <v>-116.29038431640025</v>
      </c>
      <c r="T1060">
        <f t="shared" si="1028"/>
        <v>-0.11629038431640025</v>
      </c>
    </row>
    <row r="1061" spans="1:20" x14ac:dyDescent="0.25">
      <c r="A1061" s="5">
        <v>43532</v>
      </c>
      <c r="B1061">
        <v>0.53380000000000005</v>
      </c>
      <c r="C1061">
        <v>0.60760000000000003</v>
      </c>
      <c r="D1061">
        <v>0.5181</v>
      </c>
      <c r="E1061">
        <v>0.52400000000000002</v>
      </c>
      <c r="F1061">
        <v>2724291.46</v>
      </c>
      <c r="G1061">
        <v>0</v>
      </c>
      <c r="L1061" t="s">
        <v>8</v>
      </c>
      <c r="M1061" t="s">
        <v>8</v>
      </c>
      <c r="N1061" t="s">
        <v>7</v>
      </c>
      <c r="P1061">
        <f t="shared" si="1024"/>
        <v>-0.86815642458100528</v>
      </c>
      <c r="Q1061">
        <f t="shared" si="1025"/>
        <v>-2365111.1334301666</v>
      </c>
      <c r="R1061">
        <f t="shared" si="1026"/>
        <v>-11717089.952277839</v>
      </c>
      <c r="S1061">
        <f t="shared" si="1027"/>
        <v>-117.1708995227784</v>
      </c>
      <c r="T1061">
        <f t="shared" si="1028"/>
        <v>-0.1171708995227784</v>
      </c>
    </row>
    <row r="1062" spans="1:20" x14ac:dyDescent="0.25">
      <c r="A1062" s="5">
        <v>43531</v>
      </c>
      <c r="B1062">
        <v>0.52159999999999995</v>
      </c>
      <c r="C1062">
        <v>0.5494</v>
      </c>
      <c r="D1062">
        <v>0.51500000000000001</v>
      </c>
      <c r="E1062">
        <v>0.53400000000000003</v>
      </c>
      <c r="F1062">
        <v>773791.42</v>
      </c>
      <c r="G1062">
        <v>0</v>
      </c>
      <c r="L1062" t="s">
        <v>8</v>
      </c>
      <c r="M1062" t="s">
        <v>7</v>
      </c>
      <c r="N1062" t="s">
        <v>7</v>
      </c>
      <c r="P1062">
        <f t="shared" si="1024"/>
        <v>0.1046511627906991</v>
      </c>
      <c r="Q1062">
        <f t="shared" si="1025"/>
        <v>80978.171860466216</v>
      </c>
      <c r="R1062">
        <f t="shared" si="1026"/>
        <v>-9351978.818847673</v>
      </c>
      <c r="S1062">
        <f t="shared" si="1027"/>
        <v>-93.519788188476724</v>
      </c>
      <c r="T1062">
        <f t="shared" si="1028"/>
        <v>-9.3519788188476727E-2</v>
      </c>
    </row>
    <row r="1063" spans="1:20" x14ac:dyDescent="0.25">
      <c r="A1063" s="5">
        <v>43530</v>
      </c>
      <c r="B1063">
        <v>0.53659999999999997</v>
      </c>
      <c r="C1063">
        <v>0.54300000000000004</v>
      </c>
      <c r="D1063">
        <v>0.50700000000000001</v>
      </c>
      <c r="E1063">
        <v>0.5212</v>
      </c>
      <c r="F1063">
        <v>693603.63</v>
      </c>
      <c r="G1063">
        <v>0</v>
      </c>
      <c r="L1063" t="s">
        <v>7</v>
      </c>
      <c r="M1063" t="s">
        <v>7</v>
      </c>
      <c r="N1063" t="s">
        <v>7</v>
      </c>
      <c r="P1063">
        <f t="shared" si="1024"/>
        <v>-0.21111111111111233</v>
      </c>
      <c r="Q1063">
        <f t="shared" si="1025"/>
        <v>-146427.43300000083</v>
      </c>
      <c r="R1063">
        <f t="shared" si="1026"/>
        <v>-9432956.9907081388</v>
      </c>
      <c r="S1063">
        <f t="shared" si="1027"/>
        <v>-94.329569907081392</v>
      </c>
      <c r="T1063">
        <f t="shared" si="1028"/>
        <v>-9.4329569907081398E-2</v>
      </c>
    </row>
    <row r="1064" spans="1:20" x14ac:dyDescent="0.25">
      <c r="A1064" s="5">
        <v>43529</v>
      </c>
      <c r="B1064">
        <v>0.5071</v>
      </c>
      <c r="C1064">
        <v>0.5444</v>
      </c>
      <c r="D1064">
        <v>0.49930000000000002</v>
      </c>
      <c r="E1064">
        <v>0.53669999999999995</v>
      </c>
      <c r="F1064">
        <v>777854.42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0.65853658536585169</v>
      </c>
      <c r="Q1064">
        <f t="shared" si="1025"/>
        <v>512245.5936585351</v>
      </c>
      <c r="R1064">
        <f t="shared" si="1026"/>
        <v>-9286529.5577081386</v>
      </c>
      <c r="S1064">
        <f t="shared" si="1027"/>
        <v>-92.865295577081383</v>
      </c>
      <c r="T1064">
        <f t="shared" si="1028"/>
        <v>-9.2865295577081383E-2</v>
      </c>
    </row>
    <row r="1065" spans="1:20" x14ac:dyDescent="0.25">
      <c r="A1065" s="5">
        <v>43528</v>
      </c>
      <c r="B1065">
        <v>0.55069999999999997</v>
      </c>
      <c r="C1065">
        <v>0.55620000000000003</v>
      </c>
      <c r="D1065">
        <v>0.48</v>
      </c>
      <c r="E1065">
        <v>0.5071</v>
      </c>
      <c r="F1065">
        <v>1047321.87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-0.28871391076115493</v>
      </c>
      <c r="Q1065">
        <f t="shared" si="1025"/>
        <v>-302376.39291338593</v>
      </c>
      <c r="R1065">
        <f t="shared" si="1026"/>
        <v>-9798775.1513666734</v>
      </c>
      <c r="S1065">
        <f t="shared" si="1027"/>
        <v>-97.987751513666737</v>
      </c>
      <c r="T1065">
        <f t="shared" si="1028"/>
        <v>-9.7987751513666732E-2</v>
      </c>
    </row>
    <row r="1066" spans="1:20" x14ac:dyDescent="0.25">
      <c r="A1066" s="5">
        <v>43527</v>
      </c>
      <c r="B1066">
        <v>0.5706</v>
      </c>
      <c r="C1066">
        <v>0.58440000000000003</v>
      </c>
      <c r="D1066">
        <v>0.53800000000000003</v>
      </c>
      <c r="E1066">
        <v>0.55220000000000002</v>
      </c>
      <c r="F1066">
        <v>860647.54</v>
      </c>
      <c r="G1066">
        <v>0</v>
      </c>
      <c r="L1066" t="s">
        <v>7</v>
      </c>
      <c r="M1066" t="s">
        <v>7</v>
      </c>
      <c r="N1066" t="s">
        <v>7</v>
      </c>
      <c r="P1066">
        <f t="shared" si="1024"/>
        <v>-0.38793103448275901</v>
      </c>
      <c r="Q1066">
        <f t="shared" si="1025"/>
        <v>-333871.89051724173</v>
      </c>
      <c r="R1066">
        <f t="shared" si="1026"/>
        <v>-9496398.7584532872</v>
      </c>
      <c r="S1066">
        <f t="shared" si="1027"/>
        <v>-94.963987584532873</v>
      </c>
      <c r="T1066">
        <f t="shared" si="1028"/>
        <v>-9.4963987584532866E-2</v>
      </c>
    </row>
    <row r="1067" spans="1:20" x14ac:dyDescent="0.25">
      <c r="A1067" s="5">
        <v>43526</v>
      </c>
      <c r="B1067">
        <v>0.57499999999999996</v>
      </c>
      <c r="C1067">
        <v>0.61899999999999999</v>
      </c>
      <c r="D1067">
        <v>0.55459999999999998</v>
      </c>
      <c r="E1067">
        <v>0.57079999999999997</v>
      </c>
      <c r="F1067">
        <v>1892712.96</v>
      </c>
      <c r="G1067">
        <v>0</v>
      </c>
      <c r="L1067" t="s">
        <v>8</v>
      </c>
      <c r="M1067" t="s">
        <v>7</v>
      </c>
      <c r="N1067" t="s">
        <v>7</v>
      </c>
      <c r="P1067">
        <f t="shared" si="1024"/>
        <v>-0.49689440993788853</v>
      </c>
      <c r="Q1067">
        <f t="shared" si="1025"/>
        <v>-940478.48944099434</v>
      </c>
      <c r="R1067">
        <f t="shared" si="1026"/>
        <v>-9162526.8679360449</v>
      </c>
      <c r="S1067">
        <f t="shared" si="1027"/>
        <v>-91.625268679360445</v>
      </c>
      <c r="T1067">
        <f t="shared" si="1028"/>
        <v>-9.1625268679360439E-2</v>
      </c>
    </row>
    <row r="1068" spans="1:20" x14ac:dyDescent="0.25">
      <c r="A1068" s="5">
        <v>43525</v>
      </c>
      <c r="B1068">
        <v>0.57689999999999997</v>
      </c>
      <c r="C1068">
        <v>0.59289999999999998</v>
      </c>
      <c r="D1068">
        <v>0.55110000000000003</v>
      </c>
      <c r="E1068">
        <v>0.5746</v>
      </c>
      <c r="F1068">
        <v>1460520.55</v>
      </c>
      <c r="G1068">
        <v>0</v>
      </c>
      <c r="L1068" t="s">
        <v>7</v>
      </c>
      <c r="M1068" t="s">
        <v>7</v>
      </c>
      <c r="N1068" t="s">
        <v>7</v>
      </c>
      <c r="P1068">
        <f t="shared" si="1024"/>
        <v>0.12440191387559782</v>
      </c>
      <c r="Q1068">
        <f t="shared" si="1025"/>
        <v>181691.55167464077</v>
      </c>
      <c r="R1068">
        <f t="shared" si="1026"/>
        <v>-8222048.3784950497</v>
      </c>
      <c r="S1068">
        <f t="shared" si="1027"/>
        <v>-82.220483784950503</v>
      </c>
      <c r="T1068">
        <f t="shared" si="1028"/>
        <v>-8.2220483784950504E-2</v>
      </c>
    </row>
    <row r="1069" spans="1:20" x14ac:dyDescent="0.25">
      <c r="A1069" s="5">
        <v>43524</v>
      </c>
      <c r="B1069">
        <v>0.59470000000000001</v>
      </c>
      <c r="C1069">
        <v>0.59860000000000002</v>
      </c>
      <c r="D1069">
        <v>0.55249999999999999</v>
      </c>
      <c r="E1069">
        <v>0.57679999999999998</v>
      </c>
      <c r="F1069">
        <v>1901742.12</v>
      </c>
      <c r="G1069">
        <v>0</v>
      </c>
      <c r="L1069" t="s">
        <v>7</v>
      </c>
      <c r="M1069" t="s">
        <v>7</v>
      </c>
      <c r="N1069" t="s">
        <v>7</v>
      </c>
      <c r="P1069">
        <f t="shared" si="1024"/>
        <v>5.4229934924076899E-2</v>
      </c>
      <c r="Q1069">
        <f t="shared" si="1025"/>
        <v>103131.35140997605</v>
      </c>
      <c r="R1069">
        <f t="shared" si="1026"/>
        <v>-8403739.9301696904</v>
      </c>
      <c r="S1069">
        <f t="shared" si="1027"/>
        <v>-84.037399301696908</v>
      </c>
      <c r="T1069">
        <f t="shared" si="1028"/>
        <v>-8.4037399301696902E-2</v>
      </c>
    </row>
    <row r="1070" spans="1:20" x14ac:dyDescent="0.25">
      <c r="A1070" s="5">
        <v>43523</v>
      </c>
      <c r="B1070">
        <v>0.63060000000000005</v>
      </c>
      <c r="C1070">
        <v>0.64029999999999998</v>
      </c>
      <c r="D1070">
        <v>0.57740000000000002</v>
      </c>
      <c r="E1070">
        <v>0.5948</v>
      </c>
      <c r="F1070">
        <v>1300415.06</v>
      </c>
      <c r="G1070">
        <v>0</v>
      </c>
      <c r="L1070" t="s">
        <v>7</v>
      </c>
      <c r="M1070" t="s">
        <v>7</v>
      </c>
      <c r="N1070" t="s">
        <v>7</v>
      </c>
      <c r="P1070">
        <f t="shared" si="1024"/>
        <v>-0.44674085850556494</v>
      </c>
      <c r="Q1070">
        <f t="shared" si="1025"/>
        <v>-580948.54031796579</v>
      </c>
      <c r="R1070">
        <f t="shared" si="1026"/>
        <v>-8506871.2815796658</v>
      </c>
      <c r="S1070">
        <f t="shared" si="1027"/>
        <v>-85.068712815796658</v>
      </c>
      <c r="T1070">
        <f t="shared" si="1028"/>
        <v>-8.5068712815796657E-2</v>
      </c>
    </row>
    <row r="1071" spans="1:20" x14ac:dyDescent="0.25">
      <c r="A1071" s="5">
        <v>43522</v>
      </c>
      <c r="B1071">
        <v>0.64500000000000002</v>
      </c>
      <c r="C1071">
        <v>0.67</v>
      </c>
      <c r="D1071">
        <v>0.61499999999999999</v>
      </c>
      <c r="E1071">
        <v>0.63049999999999995</v>
      </c>
      <c r="F1071">
        <v>912785.96</v>
      </c>
      <c r="G1071">
        <v>0</v>
      </c>
      <c r="L1071" t="s">
        <v>7</v>
      </c>
      <c r="M1071" t="s">
        <v>7</v>
      </c>
      <c r="N1071" t="s">
        <v>7</v>
      </c>
      <c r="P1071">
        <f t="shared" si="1024"/>
        <v>-0.4363636363636384</v>
      </c>
      <c r="Q1071">
        <f t="shared" si="1025"/>
        <v>-398306.60072727455</v>
      </c>
      <c r="R1071">
        <f t="shared" si="1026"/>
        <v>-7925922.7412617002</v>
      </c>
      <c r="S1071">
        <f t="shared" si="1027"/>
        <v>-79.259227412617008</v>
      </c>
      <c r="T1071">
        <f t="shared" si="1028"/>
        <v>-7.9259227412617012E-2</v>
      </c>
    </row>
    <row r="1072" spans="1:20" x14ac:dyDescent="0.25">
      <c r="A1072" s="5">
        <v>43521</v>
      </c>
      <c r="B1072">
        <v>0.64459999999999995</v>
      </c>
      <c r="C1072">
        <v>0.68989999999999996</v>
      </c>
      <c r="D1072">
        <v>0.63349999999999995</v>
      </c>
      <c r="E1072">
        <v>0.64500000000000002</v>
      </c>
      <c r="F1072">
        <v>2222770.41</v>
      </c>
      <c r="G1072">
        <v>0</v>
      </c>
      <c r="L1072" t="s">
        <v>8</v>
      </c>
      <c r="M1072" t="s">
        <v>7</v>
      </c>
      <c r="N1072" t="s">
        <v>7</v>
      </c>
      <c r="P1072">
        <f t="shared" si="1024"/>
        <v>-0.59219858156028138</v>
      </c>
      <c r="Q1072">
        <f t="shared" si="1025"/>
        <v>-1316321.4839361652</v>
      </c>
      <c r="R1072">
        <f t="shared" si="1026"/>
        <v>-7527616.1405344252</v>
      </c>
      <c r="S1072">
        <f t="shared" si="1027"/>
        <v>-75.276161405344254</v>
      </c>
      <c r="T1072">
        <f t="shared" si="1028"/>
        <v>-7.5276161405344252E-2</v>
      </c>
    </row>
    <row r="1073" spans="1:20" x14ac:dyDescent="0.25">
      <c r="A1073" s="5">
        <v>43520</v>
      </c>
      <c r="B1073">
        <v>0.75419999999999998</v>
      </c>
      <c r="C1073">
        <v>0.79400000000000004</v>
      </c>
      <c r="D1073">
        <v>0.61260000000000003</v>
      </c>
      <c r="E1073">
        <v>0.63980000000000004</v>
      </c>
      <c r="F1073">
        <v>5131174.1100000003</v>
      </c>
      <c r="G1073">
        <v>0</v>
      </c>
      <c r="L1073" t="s">
        <v>7</v>
      </c>
      <c r="M1073" t="s">
        <v>7</v>
      </c>
      <c r="N1073" t="s">
        <v>7</v>
      </c>
      <c r="P1073">
        <f t="shared" si="1024"/>
        <v>-0.70011025358324142</v>
      </c>
      <c r="Q1073">
        <f t="shared" si="1025"/>
        <v>-3592387.6073318631</v>
      </c>
      <c r="R1073">
        <f t="shared" si="1026"/>
        <v>-6211294.6565982597</v>
      </c>
      <c r="S1073">
        <f t="shared" si="1027"/>
        <v>-62.112946565982597</v>
      </c>
      <c r="T1073">
        <f t="shared" si="1028"/>
        <v>-6.2112946565982596E-2</v>
      </c>
    </row>
    <row r="1074" spans="1:20" x14ac:dyDescent="0.25">
      <c r="A1074" s="5">
        <v>43519</v>
      </c>
      <c r="B1074">
        <v>0.73580000000000001</v>
      </c>
      <c r="C1074">
        <v>0.79990000000000006</v>
      </c>
      <c r="D1074">
        <v>0.72809999999999997</v>
      </c>
      <c r="E1074">
        <v>0.75419999999999998</v>
      </c>
      <c r="F1074">
        <v>3629652.83</v>
      </c>
      <c r="G1074">
        <v>0</v>
      </c>
      <c r="L1074" t="s">
        <v>8</v>
      </c>
      <c r="M1074" t="s">
        <v>8</v>
      </c>
      <c r="N1074" t="s">
        <v>7</v>
      </c>
      <c r="P1074">
        <f t="shared" si="1024"/>
        <v>-0.2729805013927582</v>
      </c>
      <c r="Q1074">
        <f t="shared" si="1025"/>
        <v>-990824.44941504381</v>
      </c>
      <c r="R1074">
        <f t="shared" si="1026"/>
        <v>-2618907.0492663966</v>
      </c>
      <c r="S1074">
        <f t="shared" si="1027"/>
        <v>-26.189070492663966</v>
      </c>
      <c r="T1074">
        <f t="shared" si="1028"/>
        <v>-2.6189070492663967E-2</v>
      </c>
    </row>
    <row r="1075" spans="1:20" x14ac:dyDescent="0.25">
      <c r="A1075" s="5">
        <v>43518</v>
      </c>
      <c r="B1075">
        <v>0.7278</v>
      </c>
      <c r="C1075">
        <v>0.75749999999999995</v>
      </c>
      <c r="D1075">
        <v>0.71509999999999996</v>
      </c>
      <c r="E1075">
        <v>0.73580000000000001</v>
      </c>
      <c r="F1075">
        <v>1870907.42</v>
      </c>
      <c r="G1075">
        <v>0</v>
      </c>
      <c r="L1075" t="s">
        <v>7</v>
      </c>
      <c r="M1075" t="s">
        <v>8</v>
      </c>
      <c r="N1075" t="s">
        <v>7</v>
      </c>
      <c r="P1075">
        <f t="shared" si="1024"/>
        <v>-2.3584905660374765E-2</v>
      </c>
      <c r="Q1075">
        <f t="shared" si="1025"/>
        <v>-44125.174999995143</v>
      </c>
      <c r="R1075">
        <f t="shared" si="1026"/>
        <v>-1628082.5998513529</v>
      </c>
      <c r="S1075">
        <f t="shared" si="1027"/>
        <v>-16.280825998513528</v>
      </c>
      <c r="T1075">
        <f t="shared" si="1028"/>
        <v>-1.6280825998513528E-2</v>
      </c>
    </row>
    <row r="1076" spans="1:20" x14ac:dyDescent="0.25">
      <c r="A1076" s="5">
        <v>43517</v>
      </c>
      <c r="B1076">
        <v>0.78259999999999996</v>
      </c>
      <c r="C1076">
        <v>0.78259999999999996</v>
      </c>
      <c r="D1076">
        <v>0.70730000000000004</v>
      </c>
      <c r="E1076">
        <v>0.7278</v>
      </c>
      <c r="F1076">
        <v>2875327.47</v>
      </c>
      <c r="G1076">
        <v>0</v>
      </c>
      <c r="L1076" t="s">
        <v>7</v>
      </c>
      <c r="M1076" t="s">
        <v>8</v>
      </c>
      <c r="N1076" t="s">
        <v>7</v>
      </c>
      <c r="P1076">
        <f t="shared" si="1024"/>
        <v>-0.45551128818061132</v>
      </c>
      <c r="Q1076">
        <f t="shared" si="1025"/>
        <v>-1309744.1198007981</v>
      </c>
      <c r="R1076">
        <f t="shared" si="1026"/>
        <v>-1583957.4248513577</v>
      </c>
      <c r="S1076">
        <f t="shared" si="1027"/>
        <v>-15.839574248513577</v>
      </c>
      <c r="T1076">
        <f t="shared" si="1028"/>
        <v>-1.5839574248513576E-2</v>
      </c>
    </row>
    <row r="1077" spans="1:20" x14ac:dyDescent="0.25">
      <c r="A1077" s="5">
        <v>43516</v>
      </c>
      <c r="B1077">
        <v>0.77859999999999996</v>
      </c>
      <c r="C1077">
        <v>0.81</v>
      </c>
      <c r="D1077">
        <v>0.73819999999999997</v>
      </c>
      <c r="E1077">
        <v>0.78259999999999996</v>
      </c>
      <c r="F1077">
        <v>5000897.59</v>
      </c>
      <c r="G1077">
        <v>0</v>
      </c>
      <c r="L1077" t="s">
        <v>8</v>
      </c>
      <c r="M1077" t="s">
        <v>8</v>
      </c>
      <c r="N1077" t="s">
        <v>7</v>
      </c>
      <c r="P1077">
        <f t="shared" si="1024"/>
        <v>0.23676880222841062</v>
      </c>
      <c r="Q1077">
        <f t="shared" si="1025"/>
        <v>1184056.5324512452</v>
      </c>
      <c r="R1077">
        <f t="shared" si="1026"/>
        <v>-274213.30505055957</v>
      </c>
      <c r="S1077">
        <f t="shared" si="1027"/>
        <v>-2.7421330505055956</v>
      </c>
      <c r="T1077">
        <f t="shared" si="1028"/>
        <v>-2.7421330505055957E-3</v>
      </c>
    </row>
    <row r="1078" spans="1:20" x14ac:dyDescent="0.25">
      <c r="A1078" s="5">
        <v>43515</v>
      </c>
      <c r="B1078">
        <v>0.70979999999999999</v>
      </c>
      <c r="C1078">
        <v>0.88890000000000002</v>
      </c>
      <c r="D1078">
        <v>0.67</v>
      </c>
      <c r="E1078">
        <v>0.77590000000000003</v>
      </c>
      <c r="F1078">
        <v>13980845.140000001</v>
      </c>
      <c r="G1078">
        <v>0</v>
      </c>
      <c r="L1078" t="s">
        <v>7</v>
      </c>
      <c r="M1078" t="s">
        <v>7</v>
      </c>
      <c r="N1078" t="s">
        <v>7</v>
      </c>
      <c r="P1078">
        <f t="shared" si="1024"/>
        <v>-3.2434901781635432E-2</v>
      </c>
      <c r="Q1078">
        <f t="shared" si="1025"/>
        <v>-453467.33894015511</v>
      </c>
      <c r="R1078">
        <f t="shared" si="1026"/>
        <v>-1458269.8375018048</v>
      </c>
      <c r="S1078">
        <f t="shared" si="1027"/>
        <v>-14.582698375018047</v>
      </c>
      <c r="T1078">
        <f t="shared" si="1028"/>
        <v>-1.4582698375018048E-2</v>
      </c>
    </row>
    <row r="1079" spans="1:20" x14ac:dyDescent="0.25">
      <c r="A1079" s="5">
        <v>43514</v>
      </c>
      <c r="B1079">
        <v>0.77659999999999996</v>
      </c>
      <c r="C1079">
        <v>0.77659999999999996</v>
      </c>
      <c r="D1079">
        <v>0.65980000000000005</v>
      </c>
      <c r="E1079">
        <v>0.71</v>
      </c>
      <c r="F1079">
        <v>7156154.3799999999</v>
      </c>
      <c r="G1079">
        <v>0</v>
      </c>
      <c r="P1079">
        <f t="shared" si="1024"/>
        <v>-0.1404109589041104</v>
      </c>
      <c r="Q1079">
        <f t="shared" si="1025"/>
        <v>-1004802.4985616496</v>
      </c>
      <c r="R1079">
        <f t="shared" si="1026"/>
        <v>-1004802.4985616496</v>
      </c>
      <c r="S1079">
        <f t="shared" si="1027"/>
        <v>-10.048024985616497</v>
      </c>
      <c r="T1079">
        <f t="shared" si="1028"/>
        <v>-1.0048024985616497E-2</v>
      </c>
    </row>
    <row r="1080" spans="1:20" x14ac:dyDescent="0.25">
      <c r="A1080" s="5"/>
      <c r="C1080"/>
      <c r="D1080"/>
    </row>
    <row r="1081" spans="1:20" x14ac:dyDescent="0.25">
      <c r="A1081" s="5"/>
      <c r="C1081"/>
      <c r="D1081"/>
    </row>
    <row r="1082" spans="1:20" x14ac:dyDescent="0.25">
      <c r="A1082" s="5"/>
      <c r="C1082"/>
      <c r="D1082"/>
    </row>
    <row r="1083" spans="1:20" x14ac:dyDescent="0.25">
      <c r="A1083" s="5"/>
      <c r="C1083"/>
      <c r="D1083"/>
    </row>
    <row r="1084" spans="1:20" x14ac:dyDescent="0.25">
      <c r="A1084" s="5"/>
      <c r="C1084"/>
      <c r="D1084"/>
    </row>
    <row r="1085" spans="1:20" x14ac:dyDescent="0.25">
      <c r="A1085" s="5"/>
      <c r="C1085"/>
      <c r="D1085"/>
    </row>
    <row r="1086" spans="1:20" x14ac:dyDescent="0.25">
      <c r="A1086" s="5"/>
      <c r="C1086"/>
      <c r="D1086"/>
    </row>
    <row r="1087" spans="1:20" x14ac:dyDescent="0.25">
      <c r="A1087" s="5"/>
      <c r="C1087"/>
      <c r="D1087"/>
    </row>
    <row r="1088" spans="1:20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J613" sqref="RJ61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$A$612</v>
      </c>
      <c r="D111" s="1" t="str">
        <f>ADDRESS(C121-1,D121,1,1)</f>
        <v>$RJ$612</v>
      </c>
      <c r="E111"/>
    </row>
    <row r="112" spans="1:5" x14ac:dyDescent="0.25">
      <c r="A112" s="7">
        <v>12164.144957890772</v>
      </c>
      <c r="C112" s="1" t="str">
        <f>ADDRESS(C121,1,1,1)</f>
        <v>$A$613</v>
      </c>
      <c r="D112" s="1" t="str">
        <f>ADDRESS(C121,D121-1,1,1)</f>
        <v>$RI$613</v>
      </c>
      <c r="E112"/>
    </row>
    <row r="113" spans="1:5" x14ac:dyDescent="0.25">
      <c r="A113" s="7">
        <v>11925.63231165762</v>
      </c>
      <c r="C113" s="1" t="str">
        <f>ADDRESS(C121+1,1,1,1)</f>
        <v>$A$614</v>
      </c>
      <c r="D113" s="1" t="str">
        <f>ADDRESS(C121-1,D121+1,1,1)</f>
        <v>$RK$612</v>
      </c>
    </row>
    <row r="114" spans="1:5" x14ac:dyDescent="0.25">
      <c r="A114" s="7">
        <v>11691.796383978059</v>
      </c>
      <c r="C114" s="1" t="str">
        <f>ADDRESS(C121,D121,1,1)</f>
        <v>$RJ$613</v>
      </c>
      <c r="D114" s="1" t="str">
        <f>ADDRESS(C121+1,D121+1,1,1)</f>
        <v>$RK$614</v>
      </c>
    </row>
    <row r="115" spans="1:5" x14ac:dyDescent="0.25">
      <c r="A115" s="7">
        <v>11462.545474488292</v>
      </c>
      <c r="C115" s="1" t="str">
        <f>ADDRESS(C121+1,D121,1,1)</f>
        <v>$RJ$614</v>
      </c>
    </row>
    <row r="116" spans="1:5" x14ac:dyDescent="0.25">
      <c r="A116" s="7">
        <v>11237.789680870874</v>
      </c>
      <c r="C116" s="1">
        <f>C117-1</f>
        <v>612</v>
      </c>
    </row>
    <row r="117" spans="1:5" x14ac:dyDescent="0.25">
      <c r="A117" s="7">
        <v>11017.440863598895</v>
      </c>
      <c r="C117" s="1">
        <f>C121</f>
        <v>613</v>
      </c>
      <c r="D117" s="1">
        <f>D121</f>
        <v>478</v>
      </c>
    </row>
    <row r="118" spans="1:5" x14ac:dyDescent="0.25">
      <c r="A118" s="7">
        <v>10801.412611371465</v>
      </c>
      <c r="C118" s="1">
        <f>C117+1</f>
        <v>614</v>
      </c>
      <c r="D118" s="1">
        <f>D117+1</f>
        <v>479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613</v>
      </c>
      <c r="D121" s="19">
        <v>478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R613</v>
      </c>
      <c r="D123" s="1" t="str">
        <f>"C"&amp;D121</f>
        <v>C478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0.59757928483164646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370" x14ac:dyDescent="0.25">
      <c r="A513" s="7">
        <v>4.3292504462035977</v>
      </c>
      <c r="B513"/>
      <c r="C513"/>
      <c r="D513"/>
      <c r="E513"/>
    </row>
    <row r="514" spans="1:370" x14ac:dyDescent="0.25">
      <c r="A514" s="7">
        <v>4.2443631825525463</v>
      </c>
      <c r="B514"/>
      <c r="C514"/>
      <c r="D514"/>
      <c r="E514"/>
    </row>
    <row r="515" spans="1:370" x14ac:dyDescent="0.25">
      <c r="A515" s="7">
        <v>4.1611403750515157</v>
      </c>
      <c r="B515"/>
      <c r="C515"/>
      <c r="D515"/>
      <c r="E515"/>
    </row>
    <row r="516" spans="1:370" x14ac:dyDescent="0.25">
      <c r="A516" s="7">
        <v>4.0795493873054074</v>
      </c>
      <c r="B516"/>
      <c r="C516"/>
      <c r="D516"/>
      <c r="E516"/>
    </row>
    <row r="517" spans="1:370" x14ac:dyDescent="0.25">
      <c r="A517" s="7">
        <v>3.9995582228484383</v>
      </c>
      <c r="B517"/>
      <c r="C517"/>
      <c r="D517"/>
      <c r="E517"/>
    </row>
    <row r="518" spans="1:370" x14ac:dyDescent="0.25">
      <c r="A518" s="7">
        <v>3.9211355125965079</v>
      </c>
      <c r="B518"/>
      <c r="C518"/>
      <c r="D518"/>
      <c r="E518"/>
    </row>
    <row r="519" spans="1:370" x14ac:dyDescent="0.25">
      <c r="A519" s="7">
        <v>3.844250502545596</v>
      </c>
      <c r="B519"/>
      <c r="C519"/>
      <c r="D519"/>
      <c r="E519"/>
    </row>
    <row r="520" spans="1:370" x14ac:dyDescent="0.25">
      <c r="A520" s="7">
        <v>3.7688730417113687</v>
      </c>
      <c r="B520"/>
      <c r="C520"/>
      <c r="D520"/>
      <c r="E520"/>
    </row>
    <row r="521" spans="1:370" x14ac:dyDescent="0.25">
      <c r="A521" s="7">
        <v>3.6949735703052635</v>
      </c>
      <c r="B521"/>
      <c r="C521"/>
      <c r="D521"/>
      <c r="E521"/>
    </row>
    <row r="522" spans="1:370" x14ac:dyDescent="0.25">
      <c r="A522" s="7">
        <v>3.6225231081424152</v>
      </c>
      <c r="B522"/>
      <c r="C522"/>
      <c r="D522"/>
      <c r="E522"/>
    </row>
    <row r="523" spans="1:370" x14ac:dyDescent="0.25">
      <c r="A523" s="7">
        <v>3.5514932432768775</v>
      </c>
      <c r="B523"/>
      <c r="C523"/>
      <c r="D523"/>
      <c r="E523"/>
    </row>
    <row r="524" spans="1:370" x14ac:dyDescent="0.25">
      <c r="A524" s="7">
        <v>3.4818561208596837</v>
      </c>
      <c r="B524"/>
      <c r="C524"/>
      <c r="D524"/>
      <c r="E524"/>
    </row>
    <row r="525" spans="1:370" x14ac:dyDescent="0.25">
      <c r="A525" s="7">
        <v>3.4135844322153761</v>
      </c>
      <c r="B525"/>
      <c r="C525"/>
      <c r="D525"/>
      <c r="E525"/>
    </row>
    <row r="526" spans="1:370" x14ac:dyDescent="0.25">
      <c r="A526" s="7">
        <v>3.3466514041327216</v>
      </c>
      <c r="B526"/>
      <c r="C526"/>
      <c r="D526"/>
      <c r="E526"/>
    </row>
    <row r="527" spans="1:370" x14ac:dyDescent="0.25">
      <c r="A527" s="7">
        <v>3.2810307883654133</v>
      </c>
      <c r="B527"/>
      <c r="C527"/>
      <c r="D527"/>
      <c r="E527"/>
      <c r="NE527" s="27" t="s">
        <v>8</v>
      </c>
    </row>
    <row r="528" spans="1:370" x14ac:dyDescent="0.25">
      <c r="A528" s="7">
        <v>3.2166968513386403</v>
      </c>
      <c r="B528"/>
      <c r="C528"/>
      <c r="D528"/>
      <c r="E528"/>
      <c r="NE528" s="27" t="s">
        <v>8</v>
      </c>
      <c r="NF528" s="27" t="s">
        <v>7</v>
      </c>
    </row>
    <row r="529" spans="1:370" x14ac:dyDescent="0.25">
      <c r="A529" s="7">
        <v>3.1536243640574906</v>
      </c>
      <c r="B529"/>
      <c r="C529"/>
      <c r="D529"/>
      <c r="E529"/>
      <c r="NE529" s="27" t="s">
        <v>8</v>
      </c>
      <c r="NF529" s="27" t="s">
        <v>7</v>
      </c>
    </row>
    <row r="530" spans="1:370" x14ac:dyDescent="0.25">
      <c r="A530" s="7">
        <v>3.0917885922132262</v>
      </c>
      <c r="B530"/>
      <c r="C530"/>
      <c r="D530"/>
      <c r="E530"/>
      <c r="NE530" s="27" t="s">
        <v>8</v>
      </c>
      <c r="NF530" s="27" t="s">
        <v>7</v>
      </c>
    </row>
    <row r="531" spans="1:370" x14ac:dyDescent="0.25">
      <c r="A531" s="7">
        <v>3.0311652864835552</v>
      </c>
      <c r="B531"/>
      <c r="C531"/>
      <c r="D531"/>
      <c r="E531"/>
      <c r="NE531" s="27" t="s">
        <v>8</v>
      </c>
      <c r="NF531" s="27" t="s">
        <v>7</v>
      </c>
    </row>
    <row r="532" spans="1:370" x14ac:dyDescent="0.25">
      <c r="A532" s="7">
        <v>2.9717306730230932</v>
      </c>
      <c r="B532"/>
      <c r="C532"/>
      <c r="D532"/>
      <c r="E532"/>
      <c r="NE532" s="27" t="s">
        <v>8</v>
      </c>
      <c r="NF532" s="27" t="s">
        <v>7</v>
      </c>
    </row>
    <row r="533" spans="1:370" x14ac:dyDescent="0.25">
      <c r="A533" s="7">
        <v>2.9134614441402875</v>
      </c>
      <c r="B533"/>
      <c r="C533"/>
      <c r="D533"/>
      <c r="E533"/>
      <c r="NE533" s="27" t="s">
        <v>8</v>
      </c>
      <c r="NF533" s="27" t="s">
        <v>7</v>
      </c>
    </row>
    <row r="534" spans="1:370" x14ac:dyDescent="0.25">
      <c r="A534" s="7">
        <v>2.8563347491571447</v>
      </c>
      <c r="B534"/>
      <c r="C534"/>
      <c r="D534"/>
      <c r="E534"/>
      <c r="NE534" s="27" t="s">
        <v>8</v>
      </c>
      <c r="NF534" s="27" t="s">
        <v>7</v>
      </c>
    </row>
    <row r="535" spans="1:370" x14ac:dyDescent="0.25">
      <c r="A535" s="7">
        <v>2.8003281854481812</v>
      </c>
      <c r="B535"/>
      <c r="C535"/>
      <c r="D535"/>
      <c r="E535"/>
      <c r="NE535" s="27" t="s">
        <v>8</v>
      </c>
      <c r="NF535" s="27" t="s">
        <v>7</v>
      </c>
    </row>
    <row r="536" spans="1:370" x14ac:dyDescent="0.25">
      <c r="A536" s="7">
        <v>2.7454197896550796</v>
      </c>
      <c r="B536"/>
      <c r="C536"/>
      <c r="D536"/>
      <c r="E536"/>
      <c r="NE536" s="27" t="s">
        <v>8</v>
      </c>
      <c r="NF536" s="27" t="s">
        <v>7</v>
      </c>
    </row>
    <row r="537" spans="1:370" x14ac:dyDescent="0.25">
      <c r="A537" s="7">
        <v>2.6915880290736074</v>
      </c>
      <c r="B537"/>
      <c r="C537"/>
      <c r="D537"/>
      <c r="E537"/>
      <c r="NE537" s="27" t="s">
        <v>8</v>
      </c>
      <c r="NF537" s="27" t="s">
        <v>7</v>
      </c>
    </row>
    <row r="538" spans="1:370" x14ac:dyDescent="0.25">
      <c r="A538" s="7">
        <v>2.6388117932094191</v>
      </c>
      <c r="B538"/>
      <c r="C538"/>
      <c r="D538"/>
      <c r="E538"/>
      <c r="NE538" s="27" t="s">
        <v>8</v>
      </c>
      <c r="NF538" s="27" t="s">
        <v>7</v>
      </c>
    </row>
    <row r="539" spans="1:370" x14ac:dyDescent="0.25">
      <c r="A539" s="7">
        <v>2.5870703854994304</v>
      </c>
      <c r="B539"/>
      <c r="C539"/>
      <c r="D539"/>
      <c r="E539"/>
      <c r="NE539" s="27" t="s">
        <v>8</v>
      </c>
      <c r="NF539" s="27" t="s">
        <v>7</v>
      </c>
    </row>
    <row r="540" spans="1:370" x14ac:dyDescent="0.25">
      <c r="A540" s="7">
        <v>2.53634351519552</v>
      </c>
      <c r="B540"/>
      <c r="C540"/>
      <c r="D540"/>
      <c r="E540"/>
      <c r="NE540" s="27" t="s">
        <v>8</v>
      </c>
      <c r="NF540" s="27" t="s">
        <v>7</v>
      </c>
    </row>
    <row r="541" spans="1:370" x14ac:dyDescent="0.25">
      <c r="A541" s="7">
        <v>2.4866112894073726</v>
      </c>
      <c r="B541"/>
      <c r="C541"/>
      <c r="D541"/>
      <c r="E541"/>
      <c r="NE541" s="27" t="s">
        <v>8</v>
      </c>
      <c r="NF541" s="27" t="s">
        <v>7</v>
      </c>
    </row>
    <row r="542" spans="1:370" x14ac:dyDescent="0.25">
      <c r="A542" s="7">
        <v>2.4378542053013459</v>
      </c>
      <c r="B542"/>
      <c r="C542"/>
      <c r="D542"/>
      <c r="E542"/>
      <c r="NE542" s="27" t="s">
        <v>8</v>
      </c>
      <c r="NF542" s="27" t="s">
        <v>7</v>
      </c>
    </row>
    <row r="543" spans="1:370" x14ac:dyDescent="0.25">
      <c r="A543" s="7">
        <v>2.3900531424522997</v>
      </c>
      <c r="B543"/>
      <c r="C543"/>
      <c r="D543"/>
      <c r="E543"/>
      <c r="NE543" s="27" t="s">
        <v>8</v>
      </c>
      <c r="NF543" s="27" t="s">
        <v>7</v>
      </c>
    </row>
    <row r="544" spans="1:370" x14ac:dyDescent="0.25">
      <c r="A544" s="7">
        <v>2.343189355345392</v>
      </c>
      <c r="B544"/>
      <c r="C544"/>
      <c r="D544"/>
      <c r="E544"/>
      <c r="NE544" s="27" t="s">
        <v>8</v>
      </c>
      <c r="NF544" s="27" t="s">
        <v>7</v>
      </c>
    </row>
    <row r="545" spans="1:438" x14ac:dyDescent="0.25">
      <c r="A545" s="7">
        <v>2.2972444660248938</v>
      </c>
      <c r="B545"/>
      <c r="C545"/>
      <c r="D545"/>
      <c r="E545"/>
      <c r="NE545" s="27" t="s">
        <v>8</v>
      </c>
      <c r="NF545" s="27" t="s">
        <v>7</v>
      </c>
    </row>
    <row r="546" spans="1:438" x14ac:dyDescent="0.25">
      <c r="A546" s="7">
        <v>2.252200456887151</v>
      </c>
      <c r="B546"/>
      <c r="C546"/>
      <c r="D546"/>
      <c r="E546"/>
      <c r="NE546" s="27" t="s">
        <v>8</v>
      </c>
      <c r="NF546" s="27" t="s">
        <v>7</v>
      </c>
    </row>
    <row r="547" spans="1:438" x14ac:dyDescent="0.25">
      <c r="A547" s="7">
        <v>2.208039663614854</v>
      </c>
      <c r="B547"/>
      <c r="C547"/>
      <c r="D547"/>
      <c r="E547"/>
      <c r="NE547" s="27" t="s">
        <v>8</v>
      </c>
      <c r="NF547" s="27" t="s">
        <v>7</v>
      </c>
    </row>
    <row r="548" spans="1:438" x14ac:dyDescent="0.25">
      <c r="A548" s="7">
        <v>2.1647447682498568</v>
      </c>
      <c r="B548"/>
      <c r="C548"/>
      <c r="D548"/>
      <c r="E548"/>
      <c r="NE548" s="27" t="s">
        <v>8</v>
      </c>
      <c r="NF548" s="27" t="s">
        <v>7</v>
      </c>
    </row>
    <row r="549" spans="1:438" x14ac:dyDescent="0.25">
      <c r="A549" s="7">
        <v>2.1222987924018204</v>
      </c>
      <c r="B549"/>
      <c r="C549"/>
      <c r="D549"/>
      <c r="E549"/>
      <c r="NE549" s="27" t="s">
        <v>8</v>
      </c>
      <c r="NF549" s="27" t="s">
        <v>7</v>
      </c>
      <c r="OY549" s="27" t="s">
        <v>8</v>
      </c>
    </row>
    <row r="550" spans="1:438" x14ac:dyDescent="0.25">
      <c r="A550" s="7">
        <v>2.0806850905900198</v>
      </c>
      <c r="B550"/>
      <c r="C550"/>
      <c r="D550"/>
      <c r="E550"/>
      <c r="NE550" s="27" t="s">
        <v>8</v>
      </c>
      <c r="NF550" s="27" t="s">
        <v>7</v>
      </c>
      <c r="OY550" s="27" t="s">
        <v>8</v>
      </c>
      <c r="OZ550" s="27" t="s">
        <v>7</v>
      </c>
    </row>
    <row r="551" spans="1:438" x14ac:dyDescent="0.25">
      <c r="A551" s="7">
        <v>2.0398873437157055</v>
      </c>
      <c r="B551"/>
      <c r="C551"/>
      <c r="D551"/>
      <c r="E551"/>
      <c r="NE551" s="27" t="s">
        <v>8</v>
      </c>
      <c r="NF551" s="27" t="s">
        <v>7</v>
      </c>
      <c r="OY551" s="27" t="s">
        <v>8</v>
      </c>
      <c r="OZ551" s="27" t="s">
        <v>7</v>
      </c>
    </row>
    <row r="552" spans="1:438" x14ac:dyDescent="0.25">
      <c r="A552" s="7">
        <v>1.9998895526624565</v>
      </c>
      <c r="B552"/>
      <c r="C552"/>
      <c r="D552"/>
      <c r="E552"/>
      <c r="NE552" s="27" t="s">
        <v>8</v>
      </c>
      <c r="NF552" s="27" t="s">
        <v>7</v>
      </c>
      <c r="OY552" s="27" t="s">
        <v>8</v>
      </c>
      <c r="OZ552" s="27" t="s">
        <v>7</v>
      </c>
    </row>
    <row r="553" spans="1:438" x14ac:dyDescent="0.25">
      <c r="A553" s="7">
        <v>1.9606760320220162</v>
      </c>
      <c r="B553"/>
      <c r="C553"/>
      <c r="D553"/>
      <c r="E553"/>
      <c r="NE553" s="27" t="s">
        <v>8</v>
      </c>
      <c r="NF553" s="27" t="s">
        <v>7</v>
      </c>
      <c r="OY553" s="27" t="s">
        <v>8</v>
      </c>
      <c r="OZ553" s="27" t="s">
        <v>7</v>
      </c>
      <c r="PU553" s="27" t="s">
        <v>8</v>
      </c>
    </row>
    <row r="554" spans="1:438" x14ac:dyDescent="0.25">
      <c r="A554" s="7">
        <v>1.9222314039431532</v>
      </c>
      <c r="B554"/>
      <c r="C554"/>
      <c r="D554"/>
      <c r="E554"/>
      <c r="NE554" s="27" t="s">
        <v>8</v>
      </c>
      <c r="NF554" s="27" t="s">
        <v>7</v>
      </c>
      <c r="OY554" s="27" t="s">
        <v>8</v>
      </c>
      <c r="OZ554" s="27" t="s">
        <v>7</v>
      </c>
      <c r="PU554" s="27" t="s">
        <v>8</v>
      </c>
      <c r="PV554" s="27" t="s">
        <v>7</v>
      </c>
    </row>
    <row r="555" spans="1:438" x14ac:dyDescent="0.25">
      <c r="A555" s="7">
        <v>1.8845405921011305</v>
      </c>
      <c r="B555"/>
      <c r="C555"/>
      <c r="D555"/>
      <c r="E555"/>
      <c r="NE555" s="27" t="s">
        <v>8</v>
      </c>
      <c r="NF555" s="27" t="s">
        <v>7</v>
      </c>
      <c r="OY555" s="27" t="s">
        <v>8</v>
      </c>
      <c r="OZ555" s="27" t="s">
        <v>7</v>
      </c>
      <c r="PU555" s="27" t="s">
        <v>8</v>
      </c>
      <c r="PV555" s="27" t="s">
        <v>7</v>
      </c>
    </row>
    <row r="556" spans="1:438" x14ac:dyDescent="0.25">
      <c r="A556" s="7">
        <v>1.8475888157854219</v>
      </c>
      <c r="B556"/>
      <c r="C556"/>
      <c r="D556"/>
      <c r="E556"/>
      <c r="NE556" s="27" t="s">
        <v>8</v>
      </c>
      <c r="NF556" s="27" t="s">
        <v>7</v>
      </c>
      <c r="OY556" s="27" t="s">
        <v>8</v>
      </c>
      <c r="OZ556" s="27" t="s">
        <v>7</v>
      </c>
      <c r="PU556" s="27" t="s">
        <v>8</v>
      </c>
      <c r="PV556" s="27" t="s">
        <v>7</v>
      </c>
    </row>
    <row r="557" spans="1:438" x14ac:dyDescent="0.25">
      <c r="A557" s="7">
        <v>1.8113615841033548</v>
      </c>
      <c r="B557"/>
      <c r="C557"/>
      <c r="D557"/>
      <c r="E557"/>
      <c r="NE557" s="27" t="s">
        <v>8</v>
      </c>
      <c r="NF557" s="27" t="s">
        <v>7</v>
      </c>
      <c r="OY557" s="27" t="s">
        <v>8</v>
      </c>
      <c r="OZ557" s="27" t="s">
        <v>7</v>
      </c>
      <c r="PU557" s="27" t="s">
        <v>8</v>
      </c>
      <c r="PV557" s="27" t="s">
        <v>7</v>
      </c>
    </row>
    <row r="558" spans="1:438" x14ac:dyDescent="0.25">
      <c r="A558" s="7">
        <v>1.7758446902974065</v>
      </c>
      <c r="B558"/>
      <c r="C558"/>
      <c r="D558"/>
      <c r="E558"/>
      <c r="NE558" s="27" t="s">
        <v>8</v>
      </c>
      <c r="NF558" s="27" t="s">
        <v>7</v>
      </c>
      <c r="OY558" s="27" t="s">
        <v>8</v>
      </c>
      <c r="OZ558" s="27" t="s">
        <v>7</v>
      </c>
      <c r="PU558" s="27" t="s">
        <v>8</v>
      </c>
      <c r="PV558" s="27" t="s">
        <v>7</v>
      </c>
    </row>
    <row r="559" spans="1:438" x14ac:dyDescent="0.25">
      <c r="A559" s="7">
        <v>1.7410242061739281</v>
      </c>
      <c r="B559"/>
      <c r="C559"/>
      <c r="D559"/>
      <c r="E559"/>
      <c r="NE559" s="27" t="s">
        <v>8</v>
      </c>
      <c r="NF559" s="27" t="s">
        <v>7</v>
      </c>
      <c r="OY559" s="27" t="s">
        <v>8</v>
      </c>
      <c r="OZ559" s="27" t="s">
        <v>7</v>
      </c>
      <c r="PE559" s="27" t="s">
        <v>8</v>
      </c>
      <c r="PU559" s="27" t="s">
        <v>8</v>
      </c>
      <c r="PV559" s="27" t="s">
        <v>7</v>
      </c>
    </row>
    <row r="560" spans="1:438" x14ac:dyDescent="0.25">
      <c r="A560" s="7">
        <v>1.7068864766411058</v>
      </c>
      <c r="B560"/>
      <c r="C560"/>
      <c r="D560"/>
      <c r="E560"/>
      <c r="NE560" s="27" t="s">
        <v>8</v>
      </c>
      <c r="NF560" s="27" t="s">
        <v>7</v>
      </c>
      <c r="OY560" s="27" t="s">
        <v>8</v>
      </c>
      <c r="OZ560" s="27" t="s">
        <v>7</v>
      </c>
      <c r="PE560" s="27" t="s">
        <v>8</v>
      </c>
      <c r="PF560" s="27" t="s">
        <v>7</v>
      </c>
      <c r="PU560" s="27" t="s">
        <v>8</v>
      </c>
      <c r="PV560" s="27" t="s">
        <v>7</v>
      </c>
    </row>
    <row r="561" spans="1:448" x14ac:dyDescent="0.25">
      <c r="A561" s="7">
        <v>1.6734181143540252</v>
      </c>
      <c r="B561"/>
      <c r="C561"/>
      <c r="D561"/>
      <c r="E561"/>
      <c r="NE561" s="27" t="s">
        <v>8</v>
      </c>
      <c r="NF561" s="27" t="s">
        <v>7</v>
      </c>
      <c r="OY561" s="27" t="s">
        <v>8</v>
      </c>
      <c r="OZ561" s="27" t="s">
        <v>7</v>
      </c>
      <c r="PE561" s="27" t="s">
        <v>8</v>
      </c>
      <c r="PF561" s="27" t="s">
        <v>7</v>
      </c>
      <c r="PU561" s="27" t="s">
        <v>8</v>
      </c>
      <c r="PV561" s="27" t="s">
        <v>7</v>
      </c>
    </row>
    <row r="562" spans="1:448" x14ac:dyDescent="0.25">
      <c r="A562" s="7">
        <v>1.6406059944647307</v>
      </c>
      <c r="B562"/>
      <c r="C562"/>
      <c r="D562"/>
      <c r="E562"/>
      <c r="NE562" s="27" t="s">
        <v>8</v>
      </c>
      <c r="NF562" s="27" t="s">
        <v>7</v>
      </c>
      <c r="OY562" s="27" t="s">
        <v>8</v>
      </c>
      <c r="OZ562" s="27" t="s">
        <v>7</v>
      </c>
      <c r="PE562" s="27" t="s">
        <v>8</v>
      </c>
      <c r="PF562" s="27" t="s">
        <v>7</v>
      </c>
      <c r="PU562" s="27" t="s">
        <v>8</v>
      </c>
      <c r="PV562" s="27" t="s">
        <v>7</v>
      </c>
    </row>
    <row r="563" spans="1:448" x14ac:dyDescent="0.25">
      <c r="A563" s="7">
        <v>1.6084372494752261</v>
      </c>
      <c r="B563"/>
      <c r="C563"/>
      <c r="D563"/>
      <c r="E563"/>
      <c r="NE563" s="27" t="s">
        <v>8</v>
      </c>
      <c r="NF563" s="27" t="s">
        <v>7</v>
      </c>
      <c r="OY563" s="27" t="s">
        <v>8</v>
      </c>
      <c r="OZ563" s="27" t="s">
        <v>7</v>
      </c>
      <c r="PE563" s="27" t="s">
        <v>8</v>
      </c>
      <c r="PF563" s="27" t="s">
        <v>7</v>
      </c>
      <c r="PU563" s="27" t="s">
        <v>8</v>
      </c>
      <c r="PV563" s="27" t="s">
        <v>7</v>
      </c>
    </row>
    <row r="564" spans="1:448" x14ac:dyDescent="0.25">
      <c r="A564" s="7">
        <v>1.5768992641913981</v>
      </c>
      <c r="B564"/>
      <c r="C564"/>
      <c r="D564"/>
      <c r="E564"/>
      <c r="NE564" s="27" t="s">
        <v>8</v>
      </c>
      <c r="NF564" s="27" t="s">
        <v>7</v>
      </c>
      <c r="OY564" s="27" t="s">
        <v>8</v>
      </c>
      <c r="OZ564" s="27" t="s">
        <v>7</v>
      </c>
      <c r="PE564" s="27" t="s">
        <v>8</v>
      </c>
      <c r="PF564" s="27" t="s">
        <v>7</v>
      </c>
      <c r="PU564" s="27" t="s">
        <v>8</v>
      </c>
      <c r="PV564" s="27" t="s">
        <v>7</v>
      </c>
    </row>
    <row r="565" spans="1:448" x14ac:dyDescent="0.25">
      <c r="A565" s="7">
        <v>1.5459796707758806</v>
      </c>
      <c r="B565"/>
      <c r="C565"/>
      <c r="D565"/>
      <c r="E565"/>
      <c r="NE565" s="27" t="s">
        <v>8</v>
      </c>
      <c r="NF565" s="27" t="s">
        <v>7</v>
      </c>
      <c r="OY565" s="27" t="s">
        <v>8</v>
      </c>
      <c r="OZ565" s="27" t="s">
        <v>7</v>
      </c>
      <c r="PE565" s="27" t="s">
        <v>8</v>
      </c>
      <c r="PF565" s="27" t="s">
        <v>7</v>
      </c>
      <c r="PU565" s="27" t="s">
        <v>8</v>
      </c>
      <c r="PV565" s="27" t="s">
        <v>7</v>
      </c>
    </row>
    <row r="566" spans="1:448" x14ac:dyDescent="0.25">
      <c r="A566" s="7">
        <v>1.5156663438979221</v>
      </c>
      <c r="B566"/>
      <c r="C566"/>
      <c r="D566"/>
      <c r="E566"/>
      <c r="NE566" s="27" t="s">
        <v>8</v>
      </c>
      <c r="NF566" s="27" t="s">
        <v>7</v>
      </c>
      <c r="OY566" s="27" t="s">
        <v>8</v>
      </c>
      <c r="OZ566" s="27" t="s">
        <v>7</v>
      </c>
      <c r="PE566" s="27" t="s">
        <v>8</v>
      </c>
      <c r="PF566" s="27" t="s">
        <v>7</v>
      </c>
      <c r="PU566" s="27" t="s">
        <v>8</v>
      </c>
      <c r="PV566" s="27" t="s">
        <v>7</v>
      </c>
    </row>
    <row r="567" spans="1:448" x14ac:dyDescent="0.25">
      <c r="A567" s="7">
        <v>1.4859473959783549</v>
      </c>
      <c r="B567"/>
      <c r="C567"/>
      <c r="D567"/>
      <c r="E567"/>
      <c r="MG567" s="27" t="s">
        <v>8</v>
      </c>
      <c r="NE567" s="27" t="s">
        <v>8</v>
      </c>
      <c r="NF567" s="27" t="s">
        <v>7</v>
      </c>
      <c r="OY567" s="27" t="s">
        <v>8</v>
      </c>
      <c r="OZ567" s="27" t="s">
        <v>7</v>
      </c>
      <c r="PE567" s="27" t="s">
        <v>8</v>
      </c>
      <c r="PF567" s="27" t="s">
        <v>7</v>
      </c>
      <c r="PU567" s="27" t="s">
        <v>8</v>
      </c>
      <c r="PV567" s="27" t="s">
        <v>7</v>
      </c>
    </row>
    <row r="568" spans="1:448" x14ac:dyDescent="0.25">
      <c r="A568" s="7">
        <v>1.4568111725277988</v>
      </c>
      <c r="B568"/>
      <c r="C568"/>
      <c r="D568"/>
      <c r="E568"/>
      <c r="MG568" s="27" t="s">
        <v>8</v>
      </c>
      <c r="MH568" s="27" t="s">
        <v>7</v>
      </c>
      <c r="NE568" s="27" t="s">
        <v>8</v>
      </c>
      <c r="NF568" s="27" t="s">
        <v>7</v>
      </c>
      <c r="OY568" s="27" t="s">
        <v>8</v>
      </c>
      <c r="OZ568" s="27" t="s">
        <v>7</v>
      </c>
      <c r="PE568" s="27" t="s">
        <v>8</v>
      </c>
      <c r="PF568" s="27" t="s">
        <v>7</v>
      </c>
      <c r="PS568" s="27" t="s">
        <v>8</v>
      </c>
      <c r="PU568" s="27" t="s">
        <v>8</v>
      </c>
      <c r="PV568" s="27" t="s">
        <v>7</v>
      </c>
    </row>
    <row r="569" spans="1:448" x14ac:dyDescent="0.25">
      <c r="A569" s="7">
        <v>1.4282462475762734</v>
      </c>
      <c r="B569"/>
      <c r="C569"/>
      <c r="D569"/>
      <c r="E569"/>
      <c r="MG569" s="27" t="s">
        <v>8</v>
      </c>
      <c r="MH569" s="27" t="s">
        <v>7</v>
      </c>
      <c r="MO569" s="27" t="s">
        <v>8</v>
      </c>
      <c r="NE569" s="27" t="s">
        <v>8</v>
      </c>
      <c r="NF569" s="27" t="s">
        <v>7</v>
      </c>
      <c r="OY569" s="27" t="s">
        <v>8</v>
      </c>
      <c r="OZ569" s="27" t="s">
        <v>7</v>
      </c>
      <c r="PE569" s="27" t="s">
        <v>8</v>
      </c>
      <c r="PF569" s="27" t="s">
        <v>7</v>
      </c>
      <c r="PS569" s="27" t="s">
        <v>8</v>
      </c>
      <c r="PT569" s="27" t="s">
        <v>7</v>
      </c>
      <c r="PU569" s="27" t="s">
        <v>8</v>
      </c>
      <c r="PV569" s="27" t="s">
        <v>7</v>
      </c>
    </row>
    <row r="570" spans="1:448" x14ac:dyDescent="0.25">
      <c r="A570" s="7">
        <v>1.4002414191924248</v>
      </c>
      <c r="B570"/>
      <c r="C570"/>
      <c r="D570"/>
      <c r="E570"/>
      <c r="MG570" s="27" t="s">
        <v>8</v>
      </c>
      <c r="MH570" s="27" t="s">
        <v>7</v>
      </c>
      <c r="MO570" s="27" t="s">
        <v>8</v>
      </c>
      <c r="MP570" s="27" t="s">
        <v>7</v>
      </c>
      <c r="NE570" s="27" t="s">
        <v>8</v>
      </c>
      <c r="NF570" s="27" t="s">
        <v>7</v>
      </c>
      <c r="OY570" s="27" t="s">
        <v>8</v>
      </c>
      <c r="OZ570" s="27" t="s">
        <v>7</v>
      </c>
      <c r="PE570" s="27" t="s">
        <v>8</v>
      </c>
      <c r="PF570" s="27" t="s">
        <v>7</v>
      </c>
      <c r="PS570" s="27" t="s">
        <v>8</v>
      </c>
      <c r="PT570" s="27" t="s">
        <v>7</v>
      </c>
      <c r="PU570" s="27" t="s">
        <v>8</v>
      </c>
      <c r="PV570" s="27" t="s">
        <v>7</v>
      </c>
    </row>
    <row r="571" spans="1:448" x14ac:dyDescent="0.25">
      <c r="A571" s="7">
        <v>1.3727857050906125</v>
      </c>
      <c r="B571"/>
      <c r="C571"/>
      <c r="D571"/>
      <c r="E571"/>
      <c r="MG571" s="27" t="s">
        <v>8</v>
      </c>
      <c r="MH571" s="27" t="s">
        <v>7</v>
      </c>
      <c r="MK571" s="27" t="s">
        <v>8</v>
      </c>
      <c r="MO571" s="27" t="s">
        <v>8</v>
      </c>
      <c r="MP571" s="27" t="s">
        <v>7</v>
      </c>
      <c r="NE571" s="27" t="s">
        <v>8</v>
      </c>
      <c r="NF571" s="27" t="s">
        <v>7</v>
      </c>
      <c r="OY571" s="27" t="s">
        <v>8</v>
      </c>
      <c r="OZ571" s="27" t="s">
        <v>7</v>
      </c>
      <c r="PE571" s="27" t="s">
        <v>8</v>
      </c>
      <c r="PF571" s="27" t="s">
        <v>7</v>
      </c>
      <c r="PS571" s="27" t="s">
        <v>8</v>
      </c>
      <c r="PT571" s="27" t="s">
        <v>7</v>
      </c>
      <c r="PU571" s="27" t="s">
        <v>8</v>
      </c>
      <c r="PV571" s="27" t="s">
        <v>7</v>
      </c>
    </row>
    <row r="572" spans="1:448" x14ac:dyDescent="0.25">
      <c r="A572" s="7">
        <v>1.3458683383241299</v>
      </c>
      <c r="B572"/>
      <c r="C572"/>
      <c r="D572"/>
      <c r="E572"/>
      <c r="MG572" s="27" t="s">
        <v>8</v>
      </c>
      <c r="MH572" s="27" t="s">
        <v>7</v>
      </c>
      <c r="MK572" s="27" t="s">
        <v>8</v>
      </c>
      <c r="ML572" s="27" t="s">
        <v>7</v>
      </c>
      <c r="MO572" s="27" t="s">
        <v>8</v>
      </c>
      <c r="MP572" s="27" t="s">
        <v>7</v>
      </c>
      <c r="NE572" s="27" t="s">
        <v>8</v>
      </c>
      <c r="NF572" s="27" t="s">
        <v>7</v>
      </c>
      <c r="OY572" s="27" t="s">
        <v>8</v>
      </c>
      <c r="OZ572" s="27" t="s">
        <v>7</v>
      </c>
      <c r="PE572" s="27" t="s">
        <v>8</v>
      </c>
      <c r="PF572" s="27" t="s">
        <v>7</v>
      </c>
      <c r="PS572" s="27" t="s">
        <v>8</v>
      </c>
      <c r="PT572" s="27" t="s">
        <v>7</v>
      </c>
      <c r="PU572" s="27" t="s">
        <v>8</v>
      </c>
      <c r="PV572" s="27" t="s">
        <v>7</v>
      </c>
    </row>
    <row r="573" spans="1:448" x14ac:dyDescent="0.25">
      <c r="A573" s="7">
        <v>1.3194787630628724</v>
      </c>
      <c r="B573"/>
      <c r="C573"/>
      <c r="D573"/>
      <c r="E573"/>
      <c r="MG573" s="27" t="s">
        <v>8</v>
      </c>
      <c r="MH573" s="27" t="s">
        <v>7</v>
      </c>
      <c r="MK573" s="27" t="s">
        <v>8</v>
      </c>
      <c r="ML573" s="27" t="s">
        <v>7</v>
      </c>
      <c r="MM573" s="27" t="s">
        <v>8</v>
      </c>
      <c r="MO573" s="27" t="s">
        <v>8</v>
      </c>
      <c r="MP573" s="27" t="s">
        <v>7</v>
      </c>
      <c r="MQ573" s="27" t="s">
        <v>8</v>
      </c>
      <c r="NE573" s="27" t="s">
        <v>8</v>
      </c>
      <c r="NF573" s="27" t="s">
        <v>7</v>
      </c>
      <c r="OY573" s="27" t="s">
        <v>8</v>
      </c>
      <c r="OZ573" s="27" t="s">
        <v>7</v>
      </c>
      <c r="PE573" s="27" t="s">
        <v>8</v>
      </c>
      <c r="PF573" s="27" t="s">
        <v>7</v>
      </c>
      <c r="PS573" s="27" t="s">
        <v>8</v>
      </c>
      <c r="PT573" s="27" t="s">
        <v>7</v>
      </c>
      <c r="PU573" s="27" t="s">
        <v>8</v>
      </c>
      <c r="PV573" s="27" t="s">
        <v>7</v>
      </c>
      <c r="PY573" s="27" t="s">
        <v>8</v>
      </c>
      <c r="QA573" s="27" t="s">
        <v>8</v>
      </c>
    </row>
    <row r="574" spans="1:448" x14ac:dyDescent="0.25">
      <c r="A574" s="7">
        <v>1.2936066304537963</v>
      </c>
      <c r="B574"/>
      <c r="C574"/>
      <c r="D574"/>
      <c r="E574"/>
      <c r="MG574" s="27" t="s">
        <v>8</v>
      </c>
      <c r="MH574" s="27" t="s">
        <v>7</v>
      </c>
      <c r="MK574" s="27" t="s">
        <v>8</v>
      </c>
      <c r="ML574" s="27" t="s">
        <v>7</v>
      </c>
      <c r="MM574" s="27" t="s">
        <v>8</v>
      </c>
      <c r="MN574" s="27" t="s">
        <v>7</v>
      </c>
      <c r="MO574" s="27" t="s">
        <v>8</v>
      </c>
      <c r="MP574" s="27" t="s">
        <v>7</v>
      </c>
      <c r="MQ574" s="27" t="s">
        <v>8</v>
      </c>
      <c r="MR574" s="27" t="s">
        <v>7</v>
      </c>
      <c r="NE574" s="27" t="s">
        <v>8</v>
      </c>
      <c r="NF574" s="27" t="s">
        <v>7</v>
      </c>
      <c r="NI574" s="27" t="s">
        <v>8</v>
      </c>
      <c r="OY574" s="27" t="s">
        <v>8</v>
      </c>
      <c r="OZ574" s="27" t="s">
        <v>7</v>
      </c>
      <c r="PE574" s="27" t="s">
        <v>8</v>
      </c>
      <c r="PF574" s="27" t="s">
        <v>7</v>
      </c>
      <c r="PQ574" s="27" t="s">
        <v>8</v>
      </c>
      <c r="PS574" s="27" t="s">
        <v>8</v>
      </c>
      <c r="PT574" s="27" t="s">
        <v>7</v>
      </c>
      <c r="PV574" s="27" t="s">
        <v>7</v>
      </c>
      <c r="PY574" s="27" t="s">
        <v>8</v>
      </c>
      <c r="PZ574" s="27" t="s">
        <v>7</v>
      </c>
      <c r="QA574" s="27" t="s">
        <v>8</v>
      </c>
      <c r="QB574" s="27" t="s">
        <v>7</v>
      </c>
      <c r="QC574" s="27" t="s">
        <v>8</v>
      </c>
    </row>
    <row r="575" spans="1:448" x14ac:dyDescent="0.25">
      <c r="A575" s="7">
        <v>1.2682417945625455</v>
      </c>
      <c r="B575"/>
      <c r="C575"/>
      <c r="D575"/>
      <c r="E575"/>
      <c r="MG575" s="27" t="s">
        <v>8</v>
      </c>
      <c r="MH575" s="27" t="s">
        <v>7</v>
      </c>
      <c r="MK575" s="27" t="s">
        <v>8</v>
      </c>
      <c r="ML575" s="27" t="s">
        <v>7</v>
      </c>
      <c r="MM575" s="27" t="s">
        <v>8</v>
      </c>
      <c r="MN575" s="27" t="s">
        <v>7</v>
      </c>
      <c r="MO575" s="27" t="s">
        <v>8</v>
      </c>
      <c r="MP575" s="27" t="s">
        <v>7</v>
      </c>
      <c r="MQ575" s="27" t="s">
        <v>8</v>
      </c>
      <c r="MR575" s="27" t="s">
        <v>7</v>
      </c>
      <c r="NE575" s="27" t="s">
        <v>8</v>
      </c>
      <c r="NF575" s="27" t="s">
        <v>7</v>
      </c>
      <c r="NI575" s="27" t="s">
        <v>8</v>
      </c>
      <c r="NJ575" s="27" t="s">
        <v>7</v>
      </c>
      <c r="OY575" s="27" t="s">
        <v>8</v>
      </c>
      <c r="OZ575" s="27" t="s">
        <v>7</v>
      </c>
      <c r="PC575" s="27" t="s">
        <v>8</v>
      </c>
      <c r="PE575" s="27" t="s">
        <v>8</v>
      </c>
      <c r="PF575" s="27" t="s">
        <v>7</v>
      </c>
      <c r="PQ575" s="27" t="s">
        <v>8</v>
      </c>
      <c r="PR575" s="27" t="s">
        <v>7</v>
      </c>
      <c r="PS575" s="27" t="s">
        <v>8</v>
      </c>
      <c r="PV575" s="27" t="s">
        <v>7</v>
      </c>
      <c r="PW575" s="27" t="s">
        <v>8</v>
      </c>
      <c r="PY575" s="27" t="s">
        <v>8</v>
      </c>
      <c r="PZ575" s="27" t="s">
        <v>7</v>
      </c>
      <c r="QA575" s="27" t="s">
        <v>8</v>
      </c>
      <c r="QB575" s="27" t="s">
        <v>7</v>
      </c>
      <c r="QC575" s="27" t="s">
        <v>8</v>
      </c>
      <c r="QD575" s="27" t="s">
        <v>7</v>
      </c>
      <c r="QE575" s="27" t="s">
        <v>8</v>
      </c>
    </row>
    <row r="576" spans="1:448" x14ac:dyDescent="0.25">
      <c r="A576" s="7">
        <v>1.2433743083946525</v>
      </c>
      <c r="B576"/>
      <c r="C576"/>
      <c r="D576"/>
      <c r="E576"/>
      <c r="MG576" s="27" t="s">
        <v>8</v>
      </c>
      <c r="MH576" s="27" t="s">
        <v>7</v>
      </c>
      <c r="MK576" s="27" t="s">
        <v>8</v>
      </c>
      <c r="ML576" s="27" t="s">
        <v>7</v>
      </c>
      <c r="MM576" s="27" t="s">
        <v>8</v>
      </c>
      <c r="MN576" s="27" t="s">
        <v>7</v>
      </c>
      <c r="MO576" s="27" t="s">
        <v>8</v>
      </c>
      <c r="MP576" s="27" t="s">
        <v>7</v>
      </c>
      <c r="MQ576" s="27" t="s">
        <v>8</v>
      </c>
      <c r="MR576" s="27" t="s">
        <v>7</v>
      </c>
      <c r="NE576" s="27" t="s">
        <v>8</v>
      </c>
      <c r="NF576" s="27" t="s">
        <v>7</v>
      </c>
      <c r="NI576" s="27" t="s">
        <v>8</v>
      </c>
      <c r="NJ576" s="27" t="s">
        <v>7</v>
      </c>
      <c r="NO576" s="27" t="s">
        <v>8</v>
      </c>
      <c r="OY576" s="27" t="s">
        <v>8</v>
      </c>
      <c r="OZ576" s="27" t="s">
        <v>7</v>
      </c>
      <c r="PC576" s="27" t="s">
        <v>8</v>
      </c>
      <c r="PD576" s="27" t="s">
        <v>7</v>
      </c>
      <c r="PE576" s="27" t="s">
        <v>8</v>
      </c>
      <c r="PF576" s="27" t="s">
        <v>7</v>
      </c>
      <c r="PK576" s="27" t="s">
        <v>8</v>
      </c>
      <c r="PQ576" s="27" t="s">
        <v>8</v>
      </c>
      <c r="PR576" s="27" t="s">
        <v>7</v>
      </c>
      <c r="PS576" s="27" t="s">
        <v>8</v>
      </c>
      <c r="PV576" s="27" t="s">
        <v>7</v>
      </c>
      <c r="PW576" s="27" t="s">
        <v>8</v>
      </c>
      <c r="PX576" s="27" t="s">
        <v>7</v>
      </c>
      <c r="PY576" s="27" t="s">
        <v>8</v>
      </c>
      <c r="PZ576" s="27" t="s">
        <v>7</v>
      </c>
      <c r="QA576" s="27" t="s">
        <v>8</v>
      </c>
      <c r="QB576" s="27" t="s">
        <v>7</v>
      </c>
      <c r="QC576" s="27" t="s">
        <v>8</v>
      </c>
      <c r="QD576" s="27" t="s">
        <v>7</v>
      </c>
      <c r="QE576" s="27" t="s">
        <v>8</v>
      </c>
      <c r="QF576" s="27" t="s">
        <v>7</v>
      </c>
    </row>
    <row r="577" spans="1:467" x14ac:dyDescent="0.25">
      <c r="A577" s="7">
        <v>1.2189944199947573</v>
      </c>
      <c r="B577"/>
      <c r="C577"/>
      <c r="D577"/>
      <c r="E577"/>
      <c r="MG577" s="27" t="s">
        <v>8</v>
      </c>
      <c r="MH577" s="27" t="s">
        <v>7</v>
      </c>
      <c r="MI577" s="27" t="s">
        <v>8</v>
      </c>
      <c r="MK577" s="27" t="s">
        <v>8</v>
      </c>
      <c r="ML577" s="27" t="s">
        <v>7</v>
      </c>
      <c r="MM577" s="27" t="s">
        <v>8</v>
      </c>
      <c r="MN577" s="27" t="s">
        <v>7</v>
      </c>
      <c r="MO577" s="27" t="s">
        <v>8</v>
      </c>
      <c r="MP577" s="27" t="s">
        <v>7</v>
      </c>
      <c r="MQ577" s="27" t="s">
        <v>8</v>
      </c>
      <c r="MR577" s="27" t="s">
        <v>7</v>
      </c>
      <c r="NE577" s="27" t="s">
        <v>8</v>
      </c>
      <c r="NF577" s="27" t="s">
        <v>7</v>
      </c>
      <c r="NI577" s="27" t="s">
        <v>8</v>
      </c>
      <c r="NJ577" s="27" t="s">
        <v>7</v>
      </c>
      <c r="NO577" s="27" t="s">
        <v>8</v>
      </c>
      <c r="NP577" s="27" t="s">
        <v>7</v>
      </c>
      <c r="OY577" s="27" t="s">
        <v>8</v>
      </c>
      <c r="OZ577" s="27" t="s">
        <v>7</v>
      </c>
      <c r="PC577" s="27" t="s">
        <v>8</v>
      </c>
      <c r="PD577" s="27" t="s">
        <v>7</v>
      </c>
      <c r="PE577" s="27" t="s">
        <v>8</v>
      </c>
      <c r="PF577" s="27" t="s">
        <v>7</v>
      </c>
      <c r="PK577" s="27" t="s">
        <v>8</v>
      </c>
      <c r="PL577" s="27" t="s">
        <v>7</v>
      </c>
      <c r="PM577" s="27" t="s">
        <v>8</v>
      </c>
      <c r="PQ577" s="27" t="s">
        <v>8</v>
      </c>
      <c r="PR577" s="27" t="s">
        <v>7</v>
      </c>
      <c r="PS577" s="27" t="s">
        <v>8</v>
      </c>
      <c r="PV577" s="27" t="s">
        <v>7</v>
      </c>
      <c r="PW577" s="27" t="s">
        <v>8</v>
      </c>
      <c r="PX577" s="27" t="s">
        <v>7</v>
      </c>
      <c r="PY577" s="27" t="s">
        <v>8</v>
      </c>
      <c r="PZ577" s="27" t="s">
        <v>7</v>
      </c>
      <c r="QA577" s="27" t="s">
        <v>8</v>
      </c>
      <c r="QB577" s="27" t="s">
        <v>7</v>
      </c>
      <c r="QC577" s="27" t="s">
        <v>8</v>
      </c>
      <c r="QD577" s="27" t="s">
        <v>7</v>
      </c>
      <c r="QE577" s="27" t="s">
        <v>8</v>
      </c>
      <c r="QF577" s="27" t="s">
        <v>7</v>
      </c>
      <c r="QI577" s="27" t="s">
        <v>8</v>
      </c>
      <c r="QK577" s="27" t="s">
        <v>8</v>
      </c>
    </row>
    <row r="578" spans="1:467" x14ac:dyDescent="0.25">
      <c r="A578" s="7">
        <v>1.1950925686223111</v>
      </c>
      <c r="B578"/>
      <c r="C578"/>
      <c r="D578"/>
      <c r="E578"/>
      <c r="MG578" s="27" t="s">
        <v>8</v>
      </c>
      <c r="MH578" s="27" t="s">
        <v>7</v>
      </c>
      <c r="MI578" s="27" t="s">
        <v>8</v>
      </c>
      <c r="MJ578" s="27" t="s">
        <v>7</v>
      </c>
      <c r="MK578" s="27" t="s">
        <v>8</v>
      </c>
      <c r="ML578" s="27" t="s">
        <v>7</v>
      </c>
      <c r="MM578" s="27" t="s">
        <v>8</v>
      </c>
      <c r="MN578" s="27" t="s">
        <v>7</v>
      </c>
      <c r="MO578" s="27" t="s">
        <v>8</v>
      </c>
      <c r="MP578" s="27" t="s">
        <v>7</v>
      </c>
      <c r="MQ578" s="27" t="s">
        <v>8</v>
      </c>
      <c r="MR578" s="27" t="s">
        <v>7</v>
      </c>
      <c r="NA578" s="27" t="s">
        <v>8</v>
      </c>
      <c r="NE578" s="27" t="s">
        <v>8</v>
      </c>
      <c r="NF578" s="27" t="s">
        <v>7</v>
      </c>
      <c r="NI578" s="27" t="s">
        <v>8</v>
      </c>
      <c r="NJ578" s="27" t="s">
        <v>7</v>
      </c>
      <c r="NO578" s="27" t="s">
        <v>8</v>
      </c>
      <c r="NP578" s="27" t="s">
        <v>7</v>
      </c>
      <c r="OY578" s="27" t="s">
        <v>8</v>
      </c>
      <c r="OZ578" s="27" t="s">
        <v>7</v>
      </c>
      <c r="PA578" s="27" t="s">
        <v>8</v>
      </c>
      <c r="PC578" s="27" t="s">
        <v>8</v>
      </c>
      <c r="PD578" s="27" t="s">
        <v>7</v>
      </c>
      <c r="PE578" s="27" t="s">
        <v>8</v>
      </c>
      <c r="PF578" s="27" t="s">
        <v>7</v>
      </c>
      <c r="PK578" s="27" t="s">
        <v>8</v>
      </c>
      <c r="PL578" s="27" t="s">
        <v>7</v>
      </c>
      <c r="PM578" s="27" t="s">
        <v>8</v>
      </c>
      <c r="PN578" s="27" t="s">
        <v>7</v>
      </c>
      <c r="PQ578" s="27" t="s">
        <v>8</v>
      </c>
      <c r="PR578" s="27" t="s">
        <v>7</v>
      </c>
      <c r="PV578" s="27" t="s">
        <v>7</v>
      </c>
      <c r="PW578" s="27" t="s">
        <v>8</v>
      </c>
      <c r="PX578" s="27" t="s">
        <v>7</v>
      </c>
      <c r="PY578" s="27" t="s">
        <v>8</v>
      </c>
      <c r="PZ578" s="27" t="s">
        <v>7</v>
      </c>
      <c r="QA578" s="27" t="s">
        <v>8</v>
      </c>
      <c r="QB578" s="27" t="s">
        <v>7</v>
      </c>
      <c r="QD578" s="27" t="s">
        <v>7</v>
      </c>
      <c r="QF578" s="27" t="s">
        <v>7</v>
      </c>
      <c r="QG578" s="27" t="s">
        <v>8</v>
      </c>
      <c r="QI578" s="27" t="s">
        <v>8</v>
      </c>
      <c r="QJ578" s="27" t="s">
        <v>7</v>
      </c>
      <c r="QK578" s="27" t="s">
        <v>8</v>
      </c>
      <c r="QL578" s="27" t="s">
        <v>7</v>
      </c>
    </row>
    <row r="579" spans="1:467" x14ac:dyDescent="0.25">
      <c r="A579" s="7">
        <v>1.1716593810022657</v>
      </c>
      <c r="B579"/>
      <c r="C579"/>
      <c r="D579"/>
      <c r="E579"/>
      <c r="MG579" s="27" t="s">
        <v>8</v>
      </c>
      <c r="MH579" s="27" t="s">
        <v>7</v>
      </c>
      <c r="MI579" s="27" t="s">
        <v>8</v>
      </c>
      <c r="MJ579" s="27" t="s">
        <v>7</v>
      </c>
      <c r="MK579" s="27" t="s">
        <v>8</v>
      </c>
      <c r="ML579" s="27" t="s">
        <v>7</v>
      </c>
      <c r="MM579" s="27" t="s">
        <v>8</v>
      </c>
      <c r="MN579" s="27" t="s">
        <v>7</v>
      </c>
      <c r="MO579" s="27" t="s">
        <v>8</v>
      </c>
      <c r="MP579" s="27" t="s">
        <v>7</v>
      </c>
      <c r="MQ579" s="27" t="s">
        <v>8</v>
      </c>
      <c r="MR579" s="27" t="s">
        <v>7</v>
      </c>
      <c r="NA579" s="27" t="s">
        <v>8</v>
      </c>
      <c r="NB579" s="27" t="s">
        <v>7</v>
      </c>
      <c r="NE579" s="27" t="s">
        <v>8</v>
      </c>
      <c r="NF579" s="27" t="s">
        <v>7</v>
      </c>
      <c r="NI579" s="27" t="s">
        <v>8</v>
      </c>
      <c r="NJ579" s="27" t="s">
        <v>7</v>
      </c>
      <c r="NO579" s="27" t="s">
        <v>8</v>
      </c>
      <c r="NP579" s="27" t="s">
        <v>7</v>
      </c>
      <c r="OY579" s="27" t="s">
        <v>8</v>
      </c>
      <c r="OZ579" s="27" t="s">
        <v>7</v>
      </c>
      <c r="PA579" s="27" t="s">
        <v>8</v>
      </c>
      <c r="PB579" s="27" t="s">
        <v>7</v>
      </c>
      <c r="PC579" s="27" t="s">
        <v>8</v>
      </c>
      <c r="PD579" s="27" t="s">
        <v>7</v>
      </c>
      <c r="PE579" s="27" t="s">
        <v>8</v>
      </c>
      <c r="PF579" s="27" t="s">
        <v>7</v>
      </c>
      <c r="PG579" s="27" t="s">
        <v>8</v>
      </c>
      <c r="PK579" s="27" t="s">
        <v>8</v>
      </c>
      <c r="PL579" s="27" t="s">
        <v>7</v>
      </c>
      <c r="PM579" s="27" t="s">
        <v>8</v>
      </c>
      <c r="PN579" s="27" t="s">
        <v>7</v>
      </c>
      <c r="PQ579" s="27" t="s">
        <v>8</v>
      </c>
      <c r="PV579" s="27" t="s">
        <v>7</v>
      </c>
      <c r="PW579" s="27" t="s">
        <v>8</v>
      </c>
      <c r="PX579" s="27" t="s">
        <v>7</v>
      </c>
      <c r="PY579" s="27" t="s">
        <v>8</v>
      </c>
      <c r="PZ579" s="27" t="s">
        <v>7</v>
      </c>
      <c r="QA579" s="27" t="s">
        <v>8</v>
      </c>
      <c r="QF579" s="27" t="s">
        <v>7</v>
      </c>
      <c r="QG579" s="27" t="s">
        <v>8</v>
      </c>
      <c r="QH579" s="27" t="s">
        <v>7</v>
      </c>
      <c r="QI579" s="27" t="s">
        <v>8</v>
      </c>
      <c r="QJ579" s="27" t="s">
        <v>7</v>
      </c>
      <c r="QK579" s="27" t="s">
        <v>8</v>
      </c>
      <c r="QL579" s="27" t="s">
        <v>7</v>
      </c>
    </row>
    <row r="580" spans="1:467" x14ac:dyDescent="0.25">
      <c r="A580" s="7">
        <v>1.14868566764928</v>
      </c>
      <c r="B580"/>
      <c r="C580"/>
      <c r="D580"/>
      <c r="E580"/>
      <c r="MG580" s="27" t="s">
        <v>8</v>
      </c>
      <c r="MH580" s="27" t="s">
        <v>7</v>
      </c>
      <c r="MI580" s="27" t="s">
        <v>8</v>
      </c>
      <c r="MJ580" s="27" t="s">
        <v>7</v>
      </c>
      <c r="MK580" s="27" t="s">
        <v>8</v>
      </c>
      <c r="ML580" s="27" t="s">
        <v>7</v>
      </c>
      <c r="MM580" s="27" t="s">
        <v>8</v>
      </c>
      <c r="MN580" s="27" t="s">
        <v>7</v>
      </c>
      <c r="MO580" s="27" t="s">
        <v>8</v>
      </c>
      <c r="MP580" s="27" t="s">
        <v>7</v>
      </c>
      <c r="MQ580" s="27" t="s">
        <v>8</v>
      </c>
      <c r="MR580" s="27" t="s">
        <v>7</v>
      </c>
      <c r="NA580" s="27" t="s">
        <v>8</v>
      </c>
      <c r="NB580" s="27" t="s">
        <v>7</v>
      </c>
      <c r="NE580" s="27" t="s">
        <v>8</v>
      </c>
      <c r="NF580" s="27" t="s">
        <v>7</v>
      </c>
      <c r="NG580" s="27" t="s">
        <v>8</v>
      </c>
      <c r="NI580" s="27" t="s">
        <v>8</v>
      </c>
      <c r="NJ580" s="27" t="s">
        <v>7</v>
      </c>
      <c r="NM580" s="27" t="s">
        <v>8</v>
      </c>
      <c r="NO580" s="27" t="s">
        <v>8</v>
      </c>
      <c r="NP580" s="27" t="s">
        <v>7</v>
      </c>
      <c r="OY580" s="27" t="s">
        <v>8</v>
      </c>
      <c r="OZ580" s="27" t="s">
        <v>7</v>
      </c>
      <c r="PA580" s="27" t="s">
        <v>8</v>
      </c>
      <c r="PB580" s="27" t="s">
        <v>7</v>
      </c>
      <c r="PC580" s="27" t="s">
        <v>8</v>
      </c>
      <c r="PD580" s="27" t="s">
        <v>7</v>
      </c>
      <c r="PE580" s="27" t="s">
        <v>8</v>
      </c>
      <c r="PF580" s="27" t="s">
        <v>7</v>
      </c>
      <c r="PG580" s="27" t="s">
        <v>8</v>
      </c>
      <c r="PH580" s="27" t="s">
        <v>7</v>
      </c>
      <c r="PI580" s="27" t="s">
        <v>8</v>
      </c>
      <c r="PK580" s="27" t="s">
        <v>8</v>
      </c>
      <c r="PL580" s="27" t="s">
        <v>7</v>
      </c>
      <c r="PM580" s="27" t="s">
        <v>8</v>
      </c>
      <c r="PN580" s="27" t="s">
        <v>7</v>
      </c>
      <c r="PQ580" s="27" t="s">
        <v>8</v>
      </c>
      <c r="PV580" s="27" t="s">
        <v>7</v>
      </c>
      <c r="PW580" s="27" t="s">
        <v>8</v>
      </c>
      <c r="PX580" s="27" t="s">
        <v>7</v>
      </c>
      <c r="PY580" s="27" t="s">
        <v>8</v>
      </c>
      <c r="PZ580" s="27" t="s">
        <v>7</v>
      </c>
      <c r="QA580" s="27" t="s">
        <v>8</v>
      </c>
      <c r="QF580" s="27" t="s">
        <v>7</v>
      </c>
      <c r="QG580" s="27" t="s">
        <v>8</v>
      </c>
      <c r="QH580" s="27" t="s">
        <v>7</v>
      </c>
      <c r="QI580" s="27" t="s">
        <v>8</v>
      </c>
      <c r="QJ580" s="27" t="s">
        <v>7</v>
      </c>
      <c r="QK580" s="27" t="s">
        <v>8</v>
      </c>
      <c r="QL580" s="27" t="s">
        <v>7</v>
      </c>
      <c r="QO580" s="27" t="s">
        <v>8</v>
      </c>
    </row>
    <row r="581" spans="1:467" x14ac:dyDescent="0.25">
      <c r="A581" s="7">
        <v>1.1261624192640001</v>
      </c>
      <c r="B581"/>
      <c r="C581"/>
      <c r="D581"/>
      <c r="E581"/>
      <c r="LI581" s="27" t="s">
        <v>8</v>
      </c>
      <c r="MG581" s="27" t="s">
        <v>8</v>
      </c>
      <c r="MH581" s="27" t="s">
        <v>7</v>
      </c>
      <c r="MI581" s="27" t="s">
        <v>8</v>
      </c>
      <c r="MJ581" s="27" t="s">
        <v>7</v>
      </c>
      <c r="MK581" s="27" t="s">
        <v>8</v>
      </c>
      <c r="ML581" s="27" t="s">
        <v>7</v>
      </c>
      <c r="MM581" s="27" t="s">
        <v>8</v>
      </c>
      <c r="MN581" s="27" t="s">
        <v>7</v>
      </c>
      <c r="MO581" s="27" t="s">
        <v>8</v>
      </c>
      <c r="MP581" s="27" t="s">
        <v>7</v>
      </c>
      <c r="MQ581" s="27" t="s">
        <v>8</v>
      </c>
      <c r="MR581" s="27" t="s">
        <v>7</v>
      </c>
      <c r="MS581" s="27" t="s">
        <v>8</v>
      </c>
      <c r="NA581" s="27" t="s">
        <v>8</v>
      </c>
      <c r="NB581" s="27" t="s">
        <v>7</v>
      </c>
      <c r="NE581" s="27" t="s">
        <v>8</v>
      </c>
      <c r="NF581" s="27" t="s">
        <v>7</v>
      </c>
      <c r="NG581" s="27" t="s">
        <v>8</v>
      </c>
      <c r="NH581" s="27" t="s">
        <v>7</v>
      </c>
      <c r="NI581" s="27" t="s">
        <v>8</v>
      </c>
      <c r="NJ581" s="27" t="s">
        <v>7</v>
      </c>
      <c r="NM581" s="27" t="s">
        <v>8</v>
      </c>
      <c r="NN581" s="27" t="s">
        <v>7</v>
      </c>
      <c r="NO581" s="27" t="s">
        <v>8</v>
      </c>
      <c r="NP581" s="27" t="s">
        <v>7</v>
      </c>
      <c r="OY581" s="27" t="s">
        <v>8</v>
      </c>
      <c r="OZ581" s="27" t="s">
        <v>7</v>
      </c>
      <c r="PA581" s="27" t="s">
        <v>8</v>
      </c>
      <c r="PB581" s="27" t="s">
        <v>7</v>
      </c>
      <c r="PC581" s="27" t="s">
        <v>8</v>
      </c>
      <c r="PD581" s="27" t="s">
        <v>7</v>
      </c>
      <c r="PE581" s="27" t="s">
        <v>8</v>
      </c>
      <c r="PF581" s="27" t="s">
        <v>7</v>
      </c>
      <c r="PG581" s="27" t="s">
        <v>8</v>
      </c>
      <c r="PH581" s="27" t="s">
        <v>7</v>
      </c>
      <c r="PI581" s="27" t="s">
        <v>8</v>
      </c>
      <c r="PJ581" s="27" t="s">
        <v>7</v>
      </c>
      <c r="PK581" s="27" t="s">
        <v>8</v>
      </c>
      <c r="PL581" s="27" t="s">
        <v>7</v>
      </c>
      <c r="PM581" s="27" t="s">
        <v>8</v>
      </c>
      <c r="PN581" s="27" t="s">
        <v>7</v>
      </c>
      <c r="PQ581" s="27" t="s">
        <v>8</v>
      </c>
      <c r="PV581" s="27" t="s">
        <v>7</v>
      </c>
      <c r="PX581" s="27" t="s">
        <v>7</v>
      </c>
      <c r="PY581" s="27" t="s">
        <v>8</v>
      </c>
      <c r="PZ581" s="27" t="s">
        <v>7</v>
      </c>
      <c r="QA581" s="27" t="s">
        <v>8</v>
      </c>
      <c r="QF581" s="27" t="s">
        <v>7</v>
      </c>
      <c r="QH581" s="27" t="s">
        <v>7</v>
      </c>
      <c r="QI581" s="27" t="s">
        <v>8</v>
      </c>
      <c r="QJ581" s="27" t="s">
        <v>7</v>
      </c>
      <c r="QK581" s="27" t="s">
        <v>8</v>
      </c>
      <c r="QL581" s="27" t="s">
        <v>7</v>
      </c>
      <c r="QM581" s="27" t="s">
        <v>8</v>
      </c>
      <c r="QO581" s="27" t="s">
        <v>8</v>
      </c>
      <c r="QP581" s="27" t="s">
        <v>7</v>
      </c>
    </row>
    <row r="582" spans="1:467" x14ac:dyDescent="0.25">
      <c r="A582" s="7">
        <v>1.1040808032</v>
      </c>
      <c r="B582"/>
      <c r="C582"/>
      <c r="D582"/>
      <c r="E582"/>
      <c r="LI582" s="27" t="s">
        <v>8</v>
      </c>
      <c r="LJ582" s="27" t="s">
        <v>7</v>
      </c>
      <c r="MG582" s="27" t="s">
        <v>8</v>
      </c>
      <c r="MH582" s="27" t="s">
        <v>7</v>
      </c>
      <c r="MI582" s="27" t="s">
        <v>8</v>
      </c>
      <c r="MJ582" s="27" t="s">
        <v>7</v>
      </c>
      <c r="MK582" s="27" t="s">
        <v>8</v>
      </c>
      <c r="ML582" s="27" t="s">
        <v>7</v>
      </c>
      <c r="MN582" s="27" t="s">
        <v>7</v>
      </c>
      <c r="MO582" s="27" t="s">
        <v>8</v>
      </c>
      <c r="MP582" s="27" t="s">
        <v>7</v>
      </c>
      <c r="MQ582" s="27" t="s">
        <v>8</v>
      </c>
      <c r="MR582" s="27" t="s">
        <v>7</v>
      </c>
      <c r="MS582" s="27" t="s">
        <v>8</v>
      </c>
      <c r="MT582" s="27" t="s">
        <v>7</v>
      </c>
      <c r="MW582" s="27" t="s">
        <v>8</v>
      </c>
      <c r="NA582" s="27" t="s">
        <v>8</v>
      </c>
      <c r="NB582" s="27" t="s">
        <v>7</v>
      </c>
      <c r="NE582" s="27" t="s">
        <v>8</v>
      </c>
      <c r="NF582" s="27" t="s">
        <v>7</v>
      </c>
      <c r="NG582" s="27" t="s">
        <v>8</v>
      </c>
      <c r="NH582" s="27" t="s">
        <v>7</v>
      </c>
      <c r="NI582" s="27" t="s">
        <v>8</v>
      </c>
      <c r="NJ582" s="27" t="s">
        <v>7</v>
      </c>
      <c r="NM582" s="27" t="s">
        <v>8</v>
      </c>
      <c r="NN582" s="27" t="s">
        <v>7</v>
      </c>
      <c r="NO582" s="27" t="s">
        <v>8</v>
      </c>
      <c r="NP582" s="27" t="s">
        <v>7</v>
      </c>
      <c r="OY582" s="27" t="s">
        <v>8</v>
      </c>
      <c r="OZ582" s="27" t="s">
        <v>7</v>
      </c>
      <c r="PA582" s="27" t="s">
        <v>8</v>
      </c>
      <c r="PB582" s="27" t="s">
        <v>7</v>
      </c>
      <c r="PC582" s="27" t="s">
        <v>8</v>
      </c>
      <c r="PD582" s="27" t="s">
        <v>7</v>
      </c>
      <c r="PE582" s="27" t="s">
        <v>8</v>
      </c>
      <c r="PF582" s="27" t="s">
        <v>7</v>
      </c>
      <c r="PG582" s="27" t="s">
        <v>8</v>
      </c>
      <c r="PH582" s="27" t="s">
        <v>7</v>
      </c>
      <c r="PI582" s="27" t="s">
        <v>8</v>
      </c>
      <c r="PJ582" s="27" t="s">
        <v>7</v>
      </c>
      <c r="PK582" s="27" t="s">
        <v>8</v>
      </c>
      <c r="PL582" s="27" t="s">
        <v>7</v>
      </c>
      <c r="PM582" s="27" t="s">
        <v>8</v>
      </c>
      <c r="PN582" s="27" t="s">
        <v>7</v>
      </c>
      <c r="PO582" s="27" t="s">
        <v>8</v>
      </c>
      <c r="PQ582" s="27" t="s">
        <v>8</v>
      </c>
      <c r="PX582" s="27" t="s">
        <v>7</v>
      </c>
      <c r="PZ582" s="27" t="s">
        <v>7</v>
      </c>
      <c r="QA582" s="27" t="s">
        <v>8</v>
      </c>
      <c r="QH582" s="27" t="s">
        <v>7</v>
      </c>
      <c r="QJ582" s="27" t="s">
        <v>7</v>
      </c>
      <c r="QK582" s="27" t="s">
        <v>8</v>
      </c>
      <c r="QL582" s="27" t="s">
        <v>7</v>
      </c>
      <c r="QM582" s="27" t="s">
        <v>8</v>
      </c>
      <c r="QN582" s="27" t="s">
        <v>7</v>
      </c>
      <c r="QO582" s="27" t="s">
        <v>8</v>
      </c>
      <c r="QP582" s="27" t="s">
        <v>7</v>
      </c>
    </row>
    <row r="583" spans="1:467" x14ac:dyDescent="0.25">
      <c r="A583" s="7">
        <v>1.08243216</v>
      </c>
      <c r="B583"/>
      <c r="C583"/>
      <c r="D583"/>
      <c r="E583"/>
      <c r="LI583" s="27" t="s">
        <v>8</v>
      </c>
      <c r="LJ583" s="27" t="s">
        <v>7</v>
      </c>
      <c r="MG583" s="27" t="s">
        <v>8</v>
      </c>
      <c r="MH583" s="27" t="s">
        <v>7</v>
      </c>
      <c r="MJ583" s="27" t="s">
        <v>7</v>
      </c>
      <c r="MK583" s="27" t="s">
        <v>8</v>
      </c>
      <c r="MN583" s="27" t="s">
        <v>7</v>
      </c>
      <c r="MO583" s="27" t="s">
        <v>8</v>
      </c>
      <c r="MP583" s="27" t="s">
        <v>7</v>
      </c>
      <c r="MQ583" s="27" t="s">
        <v>8</v>
      </c>
      <c r="MR583" s="27" t="s">
        <v>7</v>
      </c>
      <c r="MS583" s="27" t="s">
        <v>8</v>
      </c>
      <c r="MT583" s="27" t="s">
        <v>7</v>
      </c>
      <c r="MW583" s="27" t="s">
        <v>8</v>
      </c>
      <c r="MX583" s="27" t="s">
        <v>7</v>
      </c>
      <c r="NA583" s="27" t="s">
        <v>8</v>
      </c>
      <c r="NB583" s="27" t="s">
        <v>7</v>
      </c>
      <c r="NE583" s="27" t="s">
        <v>8</v>
      </c>
      <c r="NF583" s="27" t="s">
        <v>7</v>
      </c>
      <c r="NG583" s="27" t="s">
        <v>8</v>
      </c>
      <c r="NH583" s="27" t="s">
        <v>7</v>
      </c>
      <c r="NI583" s="27" t="s">
        <v>8</v>
      </c>
      <c r="NJ583" s="27" t="s">
        <v>7</v>
      </c>
      <c r="NM583" s="27" t="s">
        <v>8</v>
      </c>
      <c r="NN583" s="27" t="s">
        <v>7</v>
      </c>
      <c r="NO583" s="27" t="s">
        <v>8</v>
      </c>
      <c r="NP583" s="27" t="s">
        <v>7</v>
      </c>
      <c r="OY583" s="27" t="s">
        <v>8</v>
      </c>
      <c r="OZ583" s="27" t="s">
        <v>7</v>
      </c>
      <c r="PA583" s="27" t="s">
        <v>8</v>
      </c>
      <c r="PB583" s="27" t="s">
        <v>7</v>
      </c>
      <c r="PC583" s="27" t="s">
        <v>8</v>
      </c>
      <c r="PD583" s="27" t="s">
        <v>7</v>
      </c>
      <c r="PF583" s="27" t="s">
        <v>7</v>
      </c>
      <c r="PG583" s="27" t="s">
        <v>8</v>
      </c>
      <c r="PH583" s="27" t="s">
        <v>7</v>
      </c>
      <c r="PI583" s="27" t="s">
        <v>8</v>
      </c>
      <c r="PJ583" s="27" t="s">
        <v>7</v>
      </c>
      <c r="PK583" s="27" t="s">
        <v>8</v>
      </c>
      <c r="PL583" s="27" t="s">
        <v>7</v>
      </c>
      <c r="PM583" s="27" t="s">
        <v>8</v>
      </c>
      <c r="PN583" s="27" t="s">
        <v>7</v>
      </c>
      <c r="PO583" s="27" t="s">
        <v>8</v>
      </c>
      <c r="PP583" s="27" t="s">
        <v>7</v>
      </c>
      <c r="PQ583" s="27" t="s">
        <v>8</v>
      </c>
      <c r="PZ583" s="27" t="s">
        <v>7</v>
      </c>
      <c r="QA583" s="27" t="s">
        <v>8</v>
      </c>
      <c r="QJ583" s="27" t="s">
        <v>7</v>
      </c>
      <c r="QL583" s="27" t="s">
        <v>7</v>
      </c>
      <c r="QM583" s="27" t="s">
        <v>8</v>
      </c>
      <c r="QN583" s="27" t="s">
        <v>7</v>
      </c>
      <c r="QO583" s="27" t="s">
        <v>8</v>
      </c>
      <c r="QP583" s="27" t="s">
        <v>7</v>
      </c>
    </row>
    <row r="584" spans="1:467" x14ac:dyDescent="0.25">
      <c r="A584" s="7">
        <v>1.0612079999999999</v>
      </c>
      <c r="B584"/>
      <c r="C584"/>
      <c r="D584"/>
      <c r="E584"/>
      <c r="LI584" s="27" t="s">
        <v>8</v>
      </c>
      <c r="LJ584" s="27" t="s">
        <v>7</v>
      </c>
      <c r="ME584" s="27" t="s">
        <v>8</v>
      </c>
      <c r="MG584" s="27" t="s">
        <v>8</v>
      </c>
      <c r="MJ584" s="27" t="s">
        <v>7</v>
      </c>
      <c r="MK584" s="27" t="s">
        <v>8</v>
      </c>
      <c r="MN584" s="27" t="s">
        <v>7</v>
      </c>
      <c r="MO584" s="27" t="s">
        <v>8</v>
      </c>
      <c r="MP584" s="27" t="s">
        <v>7</v>
      </c>
      <c r="MQ584" s="27" t="s">
        <v>8</v>
      </c>
      <c r="MR584" s="27" t="s">
        <v>7</v>
      </c>
      <c r="MS584" s="27" t="s">
        <v>8</v>
      </c>
      <c r="MT584" s="27" t="s">
        <v>7</v>
      </c>
      <c r="MW584" s="27" t="s">
        <v>8</v>
      </c>
      <c r="MX584" s="27" t="s">
        <v>7</v>
      </c>
      <c r="NA584" s="27" t="s">
        <v>8</v>
      </c>
      <c r="NB584" s="27" t="s">
        <v>7</v>
      </c>
      <c r="NE584" s="27" t="s">
        <v>8</v>
      </c>
      <c r="NF584" s="27" t="s">
        <v>7</v>
      </c>
      <c r="NG584" s="27" t="s">
        <v>8</v>
      </c>
      <c r="NH584" s="27" t="s">
        <v>7</v>
      </c>
      <c r="NI584" s="27" t="s">
        <v>8</v>
      </c>
      <c r="NJ584" s="27" t="s">
        <v>7</v>
      </c>
      <c r="NK584" s="27" t="s">
        <v>8</v>
      </c>
      <c r="NM584" s="27" t="s">
        <v>8</v>
      </c>
      <c r="NN584" s="27" t="s">
        <v>7</v>
      </c>
      <c r="NO584" s="27" t="s">
        <v>8</v>
      </c>
      <c r="NP584" s="27" t="s">
        <v>7</v>
      </c>
      <c r="OY584" s="27" t="s">
        <v>8</v>
      </c>
      <c r="OZ584" s="27" t="s">
        <v>7</v>
      </c>
      <c r="PA584" s="27" t="s">
        <v>8</v>
      </c>
      <c r="PB584" s="27" t="s">
        <v>7</v>
      </c>
      <c r="PC584" s="27" t="s">
        <v>8</v>
      </c>
      <c r="PF584" s="27" t="s">
        <v>7</v>
      </c>
      <c r="PG584" s="27" t="s">
        <v>8</v>
      </c>
      <c r="PH584" s="27" t="s">
        <v>7</v>
      </c>
      <c r="PJ584" s="27" t="s">
        <v>7</v>
      </c>
      <c r="PK584" s="27" t="s">
        <v>8</v>
      </c>
      <c r="PL584" s="27" t="s">
        <v>7</v>
      </c>
      <c r="PM584" s="27" t="s">
        <v>8</v>
      </c>
      <c r="PN584" s="27" t="s">
        <v>7</v>
      </c>
      <c r="PO584" s="27" t="s">
        <v>8</v>
      </c>
      <c r="PP584" s="27" t="s">
        <v>7</v>
      </c>
      <c r="PQ584" s="27" t="s">
        <v>8</v>
      </c>
      <c r="PZ584" s="27" t="s">
        <v>7</v>
      </c>
      <c r="QL584" s="27" t="s">
        <v>7</v>
      </c>
      <c r="QM584" s="27" t="s">
        <v>8</v>
      </c>
      <c r="QN584" s="27" t="s">
        <v>7</v>
      </c>
      <c r="QP584" s="27" t="s">
        <v>7</v>
      </c>
    </row>
    <row r="585" spans="1:467" x14ac:dyDescent="0.25">
      <c r="A585" s="7">
        <v>1.0404</v>
      </c>
      <c r="B585"/>
      <c r="C585"/>
      <c r="D585"/>
      <c r="E585"/>
      <c r="LI585" s="27" t="s">
        <v>8</v>
      </c>
      <c r="LJ585" s="27" t="s">
        <v>7</v>
      </c>
      <c r="ME585" s="27" t="s">
        <v>8</v>
      </c>
      <c r="MF585" s="27" t="s">
        <v>7</v>
      </c>
      <c r="MG585" s="27" t="s">
        <v>8</v>
      </c>
      <c r="MJ585" s="27" t="s">
        <v>7</v>
      </c>
      <c r="MK585" s="27" t="s">
        <v>8</v>
      </c>
      <c r="MN585" s="27" t="s">
        <v>7</v>
      </c>
      <c r="MP585" s="27" t="s">
        <v>7</v>
      </c>
      <c r="MQ585" s="27" t="s">
        <v>8</v>
      </c>
      <c r="MR585" s="27" t="s">
        <v>7</v>
      </c>
      <c r="MS585" s="27" t="s">
        <v>8</v>
      </c>
      <c r="MT585" s="27" t="s">
        <v>7</v>
      </c>
      <c r="MW585" s="27" t="s">
        <v>8</v>
      </c>
      <c r="MX585" s="27" t="s">
        <v>7</v>
      </c>
      <c r="MY585" s="27" t="s">
        <v>8</v>
      </c>
      <c r="NA585" s="27" t="s">
        <v>8</v>
      </c>
      <c r="NB585" s="27" t="s">
        <v>7</v>
      </c>
      <c r="NE585" s="27" t="s">
        <v>8</v>
      </c>
      <c r="NF585" s="27" t="s">
        <v>7</v>
      </c>
      <c r="NG585" s="27" t="s">
        <v>8</v>
      </c>
      <c r="NH585" s="27" t="s">
        <v>7</v>
      </c>
      <c r="NI585" s="27" t="s">
        <v>8</v>
      </c>
      <c r="NJ585" s="27" t="s">
        <v>7</v>
      </c>
      <c r="NK585" s="27" t="s">
        <v>8</v>
      </c>
      <c r="NL585" s="27" t="s">
        <v>7</v>
      </c>
      <c r="NM585" s="27" t="s">
        <v>8</v>
      </c>
      <c r="NN585" s="27" t="s">
        <v>7</v>
      </c>
      <c r="NO585" s="27" t="s">
        <v>8</v>
      </c>
      <c r="NP585" s="27" t="s">
        <v>7</v>
      </c>
      <c r="NQ585" s="27" t="s">
        <v>8</v>
      </c>
      <c r="OY585" s="27" t="s">
        <v>8</v>
      </c>
      <c r="OZ585" s="27" t="s">
        <v>7</v>
      </c>
      <c r="PB585" s="27" t="s">
        <v>7</v>
      </c>
      <c r="PF585" s="27" t="s">
        <v>7</v>
      </c>
      <c r="PG585" s="27" t="s">
        <v>8</v>
      </c>
      <c r="PJ585" s="27" t="s">
        <v>7</v>
      </c>
      <c r="PK585" s="27" t="s">
        <v>8</v>
      </c>
      <c r="PL585" s="27" t="s">
        <v>7</v>
      </c>
      <c r="PM585" s="27" t="s">
        <v>8</v>
      </c>
      <c r="PN585" s="27" t="s">
        <v>7</v>
      </c>
      <c r="PO585" s="27" t="s">
        <v>8</v>
      </c>
      <c r="PP585" s="27" t="s">
        <v>7</v>
      </c>
      <c r="PQ585" s="27" t="s">
        <v>8</v>
      </c>
      <c r="QL585" s="27" t="s">
        <v>7</v>
      </c>
      <c r="QP585" s="27" t="s">
        <v>7</v>
      </c>
    </row>
    <row r="586" spans="1:467" x14ac:dyDescent="0.25">
      <c r="A586" s="7">
        <v>1.02</v>
      </c>
      <c r="B586"/>
      <c r="C586"/>
      <c r="D586"/>
      <c r="E586"/>
      <c r="LI586" s="27" t="s">
        <v>8</v>
      </c>
      <c r="LJ586" s="27" t="s">
        <v>7</v>
      </c>
      <c r="ME586" s="27" t="s">
        <v>8</v>
      </c>
      <c r="MF586" s="27" t="s">
        <v>7</v>
      </c>
      <c r="MG586" s="27" t="s">
        <v>8</v>
      </c>
      <c r="MJ586" s="27" t="s">
        <v>7</v>
      </c>
      <c r="MK586" s="27" t="s">
        <v>8</v>
      </c>
      <c r="MP586" s="27" t="s">
        <v>7</v>
      </c>
      <c r="MR586" s="27" t="s">
        <v>7</v>
      </c>
      <c r="MS586" s="27" t="s">
        <v>8</v>
      </c>
      <c r="MT586" s="27" t="s">
        <v>7</v>
      </c>
      <c r="MW586" s="27" t="s">
        <v>8</v>
      </c>
      <c r="MX586" s="27" t="s">
        <v>7</v>
      </c>
      <c r="MY586" s="27" t="s">
        <v>8</v>
      </c>
      <c r="MZ586" s="27" t="s">
        <v>7</v>
      </c>
      <c r="NA586" s="27" t="s">
        <v>8</v>
      </c>
      <c r="NB586" s="27" t="s">
        <v>7</v>
      </c>
      <c r="NE586" s="27" t="s">
        <v>8</v>
      </c>
      <c r="NF586" s="27" t="s">
        <v>7</v>
      </c>
      <c r="NG586" s="27" t="s">
        <v>8</v>
      </c>
      <c r="NH586" s="27" t="s">
        <v>7</v>
      </c>
      <c r="NI586" s="27" t="s">
        <v>8</v>
      </c>
      <c r="NJ586" s="27" t="s">
        <v>7</v>
      </c>
      <c r="NK586" s="27" t="s">
        <v>8</v>
      </c>
      <c r="NL586" s="27" t="s">
        <v>7</v>
      </c>
      <c r="NM586" s="27" t="s">
        <v>8</v>
      </c>
      <c r="NN586" s="27" t="s">
        <v>7</v>
      </c>
      <c r="NO586" s="27" t="s">
        <v>8</v>
      </c>
      <c r="NP586" s="27" t="s">
        <v>7</v>
      </c>
      <c r="NQ586" s="27" t="s">
        <v>8</v>
      </c>
      <c r="NR586" s="27" t="s">
        <v>7</v>
      </c>
      <c r="OY586" s="27" t="s">
        <v>8</v>
      </c>
      <c r="PF586" s="27" t="s">
        <v>7</v>
      </c>
      <c r="PG586" s="27" t="s">
        <v>8</v>
      </c>
      <c r="PJ586" s="27" t="s">
        <v>7</v>
      </c>
      <c r="PL586" s="27" t="s">
        <v>7</v>
      </c>
      <c r="PM586" s="27" t="s">
        <v>8</v>
      </c>
      <c r="PN586" s="27" t="s">
        <v>7</v>
      </c>
      <c r="PP586" s="27" t="s">
        <v>7</v>
      </c>
      <c r="PQ586" s="27" t="s">
        <v>8</v>
      </c>
      <c r="QP586" s="27" t="s">
        <v>7</v>
      </c>
    </row>
    <row r="587" spans="1:467" x14ac:dyDescent="0.25">
      <c r="A587" s="7">
        <v>1</v>
      </c>
      <c r="B587"/>
      <c r="C587"/>
      <c r="D587"/>
      <c r="E587" s="29" t="s">
        <v>8</v>
      </c>
      <c r="LI587" s="27" t="s">
        <v>8</v>
      </c>
      <c r="LJ587" s="27" t="s">
        <v>7</v>
      </c>
      <c r="ME587" s="27" t="s">
        <v>8</v>
      </c>
      <c r="MF587" s="27" t="s">
        <v>7</v>
      </c>
      <c r="MG587" s="27" t="s">
        <v>8</v>
      </c>
      <c r="MJ587" s="27" t="s">
        <v>7</v>
      </c>
      <c r="MK587" s="27" t="s">
        <v>8</v>
      </c>
      <c r="MR587" s="27" t="s">
        <v>7</v>
      </c>
      <c r="MS587" s="27" t="s">
        <v>8</v>
      </c>
      <c r="MT587" s="27" t="s">
        <v>7</v>
      </c>
      <c r="MW587" s="27" t="s">
        <v>8</v>
      </c>
      <c r="MX587" s="27" t="s">
        <v>7</v>
      </c>
      <c r="MY587" s="27" t="s">
        <v>8</v>
      </c>
      <c r="MZ587" s="27" t="s">
        <v>7</v>
      </c>
      <c r="NA587" s="27" t="s">
        <v>8</v>
      </c>
      <c r="NB587" s="27" t="s">
        <v>7</v>
      </c>
      <c r="NE587" s="27" t="s">
        <v>8</v>
      </c>
      <c r="NF587" s="27" t="s">
        <v>7</v>
      </c>
      <c r="NG587" s="27" t="s">
        <v>8</v>
      </c>
      <c r="NH587" s="27" t="s">
        <v>7</v>
      </c>
      <c r="NI587" s="27" t="s">
        <v>8</v>
      </c>
      <c r="NJ587" s="27" t="s">
        <v>7</v>
      </c>
      <c r="NK587" s="27" t="s">
        <v>8</v>
      </c>
      <c r="NL587" s="27" t="s">
        <v>7</v>
      </c>
      <c r="NN587" s="27" t="s">
        <v>7</v>
      </c>
      <c r="NO587" s="27" t="s">
        <v>8</v>
      </c>
      <c r="NP587" s="27" t="s">
        <v>7</v>
      </c>
      <c r="NQ587" s="27" t="s">
        <v>8</v>
      </c>
      <c r="NR587" s="27" t="s">
        <v>7</v>
      </c>
      <c r="OY587" s="27" t="s">
        <v>8</v>
      </c>
      <c r="PF587" s="27" t="s">
        <v>7</v>
      </c>
      <c r="PG587" s="27" t="s">
        <v>8</v>
      </c>
      <c r="PL587" s="27" t="s">
        <v>7</v>
      </c>
      <c r="PM587" s="27" t="s">
        <v>8</v>
      </c>
      <c r="PP587" s="27" t="s">
        <v>7</v>
      </c>
      <c r="PQ587" s="27" t="s">
        <v>8</v>
      </c>
      <c r="QP587" s="27" t="s">
        <v>7</v>
      </c>
    </row>
    <row r="588" spans="1:467" x14ac:dyDescent="0.25">
      <c r="A588" s="7">
        <v>0.98039215686274506</v>
      </c>
      <c r="B588"/>
      <c r="C588"/>
      <c r="D588"/>
      <c r="E588"/>
      <c r="F588" s="27" t="s">
        <v>7</v>
      </c>
      <c r="LI588" s="27" t="s">
        <v>8</v>
      </c>
      <c r="LJ588" s="27" t="s">
        <v>7</v>
      </c>
      <c r="MC588" s="27" t="s">
        <v>8</v>
      </c>
      <c r="ME588" s="27" t="s">
        <v>8</v>
      </c>
      <c r="MF588" s="27" t="s">
        <v>7</v>
      </c>
      <c r="MG588" s="27" t="s">
        <v>8</v>
      </c>
      <c r="MJ588" s="27" t="s">
        <v>7</v>
      </c>
      <c r="MK588" s="27" t="s">
        <v>8</v>
      </c>
      <c r="MR588" s="27" t="s">
        <v>7</v>
      </c>
      <c r="MT588" s="27" t="s">
        <v>7</v>
      </c>
      <c r="MW588" s="27" t="s">
        <v>8</v>
      </c>
      <c r="MX588" s="27" t="s">
        <v>7</v>
      </c>
      <c r="MY588" s="27" t="s">
        <v>8</v>
      </c>
      <c r="MZ588" s="27" t="s">
        <v>7</v>
      </c>
      <c r="NA588" s="27" t="s">
        <v>8</v>
      </c>
      <c r="NB588" s="27" t="s">
        <v>7</v>
      </c>
      <c r="NE588" s="27" t="s">
        <v>8</v>
      </c>
      <c r="NF588" s="27" t="s">
        <v>7</v>
      </c>
      <c r="NG588" s="27" t="s">
        <v>8</v>
      </c>
      <c r="NH588" s="27" t="s">
        <v>7</v>
      </c>
      <c r="NI588" s="27" t="s">
        <v>8</v>
      </c>
      <c r="NJ588" s="27" t="s">
        <v>7</v>
      </c>
      <c r="NK588" s="27" t="s">
        <v>8</v>
      </c>
      <c r="NN588" s="27" t="s">
        <v>7</v>
      </c>
      <c r="NO588" s="27" t="s">
        <v>8</v>
      </c>
      <c r="NP588" s="27" t="s">
        <v>7</v>
      </c>
      <c r="NQ588" s="27" t="s">
        <v>8</v>
      </c>
      <c r="NR588" s="27" t="s">
        <v>7</v>
      </c>
      <c r="OU588" s="27" t="s">
        <v>8</v>
      </c>
      <c r="OY588" s="27" t="s">
        <v>8</v>
      </c>
      <c r="PF588" s="27" t="s">
        <v>7</v>
      </c>
      <c r="PG588" s="27" t="s">
        <v>8</v>
      </c>
      <c r="PL588" s="27" t="s">
        <v>7</v>
      </c>
      <c r="PM588" s="27" t="s">
        <v>8</v>
      </c>
      <c r="PP588" s="27" t="s">
        <v>7</v>
      </c>
      <c r="QP588" s="27" t="s">
        <v>7</v>
      </c>
      <c r="QQ588" s="27" t="s">
        <v>8</v>
      </c>
    </row>
    <row r="589" spans="1:467" x14ac:dyDescent="0.25">
      <c r="A589" s="7">
        <v>0.96116878123798544</v>
      </c>
      <c r="B589"/>
      <c r="C589"/>
      <c r="D589"/>
      <c r="E589"/>
      <c r="F589" s="27" t="s">
        <v>7</v>
      </c>
      <c r="LI589" s="27" t="s">
        <v>8</v>
      </c>
      <c r="LJ589" s="27" t="s">
        <v>7</v>
      </c>
      <c r="MA589" s="27" t="s">
        <v>8</v>
      </c>
      <c r="MC589" s="27" t="s">
        <v>8</v>
      </c>
      <c r="MD589" s="27" t="s">
        <v>7</v>
      </c>
      <c r="ME589" s="27" t="s">
        <v>8</v>
      </c>
      <c r="MF589" s="27" t="s">
        <v>7</v>
      </c>
      <c r="MG589" s="27" t="s">
        <v>8</v>
      </c>
      <c r="MJ589" s="27" t="s">
        <v>7</v>
      </c>
      <c r="MK589" s="27" t="s">
        <v>8</v>
      </c>
      <c r="MT589" s="27" t="s">
        <v>7</v>
      </c>
      <c r="MU589" s="27" t="s">
        <v>8</v>
      </c>
      <c r="MW589" s="27" t="s">
        <v>8</v>
      </c>
      <c r="MX589" s="27" t="s">
        <v>7</v>
      </c>
      <c r="MZ589" s="27" t="s">
        <v>7</v>
      </c>
      <c r="NA589" s="27" t="s">
        <v>8</v>
      </c>
      <c r="NB589" s="27" t="s">
        <v>7</v>
      </c>
      <c r="NE589" s="27" t="s">
        <v>8</v>
      </c>
      <c r="NF589" s="27" t="s">
        <v>7</v>
      </c>
      <c r="NG589" s="27" t="s">
        <v>8</v>
      </c>
      <c r="NH589" s="27" t="s">
        <v>7</v>
      </c>
      <c r="NI589" s="27" t="s">
        <v>8</v>
      </c>
      <c r="NJ589" s="27" t="s">
        <v>7</v>
      </c>
      <c r="NK589" s="27" t="s">
        <v>8</v>
      </c>
      <c r="NN589" s="27" t="s">
        <v>7</v>
      </c>
      <c r="NO589" s="27" t="s">
        <v>8</v>
      </c>
      <c r="NP589" s="27" t="s">
        <v>7</v>
      </c>
      <c r="NQ589" s="27" t="s">
        <v>8</v>
      </c>
      <c r="NR589" s="27" t="s">
        <v>7</v>
      </c>
      <c r="NW589" s="27" t="s">
        <v>8</v>
      </c>
      <c r="OO589" s="27" t="s">
        <v>8</v>
      </c>
      <c r="OU589" s="27" t="s">
        <v>8</v>
      </c>
      <c r="OV589" s="27" t="s">
        <v>7</v>
      </c>
      <c r="OY589" s="27" t="s">
        <v>8</v>
      </c>
      <c r="PF589" s="27" t="s">
        <v>7</v>
      </c>
      <c r="PG589" s="27" t="s">
        <v>8</v>
      </c>
      <c r="PL589" s="27" t="s">
        <v>7</v>
      </c>
      <c r="PM589" s="27" t="s">
        <v>8</v>
      </c>
      <c r="QP589" s="27" t="s">
        <v>7</v>
      </c>
      <c r="QQ589" s="27" t="s">
        <v>8</v>
      </c>
      <c r="QR589" s="27" t="s">
        <v>7</v>
      </c>
      <c r="QS589" s="27" t="s">
        <v>8</v>
      </c>
    </row>
    <row r="590" spans="1:467" x14ac:dyDescent="0.25">
      <c r="A590" s="7">
        <v>0.94232233454704462</v>
      </c>
      <c r="B590"/>
      <c r="C590"/>
      <c r="D590"/>
      <c r="E590"/>
      <c r="F590" s="27" t="s">
        <v>7</v>
      </c>
      <c r="LI590" s="27" t="s">
        <v>8</v>
      </c>
      <c r="LJ590" s="27" t="s">
        <v>7</v>
      </c>
      <c r="LO590" s="27" t="s">
        <v>8</v>
      </c>
      <c r="MA590" s="27" t="s">
        <v>8</v>
      </c>
      <c r="MB590" s="27" t="s">
        <v>7</v>
      </c>
      <c r="MC590" s="27" t="s">
        <v>8</v>
      </c>
      <c r="MD590" s="27" t="s">
        <v>7</v>
      </c>
      <c r="ME590" s="27" t="s">
        <v>8</v>
      </c>
      <c r="MF590" s="27" t="s">
        <v>7</v>
      </c>
      <c r="MG590" s="27" t="s">
        <v>8</v>
      </c>
      <c r="MJ590" s="27" t="s">
        <v>7</v>
      </c>
      <c r="MK590" s="27" t="s">
        <v>8</v>
      </c>
      <c r="MT590" s="27" t="s">
        <v>7</v>
      </c>
      <c r="MU590" s="27" t="s">
        <v>8</v>
      </c>
      <c r="MV590" s="27" t="s">
        <v>7</v>
      </c>
      <c r="MW590" s="27" t="s">
        <v>8</v>
      </c>
      <c r="MZ590" s="27" t="s">
        <v>7</v>
      </c>
      <c r="NA590" s="27" t="s">
        <v>8</v>
      </c>
      <c r="NB590" s="27" t="s">
        <v>7</v>
      </c>
      <c r="NC590" s="27" t="s">
        <v>8</v>
      </c>
      <c r="NE590" s="27" t="s">
        <v>8</v>
      </c>
      <c r="NF590" s="27" t="s">
        <v>7</v>
      </c>
      <c r="NG590" s="27" t="s">
        <v>8</v>
      </c>
      <c r="NH590" s="27" t="s">
        <v>7</v>
      </c>
      <c r="NI590" s="27" t="s">
        <v>8</v>
      </c>
      <c r="NJ590" s="27" t="s">
        <v>7</v>
      </c>
      <c r="NK590" s="27" t="s">
        <v>8</v>
      </c>
      <c r="NN590" s="27" t="s">
        <v>7</v>
      </c>
      <c r="NP590" s="27" t="s">
        <v>7</v>
      </c>
      <c r="NQ590" s="27" t="s">
        <v>8</v>
      </c>
      <c r="NR590" s="27" t="s">
        <v>7</v>
      </c>
      <c r="NS590" s="27" t="s">
        <v>8</v>
      </c>
      <c r="NW590" s="27" t="s">
        <v>8</v>
      </c>
      <c r="NX590" s="27" t="s">
        <v>7</v>
      </c>
      <c r="OO590" s="27" t="s">
        <v>8</v>
      </c>
      <c r="OP590" s="27" t="s">
        <v>7</v>
      </c>
      <c r="OU590" s="27" t="s">
        <v>8</v>
      </c>
      <c r="OV590" s="27" t="s">
        <v>7</v>
      </c>
      <c r="OW590" s="27" t="s">
        <v>8</v>
      </c>
      <c r="OY590" s="27" t="s">
        <v>8</v>
      </c>
      <c r="PF590" s="27" t="s">
        <v>7</v>
      </c>
      <c r="PG590" s="27" t="s">
        <v>8</v>
      </c>
      <c r="PL590" s="27" t="s">
        <v>7</v>
      </c>
      <c r="QP590" s="27" t="s">
        <v>7</v>
      </c>
      <c r="QQ590" s="27" t="s">
        <v>8</v>
      </c>
      <c r="QR590" s="27" t="s">
        <v>7</v>
      </c>
      <c r="QS590" s="27" t="s">
        <v>8</v>
      </c>
      <c r="QT590" s="27" t="s">
        <v>7</v>
      </c>
    </row>
    <row r="591" spans="1:467" x14ac:dyDescent="0.25">
      <c r="A591" s="7">
        <v>0.92384542602651432</v>
      </c>
      <c r="B591"/>
      <c r="C591"/>
      <c r="D591"/>
      <c r="E591"/>
      <c r="F591" s="27" t="s">
        <v>7</v>
      </c>
      <c r="LI591" s="27" t="s">
        <v>8</v>
      </c>
      <c r="LJ591" s="27" t="s">
        <v>7</v>
      </c>
      <c r="LO591" s="27" t="s">
        <v>8</v>
      </c>
      <c r="LP591" s="27" t="s">
        <v>7</v>
      </c>
      <c r="MA591" s="27" t="s">
        <v>8</v>
      </c>
      <c r="MB591" s="27" t="s">
        <v>7</v>
      </c>
      <c r="MC591" s="27" t="s">
        <v>8</v>
      </c>
      <c r="MD591" s="27" t="s">
        <v>7</v>
      </c>
      <c r="ME591" s="27" t="s">
        <v>8</v>
      </c>
      <c r="MF591" s="27" t="s">
        <v>7</v>
      </c>
      <c r="MG591" s="27" t="s">
        <v>8</v>
      </c>
      <c r="MJ591" s="27" t="s">
        <v>7</v>
      </c>
      <c r="MK591" s="27" t="s">
        <v>8</v>
      </c>
      <c r="MT591" s="27" t="s">
        <v>7</v>
      </c>
      <c r="MU591" s="27" t="s">
        <v>8</v>
      </c>
      <c r="MV591" s="27" t="s">
        <v>7</v>
      </c>
      <c r="MW591" s="27" t="s">
        <v>8</v>
      </c>
      <c r="MZ591" s="27" t="s">
        <v>7</v>
      </c>
      <c r="NA591" s="27" t="s">
        <v>8</v>
      </c>
      <c r="NB591" s="27" t="s">
        <v>7</v>
      </c>
      <c r="NC591" s="27" t="s">
        <v>8</v>
      </c>
      <c r="ND591" s="27" t="s">
        <v>7</v>
      </c>
      <c r="NE591" s="27" t="s">
        <v>8</v>
      </c>
      <c r="NF591" s="27" t="s">
        <v>7</v>
      </c>
      <c r="NG591" s="27" t="s">
        <v>8</v>
      </c>
      <c r="NH591" s="27" t="s">
        <v>7</v>
      </c>
      <c r="NI591" s="27" t="s">
        <v>8</v>
      </c>
      <c r="NJ591" s="27" t="s">
        <v>7</v>
      </c>
      <c r="NK591" s="27" t="s">
        <v>8</v>
      </c>
      <c r="NP591" s="27" t="s">
        <v>7</v>
      </c>
      <c r="NQ591" s="27" t="s">
        <v>8</v>
      </c>
      <c r="NR591" s="27" t="s">
        <v>7</v>
      </c>
      <c r="NS591" s="27" t="s">
        <v>8</v>
      </c>
      <c r="NT591" s="27" t="s">
        <v>7</v>
      </c>
      <c r="NW591" s="27" t="s">
        <v>8</v>
      </c>
      <c r="NX591" s="27" t="s">
        <v>7</v>
      </c>
      <c r="OO591" s="27" t="s">
        <v>8</v>
      </c>
      <c r="OP591" s="27" t="s">
        <v>7</v>
      </c>
      <c r="OQ591" s="27" t="s">
        <v>8</v>
      </c>
      <c r="OS591" s="27" t="s">
        <v>8</v>
      </c>
      <c r="OU591" s="27" t="s">
        <v>8</v>
      </c>
      <c r="OV591" s="27" t="s">
        <v>7</v>
      </c>
      <c r="OW591" s="27" t="s">
        <v>8</v>
      </c>
      <c r="OX591" s="27" t="s">
        <v>7</v>
      </c>
      <c r="OY591" s="27" t="s">
        <v>8</v>
      </c>
      <c r="PF591" s="27" t="s">
        <v>7</v>
      </c>
      <c r="PG591" s="27" t="s">
        <v>8</v>
      </c>
      <c r="QP591" s="27" t="s">
        <v>7</v>
      </c>
      <c r="QQ591" s="27" t="s">
        <v>8</v>
      </c>
      <c r="QR591" s="27" t="s">
        <v>7</v>
      </c>
      <c r="QS591" s="27" t="s">
        <v>8</v>
      </c>
      <c r="QT591" s="27" t="s">
        <v>7</v>
      </c>
    </row>
    <row r="592" spans="1:467" x14ac:dyDescent="0.25">
      <c r="A592" s="7">
        <v>0.90573080982991594</v>
      </c>
      <c r="B592"/>
      <c r="C592"/>
      <c r="D592"/>
      <c r="E592"/>
      <c r="F592" s="27" t="s">
        <v>7</v>
      </c>
      <c r="LI592" s="27" t="s">
        <v>8</v>
      </c>
      <c r="LJ592" s="27" t="s">
        <v>7</v>
      </c>
      <c r="LO592" s="27" t="s">
        <v>8</v>
      </c>
      <c r="LP592" s="27" t="s">
        <v>7</v>
      </c>
      <c r="MA592" s="27" t="s">
        <v>8</v>
      </c>
      <c r="MB592" s="27" t="s">
        <v>7</v>
      </c>
      <c r="MC592" s="27" t="s">
        <v>8</v>
      </c>
      <c r="MD592" s="27" t="s">
        <v>7</v>
      </c>
      <c r="ME592" s="27" t="s">
        <v>8</v>
      </c>
      <c r="MF592" s="27" t="s">
        <v>7</v>
      </c>
      <c r="MJ592" s="27" t="s">
        <v>7</v>
      </c>
      <c r="MT592" s="27" t="s">
        <v>7</v>
      </c>
      <c r="MU592" s="27" t="s">
        <v>8</v>
      </c>
      <c r="MV592" s="27" t="s">
        <v>7</v>
      </c>
      <c r="MW592" s="27" t="s">
        <v>8</v>
      </c>
      <c r="MZ592" s="27" t="s">
        <v>7</v>
      </c>
      <c r="NA592" s="27" t="s">
        <v>8</v>
      </c>
      <c r="NB592" s="27" t="s">
        <v>7</v>
      </c>
      <c r="NC592" s="27" t="s">
        <v>8</v>
      </c>
      <c r="ND592" s="27" t="s">
        <v>7</v>
      </c>
      <c r="NE592" s="27" t="s">
        <v>8</v>
      </c>
      <c r="NF592" s="27" t="s">
        <v>7</v>
      </c>
      <c r="NG592" s="27" t="s">
        <v>8</v>
      </c>
      <c r="NH592" s="27" t="s">
        <v>7</v>
      </c>
      <c r="NI592" s="27" t="s">
        <v>8</v>
      </c>
      <c r="NJ592" s="27" t="s">
        <v>7</v>
      </c>
      <c r="NP592" s="27" t="s">
        <v>7</v>
      </c>
      <c r="NQ592" s="27" t="s">
        <v>8</v>
      </c>
      <c r="NR592" s="27" t="s">
        <v>7</v>
      </c>
      <c r="NS592" s="27" t="s">
        <v>8</v>
      </c>
      <c r="NT592" s="27" t="s">
        <v>7</v>
      </c>
      <c r="NW592" s="27" t="s">
        <v>8</v>
      </c>
      <c r="NX592" s="27" t="s">
        <v>7</v>
      </c>
      <c r="NY592" s="27" t="s">
        <v>8</v>
      </c>
      <c r="OO592" s="27" t="s">
        <v>8</v>
      </c>
      <c r="OP592" s="27" t="s">
        <v>7</v>
      </c>
      <c r="OQ592" s="27" t="s">
        <v>8</v>
      </c>
      <c r="OR592" s="27" t="s">
        <v>7</v>
      </c>
      <c r="OS592" s="27" t="s">
        <v>8</v>
      </c>
      <c r="OT592" s="27" t="s">
        <v>7</v>
      </c>
      <c r="OU592" s="27" t="s">
        <v>8</v>
      </c>
      <c r="OV592" s="27" t="s">
        <v>7</v>
      </c>
      <c r="OW592" s="27" t="s">
        <v>8</v>
      </c>
      <c r="OX592" s="27" t="s">
        <v>7</v>
      </c>
      <c r="OY592" s="27" t="s">
        <v>8</v>
      </c>
      <c r="PF592" s="27" t="s">
        <v>7</v>
      </c>
      <c r="QP592" s="27" t="s">
        <v>7</v>
      </c>
      <c r="QQ592" s="27" t="s">
        <v>8</v>
      </c>
      <c r="QR592" s="27" t="s">
        <v>7</v>
      </c>
      <c r="QS592" s="27" t="s">
        <v>8</v>
      </c>
      <c r="QT592" s="27" t="s">
        <v>7</v>
      </c>
      <c r="QY592" s="27" t="s">
        <v>8</v>
      </c>
    </row>
    <row r="593" spans="1:476" x14ac:dyDescent="0.25">
      <c r="A593" s="7">
        <v>0.8879713821861922</v>
      </c>
      <c r="B593"/>
      <c r="C593"/>
      <c r="D593"/>
      <c r="E593"/>
      <c r="F593" s="27" t="s">
        <v>7</v>
      </c>
      <c r="LI593" s="27" t="s">
        <v>8</v>
      </c>
      <c r="LJ593" s="27" t="s">
        <v>7</v>
      </c>
      <c r="LO593" s="27" t="s">
        <v>8</v>
      </c>
      <c r="LP593" s="27" t="s">
        <v>7</v>
      </c>
      <c r="LS593" s="27" t="s">
        <v>8</v>
      </c>
      <c r="LY593" s="27" t="s">
        <v>8</v>
      </c>
      <c r="MA593" s="27" t="s">
        <v>8</v>
      </c>
      <c r="MB593" s="27" t="s">
        <v>7</v>
      </c>
      <c r="MC593" s="27" t="s">
        <v>8</v>
      </c>
      <c r="MD593" s="27" t="s">
        <v>7</v>
      </c>
      <c r="ME593" s="27" t="s">
        <v>8</v>
      </c>
      <c r="MT593" s="27" t="s">
        <v>7</v>
      </c>
      <c r="MU593" s="27" t="s">
        <v>8</v>
      </c>
      <c r="MV593" s="27" t="s">
        <v>7</v>
      </c>
      <c r="MW593" s="27" t="s">
        <v>8</v>
      </c>
      <c r="MZ593" s="27" t="s">
        <v>7</v>
      </c>
      <c r="NA593" s="27" t="s">
        <v>8</v>
      </c>
      <c r="NB593" s="27" t="s">
        <v>7</v>
      </c>
      <c r="NC593" s="27" t="s">
        <v>8</v>
      </c>
      <c r="ND593" s="27" t="s">
        <v>7</v>
      </c>
      <c r="NE593" s="27" t="s">
        <v>8</v>
      </c>
      <c r="NF593" s="27" t="s">
        <v>7</v>
      </c>
      <c r="NG593" s="27" t="s">
        <v>8</v>
      </c>
      <c r="NH593" s="27" t="s">
        <v>7</v>
      </c>
      <c r="NI593" s="27" t="s">
        <v>8</v>
      </c>
      <c r="NP593" s="27" t="s">
        <v>7</v>
      </c>
      <c r="NQ593" s="27" t="s">
        <v>8</v>
      </c>
      <c r="NR593" s="27" t="s">
        <v>7</v>
      </c>
      <c r="NS593" s="27" t="s">
        <v>8</v>
      </c>
      <c r="NT593" s="27" t="s">
        <v>7</v>
      </c>
      <c r="NW593" s="27" t="s">
        <v>8</v>
      </c>
      <c r="NX593" s="27" t="s">
        <v>7</v>
      </c>
      <c r="NY593" s="27" t="s">
        <v>8</v>
      </c>
      <c r="NZ593" s="27" t="s">
        <v>7</v>
      </c>
      <c r="OC593" s="27" t="s">
        <v>8</v>
      </c>
      <c r="OO593" s="27" t="s">
        <v>8</v>
      </c>
      <c r="OP593" s="27" t="s">
        <v>7</v>
      </c>
      <c r="OQ593" s="27" t="s">
        <v>8</v>
      </c>
      <c r="OR593" s="27" t="s">
        <v>7</v>
      </c>
      <c r="OS593" s="27" t="s">
        <v>8</v>
      </c>
      <c r="OT593" s="27" t="s">
        <v>7</v>
      </c>
      <c r="OU593" s="27" t="s">
        <v>8</v>
      </c>
      <c r="OV593" s="27" t="s">
        <v>7</v>
      </c>
      <c r="OX593" s="27" t="s">
        <v>7</v>
      </c>
      <c r="OY593" s="27" t="s">
        <v>8</v>
      </c>
      <c r="QP593" s="27" t="s">
        <v>7</v>
      </c>
      <c r="QQ593" s="27" t="s">
        <v>8</v>
      </c>
      <c r="QR593" s="27" t="s">
        <v>7</v>
      </c>
      <c r="QS593" s="27" t="s">
        <v>8</v>
      </c>
      <c r="QT593" s="27" t="s">
        <v>7</v>
      </c>
      <c r="QY593" s="27" t="s">
        <v>8</v>
      </c>
      <c r="QZ593" s="27" t="s">
        <v>7</v>
      </c>
    </row>
    <row r="594" spans="1:476" x14ac:dyDescent="0.25">
      <c r="A594" s="7">
        <v>0.87056017861391399</v>
      </c>
      <c r="B594"/>
      <c r="C594"/>
      <c r="D594"/>
      <c r="E594"/>
      <c r="F594" s="27" t="s">
        <v>7</v>
      </c>
      <c r="S594" s="27" t="s">
        <v>8</v>
      </c>
      <c r="LI594" s="27" t="s">
        <v>8</v>
      </c>
      <c r="LJ594" s="27" t="s">
        <v>7</v>
      </c>
      <c r="LO594" s="27" t="s">
        <v>8</v>
      </c>
      <c r="LP594" s="27" t="s">
        <v>7</v>
      </c>
      <c r="LS594" s="27" t="s">
        <v>8</v>
      </c>
      <c r="LT594" s="27" t="s">
        <v>7</v>
      </c>
      <c r="LY594" s="27" t="s">
        <v>8</v>
      </c>
      <c r="LZ594" s="27" t="s">
        <v>7</v>
      </c>
      <c r="MA594" s="27" t="s">
        <v>8</v>
      </c>
      <c r="MB594" s="27" t="s">
        <v>7</v>
      </c>
      <c r="MC594" s="27" t="s">
        <v>8</v>
      </c>
      <c r="MD594" s="27" t="s">
        <v>7</v>
      </c>
      <c r="ME594" s="27" t="s">
        <v>8</v>
      </c>
      <c r="MT594" s="27" t="s">
        <v>7</v>
      </c>
      <c r="MU594" s="27" t="s">
        <v>8</v>
      </c>
      <c r="MV594" s="27" t="s">
        <v>7</v>
      </c>
      <c r="MZ594" s="27" t="s">
        <v>7</v>
      </c>
      <c r="NB594" s="27" t="s">
        <v>7</v>
      </c>
      <c r="NC594" s="27" t="s">
        <v>8</v>
      </c>
      <c r="ND594" s="27" t="s">
        <v>7</v>
      </c>
      <c r="NE594" s="27" t="s">
        <v>8</v>
      </c>
      <c r="NF594" s="27" t="s">
        <v>7</v>
      </c>
      <c r="NG594" s="27" t="s">
        <v>8</v>
      </c>
      <c r="NH594" s="27" t="s">
        <v>7</v>
      </c>
      <c r="NI594" s="27" t="s">
        <v>8</v>
      </c>
      <c r="NP594" s="27" t="s">
        <v>7</v>
      </c>
      <c r="NQ594" s="27" t="s">
        <v>8</v>
      </c>
      <c r="NR594" s="27" t="s">
        <v>7</v>
      </c>
      <c r="NS594" s="27" t="s">
        <v>8</v>
      </c>
      <c r="NT594" s="27" t="s">
        <v>7</v>
      </c>
      <c r="NW594" s="27" t="s">
        <v>8</v>
      </c>
      <c r="NX594" s="27" t="s">
        <v>7</v>
      </c>
      <c r="NY594" s="27" t="s">
        <v>8</v>
      </c>
      <c r="NZ594" s="27" t="s">
        <v>7</v>
      </c>
      <c r="OC594" s="27" t="s">
        <v>8</v>
      </c>
      <c r="OD594" s="27" t="s">
        <v>7</v>
      </c>
      <c r="OO594" s="27" t="s">
        <v>8</v>
      </c>
      <c r="OP594" s="27" t="s">
        <v>7</v>
      </c>
      <c r="OQ594" s="27" t="s">
        <v>8</v>
      </c>
      <c r="OR594" s="27" t="s">
        <v>7</v>
      </c>
      <c r="OS594" s="27" t="s">
        <v>8</v>
      </c>
      <c r="OT594" s="27" t="s">
        <v>7</v>
      </c>
      <c r="OU594" s="27" t="s">
        <v>8</v>
      </c>
      <c r="OX594" s="27" t="s">
        <v>7</v>
      </c>
      <c r="OY594" s="27" t="s">
        <v>8</v>
      </c>
      <c r="QP594" s="27" t="s">
        <v>7</v>
      </c>
      <c r="QQ594" s="27" t="s">
        <v>8</v>
      </c>
      <c r="QR594" s="27" t="s">
        <v>7</v>
      </c>
      <c r="QT594" s="27" t="s">
        <v>7</v>
      </c>
      <c r="QY594" s="27" t="s">
        <v>8</v>
      </c>
      <c r="QZ594" s="27" t="s">
        <v>7</v>
      </c>
    </row>
    <row r="595" spans="1:476" x14ac:dyDescent="0.25">
      <c r="A595" s="7">
        <v>0.85349037119011173</v>
      </c>
      <c r="B595"/>
      <c r="C595"/>
      <c r="D595"/>
      <c r="E595"/>
      <c r="F595" s="27" t="s">
        <v>7</v>
      </c>
      <c r="S595" s="27" t="s">
        <v>8</v>
      </c>
      <c r="T595" s="27" t="s">
        <v>7</v>
      </c>
      <c r="LI595" s="27" t="s">
        <v>8</v>
      </c>
      <c r="LJ595" s="27" t="s">
        <v>7</v>
      </c>
      <c r="LO595" s="27" t="s">
        <v>8</v>
      </c>
      <c r="LP595" s="27" t="s">
        <v>7</v>
      </c>
      <c r="LS595" s="27" t="s">
        <v>8</v>
      </c>
      <c r="LT595" s="27" t="s">
        <v>7</v>
      </c>
      <c r="LY595" s="27" t="s">
        <v>8</v>
      </c>
      <c r="LZ595" s="27" t="s">
        <v>7</v>
      </c>
      <c r="MA595" s="27" t="s">
        <v>8</v>
      </c>
      <c r="MB595" s="27" t="s">
        <v>7</v>
      </c>
      <c r="MC595" s="27" t="s">
        <v>8</v>
      </c>
      <c r="MD595" s="27" t="s">
        <v>7</v>
      </c>
      <c r="MT595" s="27" t="s">
        <v>7</v>
      </c>
      <c r="MU595" s="27" t="s">
        <v>8</v>
      </c>
      <c r="NB595" s="27" t="s">
        <v>7</v>
      </c>
      <c r="NC595" s="27" t="s">
        <v>8</v>
      </c>
      <c r="ND595" s="27" t="s">
        <v>7</v>
      </c>
      <c r="NE595" s="27" t="s">
        <v>8</v>
      </c>
      <c r="NF595" s="27" t="s">
        <v>7</v>
      </c>
      <c r="NG595" s="27" t="s">
        <v>8</v>
      </c>
      <c r="NH595" s="27" t="s">
        <v>7</v>
      </c>
      <c r="NI595" s="27" t="s">
        <v>8</v>
      </c>
      <c r="NP595" s="27" t="s">
        <v>7</v>
      </c>
      <c r="NQ595" s="27" t="s">
        <v>8</v>
      </c>
      <c r="NR595" s="27" t="s">
        <v>7</v>
      </c>
      <c r="NS595" s="27" t="s">
        <v>8</v>
      </c>
      <c r="NT595" s="27" t="s">
        <v>7</v>
      </c>
      <c r="NW595" s="27" t="s">
        <v>8</v>
      </c>
      <c r="NX595" s="27" t="s">
        <v>7</v>
      </c>
      <c r="NY595" s="27" t="s">
        <v>8</v>
      </c>
      <c r="NZ595" s="27" t="s">
        <v>7</v>
      </c>
      <c r="OC595" s="27" t="s">
        <v>8</v>
      </c>
      <c r="OD595" s="27" t="s">
        <v>7</v>
      </c>
      <c r="OK595" s="27" t="s">
        <v>8</v>
      </c>
      <c r="OO595" s="27" t="s">
        <v>8</v>
      </c>
      <c r="OP595" s="27" t="s">
        <v>7</v>
      </c>
      <c r="OQ595" s="27" t="s">
        <v>8</v>
      </c>
      <c r="OR595" s="27" t="s">
        <v>7</v>
      </c>
      <c r="OS595" s="27" t="s">
        <v>8</v>
      </c>
      <c r="OT595" s="27" t="s">
        <v>7</v>
      </c>
      <c r="OX595" s="27" t="s">
        <v>7</v>
      </c>
      <c r="OY595" s="27" t="s">
        <v>8</v>
      </c>
      <c r="QP595" s="27" t="s">
        <v>7</v>
      </c>
      <c r="QQ595" s="27" t="s">
        <v>8</v>
      </c>
      <c r="QT595" s="27" t="s">
        <v>7</v>
      </c>
      <c r="QY595" s="27" t="s">
        <v>8</v>
      </c>
      <c r="QZ595" s="27" t="s">
        <v>7</v>
      </c>
    </row>
    <row r="596" spans="1:476" x14ac:dyDescent="0.25">
      <c r="A596" s="7">
        <v>0.83675526587265858</v>
      </c>
      <c r="B596"/>
      <c r="C596"/>
      <c r="D596"/>
      <c r="E596"/>
      <c r="F596" s="27" t="s">
        <v>7</v>
      </c>
      <c r="S596" s="27" t="s">
        <v>8</v>
      </c>
      <c r="T596" s="27" t="s">
        <v>7</v>
      </c>
      <c r="LI596" s="27" t="s">
        <v>8</v>
      </c>
      <c r="LJ596" s="27" t="s">
        <v>7</v>
      </c>
      <c r="LO596" s="27" t="s">
        <v>8</v>
      </c>
      <c r="LP596" s="27" t="s">
        <v>7</v>
      </c>
      <c r="LS596" s="27" t="s">
        <v>8</v>
      </c>
      <c r="LT596" s="27" t="s">
        <v>7</v>
      </c>
      <c r="LU596" s="27" t="s">
        <v>8</v>
      </c>
      <c r="LY596" s="27" t="s">
        <v>8</v>
      </c>
      <c r="LZ596" s="27" t="s">
        <v>7</v>
      </c>
      <c r="MA596" s="27" t="s">
        <v>8</v>
      </c>
      <c r="MB596" s="27" t="s">
        <v>7</v>
      </c>
      <c r="MC596" s="27" t="s">
        <v>8</v>
      </c>
      <c r="MT596" s="27" t="s">
        <v>7</v>
      </c>
      <c r="MU596" s="27" t="s">
        <v>8</v>
      </c>
      <c r="NB596" s="27" t="s">
        <v>7</v>
      </c>
      <c r="NC596" s="27" t="s">
        <v>8</v>
      </c>
      <c r="ND596" s="27" t="s">
        <v>7</v>
      </c>
      <c r="NE596" s="27" t="s">
        <v>8</v>
      </c>
      <c r="NF596" s="27" t="s">
        <v>7</v>
      </c>
      <c r="NG596" s="27" t="s">
        <v>8</v>
      </c>
      <c r="NH596" s="27" t="s">
        <v>7</v>
      </c>
      <c r="NI596" s="27" t="s">
        <v>8</v>
      </c>
      <c r="NP596" s="27" t="s">
        <v>7</v>
      </c>
      <c r="NQ596" s="27" t="s">
        <v>8</v>
      </c>
      <c r="NR596" s="27" t="s">
        <v>7</v>
      </c>
      <c r="NS596" s="27" t="s">
        <v>8</v>
      </c>
      <c r="NT596" s="27" t="s">
        <v>7</v>
      </c>
      <c r="NW596" s="27" t="s">
        <v>8</v>
      </c>
      <c r="NX596" s="27" t="s">
        <v>7</v>
      </c>
      <c r="NY596" s="27" t="s">
        <v>8</v>
      </c>
      <c r="NZ596" s="27" t="s">
        <v>7</v>
      </c>
      <c r="OC596" s="27" t="s">
        <v>8</v>
      </c>
      <c r="OD596" s="27" t="s">
        <v>7</v>
      </c>
      <c r="OK596" s="27" t="s">
        <v>8</v>
      </c>
      <c r="OL596" s="27" t="s">
        <v>7</v>
      </c>
      <c r="OO596" s="27" t="s">
        <v>8</v>
      </c>
      <c r="OP596" s="27" t="s">
        <v>7</v>
      </c>
      <c r="OQ596" s="27" t="s">
        <v>8</v>
      </c>
      <c r="OR596" s="27" t="s">
        <v>7</v>
      </c>
      <c r="OS596" s="27" t="s">
        <v>8</v>
      </c>
      <c r="OX596" s="27" t="s">
        <v>7</v>
      </c>
      <c r="OY596" s="27" t="s">
        <v>8</v>
      </c>
      <c r="QP596" s="27" t="s">
        <v>7</v>
      </c>
      <c r="QQ596" s="27" t="s">
        <v>8</v>
      </c>
      <c r="QT596" s="27" t="s">
        <v>7</v>
      </c>
      <c r="QW596" s="27" t="s">
        <v>8</v>
      </c>
      <c r="QY596" s="27" t="s">
        <v>8</v>
      </c>
      <c r="QZ596" s="27" t="s">
        <v>7</v>
      </c>
      <c r="RA596" s="27" t="s">
        <v>8</v>
      </c>
    </row>
    <row r="597" spans="1:476" x14ac:dyDescent="0.25">
      <c r="A597" s="7">
        <v>0.82034829987515545</v>
      </c>
      <c r="B597"/>
      <c r="C597"/>
      <c r="D597"/>
      <c r="E597"/>
      <c r="F597" s="27" t="s">
        <v>7</v>
      </c>
      <c r="S597" s="27" t="s">
        <v>8</v>
      </c>
      <c r="T597" s="27" t="s">
        <v>7</v>
      </c>
      <c r="LI597" s="27" t="s">
        <v>8</v>
      </c>
      <c r="LJ597" s="27" t="s">
        <v>7</v>
      </c>
      <c r="LO597" s="27" t="s">
        <v>8</v>
      </c>
      <c r="LP597" s="27" t="s">
        <v>7</v>
      </c>
      <c r="LS597" s="27" t="s">
        <v>8</v>
      </c>
      <c r="LT597" s="27" t="s">
        <v>7</v>
      </c>
      <c r="LU597" s="27" t="s">
        <v>8</v>
      </c>
      <c r="LV597" s="27" t="s">
        <v>7</v>
      </c>
      <c r="LY597" s="27" t="s">
        <v>8</v>
      </c>
      <c r="LZ597" s="27" t="s">
        <v>7</v>
      </c>
      <c r="MA597" s="27" t="s">
        <v>8</v>
      </c>
      <c r="MB597" s="27" t="s">
        <v>7</v>
      </c>
      <c r="MC597" s="27" t="s">
        <v>8</v>
      </c>
      <c r="MT597" s="27" t="s">
        <v>7</v>
      </c>
      <c r="MU597" s="27" t="s">
        <v>8</v>
      </c>
      <c r="NB597" s="27" t="s">
        <v>7</v>
      </c>
      <c r="NC597" s="27" t="s">
        <v>8</v>
      </c>
      <c r="ND597" s="27" t="s">
        <v>7</v>
      </c>
      <c r="NE597" s="27" t="s">
        <v>8</v>
      </c>
      <c r="NF597" s="27" t="s">
        <v>7</v>
      </c>
      <c r="NG597" s="27" t="s">
        <v>8</v>
      </c>
      <c r="NH597" s="27" t="s">
        <v>7</v>
      </c>
      <c r="NI597" s="27" t="s">
        <v>8</v>
      </c>
      <c r="NP597" s="27" t="s">
        <v>7</v>
      </c>
      <c r="NQ597" s="27" t="s">
        <v>8</v>
      </c>
      <c r="NR597" s="27" t="s">
        <v>7</v>
      </c>
      <c r="NS597" s="27" t="s">
        <v>8</v>
      </c>
      <c r="NT597" s="27" t="s">
        <v>7</v>
      </c>
      <c r="NW597" s="27" t="s">
        <v>8</v>
      </c>
      <c r="NX597" s="27" t="s">
        <v>7</v>
      </c>
      <c r="NY597" s="27" t="s">
        <v>8</v>
      </c>
      <c r="NZ597" s="27" t="s">
        <v>7</v>
      </c>
      <c r="OC597" s="27" t="s">
        <v>8</v>
      </c>
      <c r="OD597" s="27" t="s">
        <v>7</v>
      </c>
      <c r="OK597" s="27" t="s">
        <v>8</v>
      </c>
      <c r="OL597" s="27" t="s">
        <v>7</v>
      </c>
      <c r="OO597" s="27" t="s">
        <v>8</v>
      </c>
      <c r="OP597" s="27" t="s">
        <v>7</v>
      </c>
      <c r="OQ597" s="27" t="s">
        <v>8</v>
      </c>
      <c r="OR597" s="27" t="s">
        <v>7</v>
      </c>
      <c r="OX597" s="27" t="s">
        <v>7</v>
      </c>
      <c r="QP597" s="27" t="s">
        <v>7</v>
      </c>
      <c r="QQ597" s="27" t="s">
        <v>8</v>
      </c>
      <c r="QT597" s="27" t="s">
        <v>7</v>
      </c>
      <c r="QW597" s="27" t="s">
        <v>8</v>
      </c>
      <c r="QX597" s="27" t="s">
        <v>7</v>
      </c>
      <c r="QY597" s="27" t="s">
        <v>8</v>
      </c>
      <c r="QZ597" s="27" t="s">
        <v>7</v>
      </c>
      <c r="RA597" s="27" t="s">
        <v>8</v>
      </c>
      <c r="RB597" s="27" t="s">
        <v>7</v>
      </c>
      <c r="RE597" s="27" t="s">
        <v>8</v>
      </c>
      <c r="RG597" s="27" t="s">
        <v>8</v>
      </c>
    </row>
    <row r="598" spans="1:476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S598" s="27" t="s">
        <v>8</v>
      </c>
      <c r="T598" s="27" t="s">
        <v>7</v>
      </c>
      <c r="LI598" s="27" t="s">
        <v>8</v>
      </c>
      <c r="LJ598" s="27" t="s">
        <v>7</v>
      </c>
      <c r="LO598" s="27" t="s">
        <v>8</v>
      </c>
      <c r="LP598" s="27" t="s">
        <v>7</v>
      </c>
      <c r="LQ598" s="27" t="s">
        <v>8</v>
      </c>
      <c r="LS598" s="27" t="s">
        <v>8</v>
      </c>
      <c r="LT598" s="27" t="s">
        <v>7</v>
      </c>
      <c r="LU598" s="27" t="s">
        <v>8</v>
      </c>
      <c r="LV598" s="27" t="s">
        <v>7</v>
      </c>
      <c r="LW598" s="27" t="s">
        <v>8</v>
      </c>
      <c r="LY598" s="27" t="s">
        <v>8</v>
      </c>
      <c r="LZ598" s="27" t="s">
        <v>7</v>
      </c>
      <c r="MA598" s="27" t="s">
        <v>8</v>
      </c>
      <c r="MB598" s="27" t="s">
        <v>7</v>
      </c>
      <c r="MC598" s="27" t="s">
        <v>8</v>
      </c>
      <c r="MT598" s="27" t="s">
        <v>7</v>
      </c>
      <c r="MU598" s="27" t="s">
        <v>8</v>
      </c>
      <c r="NB598" s="27" t="s">
        <v>7</v>
      </c>
      <c r="NC598" s="27" t="s">
        <v>8</v>
      </c>
      <c r="ND598" s="27" t="s">
        <v>7</v>
      </c>
      <c r="NE598" s="27" t="s">
        <v>8</v>
      </c>
      <c r="NF598" s="27" t="s">
        <v>7</v>
      </c>
      <c r="NG598" s="27" t="s">
        <v>8</v>
      </c>
      <c r="NH598" s="27" t="s">
        <v>7</v>
      </c>
      <c r="NI598" s="27" t="s">
        <v>8</v>
      </c>
      <c r="NP598" s="27" t="s">
        <v>7</v>
      </c>
      <c r="NR598" s="27" t="s">
        <v>7</v>
      </c>
      <c r="NS598" s="27" t="s">
        <v>8</v>
      </c>
      <c r="NT598" s="27" t="s">
        <v>7</v>
      </c>
      <c r="NW598" s="27" t="s">
        <v>8</v>
      </c>
      <c r="NX598" s="27" t="s">
        <v>7</v>
      </c>
      <c r="NY598" s="27" t="s">
        <v>8</v>
      </c>
      <c r="NZ598" s="27" t="s">
        <v>7</v>
      </c>
      <c r="OC598" s="27" t="s">
        <v>8</v>
      </c>
      <c r="OD598" s="27" t="s">
        <v>7</v>
      </c>
      <c r="OE598" s="27" t="s">
        <v>8</v>
      </c>
      <c r="OK598" s="27" t="s">
        <v>8</v>
      </c>
      <c r="OL598" s="27" t="s">
        <v>7</v>
      </c>
      <c r="OM598" s="27" t="s">
        <v>8</v>
      </c>
      <c r="OO598" s="27" t="s">
        <v>8</v>
      </c>
      <c r="OP598" s="27" t="s">
        <v>7</v>
      </c>
      <c r="OQ598" s="27" t="s">
        <v>8</v>
      </c>
      <c r="QP598" s="27" t="s">
        <v>7</v>
      </c>
      <c r="QQ598" s="27" t="s">
        <v>8</v>
      </c>
      <c r="QT598" s="27" t="s">
        <v>7</v>
      </c>
      <c r="QW598" s="27" t="s">
        <v>8</v>
      </c>
      <c r="QX598" s="27" t="s">
        <v>7</v>
      </c>
      <c r="QY598" s="27" t="s">
        <v>8</v>
      </c>
      <c r="QZ598" s="27" t="s">
        <v>7</v>
      </c>
      <c r="RA598" s="27" t="s">
        <v>8</v>
      </c>
      <c r="RB598" s="27" t="s">
        <v>7</v>
      </c>
      <c r="RE598" s="27" t="s">
        <v>8</v>
      </c>
      <c r="RF598" s="27" t="s">
        <v>7</v>
      </c>
      <c r="RG598" s="27" t="s">
        <v>8</v>
      </c>
      <c r="RH598" s="27" t="s">
        <v>7</v>
      </c>
    </row>
    <row r="599" spans="1:476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I599" s="27" t="s">
        <v>8</v>
      </c>
      <c r="S599" s="27" t="s">
        <v>8</v>
      </c>
      <c r="T599" s="27" t="s">
        <v>7</v>
      </c>
      <c r="LI599" s="27" t="s">
        <v>8</v>
      </c>
      <c r="LJ599" s="27" t="s">
        <v>7</v>
      </c>
      <c r="LO599" s="27" t="s">
        <v>8</v>
      </c>
      <c r="LP599" s="27" t="s">
        <v>7</v>
      </c>
      <c r="LQ599" s="27" t="s">
        <v>8</v>
      </c>
      <c r="LR599" s="27" t="s">
        <v>7</v>
      </c>
      <c r="LS599" s="27" t="s">
        <v>8</v>
      </c>
      <c r="LT599" s="27" t="s">
        <v>7</v>
      </c>
      <c r="LU599" s="27" t="s">
        <v>8</v>
      </c>
      <c r="LV599" s="27" t="s">
        <v>7</v>
      </c>
      <c r="LW599" s="27" t="s">
        <v>8</v>
      </c>
      <c r="LX599" s="27" t="s">
        <v>7</v>
      </c>
      <c r="LY599" s="27" t="s">
        <v>8</v>
      </c>
      <c r="LZ599" s="27" t="s">
        <v>7</v>
      </c>
      <c r="MA599" s="27" t="s">
        <v>8</v>
      </c>
      <c r="MB599" s="27" t="s">
        <v>7</v>
      </c>
      <c r="MC599" s="27" t="s">
        <v>8</v>
      </c>
      <c r="MT599" s="27" t="s">
        <v>7</v>
      </c>
      <c r="MU599" s="27" t="s">
        <v>8</v>
      </c>
      <c r="NB599" s="27" t="s">
        <v>7</v>
      </c>
      <c r="NC599" s="27" t="s">
        <v>8</v>
      </c>
      <c r="ND599" s="27" t="s">
        <v>7</v>
      </c>
      <c r="NE599" s="27" t="s">
        <v>8</v>
      </c>
      <c r="NF599" s="27" t="s">
        <v>7</v>
      </c>
      <c r="NG599" s="27" t="s">
        <v>8</v>
      </c>
      <c r="NH599" s="27" t="s">
        <v>7</v>
      </c>
      <c r="NI599" s="27" t="s">
        <v>8</v>
      </c>
      <c r="NR599" s="27" t="s">
        <v>7</v>
      </c>
      <c r="NS599" s="27" t="s">
        <v>8</v>
      </c>
      <c r="NT599" s="27" t="s">
        <v>7</v>
      </c>
      <c r="NW599" s="27" t="s">
        <v>8</v>
      </c>
      <c r="NX599" s="27" t="s">
        <v>7</v>
      </c>
      <c r="NY599" s="27" t="s">
        <v>8</v>
      </c>
      <c r="NZ599" s="27" t="s">
        <v>7</v>
      </c>
      <c r="OA599" s="27" t="s">
        <v>8</v>
      </c>
      <c r="OC599" s="27" t="s">
        <v>8</v>
      </c>
      <c r="OD599" s="27" t="s">
        <v>7</v>
      </c>
      <c r="OE599" s="27" t="s">
        <v>8</v>
      </c>
      <c r="OF599" s="27" t="s">
        <v>7</v>
      </c>
      <c r="OK599" s="27" t="s">
        <v>8</v>
      </c>
      <c r="OL599" s="27" t="s">
        <v>7</v>
      </c>
      <c r="OM599" s="27" t="s">
        <v>8</v>
      </c>
      <c r="ON599" s="27" t="s">
        <v>7</v>
      </c>
      <c r="OO599" s="27" t="s">
        <v>8</v>
      </c>
      <c r="OP599" s="27" t="s">
        <v>7</v>
      </c>
      <c r="OQ599" s="27" t="s">
        <v>8</v>
      </c>
      <c r="QP599" s="27" t="s">
        <v>7</v>
      </c>
      <c r="QQ599" s="27" t="s">
        <v>8</v>
      </c>
      <c r="QT599" s="27" t="s">
        <v>7</v>
      </c>
      <c r="QU599" s="27" t="s">
        <v>8</v>
      </c>
      <c r="QW599" s="27" t="s">
        <v>8</v>
      </c>
      <c r="QX599" s="27" t="s">
        <v>7</v>
      </c>
      <c r="QY599" s="27" t="s">
        <v>8</v>
      </c>
      <c r="QZ599" s="27" t="s">
        <v>7</v>
      </c>
      <c r="RA599" s="27" t="s">
        <v>8</v>
      </c>
      <c r="RB599" s="27" t="s">
        <v>7</v>
      </c>
      <c r="RE599" s="27" t="s">
        <v>8</v>
      </c>
      <c r="RF599" s="27" t="s">
        <v>7</v>
      </c>
      <c r="RG599" s="27" t="s">
        <v>8</v>
      </c>
      <c r="RH599" s="27" t="s">
        <v>7</v>
      </c>
    </row>
    <row r="600" spans="1:476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I600" s="27" t="s">
        <v>8</v>
      </c>
      <c r="J600" s="27" t="s">
        <v>7</v>
      </c>
      <c r="S600" s="27" t="s">
        <v>8</v>
      </c>
      <c r="T600" s="27" t="s">
        <v>7</v>
      </c>
      <c r="LI600" s="27" t="s">
        <v>8</v>
      </c>
      <c r="LJ600" s="27" t="s">
        <v>7</v>
      </c>
      <c r="LO600" s="27" t="s">
        <v>8</v>
      </c>
      <c r="LP600" s="27" t="s">
        <v>7</v>
      </c>
      <c r="LQ600" s="27" t="s">
        <v>8</v>
      </c>
      <c r="LR600" s="27" t="s">
        <v>7</v>
      </c>
      <c r="LS600" s="27" t="s">
        <v>8</v>
      </c>
      <c r="LT600" s="27" t="s">
        <v>7</v>
      </c>
      <c r="LU600" s="27" t="s">
        <v>8</v>
      </c>
      <c r="LV600" s="27" t="s">
        <v>7</v>
      </c>
      <c r="LW600" s="27" t="s">
        <v>8</v>
      </c>
      <c r="LX600" s="27" t="s">
        <v>7</v>
      </c>
      <c r="LY600" s="27" t="s">
        <v>8</v>
      </c>
      <c r="LZ600" s="27" t="s">
        <v>7</v>
      </c>
      <c r="MA600" s="27" t="s">
        <v>8</v>
      </c>
      <c r="MB600" s="27" t="s">
        <v>7</v>
      </c>
      <c r="MC600" s="27" t="s">
        <v>8</v>
      </c>
      <c r="MT600" s="27" t="s">
        <v>7</v>
      </c>
      <c r="MU600" s="27" t="s">
        <v>8</v>
      </c>
      <c r="NB600" s="27" t="s">
        <v>7</v>
      </c>
      <c r="NC600" s="27" t="s">
        <v>8</v>
      </c>
      <c r="ND600" s="27" t="s">
        <v>7</v>
      </c>
      <c r="NE600" s="27" t="s">
        <v>8</v>
      </c>
      <c r="NF600" s="27" t="s">
        <v>7</v>
      </c>
      <c r="NG600" s="27" t="s">
        <v>8</v>
      </c>
      <c r="NH600" s="27" t="s">
        <v>7</v>
      </c>
      <c r="NR600" s="27" t="s">
        <v>7</v>
      </c>
      <c r="NS600" s="27" t="s">
        <v>8</v>
      </c>
      <c r="NT600" s="27" t="s">
        <v>7</v>
      </c>
      <c r="NW600" s="27" t="s">
        <v>8</v>
      </c>
      <c r="NX600" s="27" t="s">
        <v>7</v>
      </c>
      <c r="NY600" s="27" t="s">
        <v>8</v>
      </c>
      <c r="NZ600" s="27" t="s">
        <v>7</v>
      </c>
      <c r="OA600" s="27" t="s">
        <v>8</v>
      </c>
      <c r="OB600" s="27" t="s">
        <v>7</v>
      </c>
      <c r="OC600" s="27" t="s">
        <v>8</v>
      </c>
      <c r="OD600" s="27" t="s">
        <v>7</v>
      </c>
      <c r="OE600" s="27" t="s">
        <v>8</v>
      </c>
      <c r="OF600" s="27" t="s">
        <v>7</v>
      </c>
      <c r="OK600" s="27" t="s">
        <v>8</v>
      </c>
      <c r="OL600" s="27" t="s">
        <v>7</v>
      </c>
      <c r="OM600" s="27" t="s">
        <v>8</v>
      </c>
      <c r="ON600" s="27" t="s">
        <v>7</v>
      </c>
      <c r="OO600" s="27" t="s">
        <v>8</v>
      </c>
      <c r="OP600" s="27" t="s">
        <v>7</v>
      </c>
      <c r="OQ600" s="27" t="s">
        <v>8</v>
      </c>
      <c r="QP600" s="27" t="s">
        <v>7</v>
      </c>
      <c r="QT600" s="27" t="s">
        <v>7</v>
      </c>
      <c r="QU600" s="27" t="s">
        <v>8</v>
      </c>
      <c r="QV600" s="27" t="s">
        <v>7</v>
      </c>
      <c r="QW600" s="27" t="s">
        <v>8</v>
      </c>
      <c r="QX600" s="27" t="s">
        <v>7</v>
      </c>
      <c r="QY600" s="27" t="s">
        <v>8</v>
      </c>
      <c r="QZ600" s="27" t="s">
        <v>7</v>
      </c>
      <c r="RA600" s="27" t="s">
        <v>8</v>
      </c>
      <c r="RB600" s="27" t="s">
        <v>7</v>
      </c>
      <c r="RE600" s="27" t="s">
        <v>8</v>
      </c>
      <c r="RF600" s="27" t="s">
        <v>7</v>
      </c>
      <c r="RG600" s="27" t="s">
        <v>8</v>
      </c>
      <c r="RH600" s="27" t="s">
        <v>7</v>
      </c>
    </row>
    <row r="601" spans="1:476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I601" s="27" t="s">
        <v>8</v>
      </c>
      <c r="J601" s="27" t="s">
        <v>7</v>
      </c>
      <c r="S601" s="27" t="s">
        <v>8</v>
      </c>
      <c r="T601" s="27" t="s">
        <v>7</v>
      </c>
      <c r="LI601" s="27" t="s">
        <v>8</v>
      </c>
      <c r="LJ601" s="27" t="s">
        <v>7</v>
      </c>
      <c r="LO601" s="27" t="s">
        <v>8</v>
      </c>
      <c r="LP601" s="27" t="s">
        <v>7</v>
      </c>
      <c r="LQ601" s="27" t="s">
        <v>8</v>
      </c>
      <c r="LR601" s="27" t="s">
        <v>7</v>
      </c>
      <c r="LS601" s="27" t="s">
        <v>8</v>
      </c>
      <c r="LT601" s="27" t="s">
        <v>7</v>
      </c>
      <c r="LU601" s="27" t="s">
        <v>8</v>
      </c>
      <c r="LV601" s="27" t="s">
        <v>7</v>
      </c>
      <c r="LW601" s="27" t="s">
        <v>8</v>
      </c>
      <c r="LX601" s="27" t="s">
        <v>7</v>
      </c>
      <c r="LY601" s="27" t="s">
        <v>8</v>
      </c>
      <c r="LZ601" s="27" t="s">
        <v>7</v>
      </c>
      <c r="MA601" s="27" t="s">
        <v>8</v>
      </c>
      <c r="MB601" s="27" t="s">
        <v>7</v>
      </c>
      <c r="MC601" s="27" t="s">
        <v>8</v>
      </c>
      <c r="MT601" s="27" t="s">
        <v>7</v>
      </c>
      <c r="MU601" s="27" t="s">
        <v>8</v>
      </c>
      <c r="NB601" s="27" t="s">
        <v>7</v>
      </c>
      <c r="NC601" s="27" t="s">
        <v>8</v>
      </c>
      <c r="ND601" s="27" t="s">
        <v>7</v>
      </c>
      <c r="NE601" s="27" t="s">
        <v>8</v>
      </c>
      <c r="NF601" s="27" t="s">
        <v>7</v>
      </c>
      <c r="NG601" s="27" t="s">
        <v>8</v>
      </c>
      <c r="NR601" s="27" t="s">
        <v>7</v>
      </c>
      <c r="NS601" s="27" t="s">
        <v>8</v>
      </c>
      <c r="NT601" s="27" t="s">
        <v>7</v>
      </c>
      <c r="NW601" s="27" t="s">
        <v>8</v>
      </c>
      <c r="NX601" s="27" t="s">
        <v>7</v>
      </c>
      <c r="NY601" s="27" t="s">
        <v>8</v>
      </c>
      <c r="NZ601" s="27" t="s">
        <v>7</v>
      </c>
      <c r="OA601" s="27" t="s">
        <v>8</v>
      </c>
      <c r="OB601" s="27" t="s">
        <v>7</v>
      </c>
      <c r="OC601" s="27" t="s">
        <v>8</v>
      </c>
      <c r="OD601" s="27" t="s">
        <v>7</v>
      </c>
      <c r="OE601" s="27" t="s">
        <v>8</v>
      </c>
      <c r="OF601" s="27" t="s">
        <v>7</v>
      </c>
      <c r="OK601" s="27" t="s">
        <v>8</v>
      </c>
      <c r="OL601" s="27" t="s">
        <v>7</v>
      </c>
      <c r="OM601" s="27" t="s">
        <v>8</v>
      </c>
      <c r="ON601" s="27" t="s">
        <v>7</v>
      </c>
      <c r="OO601" s="27" t="s">
        <v>8</v>
      </c>
      <c r="OP601" s="27" t="s">
        <v>7</v>
      </c>
      <c r="QT601" s="27" t="s">
        <v>7</v>
      </c>
      <c r="QU601" s="27" t="s">
        <v>8</v>
      </c>
      <c r="QV601" s="27" t="s">
        <v>7</v>
      </c>
      <c r="QW601" s="27" t="s">
        <v>8</v>
      </c>
      <c r="QX601" s="27" t="s">
        <v>7</v>
      </c>
      <c r="QY601" s="27" t="s">
        <v>8</v>
      </c>
      <c r="QZ601" s="27" t="s">
        <v>7</v>
      </c>
      <c r="RA601" s="27" t="s">
        <v>8</v>
      </c>
      <c r="RB601" s="27" t="s">
        <v>7</v>
      </c>
      <c r="RE601" s="27" t="s">
        <v>8</v>
      </c>
      <c r="RF601" s="27" t="s">
        <v>7</v>
      </c>
      <c r="RG601" s="27" t="s">
        <v>8</v>
      </c>
      <c r="RH601" s="27" t="s">
        <v>7</v>
      </c>
    </row>
    <row r="602" spans="1:476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I602" s="27" t="s">
        <v>8</v>
      </c>
      <c r="J602" s="27" t="s">
        <v>7</v>
      </c>
      <c r="S602" s="27" t="s">
        <v>8</v>
      </c>
      <c r="T602" s="27" t="s">
        <v>7</v>
      </c>
      <c r="LI602" s="27" t="s">
        <v>8</v>
      </c>
      <c r="LJ602" s="27" t="s">
        <v>7</v>
      </c>
      <c r="LO602" s="27" t="s">
        <v>8</v>
      </c>
      <c r="LP602" s="27" t="s">
        <v>7</v>
      </c>
      <c r="LQ602" s="27" t="s">
        <v>8</v>
      </c>
      <c r="LR602" s="27" t="s">
        <v>7</v>
      </c>
      <c r="LS602" s="27" t="s">
        <v>8</v>
      </c>
      <c r="LT602" s="27" t="s">
        <v>7</v>
      </c>
      <c r="LU602" s="27" t="s">
        <v>8</v>
      </c>
      <c r="LV602" s="27" t="s">
        <v>7</v>
      </c>
      <c r="LW602" s="27" t="s">
        <v>8</v>
      </c>
      <c r="LX602" s="27" t="s">
        <v>7</v>
      </c>
      <c r="LZ602" s="27" t="s">
        <v>7</v>
      </c>
      <c r="MA602" s="27" t="s">
        <v>8</v>
      </c>
      <c r="MB602" s="27" t="s">
        <v>7</v>
      </c>
      <c r="MC602" s="27" t="s">
        <v>8</v>
      </c>
      <c r="MT602" s="27" t="s">
        <v>7</v>
      </c>
      <c r="MU602" s="27" t="s">
        <v>8</v>
      </c>
      <c r="NB602" s="27" t="s">
        <v>7</v>
      </c>
      <c r="NC602" s="27" t="s">
        <v>8</v>
      </c>
      <c r="ND602" s="27" t="s">
        <v>7</v>
      </c>
      <c r="NE602" s="27" t="s">
        <v>8</v>
      </c>
      <c r="NF602" s="27" t="s">
        <v>7</v>
      </c>
      <c r="NG602" s="27" t="s">
        <v>8</v>
      </c>
      <c r="NR602" s="27" t="s">
        <v>7</v>
      </c>
      <c r="NS602" s="27" t="s">
        <v>8</v>
      </c>
      <c r="NT602" s="27" t="s">
        <v>7</v>
      </c>
      <c r="NW602" s="27" t="s">
        <v>8</v>
      </c>
      <c r="NX602" s="27" t="s">
        <v>7</v>
      </c>
      <c r="NY602" s="27" t="s">
        <v>8</v>
      </c>
      <c r="NZ602" s="27" t="s">
        <v>7</v>
      </c>
      <c r="OA602" s="27" t="s">
        <v>8</v>
      </c>
      <c r="OB602" s="27" t="s">
        <v>7</v>
      </c>
      <c r="OC602" s="27" t="s">
        <v>8</v>
      </c>
      <c r="OD602" s="27" t="s">
        <v>7</v>
      </c>
      <c r="OE602" s="27" t="s">
        <v>8</v>
      </c>
      <c r="OF602" s="27" t="s">
        <v>7</v>
      </c>
      <c r="OK602" s="27" t="s">
        <v>8</v>
      </c>
      <c r="OL602" s="27" t="s">
        <v>7</v>
      </c>
      <c r="OM602" s="27" t="s">
        <v>8</v>
      </c>
      <c r="ON602" s="27" t="s">
        <v>7</v>
      </c>
      <c r="QT602" s="27" t="s">
        <v>7</v>
      </c>
      <c r="QU602" s="27" t="s">
        <v>8</v>
      </c>
      <c r="QV602" s="27" t="s">
        <v>7</v>
      </c>
      <c r="QW602" s="27" t="s">
        <v>8</v>
      </c>
      <c r="QX602" s="27" t="s">
        <v>7</v>
      </c>
      <c r="QY602" s="27" t="s">
        <v>8</v>
      </c>
      <c r="QZ602" s="27" t="s">
        <v>7</v>
      </c>
      <c r="RA602" s="27" t="s">
        <v>8</v>
      </c>
      <c r="RB602" s="27" t="s">
        <v>7</v>
      </c>
      <c r="RE602" s="27" t="s">
        <v>8</v>
      </c>
      <c r="RF602" s="27" t="s">
        <v>7</v>
      </c>
      <c r="RG602" s="27" t="s">
        <v>8</v>
      </c>
      <c r="RH602" s="27" t="s">
        <v>7</v>
      </c>
    </row>
    <row r="603" spans="1:476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I603" s="27" t="s">
        <v>8</v>
      </c>
      <c r="J603" s="27" t="s">
        <v>7</v>
      </c>
      <c r="S603" s="27" t="s">
        <v>8</v>
      </c>
      <c r="T603" s="27" t="s">
        <v>7</v>
      </c>
      <c r="LI603" s="27" t="s">
        <v>8</v>
      </c>
      <c r="LJ603" s="27" t="s">
        <v>7</v>
      </c>
      <c r="LO603" s="27" t="s">
        <v>8</v>
      </c>
      <c r="LP603" s="27" t="s">
        <v>7</v>
      </c>
      <c r="LQ603" s="27" t="s">
        <v>8</v>
      </c>
      <c r="LR603" s="27" t="s">
        <v>7</v>
      </c>
      <c r="LS603" s="27" t="s">
        <v>8</v>
      </c>
      <c r="LT603" s="27" t="s">
        <v>7</v>
      </c>
      <c r="LU603" s="27" t="s">
        <v>8</v>
      </c>
      <c r="LV603" s="27" t="s">
        <v>7</v>
      </c>
      <c r="LW603" s="27" t="s">
        <v>8</v>
      </c>
      <c r="LZ603" s="27" t="s">
        <v>7</v>
      </c>
      <c r="MB603" s="27" t="s">
        <v>7</v>
      </c>
      <c r="MC603" s="27" t="s">
        <v>8</v>
      </c>
      <c r="MT603" s="27" t="s">
        <v>7</v>
      </c>
      <c r="MU603" s="27" t="s">
        <v>8</v>
      </c>
      <c r="NB603" s="27" t="s">
        <v>7</v>
      </c>
      <c r="ND603" s="27" t="s">
        <v>7</v>
      </c>
      <c r="NE603" s="27" t="s">
        <v>8</v>
      </c>
      <c r="NF603" s="27" t="s">
        <v>7</v>
      </c>
      <c r="NG603" s="27" t="s">
        <v>8</v>
      </c>
      <c r="NR603" s="27" t="s">
        <v>7</v>
      </c>
      <c r="NT603" s="27" t="s">
        <v>7</v>
      </c>
      <c r="NW603" s="27" t="s">
        <v>8</v>
      </c>
      <c r="NX603" s="27" t="s">
        <v>7</v>
      </c>
      <c r="NY603" s="27" t="s">
        <v>8</v>
      </c>
      <c r="NZ603" s="27" t="s">
        <v>7</v>
      </c>
      <c r="OA603" s="27" t="s">
        <v>8</v>
      </c>
      <c r="OB603" s="27" t="s">
        <v>7</v>
      </c>
      <c r="OC603" s="27" t="s">
        <v>8</v>
      </c>
      <c r="OD603" s="27" t="s">
        <v>7</v>
      </c>
      <c r="OE603" s="27" t="s">
        <v>8</v>
      </c>
      <c r="OF603" s="27" t="s">
        <v>7</v>
      </c>
      <c r="OG603" s="27" t="s">
        <v>8</v>
      </c>
      <c r="OK603" s="27" t="s">
        <v>8</v>
      </c>
      <c r="OL603" s="27" t="s">
        <v>7</v>
      </c>
      <c r="OM603" s="27" t="s">
        <v>8</v>
      </c>
      <c r="QT603" s="27" t="s">
        <v>7</v>
      </c>
      <c r="QV603" s="27" t="s">
        <v>7</v>
      </c>
      <c r="QW603" s="27" t="s">
        <v>8</v>
      </c>
      <c r="QX603" s="27" t="s">
        <v>7</v>
      </c>
      <c r="QZ603" s="27" t="s">
        <v>7</v>
      </c>
      <c r="RB603" s="27" t="s">
        <v>7</v>
      </c>
      <c r="RC603" s="27" t="s">
        <v>8</v>
      </c>
      <c r="RE603" s="27" t="s">
        <v>8</v>
      </c>
      <c r="RF603" s="27" t="s">
        <v>7</v>
      </c>
      <c r="RG603" s="27" t="s">
        <v>8</v>
      </c>
      <c r="RH603" s="27" t="s">
        <v>7</v>
      </c>
    </row>
    <row r="604" spans="1:476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J604" s="27" t="s">
        <v>7</v>
      </c>
      <c r="S604" s="27" t="s">
        <v>8</v>
      </c>
      <c r="T604" s="27" t="s">
        <v>7</v>
      </c>
      <c r="LI604" s="27" t="s">
        <v>8</v>
      </c>
      <c r="LJ604" s="27" t="s">
        <v>7</v>
      </c>
      <c r="LO604" s="27" t="s">
        <v>8</v>
      </c>
      <c r="LP604" s="27" t="s">
        <v>7</v>
      </c>
      <c r="LR604" s="27" t="s">
        <v>7</v>
      </c>
      <c r="LT604" s="27" t="s">
        <v>7</v>
      </c>
      <c r="LV604" s="27" t="s">
        <v>7</v>
      </c>
      <c r="LW604" s="27" t="s">
        <v>8</v>
      </c>
      <c r="MB604" s="27" t="s">
        <v>7</v>
      </c>
      <c r="MC604" s="27" t="s">
        <v>8</v>
      </c>
      <c r="MT604" s="27" t="s">
        <v>7</v>
      </c>
      <c r="MU604" s="27" t="s">
        <v>8</v>
      </c>
      <c r="ND604" s="27" t="s">
        <v>7</v>
      </c>
      <c r="NE604" s="27" t="s">
        <v>8</v>
      </c>
      <c r="NF604" s="27" t="s">
        <v>7</v>
      </c>
      <c r="NG604" s="27" t="s">
        <v>8</v>
      </c>
      <c r="NT604" s="27" t="s">
        <v>7</v>
      </c>
      <c r="NW604" s="27" t="s">
        <v>8</v>
      </c>
      <c r="NX604" s="27" t="s">
        <v>7</v>
      </c>
      <c r="NY604" s="27" t="s">
        <v>8</v>
      </c>
      <c r="NZ604" s="27" t="s">
        <v>7</v>
      </c>
      <c r="OA604" s="27" t="s">
        <v>8</v>
      </c>
      <c r="OB604" s="27" t="s">
        <v>7</v>
      </c>
      <c r="OD604" s="27" t="s">
        <v>7</v>
      </c>
      <c r="OF604" s="27" t="s">
        <v>7</v>
      </c>
      <c r="OG604" s="27" t="s">
        <v>8</v>
      </c>
      <c r="OH604" s="27" t="s">
        <v>7</v>
      </c>
      <c r="OI604" s="27" t="s">
        <v>8</v>
      </c>
      <c r="OK604" s="27" t="s">
        <v>8</v>
      </c>
      <c r="OL604" s="27" t="s">
        <v>7</v>
      </c>
      <c r="QV604" s="27" t="s">
        <v>7</v>
      </c>
      <c r="QW604" s="27" t="s">
        <v>8</v>
      </c>
      <c r="RB604" s="27" t="s">
        <v>7</v>
      </c>
      <c r="RC604" s="27" t="s">
        <v>8</v>
      </c>
      <c r="RD604" s="27" t="s">
        <v>7</v>
      </c>
      <c r="RE604" s="27" t="s">
        <v>8</v>
      </c>
      <c r="RF604" s="27" t="s">
        <v>7</v>
      </c>
      <c r="RG604" s="27" t="s">
        <v>8</v>
      </c>
      <c r="RH604" s="27" t="s">
        <v>7</v>
      </c>
    </row>
    <row r="605" spans="1:476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J605" s="27" t="s">
        <v>7</v>
      </c>
      <c r="S605" s="27" t="s">
        <v>8</v>
      </c>
      <c r="T605" s="27" t="s">
        <v>7</v>
      </c>
      <c r="LI605" s="27" t="s">
        <v>8</v>
      </c>
      <c r="LJ605" s="27" t="s">
        <v>7</v>
      </c>
      <c r="LO605" s="27" t="s">
        <v>8</v>
      </c>
      <c r="LV605" s="27" t="s">
        <v>7</v>
      </c>
      <c r="LW605" s="27" t="s">
        <v>8</v>
      </c>
      <c r="MB605" s="27" t="s">
        <v>7</v>
      </c>
      <c r="MC605" s="27" t="s">
        <v>8</v>
      </c>
      <c r="MT605" s="27" t="s">
        <v>7</v>
      </c>
      <c r="MU605" s="27" t="s">
        <v>8</v>
      </c>
      <c r="ND605" s="27" t="s">
        <v>7</v>
      </c>
      <c r="NE605" s="27" t="s">
        <v>8</v>
      </c>
      <c r="NF605" s="27" t="s">
        <v>7</v>
      </c>
      <c r="NG605" s="27" t="s">
        <v>8</v>
      </c>
      <c r="NT605" s="27" t="s">
        <v>7</v>
      </c>
      <c r="NW605" s="27" t="s">
        <v>8</v>
      </c>
      <c r="NX605" s="27" t="s">
        <v>7</v>
      </c>
      <c r="NY605" s="27" t="s">
        <v>8</v>
      </c>
      <c r="NZ605" s="27" t="s">
        <v>7</v>
      </c>
      <c r="OA605" s="27" t="s">
        <v>8</v>
      </c>
      <c r="OF605" s="27" t="s">
        <v>7</v>
      </c>
      <c r="OG605" s="27" t="s">
        <v>8</v>
      </c>
      <c r="OH605" s="27" t="s">
        <v>7</v>
      </c>
      <c r="OI605" s="27" t="s">
        <v>8</v>
      </c>
      <c r="OJ605" s="27" t="s">
        <v>7</v>
      </c>
      <c r="OK605" s="27" t="s">
        <v>8</v>
      </c>
      <c r="QV605" s="27" t="s">
        <v>7</v>
      </c>
      <c r="RB605" s="27" t="s">
        <v>7</v>
      </c>
      <c r="RC605" s="27" t="s">
        <v>8</v>
      </c>
      <c r="RD605" s="27" t="s">
        <v>7</v>
      </c>
      <c r="RE605" s="27" t="s">
        <v>8</v>
      </c>
      <c r="RF605" s="27" t="s">
        <v>7</v>
      </c>
      <c r="RG605" s="27" t="s">
        <v>8</v>
      </c>
      <c r="RH605" s="27" t="s">
        <v>7</v>
      </c>
    </row>
    <row r="606" spans="1:476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J606" s="27" t="s">
        <v>7</v>
      </c>
      <c r="K606" s="27" t="s">
        <v>8</v>
      </c>
      <c r="S606" s="27" t="s">
        <v>8</v>
      </c>
      <c r="T606" s="27" t="s">
        <v>7</v>
      </c>
      <c r="LI606" s="27" t="s">
        <v>8</v>
      </c>
      <c r="LJ606" s="27" t="s">
        <v>7</v>
      </c>
      <c r="LO606" s="27" t="s">
        <v>8</v>
      </c>
      <c r="LV606" s="27" t="s">
        <v>7</v>
      </c>
      <c r="LW606" s="27" t="s">
        <v>8</v>
      </c>
      <c r="MB606" s="27" t="s">
        <v>7</v>
      </c>
      <c r="MC606" s="27" t="s">
        <v>8</v>
      </c>
      <c r="MT606" s="27" t="s">
        <v>7</v>
      </c>
      <c r="MU606" s="27" t="s">
        <v>8</v>
      </c>
      <c r="ND606" s="27" t="s">
        <v>7</v>
      </c>
      <c r="NE606" s="27" t="s">
        <v>8</v>
      </c>
      <c r="NF606" s="27" t="s">
        <v>7</v>
      </c>
      <c r="NG606" s="27" t="s">
        <v>8</v>
      </c>
      <c r="NT606" s="27" t="s">
        <v>7</v>
      </c>
      <c r="NW606" s="27" t="s">
        <v>8</v>
      </c>
      <c r="NX606" s="27" t="s">
        <v>7</v>
      </c>
      <c r="NY606" s="27" t="s">
        <v>8</v>
      </c>
      <c r="NZ606" s="27" t="s">
        <v>7</v>
      </c>
      <c r="OA606" s="27" t="s">
        <v>8</v>
      </c>
      <c r="OF606" s="27" t="s">
        <v>7</v>
      </c>
      <c r="OH606" s="27" t="s">
        <v>7</v>
      </c>
      <c r="OI606" s="27" t="s">
        <v>8</v>
      </c>
      <c r="OJ606" s="27" t="s">
        <v>7</v>
      </c>
      <c r="OK606" s="27" t="s">
        <v>8</v>
      </c>
      <c r="RB606" s="27" t="s">
        <v>7</v>
      </c>
      <c r="RC606" s="27" t="s">
        <v>8</v>
      </c>
      <c r="RD606" s="27" t="s">
        <v>7</v>
      </c>
      <c r="RE606" s="27" t="s">
        <v>8</v>
      </c>
      <c r="RF606" s="27" t="s">
        <v>7</v>
      </c>
      <c r="RG606" s="27" t="s">
        <v>8</v>
      </c>
      <c r="RH606" s="27" t="s">
        <v>7</v>
      </c>
    </row>
    <row r="607" spans="1:476" x14ac:dyDescent="0.25">
      <c r="A607" s="7">
        <v>0.67297133310805768</v>
      </c>
      <c r="B607"/>
      <c r="C607"/>
      <c r="D607"/>
      <c r="E607"/>
      <c r="F607" s="27" t="s">
        <v>7</v>
      </c>
      <c r="J607" s="27" t="s">
        <v>7</v>
      </c>
      <c r="K607" s="27" t="s">
        <v>8</v>
      </c>
      <c r="L607" s="27" t="s">
        <v>7</v>
      </c>
      <c r="S607" s="27" t="s">
        <v>8</v>
      </c>
      <c r="T607" s="27" t="s">
        <v>7</v>
      </c>
      <c r="W607" s="27" t="s">
        <v>8</v>
      </c>
      <c r="AC607" s="27" t="s">
        <v>8</v>
      </c>
      <c r="LI607" s="27" t="s">
        <v>8</v>
      </c>
      <c r="LJ607" s="27" t="s">
        <v>7</v>
      </c>
      <c r="LO607" s="27" t="s">
        <v>8</v>
      </c>
      <c r="LV607" s="27" t="s">
        <v>7</v>
      </c>
      <c r="MB607" s="27" t="s">
        <v>7</v>
      </c>
      <c r="MC607" s="27" t="s">
        <v>8</v>
      </c>
      <c r="MT607" s="27" t="s">
        <v>7</v>
      </c>
      <c r="MU607" s="27" t="s">
        <v>8</v>
      </c>
      <c r="ND607" s="27" t="s">
        <v>7</v>
      </c>
      <c r="NE607" s="27" t="s">
        <v>8</v>
      </c>
      <c r="NF607" s="27" t="s">
        <v>7</v>
      </c>
      <c r="NG607" s="27" t="s">
        <v>8</v>
      </c>
      <c r="NT607" s="27" t="s">
        <v>7</v>
      </c>
      <c r="NW607" s="27" t="s">
        <v>8</v>
      </c>
      <c r="NX607" s="27" t="s">
        <v>7</v>
      </c>
      <c r="NY607" s="27" t="s">
        <v>8</v>
      </c>
      <c r="NZ607" s="27" t="s">
        <v>7</v>
      </c>
      <c r="OH607" s="27" t="s">
        <v>7</v>
      </c>
      <c r="OI607" s="27" t="s">
        <v>8</v>
      </c>
      <c r="OJ607" s="27" t="s">
        <v>7</v>
      </c>
      <c r="RB607" s="27" t="s">
        <v>7</v>
      </c>
      <c r="RC607" s="27" t="s">
        <v>8</v>
      </c>
      <c r="RD607" s="27" t="s">
        <v>7</v>
      </c>
      <c r="RF607" s="27" t="s">
        <v>7</v>
      </c>
      <c r="RG607" s="27" t="s">
        <v>8</v>
      </c>
      <c r="RH607" s="27" t="s">
        <v>7</v>
      </c>
    </row>
    <row r="608" spans="1:476" x14ac:dyDescent="0.25">
      <c r="A608" s="7">
        <v>0.65977581677260566</v>
      </c>
      <c r="B608"/>
      <c r="C608"/>
      <c r="D608"/>
      <c r="E608"/>
      <c r="J608" s="27" t="s">
        <v>7</v>
      </c>
      <c r="K608" s="27" t="s">
        <v>8</v>
      </c>
      <c r="L608" s="27" t="s">
        <v>7</v>
      </c>
      <c r="S608" s="27" t="s">
        <v>8</v>
      </c>
      <c r="T608" s="27" t="s">
        <v>7</v>
      </c>
      <c r="W608" s="27" t="s">
        <v>8</v>
      </c>
      <c r="X608" s="27" t="s">
        <v>7</v>
      </c>
      <c r="AA608" s="27" t="s">
        <v>8</v>
      </c>
      <c r="AC608" s="27" t="s">
        <v>8</v>
      </c>
      <c r="AD608" s="27" t="s">
        <v>7</v>
      </c>
      <c r="AI608" s="27" t="s">
        <v>8</v>
      </c>
      <c r="LI608" s="27" t="s">
        <v>8</v>
      </c>
      <c r="LJ608" s="27" t="s">
        <v>7</v>
      </c>
      <c r="LO608" s="27" t="s">
        <v>8</v>
      </c>
      <c r="MB608" s="27" t="s">
        <v>7</v>
      </c>
      <c r="MT608" s="27" t="s">
        <v>7</v>
      </c>
      <c r="MU608" s="27" t="s">
        <v>8</v>
      </c>
      <c r="ND608" s="27" t="s">
        <v>7</v>
      </c>
      <c r="NF608" s="27" t="s">
        <v>7</v>
      </c>
      <c r="NG608" s="27" t="s">
        <v>8</v>
      </c>
      <c r="NT608" s="27" t="s">
        <v>7</v>
      </c>
      <c r="NW608" s="27" t="s">
        <v>8</v>
      </c>
      <c r="NX608" s="27" t="s">
        <v>7</v>
      </c>
      <c r="OH608" s="27" t="s">
        <v>7</v>
      </c>
      <c r="OI608" s="27" t="s">
        <v>8</v>
      </c>
      <c r="RB608" s="27" t="s">
        <v>7</v>
      </c>
      <c r="RC608" s="27" t="s">
        <v>8</v>
      </c>
      <c r="RF608" s="27" t="s">
        <v>7</v>
      </c>
      <c r="RG608" s="27" t="s">
        <v>8</v>
      </c>
      <c r="RH608" s="27" t="s">
        <v>7</v>
      </c>
    </row>
    <row r="609" spans="1:478" x14ac:dyDescent="0.25">
      <c r="A609" s="7">
        <v>0.64683903605157422</v>
      </c>
      <c r="B609"/>
      <c r="C609"/>
      <c r="D609"/>
      <c r="E609"/>
      <c r="J609" s="27" t="s">
        <v>7</v>
      </c>
      <c r="K609" s="27" t="s">
        <v>8</v>
      </c>
      <c r="L609" s="27" t="s">
        <v>7</v>
      </c>
      <c r="S609" s="27" t="s">
        <v>8</v>
      </c>
      <c r="T609" s="27" t="s">
        <v>7</v>
      </c>
      <c r="U609" s="27" t="s">
        <v>8</v>
      </c>
      <c r="W609" s="27" t="s">
        <v>8</v>
      </c>
      <c r="X609" s="27" t="s">
        <v>7</v>
      </c>
      <c r="AA609" s="27" t="s">
        <v>8</v>
      </c>
      <c r="AB609" s="27" t="s">
        <v>7</v>
      </c>
      <c r="AC609" s="27" t="s">
        <v>8</v>
      </c>
      <c r="AD609" s="27" t="s">
        <v>7</v>
      </c>
      <c r="AI609" s="27" t="s">
        <v>8</v>
      </c>
      <c r="AJ609" s="27" t="s">
        <v>7</v>
      </c>
      <c r="LI609" s="27" t="s">
        <v>8</v>
      </c>
      <c r="LJ609" s="27" t="s">
        <v>7</v>
      </c>
      <c r="LK609" s="27" t="s">
        <v>8</v>
      </c>
      <c r="LO609" s="27" t="s">
        <v>8</v>
      </c>
      <c r="MT609" s="27" t="s">
        <v>7</v>
      </c>
      <c r="MU609" s="27" t="s">
        <v>8</v>
      </c>
      <c r="NF609" s="27" t="s">
        <v>7</v>
      </c>
      <c r="NG609" s="27" t="s">
        <v>8</v>
      </c>
      <c r="NT609" s="27" t="s">
        <v>7</v>
      </c>
      <c r="NW609" s="27" t="s">
        <v>8</v>
      </c>
      <c r="OH609" s="18" t="s">
        <v>7</v>
      </c>
      <c r="OI609" s="27" t="s">
        <v>8</v>
      </c>
      <c r="RB609" s="27" t="s">
        <v>7</v>
      </c>
      <c r="RF609" s="27" t="s">
        <v>7</v>
      </c>
      <c r="RG609" s="27" t="s">
        <v>8</v>
      </c>
      <c r="RH609" s="27" t="s">
        <v>7</v>
      </c>
    </row>
    <row r="610" spans="1:478" x14ac:dyDescent="0.25">
      <c r="A610" s="7">
        <v>0.63415591769762181</v>
      </c>
      <c r="B610"/>
      <c r="C610"/>
      <c r="D610"/>
      <c r="E610"/>
      <c r="J610" s="27" t="s">
        <v>7</v>
      </c>
      <c r="K610" s="27" t="s">
        <v>8</v>
      </c>
      <c r="L610" s="27" t="s">
        <v>7</v>
      </c>
      <c r="S610" s="27" t="s">
        <v>8</v>
      </c>
      <c r="T610" s="27" t="s">
        <v>7</v>
      </c>
      <c r="U610" s="27" t="s">
        <v>8</v>
      </c>
      <c r="V610" s="27" t="s">
        <v>7</v>
      </c>
      <c r="W610" s="27" t="s">
        <v>8</v>
      </c>
      <c r="X610" s="27" t="s">
        <v>7</v>
      </c>
      <c r="AA610" s="27" t="s">
        <v>8</v>
      </c>
      <c r="AB610" s="27" t="s">
        <v>7</v>
      </c>
      <c r="AC610" s="27" t="s">
        <v>8</v>
      </c>
      <c r="AD610" s="27" t="s">
        <v>7</v>
      </c>
      <c r="AI610" s="27" t="s">
        <v>8</v>
      </c>
      <c r="AJ610" s="27" t="s">
        <v>7</v>
      </c>
      <c r="LI610" s="27" t="s">
        <v>8</v>
      </c>
      <c r="LJ610" s="27" t="s">
        <v>7</v>
      </c>
      <c r="LK610" s="27" t="s">
        <v>8</v>
      </c>
      <c r="LL610" s="27" t="s">
        <v>7</v>
      </c>
      <c r="LO610" s="27" t="s">
        <v>8</v>
      </c>
      <c r="MT610" s="27" t="s">
        <v>7</v>
      </c>
      <c r="MU610" s="27" t="s">
        <v>8</v>
      </c>
      <c r="NF610" s="27" t="s">
        <v>7</v>
      </c>
      <c r="NG610" s="27" t="s">
        <v>8</v>
      </c>
      <c r="NT610" s="27" t="s">
        <v>7</v>
      </c>
      <c r="NW610" s="27" t="s">
        <v>8</v>
      </c>
      <c r="OH610" s="27" t="s">
        <v>7</v>
      </c>
      <c r="OI610" s="27" t="s">
        <v>8</v>
      </c>
      <c r="RF610" s="27" t="s">
        <v>7</v>
      </c>
      <c r="RG610" s="27" t="s">
        <v>8</v>
      </c>
      <c r="RH610" s="27" t="s">
        <v>7</v>
      </c>
      <c r="RI610" s="27" t="s">
        <v>8</v>
      </c>
    </row>
    <row r="611" spans="1:478" x14ac:dyDescent="0.25">
      <c r="A611" s="7">
        <v>0.62172148793884496</v>
      </c>
      <c r="B611"/>
      <c r="C611"/>
      <c r="D611"/>
      <c r="E611"/>
      <c r="J611" s="27" t="s">
        <v>7</v>
      </c>
      <c r="L611" s="27" t="s">
        <v>7</v>
      </c>
      <c r="S611" s="27" t="s">
        <v>8</v>
      </c>
      <c r="T611" s="27" t="s">
        <v>7</v>
      </c>
      <c r="U611" s="27" t="s">
        <v>8</v>
      </c>
      <c r="V611" s="27" t="s">
        <v>7</v>
      </c>
      <c r="W611" s="27" t="s">
        <v>8</v>
      </c>
      <c r="X611" s="27" t="s">
        <v>7</v>
      </c>
      <c r="Y611" s="27" t="s">
        <v>8</v>
      </c>
      <c r="AA611" s="27" t="s">
        <v>8</v>
      </c>
      <c r="AB611" s="27" t="s">
        <v>7</v>
      </c>
      <c r="AC611" s="27" t="s">
        <v>8</v>
      </c>
      <c r="AD611" s="27" t="s">
        <v>7</v>
      </c>
      <c r="AI611" s="27" t="s">
        <v>8</v>
      </c>
      <c r="AJ611" s="27" t="s">
        <v>7</v>
      </c>
      <c r="LI611" s="27" t="s">
        <v>8</v>
      </c>
      <c r="LJ611" s="27" t="s">
        <v>7</v>
      </c>
      <c r="LK611" s="27" t="s">
        <v>8</v>
      </c>
      <c r="LL611" s="27" t="s">
        <v>7</v>
      </c>
      <c r="LO611" s="27" t="s">
        <v>8</v>
      </c>
      <c r="MT611" s="27" t="s">
        <v>7</v>
      </c>
      <c r="NF611" s="27" t="s">
        <v>7</v>
      </c>
      <c r="NG611" s="27" t="s">
        <v>8</v>
      </c>
      <c r="NT611" s="27" t="s">
        <v>7</v>
      </c>
      <c r="NW611" s="27" t="s">
        <v>8</v>
      </c>
      <c r="OH611" s="27" t="s">
        <v>7</v>
      </c>
      <c r="OI611" s="27" t="s">
        <v>8</v>
      </c>
      <c r="RF611" s="27" t="s">
        <v>7</v>
      </c>
      <c r="RG611" s="27" t="s">
        <v>8</v>
      </c>
      <c r="RH611" s="27" t="s">
        <v>7</v>
      </c>
      <c r="RI611" s="27" t="s">
        <v>8</v>
      </c>
      <c r="RJ611" s="27" t="s">
        <v>7</v>
      </c>
    </row>
    <row r="612" spans="1:478" x14ac:dyDescent="0.25">
      <c r="A612" s="7">
        <v>0.60953087052827937</v>
      </c>
      <c r="B612"/>
      <c r="C612"/>
      <c r="D612"/>
      <c r="E612"/>
      <c r="L612" s="27" t="s">
        <v>7</v>
      </c>
      <c r="M612" s="27" t="s">
        <v>8</v>
      </c>
      <c r="S612" s="27" t="s">
        <v>8</v>
      </c>
      <c r="T612" s="27" t="s">
        <v>7</v>
      </c>
      <c r="U612" s="27" t="s">
        <v>8</v>
      </c>
      <c r="V612" s="27" t="s">
        <v>7</v>
      </c>
      <c r="W612" s="27" t="s">
        <v>8</v>
      </c>
      <c r="X612" s="27" t="s">
        <v>7</v>
      </c>
      <c r="Y612" s="27" t="s">
        <v>8</v>
      </c>
      <c r="Z612" s="27" t="s">
        <v>7</v>
      </c>
      <c r="AA612" s="27" t="s">
        <v>8</v>
      </c>
      <c r="AB612" s="27" t="s">
        <v>7</v>
      </c>
      <c r="AD612" s="27" t="s">
        <v>7</v>
      </c>
      <c r="AE612" s="27" t="s">
        <v>8</v>
      </c>
      <c r="AI612" s="27" t="s">
        <v>8</v>
      </c>
      <c r="AJ612" s="27" t="s">
        <v>7</v>
      </c>
      <c r="LI612" s="27" t="s">
        <v>8</v>
      </c>
      <c r="LJ612" s="27" t="s">
        <v>7</v>
      </c>
      <c r="LK612" s="27" t="s">
        <v>8</v>
      </c>
      <c r="LL612" s="27" t="s">
        <v>7</v>
      </c>
      <c r="LO612" s="27" t="s">
        <v>8</v>
      </c>
      <c r="NF612" s="27" t="s">
        <v>7</v>
      </c>
      <c r="NG612" s="27" t="s">
        <v>8</v>
      </c>
      <c r="NT612" s="27" t="s">
        <v>7</v>
      </c>
      <c r="NW612" s="27" t="s">
        <v>8</v>
      </c>
      <c r="OH612" s="27" t="s">
        <v>7</v>
      </c>
      <c r="OI612" s="27" t="s">
        <v>8</v>
      </c>
      <c r="RF612" s="27" t="s">
        <v>7</v>
      </c>
      <c r="RG612" s="27" t="s">
        <v>8</v>
      </c>
      <c r="RH612" s="27" t="s">
        <v>7</v>
      </c>
      <c r="RI612" s="27" t="s">
        <v>8</v>
      </c>
      <c r="RJ612" s="27" t="s">
        <v>7</v>
      </c>
    </row>
    <row r="613" spans="1:478" x14ac:dyDescent="0.25">
      <c r="A613" s="7">
        <v>0.59757928483164646</v>
      </c>
      <c r="B613"/>
      <c r="C613"/>
      <c r="D613"/>
      <c r="E613"/>
      <c r="L613" s="27" t="s">
        <v>7</v>
      </c>
      <c r="M613" s="27" t="s">
        <v>8</v>
      </c>
      <c r="N613" s="27" t="s">
        <v>7</v>
      </c>
      <c r="Q613" s="27" t="s">
        <v>8</v>
      </c>
      <c r="S613" s="27" t="s">
        <v>8</v>
      </c>
      <c r="T613" s="27" t="s">
        <v>7</v>
      </c>
      <c r="V613" s="27" t="s">
        <v>7</v>
      </c>
      <c r="X613" s="27" t="s">
        <v>7</v>
      </c>
      <c r="Y613" s="27" t="s">
        <v>8</v>
      </c>
      <c r="Z613" s="27" t="s">
        <v>7</v>
      </c>
      <c r="AA613" s="27" t="s">
        <v>8</v>
      </c>
      <c r="AD613" s="27" t="s">
        <v>7</v>
      </c>
      <c r="AE613" s="27" t="s">
        <v>8</v>
      </c>
      <c r="AF613" s="27" t="s">
        <v>7</v>
      </c>
      <c r="AI613" s="27" t="s">
        <v>8</v>
      </c>
      <c r="AJ613" s="27" t="s">
        <v>7</v>
      </c>
      <c r="LI613" s="27" t="s">
        <v>8</v>
      </c>
      <c r="LJ613" s="27" t="s">
        <v>7</v>
      </c>
      <c r="LK613" s="27" t="s">
        <v>8</v>
      </c>
      <c r="LL613" s="27" t="s">
        <v>7</v>
      </c>
      <c r="LO613" s="27" t="s">
        <v>8</v>
      </c>
      <c r="NF613" s="27" t="s">
        <v>7</v>
      </c>
      <c r="NG613" s="27" t="s">
        <v>8</v>
      </c>
      <c r="NT613" s="27" t="s">
        <v>7</v>
      </c>
      <c r="NW613" s="27" t="s">
        <v>8</v>
      </c>
      <c r="OH613" s="27" t="s">
        <v>7</v>
      </c>
      <c r="OI613" s="27" t="s">
        <v>8</v>
      </c>
      <c r="RF613" s="27" t="s">
        <v>7</v>
      </c>
      <c r="RG613" s="27" t="s">
        <v>8</v>
      </c>
      <c r="RH613" s="27" t="s">
        <v>7</v>
      </c>
      <c r="RI613" s="27" t="s">
        <v>8</v>
      </c>
      <c r="RJ613" s="27" t="s">
        <v>7</v>
      </c>
    </row>
    <row r="614" spans="1:478" x14ac:dyDescent="0.25">
      <c r="A614" s="7">
        <v>0.58586204395259456</v>
      </c>
      <c r="B614"/>
      <c r="C614"/>
      <c r="D614"/>
      <c r="E614"/>
      <c r="L614" s="27" t="s">
        <v>7</v>
      </c>
      <c r="M614" s="27" t="s">
        <v>8</v>
      </c>
      <c r="N614" s="27" t="s">
        <v>7</v>
      </c>
      <c r="Q614" s="27" t="s">
        <v>8</v>
      </c>
      <c r="R614" s="27" t="s">
        <v>7</v>
      </c>
      <c r="S614" s="27" t="s">
        <v>8</v>
      </c>
      <c r="X614" s="27" t="s">
        <v>7</v>
      </c>
      <c r="Y614" s="27" t="s">
        <v>8</v>
      </c>
      <c r="Z614" s="27" t="s">
        <v>7</v>
      </c>
      <c r="AD614" s="27" t="s">
        <v>7</v>
      </c>
      <c r="AE614" s="27" t="s">
        <v>8</v>
      </c>
      <c r="AF614" s="27" t="s">
        <v>7</v>
      </c>
      <c r="AI614" s="27" t="s">
        <v>8</v>
      </c>
      <c r="AJ614" s="27" t="s">
        <v>7</v>
      </c>
      <c r="LI614" s="27" t="s">
        <v>8</v>
      </c>
      <c r="LJ614" s="27" t="s">
        <v>7</v>
      </c>
      <c r="LK614" s="27" t="s">
        <v>8</v>
      </c>
      <c r="LL614" s="27" t="s">
        <v>7</v>
      </c>
      <c r="LO614" s="27" t="s">
        <v>8</v>
      </c>
      <c r="NF614" s="27" t="s">
        <v>7</v>
      </c>
      <c r="NG614" s="27" t="s">
        <v>8</v>
      </c>
      <c r="NT614" s="27" t="s">
        <v>7</v>
      </c>
      <c r="NW614" s="27" t="s">
        <v>8</v>
      </c>
      <c r="OH614" s="27" t="s">
        <v>7</v>
      </c>
      <c r="OI614" s="27" t="s">
        <v>8</v>
      </c>
      <c r="RF614" s="27" t="s">
        <v>7</v>
      </c>
      <c r="RG614" s="27" t="s">
        <v>8</v>
      </c>
      <c r="RH614" s="27" t="s">
        <v>7</v>
      </c>
      <c r="RI614" s="27" t="s">
        <v>8</v>
      </c>
    </row>
    <row r="615" spans="1:478" x14ac:dyDescent="0.25">
      <c r="A615" s="7">
        <v>0.57437455289470052</v>
      </c>
      <c r="B615"/>
      <c r="C615"/>
      <c r="D615"/>
      <c r="E615"/>
      <c r="L615" s="27" t="s">
        <v>7</v>
      </c>
      <c r="M615" s="27" t="s">
        <v>8</v>
      </c>
      <c r="N615" s="27" t="s">
        <v>7</v>
      </c>
      <c r="Q615" s="27" t="s">
        <v>8</v>
      </c>
      <c r="R615" s="27" t="s">
        <v>7</v>
      </c>
      <c r="S615" s="27" t="s">
        <v>8</v>
      </c>
      <c r="X615" s="27" t="s">
        <v>7</v>
      </c>
      <c r="Y615" s="27" t="s">
        <v>8</v>
      </c>
      <c r="AD615" s="27" t="s">
        <v>7</v>
      </c>
      <c r="AE615" s="27" t="s">
        <v>8</v>
      </c>
      <c r="AF615" s="27" t="s">
        <v>7</v>
      </c>
      <c r="AI615" s="27" t="s">
        <v>8</v>
      </c>
      <c r="AJ615" s="27" t="s">
        <v>7</v>
      </c>
      <c r="LI615" s="27" t="s">
        <v>8</v>
      </c>
      <c r="LJ615" s="27" t="s">
        <v>7</v>
      </c>
      <c r="LK615" s="27" t="s">
        <v>8</v>
      </c>
      <c r="LL615" s="27" t="s">
        <v>7</v>
      </c>
      <c r="LO615" s="27" t="s">
        <v>8</v>
      </c>
      <c r="NF615" s="27" t="s">
        <v>7</v>
      </c>
      <c r="NT615" s="27" t="s">
        <v>7</v>
      </c>
      <c r="NU615" s="27" t="s">
        <v>8</v>
      </c>
      <c r="NW615" s="27" t="s">
        <v>8</v>
      </c>
      <c r="OH615" s="27" t="s">
        <v>7</v>
      </c>
      <c r="OI615" s="27" t="s">
        <v>8</v>
      </c>
      <c r="RF615" s="27" t="s">
        <v>7</v>
      </c>
      <c r="RH615" s="27" t="s">
        <v>7</v>
      </c>
      <c r="RI615" s="27" t="s">
        <v>8</v>
      </c>
    </row>
    <row r="616" spans="1:478" x14ac:dyDescent="0.25">
      <c r="A616" s="7">
        <v>0.56311230675951029</v>
      </c>
      <c r="B616"/>
      <c r="C616"/>
      <c r="D616"/>
      <c r="E616"/>
      <c r="L616" s="27" t="s">
        <v>7</v>
      </c>
      <c r="M616" s="27" t="s">
        <v>8</v>
      </c>
      <c r="N616" s="27" t="s">
        <v>7</v>
      </c>
      <c r="Q616" s="27" t="s">
        <v>8</v>
      </c>
      <c r="R616" s="27" t="s">
        <v>7</v>
      </c>
      <c r="S616" s="27" t="s">
        <v>8</v>
      </c>
      <c r="X616" s="27" t="s">
        <v>7</v>
      </c>
      <c r="AD616" s="27" t="s">
        <v>7</v>
      </c>
      <c r="AF616" s="27" t="s">
        <v>7</v>
      </c>
      <c r="AG616" s="27" t="s">
        <v>8</v>
      </c>
      <c r="AI616" s="27" t="s">
        <v>8</v>
      </c>
      <c r="AJ616" s="27" t="s">
        <v>7</v>
      </c>
      <c r="LI616" s="27" t="s">
        <v>8</v>
      </c>
      <c r="LJ616" s="27" t="s">
        <v>7</v>
      </c>
      <c r="LK616" s="27" t="s">
        <v>8</v>
      </c>
      <c r="LL616" s="27" t="s">
        <v>7</v>
      </c>
      <c r="LO616" s="27" t="s">
        <v>8</v>
      </c>
      <c r="NT616" s="27" t="s">
        <v>7</v>
      </c>
      <c r="NU616" s="27" t="s">
        <v>8</v>
      </c>
      <c r="NV616" s="27" t="s">
        <v>7</v>
      </c>
      <c r="NW616" s="27" t="s">
        <v>8</v>
      </c>
      <c r="OH616" s="27" t="s">
        <v>7</v>
      </c>
      <c r="RH616" s="27" t="s">
        <v>7</v>
      </c>
      <c r="RI616" s="27" t="s">
        <v>8</v>
      </c>
    </row>
    <row r="617" spans="1:478" x14ac:dyDescent="0.25">
      <c r="A617" s="7">
        <v>0.55207088897991208</v>
      </c>
      <c r="B617"/>
      <c r="C617"/>
      <c r="D617"/>
      <c r="E617"/>
      <c r="L617" s="27" t="s">
        <v>7</v>
      </c>
      <c r="N617" s="27" t="s">
        <v>7</v>
      </c>
      <c r="Q617" s="27" t="s">
        <v>8</v>
      </c>
      <c r="R617" s="27" t="s">
        <v>7</v>
      </c>
      <c r="S617" s="27" t="s">
        <v>8</v>
      </c>
      <c r="AF617" s="27" t="s">
        <v>7</v>
      </c>
      <c r="AG617" s="27" t="s">
        <v>8</v>
      </c>
      <c r="AH617" s="27" t="s">
        <v>7</v>
      </c>
      <c r="AI617" s="27" t="s">
        <v>8</v>
      </c>
      <c r="AJ617" s="27" t="s">
        <v>7</v>
      </c>
      <c r="LI617" s="27" t="s">
        <v>8</v>
      </c>
      <c r="LJ617" s="27" t="s">
        <v>7</v>
      </c>
      <c r="LK617" s="27" t="s">
        <v>8</v>
      </c>
      <c r="LL617" s="27" t="s">
        <v>7</v>
      </c>
      <c r="LO617" s="27" t="s">
        <v>8</v>
      </c>
      <c r="NT617" s="27" t="s">
        <v>7</v>
      </c>
      <c r="NU617" s="27" t="s">
        <v>8</v>
      </c>
      <c r="NV617" s="27" t="s">
        <v>7</v>
      </c>
      <c r="NW617" s="27" t="s">
        <v>8</v>
      </c>
      <c r="RH617" s="27" t="s">
        <v>7</v>
      </c>
    </row>
    <row r="618" spans="1:478" x14ac:dyDescent="0.25">
      <c r="A618" s="7">
        <v>0.54124596958814908</v>
      </c>
      <c r="B618"/>
      <c r="C618"/>
      <c r="D618"/>
      <c r="E618"/>
      <c r="N618" s="27" t="s">
        <v>7</v>
      </c>
      <c r="O618" s="27" t="s">
        <v>8</v>
      </c>
      <c r="Q618" s="27" t="s">
        <v>8</v>
      </c>
      <c r="R618" s="27" t="s">
        <v>7</v>
      </c>
      <c r="S618" s="27" t="s">
        <v>8</v>
      </c>
      <c r="AF618" s="27" t="s">
        <v>7</v>
      </c>
      <c r="AG618" s="27" t="s">
        <v>8</v>
      </c>
      <c r="AH618" s="27" t="s">
        <v>7</v>
      </c>
      <c r="AI618" s="27" t="s">
        <v>8</v>
      </c>
      <c r="AJ618" s="27" t="s">
        <v>7</v>
      </c>
      <c r="LI618" s="27" t="s">
        <v>8</v>
      </c>
      <c r="LJ618" s="27" t="s">
        <v>7</v>
      </c>
      <c r="LK618" s="27" t="s">
        <v>8</v>
      </c>
      <c r="LL618" s="27" t="s">
        <v>7</v>
      </c>
      <c r="LM618" s="27" t="s">
        <v>8</v>
      </c>
      <c r="LO618" s="27" t="s">
        <v>8</v>
      </c>
      <c r="NT618" s="27" t="s">
        <v>7</v>
      </c>
      <c r="NU618" s="27" t="s">
        <v>8</v>
      </c>
      <c r="NV618" s="27" t="s">
        <v>7</v>
      </c>
      <c r="NW618" s="27" t="s">
        <v>8</v>
      </c>
    </row>
    <row r="619" spans="1:478" x14ac:dyDescent="0.25">
      <c r="A619" s="7">
        <v>0.53063330351779314</v>
      </c>
      <c r="B619"/>
      <c r="C619"/>
      <c r="D619"/>
      <c r="E619"/>
      <c r="N619" s="27" t="s">
        <v>7</v>
      </c>
      <c r="O619" s="27" t="s">
        <v>8</v>
      </c>
      <c r="P619" s="27" t="s">
        <v>7</v>
      </c>
      <c r="Q619" s="27" t="s">
        <v>8</v>
      </c>
      <c r="R619" s="27" t="s">
        <v>7</v>
      </c>
      <c r="S619" s="27" t="s">
        <v>8</v>
      </c>
      <c r="AF619" s="27" t="s">
        <v>7</v>
      </c>
      <c r="AG619" s="27" t="s">
        <v>8</v>
      </c>
      <c r="AH619" s="27" t="s">
        <v>7</v>
      </c>
      <c r="AI619" s="27" t="s">
        <v>8</v>
      </c>
      <c r="AJ619" s="27" t="s">
        <v>7</v>
      </c>
      <c r="LI619" s="27" t="s">
        <v>8</v>
      </c>
      <c r="LJ619" s="27" t="s">
        <v>7</v>
      </c>
      <c r="LK619" s="27" t="s">
        <v>8</v>
      </c>
      <c r="LL619" s="27" t="s">
        <v>7</v>
      </c>
      <c r="LM619" s="27" t="s">
        <v>8</v>
      </c>
      <c r="LN619" s="27" t="s">
        <v>7</v>
      </c>
      <c r="LO619" s="27" t="s">
        <v>8</v>
      </c>
      <c r="NT619" s="27" t="s">
        <v>7</v>
      </c>
      <c r="NU619" s="27" t="s">
        <v>8</v>
      </c>
      <c r="NV619" s="27" t="s">
        <v>7</v>
      </c>
      <c r="NW619" s="27" t="s">
        <v>8</v>
      </c>
    </row>
    <row r="620" spans="1:478" x14ac:dyDescent="0.25">
      <c r="A620" s="7">
        <v>0.52022872893901284</v>
      </c>
      <c r="B620"/>
      <c r="C620"/>
      <c r="D620"/>
      <c r="E620"/>
      <c r="N620" s="27" t="s">
        <v>7</v>
      </c>
      <c r="O620" s="27" t="s">
        <v>8</v>
      </c>
      <c r="P620" s="27" t="s">
        <v>7</v>
      </c>
      <c r="Q620" s="27" t="s">
        <v>8</v>
      </c>
      <c r="R620" s="27" t="s">
        <v>7</v>
      </c>
      <c r="S620" s="27" t="s">
        <v>8</v>
      </c>
      <c r="AF620" s="27" t="s">
        <v>7</v>
      </c>
      <c r="AG620" s="27" t="s">
        <v>8</v>
      </c>
      <c r="AH620" s="27" t="s">
        <v>7</v>
      </c>
      <c r="AJ620" s="27" t="s">
        <v>7</v>
      </c>
      <c r="AW620" s="27" t="s">
        <v>8</v>
      </c>
      <c r="LI620" s="27" t="s">
        <v>8</v>
      </c>
      <c r="LJ620" s="27" t="s">
        <v>7</v>
      </c>
      <c r="LK620" s="27" t="s">
        <v>8</v>
      </c>
      <c r="LL620" s="27" t="s">
        <v>7</v>
      </c>
      <c r="LM620" s="27" t="s">
        <v>8</v>
      </c>
      <c r="LN620" s="27" t="s">
        <v>7</v>
      </c>
      <c r="LO620" s="27" t="s">
        <v>8</v>
      </c>
      <c r="NT620" s="27" t="s">
        <v>7</v>
      </c>
      <c r="NU620" s="27" t="s">
        <v>8</v>
      </c>
      <c r="NV620" s="27" t="s">
        <v>7</v>
      </c>
      <c r="NW620" s="27" t="s">
        <v>8</v>
      </c>
    </row>
    <row r="621" spans="1:478" x14ac:dyDescent="0.25">
      <c r="A621" s="7">
        <v>0.51002816562648323</v>
      </c>
      <c r="B621"/>
      <c r="C621"/>
      <c r="D621"/>
      <c r="E621"/>
      <c r="N621" s="27" t="s">
        <v>7</v>
      </c>
      <c r="O621" s="27" t="s">
        <v>8</v>
      </c>
      <c r="P621" s="27" t="s">
        <v>7</v>
      </c>
      <c r="R621" s="27" t="s">
        <v>7</v>
      </c>
      <c r="S621" s="27" t="s">
        <v>8</v>
      </c>
      <c r="AF621" s="27" t="s">
        <v>7</v>
      </c>
      <c r="AG621" s="27" t="s">
        <v>8</v>
      </c>
      <c r="AJ621" s="27" t="s">
        <v>7</v>
      </c>
      <c r="AW621" s="27" t="s">
        <v>8</v>
      </c>
      <c r="AX621" s="27" t="s">
        <v>7</v>
      </c>
      <c r="AY621" s="27" t="s">
        <v>8</v>
      </c>
      <c r="LI621" s="27" t="s">
        <v>8</v>
      </c>
      <c r="LJ621" s="27" t="s">
        <v>7</v>
      </c>
      <c r="LK621" s="27" t="s">
        <v>8</v>
      </c>
      <c r="LL621" s="27" t="s">
        <v>7</v>
      </c>
      <c r="LM621" s="27" t="s">
        <v>8</v>
      </c>
      <c r="LN621" s="27" t="s">
        <v>7</v>
      </c>
      <c r="LO621" s="27" t="s">
        <v>8</v>
      </c>
      <c r="NT621" s="27" t="s">
        <v>7</v>
      </c>
      <c r="NU621" s="27" t="s">
        <v>8</v>
      </c>
      <c r="NV621" s="27" t="s">
        <v>7</v>
      </c>
      <c r="NW621" s="27" t="s">
        <v>8</v>
      </c>
    </row>
    <row r="622" spans="1:478" x14ac:dyDescent="0.25">
      <c r="A622" s="7">
        <v>0.50002761335929735</v>
      </c>
      <c r="B622"/>
      <c r="C622"/>
      <c r="D622"/>
      <c r="E622"/>
      <c r="N622" s="27" t="s">
        <v>7</v>
      </c>
      <c r="O622" s="27" t="s">
        <v>8</v>
      </c>
      <c r="R622" s="27" t="s">
        <v>7</v>
      </c>
      <c r="S622" s="27" t="s">
        <v>8</v>
      </c>
      <c r="AF622" s="27" t="s">
        <v>7</v>
      </c>
      <c r="AG622" s="27" t="s">
        <v>8</v>
      </c>
      <c r="AJ622" s="27" t="s">
        <v>7</v>
      </c>
      <c r="AW622" s="27" t="s">
        <v>8</v>
      </c>
      <c r="AX622" s="27" t="s">
        <v>7</v>
      </c>
      <c r="AY622" s="27" t="s">
        <v>8</v>
      </c>
      <c r="AZ622" s="27" t="s">
        <v>7</v>
      </c>
      <c r="LI622" s="27" t="s">
        <v>8</v>
      </c>
      <c r="LJ622" s="27" t="s">
        <v>7</v>
      </c>
      <c r="LK622" s="27" t="s">
        <v>8</v>
      </c>
      <c r="LL622" s="27" t="s">
        <v>7</v>
      </c>
      <c r="LM622" s="27" t="s">
        <v>8</v>
      </c>
      <c r="LN622" s="27" t="s">
        <v>7</v>
      </c>
      <c r="LO622" s="27" t="s">
        <v>8</v>
      </c>
      <c r="NT622" s="27" t="s">
        <v>7</v>
      </c>
      <c r="NU622" s="27" t="s">
        <v>8</v>
      </c>
      <c r="NV622" s="27" t="s">
        <v>7</v>
      </c>
    </row>
    <row r="623" spans="1:478" x14ac:dyDescent="0.25">
      <c r="A623" s="7">
        <v>0.49022315035225228</v>
      </c>
      <c r="B623"/>
      <c r="C623"/>
      <c r="D623"/>
      <c r="E623"/>
      <c r="N623" s="27" t="s">
        <v>7</v>
      </c>
      <c r="O623" s="27" t="s">
        <v>8</v>
      </c>
      <c r="R623" s="27" t="s">
        <v>7</v>
      </c>
      <c r="S623" s="27" t="s">
        <v>8</v>
      </c>
      <c r="AF623" s="27" t="s">
        <v>7</v>
      </c>
      <c r="AJ623" s="27" t="s">
        <v>7</v>
      </c>
      <c r="AS623" s="27" t="s">
        <v>8</v>
      </c>
      <c r="AW623" s="27" t="s">
        <v>8</v>
      </c>
      <c r="AX623" s="27" t="s">
        <v>7</v>
      </c>
      <c r="AY623" s="27" t="s">
        <v>8</v>
      </c>
      <c r="AZ623" s="27" t="s">
        <v>7</v>
      </c>
      <c r="LI623" s="27" t="s">
        <v>8</v>
      </c>
      <c r="LJ623" s="27" t="s">
        <v>7</v>
      </c>
      <c r="LK623" s="27" t="s">
        <v>8</v>
      </c>
      <c r="LL623" s="27" t="s">
        <v>7</v>
      </c>
      <c r="LM623" s="27" t="s">
        <v>8</v>
      </c>
      <c r="LN623" s="27" t="s">
        <v>7</v>
      </c>
      <c r="LO623" s="27" t="s">
        <v>8</v>
      </c>
      <c r="NT623" s="27" t="s">
        <v>7</v>
      </c>
      <c r="NU623" s="27" t="s">
        <v>8</v>
      </c>
    </row>
    <row r="624" spans="1:478" x14ac:dyDescent="0.25">
      <c r="A624" s="7">
        <v>0.48061093171789437</v>
      </c>
      <c r="B624"/>
      <c r="C624"/>
      <c r="D624"/>
      <c r="E624"/>
      <c r="N624" s="27" t="s">
        <v>7</v>
      </c>
      <c r="R624" s="27" t="s">
        <v>7</v>
      </c>
      <c r="S624" s="27" t="s">
        <v>8</v>
      </c>
      <c r="AJ624" s="27" t="s">
        <v>7</v>
      </c>
      <c r="AS624" s="27" t="s">
        <v>8</v>
      </c>
      <c r="AT624" s="27" t="s">
        <v>7</v>
      </c>
      <c r="AU624" s="27" t="s">
        <v>8</v>
      </c>
      <c r="AW624" s="27" t="s">
        <v>8</v>
      </c>
      <c r="AX624" s="27" t="s">
        <v>7</v>
      </c>
      <c r="AY624" s="27" t="s">
        <v>8</v>
      </c>
      <c r="AZ624" s="27" t="s">
        <v>7</v>
      </c>
      <c r="LI624" s="27" t="s">
        <v>8</v>
      </c>
      <c r="LJ624" s="27" t="s">
        <v>7</v>
      </c>
      <c r="LK624" s="27" t="s">
        <v>8</v>
      </c>
      <c r="LL624" s="27" t="s">
        <v>7</v>
      </c>
      <c r="LM624" s="27" t="s">
        <v>8</v>
      </c>
      <c r="LN624" s="27" t="s">
        <v>7</v>
      </c>
      <c r="LO624" s="27" t="s">
        <v>8</v>
      </c>
      <c r="NT624" s="27" t="s">
        <v>7</v>
      </c>
      <c r="NU624" s="27" t="s">
        <v>8</v>
      </c>
    </row>
    <row r="625" spans="1:385" x14ac:dyDescent="0.25">
      <c r="A625" s="7">
        <v>0.47118718795871994</v>
      </c>
      <c r="B625"/>
      <c r="C625"/>
      <c r="D625"/>
      <c r="E625"/>
      <c r="R625" s="27" t="s">
        <v>7</v>
      </c>
      <c r="AJ625" s="27" t="s">
        <v>7</v>
      </c>
      <c r="AK625" s="27" t="s">
        <v>8</v>
      </c>
      <c r="AQ625" s="27" t="s">
        <v>8</v>
      </c>
      <c r="AS625" s="27" t="s">
        <v>8</v>
      </c>
      <c r="AT625" s="27" t="s">
        <v>7</v>
      </c>
      <c r="AU625" s="27" t="s">
        <v>8</v>
      </c>
      <c r="AV625" s="27" t="s">
        <v>7</v>
      </c>
      <c r="AW625" s="27" t="s">
        <v>8</v>
      </c>
      <c r="AX625" s="27" t="s">
        <v>7</v>
      </c>
      <c r="AY625" s="27" t="s">
        <v>8</v>
      </c>
      <c r="AZ625" s="27" t="s">
        <v>7</v>
      </c>
      <c r="LE625" s="27" t="s">
        <v>8</v>
      </c>
      <c r="LI625" s="27" t="s">
        <v>8</v>
      </c>
      <c r="LJ625" s="27" t="s">
        <v>7</v>
      </c>
      <c r="LK625" s="27" t="s">
        <v>8</v>
      </c>
      <c r="LL625" s="27" t="s">
        <v>7</v>
      </c>
      <c r="LM625" s="27" t="s">
        <v>8</v>
      </c>
      <c r="LN625" s="27" t="s">
        <v>7</v>
      </c>
      <c r="NT625" s="27" t="s">
        <v>7</v>
      </c>
      <c r="NU625" s="27" t="s">
        <v>8</v>
      </c>
    </row>
    <row r="626" spans="1:385" x14ac:dyDescent="0.25">
      <c r="A626" s="7">
        <v>0.46194822348894116</v>
      </c>
      <c r="B626"/>
      <c r="C626"/>
      <c r="D626"/>
      <c r="E626"/>
      <c r="AJ626" s="27" t="s">
        <v>7</v>
      </c>
      <c r="AK626" s="27" t="s">
        <v>8</v>
      </c>
      <c r="AL626" s="27" t="s">
        <v>7</v>
      </c>
      <c r="AQ626" s="27" t="s">
        <v>8</v>
      </c>
      <c r="AR626" s="27" t="s">
        <v>7</v>
      </c>
      <c r="AS626" s="27" t="s">
        <v>8</v>
      </c>
      <c r="AT626" s="27" t="s">
        <v>7</v>
      </c>
      <c r="AU626" s="27" t="s">
        <v>8</v>
      </c>
      <c r="AV626" s="27" t="s">
        <v>7</v>
      </c>
      <c r="AW626" s="27" t="s">
        <v>8</v>
      </c>
      <c r="AX626" s="27" t="s">
        <v>7</v>
      </c>
      <c r="AZ626" s="27" t="s">
        <v>7</v>
      </c>
      <c r="BC626" s="27" t="s">
        <v>8</v>
      </c>
      <c r="LE626" s="27" t="s">
        <v>8</v>
      </c>
      <c r="LF626" s="27" t="s">
        <v>7</v>
      </c>
      <c r="LI626" s="27" t="s">
        <v>8</v>
      </c>
      <c r="LJ626" s="27" t="s">
        <v>7</v>
      </c>
      <c r="LK626" s="27" t="s">
        <v>8</v>
      </c>
      <c r="LL626" s="27" t="s">
        <v>7</v>
      </c>
      <c r="LM626" s="27" t="s">
        <v>8</v>
      </c>
      <c r="NT626" s="27" t="s">
        <v>7</v>
      </c>
      <c r="NU626" s="27" t="s">
        <v>8</v>
      </c>
    </row>
    <row r="627" spans="1:385" x14ac:dyDescent="0.25">
      <c r="A627" s="7">
        <v>0.45289041518523643</v>
      </c>
      <c r="B627"/>
      <c r="C627"/>
      <c r="D627"/>
      <c r="E627"/>
      <c r="AJ627" s="27" t="s">
        <v>7</v>
      </c>
      <c r="AK627" s="27" t="s">
        <v>8</v>
      </c>
      <c r="AL627" s="27" t="s">
        <v>7</v>
      </c>
      <c r="AQ627" s="27" t="s">
        <v>8</v>
      </c>
      <c r="AR627" s="27" t="s">
        <v>7</v>
      </c>
      <c r="AS627" s="27" t="s">
        <v>8</v>
      </c>
      <c r="AT627" s="27" t="s">
        <v>7</v>
      </c>
      <c r="AU627" s="27" t="s">
        <v>8</v>
      </c>
      <c r="AV627" s="27" t="s">
        <v>7</v>
      </c>
      <c r="AW627" s="27" t="s">
        <v>8</v>
      </c>
      <c r="AZ627" s="27" t="s">
        <v>7</v>
      </c>
      <c r="BA627" s="27" t="s">
        <v>8</v>
      </c>
      <c r="BC627" s="27" t="s">
        <v>8</v>
      </c>
      <c r="BD627" s="27" t="s">
        <v>7</v>
      </c>
      <c r="BE627" s="27" t="s">
        <v>8</v>
      </c>
      <c r="BG627" s="27" t="s">
        <v>8</v>
      </c>
      <c r="BI627" s="27" t="s">
        <v>8</v>
      </c>
      <c r="LE627" s="27" t="s">
        <v>8</v>
      </c>
      <c r="LF627" s="27" t="s">
        <v>7</v>
      </c>
      <c r="LG627" s="27" t="s">
        <v>8</v>
      </c>
      <c r="LI627" s="27" t="s">
        <v>8</v>
      </c>
      <c r="LJ627" s="27" t="s">
        <v>7</v>
      </c>
      <c r="LK627" s="27" t="s">
        <v>8</v>
      </c>
      <c r="LL627" s="27" t="s">
        <v>7</v>
      </c>
      <c r="NT627" s="27" t="s">
        <v>7</v>
      </c>
      <c r="NU627" s="27" t="s">
        <v>8</v>
      </c>
    </row>
    <row r="628" spans="1:385" x14ac:dyDescent="0.25">
      <c r="A628" s="7">
        <v>0.44401021096591808</v>
      </c>
      <c r="B628"/>
      <c r="C628"/>
      <c r="D628"/>
      <c r="E628"/>
      <c r="AJ628" s="27" t="s">
        <v>7</v>
      </c>
      <c r="AK628" s="27" t="s">
        <v>8</v>
      </c>
      <c r="AL628" s="27" t="s">
        <v>7</v>
      </c>
      <c r="AQ628" s="27" t="s">
        <v>8</v>
      </c>
      <c r="AR628" s="27" t="s">
        <v>7</v>
      </c>
      <c r="AS628" s="27" t="s">
        <v>8</v>
      </c>
      <c r="AT628" s="27" t="s">
        <v>7</v>
      </c>
      <c r="AU628" s="27" t="s">
        <v>8</v>
      </c>
      <c r="AV628" s="27" t="s">
        <v>7</v>
      </c>
      <c r="AW628" s="27" t="s">
        <v>8</v>
      </c>
      <c r="AZ628" s="27" t="s">
        <v>7</v>
      </c>
      <c r="BA628" s="27" t="s">
        <v>8</v>
      </c>
      <c r="BB628" s="27" t="s">
        <v>7</v>
      </c>
      <c r="BC628" s="27" t="s">
        <v>8</v>
      </c>
      <c r="BD628" s="27" t="s">
        <v>7</v>
      </c>
      <c r="BE628" s="27" t="s">
        <v>8</v>
      </c>
      <c r="BF628" s="27" t="s">
        <v>7</v>
      </c>
      <c r="BG628" s="27" t="s">
        <v>8</v>
      </c>
      <c r="BH628" s="27" t="s">
        <v>7</v>
      </c>
      <c r="BI628" s="27" t="s">
        <v>8</v>
      </c>
      <c r="BJ628" s="27" t="s">
        <v>7</v>
      </c>
      <c r="LE628" s="27" t="s">
        <v>8</v>
      </c>
      <c r="LF628" s="27" t="s">
        <v>7</v>
      </c>
      <c r="LG628" s="27" t="s">
        <v>8</v>
      </c>
      <c r="LH628" s="27" t="s">
        <v>7</v>
      </c>
      <c r="LI628" s="27" t="s">
        <v>8</v>
      </c>
      <c r="LJ628" s="27" t="s">
        <v>7</v>
      </c>
      <c r="LK628" s="27" t="s">
        <v>8</v>
      </c>
      <c r="NT628" s="27" t="s">
        <v>7</v>
      </c>
      <c r="NU628" s="27" t="s">
        <v>8</v>
      </c>
    </row>
    <row r="629" spans="1:385" x14ac:dyDescent="0.25">
      <c r="A629" s="7">
        <v>0.4353041283979589</v>
      </c>
      <c r="B629"/>
      <c r="C629"/>
      <c r="D629"/>
      <c r="E629"/>
      <c r="AJ629" s="27" t="s">
        <v>7</v>
      </c>
      <c r="AK629" s="27" t="s">
        <v>8</v>
      </c>
      <c r="AL629" s="27" t="s">
        <v>7</v>
      </c>
      <c r="AM629" s="27" t="s">
        <v>8</v>
      </c>
      <c r="AQ629" s="27" t="s">
        <v>8</v>
      </c>
      <c r="AR629" s="27" t="s">
        <v>7</v>
      </c>
      <c r="AS629" s="27" t="s">
        <v>8</v>
      </c>
      <c r="AT629" s="27" t="s">
        <v>7</v>
      </c>
      <c r="AU629" s="27" t="s">
        <v>8</v>
      </c>
      <c r="AV629" s="27" t="s">
        <v>7</v>
      </c>
      <c r="AW629" s="27" t="s">
        <v>8</v>
      </c>
      <c r="AZ629" s="27" t="s">
        <v>7</v>
      </c>
      <c r="BA629" s="27" t="s">
        <v>8</v>
      </c>
      <c r="BB629" s="27" t="s">
        <v>7</v>
      </c>
      <c r="BC629" s="27" t="s">
        <v>8</v>
      </c>
      <c r="BD629" s="27" t="s">
        <v>7</v>
      </c>
      <c r="BE629" s="27" t="s">
        <v>8</v>
      </c>
      <c r="BF629" s="27" t="s">
        <v>7</v>
      </c>
      <c r="BG629" s="27" t="s">
        <v>8</v>
      </c>
      <c r="BH629" s="27" t="s">
        <v>7</v>
      </c>
      <c r="BI629" s="27" t="s">
        <v>8</v>
      </c>
      <c r="BJ629" s="27" t="s">
        <v>7</v>
      </c>
      <c r="LC629" s="27" t="s">
        <v>8</v>
      </c>
      <c r="LE629" s="27" t="s">
        <v>8</v>
      </c>
      <c r="LF629" s="27" t="s">
        <v>7</v>
      </c>
      <c r="LG629" s="27" t="s">
        <v>8</v>
      </c>
      <c r="LH629" s="27" t="s">
        <v>7</v>
      </c>
      <c r="LI629" s="27" t="s">
        <v>8</v>
      </c>
      <c r="LJ629" s="27" t="s">
        <v>7</v>
      </c>
      <c r="LK629" s="27" t="s">
        <v>8</v>
      </c>
      <c r="NT629" s="27" t="s">
        <v>7</v>
      </c>
      <c r="NU629" s="27" t="s">
        <v>8</v>
      </c>
    </row>
    <row r="630" spans="1:385" x14ac:dyDescent="0.25">
      <c r="A630" s="7">
        <v>0.4267687533313323</v>
      </c>
      <c r="B630"/>
      <c r="C630"/>
      <c r="D630"/>
      <c r="E630"/>
      <c r="AJ630" s="27" t="s">
        <v>7</v>
      </c>
      <c r="AK630" s="27" t="s">
        <v>8</v>
      </c>
      <c r="AL630" s="27" t="s">
        <v>7</v>
      </c>
      <c r="AM630" s="27" t="s">
        <v>8</v>
      </c>
      <c r="AN630" s="27" t="s">
        <v>7</v>
      </c>
      <c r="AQ630" s="27" t="s">
        <v>8</v>
      </c>
      <c r="AR630" s="27" t="s">
        <v>7</v>
      </c>
      <c r="AS630" s="27" t="s">
        <v>8</v>
      </c>
      <c r="AT630" s="27" t="s">
        <v>7</v>
      </c>
      <c r="AU630" s="27" t="s">
        <v>8</v>
      </c>
      <c r="AV630" s="27" t="s">
        <v>7</v>
      </c>
      <c r="AW630" s="27" t="s">
        <v>8</v>
      </c>
      <c r="AZ630" s="27" t="s">
        <v>7</v>
      </c>
      <c r="BB630" s="27" t="s">
        <v>7</v>
      </c>
      <c r="BC630" s="27" t="s">
        <v>8</v>
      </c>
      <c r="BD630" s="27" t="s">
        <v>7</v>
      </c>
      <c r="BE630" s="27" t="s">
        <v>8</v>
      </c>
      <c r="BF630" s="27" t="s">
        <v>7</v>
      </c>
      <c r="BG630" s="27" t="s">
        <v>8</v>
      </c>
      <c r="BH630" s="27" t="s">
        <v>7</v>
      </c>
      <c r="BI630" s="27" t="s">
        <v>8</v>
      </c>
      <c r="BJ630" s="27" t="s">
        <v>7</v>
      </c>
      <c r="LC630" s="27" t="s">
        <v>8</v>
      </c>
      <c r="LD630" s="27" t="s">
        <v>7</v>
      </c>
      <c r="LE630" s="27" t="s">
        <v>8</v>
      </c>
      <c r="LF630" s="27" t="s">
        <v>7</v>
      </c>
      <c r="LG630" s="27" t="s">
        <v>8</v>
      </c>
      <c r="LH630" s="27" t="s">
        <v>7</v>
      </c>
      <c r="LI630" s="27" t="s">
        <v>8</v>
      </c>
      <c r="LJ630" s="27" t="s">
        <v>7</v>
      </c>
      <c r="LK630" s="27" t="s">
        <v>8</v>
      </c>
      <c r="NT630" s="27" t="s">
        <v>7</v>
      </c>
      <c r="NU630" s="27" t="s">
        <v>8</v>
      </c>
    </row>
    <row r="631" spans="1:385" x14ac:dyDescent="0.25">
      <c r="A631" s="7">
        <v>0.41840073856012971</v>
      </c>
      <c r="B631"/>
      <c r="C631"/>
      <c r="D631"/>
      <c r="E631"/>
      <c r="AJ631" s="27" t="s">
        <v>7</v>
      </c>
      <c r="AK631" s="27" t="s">
        <v>8</v>
      </c>
      <c r="AL631" s="27" t="s">
        <v>7</v>
      </c>
      <c r="AM631" s="27" t="s">
        <v>8</v>
      </c>
      <c r="AN631" s="27" t="s">
        <v>7</v>
      </c>
      <c r="AQ631" s="27" t="s">
        <v>8</v>
      </c>
      <c r="AR631" s="27" t="s">
        <v>7</v>
      </c>
      <c r="AS631" s="27" t="s">
        <v>8</v>
      </c>
      <c r="AT631" s="27" t="s">
        <v>7</v>
      </c>
      <c r="AV631" s="27" t="s">
        <v>7</v>
      </c>
      <c r="AW631" s="27" t="s">
        <v>8</v>
      </c>
      <c r="BB631" s="27" t="s">
        <v>7</v>
      </c>
      <c r="BC631" s="27" t="s">
        <v>8</v>
      </c>
      <c r="BD631" s="27" t="s">
        <v>7</v>
      </c>
      <c r="BE631" s="27" t="s">
        <v>8</v>
      </c>
      <c r="BF631" s="27" t="s">
        <v>7</v>
      </c>
      <c r="BG631" s="27" t="s">
        <v>8</v>
      </c>
      <c r="BH631" s="27" t="s">
        <v>7</v>
      </c>
      <c r="BJ631" s="27" t="s">
        <v>7</v>
      </c>
      <c r="BK631" s="27" t="s">
        <v>8</v>
      </c>
      <c r="LC631" s="27" t="s">
        <v>8</v>
      </c>
      <c r="LD631" s="27" t="s">
        <v>7</v>
      </c>
      <c r="LE631" s="27" t="s">
        <v>8</v>
      </c>
      <c r="LF631" s="27" t="s">
        <v>7</v>
      </c>
      <c r="LG631" s="27" t="s">
        <v>8</v>
      </c>
      <c r="LH631" s="27" t="s">
        <v>7</v>
      </c>
      <c r="LJ631" s="27" t="s">
        <v>7</v>
      </c>
      <c r="LK631" s="27" t="s">
        <v>8</v>
      </c>
      <c r="NT631" s="27" t="s">
        <v>7</v>
      </c>
      <c r="NU631" s="27" t="s">
        <v>8</v>
      </c>
    </row>
    <row r="632" spans="1:385" x14ac:dyDescent="0.25">
      <c r="A632" s="7">
        <v>0.41019680250993112</v>
      </c>
      <c r="B632"/>
      <c r="C632"/>
      <c r="D632"/>
      <c r="E632"/>
      <c r="AJ632" s="27" t="s">
        <v>7</v>
      </c>
      <c r="AL632" s="27" t="s">
        <v>7</v>
      </c>
      <c r="AM632" s="27" t="s">
        <v>8</v>
      </c>
      <c r="AN632" s="27" t="s">
        <v>7</v>
      </c>
      <c r="AQ632" s="27" t="s">
        <v>8</v>
      </c>
      <c r="AR632" s="27" t="s">
        <v>7</v>
      </c>
      <c r="AS632" s="27" t="s">
        <v>8</v>
      </c>
      <c r="AV632" s="27" t="s">
        <v>7</v>
      </c>
      <c r="BB632" s="27" t="s">
        <v>7</v>
      </c>
      <c r="BC632" s="27" t="s">
        <v>8</v>
      </c>
      <c r="BD632" s="27" t="s">
        <v>7</v>
      </c>
      <c r="BE632" s="27" t="s">
        <v>8</v>
      </c>
      <c r="BF632" s="27" t="s">
        <v>7</v>
      </c>
      <c r="BJ632" s="27" t="s">
        <v>7</v>
      </c>
      <c r="BK632" s="27" t="s">
        <v>8</v>
      </c>
      <c r="BL632" s="27" t="s">
        <v>7</v>
      </c>
      <c r="LC632" s="27" t="s">
        <v>8</v>
      </c>
      <c r="LD632" s="27" t="s">
        <v>7</v>
      </c>
      <c r="LE632" s="27" t="s">
        <v>8</v>
      </c>
      <c r="LF632" s="27" t="s">
        <v>7</v>
      </c>
      <c r="LG632" s="27" t="s">
        <v>8</v>
      </c>
      <c r="LJ632" s="27" t="s">
        <v>7</v>
      </c>
      <c r="LK632" s="27" t="s">
        <v>8</v>
      </c>
      <c r="NT632" s="27" t="s">
        <v>7</v>
      </c>
      <c r="NU632" s="27" t="s">
        <v>8</v>
      </c>
    </row>
    <row r="633" spans="1:385" x14ac:dyDescent="0.25">
      <c r="A633" s="7">
        <v>0.40215372795091286</v>
      </c>
      <c r="B633"/>
      <c r="C633"/>
      <c r="D633"/>
      <c r="E633"/>
      <c r="AL633" s="27" t="s">
        <v>7</v>
      </c>
      <c r="AN633" s="27" t="s">
        <v>7</v>
      </c>
      <c r="AQ633" s="27" t="s">
        <v>8</v>
      </c>
      <c r="AR633" s="27" t="s">
        <v>7</v>
      </c>
      <c r="AS633" s="27" t="s">
        <v>8</v>
      </c>
      <c r="BB633" s="27" t="s">
        <v>7</v>
      </c>
      <c r="BC633" s="27" t="s">
        <v>8</v>
      </c>
      <c r="BD633" s="27" t="s">
        <v>7</v>
      </c>
      <c r="BJ633" s="27" t="s">
        <v>7</v>
      </c>
      <c r="BK633" s="27" t="s">
        <v>8</v>
      </c>
      <c r="BL633" s="27" t="s">
        <v>7</v>
      </c>
      <c r="LC633" s="27" t="s">
        <v>8</v>
      </c>
      <c r="LD633" s="27" t="s">
        <v>7</v>
      </c>
      <c r="LE633" s="27" t="s">
        <v>8</v>
      </c>
      <c r="LF633" s="27" t="s">
        <v>7</v>
      </c>
      <c r="LG633" s="27" t="s">
        <v>8</v>
      </c>
      <c r="LJ633" s="27" t="s">
        <v>7</v>
      </c>
      <c r="LK633" s="27" t="s">
        <v>8</v>
      </c>
      <c r="NT633" s="27" t="s">
        <v>7</v>
      </c>
      <c r="NU633" s="27" t="s">
        <v>8</v>
      </c>
    </row>
    <row r="634" spans="1:385" x14ac:dyDescent="0.25">
      <c r="A634" s="7">
        <v>0.39426836073618904</v>
      </c>
      <c r="B634"/>
      <c r="C634"/>
      <c r="D634"/>
      <c r="E634"/>
      <c r="AN634" s="27" t="s">
        <v>7</v>
      </c>
      <c r="AO634" s="27" t="s">
        <v>8</v>
      </c>
      <c r="AQ634" s="27" t="s">
        <v>8</v>
      </c>
      <c r="AR634" s="27" t="s">
        <v>7</v>
      </c>
      <c r="AS634" s="27" t="s">
        <v>8</v>
      </c>
      <c r="BB634" s="27" t="s">
        <v>7</v>
      </c>
      <c r="BC634" s="27" t="s">
        <v>8</v>
      </c>
      <c r="BJ634" s="27" t="s">
        <v>7</v>
      </c>
      <c r="BK634" s="27" t="s">
        <v>8</v>
      </c>
      <c r="BL634" s="27" t="s">
        <v>7</v>
      </c>
      <c r="LC634" s="27" t="s">
        <v>8</v>
      </c>
      <c r="LD634" s="27" t="s">
        <v>7</v>
      </c>
      <c r="LE634" s="27" t="s">
        <v>8</v>
      </c>
      <c r="LF634" s="27" t="s">
        <v>7</v>
      </c>
      <c r="LG634" s="27" t="s">
        <v>8</v>
      </c>
      <c r="LJ634" s="27" t="s">
        <v>7</v>
      </c>
      <c r="LK634" s="27" t="s">
        <v>8</v>
      </c>
      <c r="NT634" s="27" t="s">
        <v>7</v>
      </c>
      <c r="NU634" s="27" t="s">
        <v>8</v>
      </c>
    </row>
    <row r="635" spans="1:385" x14ac:dyDescent="0.25">
      <c r="A635" s="7">
        <v>0.38653760856489122</v>
      </c>
      <c r="B635"/>
      <c r="C635"/>
      <c r="D635"/>
      <c r="E635"/>
      <c r="AN635" s="27" t="s">
        <v>7</v>
      </c>
      <c r="AO635" s="27" t="s">
        <v>8</v>
      </c>
      <c r="AP635" s="27" t="s">
        <v>7</v>
      </c>
      <c r="AQ635" s="27" t="s">
        <v>8</v>
      </c>
      <c r="AR635" s="27" t="s">
        <v>7</v>
      </c>
      <c r="AS635" s="27" t="s">
        <v>8</v>
      </c>
      <c r="BB635" s="27" t="s">
        <v>7</v>
      </c>
      <c r="BC635" s="27" t="s">
        <v>8</v>
      </c>
      <c r="BJ635" s="27" t="s">
        <v>7</v>
      </c>
      <c r="BK635" s="27" t="s">
        <v>8</v>
      </c>
      <c r="BL635" s="27" t="s">
        <v>7</v>
      </c>
      <c r="JM635" s="27" t="s">
        <v>8</v>
      </c>
      <c r="LC635" s="27" t="s">
        <v>8</v>
      </c>
      <c r="LD635" s="27" t="s">
        <v>7</v>
      </c>
      <c r="LE635" s="27" t="s">
        <v>8</v>
      </c>
      <c r="LF635" s="27" t="s">
        <v>7</v>
      </c>
      <c r="LG635" s="27" t="s">
        <v>8</v>
      </c>
      <c r="LJ635" s="27" t="s">
        <v>7</v>
      </c>
      <c r="LK635" s="27" t="s">
        <v>8</v>
      </c>
      <c r="NT635" s="27" t="s">
        <v>7</v>
      </c>
    </row>
    <row r="636" spans="1:385" x14ac:dyDescent="0.25">
      <c r="A636" s="7">
        <v>0.37895843976950117</v>
      </c>
      <c r="B636"/>
      <c r="C636"/>
      <c r="D636"/>
      <c r="E636"/>
      <c r="AN636" s="27" t="s">
        <v>7</v>
      </c>
      <c r="AO636" s="27" t="s">
        <v>8</v>
      </c>
      <c r="AP636" s="27" t="s">
        <v>7</v>
      </c>
      <c r="AQ636" s="27" t="s">
        <v>8</v>
      </c>
      <c r="AR636" s="27" t="s">
        <v>7</v>
      </c>
      <c r="AS636" s="27" t="s">
        <v>8</v>
      </c>
      <c r="BB636" s="27" t="s">
        <v>7</v>
      </c>
      <c r="BJ636" s="27" t="s">
        <v>7</v>
      </c>
      <c r="BK636" s="27" t="s">
        <v>8</v>
      </c>
      <c r="BL636" s="27" t="s">
        <v>7</v>
      </c>
      <c r="JM636" s="27" t="s">
        <v>8</v>
      </c>
      <c r="JN636" s="27" t="s">
        <v>7</v>
      </c>
      <c r="LC636" s="27" t="s">
        <v>8</v>
      </c>
      <c r="LD636" s="27" t="s">
        <v>7</v>
      </c>
      <c r="LE636" s="27" t="s">
        <v>8</v>
      </c>
      <c r="LF636" s="27" t="s">
        <v>7</v>
      </c>
      <c r="LG636" s="27" t="s">
        <v>8</v>
      </c>
      <c r="LJ636" s="27" t="s">
        <v>7</v>
      </c>
      <c r="LK636" s="27" t="s">
        <v>8</v>
      </c>
    </row>
    <row r="637" spans="1:385" x14ac:dyDescent="0.25">
      <c r="A637" s="7">
        <v>0.37152788212696197</v>
      </c>
      <c r="B637"/>
      <c r="C637"/>
      <c r="D637"/>
      <c r="E637"/>
      <c r="AN637" s="27" t="s">
        <v>7</v>
      </c>
      <c r="AO637" s="27" t="s">
        <v>8</v>
      </c>
      <c r="AP637" s="27" t="s">
        <v>7</v>
      </c>
      <c r="AQ637" s="27" t="s">
        <v>8</v>
      </c>
      <c r="AR637" s="27" t="s">
        <v>7</v>
      </c>
      <c r="AS637" s="27" t="s">
        <v>8</v>
      </c>
      <c r="BJ637" s="27" t="s">
        <v>7</v>
      </c>
      <c r="BL637" s="27" t="s">
        <v>7</v>
      </c>
      <c r="BM637" s="27" t="s">
        <v>8</v>
      </c>
      <c r="JM637" s="27" t="s">
        <v>8</v>
      </c>
      <c r="JN637" s="27" t="s">
        <v>7</v>
      </c>
      <c r="LC637" s="27" t="s">
        <v>8</v>
      </c>
      <c r="LD637" s="27" t="s">
        <v>7</v>
      </c>
      <c r="LE637" s="27" t="s">
        <v>8</v>
      </c>
      <c r="LF637" s="27" t="s">
        <v>7</v>
      </c>
      <c r="LJ637" s="27" t="s">
        <v>7</v>
      </c>
      <c r="LK637" s="27" t="s">
        <v>8</v>
      </c>
    </row>
    <row r="638" spans="1:385" x14ac:dyDescent="0.25">
      <c r="A638" s="7">
        <v>0.36424302169310002</v>
      </c>
      <c r="B638"/>
      <c r="C638"/>
      <c r="D638"/>
      <c r="E638"/>
      <c r="AN638" s="27" t="s">
        <v>7</v>
      </c>
      <c r="AO638" s="27" t="s">
        <v>8</v>
      </c>
      <c r="AP638" s="27" t="s">
        <v>7</v>
      </c>
      <c r="AR638" s="27" t="s">
        <v>7</v>
      </c>
      <c r="AS638" s="27" t="s">
        <v>8</v>
      </c>
      <c r="BL638" s="27" t="s">
        <v>7</v>
      </c>
      <c r="BM638" s="27" t="s">
        <v>8</v>
      </c>
      <c r="BN638" s="27" t="s">
        <v>7</v>
      </c>
      <c r="JM638" s="27" t="s">
        <v>8</v>
      </c>
      <c r="JN638" s="27" t="s">
        <v>7</v>
      </c>
      <c r="LA638" s="27" t="s">
        <v>8</v>
      </c>
      <c r="LC638" s="27" t="s">
        <v>8</v>
      </c>
      <c r="LD638" s="27" t="s">
        <v>7</v>
      </c>
      <c r="LE638" s="27" t="s">
        <v>8</v>
      </c>
      <c r="LJ638" s="27" t="s">
        <v>7</v>
      </c>
      <c r="LK638" s="27" t="s">
        <v>8</v>
      </c>
    </row>
    <row r="639" spans="1:385" x14ac:dyDescent="0.25">
      <c r="A639" s="7">
        <v>0.35710100165990194</v>
      </c>
      <c r="B639"/>
      <c r="C639"/>
      <c r="D639"/>
      <c r="E639"/>
      <c r="AN639" s="27" t="s">
        <v>7</v>
      </c>
      <c r="AO639" s="27" t="s">
        <v>8</v>
      </c>
      <c r="AR639" s="27" t="s">
        <v>7</v>
      </c>
      <c r="BL639" s="27" t="s">
        <v>7</v>
      </c>
      <c r="BM639" s="27" t="s">
        <v>8</v>
      </c>
      <c r="BN639" s="27" t="s">
        <v>7</v>
      </c>
      <c r="JM639" s="27" t="s">
        <v>8</v>
      </c>
      <c r="JN639" s="27" t="s">
        <v>7</v>
      </c>
      <c r="LA639" s="27" t="s">
        <v>8</v>
      </c>
      <c r="LB639" s="27" t="s">
        <v>7</v>
      </c>
      <c r="LC639" s="27" t="s">
        <v>8</v>
      </c>
      <c r="LD639" s="27" t="s">
        <v>7</v>
      </c>
      <c r="LE639" s="27" t="s">
        <v>8</v>
      </c>
      <c r="LJ639" s="27" t="s">
        <v>7</v>
      </c>
      <c r="LK639" s="27" t="s">
        <v>8</v>
      </c>
    </row>
    <row r="640" spans="1:385" x14ac:dyDescent="0.25">
      <c r="A640" s="7">
        <v>0.35009902123519804</v>
      </c>
      <c r="B640"/>
      <c r="C640"/>
      <c r="D640"/>
      <c r="E640"/>
      <c r="AN640" s="27" t="s">
        <v>7</v>
      </c>
      <c r="BL640" s="27" t="s">
        <v>7</v>
      </c>
      <c r="BM640" s="27" t="s">
        <v>8</v>
      </c>
      <c r="BN640" s="27" t="s">
        <v>7</v>
      </c>
      <c r="JM640" s="27" t="s">
        <v>8</v>
      </c>
      <c r="JN640" s="27" t="s">
        <v>7</v>
      </c>
      <c r="LA640" s="27" t="s">
        <v>8</v>
      </c>
      <c r="LB640" s="27" t="s">
        <v>7</v>
      </c>
      <c r="LC640" s="27" t="s">
        <v>8</v>
      </c>
      <c r="LD640" s="27" t="s">
        <v>7</v>
      </c>
      <c r="LE640" s="27" t="s">
        <v>8</v>
      </c>
      <c r="LJ640" s="27" t="s">
        <v>7</v>
      </c>
      <c r="LK640" s="27" t="s">
        <v>8</v>
      </c>
    </row>
    <row r="641" spans="1:322" x14ac:dyDescent="0.25">
      <c r="A641" s="7">
        <v>0.34323433454431179</v>
      </c>
      <c r="B641"/>
      <c r="C641"/>
      <c r="D641"/>
      <c r="E641"/>
      <c r="BL641" s="27" t="s">
        <v>7</v>
      </c>
      <c r="BM641" s="27" t="s">
        <v>8</v>
      </c>
      <c r="BN641" s="27" t="s">
        <v>7</v>
      </c>
      <c r="JM641" s="27" t="s">
        <v>8</v>
      </c>
      <c r="JN641" s="27" t="s">
        <v>7</v>
      </c>
      <c r="LA641" s="27" t="s">
        <v>8</v>
      </c>
      <c r="LB641" s="27" t="s">
        <v>7</v>
      </c>
      <c r="LC641" s="27" t="s">
        <v>8</v>
      </c>
      <c r="LD641" s="27" t="s">
        <v>7</v>
      </c>
      <c r="LE641" s="27" t="s">
        <v>8</v>
      </c>
      <c r="LJ641" s="27" t="s">
        <v>7</v>
      </c>
    </row>
    <row r="642" spans="1:322" x14ac:dyDescent="0.25">
      <c r="A642" s="7">
        <v>0.33650424955324681</v>
      </c>
      <c r="B642"/>
      <c r="C642"/>
      <c r="D642"/>
      <c r="E642"/>
      <c r="BL642" s="27" t="s">
        <v>7</v>
      </c>
      <c r="BM642" s="27" t="s">
        <v>8</v>
      </c>
      <c r="BN642" s="27" t="s">
        <v>7</v>
      </c>
      <c r="JM642" s="27" t="s">
        <v>8</v>
      </c>
      <c r="JN642" s="27" t="s">
        <v>7</v>
      </c>
      <c r="LA642" s="27" t="s">
        <v>8</v>
      </c>
      <c r="LB642" s="27" t="s">
        <v>7</v>
      </c>
      <c r="LC642" s="27" t="s">
        <v>8</v>
      </c>
      <c r="LD642" s="27" t="s">
        <v>7</v>
      </c>
      <c r="LE642" s="27" t="s">
        <v>8</v>
      </c>
    </row>
    <row r="643" spans="1:322" x14ac:dyDescent="0.25">
      <c r="A643" s="7">
        <v>0.3299061270129871</v>
      </c>
      <c r="B643"/>
      <c r="C643"/>
      <c r="D643"/>
      <c r="E643"/>
      <c r="BL643" s="27" t="s">
        <v>7</v>
      </c>
      <c r="BM643" s="27" t="s">
        <v>8</v>
      </c>
      <c r="BN643" s="27" t="s">
        <v>7</v>
      </c>
      <c r="JM643" s="27" t="s">
        <v>8</v>
      </c>
      <c r="JN643" s="27" t="s">
        <v>7</v>
      </c>
      <c r="LA643" s="27" t="s">
        <v>8</v>
      </c>
      <c r="LB643" s="27" t="s">
        <v>7</v>
      </c>
      <c r="LC643" s="27" t="s">
        <v>8</v>
      </c>
      <c r="LD643" s="27" t="s">
        <v>7</v>
      </c>
      <c r="LE643" s="27" t="s">
        <v>8</v>
      </c>
    </row>
    <row r="644" spans="1:322" x14ac:dyDescent="0.25">
      <c r="A644" s="7">
        <v>0.32343737942449713</v>
      </c>
      <c r="B644"/>
      <c r="C644"/>
      <c r="D644"/>
      <c r="E644"/>
      <c r="BL644" s="27" t="s">
        <v>7</v>
      </c>
      <c r="BM644" s="27" t="s">
        <v>8</v>
      </c>
      <c r="BN644" s="27" t="s">
        <v>7</v>
      </c>
      <c r="JM644" s="27" t="s">
        <v>8</v>
      </c>
      <c r="JN644" s="27" t="s">
        <v>7</v>
      </c>
      <c r="LA644" s="27" t="s">
        <v>8</v>
      </c>
      <c r="LB644" s="27" t="s">
        <v>7</v>
      </c>
      <c r="LC644" s="27" t="s">
        <v>8</v>
      </c>
      <c r="LD644" s="27" t="s">
        <v>7</v>
      </c>
      <c r="LE644" s="27" t="s">
        <v>8</v>
      </c>
    </row>
    <row r="645" spans="1:322" x14ac:dyDescent="0.25">
      <c r="A645" s="7">
        <v>0.31709547002401678</v>
      </c>
      <c r="B645"/>
      <c r="C645"/>
      <c r="D645"/>
      <c r="E645"/>
      <c r="BL645" s="27" t="s">
        <v>7</v>
      </c>
      <c r="BM645" s="27" t="s">
        <v>8</v>
      </c>
      <c r="BN645" s="27" t="s">
        <v>7</v>
      </c>
      <c r="JM645" s="27" t="s">
        <v>8</v>
      </c>
      <c r="JN645" s="27" t="s">
        <v>7</v>
      </c>
      <c r="JO645" s="27" t="s">
        <v>8</v>
      </c>
      <c r="LA645" s="27" t="s">
        <v>8</v>
      </c>
      <c r="LB645" s="27" t="s">
        <v>7</v>
      </c>
      <c r="LD645" s="27" t="s">
        <v>7</v>
      </c>
      <c r="LE645" s="27" t="s">
        <v>8</v>
      </c>
    </row>
    <row r="646" spans="1:322" x14ac:dyDescent="0.25">
      <c r="A646" s="7">
        <v>0.31087791178825175</v>
      </c>
      <c r="B646"/>
      <c r="C646"/>
      <c r="D646"/>
      <c r="E646"/>
      <c r="BL646" s="27" t="s">
        <v>7</v>
      </c>
      <c r="BM646" s="27" t="s">
        <v>8</v>
      </c>
      <c r="BN646" s="27" t="s">
        <v>7</v>
      </c>
      <c r="JM646" s="27" t="s">
        <v>8</v>
      </c>
      <c r="JN646" s="27" t="s">
        <v>7</v>
      </c>
      <c r="JO646" s="27" t="s">
        <v>8</v>
      </c>
      <c r="JP646" s="27" t="s">
        <v>7</v>
      </c>
      <c r="LA646" s="27" t="s">
        <v>8</v>
      </c>
      <c r="LD646" s="27" t="s">
        <v>7</v>
      </c>
    </row>
    <row r="647" spans="1:322" x14ac:dyDescent="0.25">
      <c r="A647" s="7">
        <v>0.30478226645907036</v>
      </c>
      <c r="B647"/>
      <c r="C647"/>
      <c r="D647"/>
      <c r="E647"/>
      <c r="BL647" s="27" t="s">
        <v>7</v>
      </c>
      <c r="BM647" s="27" t="s">
        <v>8</v>
      </c>
      <c r="BN647" s="27" t="s">
        <v>7</v>
      </c>
      <c r="JM647" s="27" t="s">
        <v>8</v>
      </c>
      <c r="JN647" s="27" t="s">
        <v>7</v>
      </c>
      <c r="JO647" s="27" t="s">
        <v>8</v>
      </c>
      <c r="JP647" s="27" t="s">
        <v>7</v>
      </c>
      <c r="JQ647" s="27" t="s">
        <v>8</v>
      </c>
      <c r="LA647" s="27" t="s">
        <v>8</v>
      </c>
    </row>
    <row r="648" spans="1:322" x14ac:dyDescent="0.25">
      <c r="A648" s="7">
        <v>0.29880614358732388</v>
      </c>
      <c r="B648"/>
      <c r="C648"/>
      <c r="D648"/>
      <c r="E648"/>
      <c r="BL648" s="27" t="s">
        <v>7</v>
      </c>
      <c r="BM648" s="27" t="s">
        <v>8</v>
      </c>
      <c r="BN648" s="27" t="s">
        <v>7</v>
      </c>
      <c r="EO648" s="27" t="s">
        <v>8</v>
      </c>
      <c r="JM648" s="27" t="s">
        <v>8</v>
      </c>
      <c r="JN648" s="27" t="s">
        <v>7</v>
      </c>
      <c r="JO648" s="27" t="s">
        <v>8</v>
      </c>
      <c r="JP648" s="27" t="s">
        <v>7</v>
      </c>
      <c r="JQ648" s="27" t="s">
        <v>8</v>
      </c>
      <c r="JR648" s="27" t="s">
        <v>7</v>
      </c>
      <c r="LA648" s="27" t="s">
        <v>8</v>
      </c>
    </row>
    <row r="649" spans="1:322" x14ac:dyDescent="0.25">
      <c r="A649" s="7">
        <v>0.2929471995954156</v>
      </c>
      <c r="B649"/>
      <c r="C649"/>
      <c r="D649"/>
      <c r="E649"/>
      <c r="BL649" s="27" t="s">
        <v>7</v>
      </c>
      <c r="BM649" s="27" t="s">
        <v>8</v>
      </c>
      <c r="BN649" s="27" t="s">
        <v>7</v>
      </c>
      <c r="EO649" s="27" t="s">
        <v>8</v>
      </c>
      <c r="EP649" s="27" t="s">
        <v>7</v>
      </c>
      <c r="HG649" s="27" t="s">
        <v>8</v>
      </c>
      <c r="JM649" s="27" t="s">
        <v>8</v>
      </c>
      <c r="JN649" s="27" t="s">
        <v>7</v>
      </c>
      <c r="JO649" s="27" t="s">
        <v>8</v>
      </c>
      <c r="JP649" s="27" t="s">
        <v>7</v>
      </c>
      <c r="JQ649" s="27" t="s">
        <v>8</v>
      </c>
      <c r="JR649" s="27" t="s">
        <v>7</v>
      </c>
      <c r="KY649" s="27" t="s">
        <v>8</v>
      </c>
      <c r="LA649" s="27" t="s">
        <v>8</v>
      </c>
    </row>
    <row r="650" spans="1:322" x14ac:dyDescent="0.25">
      <c r="A650" s="7">
        <v>0.28720313685825055</v>
      </c>
      <c r="B650"/>
      <c r="C650"/>
      <c r="D650"/>
      <c r="E650"/>
      <c r="BL650" s="27" t="s">
        <v>7</v>
      </c>
      <c r="BM650" s="27" t="s">
        <v>8</v>
      </c>
      <c r="BN650" s="27" t="s">
        <v>7</v>
      </c>
      <c r="EO650" s="27" t="s">
        <v>8</v>
      </c>
      <c r="EP650" s="27" t="s">
        <v>7</v>
      </c>
      <c r="HE650" s="27" t="s">
        <v>8</v>
      </c>
      <c r="HG650" s="27" t="s">
        <v>8</v>
      </c>
      <c r="HH650" s="27" t="s">
        <v>7</v>
      </c>
      <c r="JM650" s="27" t="s">
        <v>8</v>
      </c>
      <c r="JN650" s="27" t="s">
        <v>7</v>
      </c>
      <c r="JO650" s="27" t="s">
        <v>8</v>
      </c>
      <c r="JP650" s="27" t="s">
        <v>7</v>
      </c>
      <c r="JQ650" s="27" t="s">
        <v>8</v>
      </c>
      <c r="JR650" s="27" t="s">
        <v>7</v>
      </c>
      <c r="KY650" s="27" t="s">
        <v>8</v>
      </c>
      <c r="KZ650" s="27" t="s">
        <v>7</v>
      </c>
      <c r="LA650" s="27" t="s">
        <v>8</v>
      </c>
    </row>
    <row r="651" spans="1:322" x14ac:dyDescent="0.25">
      <c r="A651" s="7">
        <v>0.28157170280220645</v>
      </c>
      <c r="B651"/>
      <c r="C651"/>
      <c r="D651"/>
      <c r="E651"/>
      <c r="BL651" s="27" t="s">
        <v>7</v>
      </c>
      <c r="BM651" s="27" t="s">
        <v>8</v>
      </c>
      <c r="BN651" s="27" t="s">
        <v>7</v>
      </c>
      <c r="EO651" s="27" t="s">
        <v>8</v>
      </c>
      <c r="EP651" s="27" t="s">
        <v>7</v>
      </c>
      <c r="HE651" s="27" t="s">
        <v>8</v>
      </c>
      <c r="HF651" s="27" t="s">
        <v>7</v>
      </c>
      <c r="HG651" s="27" t="s">
        <v>8</v>
      </c>
      <c r="HH651" s="27" t="s">
        <v>7</v>
      </c>
      <c r="JM651" s="27" t="s">
        <v>8</v>
      </c>
      <c r="JN651" s="27" t="s">
        <v>7</v>
      </c>
      <c r="JO651" s="27" t="s">
        <v>8</v>
      </c>
      <c r="JP651" s="27" t="s">
        <v>7</v>
      </c>
      <c r="JQ651" s="27" t="s">
        <v>8</v>
      </c>
      <c r="JR651" s="27" t="s">
        <v>7</v>
      </c>
      <c r="KY651" s="27" t="s">
        <v>8</v>
      </c>
      <c r="KZ651" s="27" t="s">
        <v>7</v>
      </c>
      <c r="LA651" s="27" t="s">
        <v>8</v>
      </c>
    </row>
    <row r="652" spans="1:322" x14ac:dyDescent="0.25">
      <c r="A652" s="7">
        <v>0.27605068902177105</v>
      </c>
      <c r="B652"/>
      <c r="C652"/>
      <c r="D652"/>
      <c r="E652"/>
      <c r="BL652" s="27" t="s">
        <v>7</v>
      </c>
      <c r="BM652" s="27" t="s">
        <v>8</v>
      </c>
      <c r="BN652" s="27" t="s">
        <v>7</v>
      </c>
      <c r="EO652" s="27" t="s">
        <v>8</v>
      </c>
      <c r="EP652" s="27" t="s">
        <v>7</v>
      </c>
      <c r="HE652" s="27" t="s">
        <v>8</v>
      </c>
      <c r="HF652" s="27" t="s">
        <v>7</v>
      </c>
      <c r="HG652" s="27" t="s">
        <v>8</v>
      </c>
      <c r="HH652" s="27" t="s">
        <v>7</v>
      </c>
      <c r="JM652" s="27" t="s">
        <v>8</v>
      </c>
      <c r="JN652" s="27" t="s">
        <v>7</v>
      </c>
      <c r="JO652" s="27" t="s">
        <v>8</v>
      </c>
      <c r="JP652" s="27" t="s">
        <v>7</v>
      </c>
      <c r="JQ652" s="27" t="s">
        <v>8</v>
      </c>
      <c r="JR652" s="27" t="s">
        <v>7</v>
      </c>
      <c r="KY652" s="27" t="s">
        <v>8</v>
      </c>
      <c r="KZ652" s="27" t="s">
        <v>7</v>
      </c>
      <c r="LA652" s="27" t="s">
        <v>8</v>
      </c>
    </row>
    <row r="653" spans="1:322" x14ac:dyDescent="0.25">
      <c r="A653" s="7">
        <v>0.27063793041350104</v>
      </c>
      <c r="B653"/>
      <c r="C653"/>
      <c r="D653"/>
      <c r="E653"/>
      <c r="BL653" s="27" t="s">
        <v>7</v>
      </c>
      <c r="BN653" s="27" t="s">
        <v>7</v>
      </c>
      <c r="EO653" s="27" t="s">
        <v>8</v>
      </c>
      <c r="EP653" s="27" t="s">
        <v>7</v>
      </c>
      <c r="HE653" s="27" t="s">
        <v>8</v>
      </c>
      <c r="HF653" s="27" t="s">
        <v>7</v>
      </c>
      <c r="HG653" s="27" t="s">
        <v>8</v>
      </c>
      <c r="HH653" s="27" t="s">
        <v>7</v>
      </c>
      <c r="JM653" s="27" t="s">
        <v>8</v>
      </c>
      <c r="JN653" s="27" t="s">
        <v>7</v>
      </c>
      <c r="JO653" s="27" t="s">
        <v>8</v>
      </c>
      <c r="JP653" s="27" t="s">
        <v>7</v>
      </c>
      <c r="JQ653" s="27" t="s">
        <v>8</v>
      </c>
      <c r="JR653" s="27" t="s">
        <v>7</v>
      </c>
      <c r="KY653" s="27" t="s">
        <v>8</v>
      </c>
      <c r="KZ653" s="27" t="s">
        <v>7</v>
      </c>
      <c r="LA653" s="27" t="s">
        <v>8</v>
      </c>
    </row>
    <row r="654" spans="1:322" x14ac:dyDescent="0.25">
      <c r="A654" s="7">
        <v>0.26533130432696184</v>
      </c>
      <c r="B654"/>
      <c r="C654"/>
      <c r="D654"/>
      <c r="E654"/>
      <c r="BN654" s="27" t="s">
        <v>7</v>
      </c>
      <c r="BQ654" s="27" t="s">
        <v>8</v>
      </c>
      <c r="BS654" s="27" t="s">
        <v>8</v>
      </c>
      <c r="EO654" s="27" t="s">
        <v>8</v>
      </c>
      <c r="EP654" s="27" t="s">
        <v>7</v>
      </c>
      <c r="HE654" s="27" t="s">
        <v>8</v>
      </c>
      <c r="HF654" s="27" t="s">
        <v>7</v>
      </c>
      <c r="HG654" s="27" t="s">
        <v>8</v>
      </c>
      <c r="HH654" s="27" t="s">
        <v>7</v>
      </c>
      <c r="JM654" s="27" t="s">
        <v>8</v>
      </c>
      <c r="JN654" s="27" t="s">
        <v>7</v>
      </c>
      <c r="JO654" s="27" t="s">
        <v>8</v>
      </c>
      <c r="JP654" s="27" t="s">
        <v>7</v>
      </c>
      <c r="JQ654" s="27" t="s">
        <v>8</v>
      </c>
      <c r="JR654" s="27" t="s">
        <v>7</v>
      </c>
      <c r="KY654" s="27" t="s">
        <v>8</v>
      </c>
      <c r="KZ654" s="27" t="s">
        <v>7</v>
      </c>
      <c r="LA654" s="27" t="s">
        <v>8</v>
      </c>
    </row>
    <row r="655" spans="1:322" x14ac:dyDescent="0.25">
      <c r="A655" s="7">
        <v>0.26012872973231554</v>
      </c>
      <c r="B655"/>
      <c r="C655"/>
      <c r="D655"/>
      <c r="E655"/>
      <c r="BN655" s="27" t="s">
        <v>7</v>
      </c>
      <c r="BO655" s="27" t="s">
        <v>8</v>
      </c>
      <c r="BQ655" s="27" t="s">
        <v>8</v>
      </c>
      <c r="BR655" s="27" t="s">
        <v>7</v>
      </c>
      <c r="BS655" s="27" t="s">
        <v>8</v>
      </c>
      <c r="BT655" s="27" t="s">
        <v>7</v>
      </c>
      <c r="EO655" s="27" t="s">
        <v>8</v>
      </c>
      <c r="EP655" s="27" t="s">
        <v>7</v>
      </c>
      <c r="HE655" s="27" t="s">
        <v>8</v>
      </c>
      <c r="HF655" s="27" t="s">
        <v>7</v>
      </c>
      <c r="HG655" s="27" t="s">
        <v>8</v>
      </c>
      <c r="HH655" s="27" t="s">
        <v>7</v>
      </c>
      <c r="JM655" s="27" t="s">
        <v>8</v>
      </c>
      <c r="JN655" s="27" t="s">
        <v>7</v>
      </c>
      <c r="JO655" s="27" t="s">
        <v>8</v>
      </c>
      <c r="JP655" s="27" t="s">
        <v>7</v>
      </c>
      <c r="JQ655" s="27" t="s">
        <v>8</v>
      </c>
      <c r="JR655" s="27" t="s">
        <v>7</v>
      </c>
      <c r="KI655" s="27" t="s">
        <v>8</v>
      </c>
      <c r="KK655" s="27" t="s">
        <v>8</v>
      </c>
      <c r="KY655" s="27" t="s">
        <v>8</v>
      </c>
      <c r="KZ655" s="27" t="s">
        <v>7</v>
      </c>
      <c r="LA655" s="27" t="s">
        <v>8</v>
      </c>
    </row>
    <row r="656" spans="1:322" x14ac:dyDescent="0.25">
      <c r="A656" s="7">
        <v>0.25502816640423093</v>
      </c>
      <c r="B656"/>
      <c r="C656"/>
      <c r="D656"/>
      <c r="E656"/>
      <c r="BN656" s="27" t="s">
        <v>7</v>
      </c>
      <c r="BO656" s="27" t="s">
        <v>8</v>
      </c>
      <c r="BP656" s="27" t="s">
        <v>7</v>
      </c>
      <c r="BQ656" s="27" t="s">
        <v>8</v>
      </c>
      <c r="BR656" s="27" t="s">
        <v>7</v>
      </c>
      <c r="BS656" s="27" t="s">
        <v>8</v>
      </c>
      <c r="BT656" s="27" t="s">
        <v>7</v>
      </c>
      <c r="BU656" s="27" t="s">
        <v>8</v>
      </c>
      <c r="EO656" s="27" t="s">
        <v>8</v>
      </c>
      <c r="EP656" s="27" t="s">
        <v>7</v>
      </c>
      <c r="HE656" s="27" t="s">
        <v>8</v>
      </c>
      <c r="HF656" s="27" t="s">
        <v>7</v>
      </c>
      <c r="HG656" s="27" t="s">
        <v>8</v>
      </c>
      <c r="HH656" s="27" t="s">
        <v>7</v>
      </c>
      <c r="JM656" s="27" t="s">
        <v>8</v>
      </c>
      <c r="JN656" s="27" t="s">
        <v>7</v>
      </c>
      <c r="JO656" s="27" t="s">
        <v>8</v>
      </c>
      <c r="JP656" s="27" t="s">
        <v>7</v>
      </c>
      <c r="JQ656" s="27" t="s">
        <v>8</v>
      </c>
      <c r="JR656" s="27" t="s">
        <v>7</v>
      </c>
      <c r="KI656" s="27" t="s">
        <v>8</v>
      </c>
      <c r="KJ656" s="27" t="s">
        <v>7</v>
      </c>
      <c r="KK656" s="27" t="s">
        <v>8</v>
      </c>
      <c r="KL656" s="27" t="s">
        <v>7</v>
      </c>
      <c r="KY656" s="27" t="s">
        <v>8</v>
      </c>
      <c r="KZ656" s="27" t="s">
        <v>7</v>
      </c>
      <c r="LA656" s="27" t="s">
        <v>8</v>
      </c>
    </row>
    <row r="657" spans="1:313" x14ac:dyDescent="0.25">
      <c r="A657" s="7">
        <v>0.25002761412179503</v>
      </c>
      <c r="B657"/>
      <c r="C657"/>
      <c r="D657"/>
      <c r="E657"/>
      <c r="BN657" s="27" t="s">
        <v>7</v>
      </c>
      <c r="BO657" s="27" t="s">
        <v>8</v>
      </c>
      <c r="BP657" s="27" t="s">
        <v>7</v>
      </c>
      <c r="BQ657" s="27" t="s">
        <v>8</v>
      </c>
      <c r="BR657" s="27" t="s">
        <v>7</v>
      </c>
      <c r="BS657" s="27" t="s">
        <v>8</v>
      </c>
      <c r="BT657" s="27" t="s">
        <v>7</v>
      </c>
      <c r="BU657" s="27" t="s">
        <v>8</v>
      </c>
      <c r="BV657" s="27" t="s">
        <v>7</v>
      </c>
      <c r="EO657" s="27" t="s">
        <v>8</v>
      </c>
      <c r="EP657" s="27" t="s">
        <v>7</v>
      </c>
      <c r="HE657" s="27" t="s">
        <v>8</v>
      </c>
      <c r="HF657" s="27" t="s">
        <v>7</v>
      </c>
      <c r="HG657" s="27" t="s">
        <v>8</v>
      </c>
      <c r="HH657" s="27" t="s">
        <v>7</v>
      </c>
      <c r="JM657" s="27" t="s">
        <v>8</v>
      </c>
      <c r="JN657" s="27" t="s">
        <v>7</v>
      </c>
      <c r="JO657" s="27" t="s">
        <v>8</v>
      </c>
      <c r="JP657" s="27" t="s">
        <v>7</v>
      </c>
      <c r="JQ657" s="27" t="s">
        <v>8</v>
      </c>
      <c r="JR657" s="27" t="s">
        <v>7</v>
      </c>
      <c r="JY657" s="27" t="s">
        <v>8</v>
      </c>
      <c r="KI657" s="27" t="s">
        <v>8</v>
      </c>
      <c r="KJ657" s="27" t="s">
        <v>7</v>
      </c>
      <c r="KK657" s="27" t="s">
        <v>8</v>
      </c>
      <c r="KL657" s="27" t="s">
        <v>7</v>
      </c>
      <c r="KY657" s="27" t="s">
        <v>8</v>
      </c>
      <c r="KZ657" s="27" t="s">
        <v>7</v>
      </c>
      <c r="LA657" s="27" t="s">
        <v>8</v>
      </c>
    </row>
    <row r="658" spans="1:313" x14ac:dyDescent="0.25">
      <c r="A658" s="7">
        <v>0.24512511188411276</v>
      </c>
      <c r="B658"/>
      <c r="C658"/>
      <c r="D658"/>
      <c r="E658"/>
      <c r="BN658" s="27" t="s">
        <v>7</v>
      </c>
      <c r="BO658" s="27" t="s">
        <v>8</v>
      </c>
      <c r="BP658" s="27" t="s">
        <v>7</v>
      </c>
      <c r="BQ658" s="27" t="s">
        <v>8</v>
      </c>
      <c r="BR658" s="27" t="s">
        <v>7</v>
      </c>
      <c r="BS658" s="27" t="s">
        <v>8</v>
      </c>
      <c r="BT658" s="27" t="s">
        <v>7</v>
      </c>
      <c r="BU658" s="27" t="s">
        <v>8</v>
      </c>
      <c r="BV658" s="27" t="s">
        <v>7</v>
      </c>
      <c r="EO658" s="27" t="s">
        <v>8</v>
      </c>
      <c r="EP658" s="27" t="s">
        <v>7</v>
      </c>
      <c r="HE658" s="27" t="s">
        <v>8</v>
      </c>
      <c r="HF658" s="27" t="s">
        <v>7</v>
      </c>
      <c r="HG658" s="27" t="s">
        <v>8</v>
      </c>
      <c r="HH658" s="27" t="s">
        <v>7</v>
      </c>
      <c r="JM658" s="27" t="s">
        <v>8</v>
      </c>
      <c r="JN658" s="27" t="s">
        <v>7</v>
      </c>
      <c r="JO658" s="27" t="s">
        <v>8</v>
      </c>
      <c r="JP658" s="27" t="s">
        <v>7</v>
      </c>
      <c r="JQ658" s="27" t="s">
        <v>8</v>
      </c>
      <c r="JR658" s="27" t="s">
        <v>7</v>
      </c>
      <c r="JY658" s="27" t="s">
        <v>8</v>
      </c>
      <c r="JZ658" s="27" t="s">
        <v>7</v>
      </c>
      <c r="KI658" s="27" t="s">
        <v>8</v>
      </c>
      <c r="KJ658" s="27" t="s">
        <v>7</v>
      </c>
      <c r="KK658" s="27" t="s">
        <v>8</v>
      </c>
      <c r="KL658" s="27" t="s">
        <v>7</v>
      </c>
      <c r="KQ658" s="27" t="s">
        <v>8</v>
      </c>
      <c r="KY658" s="27" t="s">
        <v>8</v>
      </c>
      <c r="KZ658" s="27" t="s">
        <v>7</v>
      </c>
      <c r="LA658" s="27" t="s">
        <v>8</v>
      </c>
    </row>
    <row r="659" spans="1:313" x14ac:dyDescent="0.25">
      <c r="A659" s="7">
        <v>0.24031873714128701</v>
      </c>
      <c r="B659"/>
      <c r="C659"/>
      <c r="D659"/>
      <c r="E659"/>
      <c r="BN659" s="27" t="s">
        <v>7</v>
      </c>
      <c r="BO659" s="27" t="s">
        <v>8</v>
      </c>
      <c r="BP659" s="27" t="s">
        <v>7</v>
      </c>
      <c r="BR659" s="27" t="s">
        <v>7</v>
      </c>
      <c r="BS659" s="27" t="s">
        <v>8</v>
      </c>
      <c r="BT659" s="27" t="s">
        <v>7</v>
      </c>
      <c r="BU659" s="27" t="s">
        <v>8</v>
      </c>
      <c r="BV659" s="27" t="s">
        <v>7</v>
      </c>
      <c r="EO659" s="27" t="s">
        <v>8</v>
      </c>
      <c r="EP659" s="27" t="s">
        <v>7</v>
      </c>
      <c r="HE659" s="27" t="s">
        <v>8</v>
      </c>
      <c r="HF659" s="27" t="s">
        <v>7</v>
      </c>
      <c r="HG659" s="27" t="s">
        <v>8</v>
      </c>
      <c r="HH659" s="27" t="s">
        <v>7</v>
      </c>
      <c r="HI659" s="27" t="s">
        <v>8</v>
      </c>
      <c r="JM659" s="27" t="s">
        <v>8</v>
      </c>
      <c r="JN659" s="27" t="s">
        <v>7</v>
      </c>
      <c r="JO659" s="27" t="s">
        <v>8</v>
      </c>
      <c r="JP659" s="27" t="s">
        <v>7</v>
      </c>
      <c r="JQ659" s="27" t="s">
        <v>8</v>
      </c>
      <c r="JR659" s="27" t="s">
        <v>7</v>
      </c>
      <c r="JS659" s="27" t="s">
        <v>8</v>
      </c>
      <c r="JY659" s="27" t="s">
        <v>8</v>
      </c>
      <c r="JZ659" s="27" t="s">
        <v>7</v>
      </c>
      <c r="KI659" s="27" t="s">
        <v>8</v>
      </c>
      <c r="KJ659" s="27" t="s">
        <v>7</v>
      </c>
      <c r="KK659" s="27" t="s">
        <v>8</v>
      </c>
      <c r="KL659" s="27" t="s">
        <v>7</v>
      </c>
      <c r="KQ659" s="27" t="s">
        <v>8</v>
      </c>
      <c r="KR659" s="27" t="s">
        <v>7</v>
      </c>
      <c r="KW659" s="27" t="s">
        <v>8</v>
      </c>
      <c r="KY659" s="27" t="s">
        <v>8</v>
      </c>
      <c r="KZ659" s="27" t="s">
        <v>7</v>
      </c>
      <c r="LA659" s="27" t="s">
        <v>8</v>
      </c>
    </row>
    <row r="660" spans="1:313" x14ac:dyDescent="0.25">
      <c r="A660" s="7">
        <v>0.23560660504047748</v>
      </c>
      <c r="B660"/>
      <c r="C660"/>
      <c r="D660"/>
      <c r="E660"/>
      <c r="BN660" s="27" t="s">
        <v>7</v>
      </c>
      <c r="BO660" s="27" t="s">
        <v>8</v>
      </c>
      <c r="BR660" s="27" t="s">
        <v>7</v>
      </c>
      <c r="BS660" s="27" t="s">
        <v>8</v>
      </c>
      <c r="BT660" s="27" t="s">
        <v>7</v>
      </c>
      <c r="BU660" s="27" t="s">
        <v>8</v>
      </c>
      <c r="BV660" s="27" t="s">
        <v>7</v>
      </c>
      <c r="EO660" s="27" t="s">
        <v>8</v>
      </c>
      <c r="EP660" s="27" t="s">
        <v>7</v>
      </c>
      <c r="HE660" s="27" t="s">
        <v>8</v>
      </c>
      <c r="HF660" s="27" t="s">
        <v>7</v>
      </c>
      <c r="HG660" s="27" t="s">
        <v>8</v>
      </c>
      <c r="HH660" s="27" t="s">
        <v>7</v>
      </c>
      <c r="HI660" s="27" t="s">
        <v>8</v>
      </c>
      <c r="HJ660" s="27" t="s">
        <v>7</v>
      </c>
      <c r="JM660" s="27" t="s">
        <v>8</v>
      </c>
      <c r="JN660" s="27" t="s">
        <v>7</v>
      </c>
      <c r="JO660" s="27" t="s">
        <v>8</v>
      </c>
      <c r="JP660" s="27" t="s">
        <v>7</v>
      </c>
      <c r="JR660" s="27" t="s">
        <v>7</v>
      </c>
      <c r="JS660" s="27" t="s">
        <v>8</v>
      </c>
      <c r="JT660" s="27" t="s">
        <v>7</v>
      </c>
      <c r="JY660" s="27" t="s">
        <v>8</v>
      </c>
      <c r="JZ660" s="27" t="s">
        <v>7</v>
      </c>
      <c r="KI660" s="27" t="s">
        <v>8</v>
      </c>
      <c r="KJ660" s="27" t="s">
        <v>7</v>
      </c>
      <c r="KK660" s="27" t="s">
        <v>8</v>
      </c>
      <c r="KL660" s="27" t="s">
        <v>7</v>
      </c>
      <c r="KM660" s="27" t="s">
        <v>8</v>
      </c>
      <c r="KO660" s="27" t="s">
        <v>8</v>
      </c>
      <c r="KQ660" s="27" t="s">
        <v>8</v>
      </c>
      <c r="KR660" s="27" t="s">
        <v>7</v>
      </c>
      <c r="KW660" s="27" t="s">
        <v>8</v>
      </c>
      <c r="KX660" s="27" t="s">
        <v>7</v>
      </c>
      <c r="KY660" s="27" t="s">
        <v>8</v>
      </c>
      <c r="KZ660" s="27" t="s">
        <v>7</v>
      </c>
      <c r="LA660" s="27" t="s">
        <v>8</v>
      </c>
    </row>
    <row r="661" spans="1:313" x14ac:dyDescent="0.25">
      <c r="A661" s="7">
        <v>0.23098686768674265</v>
      </c>
      <c r="B661"/>
      <c r="C661"/>
      <c r="D661"/>
      <c r="E661"/>
      <c r="BN661" s="27" t="s">
        <v>7</v>
      </c>
      <c r="BO661" s="27" t="s">
        <v>8</v>
      </c>
      <c r="BR661" s="27" t="s">
        <v>7</v>
      </c>
      <c r="BT661" s="27" t="s">
        <v>7</v>
      </c>
      <c r="BU661" s="27" t="s">
        <v>8</v>
      </c>
      <c r="BV661" s="27" t="s">
        <v>7</v>
      </c>
      <c r="EO661" s="27" t="s">
        <v>8</v>
      </c>
      <c r="EP661" s="27" t="s">
        <v>7</v>
      </c>
      <c r="HE661" s="27" t="s">
        <v>8</v>
      </c>
      <c r="HF661" s="27" t="s">
        <v>7</v>
      </c>
      <c r="HG661" s="27" t="s">
        <v>8</v>
      </c>
      <c r="HH661" s="27" t="s">
        <v>7</v>
      </c>
      <c r="HI661" s="27" t="s">
        <v>8</v>
      </c>
      <c r="HJ661" s="27" t="s">
        <v>7</v>
      </c>
      <c r="JM661" s="27" t="s">
        <v>8</v>
      </c>
      <c r="JN661" s="27" t="s">
        <v>7</v>
      </c>
      <c r="JO661" s="27" t="s">
        <v>8</v>
      </c>
      <c r="JR661" s="27" t="s">
        <v>7</v>
      </c>
      <c r="JS661" s="27" t="s">
        <v>8</v>
      </c>
      <c r="JT661" s="27" t="s">
        <v>7</v>
      </c>
      <c r="JY661" s="27" t="s">
        <v>8</v>
      </c>
      <c r="JZ661" s="27" t="s">
        <v>7</v>
      </c>
      <c r="KI661" s="27" t="s">
        <v>8</v>
      </c>
      <c r="KJ661" s="27" t="s">
        <v>7</v>
      </c>
      <c r="KK661" s="27" t="s">
        <v>8</v>
      </c>
      <c r="KL661" s="27" t="s">
        <v>7</v>
      </c>
      <c r="KM661" s="27" t="s">
        <v>8</v>
      </c>
      <c r="KN661" s="27" t="s">
        <v>7</v>
      </c>
      <c r="KO661" s="27" t="s">
        <v>8</v>
      </c>
      <c r="KP661" s="27" t="s">
        <v>7</v>
      </c>
      <c r="KQ661" s="27" t="s">
        <v>8</v>
      </c>
      <c r="KR661" s="27" t="s">
        <v>7</v>
      </c>
      <c r="KS661" s="27" t="s">
        <v>8</v>
      </c>
      <c r="KW661" s="27" t="s">
        <v>8</v>
      </c>
      <c r="KX661" s="27" t="s">
        <v>7</v>
      </c>
      <c r="KY661" s="27" t="s">
        <v>8</v>
      </c>
      <c r="KZ661" s="27" t="s">
        <v>7</v>
      </c>
    </row>
    <row r="662" spans="1:313" x14ac:dyDescent="0.25">
      <c r="A662" s="7">
        <v>0.22645771341837515</v>
      </c>
      <c r="B662"/>
      <c r="C662"/>
      <c r="D662"/>
      <c r="E662"/>
      <c r="BN662" s="27" t="s">
        <v>7</v>
      </c>
      <c r="BO662" s="27" t="s">
        <v>8</v>
      </c>
      <c r="BT662" s="27" t="s">
        <v>7</v>
      </c>
      <c r="BV662" s="27" t="s">
        <v>7</v>
      </c>
      <c r="EO662" s="27" t="s">
        <v>8</v>
      </c>
      <c r="EP662" s="27" t="s">
        <v>7</v>
      </c>
      <c r="HE662" s="27" t="s">
        <v>8</v>
      </c>
      <c r="HF662" s="27" t="s">
        <v>7</v>
      </c>
      <c r="HG662" s="27" t="s">
        <v>8</v>
      </c>
      <c r="HH662" s="27" t="s">
        <v>7</v>
      </c>
      <c r="HI662" s="27" t="s">
        <v>8</v>
      </c>
      <c r="HJ662" s="27" t="s">
        <v>7</v>
      </c>
      <c r="JM662" s="27" t="s">
        <v>8</v>
      </c>
      <c r="JN662" s="27" t="s">
        <v>7</v>
      </c>
      <c r="JO662" s="27" t="s">
        <v>8</v>
      </c>
      <c r="JR662" s="27" t="s">
        <v>7</v>
      </c>
      <c r="JS662" s="27" t="s">
        <v>8</v>
      </c>
      <c r="JT662" s="27" t="s">
        <v>7</v>
      </c>
      <c r="JW662" s="27" t="s">
        <v>8</v>
      </c>
      <c r="JY662" s="27" t="s">
        <v>8</v>
      </c>
      <c r="JZ662" s="27" t="s">
        <v>7</v>
      </c>
      <c r="KA662" s="27" t="s">
        <v>8</v>
      </c>
      <c r="KI662" s="27" t="s">
        <v>8</v>
      </c>
      <c r="KJ662" s="27" t="s">
        <v>7</v>
      </c>
      <c r="KK662" s="27" t="s">
        <v>8</v>
      </c>
      <c r="KL662" s="27" t="s">
        <v>7</v>
      </c>
      <c r="KM662" s="27" t="s">
        <v>8</v>
      </c>
      <c r="KN662" s="27" t="s">
        <v>7</v>
      </c>
      <c r="KO662" s="27" t="s">
        <v>8</v>
      </c>
      <c r="KP662" s="27" t="s">
        <v>7</v>
      </c>
      <c r="KQ662" s="27" t="s">
        <v>8</v>
      </c>
      <c r="KR662" s="27" t="s">
        <v>7</v>
      </c>
      <c r="KS662" s="27" t="s">
        <v>8</v>
      </c>
      <c r="KT662" s="27" t="s">
        <v>7</v>
      </c>
      <c r="KW662" s="27" t="s">
        <v>8</v>
      </c>
      <c r="KX662" s="27" t="s">
        <v>7</v>
      </c>
      <c r="KY662" s="27" t="s">
        <v>8</v>
      </c>
    </row>
    <row r="663" spans="1:313" x14ac:dyDescent="0.25">
      <c r="A663" s="7">
        <v>0.22201736609644623</v>
      </c>
      <c r="B663"/>
      <c r="C663"/>
      <c r="D663"/>
      <c r="E663"/>
      <c r="BN663" s="27" t="s">
        <v>7</v>
      </c>
      <c r="BO663" s="27" t="s">
        <v>8</v>
      </c>
      <c r="BV663" s="27" t="s">
        <v>7</v>
      </c>
      <c r="EO663" s="27" t="s">
        <v>8</v>
      </c>
      <c r="EP663" s="27" t="s">
        <v>7</v>
      </c>
      <c r="GQ663" s="27" t="s">
        <v>8</v>
      </c>
      <c r="HE663" s="27" t="s">
        <v>8</v>
      </c>
      <c r="HF663" s="27" t="s">
        <v>7</v>
      </c>
      <c r="HG663" s="27" t="s">
        <v>8</v>
      </c>
      <c r="HH663" s="27" t="s">
        <v>7</v>
      </c>
      <c r="HI663" s="27" t="s">
        <v>8</v>
      </c>
      <c r="HJ663" s="27" t="s">
        <v>7</v>
      </c>
      <c r="JM663" s="27" t="s">
        <v>8</v>
      </c>
      <c r="JN663" s="27" t="s">
        <v>7</v>
      </c>
      <c r="JO663" s="27" t="s">
        <v>8</v>
      </c>
      <c r="JR663" s="27" t="s">
        <v>7</v>
      </c>
      <c r="JS663" s="27" t="s">
        <v>8</v>
      </c>
      <c r="JT663" s="27" t="s">
        <v>7</v>
      </c>
      <c r="JW663" s="27" t="s">
        <v>8</v>
      </c>
      <c r="JX663" s="27" t="s">
        <v>7</v>
      </c>
      <c r="JY663" s="27" t="s">
        <v>8</v>
      </c>
      <c r="JZ663" s="27" t="s">
        <v>7</v>
      </c>
      <c r="KA663" s="27" t="s">
        <v>8</v>
      </c>
      <c r="KB663" s="27" t="s">
        <v>7</v>
      </c>
      <c r="KI663" s="27" t="s">
        <v>8</v>
      </c>
      <c r="KJ663" s="27" t="s">
        <v>7</v>
      </c>
      <c r="KK663" s="27" t="s">
        <v>8</v>
      </c>
      <c r="KL663" s="27" t="s">
        <v>7</v>
      </c>
      <c r="KM663" s="27" t="s">
        <v>8</v>
      </c>
      <c r="KN663" s="27" t="s">
        <v>7</v>
      </c>
      <c r="KO663" s="27" t="s">
        <v>8</v>
      </c>
      <c r="KP663" s="27" t="s">
        <v>7</v>
      </c>
      <c r="KQ663" s="27" t="s">
        <v>8</v>
      </c>
      <c r="KR663" s="27" t="s">
        <v>7</v>
      </c>
      <c r="KS663" s="27" t="s">
        <v>8</v>
      </c>
      <c r="KT663" s="27" t="s">
        <v>7</v>
      </c>
      <c r="KU663" s="27" t="s">
        <v>8</v>
      </c>
      <c r="KW663" s="27" t="s">
        <v>8</v>
      </c>
      <c r="KX663" s="27" t="s">
        <v>7</v>
      </c>
      <c r="KY663" s="27" t="s">
        <v>8</v>
      </c>
    </row>
    <row r="664" spans="1:313" x14ac:dyDescent="0.25">
      <c r="A664" s="7">
        <v>0.21766408440828061</v>
      </c>
      <c r="B664"/>
      <c r="C664"/>
      <c r="D664"/>
      <c r="E664"/>
      <c r="BN664" s="27" t="s">
        <v>7</v>
      </c>
      <c r="BO664" s="27" t="s">
        <v>8</v>
      </c>
      <c r="BV664" s="27" t="s">
        <v>7</v>
      </c>
      <c r="EO664" s="27" t="s">
        <v>8</v>
      </c>
      <c r="EP664" s="27" t="s">
        <v>7</v>
      </c>
      <c r="GQ664" s="27" t="s">
        <v>8</v>
      </c>
      <c r="GR664" s="27" t="s">
        <v>7</v>
      </c>
      <c r="HE664" s="27" t="s">
        <v>8</v>
      </c>
      <c r="HF664" s="27" t="s">
        <v>7</v>
      </c>
      <c r="HG664" s="27" t="s">
        <v>8</v>
      </c>
      <c r="HH664" s="27" t="s">
        <v>7</v>
      </c>
      <c r="HI664" s="27" t="s">
        <v>8</v>
      </c>
      <c r="HJ664" s="27" t="s">
        <v>7</v>
      </c>
      <c r="HK664" s="27" t="s">
        <v>8</v>
      </c>
      <c r="HY664" s="27" t="s">
        <v>8</v>
      </c>
      <c r="JM664" s="27" t="s">
        <v>8</v>
      </c>
      <c r="JN664" s="27" t="s">
        <v>7</v>
      </c>
      <c r="JO664" s="27" t="s">
        <v>8</v>
      </c>
      <c r="JR664" s="27" t="s">
        <v>7</v>
      </c>
      <c r="JS664" s="27" t="s">
        <v>8</v>
      </c>
      <c r="JT664" s="27" t="s">
        <v>7</v>
      </c>
      <c r="JW664" s="27" t="s">
        <v>8</v>
      </c>
      <c r="JX664" s="27" t="s">
        <v>7</v>
      </c>
      <c r="JY664" s="27" t="s">
        <v>8</v>
      </c>
      <c r="JZ664" s="27" t="s">
        <v>7</v>
      </c>
      <c r="KA664" s="27" t="s">
        <v>8</v>
      </c>
      <c r="KB664" s="27" t="s">
        <v>7</v>
      </c>
      <c r="KG664" s="27" t="s">
        <v>8</v>
      </c>
      <c r="KI664" s="27" t="s">
        <v>8</v>
      </c>
      <c r="KJ664" s="27" t="s">
        <v>7</v>
      </c>
      <c r="KK664" s="27" t="s">
        <v>8</v>
      </c>
      <c r="KL664" s="27" t="s">
        <v>7</v>
      </c>
      <c r="KM664" s="27" t="s">
        <v>8</v>
      </c>
      <c r="KN664" s="27" t="s">
        <v>7</v>
      </c>
      <c r="KO664" s="27" t="s">
        <v>8</v>
      </c>
      <c r="KP664" s="27" t="s">
        <v>7</v>
      </c>
      <c r="KR664" s="27" t="s">
        <v>7</v>
      </c>
      <c r="KS664" s="27" t="s">
        <v>8</v>
      </c>
      <c r="KT664" s="27" t="s">
        <v>7</v>
      </c>
      <c r="KU664" s="27" t="s">
        <v>8</v>
      </c>
      <c r="KV664" s="27" t="s">
        <v>7</v>
      </c>
      <c r="KW664" s="27" t="s">
        <v>8</v>
      </c>
      <c r="KX664" s="27" t="s">
        <v>7</v>
      </c>
      <c r="KY664" s="27" t="s">
        <v>8</v>
      </c>
    </row>
    <row r="665" spans="1:313" x14ac:dyDescent="0.25">
      <c r="A665" s="7">
        <v>0.21339616118458882</v>
      </c>
      <c r="B665"/>
      <c r="C665"/>
      <c r="D665"/>
      <c r="E665"/>
      <c r="BN665" s="27" t="s">
        <v>7</v>
      </c>
      <c r="BO665" s="27" t="s">
        <v>8</v>
      </c>
      <c r="BV665" s="27" t="s">
        <v>7</v>
      </c>
      <c r="BW665" s="27" t="s">
        <v>8</v>
      </c>
      <c r="CA665" s="27" t="s">
        <v>8</v>
      </c>
      <c r="EO665" s="27" t="s">
        <v>8</v>
      </c>
      <c r="EP665" s="27" t="s">
        <v>7</v>
      </c>
      <c r="GQ665" s="27" t="s">
        <v>8</v>
      </c>
      <c r="GR665" s="27" t="s">
        <v>7</v>
      </c>
      <c r="HE665" s="27" t="s">
        <v>8</v>
      </c>
      <c r="HF665" s="27" t="s">
        <v>7</v>
      </c>
      <c r="HG665" s="27" t="s">
        <v>8</v>
      </c>
      <c r="HH665" s="27" t="s">
        <v>7</v>
      </c>
      <c r="HI665" s="27" t="s">
        <v>8</v>
      </c>
      <c r="HJ665" s="27" t="s">
        <v>7</v>
      </c>
      <c r="HK665" s="27" t="s">
        <v>8</v>
      </c>
      <c r="HL665" s="27" t="s">
        <v>7</v>
      </c>
      <c r="HY665" s="27" t="s">
        <v>8</v>
      </c>
      <c r="HZ665" s="27" t="s">
        <v>7</v>
      </c>
      <c r="JM665" s="27" t="s">
        <v>8</v>
      </c>
      <c r="JN665" s="27" t="s">
        <v>7</v>
      </c>
      <c r="JO665" s="27" t="s">
        <v>8</v>
      </c>
      <c r="JR665" s="27" t="s">
        <v>7</v>
      </c>
      <c r="JT665" s="27" t="s">
        <v>7</v>
      </c>
      <c r="JW665" s="27" t="s">
        <v>8</v>
      </c>
      <c r="JX665" s="27" t="s">
        <v>7</v>
      </c>
      <c r="JY665" s="27" t="s">
        <v>8</v>
      </c>
      <c r="JZ665" s="27" t="s">
        <v>7</v>
      </c>
      <c r="KA665" s="27" t="s">
        <v>8</v>
      </c>
      <c r="KB665" s="27" t="s">
        <v>7</v>
      </c>
      <c r="KG665" s="27" t="s">
        <v>8</v>
      </c>
      <c r="KH665" s="27" t="s">
        <v>7</v>
      </c>
      <c r="KI665" s="27" t="s">
        <v>8</v>
      </c>
      <c r="KJ665" s="27" t="s">
        <v>7</v>
      </c>
      <c r="KK665" s="27" t="s">
        <v>8</v>
      </c>
      <c r="KL665" s="27" t="s">
        <v>7</v>
      </c>
      <c r="KM665" s="27" t="s">
        <v>8</v>
      </c>
      <c r="KN665" s="27" t="s">
        <v>7</v>
      </c>
      <c r="KO665" s="27" t="s">
        <v>8</v>
      </c>
      <c r="KR665" s="27" t="s">
        <v>7</v>
      </c>
      <c r="KS665" s="27" t="s">
        <v>8</v>
      </c>
      <c r="KT665" s="27" t="s">
        <v>7</v>
      </c>
      <c r="KU665" s="27" t="s">
        <v>8</v>
      </c>
      <c r="KV665" s="27" t="s">
        <v>7</v>
      </c>
      <c r="KW665" s="27" t="s">
        <v>8</v>
      </c>
      <c r="KX665" s="27" t="s">
        <v>7</v>
      </c>
    </row>
    <row r="666" spans="1:313" x14ac:dyDescent="0.25">
      <c r="A666" s="7">
        <v>0.20921192272998904</v>
      </c>
      <c r="B666"/>
      <c r="C666"/>
      <c r="D666"/>
      <c r="E666"/>
      <c r="BN666" s="27" t="s">
        <v>7</v>
      </c>
      <c r="BV666" s="27" t="s">
        <v>7</v>
      </c>
      <c r="BW666" s="27" t="s">
        <v>8</v>
      </c>
      <c r="BX666" s="27" t="s">
        <v>7</v>
      </c>
      <c r="BY666" s="27" t="s">
        <v>8</v>
      </c>
      <c r="CA666" s="27" t="s">
        <v>8</v>
      </c>
      <c r="CB666" s="27" t="s">
        <v>7</v>
      </c>
      <c r="EO666" s="27" t="s">
        <v>8</v>
      </c>
      <c r="EP666" s="27" t="s">
        <v>7</v>
      </c>
      <c r="GQ666" s="27" t="s">
        <v>8</v>
      </c>
      <c r="GR666" s="27" t="s">
        <v>7</v>
      </c>
      <c r="HE666" s="27" t="s">
        <v>8</v>
      </c>
      <c r="HF666" s="27" t="s">
        <v>7</v>
      </c>
      <c r="HH666" s="27" t="s">
        <v>7</v>
      </c>
      <c r="HI666" s="27" t="s">
        <v>8</v>
      </c>
      <c r="HJ666" s="27" t="s">
        <v>7</v>
      </c>
      <c r="HK666" s="27" t="s">
        <v>8</v>
      </c>
      <c r="HL666" s="27" t="s">
        <v>7</v>
      </c>
      <c r="HY666" s="27" t="s">
        <v>8</v>
      </c>
      <c r="HZ666" s="27" t="s">
        <v>7</v>
      </c>
      <c r="JM666" s="27" t="s">
        <v>8</v>
      </c>
      <c r="JN666" s="27" t="s">
        <v>7</v>
      </c>
      <c r="JO666" s="27" t="s">
        <v>8</v>
      </c>
      <c r="JT666" s="27" t="s">
        <v>7</v>
      </c>
      <c r="JW666" s="27" t="s">
        <v>8</v>
      </c>
      <c r="JX666" s="27" t="s">
        <v>7</v>
      </c>
      <c r="JY666" s="27" t="s">
        <v>8</v>
      </c>
      <c r="JZ666" s="27" t="s">
        <v>7</v>
      </c>
      <c r="KA666" s="27" t="s">
        <v>8</v>
      </c>
      <c r="KB666" s="27" t="s">
        <v>7</v>
      </c>
      <c r="KG666" s="27" t="s">
        <v>8</v>
      </c>
      <c r="KH666" s="27" t="s">
        <v>7</v>
      </c>
      <c r="KI666" s="27" t="s">
        <v>8</v>
      </c>
      <c r="KJ666" s="27" t="s">
        <v>7</v>
      </c>
      <c r="KK666" s="27" t="s">
        <v>8</v>
      </c>
      <c r="KL666" s="27" t="s">
        <v>7</v>
      </c>
      <c r="KM666" s="27" t="s">
        <v>8</v>
      </c>
      <c r="KN666" s="27" t="s">
        <v>7</v>
      </c>
      <c r="KO666" s="27" t="s">
        <v>8</v>
      </c>
      <c r="KR666" s="27" t="s">
        <v>7</v>
      </c>
      <c r="KS666" s="27" t="s">
        <v>8</v>
      </c>
      <c r="KT666" s="27" t="s">
        <v>7</v>
      </c>
      <c r="KU666" s="27" t="s">
        <v>8</v>
      </c>
      <c r="KV666" s="27" t="s">
        <v>7</v>
      </c>
      <c r="KW666" s="27" t="s">
        <v>8</v>
      </c>
    </row>
    <row r="667" spans="1:313" x14ac:dyDescent="0.25">
      <c r="A667" s="7">
        <v>0.20510972816665593</v>
      </c>
      <c r="B667"/>
      <c r="C667"/>
      <c r="D667"/>
      <c r="E667"/>
      <c r="BV667" s="27" t="s">
        <v>7</v>
      </c>
      <c r="BW667" s="27" t="s">
        <v>8</v>
      </c>
      <c r="BX667" s="27" t="s">
        <v>7</v>
      </c>
      <c r="BY667" s="27" t="s">
        <v>8</v>
      </c>
      <c r="BZ667" s="27" t="s">
        <v>7</v>
      </c>
      <c r="CA667" s="27" t="s">
        <v>8</v>
      </c>
      <c r="CB667" s="27" t="s">
        <v>7</v>
      </c>
      <c r="CU667" s="27" t="s">
        <v>8</v>
      </c>
      <c r="EO667" s="27" t="s">
        <v>8</v>
      </c>
      <c r="EP667" s="27" t="s">
        <v>7</v>
      </c>
      <c r="GQ667" s="27" t="s">
        <v>8</v>
      </c>
      <c r="GR667" s="27" t="s">
        <v>7</v>
      </c>
      <c r="HE667" s="27" t="s">
        <v>8</v>
      </c>
      <c r="HH667" s="27" t="s">
        <v>7</v>
      </c>
      <c r="HI667" s="27" t="s">
        <v>8</v>
      </c>
      <c r="HJ667" s="27" t="s">
        <v>7</v>
      </c>
      <c r="HL667" s="27" t="s">
        <v>7</v>
      </c>
      <c r="HO667" s="27" t="s">
        <v>8</v>
      </c>
      <c r="HW667" s="27" t="s">
        <v>8</v>
      </c>
      <c r="HY667" s="27" t="s">
        <v>8</v>
      </c>
      <c r="HZ667" s="27" t="s">
        <v>7</v>
      </c>
      <c r="JM667" s="27" t="s">
        <v>8</v>
      </c>
      <c r="JN667" s="27" t="s">
        <v>7</v>
      </c>
      <c r="JO667" s="27" t="s">
        <v>8</v>
      </c>
      <c r="JT667" s="27" t="s">
        <v>7</v>
      </c>
      <c r="JU667" s="27" t="s">
        <v>8</v>
      </c>
      <c r="JW667" s="27" t="s">
        <v>8</v>
      </c>
      <c r="JX667" s="27" t="s">
        <v>7</v>
      </c>
      <c r="JY667" s="27" t="s">
        <v>8</v>
      </c>
      <c r="JZ667" s="27" t="s">
        <v>7</v>
      </c>
      <c r="KA667" s="27" t="s">
        <v>8</v>
      </c>
      <c r="KB667" s="27" t="s">
        <v>7</v>
      </c>
      <c r="KG667" s="27" t="s">
        <v>8</v>
      </c>
      <c r="KH667" s="27" t="s">
        <v>7</v>
      </c>
      <c r="KI667" s="27" t="s">
        <v>8</v>
      </c>
      <c r="KJ667" s="27" t="s">
        <v>7</v>
      </c>
      <c r="KK667" s="27" t="s">
        <v>8</v>
      </c>
      <c r="KL667" s="27" t="s">
        <v>7</v>
      </c>
      <c r="KM667" s="27" t="s">
        <v>8</v>
      </c>
      <c r="KN667" s="27" t="s">
        <v>7</v>
      </c>
      <c r="KO667" s="27" t="s">
        <v>8</v>
      </c>
      <c r="KR667" s="27" t="s">
        <v>7</v>
      </c>
      <c r="KS667" s="27" t="s">
        <v>8</v>
      </c>
      <c r="KT667" s="27" t="s">
        <v>7</v>
      </c>
      <c r="KU667" s="27" t="s">
        <v>8</v>
      </c>
      <c r="KV667" s="27" t="s">
        <v>7</v>
      </c>
      <c r="KW667" s="27" t="s">
        <v>8</v>
      </c>
    </row>
    <row r="668" spans="1:313" x14ac:dyDescent="0.25">
      <c r="A668" s="7">
        <v>0.20108796879083912</v>
      </c>
      <c r="B668"/>
      <c r="C668"/>
      <c r="D668"/>
      <c r="E668"/>
      <c r="BV668" s="27" t="s">
        <v>7</v>
      </c>
      <c r="BW668" s="27" t="s">
        <v>8</v>
      </c>
      <c r="BX668" s="27" t="s">
        <v>7</v>
      </c>
      <c r="BY668" s="27" t="s">
        <v>8</v>
      </c>
      <c r="BZ668" s="27" t="s">
        <v>7</v>
      </c>
      <c r="CA668" s="27" t="s">
        <v>8</v>
      </c>
      <c r="CB668" s="27" t="s">
        <v>7</v>
      </c>
      <c r="CU668" s="27" t="s">
        <v>8</v>
      </c>
      <c r="CV668" s="27" t="s">
        <v>7</v>
      </c>
      <c r="EO668" s="27" t="s">
        <v>8</v>
      </c>
      <c r="EP668" s="27" t="s">
        <v>7</v>
      </c>
      <c r="GQ668" s="27" t="s">
        <v>8</v>
      </c>
      <c r="GR668" s="27" t="s">
        <v>7</v>
      </c>
      <c r="HE668" s="27" t="s">
        <v>8</v>
      </c>
      <c r="HH668" s="27" t="s">
        <v>7</v>
      </c>
      <c r="HI668" s="27" t="s">
        <v>8</v>
      </c>
      <c r="HL668" s="27" t="s">
        <v>7</v>
      </c>
      <c r="HO668" s="27" t="s">
        <v>8</v>
      </c>
      <c r="HP668" s="27" t="s">
        <v>7</v>
      </c>
      <c r="HW668" s="27" t="s">
        <v>8</v>
      </c>
      <c r="HX668" s="27" t="s">
        <v>7</v>
      </c>
      <c r="HY668" s="27" t="s">
        <v>8</v>
      </c>
      <c r="HZ668" s="27" t="s">
        <v>7</v>
      </c>
      <c r="IA668" s="27" t="s">
        <v>8</v>
      </c>
      <c r="IE668" s="27" t="s">
        <v>8</v>
      </c>
      <c r="JM668" s="27" t="s">
        <v>8</v>
      </c>
      <c r="JN668" s="27" t="s">
        <v>7</v>
      </c>
      <c r="JT668" s="27" t="s">
        <v>7</v>
      </c>
      <c r="JU668" s="27" t="s">
        <v>8</v>
      </c>
      <c r="JV668" s="27" t="s">
        <v>7</v>
      </c>
      <c r="JW668" s="27" t="s">
        <v>8</v>
      </c>
      <c r="JX668" s="27" t="s">
        <v>7</v>
      </c>
      <c r="JY668" s="27" t="s">
        <v>8</v>
      </c>
      <c r="JZ668" s="27" t="s">
        <v>7</v>
      </c>
      <c r="KA668" s="27" t="s">
        <v>8</v>
      </c>
      <c r="KB668" s="27" t="s">
        <v>7</v>
      </c>
      <c r="KC668" s="27" t="s">
        <v>8</v>
      </c>
      <c r="KG668" s="27" t="s">
        <v>8</v>
      </c>
      <c r="KH668" s="27" t="s">
        <v>7</v>
      </c>
      <c r="KI668" s="27" t="s">
        <v>8</v>
      </c>
      <c r="KJ668" s="27" t="s">
        <v>7</v>
      </c>
      <c r="KK668" s="27" t="s">
        <v>8</v>
      </c>
      <c r="KL668" s="27" t="s">
        <v>7</v>
      </c>
      <c r="KM668" s="27" t="s">
        <v>8</v>
      </c>
      <c r="KN668" s="27" t="s">
        <v>7</v>
      </c>
      <c r="KO668" s="27" t="s">
        <v>8</v>
      </c>
      <c r="KR668" s="27" t="s">
        <v>7</v>
      </c>
      <c r="KS668" s="27" t="s">
        <v>8</v>
      </c>
      <c r="KT668" s="27" t="s">
        <v>7</v>
      </c>
      <c r="KU668" s="27" t="s">
        <v>8</v>
      </c>
      <c r="KV668" s="27" t="s">
        <v>7</v>
      </c>
      <c r="KW668" s="27" t="s">
        <v>8</v>
      </c>
    </row>
    <row r="669" spans="1:313" x14ac:dyDescent="0.25">
      <c r="A669" s="7">
        <v>0.19714506744199917</v>
      </c>
      <c r="B669"/>
      <c r="C669"/>
      <c r="D669"/>
      <c r="E669"/>
      <c r="BV669" s="27" t="s">
        <v>7</v>
      </c>
      <c r="BX669" s="27" t="s">
        <v>7</v>
      </c>
      <c r="BY669" s="27" t="s">
        <v>8</v>
      </c>
      <c r="BZ669" s="27" t="s">
        <v>7</v>
      </c>
      <c r="CA669" s="27" t="s">
        <v>8</v>
      </c>
      <c r="CB669" s="27" t="s">
        <v>7</v>
      </c>
      <c r="CU669" s="27" t="s">
        <v>8</v>
      </c>
      <c r="CV669" s="27" t="s">
        <v>7</v>
      </c>
      <c r="EO669" s="27" t="s">
        <v>8</v>
      </c>
      <c r="EP669" s="27" t="s">
        <v>7</v>
      </c>
      <c r="GQ669" s="27" t="s">
        <v>8</v>
      </c>
      <c r="GR669" s="27" t="s">
        <v>7</v>
      </c>
      <c r="HE669" s="27" t="s">
        <v>8</v>
      </c>
      <c r="HH669" s="27" t="s">
        <v>7</v>
      </c>
      <c r="HL669" s="27" t="s">
        <v>7</v>
      </c>
      <c r="HM669" s="27" t="s">
        <v>8</v>
      </c>
      <c r="HO669" s="27" t="s">
        <v>8</v>
      </c>
      <c r="HP669" s="27" t="s">
        <v>7</v>
      </c>
      <c r="HU669" s="27" t="s">
        <v>8</v>
      </c>
      <c r="HW669" s="27" t="s">
        <v>8</v>
      </c>
      <c r="HX669" s="27" t="s">
        <v>7</v>
      </c>
      <c r="HY669" s="27" t="s">
        <v>8</v>
      </c>
      <c r="HZ669" s="27" t="s">
        <v>7</v>
      </c>
      <c r="IA669" s="27" t="s">
        <v>8</v>
      </c>
      <c r="IB669" s="27" t="s">
        <v>7</v>
      </c>
      <c r="IE669" s="27" t="s">
        <v>8</v>
      </c>
      <c r="IF669" s="27" t="s">
        <v>7</v>
      </c>
      <c r="JM669" s="27" t="s">
        <v>8</v>
      </c>
      <c r="JT669" s="27" t="s">
        <v>7</v>
      </c>
      <c r="JU669" s="27" t="s">
        <v>8</v>
      </c>
      <c r="JV669" s="27" t="s">
        <v>7</v>
      </c>
      <c r="JW669" s="27" t="s">
        <v>8</v>
      </c>
      <c r="JX669" s="27" t="s">
        <v>7</v>
      </c>
      <c r="JY669" s="27" t="s">
        <v>8</v>
      </c>
      <c r="JZ669" s="27" t="s">
        <v>7</v>
      </c>
      <c r="KA669" s="27" t="s">
        <v>8</v>
      </c>
      <c r="KB669" s="27" t="s">
        <v>7</v>
      </c>
      <c r="KC669" s="27" t="s">
        <v>8</v>
      </c>
      <c r="KD669" s="27" t="s">
        <v>7</v>
      </c>
      <c r="KE669" s="27" t="s">
        <v>8</v>
      </c>
      <c r="KG669" s="27" t="s">
        <v>8</v>
      </c>
      <c r="KH669" s="27" t="s">
        <v>7</v>
      </c>
      <c r="KI669" s="27" t="s">
        <v>8</v>
      </c>
      <c r="KJ669" s="27" t="s">
        <v>7</v>
      </c>
      <c r="KL669" s="27" t="s">
        <v>7</v>
      </c>
      <c r="KM669" s="27" t="s">
        <v>8</v>
      </c>
      <c r="KN669" s="27" t="s">
        <v>7</v>
      </c>
      <c r="KR669" s="27" t="s">
        <v>7</v>
      </c>
      <c r="KS669" s="27" t="s">
        <v>8</v>
      </c>
      <c r="KT669" s="27" t="s">
        <v>7</v>
      </c>
      <c r="KU669" s="27" t="s">
        <v>8</v>
      </c>
      <c r="KV669" s="27" t="s">
        <v>7</v>
      </c>
    </row>
    <row r="670" spans="1:313" x14ac:dyDescent="0.25">
      <c r="A670" s="7">
        <v>0.19327947788431293</v>
      </c>
      <c r="B670"/>
      <c r="C670"/>
      <c r="D670"/>
      <c r="E670"/>
      <c r="BX670" s="27" t="s">
        <v>7</v>
      </c>
      <c r="BY670" s="27" t="s">
        <v>8</v>
      </c>
      <c r="BZ670" s="27" t="s">
        <v>7</v>
      </c>
      <c r="CA670" s="27" t="s">
        <v>8</v>
      </c>
      <c r="CB670" s="27" t="s">
        <v>7</v>
      </c>
      <c r="CG670" s="27" t="s">
        <v>8</v>
      </c>
      <c r="CU670" s="27" t="s">
        <v>8</v>
      </c>
      <c r="CV670" s="27" t="s">
        <v>7</v>
      </c>
      <c r="EO670" s="27" t="s">
        <v>8</v>
      </c>
      <c r="EP670" s="27" t="s">
        <v>7</v>
      </c>
      <c r="EQ670" s="27" t="s">
        <v>8</v>
      </c>
      <c r="GQ670" s="27" t="s">
        <v>8</v>
      </c>
      <c r="GR670" s="27" t="s">
        <v>7</v>
      </c>
      <c r="HC670" s="27" t="s">
        <v>8</v>
      </c>
      <c r="HE670" s="27" t="s">
        <v>8</v>
      </c>
      <c r="HL670" s="27" t="s">
        <v>7</v>
      </c>
      <c r="HM670" s="27" t="s">
        <v>8</v>
      </c>
      <c r="HN670" s="27" t="s">
        <v>7</v>
      </c>
      <c r="HO670" s="27" t="s">
        <v>8</v>
      </c>
      <c r="HP670" s="27" t="s">
        <v>7</v>
      </c>
      <c r="HQ670" s="27" t="s">
        <v>8</v>
      </c>
      <c r="HU670" s="27" t="s">
        <v>8</v>
      </c>
      <c r="HV670" s="27" t="s">
        <v>7</v>
      </c>
      <c r="HW670" s="27" t="s">
        <v>8</v>
      </c>
      <c r="HX670" s="27" t="s">
        <v>7</v>
      </c>
      <c r="HY670" s="27" t="s">
        <v>8</v>
      </c>
      <c r="HZ670" s="27" t="s">
        <v>7</v>
      </c>
      <c r="IA670" s="27" t="s">
        <v>8</v>
      </c>
      <c r="IB670" s="27" t="s">
        <v>7</v>
      </c>
      <c r="IC670" s="27" t="s">
        <v>8</v>
      </c>
      <c r="IE670" s="27" t="s">
        <v>8</v>
      </c>
      <c r="IF670" s="27" t="s">
        <v>7</v>
      </c>
      <c r="II670" s="27" t="s">
        <v>8</v>
      </c>
      <c r="JM670" s="27" t="s">
        <v>8</v>
      </c>
      <c r="JT670" s="27" t="s">
        <v>7</v>
      </c>
      <c r="JU670" s="27" t="s">
        <v>8</v>
      </c>
      <c r="JV670" s="27" t="s">
        <v>7</v>
      </c>
      <c r="JW670" s="27" t="s">
        <v>8</v>
      </c>
      <c r="JX670" s="27" t="s">
        <v>7</v>
      </c>
      <c r="JZ670" s="27" t="s">
        <v>7</v>
      </c>
      <c r="KA670" s="27" t="s">
        <v>8</v>
      </c>
      <c r="KB670" s="27" t="s">
        <v>7</v>
      </c>
      <c r="KC670" s="27" t="s">
        <v>8</v>
      </c>
      <c r="KD670" s="27" t="s">
        <v>7</v>
      </c>
      <c r="KE670" s="27" t="s">
        <v>8</v>
      </c>
      <c r="KF670" s="27" t="s">
        <v>7</v>
      </c>
      <c r="KG670" s="27" t="s">
        <v>8</v>
      </c>
      <c r="KH670" s="27" t="s">
        <v>7</v>
      </c>
      <c r="KI670" s="27" t="s">
        <v>8</v>
      </c>
      <c r="KL670" s="27" t="s">
        <v>7</v>
      </c>
      <c r="KM670" s="27" t="s">
        <v>8</v>
      </c>
      <c r="KR670" s="27" t="s">
        <v>7</v>
      </c>
      <c r="KS670" s="27" t="s">
        <v>8</v>
      </c>
      <c r="KT670" s="27" t="s">
        <v>7</v>
      </c>
      <c r="KU670" s="27" t="s">
        <v>8</v>
      </c>
    </row>
    <row r="671" spans="1:313" x14ac:dyDescent="0.25">
      <c r="A671" s="7">
        <v>0.18948968420030682</v>
      </c>
      <c r="B671"/>
      <c r="C671"/>
      <c r="D671"/>
      <c r="E671"/>
      <c r="BX671" s="27" t="s">
        <v>7</v>
      </c>
      <c r="BY671" s="27" t="s">
        <v>8</v>
      </c>
      <c r="BZ671" s="27" t="s">
        <v>7</v>
      </c>
      <c r="CA671" s="27" t="s">
        <v>8</v>
      </c>
      <c r="CB671" s="27" t="s">
        <v>7</v>
      </c>
      <c r="CG671" s="27" t="s">
        <v>8</v>
      </c>
      <c r="CH671" s="27" t="s">
        <v>7</v>
      </c>
      <c r="CI671" s="27" t="s">
        <v>8</v>
      </c>
      <c r="CU671" s="27" t="s">
        <v>8</v>
      </c>
      <c r="CV671" s="27" t="s">
        <v>7</v>
      </c>
      <c r="DA671" s="27" t="s">
        <v>8</v>
      </c>
      <c r="EO671" s="27" t="s">
        <v>8</v>
      </c>
      <c r="EP671" s="27" t="s">
        <v>7</v>
      </c>
      <c r="EQ671" s="27" t="s">
        <v>8</v>
      </c>
      <c r="ER671" s="27" t="s">
        <v>7</v>
      </c>
      <c r="GQ671" s="27" t="s">
        <v>8</v>
      </c>
      <c r="GR671" s="27" t="s">
        <v>7</v>
      </c>
      <c r="HC671" s="27" t="s">
        <v>8</v>
      </c>
      <c r="HD671" s="27" t="s">
        <v>7</v>
      </c>
      <c r="HE671" s="27" t="s">
        <v>8</v>
      </c>
      <c r="HL671" s="27" t="s">
        <v>7</v>
      </c>
      <c r="HM671" s="27" t="s">
        <v>8</v>
      </c>
      <c r="HN671" s="27" t="s">
        <v>7</v>
      </c>
      <c r="HO671" s="27" t="s">
        <v>8</v>
      </c>
      <c r="HP671" s="27" t="s">
        <v>7</v>
      </c>
      <c r="HQ671" s="27" t="s">
        <v>8</v>
      </c>
      <c r="HR671" s="27" t="s">
        <v>7</v>
      </c>
      <c r="HS671" s="27" t="s">
        <v>8</v>
      </c>
      <c r="HU671" s="27" t="s">
        <v>8</v>
      </c>
      <c r="HV671" s="27" t="s">
        <v>7</v>
      </c>
      <c r="HW671" s="27" t="s">
        <v>8</v>
      </c>
      <c r="HX671" s="27" t="s">
        <v>7</v>
      </c>
      <c r="HY671" s="27" t="s">
        <v>8</v>
      </c>
      <c r="HZ671" s="27" t="s">
        <v>7</v>
      </c>
      <c r="IA671" s="27" t="s">
        <v>8</v>
      </c>
      <c r="IB671" s="27" t="s">
        <v>7</v>
      </c>
      <c r="IC671" s="27" t="s">
        <v>8</v>
      </c>
      <c r="ID671" s="27" t="s">
        <v>7</v>
      </c>
      <c r="IE671" s="27" t="s">
        <v>8</v>
      </c>
      <c r="IF671" s="27" t="s">
        <v>7</v>
      </c>
      <c r="II671" s="27" t="s">
        <v>8</v>
      </c>
      <c r="IJ671" s="27" t="s">
        <v>7</v>
      </c>
      <c r="JM671" s="27" t="s">
        <v>8</v>
      </c>
      <c r="JT671" s="27" t="s">
        <v>7</v>
      </c>
      <c r="JU671" s="27" t="s">
        <v>8</v>
      </c>
      <c r="JV671" s="27" t="s">
        <v>7</v>
      </c>
      <c r="JW671" s="27" t="s">
        <v>8</v>
      </c>
      <c r="JZ671" s="27" t="s">
        <v>7</v>
      </c>
      <c r="KA671" s="27" t="s">
        <v>8</v>
      </c>
      <c r="KB671" s="27" t="s">
        <v>7</v>
      </c>
      <c r="KC671" s="27" t="s">
        <v>8</v>
      </c>
      <c r="KD671" s="27" t="s">
        <v>7</v>
      </c>
      <c r="KE671" s="27" t="s">
        <v>8</v>
      </c>
      <c r="KF671" s="27" t="s">
        <v>7</v>
      </c>
      <c r="KG671" s="27" t="s">
        <v>8</v>
      </c>
      <c r="KH671" s="27" t="s">
        <v>7</v>
      </c>
      <c r="KI671" s="27" t="s">
        <v>8</v>
      </c>
      <c r="KL671" s="27" t="s">
        <v>7</v>
      </c>
      <c r="KR671" s="27" t="s">
        <v>7</v>
      </c>
      <c r="KS671" s="27" t="s">
        <v>8</v>
      </c>
      <c r="KT671" s="27" t="s">
        <v>7</v>
      </c>
    </row>
    <row r="672" spans="1:313" x14ac:dyDescent="0.25">
      <c r="A672" s="7">
        <v>0.18577420019637925</v>
      </c>
      <c r="B672"/>
      <c r="C672"/>
      <c r="D672"/>
      <c r="E672"/>
      <c r="BX672" s="27" t="s">
        <v>7</v>
      </c>
      <c r="BY672" s="27" t="s">
        <v>8</v>
      </c>
      <c r="BZ672" s="27" t="s">
        <v>7</v>
      </c>
      <c r="CA672" s="27" t="s">
        <v>8</v>
      </c>
      <c r="CB672" s="27" t="s">
        <v>7</v>
      </c>
      <c r="CC672" s="27" t="s">
        <v>8</v>
      </c>
      <c r="CE672" s="27" t="s">
        <v>8</v>
      </c>
      <c r="CG672" s="27" t="s">
        <v>8</v>
      </c>
      <c r="CH672" s="27" t="s">
        <v>7</v>
      </c>
      <c r="CI672" s="27" t="s">
        <v>8</v>
      </c>
      <c r="CJ672" s="27" t="s">
        <v>7</v>
      </c>
      <c r="CU672" s="27" t="s">
        <v>8</v>
      </c>
      <c r="CV672" s="27" t="s">
        <v>7</v>
      </c>
      <c r="DA672" s="27" t="s">
        <v>8</v>
      </c>
      <c r="DB672" s="27" t="s">
        <v>7</v>
      </c>
      <c r="DC672" s="27" t="s">
        <v>8</v>
      </c>
      <c r="EO672" s="27" t="s">
        <v>8</v>
      </c>
      <c r="EP672" s="27" t="s">
        <v>7</v>
      </c>
      <c r="EQ672" s="27" t="s">
        <v>8</v>
      </c>
      <c r="ER672" s="27" t="s">
        <v>7</v>
      </c>
      <c r="GQ672" s="27" t="s">
        <v>8</v>
      </c>
      <c r="GR672" s="27" t="s">
        <v>7</v>
      </c>
      <c r="HC672" s="27" t="s">
        <v>8</v>
      </c>
      <c r="HD672" s="27" t="s">
        <v>7</v>
      </c>
      <c r="HE672" s="27" t="s">
        <v>8</v>
      </c>
      <c r="HL672" s="27" t="s">
        <v>7</v>
      </c>
      <c r="HM672" s="27" t="s">
        <v>8</v>
      </c>
      <c r="HN672" s="27" t="s">
        <v>7</v>
      </c>
      <c r="HO672" s="27" t="s">
        <v>8</v>
      </c>
      <c r="HP672" s="27" t="s">
        <v>7</v>
      </c>
      <c r="HQ672" s="27" t="s">
        <v>8</v>
      </c>
      <c r="HR672" s="27" t="s">
        <v>7</v>
      </c>
      <c r="HS672" s="27" t="s">
        <v>8</v>
      </c>
      <c r="HT672" s="27" t="s">
        <v>7</v>
      </c>
      <c r="HU672" s="27" t="s">
        <v>8</v>
      </c>
      <c r="HV672" s="27" t="s">
        <v>7</v>
      </c>
      <c r="HW672" s="27" t="s">
        <v>8</v>
      </c>
      <c r="HX672" s="27" t="s">
        <v>7</v>
      </c>
      <c r="HY672" s="27" t="s">
        <v>8</v>
      </c>
      <c r="HZ672" s="27" t="s">
        <v>7</v>
      </c>
      <c r="IA672" s="27" t="s">
        <v>8</v>
      </c>
      <c r="IB672" s="27" t="s">
        <v>7</v>
      </c>
      <c r="IC672" s="27" t="s">
        <v>8</v>
      </c>
      <c r="ID672" s="27" t="s">
        <v>7</v>
      </c>
      <c r="IE672" s="27" t="s">
        <v>8</v>
      </c>
      <c r="IF672" s="27" t="s">
        <v>7</v>
      </c>
      <c r="II672" s="27" t="s">
        <v>8</v>
      </c>
      <c r="IJ672" s="27" t="s">
        <v>7</v>
      </c>
      <c r="JM672" s="27" t="s">
        <v>8</v>
      </c>
      <c r="JT672" s="27" t="s">
        <v>7</v>
      </c>
      <c r="JU672" s="27" t="s">
        <v>8</v>
      </c>
      <c r="JV672" s="27" t="s">
        <v>7</v>
      </c>
      <c r="JW672" s="27" t="s">
        <v>8</v>
      </c>
      <c r="JZ672" s="27" t="s">
        <v>7</v>
      </c>
      <c r="KA672" s="27" t="s">
        <v>8</v>
      </c>
      <c r="KB672" s="27" t="s">
        <v>7</v>
      </c>
      <c r="KD672" s="27" t="s">
        <v>7</v>
      </c>
      <c r="KE672" s="27" t="s">
        <v>8</v>
      </c>
      <c r="KF672" s="27" t="s">
        <v>7</v>
      </c>
      <c r="KG672" s="27" t="s">
        <v>8</v>
      </c>
      <c r="KH672" s="27" t="s">
        <v>7</v>
      </c>
      <c r="KI672" s="27" t="s">
        <v>8</v>
      </c>
      <c r="KR672" s="27" t="s">
        <v>7</v>
      </c>
    </row>
    <row r="673" spans="1:295" x14ac:dyDescent="0.25">
      <c r="A673" s="7">
        <v>0.18213156881997963</v>
      </c>
      <c r="B673"/>
      <c r="C673"/>
      <c r="D673"/>
      <c r="E673"/>
      <c r="BX673" s="27" t="s">
        <v>7</v>
      </c>
      <c r="BY673" s="27" t="s">
        <v>8</v>
      </c>
      <c r="BZ673" s="27" t="s">
        <v>7</v>
      </c>
      <c r="CA673" s="27" t="s">
        <v>8</v>
      </c>
      <c r="CB673" s="27" t="s">
        <v>7</v>
      </c>
      <c r="CC673" s="27" t="s">
        <v>8</v>
      </c>
      <c r="CD673" s="27" t="s">
        <v>7</v>
      </c>
      <c r="CE673" s="27" t="s">
        <v>8</v>
      </c>
      <c r="CF673" s="27" t="s">
        <v>7</v>
      </c>
      <c r="CG673" s="27" t="s">
        <v>8</v>
      </c>
      <c r="CH673" s="27" t="s">
        <v>7</v>
      </c>
      <c r="CI673" s="27" t="s">
        <v>8</v>
      </c>
      <c r="CJ673" s="27" t="s">
        <v>7</v>
      </c>
      <c r="CU673" s="27" t="s">
        <v>8</v>
      </c>
      <c r="CV673" s="27" t="s">
        <v>7</v>
      </c>
      <c r="DA673" s="27" t="s">
        <v>8</v>
      </c>
      <c r="DB673" s="27" t="s">
        <v>7</v>
      </c>
      <c r="DC673" s="27" t="s">
        <v>8</v>
      </c>
      <c r="DD673" s="27" t="s">
        <v>7</v>
      </c>
      <c r="EO673" s="27" t="s">
        <v>8</v>
      </c>
      <c r="EP673" s="27" t="s">
        <v>7</v>
      </c>
      <c r="EQ673" s="27" t="s">
        <v>8</v>
      </c>
      <c r="ER673" s="27" t="s">
        <v>7</v>
      </c>
      <c r="GQ673" s="27" t="s">
        <v>8</v>
      </c>
      <c r="GR673" s="27" t="s">
        <v>7</v>
      </c>
      <c r="HC673" s="27" t="s">
        <v>8</v>
      </c>
      <c r="HD673" s="27" t="s">
        <v>7</v>
      </c>
      <c r="HE673" s="27" t="s">
        <v>8</v>
      </c>
      <c r="HL673" s="27" t="s">
        <v>7</v>
      </c>
      <c r="HN673" s="27" t="s">
        <v>7</v>
      </c>
      <c r="HP673" s="27" t="s">
        <v>7</v>
      </c>
      <c r="HQ673" s="27" t="s">
        <v>8</v>
      </c>
      <c r="HR673" s="27" t="s">
        <v>7</v>
      </c>
      <c r="HS673" s="27" t="s">
        <v>8</v>
      </c>
      <c r="HT673" s="27" t="s">
        <v>7</v>
      </c>
      <c r="HU673" s="27" t="s">
        <v>8</v>
      </c>
      <c r="HV673" s="27" t="s">
        <v>7</v>
      </c>
      <c r="HW673" s="27" t="s">
        <v>8</v>
      </c>
      <c r="HX673" s="27" t="s">
        <v>7</v>
      </c>
      <c r="HZ673" s="27" t="s">
        <v>7</v>
      </c>
      <c r="IB673" s="27" t="s">
        <v>7</v>
      </c>
      <c r="ID673" s="27" t="s">
        <v>7</v>
      </c>
      <c r="IE673" s="27" t="s">
        <v>8</v>
      </c>
      <c r="IF673" s="27" t="s">
        <v>7</v>
      </c>
      <c r="II673" s="27" t="s">
        <v>8</v>
      </c>
      <c r="IJ673" s="27" t="s">
        <v>7</v>
      </c>
      <c r="JM673" s="27" t="s">
        <v>8</v>
      </c>
      <c r="JT673" s="27" t="s">
        <v>7</v>
      </c>
      <c r="JU673" s="27" t="s">
        <v>8</v>
      </c>
      <c r="JV673" s="27" t="s">
        <v>7</v>
      </c>
      <c r="JW673" s="27" t="s">
        <v>8</v>
      </c>
      <c r="JZ673" s="27" t="s">
        <v>7</v>
      </c>
      <c r="KA673" s="27" t="s">
        <v>8</v>
      </c>
      <c r="KD673" s="27" t="s">
        <v>7</v>
      </c>
      <c r="KE673" s="27" t="s">
        <v>8</v>
      </c>
      <c r="KF673" s="27" t="s">
        <v>7</v>
      </c>
      <c r="KH673" s="27" t="s">
        <v>7</v>
      </c>
      <c r="KI673" s="27" t="s">
        <v>8</v>
      </c>
    </row>
    <row r="674" spans="1:295" x14ac:dyDescent="0.25">
      <c r="A674" s="7">
        <v>0.17856036158821534</v>
      </c>
      <c r="B674"/>
      <c r="C674"/>
      <c r="D674"/>
      <c r="E674"/>
      <c r="BX674" s="27" t="s">
        <v>7</v>
      </c>
      <c r="BY674" s="27" t="s">
        <v>8</v>
      </c>
      <c r="BZ674" s="27" t="s">
        <v>7</v>
      </c>
      <c r="CA674" s="27" t="s">
        <v>8</v>
      </c>
      <c r="CB674" s="27" t="s">
        <v>7</v>
      </c>
      <c r="CC674" s="27" t="s">
        <v>8</v>
      </c>
      <c r="CD674" s="27" t="s">
        <v>7</v>
      </c>
      <c r="CE674" s="27" t="s">
        <v>8</v>
      </c>
      <c r="CF674" s="27" t="s">
        <v>7</v>
      </c>
      <c r="CG674" s="27" t="s">
        <v>8</v>
      </c>
      <c r="CH674" s="27" t="s">
        <v>7</v>
      </c>
      <c r="CI674" s="27" t="s">
        <v>8</v>
      </c>
      <c r="CJ674" s="27" t="s">
        <v>7</v>
      </c>
      <c r="CU674" s="27" t="s">
        <v>8</v>
      </c>
      <c r="CV674" s="27" t="s">
        <v>7</v>
      </c>
      <c r="DA674" s="27" t="s">
        <v>8</v>
      </c>
      <c r="DB674" s="27" t="s">
        <v>7</v>
      </c>
      <c r="DC674" s="27" t="s">
        <v>8</v>
      </c>
      <c r="DD674" s="27" t="s">
        <v>7</v>
      </c>
      <c r="EO674" s="27" t="s">
        <v>8</v>
      </c>
      <c r="EP674" s="27" t="s">
        <v>7</v>
      </c>
      <c r="EQ674" s="27" t="s">
        <v>8</v>
      </c>
      <c r="ER674" s="27" t="s">
        <v>7</v>
      </c>
      <c r="ES674" s="27" t="s">
        <v>8</v>
      </c>
      <c r="GQ674" s="27" t="s">
        <v>8</v>
      </c>
      <c r="GR674" s="27" t="s">
        <v>7</v>
      </c>
      <c r="HC674" s="27" t="s">
        <v>8</v>
      </c>
      <c r="HD674" s="27" t="s">
        <v>7</v>
      </c>
      <c r="HE674" s="27" t="s">
        <v>8</v>
      </c>
      <c r="HP674" s="27" t="s">
        <v>7</v>
      </c>
      <c r="HQ674" s="27" t="s">
        <v>8</v>
      </c>
      <c r="HR674" s="27" t="s">
        <v>7</v>
      </c>
      <c r="HS674" s="27" t="s">
        <v>8</v>
      </c>
      <c r="HT674" s="27" t="s">
        <v>7</v>
      </c>
      <c r="HU674" s="27" t="s">
        <v>8</v>
      </c>
      <c r="HV674" s="27" t="s">
        <v>7</v>
      </c>
      <c r="HW674" s="27" t="s">
        <v>8</v>
      </c>
      <c r="ID674" s="27" t="s">
        <v>7</v>
      </c>
      <c r="IF674" s="27" t="s">
        <v>7</v>
      </c>
      <c r="II674" s="27" t="s">
        <v>8</v>
      </c>
      <c r="IJ674" s="27" t="s">
        <v>7</v>
      </c>
      <c r="JM674" s="27" t="s">
        <v>8</v>
      </c>
      <c r="JT674" s="27" t="s">
        <v>7</v>
      </c>
      <c r="JV674" s="27" t="s">
        <v>7</v>
      </c>
      <c r="JW674" s="27" t="s">
        <v>8</v>
      </c>
      <c r="JZ674" s="27" t="s">
        <v>7</v>
      </c>
      <c r="KA674" s="27" t="s">
        <v>8</v>
      </c>
      <c r="KD674" s="27" t="s">
        <v>7</v>
      </c>
      <c r="KH674" s="27" t="s">
        <v>7</v>
      </c>
      <c r="KI674" s="27" t="s">
        <v>8</v>
      </c>
    </row>
    <row r="675" spans="1:295" x14ac:dyDescent="0.25">
      <c r="A675" s="7">
        <v>0.17505917802766208</v>
      </c>
      <c r="B675"/>
      <c r="C675"/>
      <c r="D675"/>
      <c r="E675"/>
      <c r="BX675" s="27" t="s">
        <v>7</v>
      </c>
      <c r="BY675" s="27" t="s">
        <v>8</v>
      </c>
      <c r="BZ675" s="27" t="s">
        <v>7</v>
      </c>
      <c r="CA675" s="27" t="s">
        <v>8</v>
      </c>
      <c r="CB675" s="27" t="s">
        <v>7</v>
      </c>
      <c r="CC675" s="27" t="s">
        <v>8</v>
      </c>
      <c r="CD675" s="27" t="s">
        <v>7</v>
      </c>
      <c r="CE675" s="27" t="s">
        <v>8</v>
      </c>
      <c r="CF675" s="27" t="s">
        <v>7</v>
      </c>
      <c r="CG675" s="27" t="s">
        <v>8</v>
      </c>
      <c r="CH675" s="27" t="s">
        <v>7</v>
      </c>
      <c r="CI675" s="27" t="s">
        <v>8</v>
      </c>
      <c r="CJ675" s="27" t="s">
        <v>7</v>
      </c>
      <c r="CU675" s="27" t="s">
        <v>8</v>
      </c>
      <c r="CV675" s="27" t="s">
        <v>7</v>
      </c>
      <c r="DA675" s="27" t="s">
        <v>8</v>
      </c>
      <c r="DB675" s="27" t="s">
        <v>7</v>
      </c>
      <c r="DC675" s="27" t="s">
        <v>8</v>
      </c>
      <c r="DD675" s="27" t="s">
        <v>7</v>
      </c>
      <c r="EO675" s="27" t="s">
        <v>8</v>
      </c>
      <c r="EP675" s="27" t="s">
        <v>7</v>
      </c>
      <c r="EQ675" s="27" t="s">
        <v>8</v>
      </c>
      <c r="ER675" s="27" t="s">
        <v>7</v>
      </c>
      <c r="ES675" s="27" t="s">
        <v>8</v>
      </c>
      <c r="ET675" s="27" t="s">
        <v>7</v>
      </c>
      <c r="GQ675" s="27" t="s">
        <v>8</v>
      </c>
      <c r="GR675" s="27" t="s">
        <v>7</v>
      </c>
      <c r="HC675" s="27" t="s">
        <v>8</v>
      </c>
      <c r="HD675" s="27" t="s">
        <v>7</v>
      </c>
      <c r="HE675" s="27" t="s">
        <v>8</v>
      </c>
      <c r="HP675" s="27" t="s">
        <v>7</v>
      </c>
      <c r="HR675" s="27" t="s">
        <v>7</v>
      </c>
      <c r="HS675" s="27" t="s">
        <v>8</v>
      </c>
      <c r="HT675" s="27" t="s">
        <v>7</v>
      </c>
      <c r="HU675" s="27" t="s">
        <v>8</v>
      </c>
      <c r="HV675" s="27" t="s">
        <v>7</v>
      </c>
      <c r="IF675" s="27" t="s">
        <v>7</v>
      </c>
      <c r="II675" s="27" t="s">
        <v>8</v>
      </c>
      <c r="IJ675" s="27" t="s">
        <v>7</v>
      </c>
      <c r="JM675" s="27" t="s">
        <v>8</v>
      </c>
      <c r="JV675" s="27" t="s">
        <v>7</v>
      </c>
      <c r="JZ675" s="27" t="s">
        <v>7</v>
      </c>
      <c r="KA675" s="27" t="s">
        <v>8</v>
      </c>
      <c r="KH675" s="27" t="s">
        <v>7</v>
      </c>
      <c r="KI675" s="27" t="s">
        <v>8</v>
      </c>
    </row>
    <row r="676" spans="1:295" x14ac:dyDescent="0.25">
      <c r="A676" s="7">
        <v>0.17162664512515888</v>
      </c>
      <c r="B676"/>
      <c r="C676"/>
      <c r="D676"/>
      <c r="E676"/>
      <c r="BX676" s="27" t="s">
        <v>7</v>
      </c>
      <c r="BZ676" s="27" t="s">
        <v>7</v>
      </c>
      <c r="CA676" s="27" t="s">
        <v>8</v>
      </c>
      <c r="CB676" s="27" t="s">
        <v>7</v>
      </c>
      <c r="CC676" s="27" t="s">
        <v>8</v>
      </c>
      <c r="CD676" s="27" t="s">
        <v>7</v>
      </c>
      <c r="CE676" s="27" t="s">
        <v>8</v>
      </c>
      <c r="CF676" s="27" t="s">
        <v>7</v>
      </c>
      <c r="CH676" s="27" t="s">
        <v>7</v>
      </c>
      <c r="CJ676" s="27" t="s">
        <v>7</v>
      </c>
      <c r="CU676" s="27" t="s">
        <v>8</v>
      </c>
      <c r="CV676" s="27" t="s">
        <v>7</v>
      </c>
      <c r="DA676" s="27" t="s">
        <v>8</v>
      </c>
      <c r="DB676" s="27" t="s">
        <v>7</v>
      </c>
      <c r="DC676" s="27" t="s">
        <v>8</v>
      </c>
      <c r="DD676" s="27" t="s">
        <v>7</v>
      </c>
      <c r="EO676" s="27" t="s">
        <v>8</v>
      </c>
      <c r="EP676" s="27" t="s">
        <v>7</v>
      </c>
      <c r="EQ676" s="27" t="s">
        <v>8</v>
      </c>
      <c r="ER676" s="27" t="s">
        <v>7</v>
      </c>
      <c r="ES676" s="27" t="s">
        <v>8</v>
      </c>
      <c r="ET676" s="27" t="s">
        <v>7</v>
      </c>
      <c r="FY676" s="27" t="s">
        <v>8</v>
      </c>
      <c r="GQ676" s="27" t="s">
        <v>8</v>
      </c>
      <c r="GR676" s="27" t="s">
        <v>7</v>
      </c>
      <c r="HC676" s="27" t="s">
        <v>8</v>
      </c>
      <c r="HD676" s="27" t="s">
        <v>7</v>
      </c>
      <c r="HE676" s="27" t="s">
        <v>8</v>
      </c>
      <c r="HR676" s="27" t="s">
        <v>7</v>
      </c>
      <c r="HS676" s="27" t="s">
        <v>8</v>
      </c>
      <c r="HT676" s="27" t="s">
        <v>7</v>
      </c>
      <c r="HU676" s="27" t="s">
        <v>8</v>
      </c>
      <c r="IF676" s="27" t="s">
        <v>7</v>
      </c>
      <c r="II676" s="27" t="s">
        <v>8</v>
      </c>
      <c r="IJ676" s="27" t="s">
        <v>7</v>
      </c>
      <c r="JM676" s="27" t="s">
        <v>8</v>
      </c>
      <c r="JZ676" s="27" t="s">
        <v>7</v>
      </c>
      <c r="KA676" s="27" t="s">
        <v>8</v>
      </c>
      <c r="KH676" s="27" t="s">
        <v>7</v>
      </c>
    </row>
    <row r="677" spans="1:295" x14ac:dyDescent="0.25">
      <c r="A677" s="7">
        <v>0.16826141678937145</v>
      </c>
      <c r="B677"/>
      <c r="C677"/>
      <c r="D677"/>
      <c r="E677"/>
      <c r="BZ677" s="27" t="s">
        <v>7</v>
      </c>
      <c r="CB677" s="27" t="s">
        <v>7</v>
      </c>
      <c r="CD677" s="27" t="s">
        <v>7</v>
      </c>
      <c r="CJ677" s="27" t="s">
        <v>7</v>
      </c>
      <c r="CU677" s="27" t="s">
        <v>8</v>
      </c>
      <c r="CV677" s="27" t="s">
        <v>7</v>
      </c>
      <c r="DA677" s="27" t="s">
        <v>8</v>
      </c>
      <c r="DB677" s="27" t="s">
        <v>7</v>
      </c>
      <c r="DC677" s="27" t="s">
        <v>8</v>
      </c>
      <c r="DD677" s="27" t="s">
        <v>7</v>
      </c>
      <c r="EO677" s="27" t="s">
        <v>8</v>
      </c>
      <c r="EP677" s="27" t="s">
        <v>7</v>
      </c>
      <c r="EQ677" s="27" t="s">
        <v>8</v>
      </c>
      <c r="ER677" s="27" t="s">
        <v>7</v>
      </c>
      <c r="ES677" s="27" t="s">
        <v>8</v>
      </c>
      <c r="ET677" s="27" t="s">
        <v>7</v>
      </c>
      <c r="FY677" s="27" t="s">
        <v>8</v>
      </c>
      <c r="FZ677" s="27" t="s">
        <v>7</v>
      </c>
      <c r="GQ677" s="27" t="s">
        <v>8</v>
      </c>
      <c r="GR677" s="27" t="s">
        <v>7</v>
      </c>
      <c r="HC677" s="27" t="s">
        <v>8</v>
      </c>
      <c r="HD677" s="27" t="s">
        <v>7</v>
      </c>
      <c r="HE677" s="27" t="s">
        <v>8</v>
      </c>
      <c r="HR677" s="27" t="s">
        <v>7</v>
      </c>
      <c r="HS677" s="27" t="s">
        <v>8</v>
      </c>
      <c r="HT677" s="27" t="s">
        <v>7</v>
      </c>
      <c r="HU677" s="27" t="s">
        <v>8</v>
      </c>
      <c r="IF677" s="27" t="s">
        <v>7</v>
      </c>
      <c r="II677" s="27" t="s">
        <v>8</v>
      </c>
      <c r="IJ677" s="27" t="s">
        <v>7</v>
      </c>
      <c r="JM677" s="27" t="s">
        <v>8</v>
      </c>
      <c r="JZ677" s="27" t="s">
        <v>7</v>
      </c>
      <c r="KA677" s="27" t="s">
        <v>8</v>
      </c>
    </row>
    <row r="678" spans="1:295" x14ac:dyDescent="0.25">
      <c r="A678" s="7">
        <v>0.16496217332291319</v>
      </c>
      <c r="B678"/>
      <c r="C678"/>
      <c r="D678"/>
      <c r="E678"/>
      <c r="CJ678" s="27" t="s">
        <v>7</v>
      </c>
      <c r="CU678" s="27" t="s">
        <v>8</v>
      </c>
      <c r="CV678" s="27" t="s">
        <v>7</v>
      </c>
      <c r="DA678" s="27" t="s">
        <v>8</v>
      </c>
      <c r="DB678" s="27" t="s">
        <v>7</v>
      </c>
      <c r="DC678" s="27" t="s">
        <v>8</v>
      </c>
      <c r="DD678" s="27" t="s">
        <v>7</v>
      </c>
      <c r="EK678" s="27" t="s">
        <v>8</v>
      </c>
      <c r="EO678" s="27" t="s">
        <v>8</v>
      </c>
      <c r="EP678" s="27" t="s">
        <v>7</v>
      </c>
      <c r="EQ678" s="27" t="s">
        <v>8</v>
      </c>
      <c r="ER678" s="27" t="s">
        <v>7</v>
      </c>
      <c r="ES678" s="27" t="s">
        <v>8</v>
      </c>
      <c r="ET678" s="27" t="s">
        <v>7</v>
      </c>
      <c r="FY678" s="27" t="s">
        <v>8</v>
      </c>
      <c r="FZ678" s="27" t="s">
        <v>7</v>
      </c>
      <c r="GQ678" s="27" t="s">
        <v>8</v>
      </c>
      <c r="GR678" s="27" t="s">
        <v>7</v>
      </c>
      <c r="HC678" s="27" t="s">
        <v>8</v>
      </c>
      <c r="HD678" s="27" t="s">
        <v>7</v>
      </c>
      <c r="HE678" s="27" t="s">
        <v>8</v>
      </c>
      <c r="HR678" s="27" t="s">
        <v>7</v>
      </c>
      <c r="HS678" s="27" t="s">
        <v>8</v>
      </c>
      <c r="HT678" s="27" t="s">
        <v>7</v>
      </c>
      <c r="HU678" s="27" t="s">
        <v>8</v>
      </c>
      <c r="IF678" s="27" t="s">
        <v>7</v>
      </c>
      <c r="II678" s="27" t="s">
        <v>8</v>
      </c>
      <c r="IJ678" s="27" t="s">
        <v>7</v>
      </c>
      <c r="IK678" s="27" t="s">
        <v>8</v>
      </c>
      <c r="IQ678" s="27" t="s">
        <v>8</v>
      </c>
      <c r="JM678" s="27" t="s">
        <v>8</v>
      </c>
      <c r="JZ678" s="27" t="s">
        <v>7</v>
      </c>
      <c r="KA678" s="27" t="s">
        <v>8</v>
      </c>
    </row>
    <row r="679" spans="1:295" x14ac:dyDescent="0.25">
      <c r="A679" s="7">
        <v>0.16172762090481685</v>
      </c>
      <c r="B679"/>
      <c r="C679"/>
      <c r="D679"/>
      <c r="E679"/>
      <c r="CJ679" s="27" t="s">
        <v>7</v>
      </c>
      <c r="CS679" s="27" t="s">
        <v>8</v>
      </c>
      <c r="CU679" s="27" t="s">
        <v>8</v>
      </c>
      <c r="CV679" s="27" t="s">
        <v>7</v>
      </c>
      <c r="DA679" s="27" t="s">
        <v>8</v>
      </c>
      <c r="DB679" s="27" t="s">
        <v>7</v>
      </c>
      <c r="DC679" s="27" t="s">
        <v>8</v>
      </c>
      <c r="DD679" s="27" t="s">
        <v>7</v>
      </c>
      <c r="EK679" s="27" t="s">
        <v>8</v>
      </c>
      <c r="EL679" s="27" t="s">
        <v>7</v>
      </c>
      <c r="EM679" s="27" t="s">
        <v>8</v>
      </c>
      <c r="EO679" s="27" t="s">
        <v>8</v>
      </c>
      <c r="EP679" s="27" t="s">
        <v>7</v>
      </c>
      <c r="ER679" s="27" t="s">
        <v>7</v>
      </c>
      <c r="ES679" s="27" t="s">
        <v>8</v>
      </c>
      <c r="ET679" s="27" t="s">
        <v>7</v>
      </c>
      <c r="FY679" s="27" t="s">
        <v>8</v>
      </c>
      <c r="FZ679" s="27" t="s">
        <v>7</v>
      </c>
      <c r="GQ679" s="27" t="s">
        <v>8</v>
      </c>
      <c r="GR679" s="27" t="s">
        <v>7</v>
      </c>
      <c r="HC679" s="27" t="s">
        <v>8</v>
      </c>
      <c r="HD679" s="27" t="s">
        <v>7</v>
      </c>
      <c r="HR679" s="27" t="s">
        <v>7</v>
      </c>
      <c r="HS679" s="27" t="s">
        <v>8</v>
      </c>
      <c r="HT679" s="27" t="s">
        <v>7</v>
      </c>
      <c r="HU679" s="27" t="s">
        <v>8</v>
      </c>
      <c r="IF679" s="27" t="s">
        <v>7</v>
      </c>
      <c r="II679" s="27" t="s">
        <v>8</v>
      </c>
      <c r="IJ679" s="27" t="s">
        <v>7</v>
      </c>
      <c r="IK679" s="27" t="s">
        <v>8</v>
      </c>
      <c r="IL679" s="27" t="s">
        <v>7</v>
      </c>
      <c r="IM679" s="27" t="s">
        <v>8</v>
      </c>
      <c r="IQ679" s="27" t="s">
        <v>8</v>
      </c>
      <c r="IR679" s="27" t="s">
        <v>7</v>
      </c>
      <c r="JM679" s="27" t="s">
        <v>8</v>
      </c>
      <c r="JZ679" s="27" t="s">
        <v>7</v>
      </c>
      <c r="KA679" s="27" t="s">
        <v>8</v>
      </c>
    </row>
    <row r="680" spans="1:295" x14ac:dyDescent="0.25">
      <c r="A680" s="7">
        <v>0.15855649108315376</v>
      </c>
      <c r="B680"/>
      <c r="C680"/>
      <c r="D680"/>
      <c r="E680"/>
      <c r="CJ680" s="27" t="s">
        <v>7</v>
      </c>
      <c r="CS680" s="27" t="s">
        <v>8</v>
      </c>
      <c r="CT680" s="27" t="s">
        <v>7</v>
      </c>
      <c r="CU680" s="27" t="s">
        <v>8</v>
      </c>
      <c r="CV680" s="27" t="s">
        <v>7</v>
      </c>
      <c r="DA680" s="27" t="s">
        <v>8</v>
      </c>
      <c r="DB680" s="27" t="s">
        <v>7</v>
      </c>
      <c r="DD680" s="27" t="s">
        <v>7</v>
      </c>
      <c r="EK680" s="27" t="s">
        <v>8</v>
      </c>
      <c r="EL680" s="27" t="s">
        <v>7</v>
      </c>
      <c r="EM680" s="27" t="s">
        <v>8</v>
      </c>
      <c r="EN680" s="27" t="s">
        <v>7</v>
      </c>
      <c r="EO680" s="27" t="s">
        <v>8</v>
      </c>
      <c r="ER680" s="27" t="s">
        <v>7</v>
      </c>
      <c r="ET680" s="27" t="s">
        <v>7</v>
      </c>
      <c r="FY680" s="27" t="s">
        <v>8</v>
      </c>
      <c r="FZ680" s="27" t="s">
        <v>7</v>
      </c>
      <c r="GQ680" s="27" t="s">
        <v>8</v>
      </c>
      <c r="GR680" s="27" t="s">
        <v>7</v>
      </c>
      <c r="HC680" s="27" t="s">
        <v>8</v>
      </c>
      <c r="HR680" s="27" t="s">
        <v>7</v>
      </c>
      <c r="HS680" s="27" t="s">
        <v>8</v>
      </c>
      <c r="HT680" s="27" t="s">
        <v>7</v>
      </c>
      <c r="HU680" s="27" t="s">
        <v>8</v>
      </c>
      <c r="IF680" s="27" t="s">
        <v>7</v>
      </c>
      <c r="IG680" s="27" t="s">
        <v>8</v>
      </c>
      <c r="II680" s="27" t="s">
        <v>8</v>
      </c>
      <c r="IJ680" s="27" t="s">
        <v>7</v>
      </c>
      <c r="IK680" s="27" t="s">
        <v>8</v>
      </c>
      <c r="IL680" s="27" t="s">
        <v>7</v>
      </c>
      <c r="IM680" s="27" t="s">
        <v>8</v>
      </c>
      <c r="IN680" s="27" t="s">
        <v>7</v>
      </c>
      <c r="IQ680" s="27" t="s">
        <v>8</v>
      </c>
      <c r="IR680" s="27" t="s">
        <v>7</v>
      </c>
      <c r="JM680" s="27" t="s">
        <v>8</v>
      </c>
      <c r="JZ680" s="27" t="s">
        <v>7</v>
      </c>
      <c r="KA680" s="27" t="s">
        <v>8</v>
      </c>
    </row>
    <row r="681" spans="1:295" x14ac:dyDescent="0.25">
      <c r="A681" s="7">
        <v>0.15544754027760171</v>
      </c>
      <c r="B681"/>
      <c r="C681"/>
      <c r="D681"/>
      <c r="E681"/>
      <c r="CJ681" s="27" t="s">
        <v>7</v>
      </c>
      <c r="CS681" s="27" t="s">
        <v>8</v>
      </c>
      <c r="CT681" s="27" t="s">
        <v>7</v>
      </c>
      <c r="CU681" s="27" t="s">
        <v>8</v>
      </c>
      <c r="CV681" s="27" t="s">
        <v>7</v>
      </c>
      <c r="DA681" s="27" t="s">
        <v>8</v>
      </c>
      <c r="DD681" s="27" t="s">
        <v>7</v>
      </c>
      <c r="EK681" s="27" t="s">
        <v>8</v>
      </c>
      <c r="EL681" s="27" t="s">
        <v>7</v>
      </c>
      <c r="EM681" s="27" t="s">
        <v>8</v>
      </c>
      <c r="EN681" s="27" t="s">
        <v>7</v>
      </c>
      <c r="EO681" s="27" t="s">
        <v>8</v>
      </c>
      <c r="ET681" s="27" t="s">
        <v>7</v>
      </c>
      <c r="FY681" s="27" t="s">
        <v>8</v>
      </c>
      <c r="FZ681" s="27" t="s">
        <v>7</v>
      </c>
      <c r="GQ681" s="27" t="s">
        <v>8</v>
      </c>
      <c r="GR681" s="27" t="s">
        <v>7</v>
      </c>
      <c r="HC681" s="27" t="s">
        <v>8</v>
      </c>
      <c r="HR681" s="27" t="s">
        <v>7</v>
      </c>
      <c r="HS681" s="27" t="s">
        <v>8</v>
      </c>
      <c r="HT681" s="27" t="s">
        <v>7</v>
      </c>
      <c r="HU681" s="27" t="s">
        <v>8</v>
      </c>
      <c r="IF681" s="27" t="s">
        <v>7</v>
      </c>
      <c r="IG681" s="27" t="s">
        <v>8</v>
      </c>
      <c r="IH681" s="27" t="s">
        <v>7</v>
      </c>
      <c r="II681" s="27" t="s">
        <v>8</v>
      </c>
      <c r="IJ681" s="27" t="s">
        <v>7</v>
      </c>
      <c r="IL681" s="27" t="s">
        <v>7</v>
      </c>
      <c r="IM681" s="27" t="s">
        <v>8</v>
      </c>
      <c r="IN681" s="27" t="s">
        <v>7</v>
      </c>
      <c r="IQ681" s="27" t="s">
        <v>8</v>
      </c>
      <c r="IR681" s="27" t="s">
        <v>7</v>
      </c>
      <c r="JM681" s="27" t="s">
        <v>8</v>
      </c>
      <c r="JZ681" s="27" t="s">
        <v>7</v>
      </c>
      <c r="KA681" s="27" t="s">
        <v>8</v>
      </c>
    </row>
    <row r="682" spans="1:295" x14ac:dyDescent="0.25">
      <c r="A682" s="7">
        <v>0.15239954929176638</v>
      </c>
      <c r="B682"/>
      <c r="C682"/>
      <c r="D682"/>
      <c r="E682"/>
      <c r="CJ682" s="27" t="s">
        <v>7</v>
      </c>
      <c r="CS682" s="27" t="s">
        <v>8</v>
      </c>
      <c r="CT682" s="27" t="s">
        <v>7</v>
      </c>
      <c r="CU682" s="27" t="s">
        <v>8</v>
      </c>
      <c r="CV682" s="27" t="s">
        <v>7</v>
      </c>
      <c r="DA682" s="27" t="s">
        <v>8</v>
      </c>
      <c r="DD682" s="27" t="s">
        <v>7</v>
      </c>
      <c r="EK682" s="27" t="s">
        <v>8</v>
      </c>
      <c r="EL682" s="27" t="s">
        <v>7</v>
      </c>
      <c r="EN682" s="27" t="s">
        <v>7</v>
      </c>
      <c r="EO682" s="27" t="s">
        <v>8</v>
      </c>
      <c r="ET682" s="27" t="s">
        <v>7</v>
      </c>
      <c r="FY682" s="27" t="s">
        <v>8</v>
      </c>
      <c r="FZ682" s="27" t="s">
        <v>7</v>
      </c>
      <c r="GQ682" s="27" t="s">
        <v>8</v>
      </c>
      <c r="GR682" s="27" t="s">
        <v>7</v>
      </c>
      <c r="HC682" s="27" t="s">
        <v>8</v>
      </c>
      <c r="HR682" s="27" t="s">
        <v>7</v>
      </c>
      <c r="HT682" s="27" t="s">
        <v>7</v>
      </c>
      <c r="IF682" s="27" t="s">
        <v>7</v>
      </c>
      <c r="IG682" s="27" t="s">
        <v>8</v>
      </c>
      <c r="IH682" s="27" t="s">
        <v>7</v>
      </c>
      <c r="II682" s="27" t="s">
        <v>8</v>
      </c>
      <c r="IL682" s="27" t="s">
        <v>7</v>
      </c>
      <c r="IM682" s="27" t="s">
        <v>8</v>
      </c>
      <c r="IN682" s="27" t="s">
        <v>7</v>
      </c>
      <c r="IQ682" s="27" t="s">
        <v>8</v>
      </c>
      <c r="IR682" s="27" t="s">
        <v>7</v>
      </c>
      <c r="JM682" s="27" t="s">
        <v>8</v>
      </c>
      <c r="JZ682" s="27" t="s">
        <v>7</v>
      </c>
      <c r="KA682" s="27" t="s">
        <v>8</v>
      </c>
    </row>
    <row r="683" spans="1:295" x14ac:dyDescent="0.25">
      <c r="A683" s="7">
        <v>0.14941132283506509</v>
      </c>
      <c r="B683"/>
      <c r="C683"/>
      <c r="D683"/>
      <c r="E683"/>
      <c r="CJ683" s="27" t="s">
        <v>7</v>
      </c>
      <c r="CS683" s="27" t="s">
        <v>8</v>
      </c>
      <c r="CT683" s="27" t="s">
        <v>7</v>
      </c>
      <c r="CU683" s="27" t="s">
        <v>8</v>
      </c>
      <c r="CV683" s="27" t="s">
        <v>7</v>
      </c>
      <c r="DA683" s="27" t="s">
        <v>8</v>
      </c>
      <c r="DD683" s="27" t="s">
        <v>7</v>
      </c>
      <c r="DE683" s="27" t="s">
        <v>8</v>
      </c>
      <c r="EK683" s="27" t="s">
        <v>8</v>
      </c>
      <c r="EN683" s="27" t="s">
        <v>7</v>
      </c>
      <c r="ET683" s="27" t="s">
        <v>7</v>
      </c>
      <c r="FY683" s="27" t="s">
        <v>8</v>
      </c>
      <c r="FZ683" s="27" t="s">
        <v>7</v>
      </c>
      <c r="GO683" s="27" t="s">
        <v>8</v>
      </c>
      <c r="GQ683" s="27" t="s">
        <v>8</v>
      </c>
      <c r="GR683" s="27" t="s">
        <v>7</v>
      </c>
      <c r="HC683" s="27" t="s">
        <v>8</v>
      </c>
      <c r="IF683" s="27" t="s">
        <v>7</v>
      </c>
      <c r="IG683" s="27" t="s">
        <v>8</v>
      </c>
      <c r="IH683" s="27" t="s">
        <v>7</v>
      </c>
      <c r="II683" s="27" t="s">
        <v>8</v>
      </c>
      <c r="IL683" s="27" t="s">
        <v>7</v>
      </c>
      <c r="IM683" s="27" t="s">
        <v>8</v>
      </c>
      <c r="IN683" s="27" t="s">
        <v>7</v>
      </c>
      <c r="IQ683" s="27" t="s">
        <v>8</v>
      </c>
      <c r="IR683" s="27" t="s">
        <v>7</v>
      </c>
      <c r="JM683" s="27" t="s">
        <v>8</v>
      </c>
      <c r="JZ683" s="27" t="s">
        <v>7</v>
      </c>
      <c r="KA683" s="27" t="s">
        <v>8</v>
      </c>
    </row>
    <row r="684" spans="1:295" x14ac:dyDescent="0.25">
      <c r="A684" s="7">
        <v>0.14648168905398537</v>
      </c>
      <c r="B684"/>
      <c r="C684"/>
      <c r="D684"/>
      <c r="E684"/>
      <c r="CJ684" s="27" t="s">
        <v>7</v>
      </c>
      <c r="CQ684" s="27" t="s">
        <v>8</v>
      </c>
      <c r="CS684" s="27" t="s">
        <v>8</v>
      </c>
      <c r="CT684" s="27" t="s">
        <v>7</v>
      </c>
      <c r="CU684" s="27" t="s">
        <v>8</v>
      </c>
      <c r="CV684" s="27" t="s">
        <v>7</v>
      </c>
      <c r="CW684" s="27" t="s">
        <v>8</v>
      </c>
      <c r="DA684" s="27" t="s">
        <v>8</v>
      </c>
      <c r="DD684" s="27" t="s">
        <v>7</v>
      </c>
      <c r="DE684" s="27" t="s">
        <v>8</v>
      </c>
      <c r="DF684" s="27" t="s">
        <v>7</v>
      </c>
      <c r="EK684" s="27" t="s">
        <v>8</v>
      </c>
      <c r="ET684" s="27" t="s">
        <v>7</v>
      </c>
      <c r="FY684" s="27" t="s">
        <v>8</v>
      </c>
      <c r="FZ684" s="27" t="s">
        <v>7</v>
      </c>
      <c r="GO684" s="27" t="s">
        <v>8</v>
      </c>
      <c r="GP684" s="27" t="s">
        <v>7</v>
      </c>
      <c r="GQ684" s="27" t="s">
        <v>8</v>
      </c>
      <c r="GR684" s="27" t="s">
        <v>7</v>
      </c>
      <c r="HC684" s="27" t="s">
        <v>8</v>
      </c>
      <c r="IF684" s="27" t="s">
        <v>7</v>
      </c>
      <c r="IG684" s="27" t="s">
        <v>8</v>
      </c>
      <c r="IH684" s="27" t="s">
        <v>7</v>
      </c>
      <c r="II684" s="27" t="s">
        <v>8</v>
      </c>
      <c r="IL684" s="27" t="s">
        <v>7</v>
      </c>
      <c r="IM684" s="27" t="s">
        <v>8</v>
      </c>
      <c r="IN684" s="27" t="s">
        <v>7</v>
      </c>
      <c r="IQ684" s="27" t="s">
        <v>8</v>
      </c>
      <c r="IR684" s="27" t="s">
        <v>7</v>
      </c>
      <c r="JM684" s="27" t="s">
        <v>8</v>
      </c>
      <c r="JZ684" s="27" t="s">
        <v>7</v>
      </c>
    </row>
    <row r="685" spans="1:295" x14ac:dyDescent="0.25">
      <c r="A685" s="7">
        <v>0.14360949907253467</v>
      </c>
      <c r="B685"/>
      <c r="C685"/>
      <c r="D685"/>
      <c r="E685"/>
      <c r="CJ685" s="27" t="s">
        <v>7</v>
      </c>
      <c r="CQ685" s="27" t="s">
        <v>8</v>
      </c>
      <c r="CR685" s="27" t="s">
        <v>7</v>
      </c>
      <c r="CS685" s="27" t="s">
        <v>8</v>
      </c>
      <c r="CT685" s="27" t="s">
        <v>7</v>
      </c>
      <c r="CU685" s="27" t="s">
        <v>8</v>
      </c>
      <c r="CV685" s="27" t="s">
        <v>7</v>
      </c>
      <c r="CW685" s="27" t="s">
        <v>8</v>
      </c>
      <c r="CX685" s="27" t="s">
        <v>7</v>
      </c>
      <c r="CY685" s="27" t="s">
        <v>8</v>
      </c>
      <c r="DA685" s="27" t="s">
        <v>8</v>
      </c>
      <c r="DD685" s="27" t="s">
        <v>7</v>
      </c>
      <c r="DE685" s="27" t="s">
        <v>8</v>
      </c>
      <c r="DF685" s="27" t="s">
        <v>7</v>
      </c>
      <c r="EI685" s="27" t="s">
        <v>8</v>
      </c>
      <c r="EK685" s="27" t="s">
        <v>8</v>
      </c>
      <c r="ET685" s="27" t="s">
        <v>7</v>
      </c>
      <c r="FY685" s="27" t="s">
        <v>8</v>
      </c>
      <c r="FZ685" s="27" t="s">
        <v>7</v>
      </c>
      <c r="GO685" s="27" t="s">
        <v>8</v>
      </c>
      <c r="GP685" s="27" t="s">
        <v>7</v>
      </c>
      <c r="GQ685" s="27" t="s">
        <v>8</v>
      </c>
      <c r="GR685" s="27" t="s">
        <v>7</v>
      </c>
      <c r="GU685" s="27" t="s">
        <v>8</v>
      </c>
      <c r="HA685" s="27" t="s">
        <v>8</v>
      </c>
      <c r="HC685" s="27" t="s">
        <v>8</v>
      </c>
      <c r="IF685" s="27" t="s">
        <v>7</v>
      </c>
      <c r="IG685" s="27" t="s">
        <v>8</v>
      </c>
      <c r="IH685" s="27" t="s">
        <v>7</v>
      </c>
      <c r="II685" s="27" t="s">
        <v>8</v>
      </c>
      <c r="IL685" s="27" t="s">
        <v>7</v>
      </c>
      <c r="IN685" s="27" t="s">
        <v>7</v>
      </c>
      <c r="IQ685" s="27" t="s">
        <v>8</v>
      </c>
      <c r="IR685" s="27" t="s">
        <v>7</v>
      </c>
      <c r="IU685" s="27" t="s">
        <v>8</v>
      </c>
      <c r="IY685" s="27" t="s">
        <v>8</v>
      </c>
      <c r="JM685" s="27" t="s">
        <v>8</v>
      </c>
    </row>
    <row r="686" spans="1:295" x14ac:dyDescent="0.25">
      <c r="A686" s="7">
        <v>0.14079362654170066</v>
      </c>
      <c r="B686"/>
      <c r="C686"/>
      <c r="D686"/>
      <c r="E686"/>
      <c r="CJ686" s="27" t="s">
        <v>7</v>
      </c>
      <c r="CO686" s="27" t="s">
        <v>8</v>
      </c>
      <c r="CQ686" s="27" t="s">
        <v>8</v>
      </c>
      <c r="CR686" s="27" t="s">
        <v>7</v>
      </c>
      <c r="CS686" s="27" t="s">
        <v>8</v>
      </c>
      <c r="CT686" s="27" t="s">
        <v>7</v>
      </c>
      <c r="CU686" s="27" t="s">
        <v>8</v>
      </c>
      <c r="CV686" s="27" t="s">
        <v>7</v>
      </c>
      <c r="CW686" s="27" t="s">
        <v>8</v>
      </c>
      <c r="CX686" s="27" t="s">
        <v>7</v>
      </c>
      <c r="CY686" s="27" t="s">
        <v>8</v>
      </c>
      <c r="CZ686" s="27" t="s">
        <v>7</v>
      </c>
      <c r="DA686" s="27" t="s">
        <v>8</v>
      </c>
      <c r="DD686" s="27" t="s">
        <v>7</v>
      </c>
      <c r="DE686" s="27" t="s">
        <v>8</v>
      </c>
      <c r="DF686" s="27" t="s">
        <v>7</v>
      </c>
      <c r="DO686" s="27" t="s">
        <v>8</v>
      </c>
      <c r="EI686" s="27" t="s">
        <v>8</v>
      </c>
      <c r="EJ686" s="27" t="s">
        <v>7</v>
      </c>
      <c r="EK686" s="27" t="s">
        <v>8</v>
      </c>
      <c r="ET686" s="27" t="s">
        <v>7</v>
      </c>
      <c r="FY686" s="27" t="s">
        <v>8</v>
      </c>
      <c r="FZ686" s="27" t="s">
        <v>7</v>
      </c>
      <c r="GO686" s="27" t="s">
        <v>8</v>
      </c>
      <c r="GP686" s="27" t="s">
        <v>7</v>
      </c>
      <c r="GQ686" s="27" t="s">
        <v>8</v>
      </c>
      <c r="GR686" s="27" t="s">
        <v>7</v>
      </c>
      <c r="GU686" s="27" t="s">
        <v>8</v>
      </c>
      <c r="GV686" s="27" t="s">
        <v>7</v>
      </c>
      <c r="HA686" s="27" t="s">
        <v>8</v>
      </c>
      <c r="HB686" s="27" t="s">
        <v>7</v>
      </c>
      <c r="HC686" s="27" t="s">
        <v>8</v>
      </c>
      <c r="IF686" s="27" t="s">
        <v>7</v>
      </c>
      <c r="IG686" s="27" t="s">
        <v>8</v>
      </c>
      <c r="IH686" s="27" t="s">
        <v>7</v>
      </c>
      <c r="II686" s="27" t="s">
        <v>8</v>
      </c>
      <c r="IN686" s="27" t="s">
        <v>7</v>
      </c>
      <c r="IQ686" s="27" t="s">
        <v>8</v>
      </c>
      <c r="IR686" s="27" t="s">
        <v>7</v>
      </c>
      <c r="IU686" s="27" t="s">
        <v>8</v>
      </c>
      <c r="IV686" s="27" t="s">
        <v>7</v>
      </c>
      <c r="IY686" s="27" t="s">
        <v>8</v>
      </c>
      <c r="IZ686" s="27" t="s">
        <v>7</v>
      </c>
      <c r="JI686" s="27" t="s">
        <v>8</v>
      </c>
      <c r="JM686" s="27" t="s">
        <v>8</v>
      </c>
    </row>
    <row r="687" spans="1:295" x14ac:dyDescent="0.25">
      <c r="A687" s="7">
        <v>0.13803296719774574</v>
      </c>
      <c r="B687"/>
      <c r="C687"/>
      <c r="D687"/>
      <c r="E687"/>
      <c r="CJ687" s="27" t="s">
        <v>7</v>
      </c>
      <c r="CK687" s="27" t="s">
        <v>8</v>
      </c>
      <c r="CM687" s="27" t="s">
        <v>8</v>
      </c>
      <c r="CO687" s="27" t="s">
        <v>8</v>
      </c>
      <c r="CP687" s="27" t="s">
        <v>7</v>
      </c>
      <c r="CQ687" s="27" t="s">
        <v>8</v>
      </c>
      <c r="CR687" s="27" t="s">
        <v>7</v>
      </c>
      <c r="CT687" s="27" t="s">
        <v>7</v>
      </c>
      <c r="CV687" s="27" t="s">
        <v>7</v>
      </c>
      <c r="CW687" s="27" t="s">
        <v>8</v>
      </c>
      <c r="CX687" s="27" t="s">
        <v>7</v>
      </c>
      <c r="CY687" s="27" t="s">
        <v>8</v>
      </c>
      <c r="CZ687" s="27" t="s">
        <v>7</v>
      </c>
      <c r="DA687" s="27" t="s">
        <v>8</v>
      </c>
      <c r="DD687" s="27" t="s">
        <v>7</v>
      </c>
      <c r="DE687" s="27" t="s">
        <v>8</v>
      </c>
      <c r="DF687" s="27" t="s">
        <v>7</v>
      </c>
      <c r="DO687" s="27" t="s">
        <v>8</v>
      </c>
      <c r="DP687" s="27" t="s">
        <v>7</v>
      </c>
      <c r="EI687" s="27" t="s">
        <v>8</v>
      </c>
      <c r="EJ687" s="27" t="s">
        <v>7</v>
      </c>
      <c r="EK687" s="27" t="s">
        <v>8</v>
      </c>
      <c r="ET687" s="27" t="s">
        <v>7</v>
      </c>
      <c r="EY687" s="27" t="s">
        <v>8</v>
      </c>
      <c r="FA687" s="27" t="s">
        <v>8</v>
      </c>
      <c r="FY687" s="27" t="s">
        <v>8</v>
      </c>
      <c r="FZ687" s="27" t="s">
        <v>7</v>
      </c>
      <c r="GO687" s="27" t="s">
        <v>8</v>
      </c>
      <c r="GP687" s="27" t="s">
        <v>7</v>
      </c>
      <c r="GQ687" s="27" t="s">
        <v>8</v>
      </c>
      <c r="GR687" s="27" t="s">
        <v>7</v>
      </c>
      <c r="GU687" s="27" t="s">
        <v>8</v>
      </c>
      <c r="GV687" s="27" t="s">
        <v>7</v>
      </c>
      <c r="HA687" s="27" t="s">
        <v>8</v>
      </c>
      <c r="HB687" s="27" t="s">
        <v>7</v>
      </c>
      <c r="HC687" s="27" t="s">
        <v>8</v>
      </c>
      <c r="IF687" s="27" t="s">
        <v>7</v>
      </c>
      <c r="IG687" s="27" t="s">
        <v>8</v>
      </c>
      <c r="IH687" s="27" t="s">
        <v>7</v>
      </c>
      <c r="II687" s="27" t="s">
        <v>8</v>
      </c>
      <c r="IN687" s="27" t="s">
        <v>7</v>
      </c>
      <c r="IQ687" s="27" t="s">
        <v>8</v>
      </c>
      <c r="IR687" s="27" t="s">
        <v>7</v>
      </c>
      <c r="IU687" s="27" t="s">
        <v>8</v>
      </c>
      <c r="IV687" s="27" t="s">
        <v>7</v>
      </c>
      <c r="IY687" s="27" t="s">
        <v>8</v>
      </c>
      <c r="IZ687" s="27" t="s">
        <v>7</v>
      </c>
      <c r="JI687" s="27" t="s">
        <v>8</v>
      </c>
      <c r="JJ687" s="27" t="s">
        <v>7</v>
      </c>
      <c r="JM687" s="27" t="s">
        <v>8</v>
      </c>
    </row>
    <row r="688" spans="1:295" x14ac:dyDescent="0.25">
      <c r="A688" s="7">
        <v>0.1353264384291625</v>
      </c>
      <c r="B688"/>
      <c r="C688"/>
      <c r="D688"/>
      <c r="E688"/>
      <c r="CJ688" s="27" t="s">
        <v>7</v>
      </c>
      <c r="CK688" s="27" t="s">
        <v>8</v>
      </c>
      <c r="CL688" s="27" t="s">
        <v>7</v>
      </c>
      <c r="CM688" s="27" t="s">
        <v>8</v>
      </c>
      <c r="CN688" s="27" t="s">
        <v>7</v>
      </c>
      <c r="CO688" s="27" t="s">
        <v>8</v>
      </c>
      <c r="CP688" s="27" t="s">
        <v>7</v>
      </c>
      <c r="CQ688" s="27" t="s">
        <v>8</v>
      </c>
      <c r="CV688" s="27" t="s">
        <v>7</v>
      </c>
      <c r="CW688" s="27" t="s">
        <v>8</v>
      </c>
      <c r="CX688" s="27" t="s">
        <v>7</v>
      </c>
      <c r="CY688" s="27" t="s">
        <v>8</v>
      </c>
      <c r="CZ688" s="27" t="s">
        <v>7</v>
      </c>
      <c r="DA688" s="27" t="s">
        <v>8</v>
      </c>
      <c r="DD688" s="27" t="s">
        <v>7</v>
      </c>
      <c r="DF688" s="27" t="s">
        <v>7</v>
      </c>
      <c r="DG688" s="27" t="s">
        <v>8</v>
      </c>
      <c r="DO688" s="27" t="s">
        <v>8</v>
      </c>
      <c r="DP688" s="27" t="s">
        <v>7</v>
      </c>
      <c r="EI688" s="27" t="s">
        <v>8</v>
      </c>
      <c r="EJ688" s="27" t="s">
        <v>7</v>
      </c>
      <c r="ET688" s="27" t="s">
        <v>7</v>
      </c>
      <c r="EU688" s="27" t="s">
        <v>8</v>
      </c>
      <c r="EY688" s="27" t="s">
        <v>8</v>
      </c>
      <c r="EZ688" s="27" t="s">
        <v>7</v>
      </c>
      <c r="FA688" s="27" t="s">
        <v>8</v>
      </c>
      <c r="FB688" s="27" t="s">
        <v>7</v>
      </c>
      <c r="FY688" s="27" t="s">
        <v>8</v>
      </c>
      <c r="FZ688" s="27" t="s">
        <v>7</v>
      </c>
      <c r="GO688" s="27" t="s">
        <v>8</v>
      </c>
      <c r="GP688" s="27" t="s">
        <v>7</v>
      </c>
      <c r="GQ688" s="27" t="s">
        <v>8</v>
      </c>
      <c r="GR688" s="27" t="s">
        <v>7</v>
      </c>
      <c r="GU688" s="27" t="s">
        <v>8</v>
      </c>
      <c r="GV688" s="27" t="s">
        <v>7</v>
      </c>
      <c r="GW688" s="27" t="s">
        <v>8</v>
      </c>
      <c r="GY688" s="27" t="s">
        <v>8</v>
      </c>
      <c r="HA688" s="27" t="s">
        <v>8</v>
      </c>
      <c r="HB688" s="27" t="s">
        <v>7</v>
      </c>
      <c r="HC688" s="27" t="s">
        <v>8</v>
      </c>
      <c r="IF688" s="27" t="s">
        <v>7</v>
      </c>
      <c r="IG688" s="27" t="s">
        <v>8</v>
      </c>
      <c r="IH688" s="27" t="s">
        <v>7</v>
      </c>
      <c r="II688" s="27" t="s">
        <v>8</v>
      </c>
      <c r="IN688" s="27" t="s">
        <v>7</v>
      </c>
      <c r="IQ688" s="27" t="s">
        <v>8</v>
      </c>
      <c r="IR688" s="27" t="s">
        <v>7</v>
      </c>
      <c r="IU688" s="27" t="s">
        <v>8</v>
      </c>
      <c r="IV688" s="27" t="s">
        <v>7</v>
      </c>
      <c r="IY688" s="27" t="s">
        <v>8</v>
      </c>
      <c r="IZ688" s="27" t="s">
        <v>7</v>
      </c>
      <c r="JI688" s="27" t="s">
        <v>8</v>
      </c>
      <c r="JJ688" s="27" t="s">
        <v>7</v>
      </c>
      <c r="JM688" s="27" t="s">
        <v>8</v>
      </c>
    </row>
    <row r="689" spans="1:273" x14ac:dyDescent="0.25">
      <c r="A689" s="7">
        <v>0.13267297885212009</v>
      </c>
      <c r="B689"/>
      <c r="C689"/>
      <c r="D689"/>
      <c r="E689"/>
      <c r="CJ689" s="27" t="s">
        <v>7</v>
      </c>
      <c r="CK689" s="27" t="s">
        <v>8</v>
      </c>
      <c r="CL689" s="27" t="s">
        <v>7</v>
      </c>
      <c r="CM689" s="27" t="s">
        <v>8</v>
      </c>
      <c r="CN689" s="27" t="s">
        <v>7</v>
      </c>
      <c r="CO689" s="27" t="s">
        <v>8</v>
      </c>
      <c r="CP689" s="27" t="s">
        <v>7</v>
      </c>
      <c r="CQ689" s="27" t="s">
        <v>8</v>
      </c>
      <c r="CV689" s="27" t="s">
        <v>7</v>
      </c>
      <c r="CW689" s="27" t="s">
        <v>8</v>
      </c>
      <c r="CX689" s="27" t="s">
        <v>7</v>
      </c>
      <c r="CY689" s="27" t="s">
        <v>8</v>
      </c>
      <c r="CZ689" s="27" t="s">
        <v>7</v>
      </c>
      <c r="DA689" s="27" t="s">
        <v>8</v>
      </c>
      <c r="DF689" s="27" t="s">
        <v>7</v>
      </c>
      <c r="DG689" s="27" t="s">
        <v>8</v>
      </c>
      <c r="DH689" s="27" t="s">
        <v>7</v>
      </c>
      <c r="DO689" s="27" t="s">
        <v>8</v>
      </c>
      <c r="DP689" s="27" t="s">
        <v>7</v>
      </c>
      <c r="EI689" s="27" t="s">
        <v>8</v>
      </c>
      <c r="ET689" s="27" t="s">
        <v>7</v>
      </c>
      <c r="EU689" s="27" t="s">
        <v>8</v>
      </c>
      <c r="EV689" s="27" t="s">
        <v>7</v>
      </c>
      <c r="EW689" s="27" t="s">
        <v>8</v>
      </c>
      <c r="EY689" s="27" t="s">
        <v>8</v>
      </c>
      <c r="EZ689" s="27" t="s">
        <v>7</v>
      </c>
      <c r="FA689" s="27" t="s">
        <v>8</v>
      </c>
      <c r="FB689" s="27" t="s">
        <v>7</v>
      </c>
      <c r="FY689" s="27" t="s">
        <v>8</v>
      </c>
      <c r="FZ689" s="27" t="s">
        <v>7</v>
      </c>
      <c r="GO689" s="27" t="s">
        <v>8</v>
      </c>
      <c r="GP689" s="27" t="s">
        <v>7</v>
      </c>
      <c r="GQ689" s="27" t="s">
        <v>8</v>
      </c>
      <c r="GR689" s="27" t="s">
        <v>7</v>
      </c>
      <c r="GU689" s="27" t="s">
        <v>8</v>
      </c>
      <c r="GV689" s="27" t="s">
        <v>7</v>
      </c>
      <c r="GW689" s="27" t="s">
        <v>8</v>
      </c>
      <c r="GX689" s="27" t="s">
        <v>7</v>
      </c>
      <c r="GY689" s="27" t="s">
        <v>8</v>
      </c>
      <c r="GZ689" s="27" t="s">
        <v>7</v>
      </c>
      <c r="HA689" s="27" t="s">
        <v>8</v>
      </c>
      <c r="HB689" s="27" t="s">
        <v>7</v>
      </c>
      <c r="IF689" s="27" t="s">
        <v>7</v>
      </c>
      <c r="IG689" s="27" t="s">
        <v>8</v>
      </c>
      <c r="IH689" s="27" t="s">
        <v>7</v>
      </c>
      <c r="II689" s="27" t="s">
        <v>8</v>
      </c>
      <c r="IN689" s="27" t="s">
        <v>7</v>
      </c>
      <c r="IO689" s="27" t="s">
        <v>8</v>
      </c>
      <c r="IQ689" s="27" t="s">
        <v>8</v>
      </c>
      <c r="IR689" s="27" t="s">
        <v>7</v>
      </c>
      <c r="IU689" s="27" t="s">
        <v>8</v>
      </c>
      <c r="IV689" s="27" t="s">
        <v>7</v>
      </c>
      <c r="IY689" s="27" t="s">
        <v>8</v>
      </c>
      <c r="IZ689" s="27" t="s">
        <v>7</v>
      </c>
      <c r="JA689" s="27" t="s">
        <v>8</v>
      </c>
      <c r="JI689" s="27" t="s">
        <v>8</v>
      </c>
      <c r="JJ689" s="27" t="s">
        <v>7</v>
      </c>
      <c r="JM689" s="27" t="s">
        <v>8</v>
      </c>
    </row>
    <row r="690" spans="1:273" x14ac:dyDescent="0.25">
      <c r="A690" s="7">
        <v>0.13007154789423539</v>
      </c>
      <c r="B690"/>
      <c r="C690"/>
      <c r="D690"/>
      <c r="E690"/>
      <c r="CJ690" s="27" t="s">
        <v>7</v>
      </c>
      <c r="CK690" s="27" t="s">
        <v>8</v>
      </c>
      <c r="CL690" s="27" t="s">
        <v>7</v>
      </c>
      <c r="CM690" s="27" t="s">
        <v>8</v>
      </c>
      <c r="CN690" s="27" t="s">
        <v>7</v>
      </c>
      <c r="CO690" s="27" t="s">
        <v>8</v>
      </c>
      <c r="CP690" s="27" t="s">
        <v>7</v>
      </c>
      <c r="CV690" s="27" t="s">
        <v>7</v>
      </c>
      <c r="CW690" s="27" t="s">
        <v>8</v>
      </c>
      <c r="CX690" s="27" t="s">
        <v>7</v>
      </c>
      <c r="CY690" s="27" t="s">
        <v>8</v>
      </c>
      <c r="CZ690" s="27" t="s">
        <v>7</v>
      </c>
      <c r="DA690" s="27" t="s">
        <v>8</v>
      </c>
      <c r="DF690" s="27" t="s">
        <v>7</v>
      </c>
      <c r="DG690" s="27" t="s">
        <v>8</v>
      </c>
      <c r="DH690" s="27" t="s">
        <v>7</v>
      </c>
      <c r="DK690" s="27" t="s">
        <v>8</v>
      </c>
      <c r="DO690" s="27" t="s">
        <v>8</v>
      </c>
      <c r="DP690" s="27" t="s">
        <v>7</v>
      </c>
      <c r="EI690" s="27" t="s">
        <v>8</v>
      </c>
      <c r="ET690" s="27" t="s">
        <v>7</v>
      </c>
      <c r="EU690" s="27" t="s">
        <v>8</v>
      </c>
      <c r="EV690" s="27" t="s">
        <v>7</v>
      </c>
      <c r="EW690" s="27" t="s">
        <v>8</v>
      </c>
      <c r="EX690" s="27" t="s">
        <v>7</v>
      </c>
      <c r="EY690" s="27" t="s">
        <v>8</v>
      </c>
      <c r="EZ690" s="27" t="s">
        <v>7</v>
      </c>
      <c r="FA690" s="27" t="s">
        <v>8</v>
      </c>
      <c r="FB690" s="27" t="s">
        <v>7</v>
      </c>
      <c r="FY690" s="27" t="s">
        <v>8</v>
      </c>
      <c r="FZ690" s="27" t="s">
        <v>7</v>
      </c>
      <c r="GO690" s="27" t="s">
        <v>8</v>
      </c>
      <c r="GP690" s="27" t="s">
        <v>7</v>
      </c>
      <c r="GQ690" s="27" t="s">
        <v>8</v>
      </c>
      <c r="GR690" s="27" t="s">
        <v>7</v>
      </c>
      <c r="GU690" s="27" t="s">
        <v>8</v>
      </c>
      <c r="GV690" s="27" t="s">
        <v>7</v>
      </c>
      <c r="GW690" s="27" t="s">
        <v>8</v>
      </c>
      <c r="GX690" s="27" t="s">
        <v>7</v>
      </c>
      <c r="GY690" s="27" t="s">
        <v>8</v>
      </c>
      <c r="GZ690" s="27" t="s">
        <v>7</v>
      </c>
      <c r="HA690" s="27" t="s">
        <v>8</v>
      </c>
      <c r="IF690" s="27" t="s">
        <v>7</v>
      </c>
      <c r="IG690" s="27" t="s">
        <v>8</v>
      </c>
      <c r="IH690" s="27" t="s">
        <v>7</v>
      </c>
      <c r="II690" s="27" t="s">
        <v>8</v>
      </c>
      <c r="IN690" s="27" t="s">
        <v>7</v>
      </c>
      <c r="IO690" s="27" t="s">
        <v>8</v>
      </c>
      <c r="IP690" s="27" t="s">
        <v>7</v>
      </c>
      <c r="IQ690" s="27" t="s">
        <v>8</v>
      </c>
      <c r="IR690" s="27" t="s">
        <v>7</v>
      </c>
      <c r="IS690" s="27" t="s">
        <v>8</v>
      </c>
      <c r="IU690" s="27" t="s">
        <v>8</v>
      </c>
      <c r="IV690" s="27" t="s">
        <v>7</v>
      </c>
      <c r="IY690" s="27" t="s">
        <v>8</v>
      </c>
      <c r="IZ690" s="27" t="s">
        <v>7</v>
      </c>
      <c r="JA690" s="27" t="s">
        <v>8</v>
      </c>
      <c r="JB690" s="27" t="s">
        <v>7</v>
      </c>
      <c r="JI690" s="27" t="s">
        <v>8</v>
      </c>
      <c r="JJ690" s="27" t="s">
        <v>7</v>
      </c>
      <c r="JK690" s="27" t="s">
        <v>8</v>
      </c>
      <c r="JM690" s="27" t="s">
        <v>8</v>
      </c>
    </row>
    <row r="691" spans="1:273" x14ac:dyDescent="0.25">
      <c r="A691" s="7">
        <v>0.12752112538650529</v>
      </c>
      <c r="B691"/>
      <c r="C691"/>
      <c r="D691"/>
      <c r="E691"/>
      <c r="CJ691" s="27" t="s">
        <v>7</v>
      </c>
      <c r="CK691" s="27" t="s">
        <v>8</v>
      </c>
      <c r="CL691" s="27" t="s">
        <v>7</v>
      </c>
      <c r="CM691" s="27" t="s">
        <v>8</v>
      </c>
      <c r="CN691" s="27" t="s">
        <v>7</v>
      </c>
      <c r="CO691" s="27" t="s">
        <v>8</v>
      </c>
      <c r="CV691" s="27" t="s">
        <v>7</v>
      </c>
      <c r="CX691" s="27" t="s">
        <v>7</v>
      </c>
      <c r="CY691" s="27" t="s">
        <v>8</v>
      </c>
      <c r="CZ691" s="27" t="s">
        <v>7</v>
      </c>
      <c r="DA691" s="27" t="s">
        <v>8</v>
      </c>
      <c r="DF691" s="27" t="s">
        <v>7</v>
      </c>
      <c r="DH691" s="27" t="s">
        <v>7</v>
      </c>
      <c r="DK691" s="27" t="s">
        <v>8</v>
      </c>
      <c r="DL691" s="27" t="s">
        <v>7</v>
      </c>
      <c r="DO691" s="27" t="s">
        <v>8</v>
      </c>
      <c r="DP691" s="27" t="s">
        <v>7</v>
      </c>
      <c r="EI691" s="27" t="s">
        <v>8</v>
      </c>
      <c r="ET691" s="27" t="s">
        <v>7</v>
      </c>
      <c r="EU691" s="27" t="s">
        <v>8</v>
      </c>
      <c r="EV691" s="27" t="s">
        <v>7</v>
      </c>
      <c r="EW691" s="27" t="s">
        <v>8</v>
      </c>
      <c r="EX691" s="27" t="s">
        <v>7</v>
      </c>
      <c r="EY691" s="27" t="s">
        <v>8</v>
      </c>
      <c r="EZ691" s="27" t="s">
        <v>7</v>
      </c>
      <c r="FB691" s="27" t="s">
        <v>7</v>
      </c>
      <c r="FY691" s="27" t="s">
        <v>8</v>
      </c>
      <c r="FZ691" s="27" t="s">
        <v>7</v>
      </c>
      <c r="GO691" s="27" t="s">
        <v>8</v>
      </c>
      <c r="GP691" s="27" t="s">
        <v>7</v>
      </c>
      <c r="GQ691" s="27" t="s">
        <v>8</v>
      </c>
      <c r="GR691" s="27" t="s">
        <v>7</v>
      </c>
      <c r="GU691" s="27" t="s">
        <v>8</v>
      </c>
      <c r="GV691" s="27" t="s">
        <v>7</v>
      </c>
      <c r="GW691" s="27" t="s">
        <v>8</v>
      </c>
      <c r="GX691" s="27" t="s">
        <v>7</v>
      </c>
      <c r="GY691" s="27" t="s">
        <v>8</v>
      </c>
      <c r="GZ691" s="27" t="s">
        <v>7</v>
      </c>
      <c r="HA691" s="27" t="s">
        <v>8</v>
      </c>
      <c r="IF691" s="27" t="s">
        <v>7</v>
      </c>
      <c r="IG691" s="27" t="s">
        <v>8</v>
      </c>
      <c r="IH691" s="27" t="s">
        <v>7</v>
      </c>
      <c r="II691" s="27" t="s">
        <v>8</v>
      </c>
      <c r="IN691" s="27" t="s">
        <v>7</v>
      </c>
      <c r="IO691" s="27" t="s">
        <v>8</v>
      </c>
      <c r="IP691" s="27" t="s">
        <v>7</v>
      </c>
      <c r="IQ691" s="27" t="s">
        <v>8</v>
      </c>
      <c r="IR691" s="27" t="s">
        <v>7</v>
      </c>
      <c r="IS691" s="27" t="s">
        <v>8</v>
      </c>
      <c r="IT691" s="27" t="s">
        <v>7</v>
      </c>
      <c r="IU691" s="27" t="s">
        <v>8</v>
      </c>
      <c r="IV691" s="27" t="s">
        <v>7</v>
      </c>
      <c r="IW691" s="27" t="s">
        <v>8</v>
      </c>
      <c r="IY691" s="27" t="s">
        <v>8</v>
      </c>
      <c r="IZ691" s="27" t="s">
        <v>7</v>
      </c>
      <c r="JA691" s="27" t="s">
        <v>8</v>
      </c>
      <c r="JB691" s="27" t="s">
        <v>7</v>
      </c>
      <c r="JI691" s="27" t="s">
        <v>8</v>
      </c>
      <c r="JJ691" s="27" t="s">
        <v>7</v>
      </c>
      <c r="JK691" s="27" t="s">
        <v>8</v>
      </c>
      <c r="JL691" s="27" t="s">
        <v>7</v>
      </c>
      <c r="JM691" s="27" t="s">
        <v>8</v>
      </c>
    </row>
    <row r="692" spans="1:273" x14ac:dyDescent="0.25">
      <c r="A692" s="7">
        <v>0.12502071116324048</v>
      </c>
      <c r="B692"/>
      <c r="C692"/>
      <c r="D692"/>
      <c r="E692"/>
      <c r="CJ692" s="27" t="s">
        <v>7</v>
      </c>
      <c r="CK692" s="27" t="s">
        <v>8</v>
      </c>
      <c r="CL692" s="27" t="s">
        <v>7</v>
      </c>
      <c r="CM692" s="27" t="s">
        <v>8</v>
      </c>
      <c r="CN692" s="27" t="s">
        <v>7</v>
      </c>
      <c r="CO692" s="27" t="s">
        <v>8</v>
      </c>
      <c r="CX692" s="27" t="s">
        <v>7</v>
      </c>
      <c r="CY692" s="27" t="s">
        <v>8</v>
      </c>
      <c r="CZ692" s="27" t="s">
        <v>7</v>
      </c>
      <c r="DA692" s="27" t="s">
        <v>8</v>
      </c>
      <c r="DH692" s="27" t="s">
        <v>7</v>
      </c>
      <c r="DK692" s="27" t="s">
        <v>8</v>
      </c>
      <c r="DL692" s="27" t="s">
        <v>7</v>
      </c>
      <c r="DO692" s="27" t="s">
        <v>8</v>
      </c>
      <c r="DP692" s="27" t="s">
        <v>7</v>
      </c>
      <c r="EI692" s="27" t="s">
        <v>8</v>
      </c>
      <c r="ET692" s="27" t="s">
        <v>7</v>
      </c>
      <c r="EU692" s="27" t="s">
        <v>8</v>
      </c>
      <c r="EV692" s="27" t="s">
        <v>7</v>
      </c>
      <c r="EW692" s="27" t="s">
        <v>8</v>
      </c>
      <c r="EX692" s="27" t="s">
        <v>7</v>
      </c>
      <c r="FB692" s="27" t="s">
        <v>7</v>
      </c>
      <c r="FY692" s="27" t="s">
        <v>8</v>
      </c>
      <c r="FZ692" s="27" t="s">
        <v>7</v>
      </c>
      <c r="GO692" s="27" t="s">
        <v>8</v>
      </c>
      <c r="GP692" s="27" t="s">
        <v>7</v>
      </c>
      <c r="GQ692" s="27" t="s">
        <v>8</v>
      </c>
      <c r="GR692" s="27" t="s">
        <v>7</v>
      </c>
      <c r="GS692" s="27" t="s">
        <v>8</v>
      </c>
      <c r="GU692" s="27" t="s">
        <v>8</v>
      </c>
      <c r="GV692" s="27" t="s">
        <v>7</v>
      </c>
      <c r="GW692" s="27" t="s">
        <v>8</v>
      </c>
      <c r="GX692" s="27" t="s">
        <v>7</v>
      </c>
      <c r="GY692" s="27" t="s">
        <v>8</v>
      </c>
      <c r="GZ692" s="27" t="s">
        <v>7</v>
      </c>
      <c r="HA692" s="27" t="s">
        <v>8</v>
      </c>
      <c r="IF692" s="27" t="s">
        <v>7</v>
      </c>
      <c r="IH692" s="27" t="s">
        <v>7</v>
      </c>
      <c r="IN692" s="27" t="s">
        <v>7</v>
      </c>
      <c r="IO692" s="27" t="s">
        <v>8</v>
      </c>
      <c r="IP692" s="27" t="s">
        <v>7</v>
      </c>
      <c r="IQ692" s="27" t="s">
        <v>8</v>
      </c>
      <c r="IR692" s="27" t="s">
        <v>7</v>
      </c>
      <c r="IS692" s="27" t="s">
        <v>8</v>
      </c>
      <c r="IT692" s="27" t="s">
        <v>7</v>
      </c>
      <c r="IU692" s="27" t="s">
        <v>8</v>
      </c>
      <c r="IV692" s="27" t="s">
        <v>7</v>
      </c>
      <c r="IW692" s="27" t="s">
        <v>8</v>
      </c>
      <c r="IX692" s="27" t="s">
        <v>7</v>
      </c>
      <c r="IY692" s="27" t="s">
        <v>8</v>
      </c>
      <c r="IZ692" s="27" t="s">
        <v>7</v>
      </c>
      <c r="JA692" s="27" t="s">
        <v>8</v>
      </c>
      <c r="JB692" s="27" t="s">
        <v>7</v>
      </c>
      <c r="JI692" s="27" t="s">
        <v>8</v>
      </c>
      <c r="JJ692" s="27" t="s">
        <v>7</v>
      </c>
      <c r="JK692" s="27" t="s">
        <v>8</v>
      </c>
      <c r="JL692" s="27" t="s">
        <v>7</v>
      </c>
      <c r="JM692" s="27" t="s">
        <v>8</v>
      </c>
    </row>
    <row r="693" spans="1:273" x14ac:dyDescent="0.25">
      <c r="A693" s="7">
        <v>0.1225693246698436</v>
      </c>
      <c r="B693"/>
      <c r="C693"/>
      <c r="D693"/>
      <c r="E693"/>
      <c r="CJ693" s="27" t="s">
        <v>7</v>
      </c>
      <c r="CL693" s="27" t="s">
        <v>7</v>
      </c>
      <c r="CM693" s="27" t="s">
        <v>8</v>
      </c>
      <c r="CN693" s="27" t="s">
        <v>7</v>
      </c>
      <c r="CO693" s="27" t="s">
        <v>8</v>
      </c>
      <c r="CX693" s="27" t="s">
        <v>7</v>
      </c>
      <c r="CY693" s="27" t="s">
        <v>8</v>
      </c>
      <c r="CZ693" s="27" t="s">
        <v>7</v>
      </c>
      <c r="DH693" s="27" t="s">
        <v>7</v>
      </c>
      <c r="DK693" s="27" t="s">
        <v>8</v>
      </c>
      <c r="DL693" s="27" t="s">
        <v>7</v>
      </c>
      <c r="DO693" s="27" t="s">
        <v>8</v>
      </c>
      <c r="DP693" s="27" t="s">
        <v>7</v>
      </c>
      <c r="DU693" s="27" t="s">
        <v>8</v>
      </c>
      <c r="EI693" s="27" t="s">
        <v>8</v>
      </c>
      <c r="ET693" s="27" t="s">
        <v>7</v>
      </c>
      <c r="EU693" s="27" t="s">
        <v>8</v>
      </c>
      <c r="EV693" s="27" t="s">
        <v>7</v>
      </c>
      <c r="EW693" s="27" t="s">
        <v>8</v>
      </c>
      <c r="FB693" s="27" t="s">
        <v>7</v>
      </c>
      <c r="FY693" s="27" t="s">
        <v>8</v>
      </c>
      <c r="FZ693" s="27" t="s">
        <v>7</v>
      </c>
      <c r="GO693" s="27" t="s">
        <v>8</v>
      </c>
      <c r="GP693" s="27" t="s">
        <v>7</v>
      </c>
      <c r="GQ693" s="27" t="s">
        <v>8</v>
      </c>
      <c r="GR693" s="27" t="s">
        <v>7</v>
      </c>
      <c r="GS693" s="27" t="s">
        <v>8</v>
      </c>
      <c r="GT693" s="27" t="s">
        <v>7</v>
      </c>
      <c r="GU693" s="27" t="s">
        <v>8</v>
      </c>
      <c r="GV693" s="27" t="s">
        <v>7</v>
      </c>
      <c r="GX693" s="27" t="s">
        <v>7</v>
      </c>
      <c r="GY693" s="27" t="s">
        <v>8</v>
      </c>
      <c r="GZ693" s="27" t="s">
        <v>7</v>
      </c>
      <c r="HA693" s="27" t="s">
        <v>8</v>
      </c>
      <c r="IN693" s="27" t="s">
        <v>7</v>
      </c>
      <c r="IO693" s="27" t="s">
        <v>8</v>
      </c>
      <c r="IP693" s="27" t="s">
        <v>7</v>
      </c>
      <c r="IQ693" s="27" t="s">
        <v>8</v>
      </c>
      <c r="IR693" s="27" t="s">
        <v>7</v>
      </c>
      <c r="IS693" s="27" t="s">
        <v>8</v>
      </c>
      <c r="IT693" s="27" t="s">
        <v>7</v>
      </c>
      <c r="IU693" s="27" t="s">
        <v>8</v>
      </c>
      <c r="IV693" s="27" t="s">
        <v>7</v>
      </c>
      <c r="IW693" s="27" t="s">
        <v>8</v>
      </c>
      <c r="IX693" s="27" t="s">
        <v>7</v>
      </c>
      <c r="IY693" s="27" t="s">
        <v>8</v>
      </c>
      <c r="IZ693" s="27" t="s">
        <v>7</v>
      </c>
      <c r="JA693" s="27" t="s">
        <v>8</v>
      </c>
      <c r="JB693" s="27" t="s">
        <v>7</v>
      </c>
      <c r="JE693" s="27" t="s">
        <v>8</v>
      </c>
      <c r="JG693" s="27" t="s">
        <v>8</v>
      </c>
      <c r="JI693" s="27" t="s">
        <v>8</v>
      </c>
      <c r="JJ693" s="27" t="s">
        <v>7</v>
      </c>
      <c r="JK693" s="27" t="s">
        <v>8</v>
      </c>
      <c r="JL693" s="27" t="s">
        <v>7</v>
      </c>
      <c r="JM693" s="27" t="s">
        <v>8</v>
      </c>
    </row>
    <row r="694" spans="1:273" x14ac:dyDescent="0.25">
      <c r="A694" s="7">
        <v>0.12016600457827803</v>
      </c>
      <c r="B694"/>
      <c r="C694"/>
      <c r="D694"/>
      <c r="E694"/>
      <c r="CL694" s="27" t="s">
        <v>7</v>
      </c>
      <c r="CM694" s="27" t="s">
        <v>8</v>
      </c>
      <c r="CN694" s="27" t="s">
        <v>7</v>
      </c>
      <c r="CX694" s="27" t="s">
        <v>7</v>
      </c>
      <c r="CY694" s="27" t="s">
        <v>8</v>
      </c>
      <c r="DH694" s="27" t="s">
        <v>7</v>
      </c>
      <c r="DK694" s="27" t="s">
        <v>8</v>
      </c>
      <c r="DL694" s="27" t="s">
        <v>7</v>
      </c>
      <c r="DM694" s="27" t="s">
        <v>8</v>
      </c>
      <c r="DO694" s="27" t="s">
        <v>8</v>
      </c>
      <c r="DP694" s="27" t="s">
        <v>7</v>
      </c>
      <c r="DU694" s="27" t="s">
        <v>8</v>
      </c>
      <c r="DV694" s="27" t="s">
        <v>7</v>
      </c>
      <c r="EI694" s="27" t="s">
        <v>8</v>
      </c>
      <c r="ET694" s="27" t="s">
        <v>7</v>
      </c>
      <c r="EU694" s="27" t="s">
        <v>8</v>
      </c>
      <c r="EV694" s="27" t="s">
        <v>7</v>
      </c>
      <c r="FB694" s="27" t="s">
        <v>7</v>
      </c>
      <c r="FY694" s="27" t="s">
        <v>8</v>
      </c>
      <c r="FZ694" s="27" t="s">
        <v>7</v>
      </c>
      <c r="GO694" s="27" t="s">
        <v>8</v>
      </c>
      <c r="GP694" s="27" t="s">
        <v>7</v>
      </c>
      <c r="GQ694" s="27" t="s">
        <v>8</v>
      </c>
      <c r="GR694" s="27" t="s">
        <v>7</v>
      </c>
      <c r="GS694" s="27" t="s">
        <v>8</v>
      </c>
      <c r="GT694" s="27" t="s">
        <v>7</v>
      </c>
      <c r="GU694" s="27" t="s">
        <v>8</v>
      </c>
      <c r="GX694" s="27" t="s">
        <v>7</v>
      </c>
      <c r="GY694" s="27" t="s">
        <v>8</v>
      </c>
      <c r="GZ694" s="27" t="s">
        <v>7</v>
      </c>
      <c r="HA694" s="27" t="s">
        <v>8</v>
      </c>
      <c r="IN694" s="27" t="s">
        <v>7</v>
      </c>
      <c r="IO694" s="27" t="s">
        <v>8</v>
      </c>
      <c r="IP694" s="27" t="s">
        <v>7</v>
      </c>
      <c r="IQ694" s="27" t="s">
        <v>8</v>
      </c>
      <c r="IR694" s="27" t="s">
        <v>7</v>
      </c>
      <c r="IS694" s="27" t="s">
        <v>8</v>
      </c>
      <c r="IT694" s="27" t="s">
        <v>7</v>
      </c>
      <c r="IV694" s="27" t="s">
        <v>7</v>
      </c>
      <c r="IW694" s="27" t="s">
        <v>8</v>
      </c>
      <c r="IX694" s="27" t="s">
        <v>7</v>
      </c>
      <c r="IY694" s="27" t="s">
        <v>8</v>
      </c>
      <c r="IZ694" s="27" t="s">
        <v>7</v>
      </c>
      <c r="JB694" s="27" t="s">
        <v>7</v>
      </c>
      <c r="JE694" s="27" t="s">
        <v>8</v>
      </c>
      <c r="JF694" s="27" t="s">
        <v>7</v>
      </c>
      <c r="JG694" s="27" t="s">
        <v>8</v>
      </c>
      <c r="JH694" s="27" t="s">
        <v>7</v>
      </c>
      <c r="JI694" s="27" t="s">
        <v>8</v>
      </c>
      <c r="JJ694" s="27" t="s">
        <v>7</v>
      </c>
      <c r="JL694" s="27" t="s">
        <v>7</v>
      </c>
      <c r="JM694" s="27" t="s">
        <v>8</v>
      </c>
    </row>
    <row r="695" spans="1:273" x14ac:dyDescent="0.25">
      <c r="A695" s="7">
        <v>0.1178098084100765</v>
      </c>
      <c r="B695"/>
      <c r="C695"/>
      <c r="D695"/>
      <c r="E695"/>
      <c r="CL695" s="27" t="s">
        <v>7</v>
      </c>
      <c r="CM695" s="27" t="s">
        <v>8</v>
      </c>
      <c r="CX695" s="27" t="s">
        <v>7</v>
      </c>
      <c r="DH695" s="27" t="s">
        <v>7</v>
      </c>
      <c r="DI695" s="27" t="s">
        <v>8</v>
      </c>
      <c r="DK695" s="27" t="s">
        <v>8</v>
      </c>
      <c r="DL695" s="27" t="s">
        <v>7</v>
      </c>
      <c r="DM695" s="27" t="s">
        <v>8</v>
      </c>
      <c r="DN695" s="27" t="s">
        <v>7</v>
      </c>
      <c r="DO695" s="27" t="s">
        <v>8</v>
      </c>
      <c r="DP695" s="27" t="s">
        <v>7</v>
      </c>
      <c r="DU695" s="27" t="s">
        <v>8</v>
      </c>
      <c r="DV695" s="27" t="s">
        <v>7</v>
      </c>
      <c r="EC695" s="27" t="s">
        <v>8</v>
      </c>
      <c r="EE695" s="27" t="s">
        <v>8</v>
      </c>
      <c r="EI695" s="27" t="s">
        <v>8</v>
      </c>
      <c r="ET695" s="27" t="s">
        <v>7</v>
      </c>
      <c r="EU695" s="27" t="s">
        <v>8</v>
      </c>
      <c r="FB695" s="27" t="s">
        <v>7</v>
      </c>
      <c r="FC695" s="27" t="s">
        <v>8</v>
      </c>
      <c r="FE695" s="27" t="s">
        <v>8</v>
      </c>
      <c r="FY695" s="27" t="s">
        <v>8</v>
      </c>
      <c r="FZ695" s="27" t="s">
        <v>7</v>
      </c>
      <c r="GO695" s="27" t="s">
        <v>8</v>
      </c>
      <c r="GP695" s="27" t="s">
        <v>7</v>
      </c>
      <c r="GQ695" s="27" t="s">
        <v>8</v>
      </c>
      <c r="GR695" s="27" t="s">
        <v>7</v>
      </c>
      <c r="GS695" s="27" t="s">
        <v>8</v>
      </c>
      <c r="GT695" s="27" t="s">
        <v>7</v>
      </c>
      <c r="GU695" s="27" t="s">
        <v>8</v>
      </c>
      <c r="GX695" s="27" t="s">
        <v>7</v>
      </c>
      <c r="GY695" s="27" t="s">
        <v>8</v>
      </c>
      <c r="GZ695" s="27" t="s">
        <v>7</v>
      </c>
      <c r="HA695" s="27" t="s">
        <v>8</v>
      </c>
      <c r="IN695" s="27" t="s">
        <v>7</v>
      </c>
      <c r="IP695" s="27" t="s">
        <v>7</v>
      </c>
      <c r="IQ695" s="27" t="s">
        <v>8</v>
      </c>
      <c r="IR695" s="27" t="s">
        <v>7</v>
      </c>
      <c r="IS695" s="27" t="s">
        <v>8</v>
      </c>
      <c r="IV695" s="27" t="s">
        <v>7</v>
      </c>
      <c r="IX695" s="27" t="s">
        <v>7</v>
      </c>
      <c r="IY695" s="27" t="s">
        <v>8</v>
      </c>
      <c r="JB695" s="27" t="s">
        <v>7</v>
      </c>
      <c r="JC695" s="27" t="s">
        <v>8</v>
      </c>
      <c r="JE695" s="27" t="s">
        <v>8</v>
      </c>
      <c r="JF695" s="27" t="s">
        <v>7</v>
      </c>
      <c r="JG695" s="27" t="s">
        <v>8</v>
      </c>
      <c r="JH695" s="27" t="s">
        <v>7</v>
      </c>
      <c r="JI695" s="27" t="s">
        <v>8</v>
      </c>
      <c r="JL695" s="27" t="s">
        <v>7</v>
      </c>
    </row>
    <row r="696" spans="1:273" x14ac:dyDescent="0.25">
      <c r="A696" s="7">
        <v>0.11549981216674166</v>
      </c>
      <c r="B696"/>
      <c r="C696"/>
      <c r="D696"/>
      <c r="E696"/>
      <c r="CL696" s="27" t="s">
        <v>7</v>
      </c>
      <c r="CM696" s="27" t="s">
        <v>8</v>
      </c>
      <c r="DH696" s="27" t="s">
        <v>7</v>
      </c>
      <c r="DI696" s="27" t="s">
        <v>8</v>
      </c>
      <c r="DJ696" s="27" t="s">
        <v>7</v>
      </c>
      <c r="DK696" s="27" t="s">
        <v>8</v>
      </c>
      <c r="DL696" s="27" t="s">
        <v>7</v>
      </c>
      <c r="DM696" s="27" t="s">
        <v>8</v>
      </c>
      <c r="DN696" s="27" t="s">
        <v>7</v>
      </c>
      <c r="DO696" s="27" t="s">
        <v>8</v>
      </c>
      <c r="DP696" s="27" t="s">
        <v>7</v>
      </c>
      <c r="DU696" s="27" t="s">
        <v>8</v>
      </c>
      <c r="DV696" s="27" t="s">
        <v>7</v>
      </c>
      <c r="EC696" s="27" t="s">
        <v>8</v>
      </c>
      <c r="ED696" s="27" t="s">
        <v>7</v>
      </c>
      <c r="EE696" s="27" t="s">
        <v>8</v>
      </c>
      <c r="EF696" s="27" t="s">
        <v>7</v>
      </c>
      <c r="EI696" s="27" t="s">
        <v>8</v>
      </c>
      <c r="ET696" s="27" t="s">
        <v>7</v>
      </c>
      <c r="FB696" s="27" t="s">
        <v>7</v>
      </c>
      <c r="FC696" s="27" t="s">
        <v>8</v>
      </c>
      <c r="FD696" s="27" t="s">
        <v>7</v>
      </c>
      <c r="FE696" s="27" t="s">
        <v>8</v>
      </c>
      <c r="FF696" s="27" t="s">
        <v>7</v>
      </c>
      <c r="FY696" s="27" t="s">
        <v>8</v>
      </c>
      <c r="FZ696" s="27" t="s">
        <v>7</v>
      </c>
      <c r="GO696" s="27" t="s">
        <v>8</v>
      </c>
      <c r="GP696" s="27" t="s">
        <v>7</v>
      </c>
      <c r="GQ696" s="27" t="s">
        <v>8</v>
      </c>
      <c r="GR696" s="27" t="s">
        <v>7</v>
      </c>
      <c r="GT696" s="27" t="s">
        <v>7</v>
      </c>
      <c r="GX696" s="27" t="s">
        <v>7</v>
      </c>
      <c r="GY696" s="27" t="s">
        <v>8</v>
      </c>
      <c r="GZ696" s="27" t="s">
        <v>7</v>
      </c>
      <c r="HA696" s="27" t="s">
        <v>8</v>
      </c>
      <c r="IP696" s="27" t="s">
        <v>7</v>
      </c>
      <c r="IQ696" s="27" t="s">
        <v>8</v>
      </c>
      <c r="IR696" s="27" t="s">
        <v>7</v>
      </c>
      <c r="IS696" s="27" t="s">
        <v>8</v>
      </c>
      <c r="IX696" s="27" t="s">
        <v>7</v>
      </c>
      <c r="IY696" s="27" t="s">
        <v>8</v>
      </c>
      <c r="JB696" s="27" t="s">
        <v>7</v>
      </c>
      <c r="JC696" s="27" t="s">
        <v>8</v>
      </c>
      <c r="JD696" s="27" t="s">
        <v>7</v>
      </c>
      <c r="JE696" s="27" t="s">
        <v>8</v>
      </c>
      <c r="JF696" s="27" t="s">
        <v>7</v>
      </c>
      <c r="JG696" s="27" t="s">
        <v>8</v>
      </c>
      <c r="JH696" s="27" t="s">
        <v>7</v>
      </c>
      <c r="JI696" s="27" t="s">
        <v>8</v>
      </c>
    </row>
    <row r="697" spans="1:273" x14ac:dyDescent="0.25">
      <c r="A697" s="7">
        <v>0.11323510996739378</v>
      </c>
      <c r="B697"/>
      <c r="C697"/>
      <c r="D697"/>
      <c r="E697"/>
      <c r="CL697" s="27" t="s">
        <v>7</v>
      </c>
      <c r="DH697" s="27" t="s">
        <v>7</v>
      </c>
      <c r="DI697" s="27" t="s">
        <v>8</v>
      </c>
      <c r="DJ697" s="27" t="s">
        <v>7</v>
      </c>
      <c r="DK697" s="27" t="s">
        <v>8</v>
      </c>
      <c r="DL697" s="27" t="s">
        <v>7</v>
      </c>
      <c r="DM697" s="27" t="s">
        <v>8</v>
      </c>
      <c r="DN697" s="27" t="s">
        <v>7</v>
      </c>
      <c r="DO697" s="27" t="s">
        <v>8</v>
      </c>
      <c r="DP697" s="27" t="s">
        <v>7</v>
      </c>
      <c r="DU697" s="27" t="s">
        <v>8</v>
      </c>
      <c r="DV697" s="27" t="s">
        <v>7</v>
      </c>
      <c r="EC697" s="27" t="s">
        <v>8</v>
      </c>
      <c r="ED697" s="27" t="s">
        <v>7</v>
      </c>
      <c r="EE697" s="27" t="s">
        <v>8</v>
      </c>
      <c r="EF697" s="27" t="s">
        <v>7</v>
      </c>
      <c r="EI697" s="27" t="s">
        <v>8</v>
      </c>
      <c r="FB697" s="27" t="s">
        <v>7</v>
      </c>
      <c r="FC697" s="27" t="s">
        <v>8</v>
      </c>
      <c r="FD697" s="27" t="s">
        <v>7</v>
      </c>
      <c r="FE697" s="27" t="s">
        <v>8</v>
      </c>
      <c r="FF697" s="27" t="s">
        <v>7</v>
      </c>
      <c r="FI697" s="27" t="s">
        <v>8</v>
      </c>
      <c r="FY697" s="27" t="s">
        <v>8</v>
      </c>
      <c r="FZ697" s="27" t="s">
        <v>7</v>
      </c>
      <c r="GO697" s="27" t="s">
        <v>8</v>
      </c>
      <c r="GP697" s="27" t="s">
        <v>7</v>
      </c>
      <c r="GQ697" s="27" t="s">
        <v>8</v>
      </c>
      <c r="GX697" s="27" t="s">
        <v>7</v>
      </c>
      <c r="GY697" s="27" t="s">
        <v>8</v>
      </c>
      <c r="GZ697" s="27" t="s">
        <v>7</v>
      </c>
      <c r="HA697" s="27" t="s">
        <v>8</v>
      </c>
      <c r="IP697" s="27" t="s">
        <v>7</v>
      </c>
      <c r="IQ697" s="27" t="s">
        <v>8</v>
      </c>
      <c r="IR697" s="27" t="s">
        <v>7</v>
      </c>
      <c r="IS697" s="27" t="s">
        <v>8</v>
      </c>
      <c r="IX697" s="27" t="s">
        <v>7</v>
      </c>
      <c r="JB697" s="27" t="s">
        <v>7</v>
      </c>
      <c r="JC697" s="27" t="s">
        <v>8</v>
      </c>
      <c r="JD697" s="27" t="s">
        <v>7</v>
      </c>
      <c r="JE697" s="27" t="s">
        <v>8</v>
      </c>
      <c r="JF697" s="27" t="s">
        <v>7</v>
      </c>
      <c r="JG697" s="27" t="s">
        <v>8</v>
      </c>
      <c r="JH697" s="27" t="s">
        <v>7</v>
      </c>
    </row>
    <row r="698" spans="1:273" x14ac:dyDescent="0.25">
      <c r="A698" s="7">
        <v>0.11101481369352331</v>
      </c>
      <c r="B698"/>
      <c r="C698"/>
      <c r="D698"/>
      <c r="E698"/>
      <c r="DH698" s="27" t="s">
        <v>7</v>
      </c>
      <c r="DI698" s="27" t="s">
        <v>8</v>
      </c>
      <c r="DJ698" s="27" t="s">
        <v>7</v>
      </c>
      <c r="DK698" s="27" t="s">
        <v>8</v>
      </c>
      <c r="DL698" s="27" t="s">
        <v>7</v>
      </c>
      <c r="DM698" s="27" t="s">
        <v>8</v>
      </c>
      <c r="DN698" s="27" t="s">
        <v>7</v>
      </c>
      <c r="DO698" s="27" t="s">
        <v>8</v>
      </c>
      <c r="DP698" s="27" t="s">
        <v>7</v>
      </c>
      <c r="DU698" s="27" t="s">
        <v>8</v>
      </c>
      <c r="DV698" s="27" t="s">
        <v>7</v>
      </c>
      <c r="DY698" s="27" t="s">
        <v>8</v>
      </c>
      <c r="EC698" s="27" t="s">
        <v>8</v>
      </c>
      <c r="ED698" s="27" t="s">
        <v>7</v>
      </c>
      <c r="EE698" s="27" t="s">
        <v>8</v>
      </c>
      <c r="EF698" s="27" t="s">
        <v>7</v>
      </c>
      <c r="EI698" s="27" t="s">
        <v>8</v>
      </c>
      <c r="FB698" s="27" t="s">
        <v>7</v>
      </c>
      <c r="FC698" s="27" t="s">
        <v>8</v>
      </c>
      <c r="FD698" s="27" t="s">
        <v>7</v>
      </c>
      <c r="FE698" s="27" t="s">
        <v>8</v>
      </c>
      <c r="FF698" s="27" t="s">
        <v>7</v>
      </c>
      <c r="FI698" s="27" t="s">
        <v>8</v>
      </c>
      <c r="FJ698" s="27" t="s">
        <v>7</v>
      </c>
      <c r="FY698" s="27" t="s">
        <v>8</v>
      </c>
      <c r="FZ698" s="27" t="s">
        <v>7</v>
      </c>
      <c r="GO698" s="27" t="s">
        <v>8</v>
      </c>
      <c r="GP698" s="27" t="s">
        <v>7</v>
      </c>
      <c r="GQ698" s="27" t="s">
        <v>8</v>
      </c>
      <c r="GX698" s="27" t="s">
        <v>7</v>
      </c>
      <c r="GY698" s="27" t="s">
        <v>8</v>
      </c>
      <c r="GZ698" s="27" t="s">
        <v>7</v>
      </c>
      <c r="HA698" s="27" t="s">
        <v>8</v>
      </c>
      <c r="IP698" s="27" t="s">
        <v>7</v>
      </c>
      <c r="IR698" s="27" t="s">
        <v>7</v>
      </c>
      <c r="IS698" s="27" t="s">
        <v>8</v>
      </c>
      <c r="JB698" s="27" t="s">
        <v>7</v>
      </c>
      <c r="JC698" s="27" t="s">
        <v>8</v>
      </c>
      <c r="JD698" s="27" t="s">
        <v>7</v>
      </c>
      <c r="JE698" s="27" t="s">
        <v>8</v>
      </c>
      <c r="JF698" s="27" t="s">
        <v>7</v>
      </c>
      <c r="JG698" s="27" t="s">
        <v>8</v>
      </c>
    </row>
    <row r="699" spans="1:273" x14ac:dyDescent="0.25">
      <c r="A699" s="7">
        <v>0.10883805264070913</v>
      </c>
      <c r="B699"/>
      <c r="C699"/>
      <c r="D699"/>
      <c r="E699"/>
      <c r="DH699" s="27" t="s">
        <v>7</v>
      </c>
      <c r="DI699" s="27" t="s">
        <v>8</v>
      </c>
      <c r="DJ699" s="27" t="s">
        <v>7</v>
      </c>
      <c r="DK699" s="27" t="s">
        <v>8</v>
      </c>
      <c r="DL699" s="27" t="s">
        <v>7</v>
      </c>
      <c r="DN699" s="27" t="s">
        <v>7</v>
      </c>
      <c r="DO699" s="27" t="s">
        <v>8</v>
      </c>
      <c r="DP699" s="27" t="s">
        <v>7</v>
      </c>
      <c r="DU699" s="27" t="s">
        <v>8</v>
      </c>
      <c r="DV699" s="27" t="s">
        <v>7</v>
      </c>
      <c r="DY699" s="27" t="s">
        <v>8</v>
      </c>
      <c r="DZ699" s="27" t="s">
        <v>7</v>
      </c>
      <c r="EA699" s="27" t="s">
        <v>8</v>
      </c>
      <c r="EC699" s="27" t="s">
        <v>8</v>
      </c>
      <c r="ED699" s="27" t="s">
        <v>7</v>
      </c>
      <c r="EF699" s="27" t="s">
        <v>7</v>
      </c>
      <c r="EG699" s="27" t="s">
        <v>8</v>
      </c>
      <c r="EI699" s="27" t="s">
        <v>8</v>
      </c>
      <c r="FB699" s="27" t="s">
        <v>7</v>
      </c>
      <c r="FC699" s="27" t="s">
        <v>8</v>
      </c>
      <c r="FD699" s="27" t="s">
        <v>7</v>
      </c>
      <c r="FE699" s="27" t="s">
        <v>8</v>
      </c>
      <c r="FF699" s="27" t="s">
        <v>7</v>
      </c>
      <c r="FI699" s="27" t="s">
        <v>8</v>
      </c>
      <c r="FJ699" s="27" t="s">
        <v>7</v>
      </c>
      <c r="FY699" s="27" t="s">
        <v>8</v>
      </c>
      <c r="FZ699" s="27" t="s">
        <v>7</v>
      </c>
      <c r="GO699" s="27" t="s">
        <v>8</v>
      </c>
      <c r="GP699" s="27" t="s">
        <v>7</v>
      </c>
      <c r="GQ699" s="27" t="s">
        <v>8</v>
      </c>
      <c r="GX699" s="27" t="s">
        <v>7</v>
      </c>
      <c r="GZ699" s="27" t="s">
        <v>7</v>
      </c>
      <c r="IR699" s="27" t="s">
        <v>7</v>
      </c>
      <c r="JB699" s="27" t="s">
        <v>7</v>
      </c>
      <c r="JC699" s="27" t="s">
        <v>8</v>
      </c>
      <c r="JD699" s="27" t="s">
        <v>7</v>
      </c>
      <c r="JE699" s="27" t="s">
        <v>8</v>
      </c>
      <c r="JF699" s="27" t="s">
        <v>7</v>
      </c>
    </row>
    <row r="700" spans="1:273" x14ac:dyDescent="0.25">
      <c r="A700" s="7">
        <v>0.10670397317716582</v>
      </c>
      <c r="B700"/>
      <c r="C700"/>
      <c r="D700"/>
      <c r="E700"/>
      <c r="DH700" s="27" t="s">
        <v>7</v>
      </c>
      <c r="DJ700" s="27" t="s">
        <v>7</v>
      </c>
      <c r="DK700" s="27" t="s">
        <v>8</v>
      </c>
      <c r="DN700" s="27" t="s">
        <v>7</v>
      </c>
      <c r="DP700" s="27" t="s">
        <v>7</v>
      </c>
      <c r="DQ700" s="27" t="s">
        <v>8</v>
      </c>
      <c r="DU700" s="27" t="s">
        <v>8</v>
      </c>
      <c r="DV700" s="27" t="s">
        <v>7</v>
      </c>
      <c r="DY700" s="27" t="s">
        <v>8</v>
      </c>
      <c r="DZ700" s="27" t="s">
        <v>7</v>
      </c>
      <c r="EA700" s="27" t="s">
        <v>8</v>
      </c>
      <c r="EB700" s="27" t="s">
        <v>7</v>
      </c>
      <c r="EC700" s="27" t="s">
        <v>8</v>
      </c>
      <c r="EF700" s="27" t="s">
        <v>7</v>
      </c>
      <c r="EG700" s="27" t="s">
        <v>8</v>
      </c>
      <c r="EH700" s="27" t="s">
        <v>7</v>
      </c>
      <c r="EI700" s="27" t="s">
        <v>8</v>
      </c>
      <c r="FB700" s="27" t="s">
        <v>7</v>
      </c>
      <c r="FC700" s="27" t="s">
        <v>8</v>
      </c>
      <c r="FD700" s="27" t="s">
        <v>7</v>
      </c>
      <c r="FE700" s="27" t="s">
        <v>8</v>
      </c>
      <c r="FF700" s="27" t="s">
        <v>7</v>
      </c>
      <c r="FI700" s="27" t="s">
        <v>8</v>
      </c>
      <c r="FJ700" s="27" t="s">
        <v>7</v>
      </c>
      <c r="FY700" s="27" t="s">
        <v>8</v>
      </c>
      <c r="FZ700" s="27" t="s">
        <v>7</v>
      </c>
      <c r="GM700" s="27" t="s">
        <v>8</v>
      </c>
      <c r="GO700" s="27" t="s">
        <v>8</v>
      </c>
      <c r="GP700" s="27" t="s">
        <v>7</v>
      </c>
      <c r="GQ700" s="27" t="s">
        <v>8</v>
      </c>
      <c r="JB700" s="27" t="s">
        <v>7</v>
      </c>
      <c r="JC700" s="27" t="s">
        <v>8</v>
      </c>
      <c r="JD700" s="27" t="s">
        <v>7</v>
      </c>
      <c r="JE700" s="27" t="s">
        <v>8</v>
      </c>
    </row>
    <row r="701" spans="1:273" x14ac:dyDescent="0.25">
      <c r="A701" s="7">
        <v>0.1046117384089861</v>
      </c>
      <c r="B701"/>
      <c r="C701"/>
      <c r="D701"/>
      <c r="E701"/>
      <c r="DJ701" s="27" t="s">
        <v>7</v>
      </c>
      <c r="DK701" s="27" t="s">
        <v>8</v>
      </c>
      <c r="DP701" s="27" t="s">
        <v>7</v>
      </c>
      <c r="DQ701" s="27" t="s">
        <v>8</v>
      </c>
      <c r="DR701" s="27" t="s">
        <v>7</v>
      </c>
      <c r="DS701" s="27" t="s">
        <v>8</v>
      </c>
      <c r="DU701" s="27" t="s">
        <v>8</v>
      </c>
      <c r="DV701" s="27" t="s">
        <v>7</v>
      </c>
      <c r="DW701" s="27" t="s">
        <v>8</v>
      </c>
      <c r="DY701" s="27" t="s">
        <v>8</v>
      </c>
      <c r="DZ701" s="27" t="s">
        <v>7</v>
      </c>
      <c r="EA701" s="27" t="s">
        <v>8</v>
      </c>
      <c r="EB701" s="27" t="s">
        <v>7</v>
      </c>
      <c r="EC701" s="27" t="s">
        <v>8</v>
      </c>
      <c r="EF701" s="27" t="s">
        <v>7</v>
      </c>
      <c r="EG701" s="27" t="s">
        <v>8</v>
      </c>
      <c r="EH701" s="27" t="s">
        <v>7</v>
      </c>
      <c r="EI701" s="27" t="s">
        <v>8</v>
      </c>
      <c r="FB701" s="27" t="s">
        <v>7</v>
      </c>
      <c r="FD701" s="27" t="s">
        <v>7</v>
      </c>
      <c r="FE701" s="27" t="s">
        <v>8</v>
      </c>
      <c r="FF701" s="27" t="s">
        <v>7</v>
      </c>
      <c r="FI701" s="27" t="s">
        <v>8</v>
      </c>
      <c r="FJ701" s="27" t="s">
        <v>7</v>
      </c>
      <c r="FY701" s="27" t="s">
        <v>8</v>
      </c>
      <c r="FZ701" s="27" t="s">
        <v>7</v>
      </c>
      <c r="GM701" s="27" t="s">
        <v>8</v>
      </c>
      <c r="GN701" s="27" t="s">
        <v>7</v>
      </c>
      <c r="GO701" s="27" t="s">
        <v>8</v>
      </c>
      <c r="GP701" s="27" t="s">
        <v>7</v>
      </c>
      <c r="GQ701" s="27" t="s">
        <v>8</v>
      </c>
      <c r="JB701" s="27" t="s">
        <v>7</v>
      </c>
      <c r="JC701" s="27" t="s">
        <v>8</v>
      </c>
      <c r="JD701" s="27" t="s">
        <v>7</v>
      </c>
      <c r="JE701" s="27" t="s">
        <v>8</v>
      </c>
    </row>
    <row r="702" spans="1:273" x14ac:dyDescent="0.25">
      <c r="A702" s="7">
        <v>0.10256052785194716</v>
      </c>
      <c r="B702"/>
      <c r="C702"/>
      <c r="D702"/>
      <c r="E702"/>
      <c r="DJ702" s="27" t="s">
        <v>7</v>
      </c>
      <c r="DK702" s="27" t="s">
        <v>8</v>
      </c>
      <c r="DP702" s="27" t="s">
        <v>7</v>
      </c>
      <c r="DQ702" s="27" t="s">
        <v>8</v>
      </c>
      <c r="DR702" s="27" t="s">
        <v>7</v>
      </c>
      <c r="DS702" s="27" t="s">
        <v>8</v>
      </c>
      <c r="DT702" s="27" t="s">
        <v>7</v>
      </c>
      <c r="DU702" s="27" t="s">
        <v>8</v>
      </c>
      <c r="DV702" s="27" t="s">
        <v>7</v>
      </c>
      <c r="DW702" s="27" t="s">
        <v>8</v>
      </c>
      <c r="DX702" s="27" t="s">
        <v>7</v>
      </c>
      <c r="DY702" s="27" t="s">
        <v>8</v>
      </c>
      <c r="DZ702" s="27" t="s">
        <v>7</v>
      </c>
      <c r="EA702" s="27" t="s">
        <v>8</v>
      </c>
      <c r="EB702" s="27" t="s">
        <v>7</v>
      </c>
      <c r="EC702" s="27" t="s">
        <v>8</v>
      </c>
      <c r="EF702" s="27" t="s">
        <v>7</v>
      </c>
      <c r="EH702" s="27" t="s">
        <v>7</v>
      </c>
      <c r="FD702" s="27" t="s">
        <v>7</v>
      </c>
      <c r="FE702" s="27" t="s">
        <v>8</v>
      </c>
      <c r="FF702" s="27" t="s">
        <v>7</v>
      </c>
      <c r="FI702" s="27" t="s">
        <v>8</v>
      </c>
      <c r="FJ702" s="27" t="s">
        <v>7</v>
      </c>
      <c r="FY702" s="27" t="s">
        <v>8</v>
      </c>
      <c r="FZ702" s="27" t="s">
        <v>7</v>
      </c>
      <c r="GE702" s="27" t="s">
        <v>8</v>
      </c>
      <c r="GI702" s="27" t="s">
        <v>8</v>
      </c>
      <c r="GM702" s="27" t="s">
        <v>8</v>
      </c>
      <c r="GN702" s="27" t="s">
        <v>7</v>
      </c>
      <c r="GO702" s="27" t="s">
        <v>8</v>
      </c>
      <c r="GP702" s="27" t="s">
        <v>7</v>
      </c>
      <c r="GQ702" s="27" t="s">
        <v>8</v>
      </c>
      <c r="JB702" s="27" t="s">
        <v>7</v>
      </c>
      <c r="JD702" s="27" t="s">
        <v>7</v>
      </c>
      <c r="JE702" s="27" t="s">
        <v>8</v>
      </c>
    </row>
    <row r="703" spans="1:273" x14ac:dyDescent="0.25">
      <c r="A703" s="7">
        <v>0.10054953710975212</v>
      </c>
      <c r="B703"/>
      <c r="C703"/>
      <c r="D703"/>
      <c r="E703"/>
      <c r="DJ703" s="27" t="s">
        <v>7</v>
      </c>
      <c r="DK703" s="27" t="s">
        <v>8</v>
      </c>
      <c r="DP703" s="27" t="s">
        <v>7</v>
      </c>
      <c r="DQ703" s="27" t="s">
        <v>8</v>
      </c>
      <c r="DR703" s="27" t="s">
        <v>7</v>
      </c>
      <c r="DS703" s="27" t="s">
        <v>8</v>
      </c>
      <c r="DT703" s="27" t="s">
        <v>7</v>
      </c>
      <c r="DU703" s="27" t="s">
        <v>8</v>
      </c>
      <c r="DV703" s="27" t="s">
        <v>7</v>
      </c>
      <c r="DW703" s="27" t="s">
        <v>8</v>
      </c>
      <c r="DX703" s="27" t="s">
        <v>7</v>
      </c>
      <c r="DY703" s="27" t="s">
        <v>8</v>
      </c>
      <c r="DZ703" s="27" t="s">
        <v>7</v>
      </c>
      <c r="EA703" s="27" t="s">
        <v>8</v>
      </c>
      <c r="EB703" s="27" t="s">
        <v>7</v>
      </c>
      <c r="FD703" s="27" t="s">
        <v>7</v>
      </c>
      <c r="FE703" s="27" t="s">
        <v>8</v>
      </c>
      <c r="FF703" s="27" t="s">
        <v>7</v>
      </c>
      <c r="FI703" s="27" t="s">
        <v>8</v>
      </c>
      <c r="FJ703" s="27" t="s">
        <v>7</v>
      </c>
      <c r="FY703" s="27" t="s">
        <v>8</v>
      </c>
      <c r="FZ703" s="27" t="s">
        <v>7</v>
      </c>
      <c r="GC703" s="27" t="s">
        <v>8</v>
      </c>
      <c r="GE703" s="27" t="s">
        <v>8</v>
      </c>
      <c r="GF703" s="27" t="s">
        <v>7</v>
      </c>
      <c r="GI703" s="27" t="s">
        <v>8</v>
      </c>
      <c r="GJ703" s="27" t="s">
        <v>7</v>
      </c>
      <c r="GM703" s="27" t="s">
        <v>8</v>
      </c>
      <c r="GN703" s="27" t="s">
        <v>7</v>
      </c>
      <c r="GO703" s="27" t="s">
        <v>8</v>
      </c>
      <c r="GP703" s="27" t="s">
        <v>7</v>
      </c>
      <c r="GQ703" s="27" t="s">
        <v>8</v>
      </c>
      <c r="JD703" s="27" t="s">
        <v>7</v>
      </c>
      <c r="JE703" s="27" t="s">
        <v>8</v>
      </c>
    </row>
    <row r="704" spans="1:273" x14ac:dyDescent="0.25">
      <c r="A704" s="7">
        <v>9.8577977558580512E-2</v>
      </c>
      <c r="B704"/>
      <c r="C704"/>
      <c r="D704"/>
      <c r="E704"/>
      <c r="DJ704" s="27" t="s">
        <v>7</v>
      </c>
      <c r="DK704" s="27" t="s">
        <v>8</v>
      </c>
      <c r="DP704" s="27" t="s">
        <v>7</v>
      </c>
      <c r="DR704" s="27" t="s">
        <v>7</v>
      </c>
      <c r="DT704" s="27" t="s">
        <v>7</v>
      </c>
      <c r="DU704" s="27" t="s">
        <v>8</v>
      </c>
      <c r="DV704" s="27" t="s">
        <v>7</v>
      </c>
      <c r="DW704" s="27" t="s">
        <v>8</v>
      </c>
      <c r="DX704" s="27" t="s">
        <v>7</v>
      </c>
      <c r="DY704" s="27" t="s">
        <v>8</v>
      </c>
      <c r="DZ704" s="27" t="s">
        <v>7</v>
      </c>
      <c r="EA704" s="27" t="s">
        <v>8</v>
      </c>
      <c r="FD704" s="27" t="s">
        <v>7</v>
      </c>
      <c r="FE704" s="27" t="s">
        <v>8</v>
      </c>
      <c r="FF704" s="27" t="s">
        <v>7</v>
      </c>
      <c r="FI704" s="27" t="s">
        <v>8</v>
      </c>
      <c r="FJ704" s="27" t="s">
        <v>7</v>
      </c>
      <c r="FM704" s="27" t="s">
        <v>8</v>
      </c>
      <c r="FQ704" s="27" t="s">
        <v>8</v>
      </c>
      <c r="FY704" s="27" t="s">
        <v>8</v>
      </c>
      <c r="FZ704" s="27" t="s">
        <v>7</v>
      </c>
      <c r="GC704" s="27" t="s">
        <v>8</v>
      </c>
      <c r="GD704" s="27" t="s">
        <v>7</v>
      </c>
      <c r="GE704" s="27" t="s">
        <v>8</v>
      </c>
      <c r="GF704" s="27" t="s">
        <v>7</v>
      </c>
      <c r="GG704" s="27" t="s">
        <v>8</v>
      </c>
      <c r="GI704" s="27" t="s">
        <v>8</v>
      </c>
      <c r="GJ704" s="27" t="s">
        <v>7</v>
      </c>
      <c r="GK704" s="27" t="s">
        <v>8</v>
      </c>
      <c r="GM704" s="27" t="s">
        <v>8</v>
      </c>
      <c r="GN704" s="27" t="s">
        <v>7</v>
      </c>
      <c r="GO704" s="27" t="s">
        <v>8</v>
      </c>
      <c r="GP704" s="27" t="s">
        <v>7</v>
      </c>
      <c r="JD704" s="27" t="s">
        <v>7</v>
      </c>
    </row>
    <row r="705" spans="1:197" x14ac:dyDescent="0.25">
      <c r="A705" s="7">
        <v>9.6645076037824032E-2</v>
      </c>
      <c r="B705"/>
      <c r="C705"/>
      <c r="D705"/>
      <c r="E705"/>
      <c r="DJ705" s="27" t="s">
        <v>7</v>
      </c>
      <c r="DK705" s="27" t="s">
        <v>8</v>
      </c>
      <c r="DT705" s="27" t="s">
        <v>7</v>
      </c>
      <c r="DU705" s="27" t="s">
        <v>8</v>
      </c>
      <c r="DV705" s="27" t="s">
        <v>7</v>
      </c>
      <c r="DW705" s="27" t="s">
        <v>8</v>
      </c>
      <c r="DX705" s="27" t="s">
        <v>7</v>
      </c>
      <c r="DZ705" s="27" t="s">
        <v>7</v>
      </c>
      <c r="FD705" s="27" t="s">
        <v>7</v>
      </c>
      <c r="FE705" s="27" t="s">
        <v>8</v>
      </c>
      <c r="FF705" s="27" t="s">
        <v>7</v>
      </c>
      <c r="FI705" s="27" t="s">
        <v>8</v>
      </c>
      <c r="FJ705" s="27" t="s">
        <v>7</v>
      </c>
      <c r="FM705" s="27" t="s">
        <v>8</v>
      </c>
      <c r="FN705" s="27" t="s">
        <v>7</v>
      </c>
      <c r="FQ705" s="27" t="s">
        <v>8</v>
      </c>
      <c r="FR705" s="27" t="s">
        <v>7</v>
      </c>
      <c r="FY705" s="27" t="s">
        <v>8</v>
      </c>
      <c r="FZ705" s="27" t="s">
        <v>7</v>
      </c>
      <c r="GA705" s="27" t="s">
        <v>8</v>
      </c>
      <c r="GC705" s="27" t="s">
        <v>8</v>
      </c>
      <c r="GD705" s="27" t="s">
        <v>7</v>
      </c>
      <c r="GE705" s="27" t="s">
        <v>8</v>
      </c>
      <c r="GF705" s="27" t="s">
        <v>7</v>
      </c>
      <c r="GG705" s="27" t="s">
        <v>8</v>
      </c>
      <c r="GH705" s="27" t="s">
        <v>7</v>
      </c>
      <c r="GI705" s="27" t="s">
        <v>8</v>
      </c>
      <c r="GJ705" s="27" t="s">
        <v>7</v>
      </c>
      <c r="GK705" s="27" t="s">
        <v>8</v>
      </c>
      <c r="GL705" s="27" t="s">
        <v>7</v>
      </c>
      <c r="GM705" s="27" t="s">
        <v>8</v>
      </c>
      <c r="GN705" s="27" t="s">
        <v>7</v>
      </c>
      <c r="GO705" s="27" t="s">
        <v>8</v>
      </c>
    </row>
    <row r="706" spans="1:197" x14ac:dyDescent="0.25">
      <c r="A706" s="7">
        <v>9.4750074546886304E-2</v>
      </c>
      <c r="B706"/>
      <c r="C706"/>
      <c r="D706"/>
      <c r="E706"/>
      <c r="DJ706" s="27" t="s">
        <v>7</v>
      </c>
      <c r="DK706" s="27" t="s">
        <v>8</v>
      </c>
      <c r="DT706" s="27" t="s">
        <v>7</v>
      </c>
      <c r="DU706" s="27" t="s">
        <v>8</v>
      </c>
      <c r="DV706" s="27" t="s">
        <v>7</v>
      </c>
      <c r="DW706" s="27" t="s">
        <v>8</v>
      </c>
      <c r="FD706" s="27" t="s">
        <v>7</v>
      </c>
      <c r="FE706" s="27" t="s">
        <v>8</v>
      </c>
      <c r="FF706" s="27" t="s">
        <v>7</v>
      </c>
      <c r="FI706" s="27" t="s">
        <v>8</v>
      </c>
      <c r="FJ706" s="27" t="s">
        <v>7</v>
      </c>
      <c r="FM706" s="27" t="s">
        <v>8</v>
      </c>
      <c r="FN706" s="27" t="s">
        <v>7</v>
      </c>
      <c r="FQ706" s="27" t="s">
        <v>8</v>
      </c>
      <c r="FR706" s="27" t="s">
        <v>7</v>
      </c>
      <c r="FY706" s="27" t="s">
        <v>8</v>
      </c>
      <c r="FZ706" s="27" t="s">
        <v>7</v>
      </c>
      <c r="GA706" s="27" t="s">
        <v>8</v>
      </c>
      <c r="GB706" s="27" t="s">
        <v>7</v>
      </c>
      <c r="GC706" s="27" t="s">
        <v>8</v>
      </c>
      <c r="GD706" s="27" t="s">
        <v>7</v>
      </c>
      <c r="GE706" s="27" t="s">
        <v>8</v>
      </c>
      <c r="GF706" s="27" t="s">
        <v>7</v>
      </c>
      <c r="GG706" s="27" t="s">
        <v>8</v>
      </c>
      <c r="GH706" s="27" t="s">
        <v>7</v>
      </c>
      <c r="GI706" s="27" t="s">
        <v>8</v>
      </c>
      <c r="GJ706" s="27" t="s">
        <v>7</v>
      </c>
      <c r="GK706" s="27" t="s">
        <v>8</v>
      </c>
      <c r="GL706" s="27" t="s">
        <v>7</v>
      </c>
      <c r="GM706" s="27" t="s">
        <v>8</v>
      </c>
      <c r="GN706" s="27" t="s">
        <v>7</v>
      </c>
      <c r="GO706" s="27" t="s">
        <v>8</v>
      </c>
    </row>
    <row r="707" spans="1:197" x14ac:dyDescent="0.25">
      <c r="A707" s="7">
        <v>9.2892229947927743E-2</v>
      </c>
      <c r="B707"/>
      <c r="C707"/>
      <c r="D707"/>
      <c r="E707"/>
      <c r="DJ707" s="27" t="s">
        <v>7</v>
      </c>
      <c r="DK707" s="27" t="s">
        <v>8</v>
      </c>
      <c r="DT707" s="27" t="s">
        <v>7</v>
      </c>
      <c r="DU707" s="27" t="s">
        <v>8</v>
      </c>
      <c r="DV707" s="27" t="s">
        <v>7</v>
      </c>
      <c r="FD707" s="27" t="s">
        <v>7</v>
      </c>
      <c r="FE707" s="27" t="s">
        <v>8</v>
      </c>
      <c r="FF707" s="27" t="s">
        <v>7</v>
      </c>
      <c r="FI707" s="27" t="s">
        <v>8</v>
      </c>
      <c r="FJ707" s="27" t="s">
        <v>7</v>
      </c>
      <c r="FM707" s="27" t="s">
        <v>8</v>
      </c>
      <c r="FN707" s="27" t="s">
        <v>7</v>
      </c>
      <c r="FQ707" s="27" t="s">
        <v>8</v>
      </c>
      <c r="FR707" s="27" t="s">
        <v>7</v>
      </c>
      <c r="FS707" s="27" t="s">
        <v>8</v>
      </c>
      <c r="FY707" s="27" t="s">
        <v>8</v>
      </c>
      <c r="FZ707" s="27" t="s">
        <v>7</v>
      </c>
      <c r="GA707" s="27" t="s">
        <v>8</v>
      </c>
      <c r="GB707" s="27" t="s">
        <v>7</v>
      </c>
      <c r="GC707" s="27" t="s">
        <v>8</v>
      </c>
      <c r="GD707" s="27" t="s">
        <v>7</v>
      </c>
      <c r="GF707" s="27" t="s">
        <v>7</v>
      </c>
      <c r="GG707" s="27" t="s">
        <v>8</v>
      </c>
      <c r="GH707" s="27" t="s">
        <v>7</v>
      </c>
      <c r="GI707" s="27" t="s">
        <v>8</v>
      </c>
      <c r="GJ707" s="27" t="s">
        <v>7</v>
      </c>
      <c r="GK707" s="27" t="s">
        <v>8</v>
      </c>
      <c r="GL707" s="27" t="s">
        <v>7</v>
      </c>
      <c r="GM707" s="27" t="s">
        <v>8</v>
      </c>
      <c r="GN707" s="27" t="s">
        <v>7</v>
      </c>
    </row>
    <row r="708" spans="1:197" x14ac:dyDescent="0.25">
      <c r="A708" s="7">
        <v>9.1070813674438963E-2</v>
      </c>
      <c r="B708"/>
      <c r="C708"/>
      <c r="D708"/>
      <c r="E708"/>
      <c r="DJ708" s="27" t="s">
        <v>7</v>
      </c>
      <c r="DK708" s="27" t="s">
        <v>8</v>
      </c>
      <c r="DT708" s="27" t="s">
        <v>7</v>
      </c>
      <c r="DU708" s="27" t="s">
        <v>8</v>
      </c>
      <c r="FD708" s="27" t="s">
        <v>7</v>
      </c>
      <c r="FE708" s="27" t="s">
        <v>8</v>
      </c>
      <c r="FF708" s="27" t="s">
        <v>7</v>
      </c>
      <c r="FI708" s="27" t="s">
        <v>8</v>
      </c>
      <c r="FJ708" s="27" t="s">
        <v>7</v>
      </c>
      <c r="FM708" s="27" t="s">
        <v>8</v>
      </c>
      <c r="FN708" s="27" t="s">
        <v>7</v>
      </c>
      <c r="FQ708" s="27" t="s">
        <v>8</v>
      </c>
      <c r="FR708" s="27" t="s">
        <v>7</v>
      </c>
      <c r="FS708" s="27" t="s">
        <v>8</v>
      </c>
      <c r="FT708" s="27" t="s">
        <v>7</v>
      </c>
      <c r="FY708" s="27" t="s">
        <v>8</v>
      </c>
      <c r="FZ708" s="27" t="s">
        <v>7</v>
      </c>
      <c r="GA708" s="27" t="s">
        <v>8</v>
      </c>
      <c r="GB708" s="27" t="s">
        <v>7</v>
      </c>
      <c r="GF708" s="27" t="s">
        <v>7</v>
      </c>
      <c r="GH708" s="27" t="s">
        <v>7</v>
      </c>
      <c r="GI708" s="27" t="s">
        <v>8</v>
      </c>
      <c r="GJ708" s="27" t="s">
        <v>7</v>
      </c>
      <c r="GK708" s="27" t="s">
        <v>8</v>
      </c>
      <c r="GL708" s="27" t="s">
        <v>7</v>
      </c>
      <c r="GM708" s="27" t="s">
        <v>8</v>
      </c>
    </row>
    <row r="709" spans="1:197" x14ac:dyDescent="0.25">
      <c r="A709" s="7">
        <v>8.9285111445528392E-2</v>
      </c>
      <c r="B709"/>
      <c r="C709"/>
      <c r="D709"/>
      <c r="E709"/>
      <c r="DJ709" s="27" t="s">
        <v>7</v>
      </c>
      <c r="DK709" s="27" t="s">
        <v>8</v>
      </c>
      <c r="DT709" s="27" t="s">
        <v>7</v>
      </c>
      <c r="FD709" s="27" t="s">
        <v>7</v>
      </c>
      <c r="FE709" s="27" t="s">
        <v>8</v>
      </c>
      <c r="FF709" s="27" t="s">
        <v>7</v>
      </c>
      <c r="FI709" s="27" t="s">
        <v>8</v>
      </c>
      <c r="FJ709" s="27" t="s">
        <v>7</v>
      </c>
      <c r="FM709" s="27" t="s">
        <v>8</v>
      </c>
      <c r="FN709" s="27" t="s">
        <v>7</v>
      </c>
      <c r="FQ709" s="27" t="s">
        <v>8</v>
      </c>
      <c r="FR709" s="27" t="s">
        <v>7</v>
      </c>
      <c r="FS709" s="27" t="s">
        <v>8</v>
      </c>
      <c r="FT709" s="27" t="s">
        <v>7</v>
      </c>
      <c r="FY709" s="27" t="s">
        <v>8</v>
      </c>
      <c r="FZ709" s="27" t="s">
        <v>7</v>
      </c>
      <c r="GA709" s="27" t="s">
        <v>8</v>
      </c>
      <c r="GH709" s="27" t="s">
        <v>7</v>
      </c>
      <c r="GJ709" s="27" t="s">
        <v>7</v>
      </c>
      <c r="GK709" s="27" t="s">
        <v>8</v>
      </c>
      <c r="GL709" s="27" t="s">
        <v>7</v>
      </c>
    </row>
    <row r="710" spans="1:197" x14ac:dyDescent="0.25">
      <c r="A710" s="7">
        <v>8.7534422985812155E-2</v>
      </c>
      <c r="B710"/>
      <c r="C710"/>
      <c r="D710"/>
      <c r="E710"/>
      <c r="DJ710" s="27" t="s">
        <v>7</v>
      </c>
      <c r="DK710" s="27" t="s">
        <v>8</v>
      </c>
      <c r="FD710" s="27" t="s">
        <v>7</v>
      </c>
      <c r="FE710" s="27" t="s">
        <v>8</v>
      </c>
      <c r="FF710" s="27" t="s">
        <v>7</v>
      </c>
      <c r="FI710" s="27" t="s">
        <v>8</v>
      </c>
      <c r="FJ710" s="27" t="s">
        <v>7</v>
      </c>
      <c r="FK710" s="27" t="s">
        <v>8</v>
      </c>
      <c r="FM710" s="27" t="s">
        <v>8</v>
      </c>
      <c r="FN710" s="27" t="s">
        <v>7</v>
      </c>
      <c r="FQ710" s="27" t="s">
        <v>8</v>
      </c>
      <c r="FR710" s="27" t="s">
        <v>7</v>
      </c>
      <c r="FS710" s="27" t="s">
        <v>8</v>
      </c>
      <c r="FT710" s="27" t="s">
        <v>7</v>
      </c>
      <c r="FU710" s="27" t="s">
        <v>8</v>
      </c>
      <c r="FY710" s="27" t="s">
        <v>8</v>
      </c>
      <c r="FZ710" s="27" t="s">
        <v>7</v>
      </c>
      <c r="GA710" s="27" t="s">
        <v>8</v>
      </c>
      <c r="GJ710" s="27" t="s">
        <v>7</v>
      </c>
      <c r="GK710" s="27" t="s">
        <v>8</v>
      </c>
    </row>
    <row r="711" spans="1:197" x14ac:dyDescent="0.25">
      <c r="A711" s="7">
        <v>8.5818061750796232E-2</v>
      </c>
      <c r="B711"/>
      <c r="C711"/>
      <c r="D711"/>
      <c r="E711"/>
      <c r="DJ711" s="27" t="s">
        <v>7</v>
      </c>
      <c r="FD711" s="27" t="s">
        <v>7</v>
      </c>
      <c r="FE711" s="27" t="s">
        <v>8</v>
      </c>
      <c r="FF711" s="27" t="s">
        <v>7</v>
      </c>
      <c r="FI711" s="27" t="s">
        <v>8</v>
      </c>
      <c r="FJ711" s="27" t="s">
        <v>7</v>
      </c>
      <c r="FK711" s="27" t="s">
        <v>8</v>
      </c>
      <c r="FL711" s="27" t="s">
        <v>7</v>
      </c>
      <c r="FM711" s="27" t="s">
        <v>8</v>
      </c>
      <c r="FN711" s="27" t="s">
        <v>7</v>
      </c>
      <c r="FQ711" s="27" t="s">
        <v>8</v>
      </c>
      <c r="FR711" s="27" t="s">
        <v>7</v>
      </c>
      <c r="FS711" s="27" t="s">
        <v>8</v>
      </c>
      <c r="FT711" s="27" t="s">
        <v>7</v>
      </c>
      <c r="FU711" s="27" t="s">
        <v>8</v>
      </c>
      <c r="FV711" s="27" t="s">
        <v>7</v>
      </c>
      <c r="FW711" s="27" t="s">
        <v>8</v>
      </c>
      <c r="FY711" s="27" t="s">
        <v>8</v>
      </c>
      <c r="FZ711" s="27" t="s">
        <v>7</v>
      </c>
      <c r="GA711" s="27" t="s">
        <v>8</v>
      </c>
      <c r="GJ711" s="27" t="s">
        <v>7</v>
      </c>
      <c r="GK711" s="27" t="s">
        <v>8</v>
      </c>
    </row>
    <row r="712" spans="1:197" x14ac:dyDescent="0.25">
      <c r="A712" s="7">
        <v>8.4135354657643366E-2</v>
      </c>
      <c r="B712"/>
      <c r="C712"/>
      <c r="D712"/>
      <c r="E712"/>
      <c r="FD712" s="27" t="s">
        <v>7</v>
      </c>
      <c r="FE712" s="27" t="s">
        <v>8</v>
      </c>
      <c r="FF712" s="27" t="s">
        <v>7</v>
      </c>
      <c r="FI712" s="27" t="s">
        <v>8</v>
      </c>
      <c r="FJ712" s="27" t="s">
        <v>7</v>
      </c>
      <c r="FK712" s="27" t="s">
        <v>8</v>
      </c>
      <c r="FL712" s="27" t="s">
        <v>7</v>
      </c>
      <c r="FM712" s="27" t="s">
        <v>8</v>
      </c>
      <c r="FN712" s="27" t="s">
        <v>7</v>
      </c>
      <c r="FO712" s="27" t="s">
        <v>8</v>
      </c>
      <c r="FQ712" s="27" t="s">
        <v>8</v>
      </c>
      <c r="FR712" s="27" t="s">
        <v>7</v>
      </c>
      <c r="FS712" s="27" t="s">
        <v>8</v>
      </c>
      <c r="FT712" s="27" t="s">
        <v>7</v>
      </c>
      <c r="FU712" s="27" t="s">
        <v>8</v>
      </c>
      <c r="FV712" s="27" t="s">
        <v>7</v>
      </c>
      <c r="FW712" s="27" t="s">
        <v>8</v>
      </c>
      <c r="FX712" s="27" t="s">
        <v>7</v>
      </c>
      <c r="FY712" s="27" t="s">
        <v>8</v>
      </c>
      <c r="FZ712" s="27" t="s">
        <v>7</v>
      </c>
      <c r="GA712" s="27" t="s">
        <v>8</v>
      </c>
      <c r="GJ712" s="27" t="s">
        <v>7</v>
      </c>
      <c r="GK712" s="27" t="s">
        <v>8</v>
      </c>
    </row>
    <row r="713" spans="1:197" x14ac:dyDescent="0.25">
      <c r="A713" s="7">
        <v>8.248564182121898E-2</v>
      </c>
      <c r="B713"/>
      <c r="C713"/>
      <c r="D713"/>
      <c r="E713"/>
      <c r="FD713" s="27" t="s">
        <v>7</v>
      </c>
      <c r="FE713" s="27" t="s">
        <v>8</v>
      </c>
      <c r="FF713" s="27" t="s">
        <v>7</v>
      </c>
      <c r="FI713" s="27" t="s">
        <v>8</v>
      </c>
      <c r="FJ713" s="27" t="s">
        <v>7</v>
      </c>
      <c r="FK713" s="27" t="s">
        <v>8</v>
      </c>
      <c r="FL713" s="27" t="s">
        <v>7</v>
      </c>
      <c r="FM713" s="27" t="s">
        <v>8</v>
      </c>
      <c r="FN713" s="27" t="s">
        <v>7</v>
      </c>
      <c r="FO713" s="27" t="s">
        <v>8</v>
      </c>
      <c r="FP713" s="27" t="s">
        <v>7</v>
      </c>
      <c r="FQ713" s="27" t="s">
        <v>8</v>
      </c>
      <c r="FR713" s="27" t="s">
        <v>7</v>
      </c>
      <c r="FS713" s="27" t="s">
        <v>8</v>
      </c>
      <c r="FT713" s="27" t="s">
        <v>7</v>
      </c>
      <c r="FU713" s="27" t="s">
        <v>8</v>
      </c>
      <c r="FV713" s="27" t="s">
        <v>7</v>
      </c>
      <c r="FW713" s="27" t="s">
        <v>8</v>
      </c>
      <c r="FX713" s="27" t="s">
        <v>7</v>
      </c>
      <c r="FY713" s="27" t="s">
        <v>8</v>
      </c>
      <c r="FZ713" s="27" t="s">
        <v>7</v>
      </c>
      <c r="GJ713" s="27" t="s">
        <v>7</v>
      </c>
    </row>
    <row r="714" spans="1:197" x14ac:dyDescent="0.25">
      <c r="A714" s="7">
        <v>8.0868276295312735E-2</v>
      </c>
      <c r="B714"/>
      <c r="C714"/>
      <c r="D714"/>
      <c r="E714"/>
      <c r="FD714" s="27" t="s">
        <v>7</v>
      </c>
      <c r="FE714" s="27" t="s">
        <v>8</v>
      </c>
      <c r="FF714" s="27" t="s">
        <v>7</v>
      </c>
      <c r="FI714" s="27" t="s">
        <v>8</v>
      </c>
      <c r="FJ714" s="27" t="s">
        <v>7</v>
      </c>
      <c r="FK714" s="27" t="s">
        <v>8</v>
      </c>
      <c r="FL714" s="27" t="s">
        <v>7</v>
      </c>
      <c r="FM714" s="27" t="s">
        <v>8</v>
      </c>
      <c r="FN714" s="27" t="s">
        <v>7</v>
      </c>
      <c r="FO714" s="27" t="s">
        <v>8</v>
      </c>
      <c r="FP714" s="27" t="s">
        <v>7</v>
      </c>
      <c r="FQ714" s="27" t="s">
        <v>8</v>
      </c>
      <c r="FR714" s="27" t="s">
        <v>7</v>
      </c>
      <c r="FT714" s="27" t="s">
        <v>7</v>
      </c>
      <c r="FV714" s="27" t="s">
        <v>7</v>
      </c>
      <c r="FX714" s="27" t="s">
        <v>7</v>
      </c>
      <c r="FY714" s="27" t="s">
        <v>8</v>
      </c>
    </row>
    <row r="715" spans="1:197" x14ac:dyDescent="0.25">
      <c r="A715" s="7">
        <v>7.9282623818934056E-2</v>
      </c>
      <c r="B715"/>
      <c r="C715"/>
      <c r="D715"/>
      <c r="E715"/>
      <c r="FD715" s="27" t="s">
        <v>7</v>
      </c>
      <c r="FE715" s="27" t="s">
        <v>8</v>
      </c>
      <c r="FF715" s="27" t="s">
        <v>7</v>
      </c>
      <c r="FG715" s="27" t="s">
        <v>8</v>
      </c>
      <c r="FI715" s="27" t="s">
        <v>8</v>
      </c>
      <c r="FJ715" s="27" t="s">
        <v>7</v>
      </c>
      <c r="FK715" s="27" t="s">
        <v>8</v>
      </c>
      <c r="FL715" s="27" t="s">
        <v>7</v>
      </c>
      <c r="FM715" s="27" t="s">
        <v>8</v>
      </c>
      <c r="FN715" s="27" t="s">
        <v>7</v>
      </c>
      <c r="FO715" s="27" t="s">
        <v>8</v>
      </c>
      <c r="FP715" s="27" t="s">
        <v>7</v>
      </c>
      <c r="FX715" s="27" t="s">
        <v>7</v>
      </c>
    </row>
    <row r="716" spans="1:197" x14ac:dyDescent="0.25">
      <c r="A716" s="7">
        <v>7.7728062567582412E-2</v>
      </c>
      <c r="B716"/>
      <c r="C716"/>
      <c r="D716"/>
      <c r="E716"/>
      <c r="FD716" s="27" t="s">
        <v>7</v>
      </c>
      <c r="FE716" s="27" t="s">
        <v>8</v>
      </c>
      <c r="FF716" s="27" t="s">
        <v>7</v>
      </c>
      <c r="FG716" s="27" t="s">
        <v>8</v>
      </c>
      <c r="FH716" s="27" t="s">
        <v>7</v>
      </c>
      <c r="FI716" s="27" t="s">
        <v>8</v>
      </c>
      <c r="FJ716" s="27" t="s">
        <v>7</v>
      </c>
      <c r="FK716" s="27" t="s">
        <v>8</v>
      </c>
      <c r="FL716" s="27" t="s">
        <v>7</v>
      </c>
      <c r="FN716" s="27" t="s">
        <v>7</v>
      </c>
      <c r="FO716" s="27" t="s">
        <v>8</v>
      </c>
    </row>
    <row r="717" spans="1:197" x14ac:dyDescent="0.25">
      <c r="A717" s="7">
        <v>7.6203982909394521E-2</v>
      </c>
      <c r="B717"/>
      <c r="C717"/>
      <c r="D717"/>
      <c r="E717"/>
      <c r="FD717" s="27" t="s">
        <v>7</v>
      </c>
      <c r="FE717" s="27" t="s">
        <v>8</v>
      </c>
      <c r="FF717" s="27" t="s">
        <v>7</v>
      </c>
      <c r="FG717" s="27" t="s">
        <v>8</v>
      </c>
      <c r="FH717" s="27" t="s">
        <v>7</v>
      </c>
      <c r="FI717" s="27" t="s">
        <v>8</v>
      </c>
      <c r="FJ717" s="27" t="s">
        <v>7</v>
      </c>
      <c r="FK717" s="27" t="s">
        <v>8</v>
      </c>
      <c r="FN717" s="27" t="s">
        <v>7</v>
      </c>
    </row>
    <row r="718" spans="1:197" x14ac:dyDescent="0.25">
      <c r="A718" s="7">
        <v>7.4709787166073058E-2</v>
      </c>
      <c r="B718"/>
      <c r="C718"/>
      <c r="D718"/>
      <c r="E718"/>
      <c r="FD718" s="27" t="s">
        <v>7</v>
      </c>
      <c r="FE718" s="27" t="s">
        <v>8</v>
      </c>
      <c r="FF718" s="27" t="s">
        <v>7</v>
      </c>
      <c r="FG718" s="27" t="s">
        <v>8</v>
      </c>
      <c r="FH718" s="27" t="s">
        <v>7</v>
      </c>
      <c r="FI718" s="27" t="s">
        <v>8</v>
      </c>
      <c r="FJ718" s="27" t="s">
        <v>7</v>
      </c>
      <c r="FK718" s="27" t="s">
        <v>8</v>
      </c>
    </row>
    <row r="719" spans="1:197" x14ac:dyDescent="0.25">
      <c r="A719" s="7">
        <v>7.3244889378503E-2</v>
      </c>
      <c r="B719"/>
      <c r="C719"/>
      <c r="D719"/>
      <c r="E719"/>
      <c r="FD719" s="27" t="s">
        <v>7</v>
      </c>
      <c r="FE719" s="27" t="s">
        <v>8</v>
      </c>
      <c r="FF719" s="27" t="s">
        <v>7</v>
      </c>
      <c r="FG719" s="27" t="s">
        <v>8</v>
      </c>
      <c r="FH719" s="27" t="s">
        <v>7</v>
      </c>
      <c r="FI719" s="27" t="s">
        <v>8</v>
      </c>
      <c r="FJ719" s="27" t="s">
        <v>7</v>
      </c>
    </row>
    <row r="720" spans="1:197" x14ac:dyDescent="0.25">
      <c r="A720" s="7">
        <v>7.1808715076963722E-2</v>
      </c>
      <c r="B720"/>
      <c r="C720"/>
      <c r="D720"/>
      <c r="E720"/>
      <c r="FD720" s="27" t="s">
        <v>7</v>
      </c>
      <c r="FE720" s="27" t="s">
        <v>8</v>
      </c>
      <c r="FF720" s="27" t="s">
        <v>7</v>
      </c>
      <c r="FG720" s="27" t="s">
        <v>8</v>
      </c>
      <c r="FH720" s="27" t="s">
        <v>7</v>
      </c>
      <c r="FI720" s="27" t="s">
        <v>8</v>
      </c>
    </row>
    <row r="721" spans="1:165" x14ac:dyDescent="0.25">
      <c r="A721" s="7">
        <v>7.0400701055846782E-2</v>
      </c>
      <c r="B721"/>
      <c r="C721"/>
      <c r="D721"/>
      <c r="E721"/>
      <c r="FD721" s="27" t="s">
        <v>7</v>
      </c>
      <c r="FE721" s="27" t="s">
        <v>8</v>
      </c>
      <c r="FF721" s="27" t="s">
        <v>7</v>
      </c>
      <c r="FG721" s="27" t="s">
        <v>8</v>
      </c>
      <c r="FH721" s="27" t="s">
        <v>7</v>
      </c>
      <c r="FI721" s="27" t="s">
        <v>8</v>
      </c>
    </row>
    <row r="722" spans="1:165" x14ac:dyDescent="0.25">
      <c r="A722" s="7">
        <v>6.9020295152790956E-2</v>
      </c>
      <c r="B722"/>
      <c r="C722"/>
      <c r="D722"/>
      <c r="E722"/>
      <c r="FD722" s="27" t="s">
        <v>7</v>
      </c>
      <c r="FE722" s="27" t="s">
        <v>8</v>
      </c>
      <c r="FF722" s="27" t="s">
        <v>7</v>
      </c>
      <c r="FG722" s="27" t="s">
        <v>8</v>
      </c>
      <c r="FH722" s="27" t="s">
        <v>7</v>
      </c>
      <c r="FI722" s="27" t="s">
        <v>8</v>
      </c>
    </row>
    <row r="723" spans="1:165" x14ac:dyDescent="0.25">
      <c r="A723" s="7">
        <v>6.7666956032147993E-2</v>
      </c>
      <c r="B723"/>
      <c r="C723"/>
      <c r="D723"/>
      <c r="E723"/>
      <c r="FD723" s="27" t="s">
        <v>7</v>
      </c>
      <c r="FE723" s="27" t="s">
        <v>8</v>
      </c>
      <c r="FF723" s="27" t="s">
        <v>7</v>
      </c>
      <c r="FG723" s="27" t="s">
        <v>8</v>
      </c>
      <c r="FH723" s="27" t="s">
        <v>7</v>
      </c>
      <c r="FI723" s="27" t="s">
        <v>8</v>
      </c>
    </row>
    <row r="724" spans="1:165" x14ac:dyDescent="0.25">
      <c r="A724" s="7">
        <v>6.6340152972694105E-2</v>
      </c>
      <c r="B724"/>
      <c r="C724"/>
      <c r="D724"/>
      <c r="E724"/>
      <c r="FD724" s="27" t="s">
        <v>7</v>
      </c>
      <c r="FE724" s="27" t="s">
        <v>8</v>
      </c>
      <c r="FF724" s="27" t="s">
        <v>7</v>
      </c>
      <c r="FG724" s="27" t="s">
        <v>8</v>
      </c>
      <c r="FH724" s="27" t="s">
        <v>7</v>
      </c>
      <c r="FI724" s="27" t="s">
        <v>8</v>
      </c>
    </row>
    <row r="725" spans="1:165" x14ac:dyDescent="0.25">
      <c r="A725" s="7">
        <v>6.5039365659504023E-2</v>
      </c>
      <c r="B725"/>
      <c r="C725"/>
      <c r="D725"/>
      <c r="E725"/>
      <c r="FD725" s="27" t="s">
        <v>7</v>
      </c>
      <c r="FE725" s="27" t="s">
        <v>8</v>
      </c>
      <c r="FF725" s="27" t="s">
        <v>7</v>
      </c>
      <c r="FG725" s="27" t="s">
        <v>8</v>
      </c>
      <c r="FH725" s="27" t="s">
        <v>7</v>
      </c>
      <c r="FI725" s="27" t="s">
        <v>8</v>
      </c>
    </row>
    <row r="726" spans="1:165" x14ac:dyDescent="0.25">
      <c r="A726" s="7">
        <v>6.3764083979905906E-2</v>
      </c>
      <c r="B726"/>
      <c r="C726"/>
      <c r="D726"/>
      <c r="E726"/>
      <c r="FD726" s="27" t="s">
        <v>7</v>
      </c>
      <c r="FE726" s="27" t="s">
        <v>8</v>
      </c>
      <c r="FF726" s="27" t="s">
        <v>7</v>
      </c>
      <c r="FG726" s="27" t="s">
        <v>8</v>
      </c>
      <c r="FH726" s="27" t="s">
        <v>7</v>
      </c>
      <c r="FI726" s="27" t="s">
        <v>8</v>
      </c>
    </row>
    <row r="727" spans="1:165" x14ac:dyDescent="0.25">
      <c r="A727" s="7">
        <v>6.251380782343717E-2</v>
      </c>
      <c r="B727"/>
      <c r="C727"/>
      <c r="D727"/>
      <c r="E727"/>
      <c r="FD727" s="27" t="s">
        <v>7</v>
      </c>
      <c r="FE727" s="27" t="s">
        <v>8</v>
      </c>
      <c r="FF727" s="27" t="s">
        <v>7</v>
      </c>
      <c r="FG727" s="27" t="s">
        <v>8</v>
      </c>
      <c r="FH727" s="27" t="s">
        <v>7</v>
      </c>
    </row>
    <row r="728" spans="1:165" x14ac:dyDescent="0.25">
      <c r="A728" s="7">
        <v>6.1288046885722716E-2</v>
      </c>
      <c r="B728"/>
      <c r="C728"/>
      <c r="D728"/>
      <c r="E728"/>
      <c r="FD728" s="27" t="s">
        <v>7</v>
      </c>
      <c r="FE728" s="27" t="s">
        <v>8</v>
      </c>
      <c r="FF728" s="27" t="s">
        <v>7</v>
      </c>
      <c r="FG728" s="27" t="s">
        <v>8</v>
      </c>
    </row>
    <row r="729" spans="1:165" x14ac:dyDescent="0.25">
      <c r="A729" s="7">
        <v>6.0086320476198739E-2</v>
      </c>
      <c r="B729"/>
      <c r="C729"/>
      <c r="D729"/>
      <c r="E729"/>
      <c r="FD729" s="27" t="s">
        <v>7</v>
      </c>
      <c r="FE729" s="27" t="s">
        <v>8</v>
      </c>
      <c r="FF729" s="27" t="s">
        <v>7</v>
      </c>
      <c r="FG729" s="27" t="s">
        <v>8</v>
      </c>
    </row>
    <row r="730" spans="1:165" x14ac:dyDescent="0.25">
      <c r="A730" s="7">
        <v>5.8908157329606609E-2</v>
      </c>
      <c r="B730"/>
      <c r="C730"/>
      <c r="D730"/>
      <c r="E730"/>
      <c r="FD730" s="27" t="s">
        <v>7</v>
      </c>
      <c r="FE730" s="27" t="s">
        <v>8</v>
      </c>
      <c r="FF730" s="27" t="s">
        <v>7</v>
      </c>
      <c r="FG730" s="27" t="s">
        <v>8</v>
      </c>
    </row>
    <row r="731" spans="1:165" x14ac:dyDescent="0.25">
      <c r="A731" s="7">
        <v>5.7753095421182947E-2</v>
      </c>
      <c r="B731"/>
      <c r="C731"/>
      <c r="D731"/>
      <c r="E731"/>
      <c r="FD731" s="27" t="s">
        <v>7</v>
      </c>
      <c r="FE731" s="27" t="s">
        <v>8</v>
      </c>
      <c r="FF731" s="27" t="s">
        <v>7</v>
      </c>
      <c r="FG731" s="27" t="s">
        <v>8</v>
      </c>
    </row>
    <row r="732" spans="1:165" x14ac:dyDescent="0.25">
      <c r="A732" s="7">
        <v>5.6620681785473484E-2</v>
      </c>
      <c r="B732"/>
      <c r="C732"/>
      <c r="D732"/>
      <c r="E732"/>
      <c r="FD732" s="27" t="s">
        <v>7</v>
      </c>
      <c r="FE732" s="27" t="s">
        <v>8</v>
      </c>
      <c r="FF732" s="27" t="s">
        <v>7</v>
      </c>
      <c r="FG732" s="27" t="s">
        <v>8</v>
      </c>
    </row>
    <row r="733" spans="1:165" x14ac:dyDescent="0.25">
      <c r="A733" s="7">
        <v>5.5510472338699497E-2</v>
      </c>
      <c r="B733"/>
      <c r="C733"/>
      <c r="D733"/>
      <c r="E733"/>
      <c r="FD733" s="27" t="s">
        <v>7</v>
      </c>
      <c r="FE733" s="27" t="s">
        <v>8</v>
      </c>
      <c r="FF733" s="27" t="s">
        <v>7</v>
      </c>
    </row>
    <row r="734" spans="1:165" x14ac:dyDescent="0.25">
      <c r="A734" s="7">
        <v>5.4422031704607354E-2</v>
      </c>
      <c r="B734"/>
      <c r="C734"/>
      <c r="D734"/>
      <c r="E734"/>
      <c r="FD734" s="27" t="s">
        <v>7</v>
      </c>
      <c r="FE734" s="27" t="s">
        <v>8</v>
      </c>
    </row>
    <row r="735" spans="1:165" x14ac:dyDescent="0.25">
      <c r="A735" s="7">
        <v>5.3354933043732705E-2</v>
      </c>
      <c r="B735"/>
      <c r="C735"/>
      <c r="D735"/>
      <c r="E735"/>
      <c r="FD735" s="27" t="s">
        <v>7</v>
      </c>
      <c r="FE735" s="27" t="s">
        <v>8</v>
      </c>
    </row>
    <row r="736" spans="1:165" x14ac:dyDescent="0.25">
      <c r="A736" s="7">
        <v>5.2308757886012455E-2</v>
      </c>
      <c r="B736"/>
      <c r="C736"/>
      <c r="D736"/>
      <c r="E736"/>
      <c r="FD736" s="27" t="s">
        <v>7</v>
      </c>
      <c r="FE736" s="27" t="s">
        <v>8</v>
      </c>
    </row>
    <row r="737" spans="1:161" x14ac:dyDescent="0.25">
      <c r="A737" s="7">
        <v>5.1283095966678877E-2</v>
      </c>
      <c r="B737"/>
      <c r="C737"/>
      <c r="D737"/>
      <c r="E737"/>
      <c r="FD737" s="27" t="s">
        <v>7</v>
      </c>
      <c r="FE737" s="27" t="s">
        <v>8</v>
      </c>
    </row>
    <row r="738" spans="1:161" x14ac:dyDescent="0.25">
      <c r="A738" s="7">
        <v>5.0277545065371444E-2</v>
      </c>
      <c r="B738"/>
      <c r="C738"/>
      <c r="D738"/>
      <c r="E738"/>
      <c r="FD738" s="27" t="s">
        <v>7</v>
      </c>
      <c r="FE738" s="27" t="s">
        <v>8</v>
      </c>
    </row>
    <row r="739" spans="1:161" x14ac:dyDescent="0.25">
      <c r="A739" s="7">
        <v>4.9291710848403378E-2</v>
      </c>
      <c r="B739"/>
      <c r="C739"/>
      <c r="D739"/>
      <c r="E739"/>
      <c r="FD739" s="27" t="s">
        <v>7</v>
      </c>
      <c r="FE739" s="27" t="s">
        <v>8</v>
      </c>
    </row>
    <row r="740" spans="1:161" x14ac:dyDescent="0.25">
      <c r="A740" s="7">
        <v>4.8325206714120959E-2</v>
      </c>
      <c r="B740"/>
      <c r="C740"/>
      <c r="D740"/>
      <c r="E740"/>
      <c r="FD740" s="27" t="s">
        <v>7</v>
      </c>
      <c r="FE740" s="27" t="s">
        <v>8</v>
      </c>
    </row>
    <row r="741" spans="1:161" x14ac:dyDescent="0.25">
      <c r="A741" s="7">
        <v>4.7377653641295057E-2</v>
      </c>
      <c r="B741"/>
      <c r="C741"/>
      <c r="D741"/>
      <c r="E741"/>
      <c r="FD741" s="27" t="s">
        <v>7</v>
      </c>
      <c r="FE741" s="27" t="s">
        <v>8</v>
      </c>
    </row>
    <row r="742" spans="1:161" x14ac:dyDescent="0.25">
      <c r="A742" s="7">
        <v>4.644868004048535E-2</v>
      </c>
      <c r="B742"/>
      <c r="C742"/>
      <c r="D742"/>
      <c r="E742"/>
      <c r="FD742" s="27" t="s">
        <v>7</v>
      </c>
      <c r="FE742" s="27" t="s">
        <v>8</v>
      </c>
    </row>
    <row r="743" spans="1:161" x14ac:dyDescent="0.25">
      <c r="A743" s="7">
        <v>4.5537921608318974E-2</v>
      </c>
      <c r="B743"/>
      <c r="C743"/>
      <c r="D743"/>
      <c r="E743"/>
      <c r="FD743" s="27" t="s">
        <v>7</v>
      </c>
      <c r="FE743" s="27" t="s">
        <v>8</v>
      </c>
    </row>
    <row r="744" spans="1:161" x14ac:dyDescent="0.25">
      <c r="A744" s="7">
        <v>4.4645021184626446E-2</v>
      </c>
      <c r="B744"/>
      <c r="C744"/>
      <c r="D744"/>
      <c r="E744"/>
      <c r="FD744" s="27" t="s">
        <v>7</v>
      </c>
      <c r="FE744" s="27" t="s">
        <v>8</v>
      </c>
    </row>
    <row r="745" spans="1:161" x14ac:dyDescent="0.25">
      <c r="A745" s="7">
        <v>4.3769628612378868E-2</v>
      </c>
      <c r="B745"/>
      <c r="C745"/>
      <c r="D745"/>
      <c r="E745"/>
      <c r="FD745" s="27" t="s">
        <v>7</v>
      </c>
      <c r="FE745" s="27" t="s">
        <v>8</v>
      </c>
    </row>
    <row r="746" spans="1:161" x14ac:dyDescent="0.25">
      <c r="A746" s="7">
        <v>4.2911400600371442E-2</v>
      </c>
      <c r="B746"/>
      <c r="C746"/>
      <c r="D746"/>
      <c r="E746"/>
      <c r="FD746" s="27" t="s">
        <v>7</v>
      </c>
      <c r="FE746" s="27" t="s">
        <v>8</v>
      </c>
    </row>
    <row r="747" spans="1:161" x14ac:dyDescent="0.25">
      <c r="A747" s="7">
        <v>4.2070000588599457E-2</v>
      </c>
      <c r="B747"/>
      <c r="C747"/>
      <c r="D747"/>
      <c r="E747"/>
      <c r="FD747" s="27" t="s">
        <v>7</v>
      </c>
      <c r="FE747" s="27" t="s">
        <v>8</v>
      </c>
    </row>
    <row r="748" spans="1:161" x14ac:dyDescent="0.25">
      <c r="A748" s="7">
        <v>4.1245098616273977E-2</v>
      </c>
      <c r="B748"/>
      <c r="C748"/>
      <c r="D748"/>
      <c r="E748"/>
      <c r="FD748" s="27" t="s">
        <v>7</v>
      </c>
      <c r="FE748" s="27" t="s">
        <v>8</v>
      </c>
    </row>
    <row r="749" spans="1:161" x14ac:dyDescent="0.25">
      <c r="A749" s="7">
        <v>4.043637119242547E-2</v>
      </c>
      <c r="B749"/>
      <c r="C749"/>
      <c r="D749"/>
      <c r="E749"/>
      <c r="FD749" s="27" t="s">
        <v>7</v>
      </c>
      <c r="FE749" s="27" t="s">
        <v>8</v>
      </c>
    </row>
    <row r="750" spans="1:161" x14ac:dyDescent="0.25">
      <c r="A750" s="7">
        <v>3.9643501169044582E-2</v>
      </c>
      <c r="B750"/>
      <c r="C750"/>
      <c r="D750"/>
      <c r="E750"/>
      <c r="FD750" s="27" t="s">
        <v>7</v>
      </c>
      <c r="FE750" s="27" t="s">
        <v>8</v>
      </c>
    </row>
    <row r="751" spans="1:161" x14ac:dyDescent="0.25">
      <c r="A751" s="7">
        <v>3.8866177616710372E-2</v>
      </c>
      <c r="B751"/>
      <c r="C751"/>
      <c r="D751"/>
      <c r="E751"/>
      <c r="FD751" s="27" t="s">
        <v>7</v>
      </c>
      <c r="FE751" s="27" t="s">
        <v>8</v>
      </c>
    </row>
    <row r="752" spans="1:161" x14ac:dyDescent="0.25">
      <c r="A752" s="7">
        <v>3.8104095702657229E-2</v>
      </c>
      <c r="B752"/>
      <c r="C752"/>
      <c r="D752"/>
      <c r="E752"/>
      <c r="FD752" s="27" t="s">
        <v>7</v>
      </c>
      <c r="FE752" s="27" t="s">
        <v>8</v>
      </c>
    </row>
    <row r="753" spans="1:161" x14ac:dyDescent="0.25">
      <c r="A753" s="7">
        <v>3.7356956571232579E-2</v>
      </c>
      <c r="B753"/>
      <c r="C753"/>
      <c r="D753"/>
      <c r="E753"/>
      <c r="FD753" s="27" t="s">
        <v>7</v>
      </c>
      <c r="FE753" s="27" t="s">
        <v>8</v>
      </c>
    </row>
    <row r="754" spans="1:161" x14ac:dyDescent="0.25">
      <c r="A754" s="7">
        <v>3.6624467226698605E-2</v>
      </c>
      <c r="B754"/>
      <c r="C754"/>
      <c r="D754"/>
      <c r="E754"/>
      <c r="FD754" s="27" t="s">
        <v>7</v>
      </c>
    </row>
    <row r="755" spans="1:161" x14ac:dyDescent="0.25">
      <c r="A755" s="7">
        <v>3.5906340418331961E-2</v>
      </c>
      <c r="B755"/>
      <c r="C755"/>
      <c r="D755"/>
      <c r="E755"/>
    </row>
    <row r="756" spans="1:161" x14ac:dyDescent="0.25">
      <c r="A756" s="7">
        <v>3.5202294527776436E-2</v>
      </c>
      <c r="B756"/>
      <c r="C756"/>
      <c r="D756"/>
      <c r="E756"/>
    </row>
    <row r="757" spans="1:161" x14ac:dyDescent="0.25">
      <c r="A757" s="7">
        <v>3.451205345860435E-2</v>
      </c>
      <c r="B757"/>
      <c r="C757"/>
      <c r="D757"/>
      <c r="E757"/>
    </row>
    <row r="758" spans="1:161" x14ac:dyDescent="0.25">
      <c r="A758" s="7">
        <v>3.3835346528043479E-2</v>
      </c>
      <c r="B758"/>
      <c r="C758"/>
      <c r="D758"/>
      <c r="E758"/>
    </row>
    <row r="759" spans="1:161" x14ac:dyDescent="0.25">
      <c r="A759" s="7">
        <v>3.3171908360826938E-2</v>
      </c>
      <c r="B759"/>
      <c r="C759"/>
      <c r="D759"/>
      <c r="E759"/>
    </row>
    <row r="760" spans="1:161" x14ac:dyDescent="0.25">
      <c r="A760" s="7">
        <v>3.2521478785124451E-2</v>
      </c>
      <c r="B760"/>
      <c r="C760"/>
      <c r="D760"/>
      <c r="E760"/>
    </row>
    <row r="761" spans="1:161" x14ac:dyDescent="0.25">
      <c r="A761" s="7">
        <v>3.1883802730514173E-2</v>
      </c>
      <c r="B761"/>
      <c r="C761"/>
      <c r="D761"/>
      <c r="E761"/>
    </row>
    <row r="762" spans="1:161" x14ac:dyDescent="0.25">
      <c r="A762" s="7">
        <v>3.1258630127955073E-2</v>
      </c>
      <c r="B762"/>
      <c r="C762"/>
      <c r="D762"/>
      <c r="E762"/>
    </row>
    <row r="763" spans="1:161" x14ac:dyDescent="0.25">
      <c r="A763" s="7">
        <v>3.064571581172066E-2</v>
      </c>
      <c r="B763"/>
      <c r="C763"/>
      <c r="D763"/>
      <c r="E763"/>
    </row>
    <row r="764" spans="1:161" x14ac:dyDescent="0.25">
      <c r="A764" s="7">
        <v>3.0044819423255549E-2</v>
      </c>
      <c r="B764"/>
      <c r="C764"/>
      <c r="D764"/>
      <c r="E764"/>
    </row>
    <row r="765" spans="1:161" x14ac:dyDescent="0.25">
      <c r="A765" s="7">
        <v>2.9455705316917203E-2</v>
      </c>
      <c r="B765"/>
      <c r="C765"/>
      <c r="D765"/>
      <c r="E765"/>
    </row>
    <row r="766" spans="1:161" x14ac:dyDescent="0.25">
      <c r="A766" s="7">
        <v>2.8878142467565884E-2</v>
      </c>
      <c r="B766"/>
      <c r="C766"/>
      <c r="D766"/>
      <c r="E766"/>
    </row>
    <row r="767" spans="1:161" x14ac:dyDescent="0.25">
      <c r="A767" s="7">
        <v>2.8311904379966554E-2</v>
      </c>
      <c r="B767"/>
      <c r="C767"/>
      <c r="D767"/>
      <c r="E767"/>
    </row>
    <row r="768" spans="1:161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80" operator="equal">
      <formula>$U$1</formula>
    </cfRule>
    <cfRule type="cellIs" dxfId="89" priority="1481" operator="equal">
      <formula>$S$1</formula>
    </cfRule>
  </conditionalFormatting>
  <conditionalFormatting sqref="D27">
    <cfRule type="cellIs" dxfId="88" priority="1478" operator="equal">
      <formula>$S$1</formula>
    </cfRule>
    <cfRule type="cellIs" dxfId="87" priority="1479" operator="equal">
      <formula>$U$1</formula>
    </cfRule>
  </conditionalFormatting>
  <conditionalFormatting sqref="C164">
    <cfRule type="cellIs" dxfId="86" priority="1476" operator="equal">
      <formula>$U$1</formula>
    </cfRule>
    <cfRule type="cellIs" dxfId="85" priority="1477" operator="equal">
      <formula>$S$1</formula>
    </cfRule>
  </conditionalFormatting>
  <conditionalFormatting sqref="D164">
    <cfRule type="cellIs" dxfId="84" priority="1474" operator="equal">
      <formula>$S$1</formula>
    </cfRule>
    <cfRule type="cellIs" dxfId="83" priority="1475" operator="equal">
      <formula>$U$1</formula>
    </cfRule>
  </conditionalFormatting>
  <conditionalFormatting sqref="C55">
    <cfRule type="cellIs" dxfId="82" priority="1472" operator="equal">
      <formula>$U$1</formula>
    </cfRule>
    <cfRule type="cellIs" dxfId="81" priority="1473" operator="equal">
      <formula>$S$1</formula>
    </cfRule>
  </conditionalFormatting>
  <conditionalFormatting sqref="D55">
    <cfRule type="cellIs" dxfId="80" priority="1470" operator="equal">
      <formula>$S$1</formula>
    </cfRule>
    <cfRule type="cellIs" dxfId="79" priority="1471" operator="equal">
      <formula>$U$1</formula>
    </cfRule>
  </conditionalFormatting>
  <conditionalFormatting sqref="C89">
    <cfRule type="cellIs" dxfId="78" priority="1468" operator="equal">
      <formula>$U$1</formula>
    </cfRule>
    <cfRule type="cellIs" dxfId="77" priority="1469" operator="equal">
      <formula>$S$1</formula>
    </cfRule>
  </conditionalFormatting>
  <conditionalFormatting sqref="D89">
    <cfRule type="cellIs" dxfId="76" priority="1466" operator="equal">
      <formula>$S$1</formula>
    </cfRule>
    <cfRule type="cellIs" dxfId="75" priority="1467" operator="equal">
      <formula>$U$1</formula>
    </cfRule>
  </conditionalFormatting>
  <conditionalFormatting sqref="C136">
    <cfRule type="cellIs" dxfId="74" priority="1464" operator="equal">
      <formula>$U$1</formula>
    </cfRule>
    <cfRule type="cellIs" dxfId="73" priority="1465" operator="equal">
      <formula>$S$1</formula>
    </cfRule>
  </conditionalFormatting>
  <conditionalFormatting sqref="D136">
    <cfRule type="cellIs" dxfId="72" priority="1462" operator="equal">
      <formula>$S$1</formula>
    </cfRule>
    <cfRule type="cellIs" dxfId="71" priority="1463" operator="equal">
      <formula>$U$1</formula>
    </cfRule>
  </conditionalFormatting>
  <conditionalFormatting sqref="C1">
    <cfRule type="cellIs" dxfId="70" priority="146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HL252" sqref="HL25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$A$251</v>
      </c>
      <c r="D111" s="1" t="str">
        <f>ADDRESS(C121-1,D121,1,1)</f>
        <v>$HL$251</v>
      </c>
      <c r="E111"/>
    </row>
    <row r="112" spans="1:5" x14ac:dyDescent="0.25">
      <c r="A112" s="30">
        <v>515.50191262726139</v>
      </c>
      <c r="C112" s="1" t="str">
        <f>ADDRESS(C121,1,1,1)</f>
        <v>$A$252</v>
      </c>
      <c r="D112" s="1" t="str">
        <f>ADDRESS(C121,D121-1,1,1)</f>
        <v>$HK$252</v>
      </c>
      <c r="E112"/>
    </row>
    <row r="113" spans="1:5" x14ac:dyDescent="0.25">
      <c r="A113" s="30">
        <v>490.95420250215363</v>
      </c>
      <c r="C113" s="1" t="str">
        <f>ADDRESS(C121+1,1,1,1)</f>
        <v>$A$253</v>
      </c>
      <c r="D113" s="1" t="str">
        <f>ADDRESS(C121-1,D121+1,1,1)</f>
        <v>$HM$251</v>
      </c>
    </row>
    <row r="114" spans="1:5" x14ac:dyDescent="0.25">
      <c r="A114" s="30">
        <v>467.57543095443202</v>
      </c>
      <c r="C114" s="1" t="str">
        <f>ADDRESS(C121,D121,1,1)</f>
        <v>$HL$252</v>
      </c>
      <c r="D114" s="1" t="str">
        <f>ADDRESS(C121+1,D121+1,1,1)</f>
        <v>$HM$253</v>
      </c>
    </row>
    <row r="115" spans="1:5" x14ac:dyDescent="0.25">
      <c r="A115" s="30">
        <v>445.30993424231622</v>
      </c>
      <c r="C115" s="1" t="str">
        <f>ADDRESS(C121+1,D121,1,1)</f>
        <v>$HL$253</v>
      </c>
    </row>
    <row r="116" spans="1:5" x14ac:dyDescent="0.25">
      <c r="A116" s="30">
        <v>424.10469927839637</v>
      </c>
      <c r="C116" s="1">
        <f>C117-1</f>
        <v>251</v>
      </c>
    </row>
    <row r="117" spans="1:5" x14ac:dyDescent="0.25">
      <c r="A117" s="30">
        <v>403.9092374079965</v>
      </c>
      <c r="C117" s="1">
        <f>C121</f>
        <v>252</v>
      </c>
      <c r="D117" s="1">
        <f>D121</f>
        <v>220</v>
      </c>
    </row>
    <row r="118" spans="1:5" x14ac:dyDescent="0.25">
      <c r="A118" s="30">
        <v>384.6754641980919</v>
      </c>
      <c r="C118" s="1">
        <f>C117+1</f>
        <v>253</v>
      </c>
      <c r="D118" s="1">
        <f>D117+1</f>
        <v>221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252</v>
      </c>
      <c r="D121" s="19">
        <v>220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R252</v>
      </c>
      <c r="D123" s="1" t="str">
        <f>"C"&amp;D121</f>
        <v>C220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0.55683741817755672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72" x14ac:dyDescent="0.25">
      <c r="A209" s="30">
        <v>4.5380394939082018</v>
      </c>
      <c r="E209"/>
    </row>
    <row r="210" spans="1:172" x14ac:dyDescent="0.25">
      <c r="A210" s="30">
        <v>4.3219423751506678</v>
      </c>
      <c r="C210"/>
      <c r="E210"/>
    </row>
    <row r="211" spans="1:172" x14ac:dyDescent="0.25">
      <c r="A211" s="30">
        <v>4.1161355953815884</v>
      </c>
      <c r="E211"/>
    </row>
    <row r="212" spans="1:172" x14ac:dyDescent="0.25">
      <c r="A212" s="30">
        <v>3.9201291384586554</v>
      </c>
      <c r="E212"/>
    </row>
    <row r="213" spans="1:172" x14ac:dyDescent="0.25">
      <c r="A213" s="30">
        <v>3.7334563223415764</v>
      </c>
      <c r="E213"/>
    </row>
    <row r="214" spans="1:172" x14ac:dyDescent="0.25">
      <c r="A214" s="30">
        <v>3.5556726879443583</v>
      </c>
      <c r="E214"/>
    </row>
    <row r="215" spans="1:172" x14ac:dyDescent="0.25">
      <c r="A215" s="30">
        <v>3.3863549408993889</v>
      </c>
      <c r="E215"/>
    </row>
    <row r="216" spans="1:172" x14ac:dyDescent="0.25">
      <c r="A216" s="30">
        <v>3.2250999437137038</v>
      </c>
      <c r="E216"/>
      <c r="FO216" s="27" t="s">
        <v>8</v>
      </c>
    </row>
    <row r="217" spans="1:172" x14ac:dyDescent="0.25">
      <c r="A217" s="30">
        <v>3.0715237559178128</v>
      </c>
      <c r="E217"/>
      <c r="FO217" s="27" t="s">
        <v>8</v>
      </c>
      <c r="FP217" s="27" t="s">
        <v>7</v>
      </c>
    </row>
    <row r="218" spans="1:172" x14ac:dyDescent="0.25">
      <c r="A218" s="30">
        <v>2.9252607199217264</v>
      </c>
      <c r="E218"/>
      <c r="FO218" s="27" t="s">
        <v>8</v>
      </c>
      <c r="FP218" s="27" t="s">
        <v>7</v>
      </c>
    </row>
    <row r="219" spans="1:172" x14ac:dyDescent="0.25">
      <c r="A219" s="30">
        <v>2.7859625904016441</v>
      </c>
      <c r="E219"/>
      <c r="FO219" s="27" t="s">
        <v>8</v>
      </c>
      <c r="FP219" s="27" t="s">
        <v>7</v>
      </c>
    </row>
    <row r="220" spans="1:172" x14ac:dyDescent="0.25">
      <c r="A220" s="30">
        <v>2.6532977051444226</v>
      </c>
      <c r="E220"/>
      <c r="FO220" s="27" t="s">
        <v>8</v>
      </c>
      <c r="FP220" s="27" t="s">
        <v>7</v>
      </c>
    </row>
    <row r="221" spans="1:172" x14ac:dyDescent="0.25">
      <c r="A221" s="30">
        <v>2.5269501953756404</v>
      </c>
      <c r="E221"/>
      <c r="FO221" s="27" t="s">
        <v>8</v>
      </c>
      <c r="FP221" s="27" t="s">
        <v>7</v>
      </c>
    </row>
    <row r="222" spans="1:172" x14ac:dyDescent="0.25">
      <c r="A222" s="30">
        <v>2.4066192336910861</v>
      </c>
      <c r="E222"/>
      <c r="FO222" s="27" t="s">
        <v>8</v>
      </c>
      <c r="FP222" s="27" t="s">
        <v>7</v>
      </c>
    </row>
    <row r="223" spans="1:172" x14ac:dyDescent="0.25">
      <c r="A223" s="30">
        <v>2.2920183178010345</v>
      </c>
      <c r="E223"/>
      <c r="FO223" s="27" t="s">
        <v>8</v>
      </c>
      <c r="FP223" s="27" t="s">
        <v>7</v>
      </c>
    </row>
    <row r="224" spans="1:172" x14ac:dyDescent="0.25">
      <c r="A224" s="30">
        <v>2.1828745883819374</v>
      </c>
      <c r="E224"/>
      <c r="FO224" s="27" t="s">
        <v>8</v>
      </c>
      <c r="FP224" s="27" t="s">
        <v>7</v>
      </c>
    </row>
    <row r="225" spans="1:212" x14ac:dyDescent="0.25">
      <c r="A225" s="30">
        <v>2.0789281794113688</v>
      </c>
      <c r="E225"/>
      <c r="FO225" s="27" t="s">
        <v>8</v>
      </c>
      <c r="FP225" s="27" t="s">
        <v>7</v>
      </c>
      <c r="GO225" s="27" t="s">
        <v>8</v>
      </c>
    </row>
    <row r="226" spans="1:212" x14ac:dyDescent="0.25">
      <c r="A226" s="30">
        <v>1.9799315994393987</v>
      </c>
      <c r="E226"/>
      <c r="FO226" s="27" t="s">
        <v>8</v>
      </c>
      <c r="FP226" s="27" t="s">
        <v>7</v>
      </c>
      <c r="GO226" s="27" t="s">
        <v>8</v>
      </c>
      <c r="GP226" s="27" t="s">
        <v>7</v>
      </c>
    </row>
    <row r="227" spans="1:212" x14ac:dyDescent="0.25">
      <c r="A227" s="30">
        <v>1.8856491423232367</v>
      </c>
      <c r="E227"/>
      <c r="FO227" s="27" t="s">
        <v>8</v>
      </c>
      <c r="FP227" s="27" t="s">
        <v>7</v>
      </c>
      <c r="GO227" s="27" t="s">
        <v>8</v>
      </c>
      <c r="GP227" s="27" t="s">
        <v>7</v>
      </c>
      <c r="GY227" s="27" t="s">
        <v>8</v>
      </c>
    </row>
    <row r="228" spans="1:212" x14ac:dyDescent="0.25">
      <c r="A228" s="30">
        <v>1.7958563260221301</v>
      </c>
      <c r="C228" s="7"/>
      <c r="D228"/>
      <c r="E228"/>
      <c r="FO228" s="27" t="s">
        <v>8</v>
      </c>
      <c r="FP228" s="27" t="s">
        <v>7</v>
      </c>
      <c r="GO228" s="27" t="s">
        <v>8</v>
      </c>
      <c r="GP228" s="27" t="s">
        <v>7</v>
      </c>
      <c r="GY228" s="27" t="s">
        <v>8</v>
      </c>
      <c r="GZ228" s="27" t="s">
        <v>7</v>
      </c>
    </row>
    <row r="229" spans="1:212" x14ac:dyDescent="0.25">
      <c r="A229" s="30">
        <v>1.7103393581163142</v>
      </c>
      <c r="E229"/>
      <c r="FO229" s="27" t="s">
        <v>8</v>
      </c>
      <c r="FP229" s="27" t="s">
        <v>7</v>
      </c>
      <c r="GO229" s="27" t="s">
        <v>8</v>
      </c>
      <c r="GP229" s="27" t="s">
        <v>7</v>
      </c>
      <c r="GS229" s="27" t="s">
        <v>8</v>
      </c>
      <c r="GY229" s="27" t="s">
        <v>8</v>
      </c>
      <c r="GZ229" s="27" t="s">
        <v>7</v>
      </c>
    </row>
    <row r="230" spans="1:212" x14ac:dyDescent="0.25">
      <c r="A230" s="30">
        <v>1.628894626777442</v>
      </c>
      <c r="E230"/>
      <c r="FO230" s="27" t="s">
        <v>8</v>
      </c>
      <c r="FP230" s="27" t="s">
        <v>7</v>
      </c>
      <c r="GO230" s="27" t="s">
        <v>8</v>
      </c>
      <c r="GP230" s="27" t="s">
        <v>7</v>
      </c>
      <c r="GS230" s="27" t="s">
        <v>8</v>
      </c>
      <c r="GT230" s="27" t="s">
        <v>7</v>
      </c>
      <c r="GY230" s="27" t="s">
        <v>8</v>
      </c>
      <c r="GZ230" s="27" t="s">
        <v>7</v>
      </c>
    </row>
    <row r="231" spans="1:212" x14ac:dyDescent="0.25">
      <c r="A231" s="30">
        <v>1.5513282159785162</v>
      </c>
      <c r="C231"/>
      <c r="D231"/>
      <c r="E231"/>
      <c r="FO231" s="27" t="s">
        <v>8</v>
      </c>
      <c r="FP231" s="27" t="s">
        <v>7</v>
      </c>
      <c r="GO231" s="27" t="s">
        <v>8</v>
      </c>
      <c r="GP231" s="27" t="s">
        <v>7</v>
      </c>
      <c r="GS231" s="27" t="s">
        <v>8</v>
      </c>
      <c r="GT231" s="27" t="s">
        <v>7</v>
      </c>
      <c r="GY231" s="27" t="s">
        <v>8</v>
      </c>
      <c r="GZ231" s="27" t="s">
        <v>7</v>
      </c>
    </row>
    <row r="232" spans="1:212" x14ac:dyDescent="0.25">
      <c r="A232" s="30">
        <v>1.477455443789063</v>
      </c>
      <c r="E232"/>
      <c r="EY232" s="27" t="s">
        <v>8</v>
      </c>
      <c r="FO232" s="27" t="s">
        <v>8</v>
      </c>
      <c r="FP232" s="27" t="s">
        <v>7</v>
      </c>
      <c r="GO232" s="27" t="s">
        <v>8</v>
      </c>
      <c r="GP232" s="27" t="s">
        <v>7</v>
      </c>
      <c r="GS232" s="27" t="s">
        <v>8</v>
      </c>
      <c r="GT232" s="27" t="s">
        <v>7</v>
      </c>
      <c r="GY232" s="27" t="s">
        <v>8</v>
      </c>
      <c r="GZ232" s="27" t="s">
        <v>7</v>
      </c>
    </row>
    <row r="233" spans="1:212" x14ac:dyDescent="0.25">
      <c r="A233" s="30">
        <v>1.4071004226562505</v>
      </c>
      <c r="E233"/>
      <c r="EY233" s="27" t="s">
        <v>8</v>
      </c>
      <c r="EZ233" s="27" t="s">
        <v>7</v>
      </c>
      <c r="FE233" s="27" t="s">
        <v>8</v>
      </c>
      <c r="FO233" s="27" t="s">
        <v>8</v>
      </c>
      <c r="FP233" s="27" t="s">
        <v>7</v>
      </c>
      <c r="GO233" s="27" t="s">
        <v>8</v>
      </c>
      <c r="GP233" s="27" t="s">
        <v>7</v>
      </c>
      <c r="GS233" s="27" t="s">
        <v>8</v>
      </c>
      <c r="GT233" s="27" t="s">
        <v>7</v>
      </c>
      <c r="GY233" s="27" t="s">
        <v>8</v>
      </c>
      <c r="GZ233" s="27" t="s">
        <v>7</v>
      </c>
    </row>
    <row r="234" spans="1:212" x14ac:dyDescent="0.25">
      <c r="A234" s="30">
        <v>1.3400956406250004</v>
      </c>
      <c r="E234"/>
      <c r="EY234" s="27" t="s">
        <v>8</v>
      </c>
      <c r="EZ234" s="27" t="s">
        <v>7</v>
      </c>
      <c r="FA234" s="27" t="s">
        <v>8</v>
      </c>
      <c r="FE234" s="27" t="s">
        <v>8</v>
      </c>
      <c r="FF234" s="27" t="s">
        <v>7</v>
      </c>
      <c r="FO234" s="27" t="s">
        <v>8</v>
      </c>
      <c r="FP234" s="27" t="s">
        <v>7</v>
      </c>
      <c r="GO234" s="27" t="s">
        <v>8</v>
      </c>
      <c r="GP234" s="27" t="s">
        <v>7</v>
      </c>
      <c r="GS234" s="27" t="s">
        <v>8</v>
      </c>
      <c r="GT234" s="27" t="s">
        <v>7</v>
      </c>
      <c r="GY234" s="27" t="s">
        <v>8</v>
      </c>
      <c r="GZ234" s="27" t="s">
        <v>7</v>
      </c>
      <c r="HA234" s="27" t="s">
        <v>8</v>
      </c>
    </row>
    <row r="235" spans="1:212" x14ac:dyDescent="0.25">
      <c r="A235" s="30">
        <v>1.2762815625000004</v>
      </c>
      <c r="C235"/>
      <c r="E235"/>
      <c r="EY235" s="27" t="s">
        <v>8</v>
      </c>
      <c r="EZ235" s="27" t="s">
        <v>7</v>
      </c>
      <c r="FA235" s="27" t="s">
        <v>8</v>
      </c>
      <c r="FB235" s="27" t="s">
        <v>7</v>
      </c>
      <c r="FC235" s="27" t="s">
        <v>8</v>
      </c>
      <c r="FE235" s="27" t="s">
        <v>8</v>
      </c>
      <c r="FF235" s="27" t="s">
        <v>7</v>
      </c>
      <c r="FG235" s="27" t="s">
        <v>8</v>
      </c>
      <c r="FO235" s="27" t="s">
        <v>8</v>
      </c>
      <c r="FP235" s="27" t="s">
        <v>7</v>
      </c>
      <c r="FS235" s="27" t="s">
        <v>8</v>
      </c>
      <c r="GO235" s="27" t="s">
        <v>8</v>
      </c>
      <c r="GP235" s="27" t="s">
        <v>7</v>
      </c>
      <c r="GQ235" s="27" t="s">
        <v>8</v>
      </c>
      <c r="GS235" s="27" t="s">
        <v>8</v>
      </c>
      <c r="GT235" s="27" t="s">
        <v>7</v>
      </c>
      <c r="GY235" s="27" t="s">
        <v>8</v>
      </c>
      <c r="GZ235" s="27" t="s">
        <v>7</v>
      </c>
      <c r="HA235" s="27" t="s">
        <v>8</v>
      </c>
      <c r="HB235" s="27" t="s">
        <v>7</v>
      </c>
      <c r="HC235" s="27" t="s">
        <v>8</v>
      </c>
    </row>
    <row r="236" spans="1:212" x14ac:dyDescent="0.25">
      <c r="A236" s="30">
        <v>1.2155062500000002</v>
      </c>
      <c r="E236"/>
      <c r="EY236" s="27" t="s">
        <v>8</v>
      </c>
      <c r="EZ236" s="27" t="s">
        <v>7</v>
      </c>
      <c r="FA236" s="27" t="s">
        <v>8</v>
      </c>
      <c r="FB236" s="27" t="s">
        <v>7</v>
      </c>
      <c r="FC236" s="27" t="s">
        <v>8</v>
      </c>
      <c r="FD236" s="27" t="s">
        <v>7</v>
      </c>
      <c r="FE236" s="27" t="s">
        <v>8</v>
      </c>
      <c r="FF236" s="27" t="s">
        <v>7</v>
      </c>
      <c r="FG236" s="27" t="s">
        <v>8</v>
      </c>
      <c r="FH236" s="27" t="s">
        <v>7</v>
      </c>
      <c r="FO236" s="27" t="s">
        <v>8</v>
      </c>
      <c r="FP236" s="27" t="s">
        <v>7</v>
      </c>
      <c r="FS236" s="27" t="s">
        <v>8</v>
      </c>
      <c r="FT236" s="27" t="s">
        <v>7</v>
      </c>
      <c r="FW236" s="27" t="s">
        <v>8</v>
      </c>
      <c r="GO236" s="27" t="s">
        <v>8</v>
      </c>
      <c r="GP236" s="27" t="s">
        <v>7</v>
      </c>
      <c r="GQ236" s="27" t="s">
        <v>8</v>
      </c>
      <c r="GR236" s="27" t="s">
        <v>7</v>
      </c>
      <c r="GS236" s="27" t="s">
        <v>8</v>
      </c>
      <c r="GT236" s="27" t="s">
        <v>7</v>
      </c>
      <c r="GU236" s="27" t="s">
        <v>8</v>
      </c>
      <c r="GW236" s="27" t="s">
        <v>8</v>
      </c>
      <c r="GY236" s="27" t="s">
        <v>8</v>
      </c>
      <c r="GZ236" s="27" t="s">
        <v>7</v>
      </c>
      <c r="HA236" s="27" t="s">
        <v>8</v>
      </c>
      <c r="HB236" s="27" t="s">
        <v>7</v>
      </c>
      <c r="HC236" s="27" t="s">
        <v>8</v>
      </c>
      <c r="HD236" s="27" t="s">
        <v>7</v>
      </c>
    </row>
    <row r="237" spans="1:21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EY237" s="27" t="s">
        <v>8</v>
      </c>
      <c r="EZ237" s="27" t="s">
        <v>7</v>
      </c>
      <c r="FA237" s="27" t="s">
        <v>8</v>
      </c>
      <c r="FB237" s="27" t="s">
        <v>7</v>
      </c>
      <c r="FC237" s="27" t="s">
        <v>8</v>
      </c>
      <c r="FD237" s="27" t="s">
        <v>7</v>
      </c>
      <c r="FE237" s="27" t="s">
        <v>8</v>
      </c>
      <c r="FF237" s="27" t="s">
        <v>7</v>
      </c>
      <c r="FG237" s="27" t="s">
        <v>8</v>
      </c>
      <c r="FH237" s="27" t="s">
        <v>7</v>
      </c>
      <c r="FK237" s="27" t="s">
        <v>8</v>
      </c>
      <c r="FO237" s="27" t="s">
        <v>8</v>
      </c>
      <c r="FP237" s="27" t="s">
        <v>7</v>
      </c>
      <c r="FS237" s="27" t="s">
        <v>8</v>
      </c>
      <c r="FT237" s="27" t="s">
        <v>7</v>
      </c>
      <c r="FW237" s="27" t="s">
        <v>8</v>
      </c>
      <c r="FX237" s="27" t="s">
        <v>7</v>
      </c>
      <c r="GO237" s="27" t="s">
        <v>8</v>
      </c>
      <c r="GP237" s="27" t="s">
        <v>7</v>
      </c>
      <c r="GQ237" s="27" t="s">
        <v>8</v>
      </c>
      <c r="GR237" s="27" t="s">
        <v>7</v>
      </c>
      <c r="GS237" s="27" t="s">
        <v>8</v>
      </c>
      <c r="GT237" s="27" t="s">
        <v>7</v>
      </c>
      <c r="GU237" s="27" t="s">
        <v>8</v>
      </c>
      <c r="GV237" s="27" t="s">
        <v>7</v>
      </c>
      <c r="GW237" s="27" t="s">
        <v>8</v>
      </c>
      <c r="GX237" s="27" t="s">
        <v>7</v>
      </c>
      <c r="GY237" s="27" t="s">
        <v>8</v>
      </c>
      <c r="GZ237" s="27" t="s">
        <v>7</v>
      </c>
      <c r="HA237" s="27" t="s">
        <v>8</v>
      </c>
      <c r="HB237" s="27" t="s">
        <v>7</v>
      </c>
      <c r="HC237" s="27" t="s">
        <v>8</v>
      </c>
      <c r="HD237" s="27" t="s">
        <v>7</v>
      </c>
    </row>
    <row r="238" spans="1:212" x14ac:dyDescent="0.25">
      <c r="A238" s="30">
        <v>1.1025</v>
      </c>
      <c r="E238"/>
      <c r="EI238" s="27" t="s">
        <v>8</v>
      </c>
      <c r="EY238" s="27" t="s">
        <v>8</v>
      </c>
      <c r="EZ238" s="27" t="s">
        <v>7</v>
      </c>
      <c r="FA238" s="27" t="s">
        <v>8</v>
      </c>
      <c r="FB238" s="27" t="s">
        <v>7</v>
      </c>
      <c r="FD238" s="27" t="s">
        <v>7</v>
      </c>
      <c r="FE238" s="27" t="s">
        <v>8</v>
      </c>
      <c r="FF238" s="27" t="s">
        <v>7</v>
      </c>
      <c r="FG238" s="27" t="s">
        <v>8</v>
      </c>
      <c r="FH238" s="27" t="s">
        <v>7</v>
      </c>
      <c r="FI238" s="27" t="s">
        <v>8</v>
      </c>
      <c r="FK238" s="27" t="s">
        <v>8</v>
      </c>
      <c r="FL238" s="27" t="s">
        <v>7</v>
      </c>
      <c r="FO238" s="27" t="s">
        <v>8</v>
      </c>
      <c r="FP238" s="27" t="s">
        <v>7</v>
      </c>
      <c r="FQ238" s="27" t="s">
        <v>8</v>
      </c>
      <c r="FS238" s="27" t="s">
        <v>8</v>
      </c>
      <c r="FT238" s="27" t="s">
        <v>7</v>
      </c>
      <c r="FU238" s="27" t="s">
        <v>8</v>
      </c>
      <c r="FW238" s="27" t="s">
        <v>8</v>
      </c>
      <c r="FX238" s="27" t="s">
        <v>7</v>
      </c>
      <c r="GO238" s="27" t="s">
        <v>8</v>
      </c>
      <c r="GP238" s="27" t="s">
        <v>7</v>
      </c>
      <c r="GQ238" s="27" t="s">
        <v>8</v>
      </c>
      <c r="GR238" s="27" t="s">
        <v>7</v>
      </c>
      <c r="GT238" s="27" t="s">
        <v>7</v>
      </c>
      <c r="GU238" s="27" t="s">
        <v>8</v>
      </c>
      <c r="GV238" s="27" t="s">
        <v>7</v>
      </c>
      <c r="GW238" s="27" t="s">
        <v>8</v>
      </c>
      <c r="GX238" s="27" t="s">
        <v>7</v>
      </c>
      <c r="GY238" s="27" t="s">
        <v>8</v>
      </c>
      <c r="GZ238" s="27" t="s">
        <v>7</v>
      </c>
      <c r="HB238" s="27" t="s">
        <v>7</v>
      </c>
      <c r="HC238" s="27" t="s">
        <v>8</v>
      </c>
      <c r="HD238" s="27" t="s">
        <v>7</v>
      </c>
    </row>
    <row r="239" spans="1:212" x14ac:dyDescent="0.25">
      <c r="A239" s="30">
        <v>1.05</v>
      </c>
      <c r="E239"/>
      <c r="EI239" s="27" t="s">
        <v>8</v>
      </c>
      <c r="EJ239" s="27" t="s">
        <v>7</v>
      </c>
      <c r="EW239" s="27" t="s">
        <v>8</v>
      </c>
      <c r="EY239" s="27" t="s">
        <v>8</v>
      </c>
      <c r="EZ239" s="27" t="s">
        <v>7</v>
      </c>
      <c r="FA239" s="27" t="s">
        <v>8</v>
      </c>
      <c r="FD239" s="27" t="s">
        <v>7</v>
      </c>
      <c r="FF239" s="27" t="s">
        <v>7</v>
      </c>
      <c r="FH239" s="27" t="s">
        <v>7</v>
      </c>
      <c r="FI239" s="27" t="s">
        <v>8</v>
      </c>
      <c r="FJ239" s="27" t="s">
        <v>7</v>
      </c>
      <c r="FK239" s="27" t="s">
        <v>8</v>
      </c>
      <c r="FL239" s="27" t="s">
        <v>7</v>
      </c>
      <c r="FO239" s="27" t="s">
        <v>8</v>
      </c>
      <c r="FP239" s="27" t="s">
        <v>7</v>
      </c>
      <c r="FQ239" s="27" t="s">
        <v>8</v>
      </c>
      <c r="FR239" s="27" t="s">
        <v>7</v>
      </c>
      <c r="FS239" s="27" t="s">
        <v>8</v>
      </c>
      <c r="FT239" s="27" t="s">
        <v>7</v>
      </c>
      <c r="FU239" s="27" t="s">
        <v>8</v>
      </c>
      <c r="FV239" s="27" t="s">
        <v>7</v>
      </c>
      <c r="FW239" s="27" t="s">
        <v>8</v>
      </c>
      <c r="FX239" s="27" t="s">
        <v>7</v>
      </c>
      <c r="FY239" s="27" t="s">
        <v>8</v>
      </c>
      <c r="GO239" s="27" t="s">
        <v>8</v>
      </c>
      <c r="GP239" s="27" t="s">
        <v>7</v>
      </c>
      <c r="GT239" s="27" t="s">
        <v>7</v>
      </c>
      <c r="GU239" s="27" t="s">
        <v>8</v>
      </c>
      <c r="GV239" s="27" t="s">
        <v>7</v>
      </c>
      <c r="GW239" s="27" t="s">
        <v>8</v>
      </c>
      <c r="GX239" s="27" t="s">
        <v>7</v>
      </c>
      <c r="GY239" s="27" t="s">
        <v>8</v>
      </c>
      <c r="HB239" s="27" t="s">
        <v>7</v>
      </c>
      <c r="HD239" s="27" t="s">
        <v>7</v>
      </c>
    </row>
    <row r="240" spans="1:212" x14ac:dyDescent="0.25">
      <c r="A240" s="30">
        <v>1</v>
      </c>
      <c r="E240" s="29" t="s">
        <v>8</v>
      </c>
      <c r="EI240" s="27" t="s">
        <v>8</v>
      </c>
      <c r="EJ240" s="27" t="s">
        <v>7</v>
      </c>
      <c r="EW240" s="27" t="s">
        <v>8</v>
      </c>
      <c r="EX240" s="27" t="s">
        <v>7</v>
      </c>
      <c r="EY240" s="27" t="s">
        <v>8</v>
      </c>
      <c r="EZ240" s="27" t="s">
        <v>7</v>
      </c>
      <c r="FA240" s="27" t="s">
        <v>8</v>
      </c>
      <c r="FH240" s="27" t="s">
        <v>7</v>
      </c>
      <c r="FI240" s="27" t="s">
        <v>8</v>
      </c>
      <c r="FJ240" s="27" t="s">
        <v>7</v>
      </c>
      <c r="FK240" s="27" t="s">
        <v>8</v>
      </c>
      <c r="FL240" s="27" t="s">
        <v>7</v>
      </c>
      <c r="FO240" s="27" t="s">
        <v>8</v>
      </c>
      <c r="FP240" s="27" t="s">
        <v>7</v>
      </c>
      <c r="FQ240" s="27" t="s">
        <v>8</v>
      </c>
      <c r="FR240" s="27" t="s">
        <v>7</v>
      </c>
      <c r="FS240" s="27" t="s">
        <v>8</v>
      </c>
      <c r="FT240" s="27" t="s">
        <v>7</v>
      </c>
      <c r="FU240" s="27" t="s">
        <v>8</v>
      </c>
      <c r="FV240" s="27" t="s">
        <v>7</v>
      </c>
      <c r="FW240" s="27" t="s">
        <v>8</v>
      </c>
      <c r="FX240" s="27" t="s">
        <v>7</v>
      </c>
      <c r="FY240" s="27" t="s">
        <v>8</v>
      </c>
      <c r="FZ240" s="27" t="s">
        <v>7</v>
      </c>
      <c r="GO240" s="27" t="s">
        <v>8</v>
      </c>
      <c r="GT240" s="27" t="s">
        <v>7</v>
      </c>
      <c r="GU240" s="27" t="s">
        <v>8</v>
      </c>
      <c r="GV240" s="27" t="s">
        <v>7</v>
      </c>
      <c r="GW240" s="27" t="s">
        <v>8</v>
      </c>
      <c r="GX240" s="27" t="s">
        <v>7</v>
      </c>
      <c r="HD240" s="27" t="s">
        <v>7</v>
      </c>
    </row>
    <row r="241" spans="1:220" x14ac:dyDescent="0.25">
      <c r="A241" s="30">
        <v>0.952380952380952</v>
      </c>
      <c r="B241"/>
      <c r="C241"/>
      <c r="D241"/>
      <c r="E241"/>
      <c r="F241" s="27" t="s">
        <v>7</v>
      </c>
      <c r="EI241" s="27" t="s">
        <v>8</v>
      </c>
      <c r="EJ241" s="27" t="s">
        <v>7</v>
      </c>
      <c r="EM241" s="27" t="s">
        <v>8</v>
      </c>
      <c r="EU241" s="27" t="s">
        <v>8</v>
      </c>
      <c r="EW241" s="27" t="s">
        <v>8</v>
      </c>
      <c r="EX241" s="27" t="s">
        <v>7</v>
      </c>
      <c r="EY241" s="27" t="s">
        <v>8</v>
      </c>
      <c r="EZ241" s="27" t="s">
        <v>7</v>
      </c>
      <c r="FA241" s="27" t="s">
        <v>8</v>
      </c>
      <c r="FH241" s="27" t="s">
        <v>7</v>
      </c>
      <c r="FI241" s="27" t="s">
        <v>8</v>
      </c>
      <c r="FJ241" s="27" t="s">
        <v>7</v>
      </c>
      <c r="FK241" s="27" t="s">
        <v>8</v>
      </c>
      <c r="FL241" s="27" t="s">
        <v>7</v>
      </c>
      <c r="FO241" s="27" t="s">
        <v>8</v>
      </c>
      <c r="FP241" s="27" t="s">
        <v>7</v>
      </c>
      <c r="FQ241" s="27" t="s">
        <v>8</v>
      </c>
      <c r="FR241" s="27" t="s">
        <v>7</v>
      </c>
      <c r="FS241" s="27" t="s">
        <v>8</v>
      </c>
      <c r="FT241" s="27" t="s">
        <v>7</v>
      </c>
      <c r="FU241" s="27" t="s">
        <v>8</v>
      </c>
      <c r="FV241" s="27" t="s">
        <v>7</v>
      </c>
      <c r="FX241" s="27" t="s">
        <v>7</v>
      </c>
      <c r="FY241" s="27" t="s">
        <v>8</v>
      </c>
      <c r="FZ241" s="27" t="s">
        <v>7</v>
      </c>
      <c r="GC241" s="27" t="s">
        <v>8</v>
      </c>
      <c r="GK241" s="27" t="s">
        <v>8</v>
      </c>
      <c r="GM241" s="27" t="s">
        <v>8</v>
      </c>
      <c r="GO241" s="27" t="s">
        <v>8</v>
      </c>
      <c r="GT241" s="27" t="s">
        <v>7</v>
      </c>
      <c r="GU241" s="27" t="s">
        <v>8</v>
      </c>
      <c r="GV241" s="27" t="s">
        <v>7</v>
      </c>
      <c r="HD241" s="27" t="s">
        <v>7</v>
      </c>
      <c r="HE241" s="27" t="s">
        <v>8</v>
      </c>
    </row>
    <row r="242" spans="1:220" x14ac:dyDescent="0.25">
      <c r="A242" s="30">
        <v>0.90702947845804915</v>
      </c>
      <c r="B242"/>
      <c r="C242"/>
      <c r="D242"/>
      <c r="E242"/>
      <c r="F242" s="27" t="s">
        <v>7</v>
      </c>
      <c r="EI242" s="27" t="s">
        <v>8</v>
      </c>
      <c r="EJ242" s="27" t="s">
        <v>7</v>
      </c>
      <c r="EM242" s="27" t="s">
        <v>8</v>
      </c>
      <c r="EN242" s="27" t="s">
        <v>7</v>
      </c>
      <c r="EU242" s="27" t="s">
        <v>8</v>
      </c>
      <c r="EV242" s="27" t="s">
        <v>7</v>
      </c>
      <c r="EW242" s="27" t="s">
        <v>8</v>
      </c>
      <c r="EX242" s="27" t="s">
        <v>7</v>
      </c>
      <c r="EZ242" s="27" t="s">
        <v>7</v>
      </c>
      <c r="FH242" s="27" t="s">
        <v>7</v>
      </c>
      <c r="FI242" s="27" t="s">
        <v>8</v>
      </c>
      <c r="FJ242" s="27" t="s">
        <v>7</v>
      </c>
      <c r="FK242" s="27" t="s">
        <v>8</v>
      </c>
      <c r="FL242" s="27" t="s">
        <v>7</v>
      </c>
      <c r="FM242" s="27" t="s">
        <v>8</v>
      </c>
      <c r="FO242" s="27" t="s">
        <v>8</v>
      </c>
      <c r="FP242" s="27" t="s">
        <v>7</v>
      </c>
      <c r="FQ242" s="27" t="s">
        <v>8</v>
      </c>
      <c r="FR242" s="27" t="s">
        <v>7</v>
      </c>
      <c r="FS242" s="27" t="s">
        <v>8</v>
      </c>
      <c r="FT242" s="27" t="s">
        <v>7</v>
      </c>
      <c r="FX242" s="27" t="s">
        <v>7</v>
      </c>
      <c r="FY242" s="27" t="s">
        <v>8</v>
      </c>
      <c r="FZ242" s="27" t="s">
        <v>7</v>
      </c>
      <c r="GA242" s="27" t="s">
        <v>8</v>
      </c>
      <c r="GC242" s="27" t="s">
        <v>8</v>
      </c>
      <c r="GD242" s="27" t="s">
        <v>7</v>
      </c>
      <c r="GE242" s="27" t="s">
        <v>8</v>
      </c>
      <c r="GK242" s="27" t="s">
        <v>8</v>
      </c>
      <c r="GL242" s="27" t="s">
        <v>7</v>
      </c>
      <c r="GM242" s="27" t="s">
        <v>8</v>
      </c>
      <c r="GN242" s="27" t="s">
        <v>7</v>
      </c>
      <c r="GO242" s="27" t="s">
        <v>8</v>
      </c>
      <c r="GT242" s="27" t="s">
        <v>7</v>
      </c>
      <c r="HD242" s="27" t="s">
        <v>7</v>
      </c>
      <c r="HE242" s="27" t="s">
        <v>8</v>
      </c>
      <c r="HF242" s="27" t="s">
        <v>7</v>
      </c>
      <c r="HG242" s="27" t="s">
        <v>8</v>
      </c>
    </row>
    <row r="243" spans="1:220" x14ac:dyDescent="0.25">
      <c r="A243" s="30">
        <v>0.86383759853147501</v>
      </c>
      <c r="B243"/>
      <c r="C243"/>
      <c r="D243"/>
      <c r="E243"/>
      <c r="F243" s="27" t="s">
        <v>7</v>
      </c>
      <c r="K243" s="27" t="s">
        <v>8</v>
      </c>
      <c r="EI243" s="27" t="s">
        <v>8</v>
      </c>
      <c r="EJ243" s="27" t="s">
        <v>7</v>
      </c>
      <c r="EM243" s="27" t="s">
        <v>8</v>
      </c>
      <c r="EN243" s="27" t="s">
        <v>7</v>
      </c>
      <c r="EO243" s="27" t="s">
        <v>8</v>
      </c>
      <c r="ES243" s="27" t="s">
        <v>8</v>
      </c>
      <c r="EU243" s="27" t="s">
        <v>8</v>
      </c>
      <c r="EV243" s="27" t="s">
        <v>7</v>
      </c>
      <c r="EW243" s="27" t="s">
        <v>8</v>
      </c>
      <c r="FH243" s="27" t="s">
        <v>7</v>
      </c>
      <c r="FI243" s="27" t="s">
        <v>8</v>
      </c>
      <c r="FJ243" s="27" t="s">
        <v>7</v>
      </c>
      <c r="FL243" s="27" t="s">
        <v>7</v>
      </c>
      <c r="FM243" s="27" t="s">
        <v>8</v>
      </c>
      <c r="FN243" s="27" t="s">
        <v>7</v>
      </c>
      <c r="FO243" s="27" t="s">
        <v>8</v>
      </c>
      <c r="FP243" s="27" t="s">
        <v>7</v>
      </c>
      <c r="FQ243" s="27" t="s">
        <v>8</v>
      </c>
      <c r="FR243" s="27" t="s">
        <v>7</v>
      </c>
      <c r="FS243" s="27" t="s">
        <v>8</v>
      </c>
      <c r="FX243" s="27" t="s">
        <v>7</v>
      </c>
      <c r="FY243" s="27" t="s">
        <v>8</v>
      </c>
      <c r="FZ243" s="27" t="s">
        <v>7</v>
      </c>
      <c r="GA243" s="27" t="s">
        <v>8</v>
      </c>
      <c r="GB243" s="27" t="s">
        <v>7</v>
      </c>
      <c r="GC243" s="27" t="s">
        <v>8</v>
      </c>
      <c r="GD243" s="27" t="s">
        <v>7</v>
      </c>
      <c r="GE243" s="27" t="s">
        <v>8</v>
      </c>
      <c r="GF243" s="27" t="s">
        <v>7</v>
      </c>
      <c r="GG243" s="27" t="s">
        <v>8</v>
      </c>
      <c r="GK243" s="27" t="s">
        <v>8</v>
      </c>
      <c r="GL243" s="27" t="s">
        <v>7</v>
      </c>
      <c r="GM243" s="27" t="s">
        <v>8</v>
      </c>
      <c r="GN243" s="27" t="s">
        <v>7</v>
      </c>
      <c r="GO243" s="27" t="s">
        <v>8</v>
      </c>
      <c r="HD243" s="27" t="s">
        <v>7</v>
      </c>
      <c r="HE243" s="27" t="s">
        <v>8</v>
      </c>
      <c r="HF243" s="27" t="s">
        <v>7</v>
      </c>
      <c r="HG243" s="27" t="s">
        <v>8</v>
      </c>
      <c r="HH243" s="27" t="s">
        <v>7</v>
      </c>
    </row>
    <row r="244" spans="1:220" x14ac:dyDescent="0.25">
      <c r="A244" s="30">
        <v>0.82270247479188063</v>
      </c>
      <c r="B244"/>
      <c r="C244"/>
      <c r="D244"/>
      <c r="E244"/>
      <c r="F244" s="27" t="s">
        <v>7</v>
      </c>
      <c r="K244" s="27" t="s">
        <v>8</v>
      </c>
      <c r="L244" s="27" t="s">
        <v>7</v>
      </c>
      <c r="EI244" s="27" t="s">
        <v>8</v>
      </c>
      <c r="EJ244" s="27" t="s">
        <v>7</v>
      </c>
      <c r="EM244" s="27" t="s">
        <v>8</v>
      </c>
      <c r="EN244" s="27" t="s">
        <v>7</v>
      </c>
      <c r="EO244" s="27" t="s">
        <v>8</v>
      </c>
      <c r="EP244" s="27" t="s">
        <v>7</v>
      </c>
      <c r="EQ244" s="27" t="s">
        <v>8</v>
      </c>
      <c r="ES244" s="27" t="s">
        <v>8</v>
      </c>
      <c r="ET244" s="27" t="s">
        <v>7</v>
      </c>
      <c r="EU244" s="27" t="s">
        <v>8</v>
      </c>
      <c r="EV244" s="27" t="s">
        <v>7</v>
      </c>
      <c r="EW244" s="27" t="s">
        <v>8</v>
      </c>
      <c r="FH244" s="27" t="s">
        <v>7</v>
      </c>
      <c r="FI244" s="27" t="s">
        <v>8</v>
      </c>
      <c r="FL244" s="27" t="s">
        <v>7</v>
      </c>
      <c r="FM244" s="27" t="s">
        <v>8</v>
      </c>
      <c r="FN244" s="27" t="s">
        <v>7</v>
      </c>
      <c r="FO244" s="27" t="s">
        <v>8</v>
      </c>
      <c r="FP244" s="27" t="s">
        <v>7</v>
      </c>
      <c r="FQ244" s="27" t="s">
        <v>8</v>
      </c>
      <c r="FR244" s="27" t="s">
        <v>7</v>
      </c>
      <c r="FS244" s="27" t="s">
        <v>8</v>
      </c>
      <c r="FX244" s="27" t="s">
        <v>7</v>
      </c>
      <c r="FZ244" s="27" t="s">
        <v>7</v>
      </c>
      <c r="GA244" s="27" t="s">
        <v>8</v>
      </c>
      <c r="GB244" s="27" t="s">
        <v>7</v>
      </c>
      <c r="GC244" s="27" t="s">
        <v>8</v>
      </c>
      <c r="GD244" s="27" t="s">
        <v>7</v>
      </c>
      <c r="GE244" s="27" t="s">
        <v>8</v>
      </c>
      <c r="GF244" s="27" t="s">
        <v>7</v>
      </c>
      <c r="GG244" s="27" t="s">
        <v>8</v>
      </c>
      <c r="GH244" s="27" t="s">
        <v>7</v>
      </c>
      <c r="GI244" s="27" t="s">
        <v>8</v>
      </c>
      <c r="GK244" s="27" t="s">
        <v>8</v>
      </c>
      <c r="GL244" s="27" t="s">
        <v>7</v>
      </c>
      <c r="GM244" s="27" t="s">
        <v>8</v>
      </c>
      <c r="GN244" s="27" t="s">
        <v>7</v>
      </c>
      <c r="HD244" s="27" t="s">
        <v>7</v>
      </c>
      <c r="HE244" s="27" t="s">
        <v>8</v>
      </c>
      <c r="HF244" s="27" t="s">
        <v>7</v>
      </c>
      <c r="HG244" s="27" t="s">
        <v>8</v>
      </c>
      <c r="HH244" s="27" t="s">
        <v>7</v>
      </c>
      <c r="HI244" s="27" t="s">
        <v>8</v>
      </c>
      <c r="HK244" s="27" t="s">
        <v>8</v>
      </c>
    </row>
    <row r="245" spans="1:220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K245" s="27" t="s">
        <v>8</v>
      </c>
      <c r="L245" s="27" t="s">
        <v>7</v>
      </c>
      <c r="EI245" s="27" t="s">
        <v>8</v>
      </c>
      <c r="EJ245" s="27" t="s">
        <v>7</v>
      </c>
      <c r="EM245" s="27" t="s">
        <v>8</v>
      </c>
      <c r="EN245" s="27" t="s">
        <v>7</v>
      </c>
      <c r="EO245" s="27" t="s">
        <v>8</v>
      </c>
      <c r="EP245" s="27" t="s">
        <v>7</v>
      </c>
      <c r="EQ245" s="27" t="s">
        <v>8</v>
      </c>
      <c r="ER245" s="27" t="s">
        <v>7</v>
      </c>
      <c r="ES245" s="27" t="s">
        <v>8</v>
      </c>
      <c r="ET245" s="27" t="s">
        <v>7</v>
      </c>
      <c r="EU245" s="27" t="s">
        <v>8</v>
      </c>
      <c r="EV245" s="27" t="s">
        <v>7</v>
      </c>
      <c r="EW245" s="27" t="s">
        <v>8</v>
      </c>
      <c r="FH245" s="27" t="s">
        <v>7</v>
      </c>
      <c r="FI245" s="27" t="s">
        <v>8</v>
      </c>
      <c r="FL245" s="27" t="s">
        <v>7</v>
      </c>
      <c r="FM245" s="27" t="s">
        <v>8</v>
      </c>
      <c r="FN245" s="27" t="s">
        <v>7</v>
      </c>
      <c r="FO245" s="27" t="s">
        <v>8</v>
      </c>
      <c r="FP245" s="27" t="s">
        <v>7</v>
      </c>
      <c r="FQ245" s="27" t="s">
        <v>8</v>
      </c>
      <c r="FR245" s="27" t="s">
        <v>7</v>
      </c>
      <c r="FZ245" s="27" t="s">
        <v>7</v>
      </c>
      <c r="GA245" s="27" t="s">
        <v>8</v>
      </c>
      <c r="GB245" s="27" t="s">
        <v>7</v>
      </c>
      <c r="GC245" s="27" t="s">
        <v>8</v>
      </c>
      <c r="GD245" s="27" t="s">
        <v>7</v>
      </c>
      <c r="GE245" s="27" t="s">
        <v>8</v>
      </c>
      <c r="GF245" s="27" t="s">
        <v>7</v>
      </c>
      <c r="GG245" s="27" t="s">
        <v>8</v>
      </c>
      <c r="GH245" s="27" t="s">
        <v>7</v>
      </c>
      <c r="GI245" s="27" t="s">
        <v>8</v>
      </c>
      <c r="GJ245" s="27" t="s">
        <v>7</v>
      </c>
      <c r="GK245" s="27" t="s">
        <v>8</v>
      </c>
      <c r="GL245" s="27" t="s">
        <v>7</v>
      </c>
      <c r="HD245" s="27" t="s">
        <v>7</v>
      </c>
      <c r="HF245" s="27" t="s">
        <v>7</v>
      </c>
      <c r="HG245" s="27" t="s">
        <v>8</v>
      </c>
      <c r="HH245" s="27" t="s">
        <v>7</v>
      </c>
      <c r="HI245" s="27" t="s">
        <v>8</v>
      </c>
      <c r="HJ245" s="27" t="s">
        <v>7</v>
      </c>
      <c r="HK245" s="27" t="s">
        <v>8</v>
      </c>
      <c r="HL245" s="27" t="s">
        <v>7</v>
      </c>
    </row>
    <row r="246" spans="1:220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K246" s="27" t="s">
        <v>8</v>
      </c>
      <c r="L246" s="27" t="s">
        <v>7</v>
      </c>
      <c r="EI246" s="27" t="s">
        <v>8</v>
      </c>
      <c r="EJ246" s="27" t="s">
        <v>7</v>
      </c>
      <c r="EM246" s="27" t="s">
        <v>8</v>
      </c>
      <c r="EN246" s="27" t="s">
        <v>7</v>
      </c>
      <c r="EP246" s="27" t="s">
        <v>7</v>
      </c>
      <c r="EQ246" s="27" t="s">
        <v>8</v>
      </c>
      <c r="ER246" s="27" t="s">
        <v>7</v>
      </c>
      <c r="ES246" s="27" t="s">
        <v>8</v>
      </c>
      <c r="ET246" s="27" t="s">
        <v>7</v>
      </c>
      <c r="EV246" s="27" t="s">
        <v>7</v>
      </c>
      <c r="EW246" s="27" t="s">
        <v>8</v>
      </c>
      <c r="FH246" s="27" t="s">
        <v>7</v>
      </c>
      <c r="FI246" s="27" t="s">
        <v>8</v>
      </c>
      <c r="FL246" s="27" t="s">
        <v>7</v>
      </c>
      <c r="FN246" s="27" t="s">
        <v>7</v>
      </c>
      <c r="FO246" s="27" t="s">
        <v>8</v>
      </c>
      <c r="FP246" s="27" t="s">
        <v>7</v>
      </c>
      <c r="FQ246" s="27" t="s">
        <v>8</v>
      </c>
      <c r="FZ246" s="27" t="s">
        <v>7</v>
      </c>
      <c r="GB246" s="27" t="s">
        <v>7</v>
      </c>
      <c r="GC246" s="27" t="s">
        <v>8</v>
      </c>
      <c r="GD246" s="27" t="s">
        <v>7</v>
      </c>
      <c r="GE246" s="27" t="s">
        <v>8</v>
      </c>
      <c r="GF246" s="27" t="s">
        <v>7</v>
      </c>
      <c r="GG246" s="27" t="s">
        <v>8</v>
      </c>
      <c r="GH246" s="27" t="s">
        <v>7</v>
      </c>
      <c r="GI246" s="27" t="s">
        <v>8</v>
      </c>
      <c r="GJ246" s="27" t="s">
        <v>7</v>
      </c>
      <c r="GK246" s="27" t="s">
        <v>8</v>
      </c>
      <c r="HF246" s="27" t="s">
        <v>7</v>
      </c>
      <c r="HG246" s="27" t="s">
        <v>8</v>
      </c>
      <c r="HH246" s="27" t="s">
        <v>7</v>
      </c>
      <c r="HI246" s="27" t="s">
        <v>8</v>
      </c>
      <c r="HJ246" s="27" t="s">
        <v>7</v>
      </c>
      <c r="HK246" s="27" t="s">
        <v>8</v>
      </c>
      <c r="HL246" s="27" t="s">
        <v>7</v>
      </c>
    </row>
    <row r="247" spans="1:220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K247" s="27" t="s">
        <v>8</v>
      </c>
      <c r="L247" s="27" t="s">
        <v>7</v>
      </c>
      <c r="EI247" s="27" t="s">
        <v>8</v>
      </c>
      <c r="EJ247" s="27" t="s">
        <v>7</v>
      </c>
      <c r="EM247" s="27" t="s">
        <v>8</v>
      </c>
      <c r="EP247" s="27" t="s">
        <v>7</v>
      </c>
      <c r="ER247" s="27" t="s">
        <v>7</v>
      </c>
      <c r="ES247" s="27" t="s">
        <v>8</v>
      </c>
      <c r="EV247" s="27" t="s">
        <v>7</v>
      </c>
      <c r="EW247" s="27" t="s">
        <v>8</v>
      </c>
      <c r="FH247" s="27" t="s">
        <v>7</v>
      </c>
      <c r="FI247" s="27" t="s">
        <v>8</v>
      </c>
      <c r="FN247" s="27" t="s">
        <v>7</v>
      </c>
      <c r="FO247" s="27" t="s">
        <v>8</v>
      </c>
      <c r="FP247" s="27" t="s">
        <v>7</v>
      </c>
      <c r="FQ247" s="27" t="s">
        <v>8</v>
      </c>
      <c r="GB247" s="27" t="s">
        <v>7</v>
      </c>
      <c r="GC247" s="27" t="s">
        <v>8</v>
      </c>
      <c r="GD247" s="27" t="s">
        <v>7</v>
      </c>
      <c r="GE247" s="27" t="s">
        <v>8</v>
      </c>
      <c r="GF247" s="27" t="s">
        <v>7</v>
      </c>
      <c r="GG247" s="27" t="s">
        <v>8</v>
      </c>
      <c r="GH247" s="27" t="s">
        <v>7</v>
      </c>
      <c r="GI247" s="27" t="s">
        <v>8</v>
      </c>
      <c r="GJ247" s="27" t="s">
        <v>7</v>
      </c>
      <c r="HF247" s="27" t="s">
        <v>7</v>
      </c>
      <c r="HH247" s="27" t="s">
        <v>7</v>
      </c>
      <c r="HI247" s="27" t="s">
        <v>8</v>
      </c>
      <c r="HJ247" s="27" t="s">
        <v>7</v>
      </c>
      <c r="HK247" s="27" t="s">
        <v>8</v>
      </c>
      <c r="HL247" s="27" t="s">
        <v>7</v>
      </c>
    </row>
    <row r="248" spans="1:220" x14ac:dyDescent="0.25">
      <c r="A248" s="30">
        <v>0.676839362028685</v>
      </c>
      <c r="B248"/>
      <c r="C248"/>
      <c r="D248"/>
      <c r="E248"/>
      <c r="F248" s="27" t="s">
        <v>7</v>
      </c>
      <c r="H248" s="27" t="s">
        <v>7</v>
      </c>
      <c r="K248" s="27" t="s">
        <v>8</v>
      </c>
      <c r="L248" s="27" t="s">
        <v>7</v>
      </c>
      <c r="M248" s="27" t="s">
        <v>8</v>
      </c>
      <c r="EI248" s="27" t="s">
        <v>8</v>
      </c>
      <c r="EJ248" s="27" t="s">
        <v>7</v>
      </c>
      <c r="EM248" s="27" t="s">
        <v>8</v>
      </c>
      <c r="ER248" s="27" t="s">
        <v>7</v>
      </c>
      <c r="EV248" s="27" t="s">
        <v>7</v>
      </c>
      <c r="FH248" s="27" t="s">
        <v>7</v>
      </c>
      <c r="FI248" s="27" t="s">
        <v>8</v>
      </c>
      <c r="FN248" s="27" t="s">
        <v>7</v>
      </c>
      <c r="FP248" s="27" t="s">
        <v>7</v>
      </c>
      <c r="FQ248" s="27" t="s">
        <v>8</v>
      </c>
      <c r="GB248" s="27" t="s">
        <v>7</v>
      </c>
      <c r="GC248" s="27" t="s">
        <v>8</v>
      </c>
      <c r="GD248" s="27" t="s">
        <v>7</v>
      </c>
      <c r="GF248" s="27" t="s">
        <v>7</v>
      </c>
      <c r="GH248" s="27" t="s">
        <v>7</v>
      </c>
      <c r="GI248" s="27" t="s">
        <v>8</v>
      </c>
      <c r="HH248" s="27" t="s">
        <v>7</v>
      </c>
      <c r="HJ248" s="27" t="s">
        <v>7</v>
      </c>
      <c r="HK248" s="27" t="s">
        <v>8</v>
      </c>
      <c r="HL248" s="27" t="s">
        <v>7</v>
      </c>
    </row>
    <row r="249" spans="1:220" x14ac:dyDescent="0.25">
      <c r="A249" s="30">
        <v>0.64460891621779492</v>
      </c>
      <c r="B249"/>
      <c r="C249"/>
      <c r="D249"/>
      <c r="E249"/>
      <c r="H249" s="27" t="s">
        <v>7</v>
      </c>
      <c r="K249" s="27" t="s">
        <v>8</v>
      </c>
      <c r="L249" s="27" t="s">
        <v>7</v>
      </c>
      <c r="M249" s="27" t="s">
        <v>8</v>
      </c>
      <c r="N249" s="27" t="s">
        <v>7</v>
      </c>
      <c r="O249" s="27" t="s">
        <v>8</v>
      </c>
      <c r="EI249" s="27" t="s">
        <v>8</v>
      </c>
      <c r="EJ249" s="27" t="s">
        <v>7</v>
      </c>
      <c r="EK249" s="27" t="s">
        <v>8</v>
      </c>
      <c r="EM249" s="27" t="s">
        <v>8</v>
      </c>
      <c r="FH249" s="27" t="s">
        <v>7</v>
      </c>
      <c r="FI249" s="27" t="s">
        <v>8</v>
      </c>
      <c r="FP249" s="27" t="s">
        <v>7</v>
      </c>
      <c r="FQ249" s="27" t="s">
        <v>8</v>
      </c>
      <c r="GB249" s="27" t="s">
        <v>7</v>
      </c>
      <c r="GC249" s="27" t="s">
        <v>8</v>
      </c>
      <c r="GH249" s="18" t="s">
        <v>7</v>
      </c>
      <c r="GI249" s="27" t="s">
        <v>8</v>
      </c>
      <c r="HJ249" s="27" t="s">
        <v>7</v>
      </c>
      <c r="HK249" s="27" t="s">
        <v>8</v>
      </c>
      <c r="HL249" s="27" t="s">
        <v>7</v>
      </c>
    </row>
    <row r="250" spans="1:220" x14ac:dyDescent="0.25">
      <c r="A250" s="30">
        <v>0.61391325354075688</v>
      </c>
      <c r="B250"/>
      <c r="C250"/>
      <c r="D250"/>
      <c r="E250"/>
      <c r="H250" s="27" t="s">
        <v>7</v>
      </c>
      <c r="K250" s="27" t="s">
        <v>8</v>
      </c>
      <c r="L250" s="27" t="s">
        <v>7</v>
      </c>
      <c r="M250" s="27" t="s">
        <v>8</v>
      </c>
      <c r="N250" s="27" t="s">
        <v>7</v>
      </c>
      <c r="O250" s="27" t="s">
        <v>8</v>
      </c>
      <c r="P250" s="27" t="s">
        <v>7</v>
      </c>
      <c r="EI250" s="27" t="s">
        <v>8</v>
      </c>
      <c r="EJ250" s="27" t="s">
        <v>7</v>
      </c>
      <c r="EK250" s="27" t="s">
        <v>8</v>
      </c>
      <c r="EL250" s="27" t="s">
        <v>7</v>
      </c>
      <c r="EM250" s="27" t="s">
        <v>8</v>
      </c>
      <c r="FH250" s="27" t="s">
        <v>7</v>
      </c>
      <c r="FP250" s="27" t="s">
        <v>7</v>
      </c>
      <c r="FQ250" s="27" t="s">
        <v>8</v>
      </c>
      <c r="GB250" s="27" t="s">
        <v>7</v>
      </c>
      <c r="GC250" s="27" t="s">
        <v>8</v>
      </c>
      <c r="GH250" s="27" t="s">
        <v>7</v>
      </c>
      <c r="GI250" s="27" t="s">
        <v>8</v>
      </c>
      <c r="HJ250" s="27" t="s">
        <v>7</v>
      </c>
      <c r="HK250" s="27" t="s">
        <v>8</v>
      </c>
      <c r="HL250" s="27" t="s">
        <v>7</v>
      </c>
    </row>
    <row r="251" spans="1:220" x14ac:dyDescent="0.25">
      <c r="A251" s="30">
        <v>0.58467928908643485</v>
      </c>
      <c r="B251"/>
      <c r="C251"/>
      <c r="D251"/>
      <c r="E251"/>
      <c r="H251" s="27" t="s">
        <v>7</v>
      </c>
      <c r="I251" s="27" t="s">
        <v>8</v>
      </c>
      <c r="K251" s="27" t="s">
        <v>8</v>
      </c>
      <c r="L251" s="27" t="s">
        <v>7</v>
      </c>
      <c r="M251" s="27" t="s">
        <v>8</v>
      </c>
      <c r="N251" s="27" t="s">
        <v>7</v>
      </c>
      <c r="O251" s="27" t="s">
        <v>8</v>
      </c>
      <c r="P251" s="27" t="s">
        <v>7</v>
      </c>
      <c r="EI251" s="27" t="s">
        <v>8</v>
      </c>
      <c r="EJ251" s="27" t="s">
        <v>7</v>
      </c>
      <c r="EK251" s="27" t="s">
        <v>8</v>
      </c>
      <c r="EL251" s="27" t="s">
        <v>7</v>
      </c>
      <c r="EM251" s="27" t="s">
        <v>8</v>
      </c>
      <c r="FP251" s="27" t="s">
        <v>7</v>
      </c>
      <c r="GB251" s="27" t="s">
        <v>7</v>
      </c>
      <c r="GC251" s="27" t="s">
        <v>8</v>
      </c>
      <c r="GH251" s="27" t="s">
        <v>7</v>
      </c>
      <c r="HJ251" s="27" t="s">
        <v>7</v>
      </c>
      <c r="HL251" s="27" t="s">
        <v>7</v>
      </c>
    </row>
    <row r="252" spans="1:220" x14ac:dyDescent="0.25">
      <c r="A252" s="30">
        <v>0.55683741817755672</v>
      </c>
      <c r="B252"/>
      <c r="C252"/>
      <c r="D252"/>
      <c r="E252"/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N252" s="27" t="s">
        <v>7</v>
      </c>
      <c r="O252" s="27" t="s">
        <v>8</v>
      </c>
      <c r="P252" s="27" t="s">
        <v>7</v>
      </c>
      <c r="EI252" s="27" t="s">
        <v>8</v>
      </c>
      <c r="EJ252" s="27" t="s">
        <v>7</v>
      </c>
      <c r="EK252" s="27" t="s">
        <v>8</v>
      </c>
      <c r="EL252" s="27" t="s">
        <v>7</v>
      </c>
      <c r="EM252" s="27" t="s">
        <v>8</v>
      </c>
      <c r="GB252" s="27" t="s">
        <v>7</v>
      </c>
      <c r="GC252" s="27" t="s">
        <v>8</v>
      </c>
      <c r="HL252" s="27" t="s">
        <v>7</v>
      </c>
    </row>
    <row r="253" spans="1:220" x14ac:dyDescent="0.25">
      <c r="A253" s="30">
        <v>0.53032135064529184</v>
      </c>
      <c r="B253"/>
      <c r="C253"/>
      <c r="D253"/>
      <c r="E253"/>
      <c r="H253" s="27" t="s">
        <v>7</v>
      </c>
      <c r="I253" s="27" t="s">
        <v>8</v>
      </c>
      <c r="J253" s="27" t="s">
        <v>7</v>
      </c>
      <c r="K253" s="27" t="s">
        <v>8</v>
      </c>
      <c r="N253" s="27" t="s">
        <v>7</v>
      </c>
      <c r="O253" s="27" t="s">
        <v>8</v>
      </c>
      <c r="P253" s="27" t="s">
        <v>7</v>
      </c>
      <c r="EI253" s="27" t="s">
        <v>8</v>
      </c>
      <c r="EJ253" s="27" t="s">
        <v>7</v>
      </c>
      <c r="EK253" s="27" t="s">
        <v>8</v>
      </c>
      <c r="EL253" s="27" t="s">
        <v>7</v>
      </c>
      <c r="EM253" s="27" t="s">
        <v>8</v>
      </c>
      <c r="GB253" s="27" t="s">
        <v>7</v>
      </c>
      <c r="GC253" s="27" t="s">
        <v>8</v>
      </c>
    </row>
    <row r="254" spans="1:220" x14ac:dyDescent="0.25">
      <c r="A254" s="30">
        <v>0.50506795299551588</v>
      </c>
      <c r="B254"/>
      <c r="C254"/>
      <c r="D254"/>
      <c r="E254"/>
      <c r="H254" s="27" t="s">
        <v>7</v>
      </c>
      <c r="I254" s="27" t="s">
        <v>8</v>
      </c>
      <c r="J254" s="27" t="s">
        <v>7</v>
      </c>
      <c r="K254" s="27" t="s">
        <v>8</v>
      </c>
      <c r="N254" s="27" t="s">
        <v>7</v>
      </c>
      <c r="P254" s="27" t="s">
        <v>7</v>
      </c>
      <c r="W254" s="27" t="s">
        <v>8</v>
      </c>
      <c r="EI254" s="27" t="s">
        <v>8</v>
      </c>
      <c r="EJ254" s="27" t="s">
        <v>7</v>
      </c>
      <c r="EK254" s="27" t="s">
        <v>8</v>
      </c>
      <c r="EL254" s="27" t="s">
        <v>7</v>
      </c>
      <c r="EM254" s="27" t="s">
        <v>8</v>
      </c>
      <c r="GB254" s="27" t="s">
        <v>7</v>
      </c>
      <c r="GC254" s="27" t="s">
        <v>8</v>
      </c>
    </row>
    <row r="255" spans="1:220" x14ac:dyDescent="0.25">
      <c r="A255" s="30">
        <v>0.48101709809096732</v>
      </c>
      <c r="E255"/>
      <c r="H255" s="27" t="s">
        <v>7</v>
      </c>
      <c r="J255" s="27" t="s">
        <v>7</v>
      </c>
      <c r="P255" s="27" t="s">
        <v>7</v>
      </c>
      <c r="S255" s="27" t="s">
        <v>8</v>
      </c>
      <c r="U255" s="27" t="s">
        <v>8</v>
      </c>
      <c r="W255" s="27" t="s">
        <v>8</v>
      </c>
      <c r="X255" s="27" t="s">
        <v>7</v>
      </c>
      <c r="EI255" s="27" t="s">
        <v>8</v>
      </c>
      <c r="EJ255" s="27" t="s">
        <v>7</v>
      </c>
      <c r="EK255" s="27" t="s">
        <v>8</v>
      </c>
      <c r="EL255" s="27" t="s">
        <v>7</v>
      </c>
      <c r="EM255" s="27" t="s">
        <v>8</v>
      </c>
      <c r="GB255" s="27" t="s">
        <v>7</v>
      </c>
      <c r="GC255" s="27" t="s">
        <v>8</v>
      </c>
    </row>
    <row r="256" spans="1:220" x14ac:dyDescent="0.25">
      <c r="A256" s="30">
        <v>0.45811152199139726</v>
      </c>
      <c r="E256"/>
      <c r="P256" s="27" t="s">
        <v>7</v>
      </c>
      <c r="Q256" s="27" t="s">
        <v>8</v>
      </c>
      <c r="S256" s="27" t="s">
        <v>8</v>
      </c>
      <c r="T256" s="27" t="s">
        <v>7</v>
      </c>
      <c r="U256" s="27" t="s">
        <v>8</v>
      </c>
      <c r="V256" s="27" t="s">
        <v>7</v>
      </c>
      <c r="W256" s="27" t="s">
        <v>8</v>
      </c>
      <c r="X256" s="27" t="s">
        <v>7</v>
      </c>
      <c r="Y256" s="27" t="s">
        <v>8</v>
      </c>
      <c r="EG256" s="27" t="s">
        <v>8</v>
      </c>
      <c r="EI256" s="27" t="s">
        <v>8</v>
      </c>
      <c r="EJ256" s="27" t="s">
        <v>7</v>
      </c>
      <c r="EK256" s="27" t="s">
        <v>8</v>
      </c>
      <c r="EL256" s="27" t="s">
        <v>7</v>
      </c>
      <c r="EM256" s="27" t="s">
        <v>8</v>
      </c>
      <c r="GB256" s="27" t="s">
        <v>7</v>
      </c>
      <c r="GC256" s="27" t="s">
        <v>8</v>
      </c>
    </row>
    <row r="257" spans="1:185" x14ac:dyDescent="0.25">
      <c r="A257" s="30">
        <v>0.43629668761085438</v>
      </c>
      <c r="B257"/>
      <c r="C257"/>
      <c r="D257"/>
      <c r="E257"/>
      <c r="P257" s="27" t="s">
        <v>7</v>
      </c>
      <c r="Q257" s="27" t="s">
        <v>8</v>
      </c>
      <c r="R257" s="27" t="s">
        <v>7</v>
      </c>
      <c r="S257" s="27" t="s">
        <v>8</v>
      </c>
      <c r="T257" s="27" t="s">
        <v>7</v>
      </c>
      <c r="U257" s="27" t="s">
        <v>8</v>
      </c>
      <c r="V257" s="27" t="s">
        <v>7</v>
      </c>
      <c r="W257" s="27" t="s">
        <v>8</v>
      </c>
      <c r="X257" s="27" t="s">
        <v>7</v>
      </c>
      <c r="Y257" s="27" t="s">
        <v>8</v>
      </c>
      <c r="Z257" s="27" t="s">
        <v>7</v>
      </c>
      <c r="EE257" s="27" t="s">
        <v>8</v>
      </c>
      <c r="EG257" s="27" t="s">
        <v>8</v>
      </c>
      <c r="EH257" s="27" t="s">
        <v>7</v>
      </c>
      <c r="EI257" s="27" t="s">
        <v>8</v>
      </c>
      <c r="EJ257" s="27" t="s">
        <v>7</v>
      </c>
      <c r="EK257" s="27" t="s">
        <v>8</v>
      </c>
      <c r="EL257" s="27" t="s">
        <v>7</v>
      </c>
      <c r="EM257" s="27" t="s">
        <v>8</v>
      </c>
      <c r="GB257" s="27" t="s">
        <v>7</v>
      </c>
      <c r="GC257" s="27" t="s">
        <v>8</v>
      </c>
    </row>
    <row r="258" spans="1:185" x14ac:dyDescent="0.25">
      <c r="A258" s="30">
        <v>0.41552065486748019</v>
      </c>
      <c r="B258"/>
      <c r="C258"/>
      <c r="D258"/>
      <c r="E258"/>
      <c r="P258" s="27" t="s">
        <v>7</v>
      </c>
      <c r="Q258" s="27" t="s">
        <v>8</v>
      </c>
      <c r="R258" s="27" t="s">
        <v>7</v>
      </c>
      <c r="S258" s="27" t="s">
        <v>8</v>
      </c>
      <c r="T258" s="27" t="s">
        <v>7</v>
      </c>
      <c r="V258" s="27" t="s">
        <v>7</v>
      </c>
      <c r="X258" s="27" t="s">
        <v>7</v>
      </c>
      <c r="Y258" s="27" t="s">
        <v>8</v>
      </c>
      <c r="Z258" s="27" t="s">
        <v>7</v>
      </c>
      <c r="EE258" s="27" t="s">
        <v>8</v>
      </c>
      <c r="EF258" s="27" t="s">
        <v>7</v>
      </c>
      <c r="EG258" s="27" t="s">
        <v>8</v>
      </c>
      <c r="EH258" s="27" t="s">
        <v>7</v>
      </c>
      <c r="EI258" s="27" t="s">
        <v>8</v>
      </c>
      <c r="EJ258" s="27" t="s">
        <v>7</v>
      </c>
      <c r="EK258" s="27" t="s">
        <v>8</v>
      </c>
      <c r="EL258" s="27" t="s">
        <v>7</v>
      </c>
      <c r="GB258" s="27" t="s">
        <v>7</v>
      </c>
      <c r="GC258" s="27" t="s">
        <v>8</v>
      </c>
    </row>
    <row r="259" spans="1:185" x14ac:dyDescent="0.25">
      <c r="A259" s="30">
        <v>0.39573395701664765</v>
      </c>
      <c r="B259"/>
      <c r="C259"/>
      <c r="D259"/>
      <c r="E259"/>
      <c r="P259" s="27" t="s">
        <v>7</v>
      </c>
      <c r="Q259" s="27" t="s">
        <v>8</v>
      </c>
      <c r="R259" s="27" t="s">
        <v>7</v>
      </c>
      <c r="S259" s="27" t="s">
        <v>8</v>
      </c>
      <c r="X259" s="27" t="s">
        <v>7</v>
      </c>
      <c r="Y259" s="27" t="s">
        <v>8</v>
      </c>
      <c r="Z259" s="27" t="s">
        <v>7</v>
      </c>
      <c r="EE259" s="27" t="s">
        <v>8</v>
      </c>
      <c r="EF259" s="27" t="s">
        <v>7</v>
      </c>
      <c r="EG259" s="27" t="s">
        <v>8</v>
      </c>
      <c r="EH259" s="27" t="s">
        <v>7</v>
      </c>
      <c r="EI259" s="27" t="s">
        <v>8</v>
      </c>
      <c r="EJ259" s="27" t="s">
        <v>7</v>
      </c>
      <c r="EK259" s="27" t="s">
        <v>8</v>
      </c>
      <c r="GB259" s="27" t="s">
        <v>7</v>
      </c>
    </row>
    <row r="260" spans="1:185" x14ac:dyDescent="0.25">
      <c r="A260" s="30">
        <v>0.37688948287299762</v>
      </c>
      <c r="B260"/>
      <c r="C260"/>
      <c r="D260"/>
      <c r="E260"/>
      <c r="P260" s="27" t="s">
        <v>7</v>
      </c>
      <c r="Q260" s="27" t="s">
        <v>8</v>
      </c>
      <c r="R260" s="27" t="s">
        <v>7</v>
      </c>
      <c r="S260" s="27" t="s">
        <v>8</v>
      </c>
      <c r="X260" s="27" t="s">
        <v>7</v>
      </c>
      <c r="Z260" s="27" t="s">
        <v>7</v>
      </c>
      <c r="AA260" s="27" t="s">
        <v>8</v>
      </c>
      <c r="DE260" s="27" t="s">
        <v>8</v>
      </c>
      <c r="EE260" s="27" t="s">
        <v>8</v>
      </c>
      <c r="EF260" s="27" t="s">
        <v>7</v>
      </c>
      <c r="EG260" s="27" t="s">
        <v>8</v>
      </c>
      <c r="EH260" s="27" t="s">
        <v>7</v>
      </c>
      <c r="EJ260" s="27" t="s">
        <v>7</v>
      </c>
      <c r="EK260" s="27" t="s">
        <v>8</v>
      </c>
    </row>
    <row r="261" spans="1:185" x14ac:dyDescent="0.25">
      <c r="A261" s="30">
        <v>0.35894236464094997</v>
      </c>
      <c r="B261"/>
      <c r="C261"/>
      <c r="D261"/>
      <c r="E261"/>
      <c r="P261" s="27" t="s">
        <v>7</v>
      </c>
      <c r="R261" s="27" t="s">
        <v>7</v>
      </c>
      <c r="Z261" s="27" t="s">
        <v>7</v>
      </c>
      <c r="AA261" s="27" t="s">
        <v>8</v>
      </c>
      <c r="AB261" s="27" t="s">
        <v>7</v>
      </c>
      <c r="DE261" s="27" t="s">
        <v>8</v>
      </c>
      <c r="DF261" s="27" t="s">
        <v>7</v>
      </c>
      <c r="EC261" s="27" t="s">
        <v>8</v>
      </c>
      <c r="EE261" s="27" t="s">
        <v>8</v>
      </c>
      <c r="EF261" s="27" t="s">
        <v>7</v>
      </c>
      <c r="EG261" s="27" t="s">
        <v>8</v>
      </c>
      <c r="EJ261" s="27" t="s">
        <v>7</v>
      </c>
    </row>
    <row r="262" spans="1:185" x14ac:dyDescent="0.25">
      <c r="A262" s="30">
        <v>0.34184987108661891</v>
      </c>
      <c r="B262"/>
      <c r="C262"/>
      <c r="D262"/>
      <c r="E262"/>
      <c r="Z262" s="27" t="s">
        <v>7</v>
      </c>
      <c r="AA262" s="27" t="s">
        <v>8</v>
      </c>
      <c r="AB262" s="27" t="s">
        <v>7</v>
      </c>
      <c r="DE262" s="27" t="s">
        <v>8</v>
      </c>
      <c r="DF262" s="27" t="s">
        <v>7</v>
      </c>
      <c r="EC262" s="27" t="s">
        <v>8</v>
      </c>
      <c r="ED262" s="27" t="s">
        <v>7</v>
      </c>
      <c r="EE262" s="27" t="s">
        <v>8</v>
      </c>
      <c r="EF262" s="27" t="s">
        <v>7</v>
      </c>
      <c r="EG262" s="27" t="s">
        <v>8</v>
      </c>
    </row>
    <row r="263" spans="1:185" x14ac:dyDescent="0.25">
      <c r="A263" s="30">
        <v>0.32557130579677979</v>
      </c>
      <c r="B263"/>
      <c r="C263"/>
      <c r="D263"/>
      <c r="E263"/>
      <c r="Z263" s="27" t="s">
        <v>7</v>
      </c>
      <c r="AA263" s="27" t="s">
        <v>8</v>
      </c>
      <c r="AB263" s="27" t="s">
        <v>7</v>
      </c>
      <c r="DE263" s="27" t="s">
        <v>8</v>
      </c>
      <c r="DF263" s="27" t="s">
        <v>7</v>
      </c>
      <c r="EC263" s="27" t="s">
        <v>8</v>
      </c>
      <c r="ED263" s="27" t="s">
        <v>7</v>
      </c>
      <c r="EE263" s="27" t="s">
        <v>8</v>
      </c>
      <c r="EF263" s="27" t="s">
        <v>7</v>
      </c>
    </row>
    <row r="264" spans="1:185" x14ac:dyDescent="0.25">
      <c r="A264" s="30">
        <v>0.3100679102826473</v>
      </c>
      <c r="B264"/>
      <c r="C264"/>
      <c r="D264"/>
      <c r="E264"/>
      <c r="Z264" s="27" t="s">
        <v>7</v>
      </c>
      <c r="AA264" s="27" t="s">
        <v>8</v>
      </c>
      <c r="AB264" s="27" t="s">
        <v>7</v>
      </c>
      <c r="DE264" s="27" t="s">
        <v>8</v>
      </c>
      <c r="DF264" s="27" t="s">
        <v>7</v>
      </c>
      <c r="DG264" s="27" t="s">
        <v>8</v>
      </c>
      <c r="EC264" s="27" t="s">
        <v>8</v>
      </c>
      <c r="ED264" s="27" t="s">
        <v>7</v>
      </c>
      <c r="EE264" s="27" t="s">
        <v>8</v>
      </c>
    </row>
    <row r="265" spans="1:185" x14ac:dyDescent="0.25">
      <c r="A265" s="30">
        <v>0.2953027716977592</v>
      </c>
      <c r="B265"/>
      <c r="C265"/>
      <c r="D265"/>
      <c r="E265"/>
      <c r="Z265" s="27" t="s">
        <v>7</v>
      </c>
      <c r="AA265" s="27" t="s">
        <v>8</v>
      </c>
      <c r="AB265" s="27" t="s">
        <v>7</v>
      </c>
      <c r="AW265" s="27" t="s">
        <v>8</v>
      </c>
      <c r="CG265" s="27" t="s">
        <v>8</v>
      </c>
      <c r="DE265" s="27" t="s">
        <v>8</v>
      </c>
      <c r="DF265" s="27" t="s">
        <v>7</v>
      </c>
      <c r="DG265" s="27" t="s">
        <v>8</v>
      </c>
      <c r="DH265" s="27" t="s">
        <v>7</v>
      </c>
      <c r="DI265" s="27" t="s">
        <v>8</v>
      </c>
      <c r="EA265" s="27" t="s">
        <v>8</v>
      </c>
      <c r="EC265" s="27" t="s">
        <v>8</v>
      </c>
      <c r="ED265" s="27" t="s">
        <v>7</v>
      </c>
    </row>
    <row r="266" spans="1:185" x14ac:dyDescent="0.25">
      <c r="A266" s="30">
        <v>0.28124073495024676</v>
      </c>
      <c r="B266"/>
      <c r="C266"/>
      <c r="D266"/>
      <c r="E266"/>
      <c r="Z266" s="27" t="s">
        <v>7</v>
      </c>
      <c r="AA266" s="27" t="s">
        <v>8</v>
      </c>
      <c r="AB266" s="27" t="s">
        <v>7</v>
      </c>
      <c r="AW266" s="27" t="s">
        <v>8</v>
      </c>
      <c r="AX266" s="27" t="s">
        <v>7</v>
      </c>
      <c r="CE266" s="27" t="s">
        <v>8</v>
      </c>
      <c r="CG266" s="27" t="s">
        <v>8</v>
      </c>
      <c r="CH266" s="27" t="s">
        <v>7</v>
      </c>
      <c r="DE266" s="27" t="s">
        <v>8</v>
      </c>
      <c r="DF266" s="27" t="s">
        <v>7</v>
      </c>
      <c r="DG266" s="27" t="s">
        <v>8</v>
      </c>
      <c r="DH266" s="27" t="s">
        <v>7</v>
      </c>
      <c r="DI266" s="27" t="s">
        <v>8</v>
      </c>
      <c r="DJ266" s="27" t="s">
        <v>7</v>
      </c>
      <c r="EA266" s="27" t="s">
        <v>8</v>
      </c>
      <c r="EB266" s="27" t="s">
        <v>7</v>
      </c>
      <c r="EC266" s="27" t="s">
        <v>8</v>
      </c>
    </row>
    <row r="267" spans="1:185" x14ac:dyDescent="0.25">
      <c r="A267" s="30">
        <v>0.26784831900023492</v>
      </c>
      <c r="B267"/>
      <c r="C267"/>
      <c r="D267"/>
      <c r="E267"/>
      <c r="Z267" s="27" t="s">
        <v>7</v>
      </c>
      <c r="AB267" s="27" t="s">
        <v>7</v>
      </c>
      <c r="AC267" s="27" t="s">
        <v>8</v>
      </c>
      <c r="AW267" s="27" t="s">
        <v>8</v>
      </c>
      <c r="AX267" s="27" t="s">
        <v>7</v>
      </c>
      <c r="CE267" s="27" t="s">
        <v>8</v>
      </c>
      <c r="CF267" s="27" t="s">
        <v>7</v>
      </c>
      <c r="CG267" s="27" t="s">
        <v>8</v>
      </c>
      <c r="CH267" s="27" t="s">
        <v>7</v>
      </c>
      <c r="DE267" s="27" t="s">
        <v>8</v>
      </c>
      <c r="DF267" s="27" t="s">
        <v>7</v>
      </c>
      <c r="DG267" s="27" t="s">
        <v>8</v>
      </c>
      <c r="DH267" s="27" t="s">
        <v>7</v>
      </c>
      <c r="DI267" s="27" t="s">
        <v>8</v>
      </c>
      <c r="DJ267" s="27" t="s">
        <v>7</v>
      </c>
      <c r="EA267" s="27" t="s">
        <v>8</v>
      </c>
      <c r="EB267" s="27" t="s">
        <v>7</v>
      </c>
      <c r="EC267" s="27" t="s">
        <v>8</v>
      </c>
    </row>
    <row r="268" spans="1:185" x14ac:dyDescent="0.25">
      <c r="A268" s="30">
        <v>0.25509363714308075</v>
      </c>
      <c r="B268"/>
      <c r="C268"/>
      <c r="D268"/>
      <c r="E268"/>
      <c r="AB268" s="27" t="s">
        <v>7</v>
      </c>
      <c r="AC268" s="27" t="s">
        <v>8</v>
      </c>
      <c r="AD268" s="27" t="s">
        <v>7</v>
      </c>
      <c r="AW268" s="27" t="s">
        <v>8</v>
      </c>
      <c r="AX268" s="27" t="s">
        <v>7</v>
      </c>
      <c r="CE268" s="27" t="s">
        <v>8</v>
      </c>
      <c r="CF268" s="27" t="s">
        <v>7</v>
      </c>
      <c r="CG268" s="27" t="s">
        <v>8</v>
      </c>
      <c r="CH268" s="27" t="s">
        <v>7</v>
      </c>
      <c r="DE268" s="27" t="s">
        <v>8</v>
      </c>
      <c r="DF268" s="27" t="s">
        <v>7</v>
      </c>
      <c r="DG268" s="27" t="s">
        <v>8</v>
      </c>
      <c r="DH268" s="27" t="s">
        <v>7</v>
      </c>
      <c r="DI268" s="27" t="s">
        <v>8</v>
      </c>
      <c r="DJ268" s="27" t="s">
        <v>7</v>
      </c>
      <c r="DQ268" s="27" t="s">
        <v>8</v>
      </c>
      <c r="DS268" s="27" t="s">
        <v>8</v>
      </c>
      <c r="EA268" s="27" t="s">
        <v>8</v>
      </c>
      <c r="EB268" s="27" t="s">
        <v>7</v>
      </c>
      <c r="EC268" s="27" t="s">
        <v>8</v>
      </c>
    </row>
    <row r="269" spans="1:185" x14ac:dyDescent="0.25">
      <c r="A269" s="30">
        <v>0.24294632108864825</v>
      </c>
      <c r="B269"/>
      <c r="C269"/>
      <c r="D269"/>
      <c r="E269"/>
      <c r="AB269" s="27" t="s">
        <v>7</v>
      </c>
      <c r="AC269" s="27" t="s">
        <v>8</v>
      </c>
      <c r="AD269" s="27" t="s">
        <v>7</v>
      </c>
      <c r="AW269" s="27" t="s">
        <v>8</v>
      </c>
      <c r="AX269" s="27" t="s">
        <v>7</v>
      </c>
      <c r="CE269" s="27" t="s">
        <v>8</v>
      </c>
      <c r="CF269" s="27" t="s">
        <v>7</v>
      </c>
      <c r="CG269" s="27" t="s">
        <v>8</v>
      </c>
      <c r="CH269" s="27" t="s">
        <v>7</v>
      </c>
      <c r="DE269" s="27" t="s">
        <v>8</v>
      </c>
      <c r="DF269" s="27" t="s">
        <v>7</v>
      </c>
      <c r="DG269" s="27" t="s">
        <v>8</v>
      </c>
      <c r="DH269" s="27" t="s">
        <v>7</v>
      </c>
      <c r="DJ269" s="27" t="s">
        <v>7</v>
      </c>
      <c r="DK269" s="27" t="s">
        <v>8</v>
      </c>
      <c r="DQ269" s="27" t="s">
        <v>8</v>
      </c>
      <c r="DR269" s="27" t="s">
        <v>7</v>
      </c>
      <c r="DS269" s="27" t="s">
        <v>8</v>
      </c>
      <c r="DT269" s="27" t="s">
        <v>7</v>
      </c>
      <c r="DW269" s="27" t="s">
        <v>8</v>
      </c>
      <c r="EA269" s="27" t="s">
        <v>8</v>
      </c>
      <c r="EB269" s="27" t="s">
        <v>7</v>
      </c>
      <c r="EC269" s="27" t="s">
        <v>8</v>
      </c>
    </row>
    <row r="270" spans="1:185" x14ac:dyDescent="0.25">
      <c r="A270" s="30">
        <v>0.23137744865585538</v>
      </c>
      <c r="B270"/>
      <c r="C270"/>
      <c r="D270"/>
      <c r="E270"/>
      <c r="AB270" s="27" t="s">
        <v>7</v>
      </c>
      <c r="AC270" s="27" t="s">
        <v>8</v>
      </c>
      <c r="AD270" s="27" t="s">
        <v>7</v>
      </c>
      <c r="AW270" s="27" t="s">
        <v>8</v>
      </c>
      <c r="AX270" s="27" t="s">
        <v>7</v>
      </c>
      <c r="CE270" s="27" t="s">
        <v>8</v>
      </c>
      <c r="CF270" s="27" t="s">
        <v>7</v>
      </c>
      <c r="CG270" s="27" t="s">
        <v>8</v>
      </c>
      <c r="CH270" s="27" t="s">
        <v>7</v>
      </c>
      <c r="CI270" s="27" t="s">
        <v>8</v>
      </c>
      <c r="DE270" s="27" t="s">
        <v>8</v>
      </c>
      <c r="DF270" s="27" t="s">
        <v>7</v>
      </c>
      <c r="DG270" s="27" t="s">
        <v>8</v>
      </c>
      <c r="DJ270" s="27" t="s">
        <v>7</v>
      </c>
      <c r="DK270" s="27" t="s">
        <v>8</v>
      </c>
      <c r="DL270" s="27" t="s">
        <v>7</v>
      </c>
      <c r="DQ270" s="27" t="s">
        <v>8</v>
      </c>
      <c r="DR270" s="27" t="s">
        <v>7</v>
      </c>
      <c r="DS270" s="27" t="s">
        <v>8</v>
      </c>
      <c r="DT270" s="27" t="s">
        <v>7</v>
      </c>
      <c r="DU270" s="27" t="s">
        <v>8</v>
      </c>
      <c r="DW270" s="27" t="s">
        <v>8</v>
      </c>
      <c r="DX270" s="27" t="s">
        <v>7</v>
      </c>
      <c r="DY270" s="27" t="s">
        <v>8</v>
      </c>
      <c r="EA270" s="27" t="s">
        <v>8</v>
      </c>
      <c r="EB270" s="27" t="s">
        <v>7</v>
      </c>
    </row>
    <row r="271" spans="1:185" x14ac:dyDescent="0.25">
      <c r="A271" s="30">
        <v>0.22035947491033836</v>
      </c>
      <c r="B271"/>
      <c r="C271"/>
      <c r="D271"/>
      <c r="E271"/>
      <c r="AB271" s="27" t="s">
        <v>7</v>
      </c>
      <c r="AC271" s="27" t="s">
        <v>8</v>
      </c>
      <c r="AD271" s="27" t="s">
        <v>7</v>
      </c>
      <c r="AW271" s="27" t="s">
        <v>8</v>
      </c>
      <c r="AX271" s="27" t="s">
        <v>7</v>
      </c>
      <c r="BW271" s="27" t="s">
        <v>8</v>
      </c>
      <c r="CE271" s="27" t="s">
        <v>8</v>
      </c>
      <c r="CF271" s="27" t="s">
        <v>7</v>
      </c>
      <c r="CG271" s="27" t="s">
        <v>8</v>
      </c>
      <c r="CH271" s="27" t="s">
        <v>7</v>
      </c>
      <c r="CI271" s="27" t="s">
        <v>8</v>
      </c>
      <c r="CJ271" s="27" t="s">
        <v>7</v>
      </c>
      <c r="CK271" s="27" t="s">
        <v>8</v>
      </c>
      <c r="CO271" s="27" t="s">
        <v>8</v>
      </c>
      <c r="DE271" s="27" t="s">
        <v>8</v>
      </c>
      <c r="DF271" s="27" t="s">
        <v>7</v>
      </c>
      <c r="DG271" s="27" t="s">
        <v>8</v>
      </c>
      <c r="DJ271" s="27" t="s">
        <v>7</v>
      </c>
      <c r="DK271" s="27" t="s">
        <v>8</v>
      </c>
      <c r="DL271" s="27" t="s">
        <v>7</v>
      </c>
      <c r="DM271" s="27" t="s">
        <v>8</v>
      </c>
      <c r="DO271" s="27" t="s">
        <v>8</v>
      </c>
      <c r="DQ271" s="27" t="s">
        <v>8</v>
      </c>
      <c r="DR271" s="27" t="s">
        <v>7</v>
      </c>
      <c r="DS271" s="27" t="s">
        <v>8</v>
      </c>
      <c r="DT271" s="27" t="s">
        <v>7</v>
      </c>
      <c r="DU271" s="27" t="s">
        <v>8</v>
      </c>
      <c r="DV271" s="27" t="s">
        <v>7</v>
      </c>
      <c r="DW271" s="27" t="s">
        <v>8</v>
      </c>
      <c r="DX271" s="27" t="s">
        <v>7</v>
      </c>
      <c r="DY271" s="27" t="s">
        <v>8</v>
      </c>
      <c r="DZ271" s="27" t="s">
        <v>7</v>
      </c>
      <c r="EA271" s="27" t="s">
        <v>8</v>
      </c>
    </row>
    <row r="272" spans="1:185" x14ac:dyDescent="0.25">
      <c r="A272" s="30">
        <v>0.20986616658127455</v>
      </c>
      <c r="B272"/>
      <c r="C272"/>
      <c r="D272"/>
      <c r="E272"/>
      <c r="AB272" s="27" t="s">
        <v>7</v>
      </c>
      <c r="AD272" s="27" t="s">
        <v>7</v>
      </c>
      <c r="AE272" s="27" t="s">
        <v>8</v>
      </c>
      <c r="AG272" s="27" t="s">
        <v>8</v>
      </c>
      <c r="AI272" s="27" t="s">
        <v>8</v>
      </c>
      <c r="AW272" s="27" t="s">
        <v>8</v>
      </c>
      <c r="AX272" s="27" t="s">
        <v>7</v>
      </c>
      <c r="BW272" s="27" t="s">
        <v>8</v>
      </c>
      <c r="BX272" s="27" t="s">
        <v>7</v>
      </c>
      <c r="CE272" s="27" t="s">
        <v>8</v>
      </c>
      <c r="CF272" s="27" t="s">
        <v>7</v>
      </c>
      <c r="CH272" s="27" t="s">
        <v>7</v>
      </c>
      <c r="CI272" s="27" t="s">
        <v>8</v>
      </c>
      <c r="CJ272" s="27" t="s">
        <v>7</v>
      </c>
      <c r="CK272" s="27" t="s">
        <v>8</v>
      </c>
      <c r="CL272" s="27" t="s">
        <v>7</v>
      </c>
      <c r="CO272" s="27" t="s">
        <v>8</v>
      </c>
      <c r="CP272" s="27" t="s">
        <v>7</v>
      </c>
      <c r="DE272" s="27" t="s">
        <v>8</v>
      </c>
      <c r="DF272" s="27" t="s">
        <v>7</v>
      </c>
      <c r="DG272" s="27" t="s">
        <v>8</v>
      </c>
      <c r="DJ272" s="27" t="s">
        <v>7</v>
      </c>
      <c r="DK272" s="27" t="s">
        <v>8</v>
      </c>
      <c r="DL272" s="27" t="s">
        <v>7</v>
      </c>
      <c r="DM272" s="27" t="s">
        <v>8</v>
      </c>
      <c r="DN272" s="27" t="s">
        <v>7</v>
      </c>
      <c r="DO272" s="27" t="s">
        <v>8</v>
      </c>
      <c r="DP272" s="27" t="s">
        <v>7</v>
      </c>
      <c r="DQ272" s="27" t="s">
        <v>8</v>
      </c>
      <c r="DR272" s="27" t="s">
        <v>7</v>
      </c>
      <c r="DS272" s="27" t="s">
        <v>8</v>
      </c>
      <c r="DT272" s="27" t="s">
        <v>7</v>
      </c>
      <c r="DU272" s="27" t="s">
        <v>8</v>
      </c>
      <c r="DV272" s="27" t="s">
        <v>7</v>
      </c>
      <c r="DW272" s="27" t="s">
        <v>8</v>
      </c>
      <c r="DX272" s="27" t="s">
        <v>7</v>
      </c>
      <c r="DY272" s="27" t="s">
        <v>8</v>
      </c>
      <c r="DZ272" s="27" t="s">
        <v>7</v>
      </c>
      <c r="EA272" s="27" t="s">
        <v>8</v>
      </c>
    </row>
    <row r="273" spans="1:131" x14ac:dyDescent="0.25">
      <c r="A273" s="30">
        <v>0.19987253960121379</v>
      </c>
      <c r="B273"/>
      <c r="C273"/>
      <c r="D273"/>
      <c r="E273"/>
      <c r="AD273" s="27" t="s">
        <v>7</v>
      </c>
      <c r="AE273" s="27" t="s">
        <v>8</v>
      </c>
      <c r="AF273" s="27" t="s">
        <v>7</v>
      </c>
      <c r="AG273" s="27" t="s">
        <v>8</v>
      </c>
      <c r="AH273" s="27" t="s">
        <v>7</v>
      </c>
      <c r="AI273" s="27" t="s">
        <v>8</v>
      </c>
      <c r="AJ273" s="27" t="s">
        <v>7</v>
      </c>
      <c r="AK273" s="27" t="s">
        <v>8</v>
      </c>
      <c r="AW273" s="27" t="s">
        <v>8</v>
      </c>
      <c r="AX273" s="27" t="s">
        <v>7</v>
      </c>
      <c r="BW273" s="27" t="s">
        <v>8</v>
      </c>
      <c r="BX273" s="27" t="s">
        <v>7</v>
      </c>
      <c r="CE273" s="27" t="s">
        <v>8</v>
      </c>
      <c r="CH273" s="27" t="s">
        <v>7</v>
      </c>
      <c r="CJ273" s="27" t="s">
        <v>7</v>
      </c>
      <c r="CK273" s="27" t="s">
        <v>8</v>
      </c>
      <c r="CL273" s="27" t="s">
        <v>7</v>
      </c>
      <c r="CO273" s="27" t="s">
        <v>8</v>
      </c>
      <c r="CP273" s="27" t="s">
        <v>7</v>
      </c>
      <c r="DE273" s="27" t="s">
        <v>8</v>
      </c>
      <c r="DF273" s="27" t="s">
        <v>7</v>
      </c>
      <c r="DJ273" s="27" t="s">
        <v>7</v>
      </c>
      <c r="DK273" s="27" t="s">
        <v>8</v>
      </c>
      <c r="DL273" s="27" t="s">
        <v>7</v>
      </c>
      <c r="DM273" s="27" t="s">
        <v>8</v>
      </c>
      <c r="DN273" s="27" t="s">
        <v>7</v>
      </c>
      <c r="DO273" s="27" t="s">
        <v>8</v>
      </c>
      <c r="DP273" s="27" t="s">
        <v>7</v>
      </c>
      <c r="DQ273" s="27" t="s">
        <v>8</v>
      </c>
      <c r="DR273" s="27" t="s">
        <v>7</v>
      </c>
      <c r="DT273" s="27" t="s">
        <v>7</v>
      </c>
      <c r="DU273" s="27" t="s">
        <v>8</v>
      </c>
      <c r="DV273" s="27" t="s">
        <v>7</v>
      </c>
      <c r="DX273" s="27" t="s">
        <v>7</v>
      </c>
      <c r="DY273" s="27" t="s">
        <v>8</v>
      </c>
      <c r="DZ273" s="27" t="s">
        <v>7</v>
      </c>
      <c r="EA273" s="27" t="s">
        <v>8</v>
      </c>
    </row>
    <row r="274" spans="1:131" x14ac:dyDescent="0.25">
      <c r="A274" s="30">
        <v>0.19035479962020352</v>
      </c>
      <c r="B274"/>
      <c r="C274"/>
      <c r="D274"/>
      <c r="E274"/>
      <c r="AD274" s="27" t="s">
        <v>7</v>
      </c>
      <c r="AE274" s="27" t="s">
        <v>8</v>
      </c>
      <c r="AF274" s="27" t="s">
        <v>7</v>
      </c>
      <c r="AG274" s="27" t="s">
        <v>8</v>
      </c>
      <c r="AH274" s="27" t="s">
        <v>7</v>
      </c>
      <c r="AI274" s="27" t="s">
        <v>8</v>
      </c>
      <c r="AJ274" s="27" t="s">
        <v>7</v>
      </c>
      <c r="AK274" s="27" t="s">
        <v>8</v>
      </c>
      <c r="AL274" s="27" t="s">
        <v>7</v>
      </c>
      <c r="AO274" s="27" t="s">
        <v>8</v>
      </c>
      <c r="AW274" s="27" t="s">
        <v>8</v>
      </c>
      <c r="AX274" s="27" t="s">
        <v>7</v>
      </c>
      <c r="AY274" s="27" t="s">
        <v>8</v>
      </c>
      <c r="BW274" s="27" t="s">
        <v>8</v>
      </c>
      <c r="BX274" s="27" t="s">
        <v>7</v>
      </c>
      <c r="CC274" s="27" t="s">
        <v>8</v>
      </c>
      <c r="CE274" s="27" t="s">
        <v>8</v>
      </c>
      <c r="CJ274" s="27" t="s">
        <v>7</v>
      </c>
      <c r="CK274" s="27" t="s">
        <v>8</v>
      </c>
      <c r="CL274" s="27" t="s">
        <v>7</v>
      </c>
      <c r="CO274" s="27" t="s">
        <v>8</v>
      </c>
      <c r="CP274" s="27" t="s">
        <v>7</v>
      </c>
      <c r="CS274" s="27" t="s">
        <v>8</v>
      </c>
      <c r="DE274" s="27" t="s">
        <v>8</v>
      </c>
      <c r="DJ274" s="27" t="s">
        <v>7</v>
      </c>
      <c r="DK274" s="27" t="s">
        <v>8</v>
      </c>
      <c r="DL274" s="27" t="s">
        <v>7</v>
      </c>
      <c r="DM274" s="27" t="s">
        <v>8</v>
      </c>
      <c r="DN274" s="27" t="s">
        <v>7</v>
      </c>
      <c r="DO274" s="27" t="s">
        <v>8</v>
      </c>
      <c r="DP274" s="27" t="s">
        <v>7</v>
      </c>
      <c r="DQ274" s="27" t="s">
        <v>8</v>
      </c>
      <c r="DT274" s="27" t="s">
        <v>7</v>
      </c>
      <c r="DX274" s="27" t="s">
        <v>7</v>
      </c>
      <c r="DZ274" s="27" t="s">
        <v>7</v>
      </c>
    </row>
    <row r="275" spans="1:131" x14ac:dyDescent="0.25">
      <c r="A275" s="30">
        <v>0.18129028535257471</v>
      </c>
      <c r="B275"/>
      <c r="C275"/>
      <c r="D275"/>
      <c r="E275"/>
      <c r="AD275" s="27" t="s">
        <v>7</v>
      </c>
      <c r="AE275" s="27" t="s">
        <v>8</v>
      </c>
      <c r="AF275" s="27" t="s">
        <v>7</v>
      </c>
      <c r="AG275" s="27" t="s">
        <v>8</v>
      </c>
      <c r="AH275" s="27" t="s">
        <v>7</v>
      </c>
      <c r="AI275" s="27" t="s">
        <v>8</v>
      </c>
      <c r="AJ275" s="27" t="s">
        <v>7</v>
      </c>
      <c r="AK275" s="27" t="s">
        <v>8</v>
      </c>
      <c r="AL275" s="27" t="s">
        <v>7</v>
      </c>
      <c r="AO275" s="27" t="s">
        <v>8</v>
      </c>
      <c r="AP275" s="27" t="s">
        <v>7</v>
      </c>
      <c r="AW275" s="27" t="s">
        <v>8</v>
      </c>
      <c r="AX275" s="27" t="s">
        <v>7</v>
      </c>
      <c r="AY275" s="27" t="s">
        <v>8</v>
      </c>
      <c r="AZ275" s="27" t="s">
        <v>7</v>
      </c>
      <c r="BA275" s="27" t="s">
        <v>8</v>
      </c>
      <c r="BW275" s="27" t="s">
        <v>8</v>
      </c>
      <c r="BX275" s="27" t="s">
        <v>7</v>
      </c>
      <c r="CC275" s="27" t="s">
        <v>8</v>
      </c>
      <c r="CD275" s="27" t="s">
        <v>7</v>
      </c>
      <c r="CE275" s="27" t="s">
        <v>8</v>
      </c>
      <c r="CJ275" s="27" t="s">
        <v>7</v>
      </c>
      <c r="CL275" s="27" t="s">
        <v>7</v>
      </c>
      <c r="CM275" s="27" t="s">
        <v>8</v>
      </c>
      <c r="CO275" s="27" t="s">
        <v>8</v>
      </c>
      <c r="CP275" s="27" t="s">
        <v>7</v>
      </c>
      <c r="CS275" s="27" t="s">
        <v>8</v>
      </c>
      <c r="CT275" s="27" t="s">
        <v>7</v>
      </c>
      <c r="DE275" s="27" t="s">
        <v>8</v>
      </c>
      <c r="DJ275" s="27" t="s">
        <v>7</v>
      </c>
      <c r="DL275" s="27" t="s">
        <v>7</v>
      </c>
      <c r="DM275" s="27" t="s">
        <v>8</v>
      </c>
      <c r="DN275" s="27" t="s">
        <v>7</v>
      </c>
      <c r="DP275" s="27" t="s">
        <v>7</v>
      </c>
      <c r="DQ275" s="27" t="s">
        <v>8</v>
      </c>
    </row>
    <row r="276" spans="1:131" x14ac:dyDescent="0.25">
      <c r="A276" s="30">
        <v>0.17265741462149967</v>
      </c>
      <c r="B276"/>
      <c r="C276"/>
      <c r="D276"/>
      <c r="E276"/>
      <c r="AD276" s="27" t="s">
        <v>7</v>
      </c>
      <c r="AF276" s="27" t="s">
        <v>7</v>
      </c>
      <c r="AH276" s="27" t="s">
        <v>7</v>
      </c>
      <c r="AJ276" s="27" t="s">
        <v>7</v>
      </c>
      <c r="AK276" s="27" t="s">
        <v>8</v>
      </c>
      <c r="AL276" s="27" t="s">
        <v>7</v>
      </c>
      <c r="AO276" s="27" t="s">
        <v>8</v>
      </c>
      <c r="AP276" s="27" t="s">
        <v>7</v>
      </c>
      <c r="AW276" s="27" t="s">
        <v>8</v>
      </c>
      <c r="AX276" s="27" t="s">
        <v>7</v>
      </c>
      <c r="AY276" s="27" t="s">
        <v>8</v>
      </c>
      <c r="AZ276" s="27" t="s">
        <v>7</v>
      </c>
      <c r="BA276" s="27" t="s">
        <v>8</v>
      </c>
      <c r="BB276" s="27" t="s">
        <v>7</v>
      </c>
      <c r="BO276" s="27" t="s">
        <v>8</v>
      </c>
      <c r="BW276" s="27" t="s">
        <v>8</v>
      </c>
      <c r="BX276" s="27" t="s">
        <v>7</v>
      </c>
      <c r="CC276" s="27" t="s">
        <v>8</v>
      </c>
      <c r="CD276" s="27" t="s">
        <v>7</v>
      </c>
      <c r="CE276" s="27" t="s">
        <v>8</v>
      </c>
      <c r="CL276" s="27" t="s">
        <v>7</v>
      </c>
      <c r="CM276" s="27" t="s">
        <v>8</v>
      </c>
      <c r="CN276" s="27" t="s">
        <v>7</v>
      </c>
      <c r="CO276" s="27" t="s">
        <v>8</v>
      </c>
      <c r="CP276" s="27" t="s">
        <v>7</v>
      </c>
      <c r="CS276" s="27" t="s">
        <v>8</v>
      </c>
      <c r="CT276" s="27" t="s">
        <v>7</v>
      </c>
      <c r="DE276" s="27" t="s">
        <v>8</v>
      </c>
      <c r="DL276" s="27" t="s">
        <v>7</v>
      </c>
      <c r="DM276" s="27" t="s">
        <v>8</v>
      </c>
      <c r="DP276" s="27" t="s">
        <v>7</v>
      </c>
    </row>
    <row r="277" spans="1:131" x14ac:dyDescent="0.25">
      <c r="A277" s="30">
        <v>0.16443563297285677</v>
      </c>
      <c r="B277"/>
      <c r="C277"/>
      <c r="D277"/>
      <c r="E277"/>
      <c r="AJ277" s="27" t="s">
        <v>7</v>
      </c>
      <c r="AK277" s="27" t="s">
        <v>8</v>
      </c>
      <c r="AL277" s="27" t="s">
        <v>7</v>
      </c>
      <c r="AO277" s="27" t="s">
        <v>8</v>
      </c>
      <c r="AP277" s="27" t="s">
        <v>7</v>
      </c>
      <c r="AW277" s="27" t="s">
        <v>8</v>
      </c>
      <c r="AX277" s="27" t="s">
        <v>7</v>
      </c>
      <c r="AZ277" s="27" t="s">
        <v>7</v>
      </c>
      <c r="BA277" s="27" t="s">
        <v>8</v>
      </c>
      <c r="BB277" s="27" t="s">
        <v>7</v>
      </c>
      <c r="BO277" s="27" t="s">
        <v>8</v>
      </c>
      <c r="BP277" s="27" t="s">
        <v>7</v>
      </c>
      <c r="BW277" s="27" t="s">
        <v>8</v>
      </c>
      <c r="BX277" s="27" t="s">
        <v>7</v>
      </c>
      <c r="CC277" s="27" t="s">
        <v>8</v>
      </c>
      <c r="CD277" s="27" t="s">
        <v>7</v>
      </c>
      <c r="CL277" s="27" t="s">
        <v>7</v>
      </c>
      <c r="CM277" s="27" t="s">
        <v>8</v>
      </c>
      <c r="CN277" s="27" t="s">
        <v>7</v>
      </c>
      <c r="CO277" s="27" t="s">
        <v>8</v>
      </c>
      <c r="CP277" s="27" t="s">
        <v>7</v>
      </c>
      <c r="CS277" s="27" t="s">
        <v>8</v>
      </c>
      <c r="CT277" s="27" t="s">
        <v>7</v>
      </c>
      <c r="CW277" s="27" t="s">
        <v>8</v>
      </c>
      <c r="DE277" s="27" t="s">
        <v>8</v>
      </c>
      <c r="DL277" s="27" t="s">
        <v>7</v>
      </c>
      <c r="DM277" s="27" t="s">
        <v>8</v>
      </c>
    </row>
    <row r="278" spans="1:131" x14ac:dyDescent="0.25">
      <c r="A278" s="30">
        <v>0.15660536473605399</v>
      </c>
      <c r="B278"/>
      <c r="C278"/>
      <c r="D278"/>
      <c r="E278"/>
      <c r="AJ278" s="27" t="s">
        <v>7</v>
      </c>
      <c r="AK278" s="27" t="s">
        <v>8</v>
      </c>
      <c r="AL278" s="27" t="s">
        <v>7</v>
      </c>
      <c r="AO278" s="27" t="s">
        <v>8</v>
      </c>
      <c r="AP278" s="27" t="s">
        <v>7</v>
      </c>
      <c r="AW278" s="27" t="s">
        <v>8</v>
      </c>
      <c r="AZ278" s="27" t="s">
        <v>7</v>
      </c>
      <c r="BB278" s="27" t="s">
        <v>7</v>
      </c>
      <c r="BO278" s="27" t="s">
        <v>8</v>
      </c>
      <c r="BP278" s="27" t="s">
        <v>7</v>
      </c>
      <c r="BW278" s="27" t="s">
        <v>8</v>
      </c>
      <c r="BX278" s="27" t="s">
        <v>7</v>
      </c>
      <c r="CC278" s="27" t="s">
        <v>8</v>
      </c>
      <c r="CL278" s="27" t="s">
        <v>7</v>
      </c>
      <c r="CN278" s="27" t="s">
        <v>7</v>
      </c>
      <c r="CP278" s="27" t="s">
        <v>7</v>
      </c>
      <c r="CQ278" s="27" t="s">
        <v>8</v>
      </c>
      <c r="CS278" s="27" t="s">
        <v>8</v>
      </c>
      <c r="CT278" s="27" t="s">
        <v>7</v>
      </c>
      <c r="CW278" s="27" t="s">
        <v>8</v>
      </c>
      <c r="CX278" s="27" t="s">
        <v>7</v>
      </c>
      <c r="DE278" s="27" t="s">
        <v>8</v>
      </c>
      <c r="DL278" s="27" t="s">
        <v>7</v>
      </c>
      <c r="DM278" s="27" t="s">
        <v>8</v>
      </c>
    </row>
    <row r="279" spans="1:131" x14ac:dyDescent="0.25">
      <c r="A279" s="30">
        <v>0.14914796641528946</v>
      </c>
      <c r="B279"/>
      <c r="C279"/>
      <c r="D279"/>
      <c r="E279"/>
      <c r="AJ279" s="27" t="s">
        <v>7</v>
      </c>
      <c r="AK279" s="27" t="s">
        <v>8</v>
      </c>
      <c r="AL279" s="27" t="s">
        <v>7</v>
      </c>
      <c r="AO279" s="27" t="s">
        <v>8</v>
      </c>
      <c r="AP279" s="27" t="s">
        <v>7</v>
      </c>
      <c r="AW279" s="27" t="s">
        <v>8</v>
      </c>
      <c r="BB279" s="27" t="s">
        <v>7</v>
      </c>
      <c r="BO279" s="27" t="s">
        <v>8</v>
      </c>
      <c r="BP279" s="27" t="s">
        <v>7</v>
      </c>
      <c r="BU279" s="27" t="s">
        <v>8</v>
      </c>
      <c r="BW279" s="27" t="s">
        <v>8</v>
      </c>
      <c r="BX279" s="27" t="s">
        <v>7</v>
      </c>
      <c r="CC279" s="27" t="s">
        <v>8</v>
      </c>
      <c r="CP279" s="27" t="s">
        <v>7</v>
      </c>
      <c r="CQ279" s="27" t="s">
        <v>8</v>
      </c>
      <c r="CR279" s="27" t="s">
        <v>7</v>
      </c>
      <c r="CS279" s="27" t="s">
        <v>8</v>
      </c>
      <c r="CT279" s="27" t="s">
        <v>7</v>
      </c>
      <c r="CW279" s="27" t="s">
        <v>8</v>
      </c>
      <c r="CX279" s="27" t="s">
        <v>7</v>
      </c>
      <c r="DE279" s="27" t="s">
        <v>8</v>
      </c>
      <c r="DL279" s="27" t="s">
        <v>7</v>
      </c>
    </row>
    <row r="280" spans="1:131" x14ac:dyDescent="0.25">
      <c r="A280" s="30">
        <v>0.14204568230027562</v>
      </c>
      <c r="B280"/>
      <c r="C280"/>
      <c r="D280"/>
      <c r="E280"/>
      <c r="AJ280" s="27" t="s">
        <v>7</v>
      </c>
      <c r="AK280" s="27" t="s">
        <v>8</v>
      </c>
      <c r="AL280" s="27" t="s">
        <v>7</v>
      </c>
      <c r="AM280" s="27" t="s">
        <v>8</v>
      </c>
      <c r="AO280" s="27" t="s">
        <v>8</v>
      </c>
      <c r="AP280" s="27" t="s">
        <v>7</v>
      </c>
      <c r="AW280" s="27" t="s">
        <v>8</v>
      </c>
      <c r="BB280" s="27" t="s">
        <v>7</v>
      </c>
      <c r="BC280" s="27" t="s">
        <v>8</v>
      </c>
      <c r="BO280" s="27" t="s">
        <v>8</v>
      </c>
      <c r="BP280" s="27" t="s">
        <v>7</v>
      </c>
      <c r="BU280" s="27" t="s">
        <v>8</v>
      </c>
      <c r="BV280" s="27" t="s">
        <v>7</v>
      </c>
      <c r="BW280" s="27" t="s">
        <v>8</v>
      </c>
      <c r="BX280" s="27" t="s">
        <v>7</v>
      </c>
      <c r="BY280" s="27" t="s">
        <v>8</v>
      </c>
      <c r="CC280" s="27" t="s">
        <v>8</v>
      </c>
      <c r="CP280" s="27" t="s">
        <v>7</v>
      </c>
      <c r="CQ280" s="27" t="s">
        <v>8</v>
      </c>
      <c r="CR280" s="27" t="s">
        <v>7</v>
      </c>
      <c r="CS280" s="27" t="s">
        <v>8</v>
      </c>
      <c r="CT280" s="27" t="s">
        <v>7</v>
      </c>
      <c r="CW280" s="27" t="s">
        <v>8</v>
      </c>
      <c r="CX280" s="27" t="s">
        <v>7</v>
      </c>
      <c r="CY280" s="27" t="s">
        <v>8</v>
      </c>
      <c r="DA280" s="27" t="s">
        <v>8</v>
      </c>
      <c r="DC280" s="27" t="s">
        <v>8</v>
      </c>
      <c r="DE280" s="27" t="s">
        <v>8</v>
      </c>
    </row>
    <row r="281" spans="1:131" x14ac:dyDescent="0.25">
      <c r="A281" s="30">
        <v>0.13528160219073862</v>
      </c>
      <c r="B281"/>
      <c r="C281"/>
      <c r="D281"/>
      <c r="E281"/>
      <c r="AJ281" s="27" t="s">
        <v>7</v>
      </c>
      <c r="AK281" s="27" t="s">
        <v>8</v>
      </c>
      <c r="AL281" s="27" t="s">
        <v>7</v>
      </c>
      <c r="AM281" s="27" t="s">
        <v>8</v>
      </c>
      <c r="AN281" s="27" t="s">
        <v>7</v>
      </c>
      <c r="AO281" s="27" t="s">
        <v>8</v>
      </c>
      <c r="AP281" s="27" t="s">
        <v>7</v>
      </c>
      <c r="AS281" s="27" t="s">
        <v>8</v>
      </c>
      <c r="AW281" s="27" t="s">
        <v>8</v>
      </c>
      <c r="BB281" s="27" t="s">
        <v>7</v>
      </c>
      <c r="BC281" s="27" t="s">
        <v>8</v>
      </c>
      <c r="BD281" s="27" t="s">
        <v>7</v>
      </c>
      <c r="BO281" s="27" t="s">
        <v>8</v>
      </c>
      <c r="BP281" s="27" t="s">
        <v>7</v>
      </c>
      <c r="BU281" s="27" t="s">
        <v>8</v>
      </c>
      <c r="BV281" s="27" t="s">
        <v>7</v>
      </c>
      <c r="BW281" s="27" t="s">
        <v>8</v>
      </c>
      <c r="BX281" s="27" t="s">
        <v>7</v>
      </c>
      <c r="BY281" s="27" t="s">
        <v>8</v>
      </c>
      <c r="BZ281" s="27" t="s">
        <v>7</v>
      </c>
      <c r="CA281" s="27" t="s">
        <v>8</v>
      </c>
      <c r="CC281" s="27" t="s">
        <v>8</v>
      </c>
      <c r="CP281" s="27" t="s">
        <v>7</v>
      </c>
      <c r="CQ281" s="27" t="s">
        <v>8</v>
      </c>
      <c r="CR281" s="27" t="s">
        <v>7</v>
      </c>
      <c r="CS281" s="27" t="s">
        <v>8</v>
      </c>
      <c r="CT281" s="27" t="s">
        <v>7</v>
      </c>
      <c r="CU281" s="27" t="s">
        <v>8</v>
      </c>
      <c r="CW281" s="27" t="s">
        <v>8</v>
      </c>
      <c r="CX281" s="27" t="s">
        <v>7</v>
      </c>
      <c r="CY281" s="27" t="s">
        <v>8</v>
      </c>
      <c r="CZ281" s="27" t="s">
        <v>7</v>
      </c>
      <c r="DA281" s="27" t="s">
        <v>8</v>
      </c>
      <c r="DB281" s="27" t="s">
        <v>7</v>
      </c>
      <c r="DC281" s="27" t="s">
        <v>8</v>
      </c>
      <c r="DD281" s="27" t="s">
        <v>7</v>
      </c>
      <c r="DE281" s="27" t="s">
        <v>8</v>
      </c>
    </row>
    <row r="282" spans="1:131" x14ac:dyDescent="0.25">
      <c r="A282" s="30">
        <v>0.12883962113403674</v>
      </c>
      <c r="B282"/>
      <c r="C282"/>
      <c r="D282"/>
      <c r="E282"/>
      <c r="AJ282" s="27" t="s">
        <v>7</v>
      </c>
      <c r="AK282" s="27" t="s">
        <v>8</v>
      </c>
      <c r="AL282" s="27" t="s">
        <v>7</v>
      </c>
      <c r="AM282" s="27" t="s">
        <v>8</v>
      </c>
      <c r="AN282" s="27" t="s">
        <v>7</v>
      </c>
      <c r="AO282" s="27" t="s">
        <v>8</v>
      </c>
      <c r="AP282" s="27" t="s">
        <v>7</v>
      </c>
      <c r="AQ282" s="27" t="s">
        <v>8</v>
      </c>
      <c r="AS282" s="27" t="s">
        <v>8</v>
      </c>
      <c r="AT282" s="27" t="s">
        <v>7</v>
      </c>
      <c r="AW282" s="27" t="s">
        <v>8</v>
      </c>
      <c r="BB282" s="27" t="s">
        <v>7</v>
      </c>
      <c r="BC282" s="27" t="s">
        <v>8</v>
      </c>
      <c r="BD282" s="27" t="s">
        <v>7</v>
      </c>
      <c r="BO282" s="27" t="s">
        <v>8</v>
      </c>
      <c r="BP282" s="27" t="s">
        <v>7</v>
      </c>
      <c r="BU282" s="27" t="s">
        <v>8</v>
      </c>
      <c r="BV282" s="27" t="s">
        <v>7</v>
      </c>
      <c r="BW282" s="27" t="s">
        <v>8</v>
      </c>
      <c r="BX282" s="27" t="s">
        <v>7</v>
      </c>
      <c r="BY282" s="27" t="s">
        <v>8</v>
      </c>
      <c r="BZ282" s="27" t="s">
        <v>7</v>
      </c>
      <c r="CA282" s="27" t="s">
        <v>8</v>
      </c>
      <c r="CB282" s="27" t="s">
        <v>7</v>
      </c>
      <c r="CC282" s="27" t="s">
        <v>8</v>
      </c>
      <c r="CP282" s="27" t="s">
        <v>7</v>
      </c>
      <c r="CR282" s="27" t="s">
        <v>7</v>
      </c>
      <c r="CT282" s="27" t="s">
        <v>7</v>
      </c>
      <c r="CU282" s="27" t="s">
        <v>8</v>
      </c>
      <c r="CV282" s="27" t="s">
        <v>7</v>
      </c>
      <c r="CW282" s="27" t="s">
        <v>8</v>
      </c>
      <c r="CX282" s="27" t="s">
        <v>7</v>
      </c>
      <c r="CY282" s="27" t="s">
        <v>8</v>
      </c>
      <c r="CZ282" s="27" t="s">
        <v>7</v>
      </c>
      <c r="DA282" s="27" t="s">
        <v>8</v>
      </c>
      <c r="DB282" s="27" t="s">
        <v>7</v>
      </c>
      <c r="DC282" s="27" t="s">
        <v>8</v>
      </c>
      <c r="DD282" s="27" t="s">
        <v>7</v>
      </c>
      <c r="DE282" s="27" t="s">
        <v>8</v>
      </c>
    </row>
    <row r="283" spans="1:131" x14ac:dyDescent="0.25">
      <c r="A283" s="30">
        <v>0.12270440108003494</v>
      </c>
      <c r="B283"/>
      <c r="C283"/>
      <c r="D283"/>
      <c r="E283"/>
      <c r="AJ283" s="27" t="s">
        <v>7</v>
      </c>
      <c r="AK283" s="27" t="s">
        <v>8</v>
      </c>
      <c r="AL283" s="27" t="s">
        <v>7</v>
      </c>
      <c r="AN283" s="27" t="s">
        <v>7</v>
      </c>
      <c r="AP283" s="27" t="s">
        <v>7</v>
      </c>
      <c r="AQ283" s="27" t="s">
        <v>8</v>
      </c>
      <c r="AR283" s="27" t="s">
        <v>7</v>
      </c>
      <c r="AS283" s="27" t="s">
        <v>8</v>
      </c>
      <c r="AT283" s="27" t="s">
        <v>7</v>
      </c>
      <c r="AU283" s="27" t="s">
        <v>8</v>
      </c>
      <c r="AW283" s="27" t="s">
        <v>8</v>
      </c>
      <c r="BB283" s="27" t="s">
        <v>7</v>
      </c>
      <c r="BC283" s="27" t="s">
        <v>8</v>
      </c>
      <c r="BD283" s="27" t="s">
        <v>7</v>
      </c>
      <c r="BO283" s="27" t="s">
        <v>8</v>
      </c>
      <c r="BP283" s="27" t="s">
        <v>7</v>
      </c>
      <c r="BU283" s="27" t="s">
        <v>8</v>
      </c>
      <c r="BV283" s="27" t="s">
        <v>7</v>
      </c>
      <c r="BW283" s="27" t="s">
        <v>8</v>
      </c>
      <c r="BX283" s="27" t="s">
        <v>7</v>
      </c>
      <c r="BY283" s="27" t="s">
        <v>8</v>
      </c>
      <c r="BZ283" s="27" t="s">
        <v>7</v>
      </c>
      <c r="CA283" s="27" t="s">
        <v>8</v>
      </c>
      <c r="CB283" s="27" t="s">
        <v>7</v>
      </c>
      <c r="CC283" s="27" t="s">
        <v>8</v>
      </c>
      <c r="CT283" s="27" t="s">
        <v>7</v>
      </c>
      <c r="CU283" s="27" t="s">
        <v>8</v>
      </c>
      <c r="CV283" s="27" t="s">
        <v>7</v>
      </c>
      <c r="CW283" s="27" t="s">
        <v>8</v>
      </c>
      <c r="CX283" s="27" t="s">
        <v>7</v>
      </c>
      <c r="CY283" s="27" t="s">
        <v>8</v>
      </c>
      <c r="CZ283" s="27" t="s">
        <v>7</v>
      </c>
      <c r="DA283" s="27" t="s">
        <v>8</v>
      </c>
      <c r="DB283" s="27" t="s">
        <v>7</v>
      </c>
      <c r="DC283" s="27" t="s">
        <v>8</v>
      </c>
      <c r="DD283" s="27" t="s">
        <v>7</v>
      </c>
      <c r="DE283" s="27" t="s">
        <v>8</v>
      </c>
    </row>
    <row r="284" spans="1:131" x14ac:dyDescent="0.25">
      <c r="A284" s="30">
        <v>0.11686133436193799</v>
      </c>
      <c r="B284"/>
      <c r="C284"/>
      <c r="D284"/>
      <c r="E284"/>
      <c r="AJ284" s="27" t="s">
        <v>7</v>
      </c>
      <c r="AP284" s="27" t="s">
        <v>7</v>
      </c>
      <c r="AQ284" s="27" t="s">
        <v>8</v>
      </c>
      <c r="AR284" s="27" t="s">
        <v>7</v>
      </c>
      <c r="AS284" s="27" t="s">
        <v>8</v>
      </c>
      <c r="AT284" s="27" t="s">
        <v>7</v>
      </c>
      <c r="AU284" s="27" t="s">
        <v>8</v>
      </c>
      <c r="AV284" s="27" t="s">
        <v>7</v>
      </c>
      <c r="AW284" s="27" t="s">
        <v>8</v>
      </c>
      <c r="BB284" s="27" t="s">
        <v>7</v>
      </c>
      <c r="BD284" s="27" t="s">
        <v>7</v>
      </c>
      <c r="BE284" s="27" t="s">
        <v>8</v>
      </c>
      <c r="BO284" s="27" t="s">
        <v>8</v>
      </c>
      <c r="BP284" s="27" t="s">
        <v>7</v>
      </c>
      <c r="BQ284" s="27" t="s">
        <v>8</v>
      </c>
      <c r="BU284" s="27" t="s">
        <v>8</v>
      </c>
      <c r="BV284" s="27" t="s">
        <v>7</v>
      </c>
      <c r="BW284" s="27" t="s">
        <v>8</v>
      </c>
      <c r="BX284" s="27" t="s">
        <v>7</v>
      </c>
      <c r="BZ284" s="27" t="s">
        <v>7</v>
      </c>
      <c r="CA284" s="27" t="s">
        <v>8</v>
      </c>
      <c r="CB284" s="27" t="s">
        <v>7</v>
      </c>
      <c r="CC284" s="27" t="s">
        <v>8</v>
      </c>
      <c r="CT284" s="27" t="s">
        <v>7</v>
      </c>
      <c r="CV284" s="27" t="s">
        <v>7</v>
      </c>
      <c r="CW284" s="27" t="s">
        <v>8</v>
      </c>
      <c r="CX284" s="27" t="s">
        <v>7</v>
      </c>
      <c r="CY284" s="27" t="s">
        <v>8</v>
      </c>
      <c r="CZ284" s="27" t="s">
        <v>7</v>
      </c>
      <c r="DB284" s="27" t="s">
        <v>7</v>
      </c>
      <c r="DC284" s="27" t="s">
        <v>8</v>
      </c>
      <c r="DD284" s="27" t="s">
        <v>7</v>
      </c>
    </row>
    <row r="285" spans="1:131" x14ac:dyDescent="0.25">
      <c r="A285" s="30">
        <v>0.11129650891613138</v>
      </c>
      <c r="B285"/>
      <c r="C285"/>
      <c r="D285"/>
      <c r="E285"/>
      <c r="AP285" s="27" t="s">
        <v>7</v>
      </c>
      <c r="AQ285" s="27" t="s">
        <v>8</v>
      </c>
      <c r="AR285" s="27" t="s">
        <v>7</v>
      </c>
      <c r="AS285" s="27" t="s">
        <v>8</v>
      </c>
      <c r="AT285" s="27" t="s">
        <v>7</v>
      </c>
      <c r="AU285" s="27" t="s">
        <v>8</v>
      </c>
      <c r="AV285" s="27" t="s">
        <v>7</v>
      </c>
      <c r="AW285" s="27" t="s">
        <v>8</v>
      </c>
      <c r="BD285" s="27" t="s">
        <v>7</v>
      </c>
      <c r="BE285" s="27" t="s">
        <v>8</v>
      </c>
      <c r="BF285" s="27" t="s">
        <v>7</v>
      </c>
      <c r="BI285" s="27" t="s">
        <v>8</v>
      </c>
      <c r="BO285" s="27" t="s">
        <v>8</v>
      </c>
      <c r="BP285" s="27" t="s">
        <v>7</v>
      </c>
      <c r="BQ285" s="27" t="s">
        <v>8</v>
      </c>
      <c r="BR285" s="27" t="s">
        <v>7</v>
      </c>
      <c r="BU285" s="27" t="s">
        <v>8</v>
      </c>
      <c r="BV285" s="27" t="s">
        <v>7</v>
      </c>
      <c r="BW285" s="27" t="s">
        <v>8</v>
      </c>
      <c r="BZ285" s="27" t="s">
        <v>7</v>
      </c>
      <c r="CB285" s="27" t="s">
        <v>7</v>
      </c>
      <c r="CV285" s="27" t="s">
        <v>7</v>
      </c>
      <c r="CX285" s="27" t="s">
        <v>7</v>
      </c>
      <c r="DB285" s="27" t="s">
        <v>7</v>
      </c>
      <c r="DC285" s="27" t="s">
        <v>8</v>
      </c>
    </row>
    <row r="286" spans="1:131" x14ac:dyDescent="0.25">
      <c r="A286" s="30">
        <v>0.10599667515822032</v>
      </c>
      <c r="B286"/>
      <c r="C286"/>
      <c r="D286"/>
      <c r="E286"/>
      <c r="AP286" s="27" t="s">
        <v>7</v>
      </c>
      <c r="AQ286" s="27" t="s">
        <v>8</v>
      </c>
      <c r="AR286" s="27" t="s">
        <v>7</v>
      </c>
      <c r="AT286" s="27" t="s">
        <v>7</v>
      </c>
      <c r="AU286" s="27" t="s">
        <v>8</v>
      </c>
      <c r="AV286" s="27" t="s">
        <v>7</v>
      </c>
      <c r="AW286" s="27" t="s">
        <v>8</v>
      </c>
      <c r="BD286" s="27" t="s">
        <v>7</v>
      </c>
      <c r="BE286" s="27" t="s">
        <v>8</v>
      </c>
      <c r="BF286" s="27" t="s">
        <v>7</v>
      </c>
      <c r="BI286" s="27" t="s">
        <v>8</v>
      </c>
      <c r="BJ286" s="27" t="s">
        <v>7</v>
      </c>
      <c r="BO286" s="27" t="s">
        <v>8</v>
      </c>
      <c r="BP286" s="27" t="s">
        <v>7</v>
      </c>
      <c r="BQ286" s="27" t="s">
        <v>8</v>
      </c>
      <c r="BR286" s="27" t="s">
        <v>7</v>
      </c>
      <c r="BS286" s="27" t="s">
        <v>8</v>
      </c>
      <c r="BU286" s="27" t="s">
        <v>8</v>
      </c>
      <c r="BV286" s="27" t="s">
        <v>7</v>
      </c>
      <c r="BW286" s="27" t="s">
        <v>8</v>
      </c>
      <c r="DB286" s="27" t="s">
        <v>7</v>
      </c>
      <c r="DC286" s="27" t="s">
        <v>8</v>
      </c>
    </row>
    <row r="287" spans="1:131" x14ac:dyDescent="0.25">
      <c r="A287" s="30">
        <v>0.10094921443640027</v>
      </c>
      <c r="B287"/>
      <c r="C287"/>
      <c r="D287"/>
      <c r="E287"/>
      <c r="AP287" s="27" t="s">
        <v>7</v>
      </c>
      <c r="AQ287" s="27" t="s">
        <v>8</v>
      </c>
      <c r="AT287" s="27" t="s">
        <v>7</v>
      </c>
      <c r="AU287" s="27" t="s">
        <v>8</v>
      </c>
      <c r="AV287" s="27" t="s">
        <v>7</v>
      </c>
      <c r="AW287" s="27" t="s">
        <v>8</v>
      </c>
      <c r="BD287" s="27" t="s">
        <v>7</v>
      </c>
      <c r="BE287" s="27" t="s">
        <v>8</v>
      </c>
      <c r="BF287" s="27" t="s">
        <v>7</v>
      </c>
      <c r="BI287" s="27" t="s">
        <v>8</v>
      </c>
      <c r="BJ287" s="27" t="s">
        <v>7</v>
      </c>
      <c r="BO287" s="27" t="s">
        <v>8</v>
      </c>
      <c r="BP287" s="27" t="s">
        <v>7</v>
      </c>
      <c r="BQ287" s="27" t="s">
        <v>8</v>
      </c>
      <c r="BR287" s="27" t="s">
        <v>7</v>
      </c>
      <c r="BS287" s="27" t="s">
        <v>8</v>
      </c>
      <c r="BT287" s="27" t="s">
        <v>7</v>
      </c>
      <c r="BU287" s="27" t="s">
        <v>8</v>
      </c>
      <c r="BV287" s="27" t="s">
        <v>7</v>
      </c>
      <c r="DB287" s="27" t="s">
        <v>7</v>
      </c>
    </row>
    <row r="288" spans="1:131" x14ac:dyDescent="0.25">
      <c r="A288" s="30">
        <v>9.6142108987047836E-2</v>
      </c>
      <c r="B288"/>
      <c r="C288"/>
      <c r="D288"/>
      <c r="E288"/>
      <c r="AP288" s="27" t="s">
        <v>7</v>
      </c>
      <c r="AQ288" s="27" t="s">
        <v>8</v>
      </c>
      <c r="AT288" s="27" t="s">
        <v>7</v>
      </c>
      <c r="AU288" s="27" t="s">
        <v>8</v>
      </c>
      <c r="AV288" s="27" t="s">
        <v>7</v>
      </c>
      <c r="BD288" s="27" t="s">
        <v>7</v>
      </c>
      <c r="BE288" s="27" t="s">
        <v>8</v>
      </c>
      <c r="BF288" s="27" t="s">
        <v>7</v>
      </c>
      <c r="BI288" s="27" t="s">
        <v>8</v>
      </c>
      <c r="BJ288" s="27" t="s">
        <v>7</v>
      </c>
      <c r="BK288" s="27" t="s">
        <v>8</v>
      </c>
      <c r="BM288" s="27" t="s">
        <v>8</v>
      </c>
      <c r="BO288" s="27" t="s">
        <v>8</v>
      </c>
      <c r="BP288" s="27" t="s">
        <v>7</v>
      </c>
      <c r="BQ288" s="27" t="s">
        <v>8</v>
      </c>
      <c r="BR288" s="27" t="s">
        <v>7</v>
      </c>
      <c r="BS288" s="27" t="s">
        <v>8</v>
      </c>
      <c r="BT288" s="27" t="s">
        <v>7</v>
      </c>
      <c r="BU288" s="27" t="s">
        <v>8</v>
      </c>
    </row>
    <row r="289" spans="1:72" x14ac:dyDescent="0.25">
      <c r="A289" s="30">
        <v>9.1563913320997906E-2</v>
      </c>
      <c r="B289"/>
      <c r="C289"/>
      <c r="D289"/>
      <c r="E289"/>
      <c r="AP289" s="27" t="s">
        <v>7</v>
      </c>
      <c r="AQ289" s="27" t="s">
        <v>8</v>
      </c>
      <c r="AT289" s="27" t="s">
        <v>7</v>
      </c>
      <c r="BD289" s="27" t="s">
        <v>7</v>
      </c>
      <c r="BE289" s="27" t="s">
        <v>8</v>
      </c>
      <c r="BF289" s="27" t="s">
        <v>7</v>
      </c>
      <c r="BI289" s="27" t="s">
        <v>8</v>
      </c>
      <c r="BJ289" s="27" t="s">
        <v>7</v>
      </c>
      <c r="BK289" s="27" t="s">
        <v>8</v>
      </c>
      <c r="BL289" s="27" t="s">
        <v>7</v>
      </c>
      <c r="BM289" s="27" t="s">
        <v>8</v>
      </c>
      <c r="BN289" s="27" t="s">
        <v>7</v>
      </c>
      <c r="BO289" s="27" t="s">
        <v>8</v>
      </c>
      <c r="BP289" s="27" t="s">
        <v>7</v>
      </c>
      <c r="BQ289" s="27" t="s">
        <v>8</v>
      </c>
      <c r="BR289" s="27" t="s">
        <v>7</v>
      </c>
      <c r="BS289" s="27" t="s">
        <v>8</v>
      </c>
      <c r="BT289" s="27" t="s">
        <v>7</v>
      </c>
    </row>
    <row r="290" spans="1:72" x14ac:dyDescent="0.25">
      <c r="A290" s="30">
        <v>8.7203726972378923E-2</v>
      </c>
      <c r="B290"/>
      <c r="C290"/>
      <c r="D290"/>
      <c r="E290"/>
      <c r="AP290" s="27" t="s">
        <v>7</v>
      </c>
      <c r="BD290" s="27" t="s">
        <v>7</v>
      </c>
      <c r="BE290" s="27" t="s">
        <v>8</v>
      </c>
      <c r="BF290" s="27" t="s">
        <v>7</v>
      </c>
      <c r="BI290" s="27" t="s">
        <v>8</v>
      </c>
      <c r="BJ290" s="27" t="s">
        <v>7</v>
      </c>
      <c r="BK290" s="27" t="s">
        <v>8</v>
      </c>
      <c r="BL290" s="27" t="s">
        <v>7</v>
      </c>
      <c r="BM290" s="27" t="s">
        <v>8</v>
      </c>
      <c r="BN290" s="27" t="s">
        <v>7</v>
      </c>
      <c r="BO290" s="27" t="s">
        <v>8</v>
      </c>
      <c r="BP290" s="27" t="s">
        <v>7</v>
      </c>
      <c r="BQ290" s="27" t="s">
        <v>8</v>
      </c>
      <c r="BR290" s="27" t="s">
        <v>7</v>
      </c>
    </row>
    <row r="291" spans="1:72" x14ac:dyDescent="0.25">
      <c r="A291" s="30">
        <v>8.3051168545122747E-2</v>
      </c>
      <c r="B291"/>
      <c r="C291"/>
      <c r="D291"/>
      <c r="E291"/>
      <c r="BD291" s="27" t="s">
        <v>7</v>
      </c>
      <c r="BE291" s="27" t="s">
        <v>8</v>
      </c>
      <c r="BF291" s="27" t="s">
        <v>7</v>
      </c>
      <c r="BI291" s="27" t="s">
        <v>8</v>
      </c>
      <c r="BJ291" s="27" t="s">
        <v>7</v>
      </c>
      <c r="BK291" s="27" t="s">
        <v>8</v>
      </c>
      <c r="BL291" s="27" t="s">
        <v>7</v>
      </c>
      <c r="BM291" s="27" t="s">
        <v>8</v>
      </c>
      <c r="BN291" s="27" t="s">
        <v>7</v>
      </c>
      <c r="BO291" s="27" t="s">
        <v>8</v>
      </c>
      <c r="BP291" s="27" t="s">
        <v>7</v>
      </c>
    </row>
    <row r="292" spans="1:72" x14ac:dyDescent="0.25">
      <c r="A292" s="30">
        <v>7.9096350995354961E-2</v>
      </c>
      <c r="B292"/>
      <c r="C292"/>
      <c r="D292"/>
      <c r="E292"/>
      <c r="BD292" s="27" t="s">
        <v>7</v>
      </c>
      <c r="BE292" s="27" t="s">
        <v>8</v>
      </c>
      <c r="BF292" s="27" t="s">
        <v>7</v>
      </c>
      <c r="BG292" s="27" t="s">
        <v>8</v>
      </c>
      <c r="BI292" s="27" t="s">
        <v>8</v>
      </c>
      <c r="BJ292" s="27" t="s">
        <v>7</v>
      </c>
      <c r="BK292" s="27" t="s">
        <v>8</v>
      </c>
      <c r="BL292" s="27" t="s">
        <v>7</v>
      </c>
      <c r="BN292" s="27" t="s">
        <v>7</v>
      </c>
    </row>
    <row r="293" spans="1:72" x14ac:dyDescent="0.25">
      <c r="A293" s="30">
        <v>7.5329858090814217E-2</v>
      </c>
      <c r="B293"/>
      <c r="C293"/>
      <c r="D293"/>
      <c r="E293"/>
      <c r="BD293" s="27" t="s">
        <v>7</v>
      </c>
      <c r="BE293" s="27" t="s">
        <v>8</v>
      </c>
      <c r="BF293" s="27" t="s">
        <v>7</v>
      </c>
      <c r="BG293" s="27" t="s">
        <v>8</v>
      </c>
      <c r="BH293" s="27" t="s">
        <v>7</v>
      </c>
      <c r="BI293" s="27" t="s">
        <v>8</v>
      </c>
      <c r="BJ293" s="27" t="s">
        <v>7</v>
      </c>
    </row>
    <row r="294" spans="1:72" x14ac:dyDescent="0.25">
      <c r="A294" s="30">
        <v>7.1742721991251604E-2</v>
      </c>
      <c r="B294"/>
      <c r="C294"/>
      <c r="D294"/>
      <c r="E294"/>
      <c r="BD294" s="27" t="s">
        <v>7</v>
      </c>
      <c r="BE294" s="27" t="s">
        <v>8</v>
      </c>
      <c r="BF294" s="27" t="s">
        <v>7</v>
      </c>
      <c r="BG294" s="27" t="s">
        <v>8</v>
      </c>
      <c r="BH294" s="27" t="s">
        <v>7</v>
      </c>
      <c r="BI294" s="27" t="s">
        <v>8</v>
      </c>
    </row>
    <row r="295" spans="1:72" x14ac:dyDescent="0.25">
      <c r="A295" s="30">
        <v>6.8326401896430078E-2</v>
      </c>
      <c r="B295"/>
      <c r="C295"/>
      <c r="D295"/>
      <c r="E295"/>
      <c r="BD295" s="27" t="s">
        <v>7</v>
      </c>
      <c r="BE295" s="27" t="s">
        <v>8</v>
      </c>
      <c r="BF295" s="27" t="s">
        <v>7</v>
      </c>
      <c r="BG295" s="27" t="s">
        <v>8</v>
      </c>
      <c r="BH295" s="27" t="s">
        <v>7</v>
      </c>
      <c r="BI295" s="27" t="s">
        <v>8</v>
      </c>
    </row>
    <row r="296" spans="1:72" x14ac:dyDescent="0.25">
      <c r="A296" s="30">
        <v>6.5072763710885759E-2</v>
      </c>
      <c r="B296"/>
      <c r="C296"/>
      <c r="D296"/>
      <c r="E296"/>
      <c r="BD296" s="27" t="s">
        <v>7</v>
      </c>
      <c r="BE296" s="27" t="s">
        <v>8</v>
      </c>
      <c r="BF296" s="27" t="s">
        <v>7</v>
      </c>
      <c r="BG296" s="27" t="s">
        <v>8</v>
      </c>
      <c r="BH296" s="27" t="s">
        <v>7</v>
      </c>
    </row>
    <row r="297" spans="1:72" x14ac:dyDescent="0.25">
      <c r="A297" s="30">
        <v>6.197406067703403E-2</v>
      </c>
      <c r="B297"/>
      <c r="C297"/>
      <c r="D297"/>
      <c r="E297"/>
      <c r="BD297" s="27" t="s">
        <v>7</v>
      </c>
      <c r="BE297" s="27" t="s">
        <v>8</v>
      </c>
      <c r="BF297" s="27" t="s">
        <v>7</v>
      </c>
      <c r="BG297" s="27" t="s">
        <v>8</v>
      </c>
    </row>
    <row r="298" spans="1:72" x14ac:dyDescent="0.25">
      <c r="A298" s="30">
        <v>5.9022914930508576E-2</v>
      </c>
      <c r="B298"/>
      <c r="C298"/>
      <c r="D298"/>
      <c r="E298"/>
      <c r="BD298" s="27" t="s">
        <v>7</v>
      </c>
      <c r="BE298" s="27" t="s">
        <v>8</v>
      </c>
      <c r="BF298" s="27" t="s">
        <v>7</v>
      </c>
      <c r="BG298" s="27" t="s">
        <v>8</v>
      </c>
    </row>
    <row r="299" spans="1:72" x14ac:dyDescent="0.25">
      <c r="A299" s="30">
        <v>5.6212299933817669E-2</v>
      </c>
      <c r="B299"/>
      <c r="C299"/>
      <c r="D299"/>
      <c r="E299"/>
      <c r="BD299" s="27" t="s">
        <v>7</v>
      </c>
      <c r="BE299" s="27" t="s">
        <v>8</v>
      </c>
      <c r="BF299" s="27" t="s">
        <v>7</v>
      </c>
    </row>
    <row r="300" spans="1:72" x14ac:dyDescent="0.25">
      <c r="A300" s="30">
        <v>5.3535523746492994E-2</v>
      </c>
      <c r="B300"/>
      <c r="C300"/>
      <c r="D300"/>
      <c r="E300"/>
      <c r="BD300" s="27" t="s">
        <v>7</v>
      </c>
      <c r="BE300" s="27" t="s">
        <v>8</v>
      </c>
    </row>
    <row r="301" spans="1:72" x14ac:dyDescent="0.25">
      <c r="A301" s="30">
        <v>5.0986213091898068E-2</v>
      </c>
      <c r="B301"/>
      <c r="C301"/>
      <c r="D301"/>
      <c r="E301"/>
      <c r="BD301" s="27" t="s">
        <v>7</v>
      </c>
      <c r="BE301" s="27" t="s">
        <v>8</v>
      </c>
    </row>
    <row r="302" spans="1:72" x14ac:dyDescent="0.25">
      <c r="A302" s="30">
        <v>4.8558298182760043E-2</v>
      </c>
      <c r="B302"/>
      <c r="C302"/>
      <c r="D302"/>
      <c r="E302"/>
      <c r="BD302" s="27" t="s">
        <v>7</v>
      </c>
      <c r="BE302" s="27" t="s">
        <v>8</v>
      </c>
    </row>
    <row r="303" spans="1:72" x14ac:dyDescent="0.25">
      <c r="A303" s="30">
        <v>4.6245998269295263E-2</v>
      </c>
      <c r="B303"/>
      <c r="C303"/>
      <c r="D303"/>
      <c r="E303"/>
      <c r="BD303" s="27" t="s">
        <v>7</v>
      </c>
      <c r="BE303" s="27" t="s">
        <v>8</v>
      </c>
    </row>
    <row r="304" spans="1:72" x14ac:dyDescent="0.25">
      <c r="A304" s="30">
        <v>4.4043807875519279E-2</v>
      </c>
      <c r="B304"/>
      <c r="C304"/>
      <c r="D304"/>
      <c r="E304"/>
      <c r="BD304" s="27" t="s">
        <v>7</v>
      </c>
      <c r="BE304" s="27" t="s">
        <v>8</v>
      </c>
    </row>
    <row r="305" spans="1:57" x14ac:dyDescent="0.25">
      <c r="A305" s="30">
        <v>4.1946483690970725E-2</v>
      </c>
      <c r="B305"/>
      <c r="C305"/>
      <c r="D305"/>
      <c r="E305"/>
      <c r="BD305" s="27" t="s">
        <v>7</v>
      </c>
      <c r="BE305" s="27" t="s">
        <v>8</v>
      </c>
    </row>
    <row r="306" spans="1:57" x14ac:dyDescent="0.25">
      <c r="A306" s="30">
        <v>3.9949032086638768E-2</v>
      </c>
      <c r="B306"/>
      <c r="C306"/>
      <c r="D306"/>
      <c r="E306"/>
      <c r="BD306" s="27" t="s">
        <v>7</v>
      </c>
      <c r="BE306" s="27" t="s">
        <v>8</v>
      </c>
    </row>
    <row r="307" spans="1:57" x14ac:dyDescent="0.25">
      <c r="A307" s="30">
        <v>3.8046697225370241E-2</v>
      </c>
      <c r="B307"/>
      <c r="C307"/>
      <c r="D307"/>
      <c r="E307"/>
      <c r="BD307" s="27" t="s">
        <v>7</v>
      </c>
    </row>
    <row r="308" spans="1:57" x14ac:dyDescent="0.25">
      <c r="A308" s="30">
        <v>3.6234949738447833E-2</v>
      </c>
      <c r="B308"/>
      <c r="C308"/>
      <c r="D308"/>
      <c r="E308"/>
    </row>
    <row r="309" spans="1:57" x14ac:dyDescent="0.25">
      <c r="A309" s="30">
        <v>3.4509475941378875E-2</v>
      </c>
      <c r="B309"/>
      <c r="C309"/>
      <c r="D309"/>
      <c r="E309"/>
    </row>
    <row r="310" spans="1:57" x14ac:dyDescent="0.25">
      <c r="A310" s="30">
        <v>3.286616756321796E-2</v>
      </c>
      <c r="B310"/>
      <c r="C310"/>
      <c r="D310"/>
      <c r="E310"/>
    </row>
    <row r="311" spans="1:57" x14ac:dyDescent="0.25">
      <c r="A311" s="30">
        <v>3.1301111964969472E-2</v>
      </c>
      <c r="B311"/>
      <c r="C311"/>
      <c r="D311"/>
      <c r="E311"/>
    </row>
    <row r="312" spans="1:57" x14ac:dyDescent="0.25">
      <c r="A312" s="30">
        <v>2.9810582823780438E-2</v>
      </c>
      <c r="B312"/>
      <c r="C312"/>
      <c r="D312"/>
      <c r="E312"/>
    </row>
    <row r="313" spans="1:57" x14ac:dyDescent="0.25">
      <c r="A313" s="30">
        <v>2.8391031260743264E-2</v>
      </c>
      <c r="B313"/>
      <c r="C313"/>
      <c r="D313"/>
      <c r="E313"/>
    </row>
    <row r="314" spans="1:57" x14ac:dyDescent="0.25">
      <c r="A314" s="30">
        <v>2.7039077391184052E-2</v>
      </c>
      <c r="B314"/>
      <c r="C314"/>
      <c r="D314"/>
      <c r="E314"/>
    </row>
    <row r="315" spans="1:57" x14ac:dyDescent="0.25">
      <c r="A315" s="30">
        <v>2.5751502277318133E-2</v>
      </c>
      <c r="B315"/>
      <c r="C315"/>
      <c r="D315"/>
      <c r="E315"/>
    </row>
    <row r="316" spans="1:57" x14ac:dyDescent="0.25">
      <c r="A316" s="30">
        <v>2.4525240264112496E-2</v>
      </c>
      <c r="B316"/>
      <c r="C316"/>
      <c r="D316"/>
      <c r="E316"/>
    </row>
    <row r="317" spans="1:57" x14ac:dyDescent="0.25">
      <c r="A317" s="30">
        <v>2.3357371680107129E-2</v>
      </c>
      <c r="B317"/>
      <c r="C317"/>
      <c r="D317"/>
      <c r="E317"/>
    </row>
    <row r="318" spans="1:57" x14ac:dyDescent="0.25">
      <c r="A318" s="30">
        <v>2.2245115885816305E-2</v>
      </c>
      <c r="B318"/>
      <c r="C318"/>
      <c r="D318"/>
      <c r="E318"/>
    </row>
    <row r="319" spans="1:57" x14ac:dyDescent="0.25">
      <c r="A319" s="30">
        <v>2.1185824653158377E-2</v>
      </c>
      <c r="B319"/>
      <c r="C319"/>
      <c r="D319"/>
      <c r="E319"/>
    </row>
    <row r="320" spans="1:57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95" operator="equal">
      <formula>$U$1</formula>
    </cfRule>
    <cfRule type="cellIs" dxfId="67" priority="1496" operator="equal">
      <formula>$S$1</formula>
    </cfRule>
  </conditionalFormatting>
  <conditionalFormatting sqref="D136">
    <cfRule type="cellIs" dxfId="66" priority="1493" operator="equal">
      <formula>$S$1</formula>
    </cfRule>
    <cfRule type="cellIs" dxfId="65" priority="1494" operator="equal">
      <formula>$U$1</formula>
    </cfRule>
  </conditionalFormatting>
  <conditionalFormatting sqref="C162">
    <cfRule type="cellIs" dxfId="64" priority="1491" operator="equal">
      <formula>$U$1</formula>
    </cfRule>
    <cfRule type="cellIs" dxfId="63" priority="1492" operator="equal">
      <formula>$S$1</formula>
    </cfRule>
  </conditionalFormatting>
  <conditionalFormatting sqref="D162">
    <cfRule type="cellIs" dxfId="62" priority="1489" operator="equal">
      <formula>$S$1</formula>
    </cfRule>
    <cfRule type="cellIs" dxfId="61" priority="1490" operator="equal">
      <formula>$U$1</formula>
    </cfRule>
  </conditionalFormatting>
  <conditionalFormatting sqref="C187">
    <cfRule type="cellIs" dxfId="60" priority="1487" operator="equal">
      <formula>$U$1</formula>
    </cfRule>
    <cfRule type="cellIs" dxfId="59" priority="1488" operator="equal">
      <formula>$S$1</formula>
    </cfRule>
  </conditionalFormatting>
  <conditionalFormatting sqref="D187">
    <cfRule type="cellIs" dxfId="58" priority="1485" operator="equal">
      <formula>$S$1</formula>
    </cfRule>
    <cfRule type="cellIs" dxfId="57" priority="1486" operator="equal">
      <formula>$U$1</formula>
    </cfRule>
  </conditionalFormatting>
  <conditionalFormatting sqref="C212">
    <cfRule type="cellIs" dxfId="56" priority="1483" operator="equal">
      <formula>$U$1</formula>
    </cfRule>
    <cfRule type="cellIs" dxfId="55" priority="1484" operator="equal">
      <formula>$S$1</formula>
    </cfRule>
  </conditionalFormatting>
  <conditionalFormatting sqref="D212">
    <cfRule type="cellIs" dxfId="54" priority="1481" operator="equal">
      <formula>$S$1</formula>
    </cfRule>
    <cfRule type="cellIs" dxfId="53" priority="1482" operator="equal">
      <formula>$U$1</formula>
    </cfRule>
  </conditionalFormatting>
  <conditionalFormatting sqref="C237">
    <cfRule type="cellIs" dxfId="52" priority="1479" operator="equal">
      <formula>$U$1</formula>
    </cfRule>
    <cfRule type="cellIs" dxfId="51" priority="1480" operator="equal">
      <formula>$S$1</formula>
    </cfRule>
  </conditionalFormatting>
  <conditionalFormatting sqref="D237">
    <cfRule type="cellIs" dxfId="50" priority="1477" operator="equal">
      <formula>$S$1</formula>
    </cfRule>
    <cfRule type="cellIs" dxfId="49" priority="1478" operator="equal">
      <formula>$U$1</formula>
    </cfRule>
  </conditionalFormatting>
  <conditionalFormatting sqref="C106">
    <cfRule type="cellIs" dxfId="48" priority="1475" operator="equal">
      <formula>$U$1</formula>
    </cfRule>
    <cfRule type="cellIs" dxfId="47" priority="1476" operator="equal">
      <formula>$S$1</formula>
    </cfRule>
  </conditionalFormatting>
  <conditionalFormatting sqref="D106">
    <cfRule type="cellIs" dxfId="46" priority="1473" operator="equal">
      <formula>$S$1</formula>
    </cfRule>
    <cfRule type="cellIs" dxfId="45" priority="1474" operator="equal">
      <formula>$U$1</formula>
    </cfRule>
  </conditionalFormatting>
  <conditionalFormatting sqref="C81">
    <cfRule type="cellIs" dxfId="44" priority="1471" operator="equal">
      <formula>$U$1</formula>
    </cfRule>
    <cfRule type="cellIs" dxfId="43" priority="1472" operator="equal">
      <formula>$S$1</formula>
    </cfRule>
  </conditionalFormatting>
  <conditionalFormatting sqref="D81">
    <cfRule type="cellIs" dxfId="42" priority="1469" operator="equal">
      <formula>$S$1</formula>
    </cfRule>
    <cfRule type="cellIs" dxfId="41" priority="1470" operator="equal">
      <formula>$U$1</formula>
    </cfRule>
  </conditionalFormatting>
  <conditionalFormatting sqref="C56">
    <cfRule type="cellIs" dxfId="40" priority="1467" operator="equal">
      <formula>$U$1</formula>
    </cfRule>
    <cfRule type="cellIs" dxfId="39" priority="1468" operator="equal">
      <formula>$S$1</formula>
    </cfRule>
  </conditionalFormatting>
  <conditionalFormatting sqref="D56">
    <cfRule type="cellIs" dxfId="38" priority="1465" operator="equal">
      <formula>$S$1</formula>
    </cfRule>
    <cfRule type="cellIs" dxfId="37" priority="1466" operator="equal">
      <formula>$U$1</formula>
    </cfRule>
  </conditionalFormatting>
  <conditionalFormatting sqref="C31">
    <cfRule type="cellIs" dxfId="36" priority="1463" operator="equal">
      <formula>$U$1</formula>
    </cfRule>
    <cfRule type="cellIs" dxfId="35" priority="1464" operator="equal">
      <formula>$S$1</formula>
    </cfRule>
  </conditionalFormatting>
  <conditionalFormatting sqref="D31">
    <cfRule type="cellIs" dxfId="34" priority="1461" operator="equal">
      <formula>$S$1</formula>
    </cfRule>
    <cfRule type="cellIs" dxfId="33" priority="146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Z127" sqref="BZ12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0" x14ac:dyDescent="0.25">
      <c r="A97" s="30">
        <v>9.849732675807628</v>
      </c>
      <c r="E97"/>
    </row>
    <row r="98" spans="1:60" x14ac:dyDescent="0.25">
      <c r="A98" s="30">
        <v>8.9543024325523888</v>
      </c>
      <c r="C98" s="1" t="s">
        <v>13</v>
      </c>
      <c r="E98"/>
    </row>
    <row r="99" spans="1:60" x14ac:dyDescent="0.25">
      <c r="A99" s="30">
        <v>8.140274938683989</v>
      </c>
      <c r="C99" s="1">
        <f>C88</f>
        <v>0</v>
      </c>
      <c r="E99"/>
    </row>
    <row r="100" spans="1:60" x14ac:dyDescent="0.25">
      <c r="A100" s="30">
        <v>7.4002499442581717</v>
      </c>
      <c r="C100"/>
      <c r="D100"/>
      <c r="E100"/>
    </row>
    <row r="101" spans="1:60" x14ac:dyDescent="0.25">
      <c r="A101" s="30">
        <v>6.72749994932561</v>
      </c>
      <c r="C101" s="1" t="s">
        <v>14</v>
      </c>
      <c r="E101"/>
    </row>
    <row r="102" spans="1:6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60" x14ac:dyDescent="0.25">
      <c r="A103" s="30">
        <v>5.5599173134922388</v>
      </c>
      <c r="E103"/>
    </row>
    <row r="104" spans="1:60" x14ac:dyDescent="0.25">
      <c r="A104" s="30">
        <v>5.0544702849929442</v>
      </c>
      <c r="E104"/>
    </row>
    <row r="105" spans="1:60" x14ac:dyDescent="0.25">
      <c r="A105" s="30">
        <v>4.594972986357222</v>
      </c>
      <c r="E105"/>
    </row>
    <row r="106" spans="1:60" x14ac:dyDescent="0.25">
      <c r="A106" s="30">
        <v>4.1772481694156562</v>
      </c>
      <c r="E106"/>
    </row>
    <row r="107" spans="1:60" x14ac:dyDescent="0.25">
      <c r="A107" s="30">
        <v>3.7974983358324148</v>
      </c>
      <c r="E107"/>
    </row>
    <row r="108" spans="1:60" x14ac:dyDescent="0.25">
      <c r="A108" s="30">
        <v>3.4522712143931042</v>
      </c>
      <c r="E108"/>
    </row>
    <row r="109" spans="1:60" x14ac:dyDescent="0.25">
      <c r="A109" s="30">
        <v>3.1384283767210035</v>
      </c>
      <c r="E109"/>
      <c r="BG109" s="27" t="s">
        <v>8</v>
      </c>
    </row>
    <row r="110" spans="1:60" x14ac:dyDescent="0.25">
      <c r="A110" s="30">
        <v>2.8531167061100029</v>
      </c>
      <c r="E110"/>
      <c r="BG110" s="27" t="s">
        <v>8</v>
      </c>
      <c r="BH110" s="27" t="s">
        <v>7</v>
      </c>
    </row>
    <row r="111" spans="1:60" x14ac:dyDescent="0.25">
      <c r="A111" s="30">
        <v>2.5937424601000023</v>
      </c>
      <c r="C111" s="1" t="str">
        <f>ADDRESS(C121-1,1,1,1)</f>
        <v>$A$126</v>
      </c>
      <c r="D111" s="1" t="str">
        <f>ADDRESS(C121-1,D121,1,1)</f>
        <v>$BZ$126</v>
      </c>
      <c r="E111"/>
      <c r="BG111" s="27" t="s">
        <v>8</v>
      </c>
      <c r="BH111" s="27" t="s">
        <v>7</v>
      </c>
    </row>
    <row r="112" spans="1:60" x14ac:dyDescent="0.25">
      <c r="A112" s="30">
        <v>2.3579476910000019</v>
      </c>
      <c r="C112" s="1" t="str">
        <f>ADDRESS(C121,1,1,1)</f>
        <v>$A$127</v>
      </c>
      <c r="D112" s="1" t="str">
        <f>ADDRESS(C121,D121-1,1,1)</f>
        <v>$BY$127</v>
      </c>
      <c r="E112"/>
      <c r="BG112" s="27" t="s">
        <v>8</v>
      </c>
      <c r="BH112" s="27" t="s">
        <v>7</v>
      </c>
    </row>
    <row r="113" spans="1:78" x14ac:dyDescent="0.25">
      <c r="A113" s="30">
        <v>2.1435888100000016</v>
      </c>
      <c r="C113" s="1" t="str">
        <f>ADDRESS(C121+1,1,1,1)</f>
        <v>$A$128</v>
      </c>
      <c r="D113" s="1" t="str">
        <f>ADDRESS(C121-1,D121+1,1,1)</f>
        <v>$CA$126</v>
      </c>
      <c r="BG113" s="27" t="s">
        <v>8</v>
      </c>
      <c r="BH113" s="27" t="s">
        <v>7</v>
      </c>
      <c r="BS113" s="27" t="s">
        <v>8</v>
      </c>
    </row>
    <row r="114" spans="1:78" x14ac:dyDescent="0.25">
      <c r="A114" s="30">
        <v>1.9487171000000014</v>
      </c>
      <c r="C114" s="1" t="str">
        <f>ADDRESS(C121,D121,1,1)</f>
        <v>$BZ$127</v>
      </c>
      <c r="D114" s="1" t="str">
        <f>ADDRESS(C121+1,D121+1,1,1)</f>
        <v>$CA$128</v>
      </c>
      <c r="BG114" s="27" t="s">
        <v>8</v>
      </c>
      <c r="BH114" s="27" t="s">
        <v>7</v>
      </c>
      <c r="BS114" s="27" t="s">
        <v>8</v>
      </c>
      <c r="BT114" s="27" t="s">
        <v>7</v>
      </c>
      <c r="BW114" s="27" t="s">
        <v>8</v>
      </c>
    </row>
    <row r="115" spans="1:78" x14ac:dyDescent="0.25">
      <c r="A115" s="30">
        <v>1.7715610000000011</v>
      </c>
      <c r="C115" s="1" t="str">
        <f>ADDRESS(C121+1,D121,1,1)</f>
        <v>$BZ$128</v>
      </c>
      <c r="BG115" s="27" t="s">
        <v>8</v>
      </c>
      <c r="BH115" s="27" t="s">
        <v>7</v>
      </c>
      <c r="BS115" s="27" t="s">
        <v>8</v>
      </c>
      <c r="BT115" s="27" t="s">
        <v>7</v>
      </c>
      <c r="BW115" s="27" t="s">
        <v>8</v>
      </c>
      <c r="BX115" s="27" t="s">
        <v>7</v>
      </c>
    </row>
    <row r="116" spans="1:78" x14ac:dyDescent="0.25">
      <c r="A116" s="30">
        <v>1.6105100000000008</v>
      </c>
      <c r="C116" s="1">
        <f>C117-1</f>
        <v>126</v>
      </c>
      <c r="BG116" s="27" t="s">
        <v>8</v>
      </c>
      <c r="BH116" s="27" t="s">
        <v>7</v>
      </c>
      <c r="BS116" s="27" t="s">
        <v>8</v>
      </c>
      <c r="BT116" s="27" t="s">
        <v>7</v>
      </c>
      <c r="BU116" s="27" t="s">
        <v>8</v>
      </c>
      <c r="BW116" s="27" t="s">
        <v>8</v>
      </c>
      <c r="BX116" s="27" t="s">
        <v>7</v>
      </c>
    </row>
    <row r="117" spans="1:78" x14ac:dyDescent="0.25">
      <c r="A117" s="30">
        <v>1.4641000000000006</v>
      </c>
      <c r="C117" s="1">
        <f>C121</f>
        <v>127</v>
      </c>
      <c r="D117" s="1">
        <f>D121</f>
        <v>78</v>
      </c>
      <c r="BA117" s="27" t="s">
        <v>8</v>
      </c>
      <c r="BG117" s="27" t="s">
        <v>8</v>
      </c>
      <c r="BH117" s="27" t="s">
        <v>7</v>
      </c>
      <c r="BS117" s="27" t="s">
        <v>8</v>
      </c>
      <c r="BT117" s="27" t="s">
        <v>7</v>
      </c>
      <c r="BU117" s="27" t="s">
        <v>8</v>
      </c>
      <c r="BV117" s="27" t="s">
        <v>7</v>
      </c>
      <c r="BW117" s="27" t="s">
        <v>8</v>
      </c>
      <c r="BX117" s="27" t="s">
        <v>7</v>
      </c>
    </row>
    <row r="118" spans="1:78" x14ac:dyDescent="0.25">
      <c r="A118" s="30">
        <v>1.3310000000000004</v>
      </c>
      <c r="C118" s="1">
        <f>C117+1</f>
        <v>128</v>
      </c>
      <c r="D118" s="1">
        <f>D117+1</f>
        <v>79</v>
      </c>
      <c r="BA118" s="27" t="s">
        <v>8</v>
      </c>
      <c r="BB118" s="27" t="s">
        <v>7</v>
      </c>
      <c r="BC118" s="27" t="s">
        <v>8</v>
      </c>
      <c r="BG118" s="27" t="s">
        <v>8</v>
      </c>
      <c r="BH118" s="27" t="s">
        <v>7</v>
      </c>
      <c r="BK118" s="27" t="s">
        <v>8</v>
      </c>
      <c r="BS118" s="27" t="s">
        <v>8</v>
      </c>
      <c r="BT118" s="27" t="s">
        <v>7</v>
      </c>
      <c r="BU118" s="27" t="s">
        <v>8</v>
      </c>
      <c r="BV118" s="27" t="s">
        <v>7</v>
      </c>
      <c r="BW118" s="27" t="s">
        <v>8</v>
      </c>
      <c r="BX118" s="27" t="s">
        <v>7</v>
      </c>
    </row>
    <row r="119" spans="1:78" x14ac:dyDescent="0.25">
      <c r="A119" s="30">
        <v>1.2100000000000002</v>
      </c>
      <c r="BA119" s="27" t="s">
        <v>8</v>
      </c>
      <c r="BB119" s="27" t="s">
        <v>7</v>
      </c>
      <c r="BC119" s="27" t="s">
        <v>8</v>
      </c>
      <c r="BD119" s="27" t="s">
        <v>7</v>
      </c>
      <c r="BG119" s="27" t="s">
        <v>8</v>
      </c>
      <c r="BH119" s="27" t="s">
        <v>7</v>
      </c>
      <c r="BK119" s="27" t="s">
        <v>8</v>
      </c>
      <c r="BL119" s="27" t="s">
        <v>7</v>
      </c>
      <c r="BM119" s="27" t="s">
        <v>8</v>
      </c>
      <c r="BS119" s="27" t="s">
        <v>8</v>
      </c>
      <c r="BT119" s="27" t="s">
        <v>7</v>
      </c>
      <c r="BU119" s="27" t="s">
        <v>8</v>
      </c>
      <c r="BV119" s="27" t="s">
        <v>7</v>
      </c>
      <c r="BW119" s="27" t="s">
        <v>8</v>
      </c>
      <c r="BX119" s="27" t="s">
        <v>7</v>
      </c>
    </row>
    <row r="120" spans="1:78" x14ac:dyDescent="0.25">
      <c r="A120" s="30">
        <v>1.1000000000000001</v>
      </c>
      <c r="C120" s="1" t="s">
        <v>9</v>
      </c>
      <c r="AS120" s="27" t="s">
        <v>8</v>
      </c>
      <c r="BA120" s="27" t="s">
        <v>8</v>
      </c>
      <c r="BB120" s="27" t="s">
        <v>7</v>
      </c>
      <c r="BC120" s="27" t="s">
        <v>8</v>
      </c>
      <c r="BD120" s="27" t="s">
        <v>7</v>
      </c>
      <c r="BE120" s="27" t="s">
        <v>8</v>
      </c>
      <c r="BG120" s="27" t="s">
        <v>8</v>
      </c>
      <c r="BH120" s="27" t="s">
        <v>7</v>
      </c>
      <c r="BI120" s="27" t="s">
        <v>8</v>
      </c>
      <c r="BK120" s="27" t="s">
        <v>8</v>
      </c>
      <c r="BL120" s="27" t="s">
        <v>7</v>
      </c>
      <c r="BM120" s="27" t="s">
        <v>8</v>
      </c>
      <c r="BN120" s="27" t="s">
        <v>7</v>
      </c>
      <c r="BS120" s="27" t="s">
        <v>8</v>
      </c>
      <c r="BT120" s="27" t="s">
        <v>7</v>
      </c>
      <c r="BV120" s="27" t="s">
        <v>7</v>
      </c>
      <c r="BW120" s="27" t="s">
        <v>8</v>
      </c>
      <c r="BX120" s="27" t="s">
        <v>7</v>
      </c>
    </row>
    <row r="121" spans="1:78" x14ac:dyDescent="0.25">
      <c r="A121" s="30">
        <v>1</v>
      </c>
      <c r="C121" s="18">
        <v>127</v>
      </c>
      <c r="D121" s="19">
        <v>78</v>
      </c>
      <c r="E121" s="18" t="s">
        <v>8</v>
      </c>
      <c r="AS121" s="27" t="s">
        <v>8</v>
      </c>
      <c r="AT121" s="27" t="s">
        <v>7</v>
      </c>
      <c r="BA121" s="27" t="s">
        <v>8</v>
      </c>
      <c r="BB121" s="27" t="s">
        <v>7</v>
      </c>
      <c r="BC121" s="27" t="s">
        <v>8</v>
      </c>
      <c r="BD121" s="27" t="s">
        <v>7</v>
      </c>
      <c r="BE121" s="27" t="s">
        <v>8</v>
      </c>
      <c r="BF121" s="27" t="s">
        <v>7</v>
      </c>
      <c r="BG121" s="27" t="s">
        <v>8</v>
      </c>
      <c r="BH121" s="27" t="s">
        <v>7</v>
      </c>
      <c r="BI121" s="27" t="s">
        <v>8</v>
      </c>
      <c r="BJ121" s="27" t="s">
        <v>7</v>
      </c>
      <c r="BK121" s="27" t="s">
        <v>8</v>
      </c>
      <c r="BL121" s="27" t="s">
        <v>7</v>
      </c>
      <c r="BM121" s="27" t="s">
        <v>8</v>
      </c>
      <c r="BN121" s="27" t="s">
        <v>7</v>
      </c>
      <c r="BS121" s="27" t="s">
        <v>8</v>
      </c>
      <c r="BV121" s="27" t="s">
        <v>7</v>
      </c>
      <c r="BW121" s="27" t="s">
        <v>8</v>
      </c>
      <c r="BX121" s="27" t="s">
        <v>7</v>
      </c>
    </row>
    <row r="122" spans="1:78" x14ac:dyDescent="0.25">
      <c r="A122" s="30">
        <v>0.90909090909090895</v>
      </c>
      <c r="C122" s="1" t="str">
        <f>INDEX(1:1048576,C117,D117)</f>
        <v>O</v>
      </c>
      <c r="F122" s="27" t="s">
        <v>7</v>
      </c>
      <c r="AS122" s="27" t="s">
        <v>8</v>
      </c>
      <c r="AT122" s="27" t="s">
        <v>7</v>
      </c>
      <c r="AW122" s="27" t="s">
        <v>8</v>
      </c>
      <c r="AY122" s="27" t="s">
        <v>8</v>
      </c>
      <c r="BA122" s="27" t="s">
        <v>8</v>
      </c>
      <c r="BB122" s="27" t="s">
        <v>7</v>
      </c>
      <c r="BD122" s="27" t="s">
        <v>7</v>
      </c>
      <c r="BE122" s="27" t="s">
        <v>8</v>
      </c>
      <c r="BF122" s="27" t="s">
        <v>7</v>
      </c>
      <c r="BG122" s="27" t="s">
        <v>8</v>
      </c>
      <c r="BH122" s="27" t="s">
        <v>7</v>
      </c>
      <c r="BI122" s="27" t="s">
        <v>8</v>
      </c>
      <c r="BJ122" s="27" t="s">
        <v>7</v>
      </c>
      <c r="BK122" s="27" t="s">
        <v>8</v>
      </c>
      <c r="BL122" s="27" t="s">
        <v>7</v>
      </c>
      <c r="BN122" s="27" t="s">
        <v>7</v>
      </c>
      <c r="BO122" s="27" t="s">
        <v>8</v>
      </c>
      <c r="BQ122" s="27" t="s">
        <v>8</v>
      </c>
      <c r="BS122" s="27" t="s">
        <v>8</v>
      </c>
      <c r="BV122" s="27" t="s">
        <v>7</v>
      </c>
      <c r="BX122" s="27" t="s">
        <v>7</v>
      </c>
    </row>
    <row r="123" spans="1:78" x14ac:dyDescent="0.25">
      <c r="A123" s="30">
        <v>0.82644628099173523</v>
      </c>
      <c r="C123" s="1" t="str">
        <f>"R"&amp;C121</f>
        <v>R127</v>
      </c>
      <c r="D123" s="1" t="str">
        <f>"C"&amp;D121</f>
        <v>C78</v>
      </c>
      <c r="F123" s="27" t="s">
        <v>7</v>
      </c>
      <c r="G123" s="27" t="s">
        <v>8</v>
      </c>
      <c r="AS123" s="27" t="s">
        <v>8</v>
      </c>
      <c r="AT123" s="27" t="s">
        <v>7</v>
      </c>
      <c r="AW123" s="27" t="s">
        <v>8</v>
      </c>
      <c r="AX123" s="27" t="s">
        <v>7</v>
      </c>
      <c r="AY123" s="27" t="s">
        <v>8</v>
      </c>
      <c r="AZ123" s="27" t="s">
        <v>7</v>
      </c>
      <c r="BA123" s="27" t="s">
        <v>8</v>
      </c>
      <c r="BD123" s="27" t="s">
        <v>7</v>
      </c>
      <c r="BE123" s="27" t="s">
        <v>8</v>
      </c>
      <c r="BF123" s="27" t="s">
        <v>7</v>
      </c>
      <c r="BG123" s="27" t="s">
        <v>8</v>
      </c>
      <c r="BH123" s="27" t="s">
        <v>7</v>
      </c>
      <c r="BI123" s="27" t="s">
        <v>8</v>
      </c>
      <c r="BJ123" s="27" t="s">
        <v>7</v>
      </c>
      <c r="BN123" s="27" t="s">
        <v>7</v>
      </c>
      <c r="BO123" s="27" t="s">
        <v>8</v>
      </c>
      <c r="BP123" s="27" t="s">
        <v>7</v>
      </c>
      <c r="BQ123" s="27" t="s">
        <v>8</v>
      </c>
      <c r="BR123" s="27" t="s">
        <v>7</v>
      </c>
      <c r="BS123" s="27" t="s">
        <v>8</v>
      </c>
      <c r="BX123" s="27" t="s">
        <v>7</v>
      </c>
      <c r="BY123" s="27" t="s">
        <v>8</v>
      </c>
    </row>
    <row r="124" spans="1:7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  <c r="AS124" s="27" t="s">
        <v>8</v>
      </c>
      <c r="AT124" s="27" t="s">
        <v>7</v>
      </c>
      <c r="AW124" s="27" t="s">
        <v>8</v>
      </c>
      <c r="AX124" s="27" t="s">
        <v>7</v>
      </c>
      <c r="AY124" s="27" t="s">
        <v>8</v>
      </c>
      <c r="AZ124" s="27" t="s">
        <v>7</v>
      </c>
      <c r="BA124" s="27" t="s">
        <v>8</v>
      </c>
      <c r="BD124" s="27" t="s">
        <v>7</v>
      </c>
      <c r="BE124" s="27" t="s">
        <v>8</v>
      </c>
      <c r="BF124" s="27" t="s">
        <v>7</v>
      </c>
      <c r="BG124" s="27" t="s">
        <v>8</v>
      </c>
      <c r="BH124" s="27" t="s">
        <v>7</v>
      </c>
      <c r="BI124" s="27" t="s">
        <v>8</v>
      </c>
      <c r="BN124" s="27" t="s">
        <v>7</v>
      </c>
      <c r="BO124" s="27" t="s">
        <v>8</v>
      </c>
      <c r="BP124" s="27" t="s">
        <v>7</v>
      </c>
      <c r="BQ124" s="27" t="s">
        <v>8</v>
      </c>
      <c r="BR124" s="27" t="s">
        <v>7</v>
      </c>
      <c r="BS124" s="27" t="s">
        <v>8</v>
      </c>
      <c r="BX124" s="27" t="s">
        <v>7</v>
      </c>
      <c r="BY124" s="27" t="s">
        <v>8</v>
      </c>
      <c r="BZ124" s="27" t="s">
        <v>7</v>
      </c>
    </row>
    <row r="125" spans="1:78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AS125" s="27" t="s">
        <v>8</v>
      </c>
      <c r="AT125" s="27" t="s">
        <v>7</v>
      </c>
      <c r="AW125" s="27" t="s">
        <v>8</v>
      </c>
      <c r="AX125" s="27" t="s">
        <v>7</v>
      </c>
      <c r="AZ125" s="27" t="s">
        <v>7</v>
      </c>
      <c r="BD125" s="27" t="s">
        <v>7</v>
      </c>
      <c r="BE125" s="27" t="s">
        <v>8</v>
      </c>
      <c r="BF125" s="27" t="s">
        <v>7</v>
      </c>
      <c r="BG125" s="27" t="s">
        <v>8</v>
      </c>
      <c r="BH125" s="27" t="s">
        <v>7</v>
      </c>
      <c r="BI125" s="27" t="s">
        <v>8</v>
      </c>
      <c r="BN125" s="27" t="s">
        <v>7</v>
      </c>
      <c r="BO125" s="27" t="s">
        <v>8</v>
      </c>
      <c r="BP125" s="27" t="s">
        <v>7</v>
      </c>
      <c r="BR125" s="18" t="s">
        <v>7</v>
      </c>
      <c r="BS125" s="27" t="s">
        <v>8</v>
      </c>
      <c r="BX125" s="27" t="s">
        <v>7</v>
      </c>
      <c r="BY125" s="27" t="s">
        <v>8</v>
      </c>
      <c r="BZ125" s="27" t="s">
        <v>7</v>
      </c>
    </row>
    <row r="126" spans="1:78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AS126" s="27" t="s">
        <v>8</v>
      </c>
      <c r="AT126" s="27" t="s">
        <v>7</v>
      </c>
      <c r="AU126" s="27" t="s">
        <v>8</v>
      </c>
      <c r="AW126" s="27" t="s">
        <v>8</v>
      </c>
      <c r="BD126" s="27" t="s">
        <v>7</v>
      </c>
      <c r="BF126" s="27" t="s">
        <v>7</v>
      </c>
      <c r="BG126" s="27" t="s">
        <v>8</v>
      </c>
      <c r="BH126" s="27" t="s">
        <v>7</v>
      </c>
      <c r="BN126" s="27" t="s">
        <v>7</v>
      </c>
      <c r="BO126" s="27" t="s">
        <v>8</v>
      </c>
      <c r="BR126" s="27" t="s">
        <v>7</v>
      </c>
      <c r="BS126" s="27" t="s">
        <v>8</v>
      </c>
      <c r="BX126" s="27" t="s">
        <v>7</v>
      </c>
      <c r="BZ126" s="27" t="s">
        <v>7</v>
      </c>
    </row>
    <row r="127" spans="1:78" x14ac:dyDescent="0.25">
      <c r="A127" s="30">
        <v>0.56447393005377677</v>
      </c>
      <c r="C127" s="30">
        <v>0.56447393005377677</v>
      </c>
      <c r="D127"/>
      <c r="F127" s="27" t="s">
        <v>7</v>
      </c>
      <c r="G127" s="27" t="s">
        <v>8</v>
      </c>
      <c r="H127" s="27" t="s">
        <v>7</v>
      </c>
      <c r="AS127" s="27" t="s">
        <v>8</v>
      </c>
      <c r="AT127" s="27" t="s">
        <v>7</v>
      </c>
      <c r="AU127" s="27" t="s">
        <v>8</v>
      </c>
      <c r="AV127" s="27" t="s">
        <v>7</v>
      </c>
      <c r="AW127" s="27" t="s">
        <v>8</v>
      </c>
      <c r="BF127" s="27" t="s">
        <v>7</v>
      </c>
      <c r="BG127" s="27" t="s">
        <v>8</v>
      </c>
      <c r="BN127" s="27" t="s">
        <v>7</v>
      </c>
      <c r="BO127" s="27" t="s">
        <v>8</v>
      </c>
      <c r="BR127" s="27" t="s">
        <v>7</v>
      </c>
      <c r="BZ127" s="27" t="s">
        <v>7</v>
      </c>
    </row>
    <row r="128" spans="1:78" x14ac:dyDescent="0.25">
      <c r="A128" s="30">
        <v>0.51315811823070612</v>
      </c>
      <c r="F128" s="27" t="s">
        <v>7</v>
      </c>
      <c r="H128" s="27" t="s">
        <v>7</v>
      </c>
      <c r="I128" s="27" t="s">
        <v>8</v>
      </c>
      <c r="AS128" s="27" t="s">
        <v>8</v>
      </c>
      <c r="AT128" s="27" t="s">
        <v>7</v>
      </c>
      <c r="AU128" s="27" t="s">
        <v>8</v>
      </c>
      <c r="AV128" s="27" t="s">
        <v>7</v>
      </c>
      <c r="AW128" s="27" t="s">
        <v>8</v>
      </c>
      <c r="BF128" s="27" t="s">
        <v>7</v>
      </c>
      <c r="BG128" s="27" t="s">
        <v>8</v>
      </c>
      <c r="BN128" s="27" t="s">
        <v>7</v>
      </c>
      <c r="BO128" s="27" t="s">
        <v>8</v>
      </c>
    </row>
    <row r="129" spans="1:67" x14ac:dyDescent="0.25">
      <c r="A129" s="30">
        <v>0.46650738020973276</v>
      </c>
      <c r="C129" s="1" t="s">
        <v>11</v>
      </c>
      <c r="D129" s="1" t="s">
        <v>12</v>
      </c>
      <c r="E129"/>
      <c r="H129" s="27" t="s">
        <v>7</v>
      </c>
      <c r="I129" s="27" t="s">
        <v>8</v>
      </c>
      <c r="J129" s="27" t="s">
        <v>7</v>
      </c>
      <c r="AS129" s="27" t="s">
        <v>8</v>
      </c>
      <c r="AT129" s="27" t="s">
        <v>7</v>
      </c>
      <c r="AU129" s="27" t="s">
        <v>8</v>
      </c>
      <c r="AV129" s="27" t="s">
        <v>7</v>
      </c>
      <c r="AW129" s="27" t="s">
        <v>8</v>
      </c>
      <c r="BF129" s="27" t="s">
        <v>7</v>
      </c>
      <c r="BG129" s="27" t="s">
        <v>8</v>
      </c>
      <c r="BN129" s="27" t="s">
        <v>7</v>
      </c>
      <c r="BO129" s="27" t="s">
        <v>8</v>
      </c>
    </row>
    <row r="130" spans="1:67" x14ac:dyDescent="0.25">
      <c r="A130" s="30">
        <v>0.42409761837248428</v>
      </c>
      <c r="C130" s="6"/>
      <c r="D130" s="6"/>
      <c r="E130"/>
      <c r="H130" s="27" t="s">
        <v>7</v>
      </c>
      <c r="I130" s="27" t="s">
        <v>8</v>
      </c>
      <c r="J130" s="27" t="s">
        <v>7</v>
      </c>
      <c r="AQ130" s="27" t="s">
        <v>8</v>
      </c>
      <c r="AS130" s="27" t="s">
        <v>8</v>
      </c>
      <c r="AT130" s="27" t="s">
        <v>7</v>
      </c>
      <c r="AU130" s="27" t="s">
        <v>8</v>
      </c>
      <c r="AV130" s="27" t="s">
        <v>7</v>
      </c>
      <c r="BF130" s="27" t="s">
        <v>7</v>
      </c>
      <c r="BN130" s="27" t="s">
        <v>7</v>
      </c>
      <c r="BO130" s="27" t="s">
        <v>8</v>
      </c>
    </row>
    <row r="131" spans="1:67" x14ac:dyDescent="0.25">
      <c r="A131" s="30">
        <v>0.38554328942953109</v>
      </c>
      <c r="E131"/>
      <c r="H131" s="27" t="s">
        <v>7</v>
      </c>
      <c r="I131" s="27" t="s">
        <v>8</v>
      </c>
      <c r="J131" s="27" t="s">
        <v>7</v>
      </c>
      <c r="AK131" s="27" t="s">
        <v>8</v>
      </c>
      <c r="AQ131" s="27" t="s">
        <v>8</v>
      </c>
      <c r="AR131" s="27" t="s">
        <v>7</v>
      </c>
      <c r="AS131" s="27" t="s">
        <v>8</v>
      </c>
      <c r="AT131" s="27" t="s">
        <v>7</v>
      </c>
      <c r="AU131" s="27" t="s">
        <v>8</v>
      </c>
      <c r="BN131" s="27" t="s">
        <v>7</v>
      </c>
    </row>
    <row r="132" spans="1:67" x14ac:dyDescent="0.25">
      <c r="A132" s="30">
        <v>0.35049389948139187</v>
      </c>
      <c r="C132" s="1" t="s">
        <v>13</v>
      </c>
      <c r="E132"/>
      <c r="H132" s="27" t="s">
        <v>7</v>
      </c>
      <c r="J132" s="27" t="s">
        <v>7</v>
      </c>
      <c r="AK132" s="27" t="s">
        <v>8</v>
      </c>
      <c r="AL132" s="27" t="s">
        <v>7</v>
      </c>
      <c r="AQ132" s="27" t="s">
        <v>8</v>
      </c>
      <c r="AR132" s="27" t="s">
        <v>7</v>
      </c>
      <c r="AS132" s="27" t="s">
        <v>8</v>
      </c>
      <c r="AT132" s="27" t="s">
        <v>7</v>
      </c>
    </row>
    <row r="133" spans="1:67" x14ac:dyDescent="0.25">
      <c r="A133" s="30">
        <v>0.31863081771035617</v>
      </c>
      <c r="C133" s="1" t="str">
        <f>C122</f>
        <v>O</v>
      </c>
      <c r="E133"/>
      <c r="J133" s="27" t="s">
        <v>7</v>
      </c>
      <c r="AK133" s="27" t="s">
        <v>8</v>
      </c>
      <c r="AL133" s="27" t="s">
        <v>7</v>
      </c>
      <c r="AM133" s="27" t="s">
        <v>8</v>
      </c>
      <c r="AQ133" s="27" t="s">
        <v>8</v>
      </c>
      <c r="AR133" s="27" t="s">
        <v>7</v>
      </c>
    </row>
    <row r="134" spans="1:67" x14ac:dyDescent="0.25">
      <c r="A134" s="30">
        <v>0.28966437973668741</v>
      </c>
      <c r="C134"/>
      <c r="D134"/>
      <c r="E134"/>
      <c r="J134" s="27" t="s">
        <v>7</v>
      </c>
      <c r="Q134" s="27" t="s">
        <v>8</v>
      </c>
      <c r="AC134" s="27" t="s">
        <v>8</v>
      </c>
      <c r="AK134" s="27" t="s">
        <v>8</v>
      </c>
      <c r="AL134" s="27" t="s">
        <v>7</v>
      </c>
      <c r="AM134" s="27" t="s">
        <v>8</v>
      </c>
      <c r="AN134" s="27" t="s">
        <v>7</v>
      </c>
      <c r="AQ134" s="27" t="s">
        <v>8</v>
      </c>
    </row>
    <row r="135" spans="1:67" x14ac:dyDescent="0.25">
      <c r="A135" s="30">
        <v>0.2633312543060794</v>
      </c>
      <c r="C135" s="1" t="s">
        <v>14</v>
      </c>
      <c r="E135"/>
      <c r="J135" s="27" t="s">
        <v>7</v>
      </c>
      <c r="Q135" s="27" t="s">
        <v>8</v>
      </c>
      <c r="R135" s="27" t="s">
        <v>7</v>
      </c>
      <c r="AC135" s="27" t="s">
        <v>8</v>
      </c>
      <c r="AD135" s="27" t="s">
        <v>7</v>
      </c>
      <c r="AK135" s="27" t="s">
        <v>8</v>
      </c>
      <c r="AL135" s="27" t="s">
        <v>7</v>
      </c>
      <c r="AM135" s="27" t="s">
        <v>8</v>
      </c>
      <c r="AN135" s="27" t="s">
        <v>7</v>
      </c>
      <c r="AQ135" s="27" t="s">
        <v>8</v>
      </c>
    </row>
    <row r="136" spans="1:6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J136" s="27" t="s">
        <v>7</v>
      </c>
      <c r="Q136" s="27" t="s">
        <v>8</v>
      </c>
      <c r="R136" s="27" t="s">
        <v>7</v>
      </c>
      <c r="AC136" s="27" t="s">
        <v>8</v>
      </c>
      <c r="AD136" s="27" t="s">
        <v>7</v>
      </c>
      <c r="AK136" s="27" t="s">
        <v>8</v>
      </c>
      <c r="AL136" s="27" t="s">
        <v>7</v>
      </c>
      <c r="AM136" s="27" t="s">
        <v>8</v>
      </c>
      <c r="AN136" s="27" t="s">
        <v>7</v>
      </c>
      <c r="AO136" s="27" t="s">
        <v>8</v>
      </c>
      <c r="AQ136" s="27" t="s">
        <v>8</v>
      </c>
    </row>
    <row r="137" spans="1:67" x14ac:dyDescent="0.25">
      <c r="A137" s="30">
        <v>0.2176291357901482</v>
      </c>
      <c r="E137"/>
      <c r="J137" s="27" t="s">
        <v>7</v>
      </c>
      <c r="Q137" s="27" t="s">
        <v>8</v>
      </c>
      <c r="R137" s="27" t="s">
        <v>7</v>
      </c>
      <c r="AA137" s="27" t="s">
        <v>8</v>
      </c>
      <c r="AC137" s="27" t="s">
        <v>8</v>
      </c>
      <c r="AD137" s="27" t="s">
        <v>7</v>
      </c>
      <c r="AE137" s="27" t="s">
        <v>8</v>
      </c>
      <c r="AK137" s="27" t="s">
        <v>8</v>
      </c>
      <c r="AL137" s="27" t="s">
        <v>7</v>
      </c>
      <c r="AN137" s="27" t="s">
        <v>7</v>
      </c>
      <c r="AO137" s="27" t="s">
        <v>8</v>
      </c>
      <c r="AP137" s="27" t="s">
        <v>7</v>
      </c>
      <c r="AQ137" s="27" t="s">
        <v>8</v>
      </c>
    </row>
    <row r="138" spans="1:6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J138" s="27" t="s">
        <v>7</v>
      </c>
      <c r="K138" s="27" t="s">
        <v>8</v>
      </c>
      <c r="Q138" s="27" t="s">
        <v>8</v>
      </c>
      <c r="R138" s="27" t="s">
        <v>7</v>
      </c>
      <c r="AA138" s="27" t="s">
        <v>8</v>
      </c>
      <c r="AB138" s="27" t="s">
        <v>7</v>
      </c>
      <c r="AC138" s="27" t="s">
        <v>8</v>
      </c>
      <c r="AD138" s="27" t="s">
        <v>7</v>
      </c>
      <c r="AE138" s="27" t="s">
        <v>8</v>
      </c>
      <c r="AF138" s="27" t="s">
        <v>7</v>
      </c>
      <c r="AK138" s="27" t="s">
        <v>8</v>
      </c>
      <c r="AN138" s="27" t="s">
        <v>7</v>
      </c>
      <c r="AO138" s="27" t="s">
        <v>8</v>
      </c>
      <c r="AP138" s="27" t="s">
        <v>7</v>
      </c>
      <c r="AQ138" s="27" t="s">
        <v>8</v>
      </c>
    </row>
    <row r="139" spans="1:67" x14ac:dyDescent="0.25">
      <c r="A139" s="30">
        <v>0.17985878990921333</v>
      </c>
      <c r="E139"/>
      <c r="J139" s="27" t="s">
        <v>7</v>
      </c>
      <c r="K139" s="27" t="s">
        <v>8</v>
      </c>
      <c r="L139" s="27" t="s">
        <v>7</v>
      </c>
      <c r="M139" s="27" t="s">
        <v>8</v>
      </c>
      <c r="Q139" s="27" t="s">
        <v>8</v>
      </c>
      <c r="R139" s="27" t="s">
        <v>7</v>
      </c>
      <c r="AA139" s="27" t="s">
        <v>8</v>
      </c>
      <c r="AB139" s="27" t="s">
        <v>7</v>
      </c>
      <c r="AC139" s="27" t="s">
        <v>8</v>
      </c>
      <c r="AD139" s="27" t="s">
        <v>7</v>
      </c>
      <c r="AE139" s="27" t="s">
        <v>8</v>
      </c>
      <c r="AF139" s="27" t="s">
        <v>7</v>
      </c>
      <c r="AG139" s="27" t="s">
        <v>8</v>
      </c>
      <c r="AK139" s="27" t="s">
        <v>8</v>
      </c>
      <c r="AN139" s="27" t="s">
        <v>7</v>
      </c>
      <c r="AP139" s="27" t="s">
        <v>7</v>
      </c>
      <c r="AQ139" s="27" t="s">
        <v>8</v>
      </c>
    </row>
    <row r="140" spans="1:67" x14ac:dyDescent="0.25">
      <c r="A140" s="30">
        <v>0.16350799082655756</v>
      </c>
      <c r="C140" s="1">
        <v>0</v>
      </c>
      <c r="E140"/>
      <c r="J140" s="27" t="s">
        <v>7</v>
      </c>
      <c r="K140" s="27" t="s">
        <v>8</v>
      </c>
      <c r="L140" s="27" t="s">
        <v>7</v>
      </c>
      <c r="M140" s="27" t="s">
        <v>8</v>
      </c>
      <c r="N140" s="27" t="s">
        <v>7</v>
      </c>
      <c r="Q140" s="27" t="s">
        <v>8</v>
      </c>
      <c r="R140" s="27" t="s">
        <v>7</v>
      </c>
      <c r="W140" s="27" t="s">
        <v>8</v>
      </c>
      <c r="AA140" s="27" t="s">
        <v>8</v>
      </c>
      <c r="AB140" s="27" t="s">
        <v>7</v>
      </c>
      <c r="AC140" s="27" t="s">
        <v>8</v>
      </c>
      <c r="AD140" s="27" t="s">
        <v>7</v>
      </c>
      <c r="AF140" s="27" t="s">
        <v>7</v>
      </c>
      <c r="AG140" s="27" t="s">
        <v>8</v>
      </c>
      <c r="AH140" s="27" t="s">
        <v>7</v>
      </c>
      <c r="AI140" s="27" t="s">
        <v>8</v>
      </c>
      <c r="AK140" s="27" t="s">
        <v>8</v>
      </c>
      <c r="AP140" s="27" t="s">
        <v>7</v>
      </c>
      <c r="AQ140" s="27" t="s">
        <v>8</v>
      </c>
    </row>
    <row r="141" spans="1:67" x14ac:dyDescent="0.25">
      <c r="A141" s="30">
        <v>0.14864362802414322</v>
      </c>
      <c r="C141" s="1">
        <v>1</v>
      </c>
      <c r="E141"/>
      <c r="J141" s="27" t="s">
        <v>7</v>
      </c>
      <c r="K141" s="27" t="s">
        <v>8</v>
      </c>
      <c r="L141" s="27" t="s">
        <v>7</v>
      </c>
      <c r="M141" s="27" t="s">
        <v>8</v>
      </c>
      <c r="N141" s="27" t="s">
        <v>7</v>
      </c>
      <c r="Q141" s="27" t="s">
        <v>8</v>
      </c>
      <c r="R141" s="27" t="s">
        <v>7</v>
      </c>
      <c r="W141" s="27" t="s">
        <v>8</v>
      </c>
      <c r="X141" s="27" t="s">
        <v>7</v>
      </c>
      <c r="Y141" s="27" t="s">
        <v>8</v>
      </c>
      <c r="AA141" s="27" t="s">
        <v>8</v>
      </c>
      <c r="AB141" s="27" t="s">
        <v>7</v>
      </c>
      <c r="AC141" s="27" t="s">
        <v>8</v>
      </c>
      <c r="AF141" s="27" t="s">
        <v>7</v>
      </c>
      <c r="AG141" s="27" t="s">
        <v>8</v>
      </c>
      <c r="AH141" s="27" t="s">
        <v>7</v>
      </c>
      <c r="AI141" s="27" t="s">
        <v>8</v>
      </c>
      <c r="AJ141" s="27" t="s">
        <v>7</v>
      </c>
      <c r="AK141" s="27" t="s">
        <v>8</v>
      </c>
      <c r="AP141" s="27" t="s">
        <v>7</v>
      </c>
    </row>
    <row r="142" spans="1:67" x14ac:dyDescent="0.25">
      <c r="A142" s="30">
        <v>0.13513057093103928</v>
      </c>
      <c r="C142" s="1">
        <v>2</v>
      </c>
      <c r="E142"/>
      <c r="J142" s="27" t="s">
        <v>7</v>
      </c>
      <c r="K142" s="27" t="s">
        <v>8</v>
      </c>
      <c r="L142" s="27" t="s">
        <v>7</v>
      </c>
      <c r="M142" s="27" t="s">
        <v>8</v>
      </c>
      <c r="N142" s="27" t="s">
        <v>7</v>
      </c>
      <c r="O142" s="27" t="s">
        <v>8</v>
      </c>
      <c r="Q142" s="27" t="s">
        <v>8</v>
      </c>
      <c r="R142" s="27" t="s">
        <v>7</v>
      </c>
      <c r="W142" s="27" t="s">
        <v>8</v>
      </c>
      <c r="X142" s="27" t="s">
        <v>7</v>
      </c>
      <c r="Y142" s="27" t="s">
        <v>8</v>
      </c>
      <c r="Z142" s="27" t="s">
        <v>7</v>
      </c>
      <c r="AA142" s="27" t="s">
        <v>8</v>
      </c>
      <c r="AB142" s="27" t="s">
        <v>7</v>
      </c>
      <c r="AC142" s="27" t="s">
        <v>8</v>
      </c>
      <c r="AF142" s="27" t="s">
        <v>7</v>
      </c>
      <c r="AH142" s="27" t="s">
        <v>7</v>
      </c>
      <c r="AI142" s="27" t="s">
        <v>8</v>
      </c>
      <c r="AJ142" s="27" t="s">
        <v>7</v>
      </c>
      <c r="AK142" s="27" t="s">
        <v>8</v>
      </c>
    </row>
    <row r="143" spans="1:67" x14ac:dyDescent="0.25">
      <c r="A143" s="30">
        <v>0.12284597357367205</v>
      </c>
      <c r="C143" s="1">
        <v>3</v>
      </c>
      <c r="E143"/>
      <c r="J143" s="27" t="s">
        <v>7</v>
      </c>
      <c r="L143" s="27" t="s">
        <v>7</v>
      </c>
      <c r="N143" s="27" t="s">
        <v>7</v>
      </c>
      <c r="O143" s="27" t="s">
        <v>8</v>
      </c>
      <c r="P143" s="27" t="s">
        <v>7</v>
      </c>
      <c r="Q143" s="27" t="s">
        <v>8</v>
      </c>
      <c r="R143" s="27" t="s">
        <v>7</v>
      </c>
      <c r="W143" s="27" t="s">
        <v>8</v>
      </c>
      <c r="X143" s="27" t="s">
        <v>7</v>
      </c>
      <c r="Y143" s="27" t="s">
        <v>8</v>
      </c>
      <c r="Z143" s="27" t="s">
        <v>7</v>
      </c>
      <c r="AA143" s="27" t="s">
        <v>8</v>
      </c>
      <c r="AB143" s="27" t="s">
        <v>7</v>
      </c>
      <c r="AC143" s="27" t="s">
        <v>8</v>
      </c>
      <c r="AH143" s="27" t="s">
        <v>7</v>
      </c>
      <c r="AI143" s="27" t="s">
        <v>8</v>
      </c>
      <c r="AJ143" s="27" t="s">
        <v>7</v>
      </c>
      <c r="AK143" s="27" t="s">
        <v>8</v>
      </c>
    </row>
    <row r="144" spans="1:67" x14ac:dyDescent="0.25">
      <c r="A144" s="30">
        <v>0.11167815779424731</v>
      </c>
      <c r="C144" s="1">
        <v>4</v>
      </c>
      <c r="E144"/>
      <c r="N144" s="27" t="s">
        <v>7</v>
      </c>
      <c r="O144" s="27" t="s">
        <v>8</v>
      </c>
      <c r="P144" s="27" t="s">
        <v>7</v>
      </c>
      <c r="Q144" s="27" t="s">
        <v>8</v>
      </c>
      <c r="R144" s="27" t="s">
        <v>7</v>
      </c>
      <c r="S144" s="27" t="s">
        <v>8</v>
      </c>
      <c r="U144" s="27" t="s">
        <v>8</v>
      </c>
      <c r="W144" s="27" t="s">
        <v>8</v>
      </c>
      <c r="X144" s="27" t="s">
        <v>7</v>
      </c>
      <c r="Y144" s="27" t="s">
        <v>8</v>
      </c>
      <c r="Z144" s="27" t="s">
        <v>7</v>
      </c>
      <c r="AA144" s="27" t="s">
        <v>8</v>
      </c>
      <c r="AB144" s="27" t="s">
        <v>7</v>
      </c>
      <c r="AH144" s="27" t="s">
        <v>7</v>
      </c>
      <c r="AJ144" s="27" t="s">
        <v>7</v>
      </c>
      <c r="AK144" s="27" t="s">
        <v>8</v>
      </c>
    </row>
    <row r="145" spans="1:36" x14ac:dyDescent="0.25">
      <c r="A145" s="30">
        <v>0.10152559799477026</v>
      </c>
      <c r="B145"/>
      <c r="C145"/>
      <c r="D145"/>
      <c r="E145"/>
      <c r="N145" s="27" t="s">
        <v>7</v>
      </c>
      <c r="O145" s="27" t="s">
        <v>8</v>
      </c>
      <c r="P145" s="27" t="s">
        <v>7</v>
      </c>
      <c r="Q145" s="27" t="s">
        <v>8</v>
      </c>
      <c r="R145" s="27" t="s">
        <v>7</v>
      </c>
      <c r="S145" s="27" t="s">
        <v>8</v>
      </c>
      <c r="T145" s="27" t="s">
        <v>7</v>
      </c>
      <c r="U145" s="27" t="s">
        <v>8</v>
      </c>
      <c r="V145" s="27" t="s">
        <v>7</v>
      </c>
      <c r="W145" s="27" t="s">
        <v>8</v>
      </c>
      <c r="X145" s="27" t="s">
        <v>7</v>
      </c>
      <c r="Y145" s="27" t="s">
        <v>8</v>
      </c>
      <c r="Z145" s="27" t="s">
        <v>7</v>
      </c>
      <c r="AJ145" s="27" t="s">
        <v>7</v>
      </c>
    </row>
    <row r="146" spans="1:36" x14ac:dyDescent="0.25">
      <c r="A146" s="30">
        <v>9.2295998177063854E-2</v>
      </c>
      <c r="B146"/>
      <c r="C146"/>
      <c r="D146"/>
      <c r="E146"/>
      <c r="N146" s="27" t="s">
        <v>7</v>
      </c>
      <c r="P146" s="27" t="s">
        <v>7</v>
      </c>
      <c r="R146" s="27" t="s">
        <v>7</v>
      </c>
      <c r="S146" s="27" t="s">
        <v>8</v>
      </c>
      <c r="T146" s="27" t="s">
        <v>7</v>
      </c>
      <c r="U146" s="27" t="s">
        <v>8</v>
      </c>
      <c r="V146" s="27" t="s">
        <v>7</v>
      </c>
      <c r="W146" s="27" t="s">
        <v>8</v>
      </c>
      <c r="X146" s="27" t="s">
        <v>7</v>
      </c>
      <c r="Y146" s="27" t="s">
        <v>8</v>
      </c>
    </row>
    <row r="147" spans="1:36" x14ac:dyDescent="0.25">
      <c r="A147" s="30">
        <v>8.3905452888239848E-2</v>
      </c>
      <c r="B147"/>
      <c r="C147"/>
      <c r="D147"/>
      <c r="E147"/>
      <c r="R147" s="27" t="s">
        <v>7</v>
      </c>
      <c r="S147" s="27" t="s">
        <v>8</v>
      </c>
      <c r="T147" s="27" t="s">
        <v>7</v>
      </c>
      <c r="U147" s="27" t="s">
        <v>8</v>
      </c>
      <c r="V147" s="27" t="s">
        <v>7</v>
      </c>
      <c r="W147" s="27" t="s">
        <v>8</v>
      </c>
      <c r="X147" s="27" t="s">
        <v>7</v>
      </c>
    </row>
    <row r="148" spans="1:36" x14ac:dyDescent="0.25">
      <c r="A148" s="30">
        <v>7.6277684443854396E-2</v>
      </c>
      <c r="B148"/>
      <c r="C148"/>
      <c r="D148"/>
      <c r="E148"/>
      <c r="R148" s="27" t="s">
        <v>7</v>
      </c>
      <c r="S148" s="27" t="s">
        <v>8</v>
      </c>
      <c r="T148" s="27" t="s">
        <v>7</v>
      </c>
      <c r="U148" s="27" t="s">
        <v>8</v>
      </c>
      <c r="V148" s="27" t="s">
        <v>7</v>
      </c>
    </row>
    <row r="149" spans="1:36" x14ac:dyDescent="0.25">
      <c r="A149" s="30">
        <v>6.9343349494413078E-2</v>
      </c>
      <c r="B149"/>
      <c r="C149"/>
      <c r="D149"/>
      <c r="E149"/>
      <c r="R149" s="27" t="s">
        <v>7</v>
      </c>
      <c r="S149" s="27" t="s">
        <v>8</v>
      </c>
      <c r="T149" s="27" t="s">
        <v>7</v>
      </c>
      <c r="U149" s="27" t="s">
        <v>8</v>
      </c>
    </row>
    <row r="150" spans="1:36" x14ac:dyDescent="0.25">
      <c r="A150" s="30">
        <v>6.3039408631284613E-2</v>
      </c>
      <c r="B150"/>
      <c r="C150"/>
      <c r="D150"/>
      <c r="E150"/>
      <c r="R150" s="27" t="s">
        <v>7</v>
      </c>
      <c r="S150" s="27" t="s">
        <v>8</v>
      </c>
      <c r="T150" s="27" t="s">
        <v>7</v>
      </c>
      <c r="U150" s="27" t="s">
        <v>8</v>
      </c>
    </row>
    <row r="151" spans="1:36" x14ac:dyDescent="0.25">
      <c r="A151" s="30">
        <v>5.7308553301167818E-2</v>
      </c>
      <c r="B151"/>
      <c r="C151"/>
      <c r="D151"/>
      <c r="E151"/>
      <c r="R151" s="27" t="s">
        <v>7</v>
      </c>
      <c r="S151" s="27" t="s">
        <v>8</v>
      </c>
      <c r="T151" s="27" t="s">
        <v>7</v>
      </c>
    </row>
    <row r="152" spans="1:36" x14ac:dyDescent="0.25">
      <c r="A152" s="30">
        <v>5.2098684819243464E-2</v>
      </c>
      <c r="B152"/>
      <c r="C152"/>
      <c r="D152"/>
      <c r="E152"/>
      <c r="R152" s="27" t="s">
        <v>7</v>
      </c>
      <c r="S152" s="27" t="s">
        <v>8</v>
      </c>
    </row>
    <row r="153" spans="1:36" x14ac:dyDescent="0.25">
      <c r="A153" s="30">
        <v>4.7362440744766775E-2</v>
      </c>
      <c r="B153"/>
      <c r="C153"/>
      <c r="D153"/>
      <c r="E153"/>
      <c r="R153" s="27" t="s">
        <v>7</v>
      </c>
      <c r="S153" s="27" t="s">
        <v>8</v>
      </c>
    </row>
    <row r="154" spans="1:36" x14ac:dyDescent="0.25">
      <c r="A154" s="30">
        <v>4.3056764313424332E-2</v>
      </c>
      <c r="B154"/>
      <c r="C154"/>
      <c r="D154"/>
      <c r="E154"/>
      <c r="R154" s="27" t="s">
        <v>7</v>
      </c>
      <c r="S154" s="27" t="s">
        <v>8</v>
      </c>
    </row>
    <row r="155" spans="1:36" x14ac:dyDescent="0.25">
      <c r="A155" s="30">
        <v>3.9142513012203929E-2</v>
      </c>
      <c r="B155"/>
      <c r="C155"/>
      <c r="D155"/>
      <c r="E155"/>
      <c r="R155" s="27" t="s">
        <v>7</v>
      </c>
    </row>
    <row r="156" spans="1:36" x14ac:dyDescent="0.25">
      <c r="A156" s="30">
        <v>3.55841027383672E-2</v>
      </c>
      <c r="B156"/>
      <c r="C156"/>
      <c r="D156"/>
      <c r="E156"/>
    </row>
    <row r="157" spans="1:36" x14ac:dyDescent="0.25">
      <c r="A157" s="30">
        <v>3.2349184307606541E-2</v>
      </c>
      <c r="B157"/>
      <c r="C157"/>
      <c r="D157"/>
      <c r="E157"/>
    </row>
    <row r="158" spans="1:36" x14ac:dyDescent="0.25">
      <c r="A158" s="30">
        <v>2.9408349370551395E-2</v>
      </c>
      <c r="B158"/>
      <c r="C158"/>
      <c r="D158"/>
      <c r="E158"/>
    </row>
    <row r="159" spans="1:36" x14ac:dyDescent="0.25">
      <c r="A159" s="30">
        <v>2.6734863064137627E-2</v>
      </c>
      <c r="B159"/>
      <c r="C159"/>
      <c r="D159"/>
      <c r="E159"/>
    </row>
    <row r="160" spans="1:3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79" operator="equal">
      <formula>$U$1</formula>
    </cfRule>
    <cfRule type="cellIs" dxfId="30" priority="1480" operator="equal">
      <formula>$S$1</formula>
    </cfRule>
  </conditionalFormatting>
  <conditionalFormatting sqref="D136">
    <cfRule type="cellIs" dxfId="29" priority="1477" operator="equal">
      <formula>$S$1</formula>
    </cfRule>
    <cfRule type="cellIs" dxfId="28" priority="1478" operator="equal">
      <formula>$U$1</formula>
    </cfRule>
  </conditionalFormatting>
  <conditionalFormatting sqref="C102">
    <cfRule type="cellIs" dxfId="27" priority="1475" operator="equal">
      <formula>$U$1</formula>
    </cfRule>
    <cfRule type="cellIs" dxfId="26" priority="1476" operator="equal">
      <formula>$S$1</formula>
    </cfRule>
  </conditionalFormatting>
  <conditionalFormatting sqref="D102">
    <cfRule type="cellIs" dxfId="25" priority="1473" operator="equal">
      <formula>$S$1</formula>
    </cfRule>
    <cfRule type="cellIs" dxfId="24" priority="1474" operator="equal">
      <formula>$U$1</formula>
    </cfRule>
  </conditionalFormatting>
  <conditionalFormatting sqref="C77">
    <cfRule type="cellIs" dxfId="23" priority="1471" operator="equal">
      <formula>$U$1</formula>
    </cfRule>
    <cfRule type="cellIs" dxfId="22" priority="1472" operator="equal">
      <formula>$S$1</formula>
    </cfRule>
  </conditionalFormatting>
  <conditionalFormatting sqref="D77">
    <cfRule type="cellIs" dxfId="21" priority="1469" operator="equal">
      <formula>$S$1</formula>
    </cfRule>
    <cfRule type="cellIs" dxfId="20" priority="1470" operator="equal">
      <formula>$U$1</formula>
    </cfRule>
  </conditionalFormatting>
  <conditionalFormatting sqref="C52">
    <cfRule type="cellIs" dxfId="19" priority="1467" operator="equal">
      <formula>$U$1</formula>
    </cfRule>
    <cfRule type="cellIs" dxfId="18" priority="1468" operator="equal">
      <formula>$S$1</formula>
    </cfRule>
  </conditionalFormatting>
  <conditionalFormatting sqref="D52">
    <cfRule type="cellIs" dxfId="17" priority="1465" operator="equal">
      <formula>$S$1</formula>
    </cfRule>
    <cfRule type="cellIs" dxfId="16" priority="1466" operator="equal">
      <formula>$U$1</formula>
    </cfRule>
  </conditionalFormatting>
  <conditionalFormatting sqref="C26">
    <cfRule type="cellIs" dxfId="15" priority="1463" operator="equal">
      <formula>$U$1</formula>
    </cfRule>
    <cfRule type="cellIs" dxfId="14" priority="1464" operator="equal">
      <formula>$S$1</formula>
    </cfRule>
  </conditionalFormatting>
  <conditionalFormatting sqref="D26">
    <cfRule type="cellIs" dxfId="13" priority="1461" operator="equal">
      <formula>$S$1</formula>
    </cfRule>
    <cfRule type="cellIs" dxfId="12" priority="146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2022-01-28T01:19:50Z</dcterms:modified>
</cp:coreProperties>
</file>