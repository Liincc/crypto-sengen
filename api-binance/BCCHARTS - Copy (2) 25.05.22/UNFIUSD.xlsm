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B9BE265C-066F-48FE-B65D-147D0CC2CA9B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766" i="1"/>
  <c r="T766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6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16" i="5"/>
  <c r="C122" i="5"/>
  <c r="C133" i="5" s="1"/>
  <c r="D136" i="5" s="1"/>
  <c r="C122" i="4"/>
  <c r="C133" i="4" s="1"/>
  <c r="D136" i="4" s="1"/>
  <c r="C116" i="4"/>
  <c r="C118" i="4"/>
  <c r="C118" i="3"/>
  <c r="C122" i="3"/>
  <c r="C133" i="3" s="1"/>
  <c r="D136" i="3" s="1"/>
  <c r="R765" i="1"/>
  <c r="C136" i="5" l="1"/>
  <c r="C138" i="5" s="1"/>
  <c r="C136" i="4"/>
  <c r="C138" i="4" s="1"/>
  <c r="C136" i="3"/>
  <c r="C138" i="3" s="1"/>
  <c r="R764" i="1"/>
  <c r="S765" i="1"/>
  <c r="T765" i="1" s="1"/>
  <c r="R763" i="1" l="1"/>
  <c r="S764" i="1"/>
  <c r="T764" i="1" s="1"/>
  <c r="R762" i="1" l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R306" i="1" l="1"/>
  <c r="S307" i="1"/>
  <c r="T307" i="1" s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R288" i="1" l="1"/>
  <c r="S289" i="1"/>
  <c r="T289" i="1" s="1"/>
  <c r="S288" i="1" l="1"/>
  <c r="T288" i="1" s="1"/>
  <c r="R287" i="1"/>
  <c r="R286" i="1" l="1"/>
  <c r="S287" i="1"/>
  <c r="T287" i="1" s="1"/>
  <c r="R285" i="1" l="1"/>
  <c r="S286" i="1"/>
  <c r="T286" i="1" s="1"/>
  <c r="R284" i="1" l="1"/>
  <c r="S285" i="1"/>
  <c r="T285" i="1" s="1"/>
  <c r="S284" i="1" l="1"/>
  <c r="T284" i="1" s="1"/>
  <c r="R283" i="1"/>
  <c r="R282" i="1" l="1"/>
  <c r="S283" i="1"/>
  <c r="T283" i="1" s="1"/>
  <c r="R281" i="1" l="1"/>
  <c r="S282" i="1"/>
  <c r="T282" i="1" s="1"/>
  <c r="R280" i="1" l="1"/>
  <c r="S281" i="1"/>
  <c r="T281" i="1" s="1"/>
  <c r="R279" i="1" l="1"/>
  <c r="S280" i="1"/>
  <c r="T280" i="1" s="1"/>
  <c r="R278" i="1" l="1"/>
  <c r="S279" i="1"/>
  <c r="T279" i="1" s="1"/>
  <c r="R277" i="1" l="1"/>
  <c r="S278" i="1"/>
  <c r="T278" i="1" s="1"/>
  <c r="R276" i="1" l="1"/>
  <c r="S277" i="1"/>
  <c r="T277" i="1" s="1"/>
  <c r="S276" i="1" l="1"/>
  <c r="T276" i="1" s="1"/>
  <c r="R275" i="1"/>
  <c r="R274" i="1" l="1"/>
  <c r="S275" i="1"/>
  <c r="T275" i="1" s="1"/>
  <c r="R273" i="1" l="1"/>
  <c r="S274" i="1"/>
  <c r="T274" i="1" s="1"/>
  <c r="R272" i="1" l="1"/>
  <c r="S273" i="1"/>
  <c r="T273" i="1" s="1"/>
  <c r="S272" i="1" l="1"/>
  <c r="T272" i="1" s="1"/>
  <c r="R271" i="1"/>
  <c r="R270" i="1" l="1"/>
  <c r="S271" i="1"/>
  <c r="T271" i="1" s="1"/>
  <c r="R269" i="1" l="1"/>
  <c r="S270" i="1"/>
  <c r="T270" i="1" s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R264" i="1" l="1"/>
  <c r="S265" i="1"/>
  <c r="T265" i="1" s="1"/>
  <c r="S264" i="1" l="1"/>
  <c r="T264" i="1" s="1"/>
  <c r="R263" i="1"/>
  <c r="R262" i="1" l="1"/>
  <c r="S263" i="1"/>
  <c r="T263" i="1" s="1"/>
  <c r="R261" i="1" l="1"/>
  <c r="S262" i="1"/>
  <c r="T262" i="1" s="1"/>
  <c r="R260" i="1" l="1"/>
  <c r="S261" i="1"/>
  <c r="T261" i="1" s="1"/>
  <c r="S260" i="1" l="1"/>
  <c r="T260" i="1" s="1"/>
  <c r="R259" i="1"/>
  <c r="R258" i="1" l="1"/>
  <c r="S259" i="1"/>
  <c r="T259" i="1" s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R252" i="1" l="1"/>
  <c r="S253" i="1"/>
  <c r="T253" i="1" s="1"/>
  <c r="S252" i="1" l="1"/>
  <c r="T252" i="1" s="1"/>
  <c r="R251" i="1"/>
  <c r="R250" i="1" l="1"/>
  <c r="S251" i="1"/>
  <c r="T251" i="1" s="1"/>
  <c r="R249" i="1" l="1"/>
  <c r="S250" i="1"/>
  <c r="T250" i="1" s="1"/>
  <c r="R248" i="1" l="1"/>
  <c r="S249" i="1"/>
  <c r="T249" i="1" s="1"/>
  <c r="S248" i="1" l="1"/>
  <c r="T248" i="1" s="1"/>
  <c r="R247" i="1"/>
  <c r="R246" i="1" l="1"/>
  <c r="S247" i="1"/>
  <c r="T247" i="1" s="1"/>
  <c r="R245" i="1" l="1"/>
  <c r="S246" i="1"/>
  <c r="T246" i="1" s="1"/>
  <c r="R244" i="1" l="1"/>
  <c r="S245" i="1"/>
  <c r="T245" i="1" s="1"/>
  <c r="R243" i="1" l="1"/>
  <c r="S244" i="1"/>
  <c r="T244" i="1" s="1"/>
  <c r="R242" i="1" l="1"/>
  <c r="S243" i="1"/>
  <c r="T243" i="1" s="1"/>
  <c r="R241" i="1" l="1"/>
  <c r="S242" i="1"/>
  <c r="T242" i="1" s="1"/>
  <c r="R240" i="1" l="1"/>
  <c r="S241" i="1"/>
  <c r="T241" i="1" s="1"/>
  <c r="S240" i="1" l="1"/>
  <c r="T240" i="1" s="1"/>
  <c r="R239" i="1"/>
  <c r="R238" i="1" l="1"/>
  <c r="S239" i="1"/>
  <c r="T239" i="1" s="1"/>
  <c r="R237" i="1" l="1"/>
  <c r="S238" i="1"/>
  <c r="T238" i="1" s="1"/>
  <c r="R236" i="1" l="1"/>
  <c r="S237" i="1"/>
  <c r="T237" i="1" s="1"/>
  <c r="S236" i="1" l="1"/>
  <c r="T236" i="1" s="1"/>
  <c r="R235" i="1"/>
  <c r="R234" i="1" l="1"/>
  <c r="S235" i="1"/>
  <c r="T235" i="1" s="1"/>
  <c r="R233" i="1" l="1"/>
  <c r="S234" i="1"/>
  <c r="T234" i="1" s="1"/>
  <c r="R232" i="1" l="1"/>
  <c r="S233" i="1"/>
  <c r="T233" i="1" s="1"/>
  <c r="R231" i="1" l="1"/>
  <c r="S232" i="1"/>
  <c r="T232" i="1" s="1"/>
  <c r="R230" i="1" l="1"/>
  <c r="S231" i="1"/>
  <c r="T231" i="1" s="1"/>
  <c r="R229" i="1" l="1"/>
  <c r="S230" i="1"/>
  <c r="T230" i="1" s="1"/>
  <c r="R228" i="1" l="1"/>
  <c r="S229" i="1"/>
  <c r="T229" i="1" s="1"/>
  <c r="S228" i="1" l="1"/>
  <c r="T228" i="1" s="1"/>
  <c r="R227" i="1"/>
  <c r="R226" i="1" l="1"/>
  <c r="S227" i="1"/>
  <c r="T227" i="1" s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R221" i="1" l="1"/>
  <c r="S222" i="1"/>
  <c r="T222" i="1" s="1"/>
  <c r="R220" i="1" l="1"/>
  <c r="S221" i="1"/>
  <c r="T221" i="1" s="1"/>
  <c r="R219" i="1" l="1"/>
  <c r="S220" i="1"/>
  <c r="T220" i="1" s="1"/>
  <c r="R218" i="1" l="1"/>
  <c r="S219" i="1"/>
  <c r="T219" i="1" s="1"/>
  <c r="R217" i="1" l="1"/>
  <c r="S218" i="1"/>
  <c r="T218" i="1" s="1"/>
  <c r="R216" i="1" l="1"/>
  <c r="S217" i="1"/>
  <c r="T217" i="1" s="1"/>
  <c r="R215" i="1" l="1"/>
  <c r="S216" i="1"/>
  <c r="T216" i="1" s="1"/>
  <c r="R214" i="1" l="1"/>
  <c r="S215" i="1"/>
  <c r="T215" i="1" s="1"/>
  <c r="R213" i="1" l="1"/>
  <c r="S214" i="1"/>
  <c r="T214" i="1" s="1"/>
  <c r="R212" i="1" l="1"/>
  <c r="S213" i="1"/>
  <c r="T213" i="1" s="1"/>
  <c r="R211" i="1" l="1"/>
  <c r="S212" i="1"/>
  <c r="T212" i="1" s="1"/>
  <c r="R210" i="1" l="1"/>
  <c r="S211" i="1"/>
  <c r="T211" i="1" s="1"/>
  <c r="R209" i="1" l="1"/>
  <c r="S210" i="1"/>
  <c r="T210" i="1" s="1"/>
  <c r="R208" i="1" l="1"/>
  <c r="S209" i="1"/>
  <c r="T209" i="1" s="1"/>
  <c r="R207" i="1" l="1"/>
  <c r="S208" i="1"/>
  <c r="T208" i="1" s="1"/>
  <c r="R206" i="1" l="1"/>
  <c r="S207" i="1"/>
  <c r="T207" i="1" s="1"/>
  <c r="R205" i="1" l="1"/>
  <c r="S206" i="1"/>
  <c r="T206" i="1" s="1"/>
  <c r="R204" i="1" l="1"/>
  <c r="S205" i="1"/>
  <c r="T205" i="1" s="1"/>
  <c r="R203" i="1" l="1"/>
  <c r="S204" i="1"/>
  <c r="T204" i="1" s="1"/>
  <c r="R202" i="1" l="1"/>
  <c r="S203" i="1"/>
  <c r="T203" i="1" s="1"/>
  <c r="R201" i="1" l="1"/>
  <c r="S202" i="1"/>
  <c r="T202" i="1" s="1"/>
  <c r="R200" i="1" l="1"/>
  <c r="S201" i="1"/>
  <c r="T201" i="1" s="1"/>
  <c r="R199" i="1" l="1"/>
  <c r="S200" i="1"/>
  <c r="T200" i="1" s="1"/>
  <c r="R198" i="1" l="1"/>
  <c r="S199" i="1"/>
  <c r="T199" i="1" s="1"/>
  <c r="R197" i="1" l="1"/>
  <c r="S198" i="1"/>
  <c r="T198" i="1" s="1"/>
  <c r="R196" i="1" l="1"/>
  <c r="S197" i="1"/>
  <c r="T197" i="1" s="1"/>
  <c r="R195" i="1" l="1"/>
  <c r="S196" i="1"/>
  <c r="T196" i="1" s="1"/>
  <c r="R194" i="1" l="1"/>
  <c r="S195" i="1"/>
  <c r="T195" i="1" s="1"/>
  <c r="R193" i="1" l="1"/>
  <c r="S194" i="1"/>
  <c r="T194" i="1" s="1"/>
  <c r="R192" i="1" l="1"/>
  <c r="S193" i="1"/>
  <c r="T193" i="1" s="1"/>
  <c r="R191" i="1" l="1"/>
  <c r="S192" i="1"/>
  <c r="T192" i="1" s="1"/>
  <c r="R190" i="1" l="1"/>
  <c r="S191" i="1"/>
  <c r="T191" i="1" s="1"/>
  <c r="R189" i="1" l="1"/>
  <c r="S190" i="1"/>
  <c r="T190" i="1" s="1"/>
  <c r="R188" i="1" l="1"/>
  <c r="S189" i="1"/>
  <c r="T189" i="1" s="1"/>
  <c r="R187" i="1" l="1"/>
  <c r="S188" i="1"/>
  <c r="T188" i="1" s="1"/>
  <c r="R186" i="1" l="1"/>
  <c r="S187" i="1"/>
  <c r="T187" i="1" s="1"/>
  <c r="R185" i="1" l="1"/>
  <c r="S186" i="1"/>
  <c r="T186" i="1" s="1"/>
  <c r="R184" i="1" l="1"/>
  <c r="S185" i="1"/>
  <c r="T185" i="1" s="1"/>
  <c r="R183" i="1" l="1"/>
  <c r="S184" i="1"/>
  <c r="T184" i="1" s="1"/>
  <c r="R182" i="1" l="1"/>
  <c r="S183" i="1"/>
  <c r="T183" i="1" s="1"/>
  <c r="R181" i="1" l="1"/>
  <c r="S182" i="1"/>
  <c r="T182" i="1" s="1"/>
  <c r="R180" i="1" l="1"/>
  <c r="S181" i="1"/>
  <c r="T181" i="1" s="1"/>
  <c r="R179" i="1" l="1"/>
  <c r="S180" i="1"/>
  <c r="T180" i="1" s="1"/>
  <c r="R178" i="1" l="1"/>
  <c r="S179" i="1"/>
  <c r="T179" i="1" s="1"/>
  <c r="R177" i="1" l="1"/>
  <c r="S178" i="1"/>
  <c r="T178" i="1" s="1"/>
  <c r="R176" i="1" l="1"/>
  <c r="S177" i="1"/>
  <c r="T177" i="1" s="1"/>
  <c r="R175" i="1" l="1"/>
  <c r="S176" i="1"/>
  <c r="T176" i="1" s="1"/>
  <c r="R174" i="1" l="1"/>
  <c r="S175" i="1"/>
  <c r="T175" i="1" s="1"/>
  <c r="R173" i="1" l="1"/>
  <c r="S174" i="1"/>
  <c r="T174" i="1" s="1"/>
  <c r="R172" i="1" l="1"/>
  <c r="S173" i="1"/>
  <c r="T173" i="1" s="1"/>
  <c r="R171" i="1" l="1"/>
  <c r="S172" i="1"/>
  <c r="T172" i="1" s="1"/>
  <c r="R170" i="1" l="1"/>
  <c r="S171" i="1"/>
  <c r="T171" i="1" s="1"/>
  <c r="R169" i="1" l="1"/>
  <c r="S170" i="1"/>
  <c r="T170" i="1" s="1"/>
  <c r="R168" i="1" l="1"/>
  <c r="S169" i="1"/>
  <c r="T169" i="1" s="1"/>
  <c r="R167" i="1" l="1"/>
  <c r="S168" i="1"/>
  <c r="T168" i="1" s="1"/>
  <c r="R166" i="1" l="1"/>
  <c r="S167" i="1"/>
  <c r="T167" i="1" s="1"/>
  <c r="R165" i="1" l="1"/>
  <c r="S166" i="1"/>
  <c r="T166" i="1" s="1"/>
  <c r="R164" i="1" l="1"/>
  <c r="S165" i="1"/>
  <c r="T165" i="1" s="1"/>
  <c r="R163" i="1" l="1"/>
  <c r="S164" i="1"/>
  <c r="T164" i="1" s="1"/>
  <c r="R162" i="1" l="1"/>
  <c r="S163" i="1"/>
  <c r="T163" i="1" s="1"/>
  <c r="R161" i="1" l="1"/>
  <c r="S162" i="1"/>
  <c r="T162" i="1" s="1"/>
  <c r="R160" i="1" l="1"/>
  <c r="S161" i="1"/>
  <c r="T161" i="1" s="1"/>
  <c r="R159" i="1" l="1"/>
  <c r="S160" i="1"/>
  <c r="T160" i="1" s="1"/>
  <c r="R158" i="1" l="1"/>
  <c r="S159" i="1"/>
  <c r="T159" i="1" s="1"/>
  <c r="R157" i="1" l="1"/>
  <c r="S158" i="1"/>
  <c r="T158" i="1" s="1"/>
  <c r="R156" i="1" l="1"/>
  <c r="S157" i="1"/>
  <c r="T157" i="1" s="1"/>
  <c r="R155" i="1" l="1"/>
  <c r="S156" i="1"/>
  <c r="T156" i="1" s="1"/>
  <c r="R154" i="1" l="1"/>
  <c r="S155" i="1"/>
  <c r="T155" i="1" s="1"/>
  <c r="R153" i="1" l="1"/>
  <c r="S154" i="1"/>
  <c r="T154" i="1" s="1"/>
  <c r="R152" i="1" l="1"/>
  <c r="S153" i="1"/>
  <c r="T153" i="1" s="1"/>
  <c r="R151" i="1" l="1"/>
  <c r="S152" i="1"/>
  <c r="T152" i="1" s="1"/>
  <c r="R150" i="1" l="1"/>
  <c r="S151" i="1"/>
  <c r="T151" i="1" s="1"/>
  <c r="R149" i="1" l="1"/>
  <c r="S150" i="1"/>
  <c r="T150" i="1" s="1"/>
  <c r="R148" i="1" l="1"/>
  <c r="S149" i="1"/>
  <c r="T149" i="1" s="1"/>
  <c r="R147" i="1" l="1"/>
  <c r="S148" i="1"/>
  <c r="T148" i="1" s="1"/>
  <c r="R146" i="1" l="1"/>
  <c r="S147" i="1"/>
  <c r="T147" i="1" s="1"/>
  <c r="R145" i="1" l="1"/>
  <c r="S146" i="1"/>
  <c r="T146" i="1" s="1"/>
  <c r="R144" i="1" l="1"/>
  <c r="S145" i="1"/>
  <c r="T145" i="1" s="1"/>
  <c r="R143" i="1" l="1"/>
  <c r="S144" i="1"/>
  <c r="T144" i="1" s="1"/>
  <c r="R142" i="1" l="1"/>
  <c r="S143" i="1"/>
  <c r="T143" i="1" s="1"/>
  <c r="R141" i="1" l="1"/>
  <c r="S142" i="1"/>
  <c r="T142" i="1" s="1"/>
  <c r="R140" i="1" l="1"/>
  <c r="S141" i="1"/>
  <c r="T141" i="1" s="1"/>
  <c r="R139" i="1" l="1"/>
  <c r="S140" i="1"/>
  <c r="T140" i="1" s="1"/>
  <c r="R138" i="1" l="1"/>
  <c r="S139" i="1"/>
  <c r="T139" i="1" s="1"/>
  <c r="R137" i="1" l="1"/>
  <c r="S138" i="1"/>
  <c r="T138" i="1" s="1"/>
  <c r="R136" i="1" l="1"/>
  <c r="S137" i="1"/>
  <c r="T137" i="1" s="1"/>
  <c r="R135" i="1" l="1"/>
  <c r="S136" i="1"/>
  <c r="T136" i="1" s="1"/>
  <c r="R134" i="1" l="1"/>
  <c r="S135" i="1"/>
  <c r="T135" i="1" s="1"/>
  <c r="R133" i="1" l="1"/>
  <c r="S134" i="1"/>
  <c r="T134" i="1" s="1"/>
  <c r="R132" i="1" l="1"/>
  <c r="S133" i="1"/>
  <c r="T133" i="1" s="1"/>
  <c r="R131" i="1" l="1"/>
  <c r="S132" i="1"/>
  <c r="T132" i="1" s="1"/>
  <c r="R130" i="1" l="1"/>
  <c r="S131" i="1"/>
  <c r="T131" i="1" s="1"/>
  <c r="R129" i="1" l="1"/>
  <c r="S130" i="1"/>
  <c r="T130" i="1" s="1"/>
  <c r="R128" i="1" l="1"/>
  <c r="S129" i="1"/>
  <c r="T129" i="1" s="1"/>
  <c r="R127" i="1" l="1"/>
  <c r="S128" i="1"/>
  <c r="T128" i="1" s="1"/>
  <c r="R126" i="1" l="1"/>
  <c r="S127" i="1"/>
  <c r="T127" i="1" s="1"/>
  <c r="R125" i="1" l="1"/>
  <c r="S126" i="1"/>
  <c r="T126" i="1" s="1"/>
  <c r="R124" i="1" l="1"/>
  <c r="S125" i="1"/>
  <c r="T125" i="1" s="1"/>
  <c r="R123" i="1" l="1"/>
  <c r="S124" i="1"/>
  <c r="T124" i="1" s="1"/>
  <c r="R122" i="1" l="1"/>
  <c r="S123" i="1"/>
  <c r="T123" i="1" s="1"/>
  <c r="R121" i="1" l="1"/>
  <c r="S122" i="1"/>
  <c r="T122" i="1" s="1"/>
  <c r="R120" i="1" l="1"/>
  <c r="S121" i="1"/>
  <c r="T121" i="1" s="1"/>
  <c r="R119" i="1" l="1"/>
  <c r="S120" i="1"/>
  <c r="T120" i="1" s="1"/>
  <c r="R118" i="1" l="1"/>
  <c r="S119" i="1"/>
  <c r="T119" i="1" s="1"/>
  <c r="R117" i="1" l="1"/>
  <c r="S118" i="1"/>
  <c r="T118" i="1" s="1"/>
  <c r="R116" i="1" l="1"/>
  <c r="S117" i="1"/>
  <c r="T117" i="1" s="1"/>
  <c r="R115" i="1" l="1"/>
  <c r="S116" i="1"/>
  <c r="T116" i="1" s="1"/>
  <c r="R114" i="1" l="1"/>
  <c r="S115" i="1"/>
  <c r="T115" i="1" s="1"/>
  <c r="R113" i="1" l="1"/>
  <c r="S114" i="1"/>
  <c r="T114" i="1" s="1"/>
  <c r="R112" i="1" l="1"/>
  <c r="S113" i="1"/>
  <c r="T113" i="1" s="1"/>
  <c r="R111" i="1" l="1"/>
  <c r="S112" i="1"/>
  <c r="T112" i="1" s="1"/>
  <c r="R110" i="1" l="1"/>
  <c r="S111" i="1"/>
  <c r="T111" i="1" s="1"/>
  <c r="R109" i="1" l="1"/>
  <c r="S110" i="1"/>
  <c r="T110" i="1" s="1"/>
  <c r="R108" i="1" l="1"/>
  <c r="S109" i="1"/>
  <c r="T109" i="1" s="1"/>
  <c r="R107" i="1" l="1"/>
  <c r="S108" i="1"/>
  <c r="T108" i="1" s="1"/>
  <c r="R106" i="1" l="1"/>
  <c r="S107" i="1"/>
  <c r="T107" i="1" s="1"/>
  <c r="R105" i="1" l="1"/>
  <c r="S106" i="1"/>
  <c r="T106" i="1" s="1"/>
  <c r="R104" i="1" l="1"/>
  <c r="S105" i="1"/>
  <c r="T105" i="1" s="1"/>
  <c r="R103" i="1" l="1"/>
  <c r="S104" i="1"/>
  <c r="T104" i="1" s="1"/>
  <c r="R102" i="1" l="1"/>
  <c r="S103" i="1"/>
  <c r="T103" i="1" s="1"/>
  <c r="R101" i="1" l="1"/>
  <c r="S102" i="1"/>
  <c r="T102" i="1" s="1"/>
  <c r="R100" i="1" l="1"/>
  <c r="S101" i="1"/>
  <c r="T101" i="1" s="1"/>
  <c r="R99" i="1" l="1"/>
  <c r="S100" i="1"/>
  <c r="T100" i="1" s="1"/>
  <c r="R98" i="1" l="1"/>
  <c r="S99" i="1"/>
  <c r="T99" i="1" s="1"/>
  <c r="R97" i="1" l="1"/>
  <c r="S98" i="1"/>
  <c r="T98" i="1" s="1"/>
  <c r="R96" i="1" l="1"/>
  <c r="S97" i="1"/>
  <c r="T97" i="1" s="1"/>
  <c r="R95" i="1" l="1"/>
  <c r="S96" i="1"/>
  <c r="T96" i="1" s="1"/>
  <c r="R94" i="1" l="1"/>
  <c r="S95" i="1"/>
  <c r="T95" i="1" s="1"/>
  <c r="R93" i="1" l="1"/>
  <c r="S94" i="1"/>
  <c r="T94" i="1" s="1"/>
  <c r="R92" i="1" l="1"/>
  <c r="S93" i="1"/>
  <c r="T93" i="1" s="1"/>
  <c r="R91" i="1" l="1"/>
  <c r="S92" i="1"/>
  <c r="T92" i="1" s="1"/>
  <c r="R90" i="1" l="1"/>
  <c r="S91" i="1"/>
  <c r="T91" i="1" s="1"/>
  <c r="R89" i="1" l="1"/>
  <c r="S90" i="1"/>
  <c r="T90" i="1" s="1"/>
  <c r="R88" i="1" l="1"/>
  <c r="S89" i="1"/>
  <c r="T89" i="1" s="1"/>
  <c r="R87" i="1" l="1"/>
  <c r="S88" i="1"/>
  <c r="T88" i="1" s="1"/>
  <c r="R86" i="1" l="1"/>
  <c r="S87" i="1"/>
  <c r="T87" i="1" s="1"/>
  <c r="R85" i="1" l="1"/>
  <c r="S86" i="1"/>
  <c r="T86" i="1" s="1"/>
  <c r="R84" i="1" l="1"/>
  <c r="S85" i="1"/>
  <c r="T85" i="1" s="1"/>
  <c r="R83" i="1" l="1"/>
  <c r="S84" i="1"/>
  <c r="T84" i="1" s="1"/>
  <c r="R82" i="1" l="1"/>
  <c r="S83" i="1"/>
  <c r="T83" i="1" s="1"/>
  <c r="R81" i="1" l="1"/>
  <c r="S82" i="1"/>
  <c r="T82" i="1" s="1"/>
  <c r="R80" i="1" l="1"/>
  <c r="S81" i="1"/>
  <c r="T81" i="1" s="1"/>
  <c r="R79" i="1" l="1"/>
  <c r="S80" i="1"/>
  <c r="T80" i="1" s="1"/>
  <c r="R78" i="1" l="1"/>
  <c r="S79" i="1"/>
  <c r="T79" i="1" s="1"/>
  <c r="R77" i="1" l="1"/>
  <c r="S78" i="1"/>
  <c r="T78" i="1" s="1"/>
  <c r="R76" i="1" l="1"/>
  <c r="S77" i="1"/>
  <c r="T77" i="1" s="1"/>
  <c r="R75" i="1" l="1"/>
  <c r="S76" i="1"/>
  <c r="T76" i="1" s="1"/>
  <c r="R74" i="1" l="1"/>
  <c r="S75" i="1"/>
  <c r="T75" i="1" s="1"/>
  <c r="R73" i="1" l="1"/>
  <c r="S74" i="1"/>
  <c r="T74" i="1" s="1"/>
  <c r="R72" i="1" l="1"/>
  <c r="S73" i="1"/>
  <c r="T73" i="1" s="1"/>
  <c r="R71" i="1" l="1"/>
  <c r="S72" i="1"/>
  <c r="T72" i="1" s="1"/>
  <c r="R70" i="1" l="1"/>
  <c r="S71" i="1"/>
  <c r="T71" i="1" s="1"/>
  <c r="R69" i="1" l="1"/>
  <c r="S70" i="1"/>
  <c r="T70" i="1" s="1"/>
  <c r="R68" i="1" l="1"/>
  <c r="S69" i="1"/>
  <c r="T69" i="1" s="1"/>
  <c r="R67" i="1" l="1"/>
  <c r="S68" i="1"/>
  <c r="T68" i="1" s="1"/>
  <c r="R66" i="1" l="1"/>
  <c r="S67" i="1"/>
  <c r="T67" i="1" s="1"/>
  <c r="R65" i="1" l="1"/>
  <c r="S66" i="1"/>
  <c r="T66" i="1" s="1"/>
  <c r="R64" i="1" l="1"/>
  <c r="S65" i="1"/>
  <c r="T65" i="1" s="1"/>
  <c r="R63" i="1" l="1"/>
  <c r="S64" i="1"/>
  <c r="T64" i="1" s="1"/>
  <c r="R62" i="1" l="1"/>
  <c r="S63" i="1"/>
  <c r="T63" i="1" s="1"/>
  <c r="R61" i="1" l="1"/>
  <c r="S62" i="1"/>
  <c r="T62" i="1" s="1"/>
  <c r="R60" i="1" l="1"/>
  <c r="S61" i="1"/>
  <c r="T61" i="1" s="1"/>
  <c r="R59" i="1" l="1"/>
  <c r="S60" i="1"/>
  <c r="T60" i="1" s="1"/>
  <c r="R58" i="1" l="1"/>
  <c r="S59" i="1"/>
  <c r="T59" i="1" s="1"/>
  <c r="R57" i="1" l="1"/>
  <c r="S58" i="1"/>
  <c r="T58" i="1" s="1"/>
  <c r="R56" i="1" l="1"/>
  <c r="S57" i="1"/>
  <c r="T57" i="1" s="1"/>
  <c r="R55" i="1" l="1"/>
  <c r="S56" i="1"/>
  <c r="T56" i="1" s="1"/>
  <c r="R54" i="1" l="1"/>
  <c r="S55" i="1"/>
  <c r="T55" i="1" s="1"/>
  <c r="R53" i="1" l="1"/>
  <c r="S54" i="1"/>
  <c r="T54" i="1" s="1"/>
  <c r="R52" i="1" l="1"/>
  <c r="S53" i="1"/>
  <c r="T53" i="1" s="1"/>
  <c r="R51" i="1" l="1"/>
  <c r="S52" i="1"/>
  <c r="T52" i="1" s="1"/>
  <c r="R50" i="1" l="1"/>
  <c r="S51" i="1"/>
  <c r="T51" i="1" s="1"/>
  <c r="R49" i="1" l="1"/>
  <c r="S50" i="1"/>
  <c r="T50" i="1" s="1"/>
  <c r="R48" i="1" l="1"/>
  <c r="S49" i="1"/>
  <c r="T49" i="1" s="1"/>
  <c r="R47" i="1" l="1"/>
  <c r="S48" i="1"/>
  <c r="T48" i="1" s="1"/>
  <c r="R46" i="1" l="1"/>
  <c r="S47" i="1"/>
  <c r="T47" i="1" s="1"/>
  <c r="R45" i="1" l="1"/>
  <c r="S46" i="1"/>
  <c r="T46" i="1" s="1"/>
  <c r="R44" i="1" l="1"/>
  <c r="S45" i="1"/>
  <c r="T45" i="1" s="1"/>
  <c r="R43" i="1" l="1"/>
  <c r="S44" i="1"/>
  <c r="T44" i="1" s="1"/>
  <c r="R42" i="1" l="1"/>
  <c r="S43" i="1"/>
  <c r="T43" i="1" s="1"/>
  <c r="S42" i="1" l="1"/>
  <c r="T42" i="1" s="1"/>
  <c r="R41" i="1"/>
  <c r="R40" i="1" l="1"/>
  <c r="S41" i="1"/>
  <c r="T41" i="1" s="1"/>
  <c r="R39" i="1" l="1"/>
  <c r="S40" i="1"/>
  <c r="T40" i="1" s="1"/>
  <c r="R38" i="1" l="1"/>
  <c r="S39" i="1"/>
  <c r="T39" i="1" s="1"/>
  <c r="S38" i="1" l="1"/>
  <c r="T38" i="1" s="1"/>
  <c r="R37" i="1"/>
  <c r="S37" i="1" l="1"/>
  <c r="T37" i="1" s="1"/>
  <c r="R36" i="1"/>
  <c r="R35" i="1" l="1"/>
  <c r="S36" i="1"/>
  <c r="T36" i="1" s="1"/>
  <c r="S35" i="1" l="1"/>
  <c r="T35" i="1" s="1"/>
  <c r="R34" i="1"/>
  <c r="S34" i="1" l="1"/>
  <c r="T34" i="1" s="1"/>
  <c r="R33" i="1"/>
  <c r="R32" i="1" l="1"/>
  <c r="S33" i="1"/>
  <c r="T33" i="1" s="1"/>
  <c r="R31" i="1" l="1"/>
  <c r="S32" i="1"/>
  <c r="T32" i="1" s="1"/>
  <c r="R30" i="1" l="1"/>
  <c r="S31" i="1"/>
  <c r="T31" i="1" s="1"/>
  <c r="R29" i="1" l="1"/>
  <c r="S30" i="1"/>
  <c r="T30" i="1" s="1"/>
  <c r="R28" i="1" l="1"/>
  <c r="S29" i="1"/>
  <c r="T29" i="1" s="1"/>
  <c r="S28" i="1" l="1"/>
  <c r="T28" i="1" s="1"/>
  <c r="R27" i="1"/>
  <c r="S27" i="1" l="1"/>
  <c r="T27" i="1" s="1"/>
  <c r="R26" i="1"/>
  <c r="S26" i="1" l="1"/>
  <c r="T26" i="1" s="1"/>
  <c r="R25" i="1"/>
  <c r="R24" i="1" l="1"/>
  <c r="S25" i="1"/>
  <c r="T25" i="1" s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<sst xmlns="http://schemas.openxmlformats.org/spreadsheetml/2006/main" count="5735" uniqueCount="34">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</sst>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9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5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4.9619999999999997</c:v>
                </c:pt>
                <c:pt idx="1">
                  <c:v>5.1210000000000004</c:v>
                </c:pt>
                <c:pt idx="2">
                  <c:v>5.7610000000000001</c:v>
                </c:pt>
                <c:pt idx="3">
                  <c:v>6.0979999999999999</c:v>
                </c:pt>
                <c:pt idx="4">
                  <c:v>5.2089999999999996</c:v>
                </c:pt>
                <c:pt idx="5">
                  <c:v>5.0209999999999999</c:v>
                </c:pt>
                <c:pt idx="6">
                  <c:v>5.7030000000000003</c:v>
                </c:pt>
                <c:pt idx="7">
                  <c:v>6.6440000000000001</c:v>
                </c:pt>
                <c:pt idx="8">
                  <c:v>6.8890000000000002</c:v>
                </c:pt>
                <c:pt idx="9">
                  <c:v>7.0990000000000002</c:v>
                </c:pt>
                <c:pt idx="10">
                  <c:v>7.5339999999999998</c:v>
                </c:pt>
                <c:pt idx="11">
                  <c:v>7.3840000000000003</c:v>
                </c:pt>
                <c:pt idx="12">
                  <c:v>7.38</c:v>
                </c:pt>
                <c:pt idx="13">
                  <c:v>7.5339999999999998</c:v>
                </c:pt>
                <c:pt idx="14">
                  <c:v>7.41</c:v>
                </c:pt>
                <c:pt idx="15">
                  <c:v>7.8449999999999998</c:v>
                </c:pt>
                <c:pt idx="16">
                  <c:v>7.4710000000000001</c:v>
                </c:pt>
                <c:pt idx="17">
                  <c:v>6.8369999999999997</c:v>
                </c:pt>
                <c:pt idx="18">
                  <c:v>7.2649999999999997</c:v>
                </c:pt>
                <c:pt idx="19">
                  <c:v>7.0359999999999996</c:v>
                </c:pt>
                <c:pt idx="20">
                  <c:v>7.2729999999999997</c:v>
                </c:pt>
                <c:pt idx="21">
                  <c:v>7.7640000000000002</c:v>
                </c:pt>
                <c:pt idx="22">
                  <c:v>8.0030000000000001</c:v>
                </c:pt>
                <c:pt idx="23">
                  <c:v>8.7439999999999998</c:v>
                </c:pt>
                <c:pt idx="24">
                  <c:v>8.74</c:v>
                </c:pt>
                <c:pt idx="25">
                  <c:v>8.6479999999999997</c:v>
                </c:pt>
                <c:pt idx="26">
                  <c:v>8.4280000000000008</c:v>
                </c:pt>
                <c:pt idx="27">
                  <c:v>7.9109999999999996</c:v>
                </c:pt>
                <c:pt idx="28">
                  <c:v>8.1609999999999996</c:v>
                </c:pt>
                <c:pt idx="29">
                  <c:v>7.9279999999999999</c:v>
                </c:pt>
                <c:pt idx="30">
                  <c:v>8.0459999999999994</c:v>
                </c:pt>
                <c:pt idx="31">
                  <c:v>8.7650000000000006</c:v>
                </c:pt>
                <c:pt idx="32">
                  <c:v>8.9130000000000003</c:v>
                </c:pt>
                <c:pt idx="33">
                  <c:v>9.2870000000000008</c:v>
                </c:pt>
                <c:pt idx="34">
                  <c:v>9.2880000000000003</c:v>
                </c:pt>
                <c:pt idx="35">
                  <c:v>9.8360000000000003</c:v>
                </c:pt>
                <c:pt idx="36">
                  <c:v>9.4570000000000007</c:v>
                </c:pt>
                <c:pt idx="37">
                  <c:v>9.0229999999999997</c:v>
                </c:pt>
                <c:pt idx="38">
                  <c:v>8.6150000000000002</c:v>
                </c:pt>
                <c:pt idx="39">
                  <c:v>8.7170000000000005</c:v>
                </c:pt>
                <c:pt idx="40">
                  <c:v>8.7420000000000009</c:v>
                </c:pt>
                <c:pt idx="41">
                  <c:v>8.6720000000000006</c:v>
                </c:pt>
                <c:pt idx="42">
                  <c:v>8.6859999999999999</c:v>
                </c:pt>
                <c:pt idx="43">
                  <c:v>9.0850000000000009</c:v>
                </c:pt>
                <c:pt idx="44">
                  <c:v>8.9480000000000004</c:v>
                </c:pt>
                <c:pt idx="45">
                  <c:v>8.6780000000000008</c:v>
                </c:pt>
                <c:pt idx="46">
                  <c:v>9.718</c:v>
                </c:pt>
                <c:pt idx="47">
                  <c:v>7.73</c:v>
                </c:pt>
                <c:pt idx="48">
                  <c:v>7.6669999999999998</c:v>
                </c:pt>
                <c:pt idx="49">
                  <c:v>7.9290000000000003</c:v>
                </c:pt>
                <c:pt idx="50">
                  <c:v>8.4120000000000008</c:v>
                </c:pt>
                <c:pt idx="51">
                  <c:v>8.0250000000000004</c:v>
                </c:pt>
                <c:pt idx="52">
                  <c:v>7.7839999999999998</c:v>
                </c:pt>
                <c:pt idx="53">
                  <c:v>7.577</c:v>
                </c:pt>
                <c:pt idx="54">
                  <c:v>8.3160000000000007</c:v>
                </c:pt>
                <c:pt idx="55">
                  <c:v>11.02</c:v>
                </c:pt>
                <c:pt idx="56">
                  <c:v>11.347</c:v>
                </c:pt>
                <c:pt idx="57">
                  <c:v>11.904999999999999</c:v>
                </c:pt>
                <c:pt idx="58">
                  <c:v>12.250999999999999</c:v>
                </c:pt>
                <c:pt idx="59">
                  <c:v>11.617000000000001</c:v>
                </c:pt>
                <c:pt idx="60">
                  <c:v>10.803000000000001</c:v>
                </c:pt>
                <c:pt idx="61">
                  <c:v>10.398</c:v>
                </c:pt>
                <c:pt idx="62">
                  <c:v>9.6760000000000002</c:v>
                </c:pt>
                <c:pt idx="63">
                  <c:v>11.16</c:v>
                </c:pt>
                <c:pt idx="64">
                  <c:v>11.035</c:v>
                </c:pt>
                <c:pt idx="65">
                  <c:v>11.172000000000001</c:v>
                </c:pt>
                <c:pt idx="66">
                  <c:v>10.731999999999999</c:v>
                </c:pt>
                <c:pt idx="67">
                  <c:v>10.843999999999999</c:v>
                </c:pt>
                <c:pt idx="68">
                  <c:v>10.629</c:v>
                </c:pt>
                <c:pt idx="69">
                  <c:v>9.8840000000000003</c:v>
                </c:pt>
                <c:pt idx="70">
                  <c:v>9.157</c:v>
                </c:pt>
                <c:pt idx="71">
                  <c:v>10.176</c:v>
                </c:pt>
                <c:pt idx="72">
                  <c:v>10.135</c:v>
                </c:pt>
                <c:pt idx="73">
                  <c:v>11.74</c:v>
                </c:pt>
                <c:pt idx="74">
                  <c:v>12.211</c:v>
                </c:pt>
                <c:pt idx="75">
                  <c:v>11.864000000000001</c:v>
                </c:pt>
                <c:pt idx="76">
                  <c:v>11.766</c:v>
                </c:pt>
                <c:pt idx="77">
                  <c:v>11.973000000000001</c:v>
                </c:pt>
                <c:pt idx="78">
                  <c:v>11.032</c:v>
                </c:pt>
                <c:pt idx="79">
                  <c:v>12.228999999999999</c:v>
                </c:pt>
                <c:pt idx="80">
                  <c:v>12.491</c:v>
                </c:pt>
                <c:pt idx="81">
                  <c:v>12.055</c:v>
                </c:pt>
                <c:pt idx="82">
                  <c:v>11.872</c:v>
                </c:pt>
                <c:pt idx="83">
                  <c:v>12.678000000000001</c:v>
                </c:pt>
                <c:pt idx="84">
                  <c:v>12.706</c:v>
                </c:pt>
                <c:pt idx="85">
                  <c:v>13.099</c:v>
                </c:pt>
                <c:pt idx="86">
                  <c:v>13.029</c:v>
                </c:pt>
                <c:pt idx="87">
                  <c:v>12.13</c:v>
                </c:pt>
                <c:pt idx="88">
                  <c:v>11.54</c:v>
                </c:pt>
                <c:pt idx="89">
                  <c:v>11.122999999999999</c:v>
                </c:pt>
                <c:pt idx="90">
                  <c:v>11.45</c:v>
                </c:pt>
                <c:pt idx="91">
                  <c:v>10.898</c:v>
                </c:pt>
                <c:pt idx="92">
                  <c:v>10.625</c:v>
                </c:pt>
                <c:pt idx="93">
                  <c:v>12.214</c:v>
                </c:pt>
                <c:pt idx="94">
                  <c:v>12.170999999999999</c:v>
                </c:pt>
                <c:pt idx="95">
                  <c:v>11.037000000000001</c:v>
                </c:pt>
                <c:pt idx="96">
                  <c:v>11.263999999999999</c:v>
                </c:pt>
                <c:pt idx="97">
                  <c:v>10.917</c:v>
                </c:pt>
                <c:pt idx="98">
                  <c:v>10.81</c:v>
                </c:pt>
                <c:pt idx="99">
                  <c:v>11.409000000000001</c:v>
                </c:pt>
                <c:pt idx="100">
                  <c:v>11.052</c:v>
                </c:pt>
                <c:pt idx="101">
                  <c:v>10.795999999999999</c:v>
                </c:pt>
                <c:pt idx="102">
                  <c:v>11.129</c:v>
                </c:pt>
                <c:pt idx="103">
                  <c:v>11.38</c:v>
                </c:pt>
                <c:pt idx="104">
                  <c:v>11.43</c:v>
                </c:pt>
                <c:pt idx="105">
                  <c:v>10.638999999999999</c:v>
                </c:pt>
                <c:pt idx="106">
                  <c:v>9.9789999999999992</c:v>
                </c:pt>
                <c:pt idx="107">
                  <c:v>9.2799999999999994</c:v>
                </c:pt>
                <c:pt idx="108">
                  <c:v>9.3360000000000003</c:v>
                </c:pt>
                <c:pt idx="109">
                  <c:v>9.5299999999999994</c:v>
                </c:pt>
                <c:pt idx="110">
                  <c:v>10.224</c:v>
                </c:pt>
                <c:pt idx="111">
                  <c:v>9.9410000000000007</c:v>
                </c:pt>
                <c:pt idx="112">
                  <c:v>9.8940000000000001</c:v>
                </c:pt>
                <c:pt idx="113">
                  <c:v>9.6929999999999996</c:v>
                </c:pt>
                <c:pt idx="114">
                  <c:v>9.8079999999999998</c:v>
                </c:pt>
                <c:pt idx="115">
                  <c:v>9.516</c:v>
                </c:pt>
                <c:pt idx="116">
                  <c:v>9.3239999999999998</c:v>
                </c:pt>
                <c:pt idx="117">
                  <c:v>9.1050000000000004</c:v>
                </c:pt>
                <c:pt idx="118">
                  <c:v>9.0690000000000008</c:v>
                </c:pt>
                <c:pt idx="119">
                  <c:v>8.0960000000000001</c:v>
                </c:pt>
                <c:pt idx="120">
                  <c:v>7.8460000000000001</c:v>
                </c:pt>
                <c:pt idx="121">
                  <c:v>7.6429999999999998</c:v>
                </c:pt>
                <c:pt idx="122">
                  <c:v>8.0719999999999992</c:v>
                </c:pt>
                <c:pt idx="123">
                  <c:v>8.3940000000000001</c:v>
                </c:pt>
                <c:pt idx="124">
                  <c:v>8.6379999999999999</c:v>
                </c:pt>
                <c:pt idx="125">
                  <c:v>8.7370000000000001</c:v>
                </c:pt>
                <c:pt idx="126">
                  <c:v>9.39</c:v>
                </c:pt>
                <c:pt idx="127">
                  <c:v>9.2149999999999999</c:v>
                </c:pt>
                <c:pt idx="128">
                  <c:v>7.9690000000000003</c:v>
                </c:pt>
                <c:pt idx="129">
                  <c:v>9.2690000000000001</c:v>
                </c:pt>
                <c:pt idx="130">
                  <c:v>10.416</c:v>
                </c:pt>
                <c:pt idx="131">
                  <c:v>10.888999999999999</c:v>
                </c:pt>
                <c:pt idx="132">
                  <c:v>10.808</c:v>
                </c:pt>
                <c:pt idx="133">
                  <c:v>11.364000000000001</c:v>
                </c:pt>
                <c:pt idx="134">
                  <c:v>11.45</c:v>
                </c:pt>
                <c:pt idx="135">
                  <c:v>10.839</c:v>
                </c:pt>
                <c:pt idx="136">
                  <c:v>10.696</c:v>
                </c:pt>
                <c:pt idx="137">
                  <c:v>11.24</c:v>
                </c:pt>
                <c:pt idx="138">
                  <c:v>11.455</c:v>
                </c:pt>
                <c:pt idx="139">
                  <c:v>10.071999999999999</c:v>
                </c:pt>
                <c:pt idx="140">
                  <c:v>10.177</c:v>
                </c:pt>
                <c:pt idx="141">
                  <c:v>10.279</c:v>
                </c:pt>
                <c:pt idx="142">
                  <c:v>10.55</c:v>
                </c:pt>
                <c:pt idx="143">
                  <c:v>14.117000000000001</c:v>
                </c:pt>
                <c:pt idx="144">
                  <c:v>14.702999999999999</c:v>
                </c:pt>
                <c:pt idx="145">
                  <c:v>14.191000000000001</c:v>
                </c:pt>
                <c:pt idx="146">
                  <c:v>13.211</c:v>
                </c:pt>
                <c:pt idx="147">
                  <c:v>13.193</c:v>
                </c:pt>
                <c:pt idx="148">
                  <c:v>13.428000000000001</c:v>
                </c:pt>
                <c:pt idx="149">
                  <c:v>13.048</c:v>
                </c:pt>
                <c:pt idx="150">
                  <c:v>12.247</c:v>
                </c:pt>
                <c:pt idx="151">
                  <c:v>13.125</c:v>
                </c:pt>
                <c:pt idx="152">
                  <c:v>13.398</c:v>
                </c:pt>
                <c:pt idx="153">
                  <c:v>12.829000000000001</c:v>
                </c:pt>
                <c:pt idx="154">
                  <c:v>12.090999999999999</c:v>
                </c:pt>
                <c:pt idx="155">
                  <c:v>13.737</c:v>
                </c:pt>
                <c:pt idx="156">
                  <c:v>12.821</c:v>
                </c:pt>
                <c:pt idx="157">
                  <c:v>14.692</c:v>
                </c:pt>
                <c:pt idx="158">
                  <c:v>13.574999999999999</c:v>
                </c:pt>
                <c:pt idx="159">
                  <c:v>13.244</c:v>
                </c:pt>
                <c:pt idx="160">
                  <c:v>13.304</c:v>
                </c:pt>
                <c:pt idx="161">
                  <c:v>12.832000000000001</c:v>
                </c:pt>
                <c:pt idx="162">
                  <c:v>12.228999999999999</c:v>
                </c:pt>
                <c:pt idx="163">
                  <c:v>12.619</c:v>
                </c:pt>
                <c:pt idx="164">
                  <c:v>13.398</c:v>
                </c:pt>
                <c:pt idx="165">
                  <c:v>13.637</c:v>
                </c:pt>
                <c:pt idx="166">
                  <c:v>13.688000000000001</c:v>
                </c:pt>
                <c:pt idx="167">
                  <c:v>13.188000000000001</c:v>
                </c:pt>
                <c:pt idx="168">
                  <c:v>12.451000000000001</c:v>
                </c:pt>
                <c:pt idx="169">
                  <c:v>12.75</c:v>
                </c:pt>
                <c:pt idx="170">
                  <c:v>11.946</c:v>
                </c:pt>
                <c:pt idx="171">
                  <c:v>12.154</c:v>
                </c:pt>
                <c:pt idx="172">
                  <c:v>10.404</c:v>
                </c:pt>
                <c:pt idx="173">
                  <c:v>11.269</c:v>
                </c:pt>
                <c:pt idx="174">
                  <c:v>11.65</c:v>
                </c:pt>
                <c:pt idx="175">
                  <c:v>10.18</c:v>
                </c:pt>
                <c:pt idx="176">
                  <c:v>9.702</c:v>
                </c:pt>
                <c:pt idx="177">
                  <c:v>8.8350000000000009</c:v>
                </c:pt>
                <c:pt idx="178">
                  <c:v>8.8320000000000007</c:v>
                </c:pt>
                <c:pt idx="179">
                  <c:v>8.8290000000000006</c:v>
                </c:pt>
                <c:pt idx="180">
                  <c:v>8.9499999999999993</c:v>
                </c:pt>
                <c:pt idx="181">
                  <c:v>9.0570000000000004</c:v>
                </c:pt>
                <c:pt idx="182">
                  <c:v>8.8140000000000001</c:v>
                </c:pt>
                <c:pt idx="183">
                  <c:v>8.4710000000000001</c:v>
                </c:pt>
                <c:pt idx="184">
                  <c:v>9.0860000000000003</c:v>
                </c:pt>
                <c:pt idx="185">
                  <c:v>8.3469999999999995</c:v>
                </c:pt>
                <c:pt idx="186">
                  <c:v>9.5530000000000008</c:v>
                </c:pt>
                <c:pt idx="187">
                  <c:v>6.82</c:v>
                </c:pt>
                <c:pt idx="188">
                  <c:v>6.9109999999999996</c:v>
                </c:pt>
                <c:pt idx="189">
                  <c:v>7.2329999999999997</c:v>
                </c:pt>
                <c:pt idx="190">
                  <c:v>6.0750000000000002</c:v>
                </c:pt>
                <c:pt idx="191">
                  <c:v>5.1950000000000003</c:v>
                </c:pt>
                <c:pt idx="192">
                  <c:v>5.7290000000000001</c:v>
                </c:pt>
                <c:pt idx="193">
                  <c:v>6.2619999999999996</c:v>
                </c:pt>
                <c:pt idx="194">
                  <c:v>6.62</c:v>
                </c:pt>
                <c:pt idx="195">
                  <c:v>6.5579999999999998</c:v>
                </c:pt>
                <c:pt idx="196">
                  <c:v>7.8049999999999997</c:v>
                </c:pt>
                <c:pt idx="197">
                  <c:v>8.4209999999999994</c:v>
                </c:pt>
                <c:pt idx="198">
                  <c:v>7.6769999999999996</c:v>
                </c:pt>
                <c:pt idx="199">
                  <c:v>6.4989999999999997</c:v>
                </c:pt>
                <c:pt idx="200">
                  <c:v>6.7709999999999999</c:v>
                </c:pt>
                <c:pt idx="201">
                  <c:v>6.1539999999999999</c:v>
                </c:pt>
                <c:pt idx="202">
                  <c:v>6.19</c:v>
                </c:pt>
                <c:pt idx="203">
                  <c:v>6.1020000000000003</c:v>
                </c:pt>
                <c:pt idx="204">
                  <c:v>6.87</c:v>
                </c:pt>
                <c:pt idx="205">
                  <c:v>7.1230000000000002</c:v>
                </c:pt>
                <c:pt idx="206">
                  <c:v>5.835</c:v>
                </c:pt>
                <c:pt idx="207">
                  <c:v>6.2329999999999997</c:v>
                </c:pt>
                <c:pt idx="208">
                  <c:v>6.0860000000000003</c:v>
                </c:pt>
                <c:pt idx="209">
                  <c:v>5.9219999999999997</c:v>
                </c:pt>
                <c:pt idx="210">
                  <c:v>6.14</c:v>
                </c:pt>
                <c:pt idx="211">
                  <c:v>6.5890000000000004</c:v>
                </c:pt>
                <c:pt idx="212">
                  <c:v>7.0830000000000002</c:v>
                </c:pt>
                <c:pt idx="213">
                  <c:v>6.2830000000000004</c:v>
                </c:pt>
                <c:pt idx="214">
                  <c:v>6.0529999999999999</c:v>
                </c:pt>
                <c:pt idx="215">
                  <c:v>5.8029999999999999</c:v>
                </c:pt>
                <c:pt idx="216">
                  <c:v>5.9260000000000002</c:v>
                </c:pt>
                <c:pt idx="217">
                  <c:v>6.5270000000000001</c:v>
                </c:pt>
                <c:pt idx="218">
                  <c:v>6.4169999999999998</c:v>
                </c:pt>
                <c:pt idx="219">
                  <c:v>6.032</c:v>
                </c:pt>
                <c:pt idx="220">
                  <c:v>6.2859999999999996</c:v>
                </c:pt>
                <c:pt idx="221">
                  <c:v>8.0079999999999991</c:v>
                </c:pt>
                <c:pt idx="222">
                  <c:v>8.07</c:v>
                </c:pt>
                <c:pt idx="223">
                  <c:v>8.359</c:v>
                </c:pt>
                <c:pt idx="224">
                  <c:v>9.5030000000000001</c:v>
                </c:pt>
                <c:pt idx="225">
                  <c:v>9.2609999999999992</c:v>
                </c:pt>
                <c:pt idx="226">
                  <c:v>10.664999999999999</c:v>
                </c:pt>
                <c:pt idx="227">
                  <c:v>9.0749999999999993</c:v>
                </c:pt>
                <c:pt idx="228">
                  <c:v>8.6820000000000004</c:v>
                </c:pt>
                <c:pt idx="229">
                  <c:v>8.1289999999999996</c:v>
                </c:pt>
                <c:pt idx="230">
                  <c:v>8.8330000000000002</c:v>
                </c:pt>
                <c:pt idx="231">
                  <c:v>8.8350000000000009</c:v>
                </c:pt>
                <c:pt idx="232">
                  <c:v>9.0980000000000008</c:v>
                </c:pt>
                <c:pt idx="233">
                  <c:v>8.5890000000000004</c:v>
                </c:pt>
                <c:pt idx="234">
                  <c:v>8.7439999999999998</c:v>
                </c:pt>
                <c:pt idx="235">
                  <c:v>9.5109999999999992</c:v>
                </c:pt>
                <c:pt idx="236">
                  <c:v>9.3249999999999993</c:v>
                </c:pt>
                <c:pt idx="237">
                  <c:v>9.7040000000000006</c:v>
                </c:pt>
                <c:pt idx="238">
                  <c:v>10.945</c:v>
                </c:pt>
                <c:pt idx="239">
                  <c:v>10.837999999999999</c:v>
                </c:pt>
                <c:pt idx="240">
                  <c:v>10.192</c:v>
                </c:pt>
                <c:pt idx="241">
                  <c:v>11.086</c:v>
                </c:pt>
                <c:pt idx="242">
                  <c:v>9.1820000000000004</c:v>
                </c:pt>
                <c:pt idx="243">
                  <c:v>8.8670000000000009</c:v>
                </c:pt>
                <c:pt idx="244">
                  <c:v>10.028</c:v>
                </c:pt>
                <c:pt idx="245">
                  <c:v>11.691000000000001</c:v>
                </c:pt>
                <c:pt idx="246">
                  <c:v>12.643000000000001</c:v>
                </c:pt>
                <c:pt idx="247">
                  <c:v>10.050000000000001</c:v>
                </c:pt>
                <c:pt idx="248">
                  <c:v>10.798999999999999</c:v>
                </c:pt>
                <c:pt idx="249">
                  <c:v>10.877000000000001</c:v>
                </c:pt>
                <c:pt idx="250">
                  <c:v>7.8449999999999998</c:v>
                </c:pt>
                <c:pt idx="251">
                  <c:v>8.6460000000000008</c:v>
                </c:pt>
                <c:pt idx="252">
                  <c:v>10.58</c:v>
                </c:pt>
                <c:pt idx="253">
                  <c:v>9.827</c:v>
                </c:pt>
                <c:pt idx="254">
                  <c:v>17.692</c:v>
                </c:pt>
                <c:pt idx="255">
                  <c:v>17.309999999999999</c:v>
                </c:pt>
                <c:pt idx="256">
                  <c:v>18.908000000000001</c:v>
                </c:pt>
                <c:pt idx="257">
                  <c:v>19.661999999999999</c:v>
                </c:pt>
                <c:pt idx="258">
                  <c:v>22.22</c:v>
                </c:pt>
                <c:pt idx="259">
                  <c:v>20.178000000000001</c:v>
                </c:pt>
                <c:pt idx="260">
                  <c:v>20.375</c:v>
                </c:pt>
                <c:pt idx="261">
                  <c:v>22.859000000000002</c:v>
                </c:pt>
                <c:pt idx="262">
                  <c:v>21.619</c:v>
                </c:pt>
                <c:pt idx="263">
                  <c:v>24.068000000000001</c:v>
                </c:pt>
                <c:pt idx="264">
                  <c:v>24.582999999999998</c:v>
                </c:pt>
                <c:pt idx="265">
                  <c:v>24.777999999999999</c:v>
                </c:pt>
                <c:pt idx="266">
                  <c:v>25.029</c:v>
                </c:pt>
                <c:pt idx="267">
                  <c:v>26.977</c:v>
                </c:pt>
                <c:pt idx="268">
                  <c:v>24.771000000000001</c:v>
                </c:pt>
                <c:pt idx="269">
                  <c:v>30.766999999999999</c:v>
                </c:pt>
                <c:pt idx="270">
                  <c:v>24.35</c:v>
                </c:pt>
                <c:pt idx="271">
                  <c:v>25.529</c:v>
                </c:pt>
                <c:pt idx="272">
                  <c:v>25.335999999999999</c:v>
                </c:pt>
                <c:pt idx="273">
                  <c:v>24.806999999999999</c:v>
                </c:pt>
                <c:pt idx="274">
                  <c:v>26.388000000000002</c:v>
                </c:pt>
                <c:pt idx="275">
                  <c:v>24.366</c:v>
                </c:pt>
                <c:pt idx="276">
                  <c:v>22.541</c:v>
                </c:pt>
                <c:pt idx="277">
                  <c:v>19.013999999999999</c:v>
                </c:pt>
                <c:pt idx="278">
                  <c:v>19.1587</c:v>
                </c:pt>
                <c:pt idx="279">
                  <c:v>21.618400000000001</c:v>
                </c:pt>
                <c:pt idx="280">
                  <c:v>21.064399999999999</c:v>
                </c:pt>
                <c:pt idx="281">
                  <c:v>22.417400000000001</c:v>
                </c:pt>
                <c:pt idx="282">
                  <c:v>23.925599999999999</c:v>
                </c:pt>
                <c:pt idx="283">
                  <c:v>23.147600000000001</c:v>
                </c:pt>
                <c:pt idx="284">
                  <c:v>25.4758</c:v>
                </c:pt>
                <c:pt idx="285">
                  <c:v>29.067799999999998</c:v>
                </c:pt>
                <c:pt idx="286">
                  <c:v>30.3626</c:v>
                </c:pt>
                <c:pt idx="287">
                  <c:v>32.498800000000003</c:v>
                </c:pt>
                <c:pt idx="288">
                  <c:v>34.872500000000002</c:v>
                </c:pt>
                <c:pt idx="289">
                  <c:v>27.747499999999999</c:v>
                </c:pt>
                <c:pt idx="290">
                  <c:v>25.513400000000001</c:v>
                </c:pt>
                <c:pt idx="291">
                  <c:v>26.553699999999999</c:v>
                </c:pt>
                <c:pt idx="292">
                  <c:v>25.9163</c:v>
                </c:pt>
                <c:pt idx="293">
                  <c:v>26.357399999999998</c:v>
                </c:pt>
                <c:pt idx="294">
                  <c:v>26.544</c:v>
                </c:pt>
                <c:pt idx="295">
                  <c:v>24.599399999999999</c:v>
                </c:pt>
                <c:pt idx="296">
                  <c:v>29.404499999999999</c:v>
                </c:pt>
                <c:pt idx="297">
                  <c:v>26.819400000000002</c:v>
                </c:pt>
                <c:pt idx="298">
                  <c:v>26.546099999999999</c:v>
                </c:pt>
                <c:pt idx="299">
                  <c:v>24.148700000000002</c:v>
                </c:pt>
                <c:pt idx="300">
                  <c:v>26.299600000000002</c:v>
                </c:pt>
                <c:pt idx="301">
                  <c:v>27.352399999999999</c:v>
                </c:pt>
                <c:pt idx="302">
                  <c:v>29.2517</c:v>
                </c:pt>
                <c:pt idx="303">
                  <c:v>32.299799999999998</c:v>
                </c:pt>
                <c:pt idx="304">
                  <c:v>27.354099999999999</c:v>
                </c:pt>
                <c:pt idx="305">
                  <c:v>27.960699999999999</c:v>
                </c:pt>
                <c:pt idx="306">
                  <c:v>29.248999999999999</c:v>
                </c:pt>
                <c:pt idx="307">
                  <c:v>24.930700000000002</c:v>
                </c:pt>
                <c:pt idx="308">
                  <c:v>22.249400000000001</c:v>
                </c:pt>
                <c:pt idx="309">
                  <c:v>22.177600000000002</c:v>
                </c:pt>
                <c:pt idx="310">
                  <c:v>24.5153</c:v>
                </c:pt>
                <c:pt idx="311">
                  <c:v>25.795000000000002</c:v>
                </c:pt>
                <c:pt idx="312">
                  <c:v>27.818200000000001</c:v>
                </c:pt>
                <c:pt idx="313">
                  <c:v>28.570499999999999</c:v>
                </c:pt>
                <c:pt idx="314">
                  <c:v>29.7043</c:v>
                </c:pt>
                <c:pt idx="315">
                  <c:v>30.2836</c:v>
                </c:pt>
                <c:pt idx="316">
                  <c:v>32.184100000000001</c:v>
                </c:pt>
                <c:pt idx="317">
                  <c:v>31.805599999999998</c:v>
                </c:pt>
                <c:pt idx="318">
                  <c:v>31.587599999999998</c:v>
                </c:pt>
                <c:pt idx="319">
                  <c:v>35.193399999999997</c:v>
                </c:pt>
                <c:pt idx="320">
                  <c:v>34.111800000000002</c:v>
                </c:pt>
                <c:pt idx="321">
                  <c:v>32.6402</c:v>
                </c:pt>
                <c:pt idx="322">
                  <c:v>32.730499999999999</c:v>
                </c:pt>
                <c:pt idx="323">
                  <c:v>34.8005</c:v>
                </c:pt>
                <c:pt idx="324">
                  <c:v>37.578299999999999</c:v>
                </c:pt>
                <c:pt idx="325">
                  <c:v>33.468299999999999</c:v>
                </c:pt>
                <c:pt idx="326">
                  <c:v>34.285400000000003</c:v>
                </c:pt>
                <c:pt idx="327">
                  <c:v>33.447099999999999</c:v>
                </c:pt>
                <c:pt idx="328">
                  <c:v>31.1555</c:v>
                </c:pt>
                <c:pt idx="329">
                  <c:v>30.645800000000001</c:v>
                </c:pt>
                <c:pt idx="330">
                  <c:v>34.279499999999999</c:v>
                </c:pt>
                <c:pt idx="331">
                  <c:v>36.322200000000002</c:v>
                </c:pt>
                <c:pt idx="332">
                  <c:v>41.921900000000001</c:v>
                </c:pt>
                <c:pt idx="333">
                  <c:v>35.758600000000001</c:v>
                </c:pt>
                <c:pt idx="334">
                  <c:v>35.872700000000002</c:v>
                </c:pt>
                <c:pt idx="335">
                  <c:v>28.55</c:v>
                </c:pt>
                <c:pt idx="336">
                  <c:v>28.5654</c:v>
                </c:pt>
                <c:pt idx="337">
                  <c:v>32.023699999999998</c:v>
                </c:pt>
                <c:pt idx="338">
                  <c:v>21.024999999999999</c:v>
                </c:pt>
                <c:pt idx="339">
                  <c:v>26.090599999999998</c:v>
                </c:pt>
                <c:pt idx="340">
                  <c:v>24.3215</c:v>
                </c:pt>
                <c:pt idx="341">
                  <c:v>23.023399999999999</c:v>
                </c:pt>
                <c:pt idx="342">
                  <c:v>26.928799999999999</c:v>
                </c:pt>
                <c:pt idx="343">
                  <c:v>29.616399999999999</c:v>
                </c:pt>
                <c:pt idx="344">
                  <c:v>25.3689</c:v>
                </c:pt>
                <c:pt idx="345">
                  <c:v>21.626899999999999</c:v>
                </c:pt>
                <c:pt idx="346">
                  <c:v>22.0169</c:v>
                </c:pt>
                <c:pt idx="347">
                  <c:v>23.159600000000001</c:v>
                </c:pt>
                <c:pt idx="348">
                  <c:v>27.867699999999999</c:v>
                </c:pt>
                <c:pt idx="349">
                  <c:v>25.9816</c:v>
                </c:pt>
                <c:pt idx="350">
                  <c:v>25.927800000000001</c:v>
                </c:pt>
                <c:pt idx="351">
                  <c:v>27.7911</c:v>
                </c:pt>
                <c:pt idx="352">
                  <c:v>27.341000000000001</c:v>
                </c:pt>
                <c:pt idx="353">
                  <c:v>18.858899999999998</c:v>
                </c:pt>
                <c:pt idx="354">
                  <c:v>18.937799999999999</c:v>
                </c:pt>
                <c:pt idx="355">
                  <c:v>16.748699999999999</c:v>
                </c:pt>
                <c:pt idx="356">
                  <c:v>13.4026</c:v>
                </c:pt>
                <c:pt idx="357">
                  <c:v>12.194100000000001</c:v>
                </c:pt>
                <c:pt idx="358">
                  <c:v>10.199999999999999</c:v>
                </c:pt>
                <c:pt idx="359">
                  <c:v>10.2751</c:v>
                </c:pt>
                <c:pt idx="360">
                  <c:v>10.642799999999999</c:v>
                </c:pt>
                <c:pt idx="361">
                  <c:v>9.7927</c:v>
                </c:pt>
                <c:pt idx="362">
                  <c:v>8.8000000000000007</c:v>
                </c:pt>
                <c:pt idx="363">
                  <c:v>8.2957000000000001</c:v>
                </c:pt>
                <c:pt idx="364">
                  <c:v>8.5823999999999998</c:v>
                </c:pt>
                <c:pt idx="365">
                  <c:v>9.0152999999999999</c:v>
                </c:pt>
                <c:pt idx="366">
                  <c:v>9.6000999999999994</c:v>
                </c:pt>
                <c:pt idx="367">
                  <c:v>8.6302000000000003</c:v>
                </c:pt>
                <c:pt idx="368">
                  <c:v>7.6999000000000004</c:v>
                </c:pt>
                <c:pt idx="369">
                  <c:v>7.4455999999999998</c:v>
                </c:pt>
                <c:pt idx="370">
                  <c:v>7.1801000000000004</c:v>
                </c:pt>
                <c:pt idx="371">
                  <c:v>6.9363999999999999</c:v>
                </c:pt>
                <c:pt idx="372">
                  <c:v>7.3676000000000004</c:v>
                </c:pt>
                <c:pt idx="373">
                  <c:v>7.4307999999999996</c:v>
                </c:pt>
                <c:pt idx="374">
                  <c:v>9.2672000000000008</c:v>
                </c:pt>
                <c:pt idx="375">
                  <c:v>6.7949999999999999</c:v>
                </c:pt>
                <c:pt idx="376">
                  <c:v>6.23</c:v>
                </c:pt>
                <c:pt idx="377">
                  <c:v>5.6901000000000002</c:v>
                </c:pt>
                <c:pt idx="378">
                  <c:v>5.5768000000000004</c:v>
                </c:pt>
                <c:pt idx="379">
                  <c:v>5.62</c:v>
                </c:pt>
                <c:pt idx="380">
                  <c:v>5.1524999999999999</c:v>
                </c:pt>
                <c:pt idx="381">
                  <c:v>5.3133999999999997</c:v>
                </c:pt>
                <c:pt idx="382">
                  <c:v>6.22</c:v>
                </c:pt>
                <c:pt idx="383">
                  <c:v>6.9801000000000002</c:v>
                </c:pt>
                <c:pt idx="384">
                  <c:v>6.7297000000000002</c:v>
                </c:pt>
                <c:pt idx="385">
                  <c:v>6.8841999999999999</c:v>
                </c:pt>
                <c:pt idx="386">
                  <c:v>6.1898999999999997</c:v>
                </c:pt>
                <c:pt idx="387">
                  <c:v>5.6901000000000002</c:v>
                </c:pt>
                <c:pt idx="388">
                  <c:v>6.0644999999999998</c:v>
                </c:pt>
                <c:pt idx="389">
                  <c:v>6.1816000000000004</c:v>
                </c:pt>
                <c:pt idx="390">
                  <c:v>4.8495999999999997</c:v>
                </c:pt>
                <c:pt idx="391">
                  <c:v>5.4470000000000001</c:v>
                </c:pt>
                <c:pt idx="392">
                  <c:v>5.3423999999999996</c:v>
                </c:pt>
                <c:pt idx="393">
                  <c:v>6.1611000000000002</c:v>
                </c:pt>
                <c:pt idx="394">
                  <c:v>6.6970000000000001</c:v>
                </c:pt>
                <c:pt idx="395">
                  <c:v>7.5025000000000004</c:v>
                </c:pt>
                <c:pt idx="396">
                  <c:v>6.6153000000000004</c:v>
                </c:pt>
                <c:pt idx="397">
                  <c:v>6.7912999999999997</c:v>
                </c:pt>
                <c:pt idx="398">
                  <c:v>7.1436999999999999</c:v>
                </c:pt>
                <c:pt idx="399">
                  <c:v>7.6348000000000003</c:v>
                </c:pt>
                <c:pt idx="400">
                  <c:v>7.0490000000000004</c:v>
                </c:pt>
                <c:pt idx="401">
                  <c:v>8.6999999999999993</c:v>
                </c:pt>
                <c:pt idx="402">
                  <c:v>9</c:v>
                </c:pt>
                <c:pt idx="403">
                  <c:v>8.0114999999999998</c:v>
                </c:pt>
                <c:pt idx="404">
                  <c:v>9.2520000000000007</c:v>
                </c:pt>
                <c:pt idx="405">
                  <c:v>9.9022000000000006</c:v>
                </c:pt>
                <c:pt idx="406">
                  <c:v>9.5266000000000002</c:v>
                </c:pt>
                <c:pt idx="407">
                  <c:v>10.8203</c:v>
                </c:pt>
                <c:pt idx="408">
                  <c:v>11.523400000000001</c:v>
                </c:pt>
                <c:pt idx="409">
                  <c:v>12.3933</c:v>
                </c:pt>
                <c:pt idx="410">
                  <c:v>14.064399999999999</c:v>
                </c:pt>
                <c:pt idx="411">
                  <c:v>12.271599999999999</c:v>
                </c:pt>
                <c:pt idx="412">
                  <c:v>10.476000000000001</c:v>
                </c:pt>
                <c:pt idx="413">
                  <c:v>12.0396</c:v>
                </c:pt>
                <c:pt idx="414">
                  <c:v>11.9092</c:v>
                </c:pt>
                <c:pt idx="415">
                  <c:v>11.164</c:v>
                </c:pt>
                <c:pt idx="416">
                  <c:v>9.7997999999999994</c:v>
                </c:pt>
                <c:pt idx="417">
                  <c:v>7.1224999999999996</c:v>
                </c:pt>
                <c:pt idx="418">
                  <c:v>5.8487999999999998</c:v>
                </c:pt>
                <c:pt idx="419">
                  <c:v>5.1830999999999996</c:v>
                </c:pt>
                <c:pt idx="420">
                  <c:v>5.1811999999999996</c:v>
                </c:pt>
                <c:pt idx="421">
                  <c:v>4.4958999999999998</c:v>
                </c:pt>
                <c:pt idx="422">
                  <c:v>4.0599999999999996</c:v>
                </c:pt>
                <c:pt idx="423">
                  <c:v>4.1456</c:v>
                </c:pt>
                <c:pt idx="424">
                  <c:v>4.8174000000000001</c:v>
                </c:pt>
                <c:pt idx="425">
                  <c:v>4.9570999999999996</c:v>
                </c:pt>
                <c:pt idx="426">
                  <c:v>3.8098999999999998</c:v>
                </c:pt>
                <c:pt idx="427">
                  <c:v>2.8609</c:v>
                </c:pt>
                <c:pt idx="428">
                  <c:v>3.2780999999999998</c:v>
                </c:pt>
                <c:pt idx="429">
                  <c:v>3.2734000000000001</c:v>
                </c:pt>
                <c:pt idx="430">
                  <c:v>3.7057000000000002</c:v>
                </c:pt>
                <c:pt idx="431">
                  <c:v>3.3163999999999998</c:v>
                </c:pt>
                <c:pt idx="432">
                  <c:v>3.2862</c:v>
                </c:pt>
                <c:pt idx="433">
                  <c:v>3.6349999999999998</c:v>
                </c:pt>
                <c:pt idx="434">
                  <c:v>3.9761000000000002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9C-41CC-A8F0-3E1401E08684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-0.24071404386108111</c:v>
                </c:pt>
                <c:pt idx="1">
                  <c:v>-0.23900376047398433</c:v>
                </c:pt>
                <c:pt idx="2">
                  <c:v>-0.21297581391868481</c:v>
                </c:pt>
                <c:pt idx="3">
                  <c:v>-0.18449846697284736</c:v>
                </c:pt>
                <c:pt idx="4">
                  <c:v>-0.21567996492111652</c:v>
                </c:pt>
                <c:pt idx="5">
                  <c:v>-0.22301719641042766</c:v>
                </c:pt>
                <c:pt idx="6">
                  <c:v>-0.2172005745936737</c:v>
                </c:pt>
                <c:pt idx="7">
                  <c:v>-0.20682360466535599</c:v>
                </c:pt>
                <c:pt idx="8">
                  <c:v>-0.20014257452101267</c:v>
                </c:pt>
                <c:pt idx="9">
                  <c:v>-0.19351071901678735</c:v>
                </c:pt>
                <c:pt idx="10">
                  <c:v>-0.18845446722890852</c:v>
                </c:pt>
                <c:pt idx="11">
                  <c:v>-0.19340290834084883</c:v>
                </c:pt>
                <c:pt idx="12">
                  <c:v>-0.19603172971007962</c:v>
                </c:pt>
                <c:pt idx="13">
                  <c:v>-0.18922665410673931</c:v>
                </c:pt>
                <c:pt idx="14">
                  <c:v>-0.19529650980803803</c:v>
                </c:pt>
                <c:pt idx="15">
                  <c:v>-0.18635321744885436</c:v>
                </c:pt>
                <c:pt idx="16">
                  <c:v>-0.18586149368981825</c:v>
                </c:pt>
                <c:pt idx="17">
                  <c:v>-0.19045967283741649</c:v>
                </c:pt>
                <c:pt idx="18">
                  <c:v>-0.18695920347674097</c:v>
                </c:pt>
                <c:pt idx="19">
                  <c:v>-0.18930734282100325</c:v>
                </c:pt>
                <c:pt idx="20">
                  <c:v>-0.1862466556218644</c:v>
                </c:pt>
                <c:pt idx="21">
                  <c:v>-0.1814714262547758</c:v>
                </c:pt>
                <c:pt idx="22">
                  <c:v>-0.18177616328234089</c:v>
                </c:pt>
                <c:pt idx="23">
                  <c:v>-0.17417834293837733</c:v>
                </c:pt>
                <c:pt idx="24">
                  <c:v>-0.17109109346519119</c:v>
                </c:pt>
                <c:pt idx="25">
                  <c:v>-0.17341252777859992</c:v>
                </c:pt>
                <c:pt idx="26">
                  <c:v>-0.17669355107616089</c:v>
                </c:pt>
                <c:pt idx="27">
                  <c:v>-0.18168088423000706</c:v>
                </c:pt>
                <c:pt idx="28">
                  <c:v>-0.17960687229870931</c:v>
                </c:pt>
                <c:pt idx="29">
                  <c:v>-0.18256511927470931</c:v>
                </c:pt>
                <c:pt idx="30">
                  <c:v>-0.17797359662164808</c:v>
                </c:pt>
                <c:pt idx="31">
                  <c:v>-0.17016706817902513</c:v>
                </c:pt>
                <c:pt idx="32">
                  <c:v>-0.16475328642853398</c:v>
                </c:pt>
                <c:pt idx="33">
                  <c:v>-0.16158143962355473</c:v>
                </c:pt>
                <c:pt idx="34">
                  <c:v>-0.16193363736745719</c:v>
                </c:pt>
                <c:pt idx="35">
                  <c:v>-0.15732569302965557</c:v>
                </c:pt>
                <c:pt idx="36">
                  <c:v>-0.16249368121086366</c:v>
                </c:pt>
                <c:pt idx="37">
                  <c:v>-0.17079524066101473</c:v>
                </c:pt>
                <c:pt idx="38">
                  <c:v>-0.17310693643363656</c:v>
                </c:pt>
                <c:pt idx="39">
                  <c:v>-0.1752170861581383</c:v>
                </c:pt>
                <c:pt idx="40">
                  <c:v>-0.17408503198609526</c:v>
                </c:pt>
                <c:pt idx="41">
                  <c:v>-0.17613114933234855</c:v>
                </c:pt>
                <c:pt idx="42">
                  <c:v>-0.18031348997999122</c:v>
                </c:pt>
                <c:pt idx="43">
                  <c:v>-0.1723267322863424</c:v>
                </c:pt>
                <c:pt idx="44">
                  <c:v>-0.17448935137827493</c:v>
                </c:pt>
                <c:pt idx="45">
                  <c:v>-0.16950590835946164</c:v>
                </c:pt>
                <c:pt idx="46">
                  <c:v>-0.15155070766746168</c:v>
                </c:pt>
                <c:pt idx="47">
                  <c:v>-0.15991175891536266</c:v>
                </c:pt>
                <c:pt idx="48">
                  <c:v>-0.16030140462556677</c:v>
                </c:pt>
                <c:pt idx="49">
                  <c:v>-0.14668718236282166</c:v>
                </c:pt>
                <c:pt idx="50">
                  <c:v>-0.13190366210704355</c:v>
                </c:pt>
                <c:pt idx="51">
                  <c:v>-0.13510266686011985</c:v>
                </c:pt>
                <c:pt idx="52">
                  <c:v>-0.13370399060386987</c:v>
                </c:pt>
                <c:pt idx="53">
                  <c:v>-0.1554958238165236</c:v>
                </c:pt>
                <c:pt idx="54">
                  <c:v>-0.14372955702276849</c:v>
                </c:pt>
                <c:pt idx="55">
                  <c:v>-0.13916392248899273</c:v>
                </c:pt>
                <c:pt idx="56">
                  <c:v>-0.13189602322531113</c:v>
                </c:pt>
                <c:pt idx="57">
                  <c:v>-0.12561671016533721</c:v>
                </c:pt>
                <c:pt idx="58">
                  <c:v>-0.10902435775027589</c:v>
                </c:pt>
                <c:pt idx="59">
                  <c:v>-0.10919392971823316</c:v>
                </c:pt>
                <c:pt idx="60">
                  <c:v>-0.11359074085880258</c:v>
                </c:pt>
                <c:pt idx="61">
                  <c:v>-0.12190669045998913</c:v>
                </c:pt>
                <c:pt idx="62">
                  <c:v>-0.12275125214733804</c:v>
                </c:pt>
                <c:pt idx="63">
                  <c:v>-0.11783455818381536</c:v>
                </c:pt>
                <c:pt idx="64">
                  <c:v>-0.12021692563562883</c:v>
                </c:pt>
                <c:pt idx="65">
                  <c:v>-0.1203225337530727</c:v>
                </c:pt>
                <c:pt idx="66">
                  <c:v>-0.12463854851845181</c:v>
                </c:pt>
                <c:pt idx="67">
                  <c:v>-0.12431744792011672</c:v>
                </c:pt>
                <c:pt idx="68">
                  <c:v>-0.12352660399401756</c:v>
                </c:pt>
                <c:pt idx="69">
                  <c:v>-0.13172361485732692</c:v>
                </c:pt>
                <c:pt idx="70">
                  <c:v>-0.13339881636025089</c:v>
                </c:pt>
                <c:pt idx="71">
                  <c:v>-0.12895624827376789</c:v>
                </c:pt>
                <c:pt idx="72">
                  <c:v>-0.13030699728596301</c:v>
                </c:pt>
                <c:pt idx="73">
                  <c:v>-0.12326789950173063</c:v>
                </c:pt>
                <c:pt idx="74">
                  <c:v>-0.11673196347499268</c:v>
                </c:pt>
                <c:pt idx="75">
                  <c:v>-0.12017750451499269</c:v>
                </c:pt>
                <c:pt idx="76">
                  <c:v>-0.11948387819584377</c:v>
                </c:pt>
                <c:pt idx="77">
                  <c:v>-0.11291924949016589</c:v>
                </c:pt>
                <c:pt idx="78">
                  <c:v>-0.11321583068840381</c:v>
                </c:pt>
                <c:pt idx="79">
                  <c:v>-0.11051751183674521</c:v>
                </c:pt>
                <c:pt idx="80">
                  <c:v>-0.10717424258766094</c:v>
                </c:pt>
                <c:pt idx="81">
                  <c:v>-0.11254801971532052</c:v>
                </c:pt>
                <c:pt idx="82">
                  <c:v>-0.11490237171532051</c:v>
                </c:pt>
                <c:pt idx="83">
                  <c:v>-0.11169154850544397</c:v>
                </c:pt>
                <c:pt idx="84">
                  <c:v>-0.10786277054892222</c:v>
                </c:pt>
                <c:pt idx="85">
                  <c:v>-0.10540616393561136</c:v>
                </c:pt>
                <c:pt idx="86">
                  <c:v>-0.11092779681985</c:v>
                </c:pt>
                <c:pt idx="87">
                  <c:v>-0.11319274618222624</c:v>
                </c:pt>
                <c:pt idx="88">
                  <c:v>-0.11665713929511719</c:v>
                </c:pt>
                <c:pt idx="89">
                  <c:v>-0.12180484721608981</c:v>
                </c:pt>
                <c:pt idx="90">
                  <c:v>-0.11992638890476905</c:v>
                </c:pt>
                <c:pt idx="91">
                  <c:v>-0.12376156839251959</c:v>
                </c:pt>
                <c:pt idx="92">
                  <c:v>-0.12249171518146988</c:v>
                </c:pt>
                <c:pt idx="93">
                  <c:v>-0.11431143385754514</c:v>
                </c:pt>
                <c:pt idx="94">
                  <c:v>-0.111627603740472</c:v>
                </c:pt>
                <c:pt idx="95">
                  <c:v>-0.11717059069492744</c:v>
                </c:pt>
                <c:pt idx="96">
                  <c:v>-0.11380521044815559</c:v>
                </c:pt>
                <c:pt idx="97">
                  <c:v>-0.11328562444815558</c:v>
                </c:pt>
                <c:pt idx="98">
                  <c:v>-0.11263117938121847</c:v>
                </c:pt>
                <c:pt idx="99">
                  <c:v>-0.10770140829928364</c:v>
                </c:pt>
                <c:pt idx="100">
                  <c:v>-0.11040029464191932</c:v>
                </c:pt>
                <c:pt idx="101">
                  <c:v>-0.11262847436996463</c:v>
                </c:pt>
                <c:pt idx="102">
                  <c:v>-0.10951917661996462</c:v>
                </c:pt>
                <c:pt idx="103">
                  <c:v>-0.10562511925940858</c:v>
                </c:pt>
                <c:pt idx="104">
                  <c:v>-0.10353350188916639</c:v>
                </c:pt>
                <c:pt idx="105">
                  <c:v>-0.10665076657788232</c:v>
                </c:pt>
                <c:pt idx="106">
                  <c:v>-0.10173595960019587</c:v>
                </c:pt>
                <c:pt idx="107">
                  <c:v>-0.10937008390489027</c:v>
                </c:pt>
                <c:pt idx="108">
                  <c:v>-0.11497818709280971</c:v>
                </c:pt>
                <c:pt idx="109">
                  <c:v>-0.11217727437043774</c:v>
                </c:pt>
                <c:pt idx="110">
                  <c:v>-0.10584710471719781</c:v>
                </c:pt>
                <c:pt idx="111">
                  <c:v>-0.10788291251530505</c:v>
                </c:pt>
                <c:pt idx="112">
                  <c:v>-0.10549684858682827</c:v>
                </c:pt>
                <c:pt idx="113">
                  <c:v>-0.10008300725349491</c:v>
                </c:pt>
                <c:pt idx="114">
                  <c:v>-0.10297686705932015</c:v>
                </c:pt>
                <c:pt idx="115">
                  <c:v>-0.10719911483725916</c:v>
                </c:pt>
                <c:pt idx="116">
                  <c:v>-0.11497254163725917</c:v>
                </c:pt>
                <c:pt idx="117">
                  <c:v>-0.1156229310817036</c:v>
                </c:pt>
                <c:pt idx="118">
                  <c:v>-0.11166999826964191</c:v>
                </c:pt>
                <c:pt idx="119">
                  <c:v>-0.12170758811040623</c:v>
                </c:pt>
                <c:pt idx="120">
                  <c:v>-0.12620508968471356</c:v>
                </c:pt>
                <c:pt idx="121">
                  <c:v>-0.12128229532796274</c:v>
                </c:pt>
                <c:pt idx="122">
                  <c:v>-0.11564826904465493</c:v>
                </c:pt>
                <c:pt idx="123">
                  <c:v>-0.10789781251766263</c:v>
                </c:pt>
                <c:pt idx="124">
                  <c:v>-0.11157730021947306</c:v>
                </c:pt>
                <c:pt idx="125">
                  <c:v>-0.10780598967893253</c:v>
                </c:pt>
                <c:pt idx="126">
                  <c:v>-0.10537888575549594</c:v>
                </c:pt>
                <c:pt idx="127">
                  <c:v>-0.11413309590683124</c:v>
                </c:pt>
                <c:pt idx="128">
                  <c:v>-0.12293049857685644</c:v>
                </c:pt>
                <c:pt idx="129">
                  <c:v>-0.11663019868016532</c:v>
                </c:pt>
                <c:pt idx="130">
                  <c:v>-0.11290491776493508</c:v>
                </c:pt>
                <c:pt idx="131">
                  <c:v>-0.11064111090779223</c:v>
                </c:pt>
                <c:pt idx="132">
                  <c:v>-0.10933294553434823</c:v>
                </c:pt>
                <c:pt idx="133">
                  <c:v>-0.1059372967512157</c:v>
                </c:pt>
                <c:pt idx="134">
                  <c:v>-0.10440619669858413</c:v>
                </c:pt>
                <c:pt idx="135">
                  <c:v>-0.11026939646443776</c:v>
                </c:pt>
                <c:pt idx="136">
                  <c:v>-0.1109221771206432</c:v>
                </c:pt>
                <c:pt idx="137">
                  <c:v>-0.11352826929751395</c:v>
                </c:pt>
                <c:pt idx="138">
                  <c:v>-0.10356725749397637</c:v>
                </c:pt>
                <c:pt idx="139">
                  <c:v>-0.12130312120382793</c:v>
                </c:pt>
                <c:pt idx="140">
                  <c:v>-0.12501934947641599</c:v>
                </c:pt>
                <c:pt idx="141">
                  <c:v>-0.12276109835608402</c:v>
                </c:pt>
                <c:pt idx="142">
                  <c:v>-0.12812307365914524</c:v>
                </c:pt>
                <c:pt idx="143">
                  <c:v>-0.10829865304125141</c:v>
                </c:pt>
                <c:pt idx="144">
                  <c:v>-0.1099573199769657</c:v>
                </c:pt>
                <c:pt idx="145">
                  <c:v>-0.12108110039325218</c:v>
                </c:pt>
                <c:pt idx="146">
                  <c:v>-0.13040433057566855</c:v>
                </c:pt>
                <c:pt idx="147">
                  <c:v>-0.13058019893683767</c:v>
                </c:pt>
                <c:pt idx="148">
                  <c:v>-0.12444837096029805</c:v>
                </c:pt>
                <c:pt idx="149">
                  <c:v>-0.13354795555771742</c:v>
                </c:pt>
                <c:pt idx="150">
                  <c:v>-0.13873924008299215</c:v>
                </c:pt>
                <c:pt idx="151">
                  <c:v>-0.13116238761755433</c:v>
                </c:pt>
                <c:pt idx="152">
                  <c:v>-0.12728897127371483</c:v>
                </c:pt>
                <c:pt idx="153">
                  <c:v>-0.13589285300218618</c:v>
                </c:pt>
                <c:pt idx="154">
                  <c:v>-0.14310633186891694</c:v>
                </c:pt>
                <c:pt idx="155">
                  <c:v>-0.12979266885586785</c:v>
                </c:pt>
                <c:pt idx="156">
                  <c:v>-0.14378118935690812</c:v>
                </c:pt>
                <c:pt idx="157">
                  <c:v>-0.12745476608672032</c:v>
                </c:pt>
                <c:pt idx="158">
                  <c:v>-0.128620587986085</c:v>
                </c:pt>
                <c:pt idx="159">
                  <c:v>-0.13158422791997504</c:v>
                </c:pt>
                <c:pt idx="160">
                  <c:v>-0.11856167412715871</c:v>
                </c:pt>
                <c:pt idx="161">
                  <c:v>-0.12272004130824282</c:v>
                </c:pt>
                <c:pt idx="162">
                  <c:v>-0.13200603573214098</c:v>
                </c:pt>
                <c:pt idx="163">
                  <c:v>-0.13211916874899216</c:v>
                </c:pt>
                <c:pt idx="164">
                  <c:v>-0.10806182035300031</c:v>
                </c:pt>
                <c:pt idx="165">
                  <c:v>-8.8756713244621727E-2</c:v>
                </c:pt>
                <c:pt idx="166">
                  <c:v>-9.0478704413712641E-2</c:v>
                </c:pt>
                <c:pt idx="167">
                  <c:v>-0.10374418646854601</c:v>
                </c:pt>
                <c:pt idx="168">
                  <c:v>-0.10787910094520177</c:v>
                </c:pt>
                <c:pt idx="169">
                  <c:v>-0.10684223204383815</c:v>
                </c:pt>
                <c:pt idx="170">
                  <c:v>-0.10524356756366902</c:v>
                </c:pt>
                <c:pt idx="171">
                  <c:v>-0.10204405787355911</c:v>
                </c:pt>
                <c:pt idx="172">
                  <c:v>-0.11159663907558846</c:v>
                </c:pt>
                <c:pt idx="173">
                  <c:v>-0.10414646089902718</c:v>
                </c:pt>
                <c:pt idx="174">
                  <c:v>-9.9969419169939497E-2</c:v>
                </c:pt>
                <c:pt idx="175">
                  <c:v>-0.1129039222499395</c:v>
                </c:pt>
                <c:pt idx="176">
                  <c:v>-0.11725357478231388</c:v>
                </c:pt>
                <c:pt idx="177">
                  <c:v>-0.12802403694204031</c:v>
                </c:pt>
                <c:pt idx="178">
                  <c:v>-0.13747387916138382</c:v>
                </c:pt>
                <c:pt idx="179">
                  <c:v>-0.13873751612547833</c:v>
                </c:pt>
                <c:pt idx="180">
                  <c:v>-0.12440217453791572</c:v>
                </c:pt>
                <c:pt idx="181">
                  <c:v>-0.11918962936734201</c:v>
                </c:pt>
                <c:pt idx="182">
                  <c:v>-0.12095580519092776</c:v>
                </c:pt>
                <c:pt idx="183">
                  <c:v>-0.12456474670856528</c:v>
                </c:pt>
                <c:pt idx="184">
                  <c:v>-0.11773835616358773</c:v>
                </c:pt>
                <c:pt idx="185">
                  <c:v>-0.1245340428853675</c:v>
                </c:pt>
                <c:pt idx="186">
                  <c:v>-8.098224165927638E-2</c:v>
                </c:pt>
                <c:pt idx="187">
                  <c:v>-0.12239692233184947</c:v>
                </c:pt>
                <c:pt idx="188">
                  <c:v>-0.11569788557801815</c:v>
                </c:pt>
                <c:pt idx="189">
                  <c:v>-0.1145604423208995</c:v>
                </c:pt>
                <c:pt idx="190">
                  <c:v>-0.13322406569398607</c:v>
                </c:pt>
                <c:pt idx="191">
                  <c:v>-0.14700110661128646</c:v>
                </c:pt>
                <c:pt idx="192">
                  <c:v>-0.14291024333393657</c:v>
                </c:pt>
                <c:pt idx="193">
                  <c:v>-0.13168310390725874</c:v>
                </c:pt>
                <c:pt idx="194">
                  <c:v>-0.11995223801190506</c:v>
                </c:pt>
                <c:pt idx="195">
                  <c:v>-0.12203554255416636</c:v>
                </c:pt>
                <c:pt idx="196">
                  <c:v>-0.10529656727117907</c:v>
                </c:pt>
                <c:pt idx="197">
                  <c:v>-8.8774625998128076E-2</c:v>
                </c:pt>
                <c:pt idx="198">
                  <c:v>-0.1040724239444288</c:v>
                </c:pt>
                <c:pt idx="199">
                  <c:v>-0.11405449327615895</c:v>
                </c:pt>
                <c:pt idx="200">
                  <c:v>-0.10808190959949979</c:v>
                </c:pt>
                <c:pt idx="201">
                  <c:v>-0.1147414280666135</c:v>
                </c:pt>
                <c:pt idx="202">
                  <c:v>-0.11142042832814125</c:v>
                </c:pt>
                <c:pt idx="203">
                  <c:v>-0.11318350629257788</c:v>
                </c:pt>
                <c:pt idx="204">
                  <c:v>-0.1049884827502907</c:v>
                </c:pt>
                <c:pt idx="205">
                  <c:v>-8.834538241438343E-2</c:v>
                </c:pt>
                <c:pt idx="206">
                  <c:v>-0.10406559691140536</c:v>
                </c:pt>
                <c:pt idx="207">
                  <c:v>-0.10042180443941777</c:v>
                </c:pt>
                <c:pt idx="208">
                  <c:v>-0.10075033912582856</c:v>
                </c:pt>
                <c:pt idx="209">
                  <c:v>-0.10136951117729055</c:v>
                </c:pt>
                <c:pt idx="210">
                  <c:v>-0.10032594435452458</c:v>
                </c:pt>
                <c:pt idx="211">
                  <c:v>-9.8135691134118477E-2</c:v>
                </c:pt>
                <c:pt idx="212">
                  <c:v>-9.7575160226482632E-2</c:v>
                </c:pt>
                <c:pt idx="213">
                  <c:v>-0.10095337654274966</c:v>
                </c:pt>
                <c:pt idx="214">
                  <c:v>-0.10345980757107952</c:v>
                </c:pt>
                <c:pt idx="215">
                  <c:v>-0.10657031269310782</c:v>
                </c:pt>
                <c:pt idx="216">
                  <c:v>-0.10632000936581182</c:v>
                </c:pt>
                <c:pt idx="217">
                  <c:v>-0.10135061590787162</c:v>
                </c:pt>
                <c:pt idx="218">
                  <c:v>-0.10445719044302916</c:v>
                </c:pt>
                <c:pt idx="219">
                  <c:v>-0.10516458519477244</c:v>
                </c:pt>
                <c:pt idx="220">
                  <c:v>-0.10426471029802391</c:v>
                </c:pt>
                <c:pt idx="221">
                  <c:v>-9.9128235429493686E-2</c:v>
                </c:pt>
                <c:pt idx="222">
                  <c:v>-0.10061427586267341</c:v>
                </c:pt>
                <c:pt idx="223">
                  <c:v>-9.9159496963707891E-2</c:v>
                </c:pt>
                <c:pt idx="224">
                  <c:v>-9.6694254900677595E-2</c:v>
                </c:pt>
                <c:pt idx="225">
                  <c:v>-9.5750619122728156E-2</c:v>
                </c:pt>
                <c:pt idx="226">
                  <c:v>-8.7696170476641189E-2</c:v>
                </c:pt>
                <c:pt idx="227">
                  <c:v>-9.8698278755734545E-2</c:v>
                </c:pt>
                <c:pt idx="228">
                  <c:v>-0.10211312502906789</c:v>
                </c:pt>
                <c:pt idx="229">
                  <c:v>-0.1063662784808044</c:v>
                </c:pt>
                <c:pt idx="230">
                  <c:v>-0.1029667915168184</c:v>
                </c:pt>
                <c:pt idx="231">
                  <c:v>-0.10441819445194946</c:v>
                </c:pt>
                <c:pt idx="232">
                  <c:v>-0.10109994694284893</c:v>
                </c:pt>
                <c:pt idx="233">
                  <c:v>-0.10533848056498971</c:v>
                </c:pt>
                <c:pt idx="234">
                  <c:v>-0.10925978286602654</c:v>
                </c:pt>
                <c:pt idx="235">
                  <c:v>-0.10458738403406351</c:v>
                </c:pt>
                <c:pt idx="236">
                  <c:v>-0.1045579594412586</c:v>
                </c:pt>
                <c:pt idx="237">
                  <c:v>-0.10252294219963032</c:v>
                </c:pt>
                <c:pt idx="238">
                  <c:v>-9.9503105853660193E-2</c:v>
                </c:pt>
                <c:pt idx="239">
                  <c:v>-9.5481975123055229E-2</c:v>
                </c:pt>
                <c:pt idx="240">
                  <c:v>-9.7348134032886668E-2</c:v>
                </c:pt>
                <c:pt idx="241">
                  <c:v>-9.2773373361606654E-2</c:v>
                </c:pt>
                <c:pt idx="242">
                  <c:v>-9.9809260491783194E-2</c:v>
                </c:pt>
                <c:pt idx="243">
                  <c:v>-0.10048673880665922</c:v>
                </c:pt>
                <c:pt idx="244">
                  <c:v>-9.7829342491889709E-2</c:v>
                </c:pt>
                <c:pt idx="245">
                  <c:v>-9.3502855191564441E-2</c:v>
                </c:pt>
                <c:pt idx="246">
                  <c:v>-9.256849913986992E-2</c:v>
                </c:pt>
                <c:pt idx="247">
                  <c:v>-9.9958809900783568E-2</c:v>
                </c:pt>
                <c:pt idx="248">
                  <c:v>-9.330529380848511E-2</c:v>
                </c:pt>
                <c:pt idx="249">
                  <c:v>-7.6369773868422239E-2</c:v>
                </c:pt>
                <c:pt idx="250">
                  <c:v>-8.7971760341255686E-2</c:v>
                </c:pt>
                <c:pt idx="251">
                  <c:v>-8.5380624548895542E-2</c:v>
                </c:pt>
                <c:pt idx="252">
                  <c:v>-8.2401728430427951E-2</c:v>
                </c:pt>
                <c:pt idx="253">
                  <c:v>-8.4405409491547498E-2</c:v>
                </c:pt>
                <c:pt idx="254">
                  <c:v>-7.5019713563322488E-2</c:v>
                </c:pt>
                <c:pt idx="255">
                  <c:v>-7.4010636860311119E-2</c:v>
                </c:pt>
                <c:pt idx="256">
                  <c:v>-7.2679822890588913E-2</c:v>
                </c:pt>
                <c:pt idx="257">
                  <c:v>-7.1514352710306886E-2</c:v>
                </c:pt>
                <c:pt idx="258">
                  <c:v>-6.8880301446308842E-2</c:v>
                </c:pt>
                <c:pt idx="259">
                  <c:v>-6.9951530079282079E-2</c:v>
                </c:pt>
                <c:pt idx="260">
                  <c:v>-6.9395303405715827E-2</c:v>
                </c:pt>
                <c:pt idx="261">
                  <c:v>-6.6044430168419349E-2</c:v>
                </c:pt>
                <c:pt idx="262">
                  <c:v>-6.7819095218881978E-2</c:v>
                </c:pt>
                <c:pt idx="263">
                  <c:v>-6.7085926533217752E-2</c:v>
                </c:pt>
                <c:pt idx="264">
                  <c:v>-6.8315870591376629E-2</c:v>
                </c:pt>
                <c:pt idx="265">
                  <c:v>-6.7503613905699783E-2</c:v>
                </c:pt>
                <c:pt idx="266">
                  <c:v>-6.6837824173869062E-2</c:v>
                </c:pt>
                <c:pt idx="267">
                  <c:v>-6.5316305168076877E-2</c:v>
                </c:pt>
                <c:pt idx="268">
                  <c:v>-6.7204494592722541E-2</c:v>
                </c:pt>
                <c:pt idx="269">
                  <c:v>-5.9120192459844491E-2</c:v>
                </c:pt>
                <c:pt idx="270">
                  <c:v>-6.6399931803533638E-2</c:v>
                </c:pt>
                <c:pt idx="271">
                  <c:v>-6.5818220794304438E-2</c:v>
                </c:pt>
                <c:pt idx="272">
                  <c:v>-6.6236475466016631E-2</c:v>
                </c:pt>
                <c:pt idx="273">
                  <c:v>-6.613918522340656E-2</c:v>
                </c:pt>
                <c:pt idx="274">
                  <c:v>-6.4263004721085315E-2</c:v>
                </c:pt>
                <c:pt idx="275">
                  <c:v>-6.8892609293127294E-2</c:v>
                </c:pt>
                <c:pt idx="276">
                  <c:v>-7.0321767914267586E-2</c:v>
                </c:pt>
                <c:pt idx="277">
                  <c:v>-7.3159827825980198E-2</c:v>
                </c:pt>
                <c:pt idx="278">
                  <c:v>-7.2671323476908828E-2</c:v>
                </c:pt>
                <c:pt idx="279">
                  <c:v>-7.0255176899231123E-2</c:v>
                </c:pt>
                <c:pt idx="280">
                  <c:v>-7.5009041699231102E-2</c:v>
                </c:pt>
                <c:pt idx="281">
                  <c:v>-7.269973504259522E-2</c:v>
                </c:pt>
                <c:pt idx="282">
                  <c:v>-6.9576850745701191E-2</c:v>
                </c:pt>
                <c:pt idx="283">
                  <c:v>-7.2348018553238566E-2</c:v>
                </c:pt>
                <c:pt idx="284">
                  <c:v>-6.8957579290452861E-2</c:v>
                </c:pt>
                <c:pt idx="285">
                  <c:v>-7.1341423022270117E-2</c:v>
                </c:pt>
                <c:pt idx="286">
                  <c:v>-6.8910004502191341E-2</c:v>
                </c:pt>
                <c:pt idx="287">
                  <c:v>-6.6924969007915447E-2</c:v>
                </c:pt>
                <c:pt idx="288">
                  <c:v>-6.3470019809946362E-2</c:v>
                </c:pt>
                <c:pt idx="289">
                  <c:v>-7.686212670972431E-2</c:v>
                </c:pt>
                <c:pt idx="290">
                  <c:v>-8.3911754465281901E-2</c:v>
                </c:pt>
                <c:pt idx="291">
                  <c:v>-8.3740384888417604E-2</c:v>
                </c:pt>
                <c:pt idx="292">
                  <c:v>-8.6519589447850487E-2</c:v>
                </c:pt>
                <c:pt idx="293">
                  <c:v>-8.565595339841521E-2</c:v>
                </c:pt>
                <c:pt idx="294">
                  <c:v>-8.1272290382252088E-2</c:v>
                </c:pt>
                <c:pt idx="295">
                  <c:v>-8.795741818983227E-2</c:v>
                </c:pt>
                <c:pt idx="296">
                  <c:v>-8.2255042692517336E-2</c:v>
                </c:pt>
                <c:pt idx="297">
                  <c:v>-8.3851952601836477E-2</c:v>
                </c:pt>
                <c:pt idx="298">
                  <c:v>-8.4116932987429449E-2</c:v>
                </c:pt>
                <c:pt idx="299">
                  <c:v>-8.5801893800034987E-2</c:v>
                </c:pt>
                <c:pt idx="300">
                  <c:v>-8.4006042566873301E-2</c:v>
                </c:pt>
                <c:pt idx="301">
                  <c:v>-8.1849879143511772E-2</c:v>
                </c:pt>
                <c:pt idx="302">
                  <c:v>-8.0270094248141841E-2</c:v>
                </c:pt>
                <c:pt idx="303">
                  <c:v>-7.850505361168196E-2</c:v>
                </c:pt>
                <c:pt idx="304">
                  <c:v>-8.3926282323645254E-2</c:v>
                </c:pt>
                <c:pt idx="305">
                  <c:v>-8.2613053451005336E-2</c:v>
                </c:pt>
                <c:pt idx="306">
                  <c:v>-8.1647288801348403E-2</c:v>
                </c:pt>
                <c:pt idx="307">
                  <c:v>-8.4848332506778326E-2</c:v>
                </c:pt>
                <c:pt idx="308">
                  <c:v>-8.5930769094825221E-2</c:v>
                </c:pt>
                <c:pt idx="309">
                  <c:v>-8.5329515020563559E-2</c:v>
                </c:pt>
                <c:pt idx="310">
                  <c:v>-8.3453626612868481E-2</c:v>
                </c:pt>
                <c:pt idx="311">
                  <c:v>-8.1784908444746979E-2</c:v>
                </c:pt>
                <c:pt idx="312">
                  <c:v>-7.9987803609961064E-2</c:v>
                </c:pt>
                <c:pt idx="313">
                  <c:v>-7.9881527149348416E-2</c:v>
                </c:pt>
                <c:pt idx="314">
                  <c:v>-7.7738326276297703E-2</c:v>
                </c:pt>
                <c:pt idx="315">
                  <c:v>-7.7506162557207589E-2</c:v>
                </c:pt>
                <c:pt idx="316">
                  <c:v>-7.492832559546149E-2</c:v>
                </c:pt>
                <c:pt idx="317">
                  <c:v>-7.6995684957542929E-2</c:v>
                </c:pt>
                <c:pt idx="318">
                  <c:v>-7.8474430844448467E-2</c:v>
                </c:pt>
                <c:pt idx="319">
                  <c:v>-7.3872423662538822E-2</c:v>
                </c:pt>
                <c:pt idx="320">
                  <c:v>-7.4212964655673772E-2</c:v>
                </c:pt>
                <c:pt idx="321">
                  <c:v>-7.5520799244151254E-2</c:v>
                </c:pt>
                <c:pt idx="322">
                  <c:v>-7.2618048135122085E-2</c:v>
                </c:pt>
                <c:pt idx="323">
                  <c:v>-7.0046048889582838E-2</c:v>
                </c:pt>
                <c:pt idx="324">
                  <c:v>-6.7799503180482834E-2</c:v>
                </c:pt>
                <c:pt idx="325">
                  <c:v>-7.0853008082012031E-2</c:v>
                </c:pt>
                <c:pt idx="326">
                  <c:v>-7.0624119111740422E-2</c:v>
                </c:pt>
                <c:pt idx="327">
                  <c:v>-6.9155584248590238E-2</c:v>
                </c:pt>
                <c:pt idx="328">
                  <c:v>-7.0787593618764313E-2</c:v>
                </c:pt>
                <c:pt idx="329">
                  <c:v>-7.1662494803237317E-2</c:v>
                </c:pt>
                <c:pt idx="330">
                  <c:v>-6.6882259685433293E-2</c:v>
                </c:pt>
                <c:pt idx="331">
                  <c:v>-6.1470724751800161E-2</c:v>
                </c:pt>
                <c:pt idx="332">
                  <c:v>-5.7144598321586824E-2</c:v>
                </c:pt>
                <c:pt idx="333">
                  <c:v>-6.2941531092797876E-2</c:v>
                </c:pt>
                <c:pt idx="334">
                  <c:v>-6.9618992668787683E-2</c:v>
                </c:pt>
                <c:pt idx="335">
                  <c:v>-7.605267949786948E-2</c:v>
                </c:pt>
                <c:pt idx="336">
                  <c:v>-7.4375945839574839E-2</c:v>
                </c:pt>
                <c:pt idx="337">
                  <c:v>-5.2479618452344882E-2</c:v>
                </c:pt>
                <c:pt idx="338">
                  <c:v>-7.3098288798035135E-2</c:v>
                </c:pt>
                <c:pt idx="339">
                  <c:v>-6.9260511047235074E-2</c:v>
                </c:pt>
                <c:pt idx="340">
                  <c:v>-7.8602497755730014E-2</c:v>
                </c:pt>
                <c:pt idx="341">
                  <c:v>-7.8681043832163289E-2</c:v>
                </c:pt>
                <c:pt idx="342">
                  <c:v>-7.6660025317667024E-2</c:v>
                </c:pt>
                <c:pt idx="343">
                  <c:v>-7.8822555575219014E-2</c:v>
                </c:pt>
                <c:pt idx="344">
                  <c:v>-8.056740848459322E-2</c:v>
                </c:pt>
                <c:pt idx="345">
                  <c:v>-8.2201408920623303E-2</c:v>
                </c:pt>
                <c:pt idx="346">
                  <c:v>-8.2618135580009022E-2</c:v>
                </c:pt>
                <c:pt idx="347">
                  <c:v>-8.3420961183379702E-2</c:v>
                </c:pt>
                <c:pt idx="348">
                  <c:v>-8.166382468247757E-2</c:v>
                </c:pt>
                <c:pt idx="349">
                  <c:v>-8.1286004095077233E-2</c:v>
                </c:pt>
                <c:pt idx="350">
                  <c:v>-7.912095222289757E-2</c:v>
                </c:pt>
                <c:pt idx="351">
                  <c:v>-7.5063314745315191E-2</c:v>
                </c:pt>
                <c:pt idx="352">
                  <c:v>-7.3653330368476502E-2</c:v>
                </c:pt>
                <c:pt idx="353">
                  <c:v>-7.9040689486395574E-2</c:v>
                </c:pt>
                <c:pt idx="354">
                  <c:v>-7.9932652115952713E-2</c:v>
                </c:pt>
                <c:pt idx="355">
                  <c:v>-7.8744414983199687E-2</c:v>
                </c:pt>
                <c:pt idx="356">
                  <c:v>-8.5243559511388733E-2</c:v>
                </c:pt>
                <c:pt idx="357">
                  <c:v>-8.7211407542206992E-2</c:v>
                </c:pt>
                <c:pt idx="358">
                  <c:v>-9.2800114908092243E-2</c:v>
                </c:pt>
                <c:pt idx="359">
                  <c:v>-9.3290549923867247E-2</c:v>
                </c:pt>
                <c:pt idx="360">
                  <c:v>-8.8302281206916425E-2</c:v>
                </c:pt>
                <c:pt idx="361">
                  <c:v>-9.2444267162888644E-2</c:v>
                </c:pt>
                <c:pt idx="362">
                  <c:v>-9.6288768002537231E-2</c:v>
                </c:pt>
                <c:pt idx="363">
                  <c:v>-9.6099838696919848E-2</c:v>
                </c:pt>
                <c:pt idx="364">
                  <c:v>-9.6128348446733763E-2</c:v>
                </c:pt>
                <c:pt idx="365">
                  <c:v>-8.979239172214179E-2</c:v>
                </c:pt>
                <c:pt idx="366">
                  <c:v>-8.289530328523341E-2</c:v>
                </c:pt>
                <c:pt idx="367">
                  <c:v>-8.1581641688798251E-2</c:v>
                </c:pt>
                <c:pt idx="368">
                  <c:v>-8.4544434807501539E-2</c:v>
                </c:pt>
                <c:pt idx="369">
                  <c:v>-8.6988345621901539E-2</c:v>
                </c:pt>
                <c:pt idx="370">
                  <c:v>-8.8238265199963653E-2</c:v>
                </c:pt>
                <c:pt idx="371">
                  <c:v>-8.6020159754434944E-2</c:v>
                </c:pt>
                <c:pt idx="372">
                  <c:v>-8.2622276411700474E-2</c:v>
                </c:pt>
                <c:pt idx="373">
                  <c:v>-8.548611338926046E-2</c:v>
                </c:pt>
                <c:pt idx="374">
                  <c:v>-7.5560078288148161E-2</c:v>
                </c:pt>
                <c:pt idx="375">
                  <c:v>-9.1954902309307585E-2</c:v>
                </c:pt>
                <c:pt idx="376">
                  <c:v>-9.5351209333868994E-2</c:v>
                </c:pt>
                <c:pt idx="377">
                  <c:v>-9.6686201609087655E-2</c:v>
                </c:pt>
                <c:pt idx="378">
                  <c:v>-9.6543169601509493E-2</c:v>
                </c:pt>
                <c:pt idx="379">
                  <c:v>-9.6085205305549343E-2</c:v>
                </c:pt>
                <c:pt idx="380">
                  <c:v>-9.8513173498003911E-2</c:v>
                </c:pt>
                <c:pt idx="381">
                  <c:v>-9.3853014522424422E-2</c:v>
                </c:pt>
                <c:pt idx="382">
                  <c:v>-9.177394799886078E-2</c:v>
                </c:pt>
                <c:pt idx="383">
                  <c:v>-8.8847169523645561E-2</c:v>
                </c:pt>
                <c:pt idx="384">
                  <c:v>-9.0094521924324308E-2</c:v>
                </c:pt>
                <c:pt idx="385">
                  <c:v>-8.9694335302390404E-2</c:v>
                </c:pt>
                <c:pt idx="386">
                  <c:v>-9.0478613813967129E-2</c:v>
                </c:pt>
                <c:pt idx="387">
                  <c:v>-9.0842976353891658E-2</c:v>
                </c:pt>
                <c:pt idx="388">
                  <c:v>-9.0545795008557972E-2</c:v>
                </c:pt>
                <c:pt idx="389">
                  <c:v>-9.2097418015255922E-2</c:v>
                </c:pt>
                <c:pt idx="390">
                  <c:v>-9.2862660509934539E-2</c:v>
                </c:pt>
                <c:pt idx="391">
                  <c:v>-8.8935776502621272E-2</c:v>
                </c:pt>
                <c:pt idx="392">
                  <c:v>-8.688939602895987E-2</c:v>
                </c:pt>
                <c:pt idx="393">
                  <c:v>-8.0948277089917128E-2</c:v>
                </c:pt>
                <c:pt idx="394">
                  <c:v>-7.9471046109933191E-2</c:v>
                </c:pt>
                <c:pt idx="395">
                  <c:v>-6.6624043337275882E-2</c:v>
                </c:pt>
                <c:pt idx="396">
                  <c:v>-7.1383884969124428E-2</c:v>
                </c:pt>
                <c:pt idx="397">
                  <c:v>-7.0145242416101622E-2</c:v>
                </c:pt>
                <c:pt idx="398">
                  <c:v>-6.8772434713712582E-2</c:v>
                </c:pt>
                <c:pt idx="399">
                  <c:v>-6.6564360270133946E-2</c:v>
                </c:pt>
                <c:pt idx="400">
                  <c:v>-7.0016625128131851E-2</c:v>
                </c:pt>
                <c:pt idx="401">
                  <c:v>-6.3252825494717474E-2</c:v>
                </c:pt>
                <c:pt idx="402">
                  <c:v>-4.7912015235084503E-2</c:v>
                </c:pt>
                <c:pt idx="403">
                  <c:v>-5.1081993493243077E-2</c:v>
                </c:pt>
                <c:pt idx="404">
                  <c:v>-4.0690570122227702E-2</c:v>
                </c:pt>
                <c:pt idx="405">
                  <c:v>-3.4514754962793208E-2</c:v>
                </c:pt>
                <c:pt idx="406">
                  <c:v>-3.5574523904759875E-2</c:v>
                </c:pt>
                <c:pt idx="407">
                  <c:v>-2.6007229190474167E-2</c:v>
                </c:pt>
                <c:pt idx="408">
                  <c:v>-2.2460101476501564E-2</c:v>
                </c:pt>
                <c:pt idx="409">
                  <c:v>-1.4803776008816334E-2</c:v>
                </c:pt>
                <c:pt idx="410">
                  <c:v>-7.0255168500065503E-3</c:v>
                </c:pt>
                <c:pt idx="411">
                  <c:v>-2.2586918630311092E-2</c:v>
                </c:pt>
                <c:pt idx="412">
                  <c:v>-3.1122397568968667E-2</c:v>
                </c:pt>
                <c:pt idx="413">
                  <c:v>-2.1936840762205347E-2</c:v>
                </c:pt>
                <c:pt idx="414">
                  <c:v>-8.4974466275351945E-3</c:v>
                </c:pt>
                <c:pt idx="415">
                  <c:v>-8.0143098733278829E-3</c:v>
                </c:pt>
                <c:pt idx="416">
                  <c:v>2.8920306554366747E-2</c:v>
                </c:pt>
                <c:pt idx="417">
                  <c:v>-3.7119726047494263E-3</c:v>
                </c:pt>
                <c:pt idx="418">
                  <c:v>-1.1761524075935857E-2</c:v>
                </c:pt>
                <c:pt idx="419">
                  <c:v>-1.6609400077278139E-2</c:v>
                </c:pt>
                <c:pt idx="420">
                  <c:v>-6.0609318606857157E-3</c:v>
                </c:pt>
                <c:pt idx="421">
                  <c:v>-1.3569100366285697E-2</c:v>
                </c:pt>
                <c:pt idx="422">
                  <c:v>-2.2646825627020441E-2</c:v>
                </c:pt>
                <c:pt idx="423">
                  <c:v>-1.8923795830356933E-2</c:v>
                </c:pt>
                <c:pt idx="424">
                  <c:v>-8.0297856949007509E-3</c:v>
                </c:pt>
                <c:pt idx="425">
                  <c:v>-3.8548419902664026E-3</c:v>
                </c:pt>
                <c:pt idx="426">
                  <c:v>-1.6284955229123984E-2</c:v>
                </c:pt>
                <c:pt idx="427">
                  <c:v>-2.6183730700419038E-2</c:v>
                </c:pt>
                <c:pt idx="428">
                  <c:v>-2.3903860824709907E-2</c:v>
                </c:pt>
                <c:pt idx="429">
                  <c:v>-2.1467163320915725E-2</c:v>
                </c:pt>
                <c:pt idx="430">
                  <c:v>-1.3188860162035231E-2</c:v>
                </c:pt>
                <c:pt idx="431">
                  <c:v>-2.3409299227768379E-2</c:v>
                </c:pt>
                <c:pt idx="432">
                  <c:v>-2.1184606791678141E-2</c:v>
                </c:pt>
                <c:pt idx="433">
                  <c:v>-1.3000827860267459E-2</c:v>
                </c:pt>
                <c:pt idx="434">
                  <c:v>1.4184609457051098E-3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99C-41CC-A8F0-3E1401E086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28099312"/>
        <c:axId val="828100560"/>
      </c:lineChart>
      <c:dateAx>
        <c:axId val="82809931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8100560"/>
        <c:crosses val="autoZero"/>
        <c:auto val="1"/>
        <c:lblOffset val="100"/>
        <c:baseTimeUnit val="days"/>
      </c:dateAx>
      <c:valAx>
        <c:axId val="828100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8099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8A5EDAD-9D95-4F60-A91B-DA721E04509D}">
  <sheetPr codeName="Chart1"/>
  <sheetViews>
    <sheetView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2338" cy="607373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94E659F-37DE-493F-A791-2027328F962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44.3992</v>
      </c>
      <c r="D2" s="4">
        <f>MIN(D3:D1912)</f>
        <v>1.3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7</v>
      </c>
      <c r="N4" t="s">
        <v>7</v>
      </c>
    </row>
    <row r="5" spans="1:20" x14ac:dyDescent="0.25">
      <c r="A5" s="5">
        <v>44588</v>
      </c>
      <c r="B5">
        <v>5.1189999999999998</v>
      </c>
      <c r="C5">
        <v>5.1779999999999999</v>
      </c>
      <c r="D5">
        <v>4.9610000000000003</v>
      </c>
      <c r="E5">
        <v>4.9619999999999997</v>
      </c>
      <c r="F5">
        <v>172619.3</v>
      </c>
      <c r="G5">
        <v>4.9619999999999997</v>
      </c>
      <c r="L5" t="s">
        <v>7</v>
      </c>
      <c r="M5" t="s">
        <v>7</v>
      </c>
      <c r="N5" t="s">
        <v>7</v>
      </c>
      <c r="P5">
        <f t="shared" ref="P5" si="0">IF(C5=D5,0,((E5-D5)-(C5-E5))/(C5-D5))</f>
        <v>-0.99078341013825399</v>
      </c>
      <c r="Q5">
        <f t="shared" ref="Q5" si="1">F5*P5</f>
        <v>-171028.3387096783</v>
      </c>
      <c r="R5">
        <f t="shared" ref="R5" si="2">R6+Q5</f>
        <v>-24071404.386108112</v>
      </c>
      <c r="S5">
        <f t="shared" ref="S5" si="3">R5/100000</f>
        <v>-240.71404386108111</v>
      </c>
      <c r="T5">
        <f t="shared" ref="T5" si="4">S5/1000</f>
        <v>-0.24071404386108111</v>
      </c>
    </row>
    <row r="6" spans="1:20" x14ac:dyDescent="0.25">
      <c r="A6" s="5">
        <v>44587</v>
      </c>
      <c r="B6">
        <v>5.7590000000000003</v>
      </c>
      <c r="C6">
        <v>5.8780000000000001</v>
      </c>
      <c r="D6">
        <v>5.01</v>
      </c>
      <c r="E6">
        <v>5.1210000000000004</v>
      </c>
      <c r="F6">
        <v>3497253.5</v>
      </c>
      <c r="G6">
        <v>5.1210000000000004</v>
      </c>
      <c r="L6" t="s">
        <v>7</v>
      </c>
      <c r="M6" t="s">
        <v>7</v>
      </c>
      <c r="N6" t="s">
        <v>7</v>
      </c>
      <c r="P6">
        <f t="shared" ref="P6" si="5">IF(C6=D6,0,((E6-D6)-(C6-E6))/(C6-D6))</f>
        <v>-0.74423963133640414</v>
      </c>
      <c r="Q6">
        <f t="shared" ref="Q6" si="6">F6*P6</f>
        <v>-2602794.6555299489</v>
      </c>
      <c r="R6">
        <f t="shared" ref="R6" si="7">R7+Q6</f>
        <v>-23900376.047398433</v>
      </c>
      <c r="S6">
        <f t="shared" ref="S6" si="8">R6/100000</f>
        <v>-239.00376047398433</v>
      </c>
      <c r="T6">
        <f t="shared" ref="T6" si="9">S6/1000</f>
        <v>-0.23900376047398433</v>
      </c>
    </row>
    <row r="7" spans="1:20" x14ac:dyDescent="0.25">
      <c r="A7" s="5">
        <v>44586</v>
      </c>
      <c r="B7">
        <v>6.0970000000000004</v>
      </c>
      <c r="C7">
        <v>6.6</v>
      </c>
      <c r="D7">
        <v>5.6029999999999998</v>
      </c>
      <c r="E7">
        <v>5.7610000000000001</v>
      </c>
      <c r="F7">
        <v>4169150.5</v>
      </c>
      <c r="G7">
        <v>5.7610000000000001</v>
      </c>
      <c r="L7" t="s">
        <v>7</v>
      </c>
      <c r="M7" t="s">
        <v>7</v>
      </c>
      <c r="N7" t="s">
        <v>8</v>
      </c>
      <c r="P7">
        <f t="shared" ref="P7" si="10">IF(C7=D7,0,((E7-D7)-(C7-E7))/(C7-D7))</f>
        <v>-0.68304914744232625</v>
      </c>
      <c r="Q7">
        <f t="shared" ref="Q7" si="11">F7*P7</f>
        <v>-2847734.694583748</v>
      </c>
      <c r="R7">
        <f t="shared" ref="R7" si="12">R8+Q7</f>
        <v>-21297581.391868483</v>
      </c>
      <c r="S7">
        <f t="shared" ref="S7" si="13">R7/100000</f>
        <v>-212.97581391868482</v>
      </c>
      <c r="T7">
        <f t="shared" ref="T7" si="14">S7/1000</f>
        <v>-0.21297581391868481</v>
      </c>
    </row>
    <row r="8" spans="1:20" x14ac:dyDescent="0.25">
      <c r="A8" s="5">
        <v>44585</v>
      </c>
      <c r="B8">
        <v>5.1920000000000002</v>
      </c>
      <c r="C8">
        <v>6.85</v>
      </c>
      <c r="D8">
        <v>4.2789999999999999</v>
      </c>
      <c r="E8">
        <v>6.0979999999999999</v>
      </c>
      <c r="F8">
        <v>7513367.5</v>
      </c>
      <c r="G8">
        <v>6.0979999999999999</v>
      </c>
      <c r="L8" t="s">
        <v>8</v>
      </c>
      <c r="M8" t="s">
        <v>8</v>
      </c>
      <c r="N8" t="s">
        <v>8</v>
      </c>
      <c r="P8">
        <f t="shared" ref="P8" si="15">IF(C8=D8,0,((E8-D8)-(C8-E8))/(C8-D8))</f>
        <v>0.41501361338000786</v>
      </c>
      <c r="Q8">
        <f t="shared" ref="Q8" si="16">F8*P8</f>
        <v>3118149.7948269164</v>
      </c>
      <c r="R8">
        <f t="shared" ref="R8" si="17">R9+Q8</f>
        <v>-18449846.697284736</v>
      </c>
      <c r="S8">
        <f t="shared" ref="S8" si="18">R8/100000</f>
        <v>-184.49846697284735</v>
      </c>
      <c r="T8">
        <f t="shared" ref="T8" si="19">S8/1000</f>
        <v>-0.18449846697284736</v>
      </c>
    </row>
    <row r="9" spans="1:20" x14ac:dyDescent="0.25">
      <c r="A9" s="5">
        <v>44584</v>
      </c>
      <c r="B9">
        <v>5.016</v>
      </c>
      <c r="C9">
        <v>5.3230000000000004</v>
      </c>
      <c r="D9">
        <v>4.9020000000000001</v>
      </c>
      <c r="E9">
        <v>5.2089999999999996</v>
      </c>
      <c r="F9">
        <v>1600504.9</v>
      </c>
      <c r="G9">
        <v>5.2089999999999996</v>
      </c>
      <c r="L9" t="s">
        <v>8</v>
      </c>
      <c r="M9" t="s">
        <v>8</v>
      </c>
      <c r="N9" t="s">
        <v>7</v>
      </c>
      <c r="P9">
        <f t="shared" ref="P9" si="20">IF(C9=D9,0,((E9-D9)-(C9-E9))/(C9-D9))</f>
        <v>0.45843230403800145</v>
      </c>
      <c r="Q9">
        <f t="shared" ref="Q9" si="21">F9*P9</f>
        <v>733723.14893111109</v>
      </c>
      <c r="R9">
        <f t="shared" ref="R9" si="22">R10+Q9</f>
        <v>-21567996.492111653</v>
      </c>
      <c r="S9">
        <f t="shared" ref="S9" si="23">R9/100000</f>
        <v>-215.67996492111652</v>
      </c>
      <c r="T9">
        <f t="shared" ref="T9" si="24">S9/1000</f>
        <v>-0.21567996492111652</v>
      </c>
    </row>
    <row r="10" spans="1:20" x14ac:dyDescent="0.25">
      <c r="A10" s="5">
        <v>44583</v>
      </c>
      <c r="B10">
        <v>5.702</v>
      </c>
      <c r="C10">
        <v>5.8540000000000001</v>
      </c>
      <c r="D10">
        <v>4.5170000000000003</v>
      </c>
      <c r="E10">
        <v>5.0209999999999999</v>
      </c>
      <c r="F10">
        <v>2363776.1</v>
      </c>
      <c r="G10">
        <v>5.0209999999999999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-0.24607329842931988</v>
      </c>
      <c r="Q10">
        <f t="shared" ref="Q10" si="26">F10*P10</f>
        <v>-581662.18167539395</v>
      </c>
      <c r="R10">
        <f t="shared" ref="R10" si="27">R11+Q10</f>
        <v>-22301719.641042765</v>
      </c>
      <c r="S10">
        <f t="shared" ref="S10" si="28">R10/100000</f>
        <v>-223.01719641042766</v>
      </c>
      <c r="T10">
        <f t="shared" ref="T10" si="29">S10/1000</f>
        <v>-0.22301719641042766</v>
      </c>
    </row>
    <row r="11" spans="1:20" x14ac:dyDescent="0.25">
      <c r="A11" s="5">
        <v>44582</v>
      </c>
      <c r="B11">
        <v>6.6280000000000001</v>
      </c>
      <c r="C11">
        <v>6.6929999999999996</v>
      </c>
      <c r="D11">
        <v>5.516</v>
      </c>
      <c r="E11">
        <v>5.7030000000000003</v>
      </c>
      <c r="F11">
        <v>1521007.9210000001</v>
      </c>
      <c r="G11">
        <v>5.7030000000000003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-0.68224299065420502</v>
      </c>
      <c r="Q11">
        <f t="shared" ref="Q11" si="31">F11*P11</f>
        <v>-1037696.9928317749</v>
      </c>
      <c r="R11">
        <f t="shared" ref="R11" si="32">R12+Q11</f>
        <v>-21720057.459367372</v>
      </c>
      <c r="S11">
        <f t="shared" ref="S11" si="33">R11/100000</f>
        <v>-217.20057459367371</v>
      </c>
      <c r="T11">
        <f t="shared" ref="T11" si="34">S11/1000</f>
        <v>-0.2172005745936737</v>
      </c>
    </row>
    <row r="12" spans="1:20" x14ac:dyDescent="0.25">
      <c r="A12" s="5">
        <v>44581</v>
      </c>
      <c r="B12">
        <v>6.8929999999999998</v>
      </c>
      <c r="C12">
        <v>7.3540000000000001</v>
      </c>
      <c r="D12">
        <v>6.585</v>
      </c>
      <c r="E12">
        <v>6.6440000000000001</v>
      </c>
      <c r="F12">
        <v>789203.1</v>
      </c>
      <c r="G12">
        <v>6.6440000000000001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-0.84655396618985657</v>
      </c>
      <c r="Q12">
        <f t="shared" ref="Q12" si="36">F12*P12</f>
        <v>-668103.01443432993</v>
      </c>
      <c r="R12">
        <f t="shared" ref="R12" si="37">R13+Q12</f>
        <v>-20682360.466535598</v>
      </c>
      <c r="S12">
        <f t="shared" ref="S12" si="38">R12/100000</f>
        <v>-206.82360466535599</v>
      </c>
      <c r="T12">
        <f t="shared" ref="T12" si="39">S12/1000</f>
        <v>-0.20682360466535599</v>
      </c>
    </row>
    <row r="13" spans="1:20" x14ac:dyDescent="0.25">
      <c r="A13" s="5">
        <v>44580</v>
      </c>
      <c r="B13">
        <v>7.101</v>
      </c>
      <c r="C13">
        <v>7.4509999999999996</v>
      </c>
      <c r="D13">
        <v>6.7409999999999997</v>
      </c>
      <c r="E13">
        <v>6.8890000000000002</v>
      </c>
      <c r="F13">
        <v>1137347.2</v>
      </c>
      <c r="G13">
        <v>6.8890000000000002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-0.58309859154929411</v>
      </c>
      <c r="Q13">
        <f t="shared" ref="Q13" si="41">F13*P13</f>
        <v>-663185.5504225333</v>
      </c>
      <c r="R13">
        <f t="shared" ref="R13" si="42">R14+Q13</f>
        <v>-20014257.452101268</v>
      </c>
      <c r="S13">
        <f t="shared" ref="S13" si="43">R13/100000</f>
        <v>-200.14257452101268</v>
      </c>
      <c r="T13">
        <f t="shared" ref="T13" si="44">S13/1000</f>
        <v>-0.20014257452101267</v>
      </c>
    </row>
    <row r="14" spans="1:20" x14ac:dyDescent="0.25">
      <c r="A14" s="5">
        <v>44579</v>
      </c>
      <c r="B14">
        <v>7.5430000000000001</v>
      </c>
      <c r="C14">
        <v>7.6970000000000001</v>
      </c>
      <c r="D14">
        <v>6.9379999999999997</v>
      </c>
      <c r="E14">
        <v>7.0990000000000002</v>
      </c>
      <c r="F14">
        <v>878191.1</v>
      </c>
      <c r="G14">
        <v>7.0990000000000002</v>
      </c>
      <c r="L14" t="s">
        <v>7</v>
      </c>
      <c r="M14" t="s">
        <v>7</v>
      </c>
      <c r="N14" t="s">
        <v>7</v>
      </c>
      <c r="P14">
        <f t="shared" ref="P14" si="45">IF(C14=D14,0,((E14-D14)-(C14-E14))/(C14-D14))</f>
        <v>-0.57575757575757469</v>
      </c>
      <c r="Q14">
        <f t="shared" ref="Q14" si="46">F14*P14</f>
        <v>-505625.17878787784</v>
      </c>
      <c r="R14">
        <f t="shared" ref="R14" si="47">R15+Q14</f>
        <v>-19351071.901678734</v>
      </c>
      <c r="S14">
        <f t="shared" ref="S14" si="48">R14/100000</f>
        <v>-193.51071901678733</v>
      </c>
      <c r="T14">
        <f t="shared" ref="T14" si="49">S14/1000</f>
        <v>-0.19351071901678735</v>
      </c>
    </row>
    <row r="15" spans="1:20" x14ac:dyDescent="0.25">
      <c r="A15" s="5">
        <v>44578</v>
      </c>
      <c r="B15">
        <v>7.3810000000000002</v>
      </c>
      <c r="C15">
        <v>7.6959999999999997</v>
      </c>
      <c r="D15">
        <v>7.16</v>
      </c>
      <c r="E15">
        <v>7.5339999999999998</v>
      </c>
      <c r="F15">
        <v>1251115.3</v>
      </c>
      <c r="G15">
        <v>7.5339999999999998</v>
      </c>
      <c r="L15" t="s">
        <v>8</v>
      </c>
      <c r="M15" t="s">
        <v>8</v>
      </c>
      <c r="N15" t="s">
        <v>7</v>
      </c>
      <c r="P15">
        <f t="shared" ref="P15" si="50">IF(C15=D15,0,((E15-D15)-(C15-E15))/(C15-D15))</f>
        <v>0.3955223880597013</v>
      </c>
      <c r="Q15">
        <f t="shared" ref="Q15" si="51">F15*P15</f>
        <v>494844.11119402963</v>
      </c>
      <c r="R15">
        <f t="shared" ref="R15" si="52">R16+Q15</f>
        <v>-18845446.722890854</v>
      </c>
      <c r="S15">
        <f t="shared" ref="S15" si="53">R15/100000</f>
        <v>-188.45446722890853</v>
      </c>
      <c r="T15">
        <f t="shared" ref="T15" si="54">S15/1000</f>
        <v>-0.18845446722890852</v>
      </c>
    </row>
    <row r="16" spans="1:20" x14ac:dyDescent="0.25">
      <c r="A16" s="5">
        <v>44577</v>
      </c>
      <c r="B16">
        <v>7.3780000000000001</v>
      </c>
      <c r="C16">
        <v>7.4649999999999999</v>
      </c>
      <c r="D16">
        <v>7.14</v>
      </c>
      <c r="E16">
        <v>7.3840000000000003</v>
      </c>
      <c r="F16">
        <v>524151.5</v>
      </c>
      <c r="G16">
        <v>7.3840000000000003</v>
      </c>
      <c r="L16" t="s">
        <v>7</v>
      </c>
      <c r="M16" t="s">
        <v>8</v>
      </c>
      <c r="N16" t="s">
        <v>7</v>
      </c>
      <c r="P16">
        <f t="shared" ref="P16" si="55">IF(C16=D16,0,((E16-D16)-(C16-E16))/(C16-D16))</f>
        <v>0.50153846153846482</v>
      </c>
      <c r="Q16">
        <f t="shared" ref="Q16" si="56">F16*P16</f>
        <v>262882.13692307862</v>
      </c>
      <c r="R16">
        <f t="shared" ref="R16" si="57">R17+Q16</f>
        <v>-19340290.834084883</v>
      </c>
      <c r="S16">
        <f t="shared" ref="S16" si="58">R16/100000</f>
        <v>-193.40290834084882</v>
      </c>
      <c r="T16">
        <f t="shared" ref="T16" si="59">S16/1000</f>
        <v>-0.19340290834084883</v>
      </c>
    </row>
    <row r="17" spans="1:20" x14ac:dyDescent="0.25">
      <c r="A17" s="5">
        <v>44576</v>
      </c>
      <c r="B17">
        <v>7.5490000000000004</v>
      </c>
      <c r="C17">
        <v>7.84</v>
      </c>
      <c r="D17">
        <v>7.3609999999999998</v>
      </c>
      <c r="E17">
        <v>7.38</v>
      </c>
      <c r="F17">
        <v>739145.4</v>
      </c>
      <c r="G17">
        <v>7.38</v>
      </c>
      <c r="L17" t="s">
        <v>8</v>
      </c>
      <c r="M17" t="s">
        <v>8</v>
      </c>
      <c r="N17" t="s">
        <v>7</v>
      </c>
      <c r="P17">
        <f t="shared" ref="P17" si="60">IF(C17=D17,0,((E17-D17)-(C17-E17))/(C17-D17))</f>
        <v>-0.92066805845511435</v>
      </c>
      <c r="Q17">
        <f t="shared" ref="Q17" si="61">F17*P17</f>
        <v>-680507.56033402891</v>
      </c>
      <c r="R17">
        <f t="shared" ref="R17" si="62">R18+Q17</f>
        <v>-19603172.971007962</v>
      </c>
      <c r="S17">
        <f t="shared" ref="S17" si="63">R17/100000</f>
        <v>-196.03172971007962</v>
      </c>
      <c r="T17">
        <f t="shared" ref="T17" si="64">S17/1000</f>
        <v>-0.19603172971007962</v>
      </c>
    </row>
    <row r="18" spans="1:20" x14ac:dyDescent="0.25">
      <c r="A18" s="5">
        <v>44575</v>
      </c>
      <c r="B18">
        <v>7.4039999999999999</v>
      </c>
      <c r="C18">
        <v>7.5819999999999999</v>
      </c>
      <c r="D18">
        <v>7.12</v>
      </c>
      <c r="E18">
        <v>7.5339999999999998</v>
      </c>
      <c r="F18">
        <v>766194.9</v>
      </c>
      <c r="G18">
        <v>7.5339999999999998</v>
      </c>
      <c r="L18" t="s">
        <v>7</v>
      </c>
      <c r="M18" t="s">
        <v>8</v>
      </c>
      <c r="N18" t="s">
        <v>7</v>
      </c>
      <c r="P18">
        <f t="shared" ref="P18" si="65">IF(C18=D18,0,((E18-D18)-(C18-E18))/(C18-D18))</f>
        <v>0.79220779220779192</v>
      </c>
      <c r="Q18">
        <f t="shared" ref="Q18" si="66">F18*P18</f>
        <v>606985.57012986997</v>
      </c>
      <c r="R18">
        <f t="shared" ref="R18" si="67">R19+Q18</f>
        <v>-18922665.410673931</v>
      </c>
      <c r="S18">
        <f t="shared" ref="S18" si="68">R18/100000</f>
        <v>-189.22665410673932</v>
      </c>
      <c r="T18">
        <f t="shared" ref="T18" si="69">S18/1000</f>
        <v>-0.18922665410673931</v>
      </c>
    </row>
    <row r="19" spans="1:20" x14ac:dyDescent="0.25">
      <c r="A19" s="5">
        <v>44574</v>
      </c>
      <c r="B19">
        <v>7.8440000000000003</v>
      </c>
      <c r="C19">
        <v>7.8559999999999999</v>
      </c>
      <c r="D19">
        <v>7.3659999999999997</v>
      </c>
      <c r="E19">
        <v>7.41</v>
      </c>
      <c r="F19">
        <v>1090102.8</v>
      </c>
      <c r="G19">
        <v>7.41</v>
      </c>
      <c r="L19" t="s">
        <v>7</v>
      </c>
      <c r="M19" t="s">
        <v>8</v>
      </c>
      <c r="N19" t="s">
        <v>7</v>
      </c>
      <c r="P19">
        <f t="shared" ref="P19" si="70">IF(C19=D19,0,((E19-D19)-(C19-E19))/(C19-D19))</f>
        <v>-0.82040816326530419</v>
      </c>
      <c r="Q19">
        <f t="shared" ref="Q19" si="71">F19*P19</f>
        <v>-894329.2359183653</v>
      </c>
      <c r="R19">
        <f t="shared" ref="R19" si="72">R20+Q19</f>
        <v>-19529650.980803803</v>
      </c>
      <c r="S19">
        <f t="shared" ref="S19" si="73">R19/100000</f>
        <v>-195.29650980803802</v>
      </c>
      <c r="T19">
        <f t="shared" ref="T19" si="74">S19/1000</f>
        <v>-0.19529650980803803</v>
      </c>
    </row>
    <row r="20" spans="1:20" x14ac:dyDescent="0.25">
      <c r="A20" s="5">
        <v>44573</v>
      </c>
      <c r="B20">
        <v>7.47</v>
      </c>
      <c r="C20">
        <v>8.32</v>
      </c>
      <c r="D20">
        <v>7.407</v>
      </c>
      <c r="E20">
        <v>7.8449999999999998</v>
      </c>
      <c r="F20">
        <v>1213361.6000000001</v>
      </c>
      <c r="G20">
        <v>7.8449999999999998</v>
      </c>
      <c r="L20" t="s">
        <v>8</v>
      </c>
      <c r="M20" t="s">
        <v>8</v>
      </c>
      <c r="N20" t="s">
        <v>7</v>
      </c>
      <c r="P20">
        <f t="shared" ref="P20" si="75">IF(C20=D20,0,((E20-D20)-(C20-E20))/(C20-D20))</f>
        <v>-4.052573932092092E-2</v>
      </c>
      <c r="Q20">
        <f t="shared" ref="Q20" si="76">F20*P20</f>
        <v>-49172.375903615524</v>
      </c>
      <c r="R20">
        <f t="shared" ref="R20" si="77">R21+Q20</f>
        <v>-18635321.744885437</v>
      </c>
      <c r="S20">
        <f t="shared" ref="S20" si="78">R20/100000</f>
        <v>-186.35321744885437</v>
      </c>
      <c r="T20">
        <f t="shared" ref="T20" si="79">S20/1000</f>
        <v>-0.18635321744885436</v>
      </c>
    </row>
    <row r="21" spans="1:20" x14ac:dyDescent="0.25">
      <c r="A21" s="5">
        <v>44572</v>
      </c>
      <c r="B21">
        <v>6.8259999999999996</v>
      </c>
      <c r="C21">
        <v>7.9</v>
      </c>
      <c r="D21">
        <v>6.7549999999999999</v>
      </c>
      <c r="E21">
        <v>7.4710000000000001</v>
      </c>
      <c r="F21">
        <v>1834465.2</v>
      </c>
      <c r="G21">
        <v>7.4710000000000001</v>
      </c>
      <c r="L21" t="s">
        <v>8</v>
      </c>
      <c r="M21" t="s">
        <v>8</v>
      </c>
      <c r="N21" t="s">
        <v>7</v>
      </c>
      <c r="P21">
        <f t="shared" ref="P21" si="80">IF(C21=D21,0,((E21-D21)-(C21-E21))/(C21-D21))</f>
        <v>0.25065502183406096</v>
      </c>
      <c r="Q21">
        <f t="shared" ref="Q21" si="81">F21*P21</f>
        <v>459817.91475982498</v>
      </c>
      <c r="R21">
        <f t="shared" ref="R21" si="82">R22+Q21</f>
        <v>-18586149.368981823</v>
      </c>
      <c r="S21">
        <f t="shared" ref="S21" si="83">R21/100000</f>
        <v>-185.86149368981825</v>
      </c>
      <c r="T21">
        <f t="shared" ref="T21" si="84">S21/1000</f>
        <v>-0.18586149368981825</v>
      </c>
    </row>
    <row r="22" spans="1:20" x14ac:dyDescent="0.25">
      <c r="A22" s="5">
        <v>44571</v>
      </c>
      <c r="B22">
        <v>7.2549999999999999</v>
      </c>
      <c r="C22">
        <v>7.3890000000000002</v>
      </c>
      <c r="D22">
        <v>6.56</v>
      </c>
      <c r="E22">
        <v>6.8369999999999997</v>
      </c>
      <c r="F22">
        <v>1055232.3999999999</v>
      </c>
      <c r="G22">
        <v>6.8369999999999997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-0.33172496984318472</v>
      </c>
      <c r="Q22">
        <f t="shared" ref="Q22" si="86">F22*P22</f>
        <v>-350046.93606755143</v>
      </c>
      <c r="R22">
        <f t="shared" ref="R22" si="87">R23+Q22</f>
        <v>-19045967.283741649</v>
      </c>
      <c r="S22">
        <f t="shared" ref="S22" si="88">R22/100000</f>
        <v>-190.45967283741649</v>
      </c>
      <c r="T22">
        <f t="shared" ref="T22" si="89">S22/1000</f>
        <v>-0.19045967283741649</v>
      </c>
    </row>
    <row r="23" spans="1:20" x14ac:dyDescent="0.25">
      <c r="A23" s="5">
        <v>44570</v>
      </c>
      <c r="B23">
        <v>7.032</v>
      </c>
      <c r="C23">
        <v>7.4290000000000003</v>
      </c>
      <c r="D23">
        <v>6.9409999999999998</v>
      </c>
      <c r="E23">
        <v>7.2649999999999997</v>
      </c>
      <c r="F23">
        <v>716182.5</v>
      </c>
      <c r="G23">
        <v>7.2649999999999997</v>
      </c>
      <c r="L23" t="s">
        <v>8</v>
      </c>
      <c r="M23" t="s">
        <v>7</v>
      </c>
      <c r="N23" t="s">
        <v>7</v>
      </c>
      <c r="P23">
        <f t="shared" ref="P23" si="90">IF(C23=D23,0,((E23-D23)-(C23-E23))/(C23-D23))</f>
        <v>0.32786885245901459</v>
      </c>
      <c r="Q23">
        <f t="shared" ref="Q23" si="91">F23*P23</f>
        <v>234813.93442622822</v>
      </c>
      <c r="R23">
        <f t="shared" ref="R23" si="92">R24+Q23</f>
        <v>-18695920.347674098</v>
      </c>
      <c r="S23">
        <f t="shared" ref="S23" si="93">R23/100000</f>
        <v>-186.95920347674098</v>
      </c>
      <c r="T23">
        <f t="shared" ref="T23" si="94">S23/1000</f>
        <v>-0.18695920347674097</v>
      </c>
    </row>
    <row r="24" spans="1:20" x14ac:dyDescent="0.25">
      <c r="A24" s="5">
        <v>44569</v>
      </c>
      <c r="B24">
        <v>7.282</v>
      </c>
      <c r="C24">
        <v>7.6390000000000002</v>
      </c>
      <c r="D24">
        <v>6.71</v>
      </c>
      <c r="E24">
        <v>7.0359999999999996</v>
      </c>
      <c r="F24">
        <v>1026490.4</v>
      </c>
      <c r="G24">
        <v>7.0359999999999996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-0.29817007534983953</v>
      </c>
      <c r="Q24">
        <f t="shared" ref="Q24" si="96">F24*P24</f>
        <v>-306068.71991388692</v>
      </c>
      <c r="R24">
        <f t="shared" ref="R24" si="97">R25+Q24</f>
        <v>-18930734.282100327</v>
      </c>
      <c r="S24">
        <f t="shared" ref="S24" si="98">R24/100000</f>
        <v>-189.30734282100326</v>
      </c>
      <c r="T24">
        <f t="shared" ref="T24" si="99">S24/1000</f>
        <v>-0.18930734282100325</v>
      </c>
    </row>
    <row r="25" spans="1:20" x14ac:dyDescent="0.25">
      <c r="A25" s="5">
        <v>44568</v>
      </c>
      <c r="B25">
        <v>7.766</v>
      </c>
      <c r="C25">
        <v>7.7949999999999999</v>
      </c>
      <c r="D25">
        <v>7.0839999999999996</v>
      </c>
      <c r="E25">
        <v>7.2729999999999997</v>
      </c>
      <c r="F25">
        <v>1019576</v>
      </c>
      <c r="G25">
        <v>7.2729999999999997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-0.46835443037974689</v>
      </c>
      <c r="Q25">
        <f t="shared" ref="Q25" si="101">F25*P25</f>
        <v>-477522.9367088608</v>
      </c>
      <c r="R25">
        <f t="shared" ref="R25" si="102">R26+Q25</f>
        <v>-18624665.562186439</v>
      </c>
      <c r="S25">
        <f t="shared" ref="S25" si="103">R25/100000</f>
        <v>-186.24665562186439</v>
      </c>
      <c r="T25">
        <f t="shared" ref="T25" si="104">S25/1000</f>
        <v>-0.1862466556218644</v>
      </c>
    </row>
    <row r="26" spans="1:20" x14ac:dyDescent="0.25">
      <c r="A26" s="5">
        <v>44567</v>
      </c>
      <c r="B26">
        <v>8.0039999999999996</v>
      </c>
      <c r="C26">
        <v>8.0820000000000007</v>
      </c>
      <c r="D26">
        <v>7.4290000000000003</v>
      </c>
      <c r="E26">
        <v>7.7640000000000002</v>
      </c>
      <c r="F26">
        <v>1170548.7</v>
      </c>
      <c r="G26">
        <v>7.7640000000000002</v>
      </c>
      <c r="L26" t="s">
        <v>7</v>
      </c>
      <c r="M26" t="s">
        <v>7</v>
      </c>
      <c r="N26" t="s">
        <v>8</v>
      </c>
      <c r="P26">
        <f t="shared" ref="P26" si="105">IF(C26=D26,0,((E26-D26)-(C26-E26))/(C26-D26))</f>
        <v>2.6033690658498389E-2</v>
      </c>
      <c r="Q26">
        <f t="shared" ref="Q26" si="106">F26*P26</f>
        <v>30473.702756507431</v>
      </c>
      <c r="R26">
        <f t="shared" ref="R26" si="107">R27+Q26</f>
        <v>-18147142.625477578</v>
      </c>
      <c r="S26">
        <f t="shared" ref="S26" si="108">R26/100000</f>
        <v>-181.47142625477579</v>
      </c>
      <c r="T26">
        <f t="shared" ref="T26" si="109">S26/1000</f>
        <v>-0.1814714262547758</v>
      </c>
    </row>
    <row r="27" spans="1:20" x14ac:dyDescent="0.25">
      <c r="A27" s="5">
        <v>44566</v>
      </c>
      <c r="B27">
        <v>8.7539999999999996</v>
      </c>
      <c r="C27">
        <v>9.3239999999999998</v>
      </c>
      <c r="D27">
        <v>7.5679999999999996</v>
      </c>
      <c r="E27">
        <v>8.0030000000000001</v>
      </c>
      <c r="F27">
        <v>1505843.4</v>
      </c>
      <c r="G27">
        <v>8.0030000000000001</v>
      </c>
      <c r="L27" t="s">
        <v>8</v>
      </c>
      <c r="M27" t="s">
        <v>7</v>
      </c>
      <c r="N27" t="s">
        <v>8</v>
      </c>
      <c r="P27">
        <f t="shared" ref="P27" si="110">IF(C27=D27,0,((E27-D27)-(C27-E27))/(C27-D27))</f>
        <v>-0.504555808656036</v>
      </c>
      <c r="Q27">
        <f t="shared" ref="Q27" si="111">F27*P27</f>
        <v>-759782.03439635457</v>
      </c>
      <c r="R27">
        <f t="shared" ref="R27" si="112">R28+Q27</f>
        <v>-18177616.328234088</v>
      </c>
      <c r="S27">
        <f t="shared" ref="S27" si="113">R27/100000</f>
        <v>-181.77616328234089</v>
      </c>
      <c r="T27">
        <f t="shared" ref="T27" si="114">S27/1000</f>
        <v>-0.18177616328234089</v>
      </c>
    </row>
    <row r="28" spans="1:20" x14ac:dyDescent="0.25">
      <c r="A28" s="5">
        <v>44565</v>
      </c>
      <c r="B28">
        <v>8.7420000000000009</v>
      </c>
      <c r="C28">
        <v>9.14</v>
      </c>
      <c r="D28">
        <v>8.5060000000000002</v>
      </c>
      <c r="E28">
        <v>8.7439999999999998</v>
      </c>
      <c r="F28">
        <v>1238807.7</v>
      </c>
      <c r="G28">
        <v>8.7439999999999998</v>
      </c>
      <c r="L28" t="s">
        <v>8</v>
      </c>
      <c r="M28" t="s">
        <v>8</v>
      </c>
      <c r="N28" t="s">
        <v>8</v>
      </c>
      <c r="P28">
        <f t="shared" ref="P28" si="115">IF(C28=D28,0,((E28-D28)-(C28-E28))/(C28-D28))</f>
        <v>-0.24921135646687881</v>
      </c>
      <c r="Q28">
        <f t="shared" ref="Q28" si="116">F28*P28</f>
        <v>-308724.94731861423</v>
      </c>
      <c r="R28">
        <f t="shared" ref="R28" si="117">R29+Q28</f>
        <v>-17417834.293837734</v>
      </c>
      <c r="S28">
        <f t="shared" ref="S28" si="118">R28/100000</f>
        <v>-174.17834293837734</v>
      </c>
      <c r="T28">
        <f t="shared" ref="T28" si="119">S28/1000</f>
        <v>-0.17417834293837733</v>
      </c>
    </row>
    <row r="29" spans="1:20" x14ac:dyDescent="0.25">
      <c r="A29" s="5">
        <v>44564</v>
      </c>
      <c r="B29">
        <v>8.6359999999999992</v>
      </c>
      <c r="C29">
        <v>8.99</v>
      </c>
      <c r="D29">
        <v>8.3710000000000004</v>
      </c>
      <c r="E29">
        <v>8.74</v>
      </c>
      <c r="F29">
        <v>1207536</v>
      </c>
      <c r="G29">
        <v>8.74</v>
      </c>
      <c r="L29" t="s">
        <v>8</v>
      </c>
      <c r="M29" t="s">
        <v>8</v>
      </c>
      <c r="N29" t="s">
        <v>8</v>
      </c>
      <c r="P29">
        <f t="shared" ref="P29" si="120">IF(C29=D29,0,((E29-D29)-(C29-E29))/(C29-D29))</f>
        <v>0.19224555735056514</v>
      </c>
      <c r="Q29">
        <f t="shared" ref="Q29" si="121">F29*P29</f>
        <v>232143.43134087202</v>
      </c>
      <c r="R29">
        <f t="shared" ref="R29" si="122">R30+Q29</f>
        <v>-17109109.34651912</v>
      </c>
      <c r="S29">
        <f t="shared" ref="S29" si="123">R29/100000</f>
        <v>-171.09109346519119</v>
      </c>
      <c r="T29">
        <f t="shared" ref="T29" si="124">S29/1000</f>
        <v>-0.17109109346519119</v>
      </c>
    </row>
    <row r="30" spans="1:20" x14ac:dyDescent="0.25">
      <c r="A30" s="5">
        <v>44563</v>
      </c>
      <c r="B30">
        <v>8.4469999999999992</v>
      </c>
      <c r="C30">
        <v>8.75</v>
      </c>
      <c r="D30">
        <v>8.34</v>
      </c>
      <c r="E30">
        <v>8.6479999999999997</v>
      </c>
      <c r="F30">
        <v>653019.19999999995</v>
      </c>
      <c r="G30">
        <v>8.6479999999999997</v>
      </c>
      <c r="L30" t="s">
        <v>8</v>
      </c>
      <c r="M30" t="s">
        <v>7</v>
      </c>
      <c r="N30" t="s">
        <v>8</v>
      </c>
      <c r="P30">
        <f t="shared" ref="P30" si="125">IF(C30=D30,0,((E30-D30)-(C30-E30))/(C30-D30))</f>
        <v>0.50243902439024257</v>
      </c>
      <c r="Q30">
        <f t="shared" ref="Q30" si="126">F30*P30</f>
        <v>328102.32975609665</v>
      </c>
      <c r="R30">
        <f t="shared" ref="R30" si="127">R31+Q30</f>
        <v>-17341252.777859993</v>
      </c>
      <c r="S30">
        <f t="shared" ref="S30" si="128">R30/100000</f>
        <v>-173.41252777859992</v>
      </c>
      <c r="T30">
        <f t="shared" ref="T30" si="129">S30/1000</f>
        <v>-0.17341252777859992</v>
      </c>
    </row>
    <row r="31" spans="1:20" x14ac:dyDescent="0.25">
      <c r="A31" s="5">
        <v>44562</v>
      </c>
      <c r="B31">
        <v>7.9119999999999999</v>
      </c>
      <c r="C31">
        <v>8.4710000000000001</v>
      </c>
      <c r="D31">
        <v>7.9119999999999999</v>
      </c>
      <c r="E31">
        <v>8.4280000000000008</v>
      </c>
      <c r="F31">
        <v>589412.1</v>
      </c>
      <c r="G31">
        <v>8.4280000000000008</v>
      </c>
      <c r="L31" t="s">
        <v>8</v>
      </c>
      <c r="M31" t="s">
        <v>7</v>
      </c>
      <c r="N31" t="s">
        <v>8</v>
      </c>
      <c r="P31">
        <f t="shared" ref="P31" si="130">IF(C31=D31,0,((E31-D31)-(C31-E31))/(C31-D31))</f>
        <v>0.84615384615384881</v>
      </c>
      <c r="Q31">
        <f t="shared" ref="Q31" si="131">F31*P31</f>
        <v>498733.31538461696</v>
      </c>
      <c r="R31">
        <f t="shared" ref="R31" si="132">R32+Q31</f>
        <v>-17669355.107616089</v>
      </c>
      <c r="S31">
        <f t="shared" ref="S31" si="133">R31/100000</f>
        <v>-176.6935510761609</v>
      </c>
      <c r="T31">
        <f t="shared" ref="T31" si="134">S31/1000</f>
        <v>-0.17669355107616089</v>
      </c>
    </row>
    <row r="32" spans="1:20" x14ac:dyDescent="0.25">
      <c r="A32" s="5">
        <v>44561</v>
      </c>
      <c r="B32">
        <v>8.1539999999999999</v>
      </c>
      <c r="C32">
        <v>8.407</v>
      </c>
      <c r="D32">
        <v>7.6210000000000004</v>
      </c>
      <c r="E32">
        <v>7.9109999999999996</v>
      </c>
      <c r="F32">
        <v>791346.3</v>
      </c>
      <c r="G32">
        <v>7.9109999999999996</v>
      </c>
      <c r="L32" t="s">
        <v>8</v>
      </c>
      <c r="M32" t="s">
        <v>7</v>
      </c>
      <c r="N32" t="s">
        <v>8</v>
      </c>
      <c r="P32">
        <f t="shared" ref="P32" si="135">IF(C32=D32,0,((E32-D32)-(C32-E32))/(C32-D32))</f>
        <v>-0.26208651399491273</v>
      </c>
      <c r="Q32">
        <f t="shared" ref="Q32" si="136">F32*P32</f>
        <v>-207401.19312977241</v>
      </c>
      <c r="R32">
        <f t="shared" ref="R32" si="137">R33+Q32</f>
        <v>-18168088.423000704</v>
      </c>
      <c r="S32">
        <f t="shared" ref="S32" si="138">R32/100000</f>
        <v>-181.68088423000705</v>
      </c>
      <c r="T32">
        <f t="shared" ref="T32" si="139">S32/1000</f>
        <v>-0.18168088423000706</v>
      </c>
    </row>
    <row r="33" spans="1:20" x14ac:dyDescent="0.25">
      <c r="A33" s="5">
        <v>44560</v>
      </c>
      <c r="B33">
        <v>7.9349999999999996</v>
      </c>
      <c r="C33">
        <v>8.4</v>
      </c>
      <c r="D33">
        <v>7.65</v>
      </c>
      <c r="E33">
        <v>8.1609999999999996</v>
      </c>
      <c r="F33">
        <v>815693.1</v>
      </c>
      <c r="G33">
        <v>8.1609999999999996</v>
      </c>
      <c r="L33" t="s">
        <v>7</v>
      </c>
      <c r="M33" t="s">
        <v>7</v>
      </c>
      <c r="N33" t="s">
        <v>8</v>
      </c>
      <c r="P33">
        <f t="shared" ref="P33" si="140">IF(C33=D33,0,((E33-D33)-(C33-E33))/(C33-D33))</f>
        <v>0.36266666666666464</v>
      </c>
      <c r="Q33">
        <f t="shared" ref="Q33" si="141">F33*P33</f>
        <v>295824.69759999833</v>
      </c>
      <c r="R33">
        <f t="shared" ref="R33" si="142">R34+Q33</f>
        <v>-17960687.22987093</v>
      </c>
      <c r="S33">
        <f t="shared" ref="S33" si="143">R33/100000</f>
        <v>-179.60687229870931</v>
      </c>
      <c r="T33">
        <f t="shared" ref="T33" si="144">S33/1000</f>
        <v>-0.17960687229870931</v>
      </c>
    </row>
    <row r="34" spans="1:20" x14ac:dyDescent="0.25">
      <c r="A34" s="5">
        <v>44559</v>
      </c>
      <c r="B34">
        <v>8.0500000000000007</v>
      </c>
      <c r="C34">
        <v>8.3379999999999992</v>
      </c>
      <c r="D34">
        <v>7.75</v>
      </c>
      <c r="E34">
        <v>7.9279999999999999</v>
      </c>
      <c r="F34">
        <v>1163713.5</v>
      </c>
      <c r="G34">
        <v>7.9279999999999999</v>
      </c>
      <c r="L34" t="s">
        <v>7</v>
      </c>
      <c r="M34" t="s">
        <v>7</v>
      </c>
      <c r="N34" t="s">
        <v>8</v>
      </c>
      <c r="P34">
        <f t="shared" ref="P34" si="145">IF(C34=D34,0,((E34-D34)-(C34-E34))/(C34-D34))</f>
        <v>-0.39455782312925108</v>
      </c>
      <c r="Q34">
        <f t="shared" ref="Q34" si="146">F34*P34</f>
        <v>-459152.26530612173</v>
      </c>
      <c r="R34">
        <f t="shared" ref="R34" si="147">R35+Q34</f>
        <v>-18256511.92747093</v>
      </c>
      <c r="S34">
        <f t="shared" ref="S34" si="148">R34/100000</f>
        <v>-182.5651192747093</v>
      </c>
      <c r="T34">
        <f t="shared" ref="T34" si="149">S34/1000</f>
        <v>-0.18256511927470931</v>
      </c>
    </row>
    <row r="35" spans="1:20" x14ac:dyDescent="0.25">
      <c r="A35" s="5">
        <v>44558</v>
      </c>
      <c r="B35">
        <v>8.7579999999999991</v>
      </c>
      <c r="C35">
        <v>8.7579999999999991</v>
      </c>
      <c r="D35">
        <v>7.9039999999999999</v>
      </c>
      <c r="E35">
        <v>8.0459999999999994</v>
      </c>
      <c r="F35">
        <v>1169609.7</v>
      </c>
      <c r="G35">
        <v>8.0459999999999994</v>
      </c>
      <c r="L35" t="s">
        <v>7</v>
      </c>
      <c r="M35" t="s">
        <v>7</v>
      </c>
      <c r="N35" t="s">
        <v>8</v>
      </c>
      <c r="P35">
        <f t="shared" ref="P35" si="150">IF(C35=D35,0,((E35-D35)-(C35-E35))/(C35-D35))</f>
        <v>-0.66744730679157005</v>
      </c>
      <c r="Q35">
        <f t="shared" ref="Q35" si="151">F35*P35</f>
        <v>-780652.84426229622</v>
      </c>
      <c r="R35">
        <f t="shared" ref="R35" si="152">R36+Q35</f>
        <v>-17797359.662164807</v>
      </c>
      <c r="S35">
        <f t="shared" ref="S35" si="153">R35/100000</f>
        <v>-177.97359662164808</v>
      </c>
      <c r="T35">
        <f t="shared" ref="T35" si="154">S35/1000</f>
        <v>-0.17797359662164808</v>
      </c>
    </row>
    <row r="36" spans="1:20" x14ac:dyDescent="0.25">
      <c r="A36" s="5">
        <v>44557</v>
      </c>
      <c r="B36">
        <v>8.9120000000000008</v>
      </c>
      <c r="C36">
        <v>9.2110000000000003</v>
      </c>
      <c r="D36">
        <v>8.702</v>
      </c>
      <c r="E36">
        <v>8.7650000000000006</v>
      </c>
      <c r="F36">
        <v>719481.7</v>
      </c>
      <c r="G36">
        <v>8.7650000000000006</v>
      </c>
      <c r="L36" t="s">
        <v>8</v>
      </c>
      <c r="M36" t="s">
        <v>8</v>
      </c>
      <c r="N36" t="s">
        <v>8</v>
      </c>
      <c r="P36">
        <f t="shared" ref="P36" si="155">IF(C36=D36,0,((E36-D36)-(C36-E36))/(C36-D36))</f>
        <v>-0.75245579567779741</v>
      </c>
      <c r="Q36">
        <f t="shared" ref="Q36" si="156">F36*P36</f>
        <v>-541378.17504911427</v>
      </c>
      <c r="R36">
        <f t="shared" ref="R36" si="157">R37+Q36</f>
        <v>-17016706.817902513</v>
      </c>
      <c r="S36">
        <f t="shared" ref="S36" si="158">R36/100000</f>
        <v>-170.16706817902514</v>
      </c>
      <c r="T36">
        <f t="shared" ref="T36" si="159">S36/1000</f>
        <v>-0.17016706817902513</v>
      </c>
    </row>
    <row r="37" spans="1:20" x14ac:dyDescent="0.25">
      <c r="A37" s="5">
        <v>44556</v>
      </c>
      <c r="B37">
        <v>9.2780000000000005</v>
      </c>
      <c r="C37">
        <v>9.3569999999999993</v>
      </c>
      <c r="D37">
        <v>8.6340000000000003</v>
      </c>
      <c r="E37">
        <v>8.9130000000000003</v>
      </c>
      <c r="F37">
        <v>1389845.6</v>
      </c>
      <c r="G37">
        <v>8.9130000000000003</v>
      </c>
      <c r="L37" t="s">
        <v>7</v>
      </c>
      <c r="M37" t="s">
        <v>8</v>
      </c>
      <c r="N37" t="s">
        <v>8</v>
      </c>
      <c r="P37">
        <f t="shared" ref="P37" si="160">IF(C37=D37,0,((E37-D37)-(C37-E37))/(C37-D37))</f>
        <v>-0.22821576763485391</v>
      </c>
      <c r="Q37">
        <f t="shared" ref="Q37" si="161">F37*P37</f>
        <v>-317184.68049792416</v>
      </c>
      <c r="R37">
        <f t="shared" ref="R37" si="162">R38+Q37</f>
        <v>-16475328.642853398</v>
      </c>
      <c r="S37">
        <f t="shared" ref="S37" si="163">R37/100000</f>
        <v>-164.75328642853398</v>
      </c>
      <c r="T37">
        <f t="shared" ref="T37" si="164">S37/1000</f>
        <v>-0.16475328642853398</v>
      </c>
    </row>
    <row r="38" spans="1:20" x14ac:dyDescent="0.25">
      <c r="A38" s="5">
        <v>44555</v>
      </c>
      <c r="B38">
        <v>9.2850000000000001</v>
      </c>
      <c r="C38">
        <v>9.4369999999999994</v>
      </c>
      <c r="D38">
        <v>9.109</v>
      </c>
      <c r="E38">
        <v>9.2870000000000008</v>
      </c>
      <c r="F38">
        <v>412574.5</v>
      </c>
      <c r="G38">
        <v>9.2870000000000008</v>
      </c>
      <c r="L38" t="s">
        <v>7</v>
      </c>
      <c r="M38" t="s">
        <v>8</v>
      </c>
      <c r="N38" t="s">
        <v>8</v>
      </c>
      <c r="P38">
        <f t="shared" ref="P38" si="165">IF(C38=D38,0,((E38-D38)-(C38-E38))/(C38-D38))</f>
        <v>8.5365853658543586E-2</v>
      </c>
      <c r="Q38">
        <f t="shared" ref="Q38" si="166">F38*P38</f>
        <v>35219.774390246792</v>
      </c>
      <c r="R38">
        <f t="shared" ref="R38" si="167">R39+Q38</f>
        <v>-16158143.962355474</v>
      </c>
      <c r="S38">
        <f t="shared" ref="S38" si="168">R38/100000</f>
        <v>-161.58143962355473</v>
      </c>
      <c r="T38">
        <f t="shared" ref="T38" si="169">S38/1000</f>
        <v>-0.16158143962355473</v>
      </c>
    </row>
    <row r="39" spans="1:20" x14ac:dyDescent="0.25">
      <c r="A39" s="5">
        <v>44554</v>
      </c>
      <c r="B39">
        <v>9.8450000000000006</v>
      </c>
      <c r="C39">
        <v>9.9629999999999992</v>
      </c>
      <c r="D39">
        <v>9.2170000000000005</v>
      </c>
      <c r="E39">
        <v>9.2880000000000003</v>
      </c>
      <c r="F39">
        <v>569126.9</v>
      </c>
      <c r="G39">
        <v>9.2880000000000003</v>
      </c>
      <c r="L39" t="s">
        <v>7</v>
      </c>
      <c r="M39" t="s">
        <v>8</v>
      </c>
      <c r="N39" t="s">
        <v>8</v>
      </c>
      <c r="P39">
        <f t="shared" ref="P39" si="170">IF(C39=D39,0,((E39-D39)-(C39-E39))/(C39-D39))</f>
        <v>-0.80965147453083153</v>
      </c>
      <c r="Q39">
        <f t="shared" ref="Q39" si="171">F39*P39</f>
        <v>-460794.43378016114</v>
      </c>
      <c r="R39">
        <f t="shared" ref="R39" si="172">R40+Q39</f>
        <v>-16193363.736745721</v>
      </c>
      <c r="S39">
        <f t="shared" ref="S39" si="173">R39/100000</f>
        <v>-161.93363736745721</v>
      </c>
      <c r="T39">
        <f t="shared" ref="T39" si="174">S39/1000</f>
        <v>-0.16193363736745719</v>
      </c>
    </row>
    <row r="40" spans="1:20" x14ac:dyDescent="0.25">
      <c r="A40" s="5">
        <v>44553</v>
      </c>
      <c r="B40">
        <v>9.4589999999999996</v>
      </c>
      <c r="C40">
        <v>10.148</v>
      </c>
      <c r="D40">
        <v>9.1050000000000004</v>
      </c>
      <c r="E40">
        <v>9.8360000000000003</v>
      </c>
      <c r="F40">
        <v>1286446.7</v>
      </c>
      <c r="G40">
        <v>9.8360000000000003</v>
      </c>
      <c r="L40" t="s">
        <v>8</v>
      </c>
      <c r="M40" t="s">
        <v>8</v>
      </c>
      <c r="N40" t="s">
        <v>8</v>
      </c>
      <c r="P40">
        <f t="shared" ref="P40" si="175">IF(C40=D40,0,((E40-D40)-(C40-E40))/(C40-D40))</f>
        <v>0.40172579098753669</v>
      </c>
      <c r="Q40">
        <f t="shared" ref="Q40" si="176">F40*P40</f>
        <v>516798.8181208063</v>
      </c>
      <c r="R40">
        <f t="shared" ref="R40" si="177">R41+Q40</f>
        <v>-15732569.302965559</v>
      </c>
      <c r="S40">
        <f t="shared" ref="S40" si="178">R40/100000</f>
        <v>-157.32569302965558</v>
      </c>
      <c r="T40">
        <f t="shared" ref="T40" si="179">S40/1000</f>
        <v>-0.15732569302965557</v>
      </c>
    </row>
    <row r="41" spans="1:20" x14ac:dyDescent="0.25">
      <c r="A41" s="5">
        <v>44552</v>
      </c>
      <c r="B41">
        <v>9.0239999999999991</v>
      </c>
      <c r="C41">
        <v>9.5060000000000002</v>
      </c>
      <c r="D41">
        <v>8.8439999999999994</v>
      </c>
      <c r="E41">
        <v>9.4570000000000007</v>
      </c>
      <c r="F41">
        <v>974402.9</v>
      </c>
      <c r="G41">
        <v>9.4570000000000007</v>
      </c>
      <c r="L41" t="s">
        <v>8</v>
      </c>
      <c r="M41" t="s">
        <v>8</v>
      </c>
      <c r="N41" t="s">
        <v>8</v>
      </c>
      <c r="P41">
        <f t="shared" ref="P41" si="180">IF(C41=D41,0,((E41-D41)-(C41-E41))/(C41-D41))</f>
        <v>0.85196374622356663</v>
      </c>
      <c r="Q41">
        <f t="shared" ref="Q41" si="181">F41*P41</f>
        <v>830155.9450151074</v>
      </c>
      <c r="R41">
        <f t="shared" ref="R41" si="182">R42+Q41</f>
        <v>-16249368.121086365</v>
      </c>
      <c r="S41">
        <f t="shared" ref="S41" si="183">R41/100000</f>
        <v>-162.49368121086366</v>
      </c>
      <c r="T41">
        <f t="shared" ref="T41" si="184">S41/1000</f>
        <v>-0.16249368121086366</v>
      </c>
    </row>
    <row r="42" spans="1:20" x14ac:dyDescent="0.25">
      <c r="A42" s="5">
        <v>44551</v>
      </c>
      <c r="B42">
        <v>8.6349999999999998</v>
      </c>
      <c r="C42">
        <v>9.3369999999999997</v>
      </c>
      <c r="D42">
        <v>8.4749999999999996</v>
      </c>
      <c r="E42">
        <v>9.0229999999999997</v>
      </c>
      <c r="F42">
        <v>851573.4</v>
      </c>
      <c r="G42">
        <v>9.0229999999999997</v>
      </c>
      <c r="L42" t="s">
        <v>8</v>
      </c>
      <c r="M42" t="s">
        <v>7</v>
      </c>
      <c r="N42" t="s">
        <v>8</v>
      </c>
      <c r="P42">
        <f t="shared" ref="P42" si="185">IF(C42=D42,0,((E42-D42)-(C42-E42))/(C42-D42))</f>
        <v>0.27146171693735494</v>
      </c>
      <c r="Q42">
        <f t="shared" ref="Q42" si="186">F42*P42</f>
        <v>231169.57726218094</v>
      </c>
      <c r="R42">
        <f t="shared" ref="R42" si="187">R43+Q42</f>
        <v>-17079524.066101473</v>
      </c>
      <c r="S42">
        <f t="shared" ref="S42" si="188">R42/100000</f>
        <v>-170.79524066101473</v>
      </c>
      <c r="T42">
        <f t="shared" ref="T42" si="189">S42/1000</f>
        <v>-0.17079524066101473</v>
      </c>
    </row>
    <row r="43" spans="1:20" x14ac:dyDescent="0.25">
      <c r="A43" s="5">
        <v>44550</v>
      </c>
      <c r="B43">
        <v>8.7070000000000007</v>
      </c>
      <c r="C43">
        <v>8.9320000000000004</v>
      </c>
      <c r="D43">
        <v>8.0790000000000006</v>
      </c>
      <c r="E43">
        <v>8.6150000000000002</v>
      </c>
      <c r="F43">
        <v>821898.5</v>
      </c>
      <c r="G43">
        <v>8.6150000000000002</v>
      </c>
      <c r="L43" t="s">
        <v>7</v>
      </c>
      <c r="M43" t="s">
        <v>7</v>
      </c>
      <c r="N43" t="s">
        <v>8</v>
      </c>
      <c r="P43">
        <f t="shared" ref="P43" si="190">IF(C43=D43,0,((E43-D43)-(C43-E43))/(C43-D43))</f>
        <v>0.2567409144196946</v>
      </c>
      <c r="Q43">
        <f t="shared" ref="Q43" si="191">F43*P43</f>
        <v>211014.97245017535</v>
      </c>
      <c r="R43">
        <f t="shared" ref="R43" si="192">R44+Q43</f>
        <v>-17310693.643363655</v>
      </c>
      <c r="S43">
        <f t="shared" ref="S43" si="193">R43/100000</f>
        <v>-173.10693643363655</v>
      </c>
      <c r="T43">
        <f t="shared" ref="T43" si="194">S43/1000</f>
        <v>-0.17310693643363656</v>
      </c>
    </row>
    <row r="44" spans="1:20" x14ac:dyDescent="0.25">
      <c r="A44" s="5">
        <v>44549</v>
      </c>
      <c r="B44">
        <v>8.7370000000000001</v>
      </c>
      <c r="C44">
        <v>8.9860000000000007</v>
      </c>
      <c r="D44">
        <v>8.5210000000000008</v>
      </c>
      <c r="E44">
        <v>8.7170000000000005</v>
      </c>
      <c r="F44">
        <v>721103</v>
      </c>
      <c r="G44">
        <v>8.7170000000000005</v>
      </c>
      <c r="L44" t="s">
        <v>8</v>
      </c>
      <c r="M44" t="s">
        <v>7</v>
      </c>
      <c r="N44" t="s">
        <v>8</v>
      </c>
      <c r="P44">
        <f t="shared" ref="P44" si="195">IF(C44=D44,0,((E44-D44)-(C44-E44))/(C44-D44))</f>
        <v>-0.15698924731182887</v>
      </c>
      <c r="Q44">
        <f t="shared" ref="Q44" si="196">F44*P44</f>
        <v>-113205.41720430173</v>
      </c>
      <c r="R44">
        <f t="shared" ref="R44" si="197">R45+Q44</f>
        <v>-17521708.615813829</v>
      </c>
      <c r="S44">
        <f t="shared" ref="S44" si="198">R44/100000</f>
        <v>-175.2170861581383</v>
      </c>
      <c r="T44">
        <f t="shared" ref="T44" si="199">S44/1000</f>
        <v>-0.1752170861581383</v>
      </c>
    </row>
    <row r="45" spans="1:20" x14ac:dyDescent="0.25">
      <c r="A45" s="5">
        <v>44548</v>
      </c>
      <c r="B45">
        <v>8.66</v>
      </c>
      <c r="C45">
        <v>8.8719999999999999</v>
      </c>
      <c r="D45">
        <v>8.4849999999999994</v>
      </c>
      <c r="E45">
        <v>8.7420000000000009</v>
      </c>
      <c r="F45">
        <v>623501.9</v>
      </c>
      <c r="G45">
        <v>8.7420000000000009</v>
      </c>
      <c r="L45" t="s">
        <v>8</v>
      </c>
      <c r="M45" t="s">
        <v>7</v>
      </c>
      <c r="N45" t="s">
        <v>8</v>
      </c>
      <c r="P45">
        <f t="shared" ref="P45" si="200">IF(C45=D45,0,((E45-D45)-(C45-E45))/(C45-D45))</f>
        <v>0.32816537467700851</v>
      </c>
      <c r="Q45">
        <f t="shared" ref="Q45" si="201">F45*P45</f>
        <v>204611.7346253267</v>
      </c>
      <c r="R45">
        <f t="shared" ref="R45" si="202">R46+Q45</f>
        <v>-17408503.198609527</v>
      </c>
      <c r="S45">
        <f t="shared" ref="S45" si="203">R45/100000</f>
        <v>-174.08503198609526</v>
      </c>
      <c r="T45">
        <f t="shared" ref="T45" si="204">S45/1000</f>
        <v>-0.17408503198609526</v>
      </c>
    </row>
    <row r="46" spans="1:20" x14ac:dyDescent="0.25">
      <c r="A46" s="5">
        <v>44547</v>
      </c>
      <c r="B46">
        <v>8.6669999999999998</v>
      </c>
      <c r="C46">
        <v>8.8460000000000001</v>
      </c>
      <c r="D46">
        <v>8.0399999999999991</v>
      </c>
      <c r="E46">
        <v>8.6720000000000006</v>
      </c>
      <c r="F46">
        <v>736018.9</v>
      </c>
      <c r="G46">
        <v>8.6720000000000006</v>
      </c>
      <c r="L46" t="s">
        <v>7</v>
      </c>
      <c r="M46" t="s">
        <v>7</v>
      </c>
      <c r="N46" t="s">
        <v>8</v>
      </c>
      <c r="P46">
        <f t="shared" ref="P46" si="205">IF(C46=D46,0,((E46-D46)-(C46-E46))/(C46-D46))</f>
        <v>0.56823821339950553</v>
      </c>
      <c r="Q46">
        <f t="shared" ref="Q46" si="206">F46*P46</f>
        <v>418234.06476426934</v>
      </c>
      <c r="R46">
        <f t="shared" ref="R46" si="207">R47+Q46</f>
        <v>-17613114.933234856</v>
      </c>
      <c r="S46">
        <f t="shared" ref="S46" si="208">R46/100000</f>
        <v>-176.13114933234854</v>
      </c>
      <c r="T46">
        <f t="shared" ref="T46" si="209">S46/1000</f>
        <v>-0.17613114933234855</v>
      </c>
    </row>
    <row r="47" spans="1:20" x14ac:dyDescent="0.25">
      <c r="A47" s="5">
        <v>44546</v>
      </c>
      <c r="B47">
        <v>9.0939999999999994</v>
      </c>
      <c r="C47">
        <v>9.4619999999999997</v>
      </c>
      <c r="D47">
        <v>8.6590000000000007</v>
      </c>
      <c r="E47">
        <v>8.6859999999999999</v>
      </c>
      <c r="F47">
        <v>856257.2</v>
      </c>
      <c r="G47">
        <v>8.6859999999999999</v>
      </c>
      <c r="L47" t="s">
        <v>8</v>
      </c>
      <c r="M47" t="s">
        <v>7</v>
      </c>
      <c r="N47" t="s">
        <v>8</v>
      </c>
      <c r="P47">
        <f t="shared" ref="P47" si="210">IF(C47=D47,0,((E47-D47)-(C47-E47))/(C47-D47))</f>
        <v>-0.93275217932752363</v>
      </c>
      <c r="Q47">
        <f t="shared" ref="Q47" si="211">F47*P47</f>
        <v>-798675.76936488319</v>
      </c>
      <c r="R47">
        <f t="shared" ref="R47" si="212">R48+Q47</f>
        <v>-18031348.997999124</v>
      </c>
      <c r="S47">
        <f t="shared" ref="S47" si="213">R47/100000</f>
        <v>-180.31348997999123</v>
      </c>
      <c r="T47">
        <f t="shared" ref="T47" si="214">S47/1000</f>
        <v>-0.18031348997999122</v>
      </c>
    </row>
    <row r="48" spans="1:20" x14ac:dyDescent="0.25">
      <c r="A48" s="5">
        <v>44545</v>
      </c>
      <c r="B48">
        <v>8.9480000000000004</v>
      </c>
      <c r="C48">
        <v>9.5559999999999992</v>
      </c>
      <c r="D48">
        <v>8.49</v>
      </c>
      <c r="E48">
        <v>9.0850000000000009</v>
      </c>
      <c r="F48">
        <v>1859154.8</v>
      </c>
      <c r="G48">
        <v>9.0850000000000009</v>
      </c>
      <c r="L48" t="s">
        <v>7</v>
      </c>
      <c r="M48" t="s">
        <v>7</v>
      </c>
      <c r="N48" t="s">
        <v>8</v>
      </c>
      <c r="P48">
        <f t="shared" ref="P48" si="215">IF(C48=D48,0,((E48-D48)-(C48-E48))/(C48-D48))</f>
        <v>0.11632270168855764</v>
      </c>
      <c r="Q48">
        <f t="shared" ref="Q48" si="216">F48*P48</f>
        <v>216261.90919325006</v>
      </c>
      <c r="R48">
        <f t="shared" ref="R48" si="217">R49+Q48</f>
        <v>-17232673.228634242</v>
      </c>
      <c r="S48">
        <f t="shared" ref="S48" si="218">R48/100000</f>
        <v>-172.32673228634241</v>
      </c>
      <c r="T48">
        <f t="shared" ref="T48" si="219">S48/1000</f>
        <v>-0.1723267322863424</v>
      </c>
    </row>
    <row r="49" spans="1:20" x14ac:dyDescent="0.25">
      <c r="A49" s="5">
        <v>44544</v>
      </c>
      <c r="B49">
        <v>8.6790000000000003</v>
      </c>
      <c r="C49">
        <v>9.8000000000000007</v>
      </c>
      <c r="D49">
        <v>8.4179999999999993</v>
      </c>
      <c r="E49">
        <v>8.9480000000000004</v>
      </c>
      <c r="F49">
        <v>2138856.6</v>
      </c>
      <c r="G49">
        <v>8.9480000000000004</v>
      </c>
      <c r="L49" t="s">
        <v>8</v>
      </c>
      <c r="M49" t="s">
        <v>7</v>
      </c>
      <c r="N49" t="s">
        <v>8</v>
      </c>
      <c r="P49">
        <f t="shared" ref="P49" si="220">IF(C49=D49,0,((E49-D49)-(C49-E49))/(C49-D49))</f>
        <v>-0.23299565846599046</v>
      </c>
      <c r="Q49">
        <f t="shared" ref="Q49" si="221">F49*P49</f>
        <v>-498344.30188132962</v>
      </c>
      <c r="R49">
        <f t="shared" ref="R49" si="222">R50+Q49</f>
        <v>-17448935.137827493</v>
      </c>
      <c r="S49">
        <f t="shared" ref="S49" si="223">R49/100000</f>
        <v>-174.48935137827493</v>
      </c>
      <c r="T49">
        <f t="shared" ref="T49" si="224">S49/1000</f>
        <v>-0.17448935137827493</v>
      </c>
    </row>
    <row r="50" spans="1:20" x14ac:dyDescent="0.25">
      <c r="A50" s="5">
        <v>44543</v>
      </c>
      <c r="B50">
        <v>9.7210000000000001</v>
      </c>
      <c r="C50">
        <v>10.25</v>
      </c>
      <c r="D50">
        <v>8.25</v>
      </c>
      <c r="E50">
        <v>8.6780000000000008</v>
      </c>
      <c r="F50">
        <v>3139021.1</v>
      </c>
      <c r="G50">
        <v>8.6780000000000008</v>
      </c>
      <c r="L50" t="s">
        <v>7</v>
      </c>
      <c r="M50" t="s">
        <v>7</v>
      </c>
      <c r="N50" t="s">
        <v>8</v>
      </c>
      <c r="P50">
        <f t="shared" ref="P50" si="225">IF(C50=D50,0,((E50-D50)-(C50-E50))/(C50-D50))</f>
        <v>-0.57199999999999918</v>
      </c>
      <c r="Q50">
        <f t="shared" ref="Q50" si="226">F50*P50</f>
        <v>-1795520.0691999975</v>
      </c>
      <c r="R50">
        <f t="shared" ref="R50" si="227">R51+Q50</f>
        <v>-16950590.835946165</v>
      </c>
      <c r="S50">
        <f t="shared" ref="S50" si="228">R50/100000</f>
        <v>-169.50590835946164</v>
      </c>
      <c r="T50">
        <f t="shared" ref="T50" si="229">S50/1000</f>
        <v>-0.16950590835946164</v>
      </c>
    </row>
    <row r="51" spans="1:20" x14ac:dyDescent="0.25">
      <c r="A51" s="5">
        <v>44542</v>
      </c>
      <c r="B51">
        <v>8.3409999999999993</v>
      </c>
      <c r="C51">
        <v>10.541</v>
      </c>
      <c r="D51">
        <v>8.2780000000000005</v>
      </c>
      <c r="E51">
        <v>9.718</v>
      </c>
      <c r="F51">
        <v>3066622.2</v>
      </c>
      <c r="G51">
        <v>9.718</v>
      </c>
      <c r="L51" t="s">
        <v>8</v>
      </c>
      <c r="M51" t="s">
        <v>8</v>
      </c>
      <c r="N51" t="s">
        <v>8</v>
      </c>
      <c r="P51">
        <f t="shared" ref="P51" si="230">IF(C51=D51,0,((E51-D51)-(C51-E51))/(C51-D51))</f>
        <v>0.27264692885550118</v>
      </c>
      <c r="Q51">
        <f t="shared" ref="Q51" si="231">F51*P51</f>
        <v>836105.12479010061</v>
      </c>
      <c r="R51">
        <f t="shared" ref="R51" si="232">R52+Q51</f>
        <v>-15155070.766746167</v>
      </c>
      <c r="S51">
        <f t="shared" ref="S51" si="233">R51/100000</f>
        <v>-151.55070766746167</v>
      </c>
      <c r="T51">
        <f t="shared" ref="T51" si="234">S51/1000</f>
        <v>-0.15155070766746168</v>
      </c>
    </row>
    <row r="52" spans="1:20" x14ac:dyDescent="0.25">
      <c r="A52" s="5">
        <v>44541</v>
      </c>
      <c r="B52">
        <v>7.6639999999999997</v>
      </c>
      <c r="C52">
        <v>7.7679999999999998</v>
      </c>
      <c r="D52">
        <v>7.5229999999999997</v>
      </c>
      <c r="E52">
        <v>7.73</v>
      </c>
      <c r="F52">
        <v>56487.1</v>
      </c>
      <c r="G52">
        <v>7.73</v>
      </c>
      <c r="L52" t="s">
        <v>7</v>
      </c>
      <c r="M52" t="s">
        <v>7</v>
      </c>
      <c r="N52" t="s">
        <v>8</v>
      </c>
      <c r="P52">
        <f t="shared" ref="P52" si="235">IF(C52=D52,0,((E52-D52)-(C52-E52))/(C52-D52))</f>
        <v>0.68979591836735221</v>
      </c>
      <c r="Q52">
        <f t="shared" ref="Q52" si="236">F52*P52</f>
        <v>38964.571020408461</v>
      </c>
      <c r="R52">
        <f t="shared" ref="R52" si="237">R53+Q52</f>
        <v>-15991175.891536267</v>
      </c>
      <c r="S52">
        <f t="shared" ref="S52" si="238">R52/100000</f>
        <v>-159.91175891536267</v>
      </c>
      <c r="T52">
        <f t="shared" ref="T52" si="239">S52/1000</f>
        <v>-0.15991175891536266</v>
      </c>
    </row>
    <row r="53" spans="1:20" x14ac:dyDescent="0.25">
      <c r="A53" s="5">
        <v>44540</v>
      </c>
      <c r="B53">
        <v>7.9320000000000004</v>
      </c>
      <c r="C53">
        <v>8.5990000000000002</v>
      </c>
      <c r="D53">
        <v>7.5789999999999997</v>
      </c>
      <c r="E53">
        <v>7.6669999999999998</v>
      </c>
      <c r="F53">
        <v>1645320.7</v>
      </c>
      <c r="G53">
        <v>7.6669999999999998</v>
      </c>
      <c r="L53" t="s">
        <v>7</v>
      </c>
      <c r="M53" t="s">
        <v>7</v>
      </c>
      <c r="N53" t="s">
        <v>8</v>
      </c>
      <c r="P53">
        <f t="shared" ref="P53" si="240">IF(C53=D53,0,((E53-D53)-(C53-E53))/(C53-D53))</f>
        <v>-0.82745098039215681</v>
      </c>
      <c r="Q53">
        <f t="shared" ref="Q53" si="241">F53*P53</f>
        <v>-1361422.2262745097</v>
      </c>
      <c r="R53">
        <f t="shared" ref="R53" si="242">R54+Q53</f>
        <v>-16030140.462556675</v>
      </c>
      <c r="S53">
        <f t="shared" ref="S53" si="243">R53/100000</f>
        <v>-160.30140462556676</v>
      </c>
      <c r="T53">
        <f t="shared" ref="T53" si="244">S53/1000</f>
        <v>-0.16030140462556677</v>
      </c>
    </row>
    <row r="54" spans="1:20" x14ac:dyDescent="0.25">
      <c r="A54" s="5">
        <v>44539</v>
      </c>
      <c r="B54">
        <v>8.4130000000000003</v>
      </c>
      <c r="C54">
        <v>9</v>
      </c>
      <c r="D54">
        <v>7.702</v>
      </c>
      <c r="E54">
        <v>7.9290000000000003</v>
      </c>
      <c r="F54">
        <v>2273579.2999999998</v>
      </c>
      <c r="G54">
        <v>7.9290000000000003</v>
      </c>
      <c r="L54" t="s">
        <v>7</v>
      </c>
      <c r="M54" t="s">
        <v>8</v>
      </c>
      <c r="N54" t="s">
        <v>8</v>
      </c>
      <c r="P54">
        <f t="shared" ref="P54" si="245">IF(C54=D54,0,((E54-D54)-(C54-E54))/(C54-D54))</f>
        <v>-0.65023112480739553</v>
      </c>
      <c r="Q54">
        <f t="shared" ref="Q54" si="246">F54*P54</f>
        <v>-1478352.0255778108</v>
      </c>
      <c r="R54">
        <f t="shared" ref="R54" si="247">R55+Q54</f>
        <v>-14668718.236282166</v>
      </c>
      <c r="S54">
        <f t="shared" ref="S54" si="248">R54/100000</f>
        <v>-146.68718236282166</v>
      </c>
      <c r="T54">
        <f t="shared" ref="T54" si="249">S54/1000</f>
        <v>-0.14668718236282166</v>
      </c>
    </row>
    <row r="55" spans="1:20" x14ac:dyDescent="0.25">
      <c r="A55" s="5">
        <v>44538</v>
      </c>
      <c r="B55">
        <v>8.0419999999999998</v>
      </c>
      <c r="C55">
        <v>8.9160000000000004</v>
      </c>
      <c r="D55">
        <v>7.6970000000000001</v>
      </c>
      <c r="E55">
        <v>8.4120000000000008</v>
      </c>
      <c r="F55">
        <v>1848145.4</v>
      </c>
      <c r="G55">
        <v>8.4120000000000008</v>
      </c>
      <c r="L55" t="s">
        <v>8</v>
      </c>
      <c r="M55" t="s">
        <v>8</v>
      </c>
      <c r="N55" t="s">
        <v>7</v>
      </c>
      <c r="P55">
        <f t="shared" ref="P55" si="250">IF(C55=D55,0,((E55-D55)-(C55-E55))/(C55-D55))</f>
        <v>0.17309269893355303</v>
      </c>
      <c r="Q55">
        <f t="shared" ref="Q55" si="251">F55*P55</f>
        <v>319900.4753076309</v>
      </c>
      <c r="R55">
        <f t="shared" ref="R55" si="252">R56+Q55</f>
        <v>-13190366.210704355</v>
      </c>
      <c r="S55">
        <f t="shared" ref="S55" si="253">R55/100000</f>
        <v>-131.90366210704354</v>
      </c>
      <c r="T55">
        <f t="shared" ref="T55" si="254">S55/1000</f>
        <v>-0.13190366210704355</v>
      </c>
    </row>
    <row r="56" spans="1:20" x14ac:dyDescent="0.25">
      <c r="A56" s="5">
        <v>44537</v>
      </c>
      <c r="B56">
        <v>7.7969999999999997</v>
      </c>
      <c r="C56">
        <v>8.3870000000000005</v>
      </c>
      <c r="D56">
        <v>7.7469999999999999</v>
      </c>
      <c r="E56">
        <v>8.0250000000000004</v>
      </c>
      <c r="F56">
        <v>1065658.1000000001</v>
      </c>
      <c r="G56">
        <v>8.0250000000000004</v>
      </c>
      <c r="L56" t="s">
        <v>8</v>
      </c>
      <c r="M56" t="s">
        <v>8</v>
      </c>
      <c r="N56" t="s">
        <v>7</v>
      </c>
      <c r="P56">
        <f t="shared" ref="P56" si="255">IF(C56=D56,0,((E56-D56)-(C56-E56))/(C56-D56))</f>
        <v>-0.13124999999999931</v>
      </c>
      <c r="Q56">
        <f t="shared" ref="Q56" si="256">F56*P56</f>
        <v>-139867.62562499929</v>
      </c>
      <c r="R56">
        <f t="shared" ref="R56" si="257">R57+Q56</f>
        <v>-13510266.686011985</v>
      </c>
      <c r="S56">
        <f t="shared" ref="S56" si="258">R56/100000</f>
        <v>-135.10266686011985</v>
      </c>
      <c r="T56">
        <f t="shared" ref="T56" si="259">S56/1000</f>
        <v>-0.13510266686011985</v>
      </c>
    </row>
    <row r="57" spans="1:20" x14ac:dyDescent="0.25">
      <c r="A57" s="5">
        <v>44536</v>
      </c>
      <c r="B57">
        <v>7.58</v>
      </c>
      <c r="C57">
        <v>7.8550000000000004</v>
      </c>
      <c r="D57">
        <v>6.7169999999999996</v>
      </c>
      <c r="E57">
        <v>7.7839999999999998</v>
      </c>
      <c r="F57">
        <v>2489870.1</v>
      </c>
      <c r="G57">
        <v>7.7839999999999998</v>
      </c>
      <c r="L57" t="s">
        <v>7</v>
      </c>
      <c r="M57" t="s">
        <v>7</v>
      </c>
      <c r="N57" t="s">
        <v>7</v>
      </c>
      <c r="P57">
        <f t="shared" ref="P57" si="260">IF(C57=D57,0,((E57-D57)-(C57-E57))/(C57-D57))</f>
        <v>0.87521968365553504</v>
      </c>
      <c r="Q57">
        <f t="shared" ref="Q57" si="261">F57*P57</f>
        <v>2179183.3212653757</v>
      </c>
      <c r="R57">
        <f t="shared" ref="R57" si="262">R58+Q57</f>
        <v>-13370399.060386986</v>
      </c>
      <c r="S57">
        <f t="shared" ref="S57" si="263">R57/100000</f>
        <v>-133.70399060386987</v>
      </c>
      <c r="T57">
        <f t="shared" ref="T57" si="264">S57/1000</f>
        <v>-0.13370399060386987</v>
      </c>
    </row>
    <row r="58" spans="1:20" x14ac:dyDescent="0.25">
      <c r="A58" s="5">
        <v>44535</v>
      </c>
      <c r="B58">
        <v>8.3460000000000001</v>
      </c>
      <c r="C58">
        <v>8.4610000000000003</v>
      </c>
      <c r="D58">
        <v>7.2439999999999998</v>
      </c>
      <c r="E58">
        <v>7.577</v>
      </c>
      <c r="F58">
        <v>2598828.7999999998</v>
      </c>
      <c r="G58">
        <v>7.577</v>
      </c>
      <c r="L58" t="s">
        <v>8</v>
      </c>
      <c r="M58" t="s">
        <v>8</v>
      </c>
      <c r="N58" t="s">
        <v>7</v>
      </c>
      <c r="P58">
        <f t="shared" ref="P58" si="265">IF(C58=D58,0,((E58-D58)-(C58-E58))/(C58-D58))</f>
        <v>-0.45275267050123247</v>
      </c>
      <c r="Q58">
        <f t="shared" ref="Q58" si="266">F58*P58</f>
        <v>-1176626.6793755132</v>
      </c>
      <c r="R58">
        <f t="shared" ref="R58" si="267">R59+Q58</f>
        <v>-15549582.381652361</v>
      </c>
      <c r="S58">
        <f t="shared" ref="S58" si="268">R58/100000</f>
        <v>-155.4958238165236</v>
      </c>
      <c r="T58">
        <f t="shared" ref="T58" si="269">S58/1000</f>
        <v>-0.1554958238165236</v>
      </c>
    </row>
    <row r="59" spans="1:20" x14ac:dyDescent="0.25">
      <c r="A59" s="5">
        <v>44534</v>
      </c>
      <c r="B59">
        <v>11.005000000000001</v>
      </c>
      <c r="C59">
        <v>11.013</v>
      </c>
      <c r="D59">
        <v>6.5</v>
      </c>
      <c r="E59">
        <v>8.3160000000000007</v>
      </c>
      <c r="F59">
        <v>2338786.4530000002</v>
      </c>
      <c r="G59">
        <v>8.3160000000000007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-0.19521382672280047</v>
      </c>
      <c r="Q59">
        <f t="shared" ref="Q59" si="271">F59*P59</f>
        <v>-456563.45337757515</v>
      </c>
      <c r="R59">
        <f t="shared" ref="R59" si="272">R60+Q59</f>
        <v>-14372955.702276848</v>
      </c>
      <c r="S59">
        <f t="shared" ref="S59" si="273">R59/100000</f>
        <v>-143.72955702276849</v>
      </c>
      <c r="T59">
        <f t="shared" ref="T59" si="274">S59/1000</f>
        <v>-0.14372955702276849</v>
      </c>
    </row>
    <row r="60" spans="1:20" x14ac:dyDescent="0.25">
      <c r="A60" s="5">
        <v>44533</v>
      </c>
      <c r="B60">
        <v>11.35</v>
      </c>
      <c r="C60">
        <v>12.188000000000001</v>
      </c>
      <c r="D60">
        <v>10.58</v>
      </c>
      <c r="E60">
        <v>11.02</v>
      </c>
      <c r="F60">
        <v>1605327.2</v>
      </c>
      <c r="G60">
        <v>11.02</v>
      </c>
      <c r="L60" t="s">
        <v>7</v>
      </c>
      <c r="M60" t="s">
        <v>7</v>
      </c>
      <c r="N60" t="s">
        <v>8</v>
      </c>
      <c r="P60">
        <f t="shared" ref="P60" si="275">IF(C60=D60,0,((E60-D60)-(C60-E60))/(C60-D60))</f>
        <v>-0.45273631840796102</v>
      </c>
      <c r="Q60">
        <f t="shared" ref="Q60" si="276">F60*P60</f>
        <v>-726789.92636816052</v>
      </c>
      <c r="R60">
        <f t="shared" ref="R60" si="277">R61+Q60</f>
        <v>-13916392.248899274</v>
      </c>
      <c r="S60">
        <f t="shared" ref="S60" si="278">R60/100000</f>
        <v>-139.16392248899274</v>
      </c>
      <c r="T60">
        <f t="shared" ref="T60" si="279">S60/1000</f>
        <v>-0.13916392248899273</v>
      </c>
    </row>
    <row r="61" spans="1:20" x14ac:dyDescent="0.25">
      <c r="A61" s="5">
        <v>44532</v>
      </c>
      <c r="B61">
        <v>11.896000000000001</v>
      </c>
      <c r="C61">
        <v>11.914</v>
      </c>
      <c r="D61">
        <v>11.147</v>
      </c>
      <c r="E61">
        <v>11.347</v>
      </c>
      <c r="F61">
        <v>1312325.1000000001</v>
      </c>
      <c r="G61">
        <v>11.347</v>
      </c>
      <c r="L61" t="s">
        <v>7</v>
      </c>
      <c r="M61" t="s">
        <v>7</v>
      </c>
      <c r="N61" t="s">
        <v>8</v>
      </c>
      <c r="P61">
        <f t="shared" ref="P61" si="280">IF(C61=D61,0,((E61-D61)-(C61-E61))/(C61-D61))</f>
        <v>-0.4784876140808359</v>
      </c>
      <c r="Q61">
        <f t="shared" ref="Q61" si="281">F61*P61</f>
        <v>-627931.30599739437</v>
      </c>
      <c r="R61">
        <f t="shared" ref="R61" si="282">R62+Q61</f>
        <v>-13189602.322531113</v>
      </c>
      <c r="S61">
        <f t="shared" ref="S61" si="283">R61/100000</f>
        <v>-131.89602322531113</v>
      </c>
      <c r="T61">
        <f t="shared" ref="T61" si="284">S61/1000</f>
        <v>-0.13189602322531113</v>
      </c>
    </row>
    <row r="62" spans="1:20" x14ac:dyDescent="0.25">
      <c r="A62" s="5">
        <v>44531</v>
      </c>
      <c r="B62">
        <v>12.265000000000001</v>
      </c>
      <c r="C62">
        <v>13.45</v>
      </c>
      <c r="D62">
        <v>11.737</v>
      </c>
      <c r="E62">
        <v>11.904999999999999</v>
      </c>
      <c r="F62">
        <v>2064103.1</v>
      </c>
      <c r="G62">
        <v>11.904999999999999</v>
      </c>
      <c r="L62" t="s">
        <v>8</v>
      </c>
      <c r="M62" t="s">
        <v>8</v>
      </c>
      <c r="N62" t="s">
        <v>8</v>
      </c>
      <c r="P62">
        <f t="shared" ref="P62" si="285">IF(C62=D62,0,((E62-D62)-(C62-E62))/(C62-D62))</f>
        <v>-0.80385288966725121</v>
      </c>
      <c r="Q62">
        <f t="shared" ref="Q62" si="286">F62*P62</f>
        <v>-1659235.2415061314</v>
      </c>
      <c r="R62">
        <f t="shared" ref="R62" si="287">R63+Q62</f>
        <v>-12561671.016533719</v>
      </c>
      <c r="S62">
        <f t="shared" ref="S62" si="288">R62/100000</f>
        <v>-125.6167101653372</v>
      </c>
      <c r="T62">
        <f t="shared" ref="T62" si="289">S62/1000</f>
        <v>-0.12561671016533721</v>
      </c>
    </row>
    <row r="63" spans="1:20" x14ac:dyDescent="0.25">
      <c r="A63" s="5">
        <v>44530</v>
      </c>
      <c r="B63">
        <v>11.617000000000001</v>
      </c>
      <c r="C63">
        <v>13.37</v>
      </c>
      <c r="D63">
        <v>11.122999999999999</v>
      </c>
      <c r="E63">
        <v>12.250999999999999</v>
      </c>
      <c r="F63">
        <v>4233646.8</v>
      </c>
      <c r="G63">
        <v>12.250999999999999</v>
      </c>
      <c r="L63" t="s">
        <v>8</v>
      </c>
      <c r="M63" t="s">
        <v>8</v>
      </c>
      <c r="N63" t="s">
        <v>8</v>
      </c>
      <c r="P63">
        <f t="shared" ref="P63" si="290">IF(C63=D63,0,((E63-D63)-(C63-E63))/(C63-D63))</f>
        <v>4.0053404539387369E-3</v>
      </c>
      <c r="Q63">
        <f t="shared" ref="Q63" si="291">F63*P63</f>
        <v>16957.19679572828</v>
      </c>
      <c r="R63">
        <f t="shared" ref="R63" si="292">R64+Q63</f>
        <v>-10902435.775027588</v>
      </c>
      <c r="S63">
        <f t="shared" ref="S63" si="293">R63/100000</f>
        <v>-109.02435775027588</v>
      </c>
      <c r="T63">
        <f t="shared" ref="T63" si="294">S63/1000</f>
        <v>-0.10902435775027589</v>
      </c>
    </row>
    <row r="64" spans="1:20" x14ac:dyDescent="0.25">
      <c r="A64" s="5">
        <v>44529</v>
      </c>
      <c r="B64">
        <v>10.795</v>
      </c>
      <c r="C64">
        <v>11.9</v>
      </c>
      <c r="D64">
        <v>10.776</v>
      </c>
      <c r="E64">
        <v>11.617000000000001</v>
      </c>
      <c r="F64">
        <v>885665.9</v>
      </c>
      <c r="G64">
        <v>11.617000000000001</v>
      </c>
      <c r="L64" t="s">
        <v>8</v>
      </c>
      <c r="M64" t="s">
        <v>8</v>
      </c>
      <c r="N64" t="s">
        <v>7</v>
      </c>
      <c r="P64">
        <f t="shared" ref="P64" si="295">IF(C64=D64,0,((E64-D64)-(C64-E64))/(C64-D64))</f>
        <v>0.49644128113879121</v>
      </c>
      <c r="Q64">
        <f t="shared" ref="Q64" si="296">F64*P64</f>
        <v>439681.11405694054</v>
      </c>
      <c r="R64">
        <f t="shared" ref="R64" si="297">R65+Q64</f>
        <v>-10919392.971823316</v>
      </c>
      <c r="S64">
        <f t="shared" ref="S64" si="298">R64/100000</f>
        <v>-109.19392971823316</v>
      </c>
      <c r="T64">
        <f t="shared" ref="T64" si="299">S64/1000</f>
        <v>-0.10919392971823316</v>
      </c>
    </row>
    <row r="65" spans="1:20" x14ac:dyDescent="0.25">
      <c r="A65" s="5">
        <v>44528</v>
      </c>
      <c r="B65">
        <v>10.393000000000001</v>
      </c>
      <c r="C65">
        <v>11.086</v>
      </c>
      <c r="D65">
        <v>9.5690000000000008</v>
      </c>
      <c r="E65">
        <v>10.803000000000001</v>
      </c>
      <c r="F65">
        <v>1326529.5</v>
      </c>
      <c r="G65">
        <v>10.803000000000001</v>
      </c>
      <c r="L65" t="s">
        <v>8</v>
      </c>
      <c r="M65" t="s">
        <v>8</v>
      </c>
      <c r="N65" t="s">
        <v>7</v>
      </c>
      <c r="P65">
        <f t="shared" ref="P65" si="300">IF(C65=D65,0,((E65-D65)-(C65-E65))/(C65-D65))</f>
        <v>0.62689518787079823</v>
      </c>
      <c r="Q65">
        <f t="shared" ref="Q65" si="301">F65*P65</f>
        <v>831594.96011865605</v>
      </c>
      <c r="R65">
        <f t="shared" ref="R65" si="302">R66+Q65</f>
        <v>-11359074.085880257</v>
      </c>
      <c r="S65">
        <f t="shared" ref="S65" si="303">R65/100000</f>
        <v>-113.59074085880258</v>
      </c>
      <c r="T65">
        <f t="shared" ref="T65" si="304">S65/1000</f>
        <v>-0.11359074085880258</v>
      </c>
    </row>
    <row r="66" spans="1:20" x14ac:dyDescent="0.25">
      <c r="A66" s="5">
        <v>44527</v>
      </c>
      <c r="B66">
        <v>9.6999999999999993</v>
      </c>
      <c r="C66">
        <v>10.903</v>
      </c>
      <c r="D66">
        <v>9.6620000000000008</v>
      </c>
      <c r="E66">
        <v>10.398</v>
      </c>
      <c r="F66">
        <v>453723.4</v>
      </c>
      <c r="G66">
        <v>10.398</v>
      </c>
      <c r="L66" t="s">
        <v>8</v>
      </c>
      <c r="M66" t="s">
        <v>7</v>
      </c>
      <c r="N66" t="s">
        <v>7</v>
      </c>
      <c r="P66">
        <f t="shared" ref="P66" si="305">IF(C66=D66,0,((E66-D66)-(C66-E66))/(C66-D66))</f>
        <v>0.18614020950845944</v>
      </c>
      <c r="Q66">
        <f t="shared" ref="Q66" si="306">F66*P66</f>
        <v>84456.168734890554</v>
      </c>
      <c r="R66">
        <f t="shared" ref="R66" si="307">R67+Q66</f>
        <v>-12190669.045998912</v>
      </c>
      <c r="S66">
        <f t="shared" ref="S66" si="308">R66/100000</f>
        <v>-121.90669045998912</v>
      </c>
      <c r="T66">
        <f t="shared" ref="T66" si="309">S66/1000</f>
        <v>-0.12190669045998913</v>
      </c>
    </row>
    <row r="67" spans="1:20" x14ac:dyDescent="0.25">
      <c r="A67" s="5">
        <v>44526</v>
      </c>
      <c r="B67">
        <v>11.162000000000001</v>
      </c>
      <c r="C67">
        <v>11.337</v>
      </c>
      <c r="D67">
        <v>9.4179999999999993</v>
      </c>
      <c r="E67">
        <v>9.6760000000000002</v>
      </c>
      <c r="F67">
        <v>672497.2</v>
      </c>
      <c r="G67">
        <v>9.6760000000000002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-0.73110995310057236</v>
      </c>
      <c r="Q67">
        <f t="shared" ref="Q67" si="311">F67*P67</f>
        <v>-491669.39635226619</v>
      </c>
      <c r="R67">
        <f t="shared" ref="R67" si="312">R68+Q67</f>
        <v>-12275125.214733804</v>
      </c>
      <c r="S67">
        <f t="shared" ref="S67" si="313">R67/100000</f>
        <v>-122.75125214733804</v>
      </c>
      <c r="T67">
        <f t="shared" ref="T67" si="314">S67/1000</f>
        <v>-0.12275125214733804</v>
      </c>
    </row>
    <row r="68" spans="1:20" x14ac:dyDescent="0.25">
      <c r="A68" s="5">
        <v>44525</v>
      </c>
      <c r="B68">
        <v>10.565</v>
      </c>
      <c r="C68">
        <v>11.432</v>
      </c>
      <c r="D68">
        <v>10.467000000000001</v>
      </c>
      <c r="E68">
        <v>11.16</v>
      </c>
      <c r="F68">
        <v>546077.1</v>
      </c>
      <c r="G68">
        <v>11.16</v>
      </c>
      <c r="L68" t="s">
        <v>8</v>
      </c>
      <c r="M68" t="s">
        <v>8</v>
      </c>
      <c r="N68" t="s">
        <v>7</v>
      </c>
      <c r="P68">
        <f t="shared" ref="P68" si="315">IF(C68=D68,0,((E68-D68)-(C68-E68))/(C68-D68))</f>
        <v>0.4362694300518129</v>
      </c>
      <c r="Q68">
        <f t="shared" ref="Q68" si="316">F68*P68</f>
        <v>238236.74518134684</v>
      </c>
      <c r="R68">
        <f t="shared" ref="R68" si="317">R69+Q68</f>
        <v>-11783455.818381537</v>
      </c>
      <c r="S68">
        <f t="shared" ref="S68" si="318">R68/100000</f>
        <v>-117.83455818381536</v>
      </c>
      <c r="T68">
        <f t="shared" ref="T68" si="319">S68/1000</f>
        <v>-0.11783455818381536</v>
      </c>
    </row>
    <row r="69" spans="1:20" x14ac:dyDescent="0.25">
      <c r="A69" s="5">
        <v>44524</v>
      </c>
      <c r="B69">
        <v>11.185</v>
      </c>
      <c r="C69">
        <v>11.307</v>
      </c>
      <c r="D69">
        <v>10.728</v>
      </c>
      <c r="E69">
        <v>11.035</v>
      </c>
      <c r="F69">
        <v>174706</v>
      </c>
      <c r="G69">
        <v>11.035</v>
      </c>
      <c r="L69" t="s">
        <v>8</v>
      </c>
      <c r="M69" t="s">
        <v>8</v>
      </c>
      <c r="N69" t="s">
        <v>7</v>
      </c>
      <c r="P69">
        <f t="shared" ref="P69" si="320">IF(C69=D69,0,((E69-D69)-(C69-E69))/(C69-D69))</f>
        <v>6.0449050086355968E-2</v>
      </c>
      <c r="Q69">
        <f t="shared" ref="Q69" si="321">F69*P69</f>
        <v>10560.811744386905</v>
      </c>
      <c r="R69">
        <f t="shared" ref="R69" si="322">R70+Q69</f>
        <v>-12021692.563562883</v>
      </c>
      <c r="S69">
        <f t="shared" ref="S69" si="323">R69/100000</f>
        <v>-120.21692563562883</v>
      </c>
      <c r="T69">
        <f t="shared" ref="T69" si="324">S69/1000</f>
        <v>-0.12021692563562883</v>
      </c>
    </row>
    <row r="70" spans="1:20" x14ac:dyDescent="0.25">
      <c r="A70" s="5">
        <v>44523</v>
      </c>
      <c r="B70">
        <v>10.731999999999999</v>
      </c>
      <c r="C70">
        <v>11.21</v>
      </c>
      <c r="D70">
        <v>10.510999999999999</v>
      </c>
      <c r="E70">
        <v>11.172000000000001</v>
      </c>
      <c r="F70">
        <v>484252.7</v>
      </c>
      <c r="G70">
        <v>11.172000000000001</v>
      </c>
      <c r="L70" t="s">
        <v>8</v>
      </c>
      <c r="M70" t="s">
        <v>8</v>
      </c>
      <c r="N70" t="s">
        <v>7</v>
      </c>
      <c r="P70">
        <f t="shared" ref="P70" si="325">IF(C70=D70,0,((E70-D70)-(C70-E70))/(C70-D70))</f>
        <v>0.891273247496423</v>
      </c>
      <c r="Q70">
        <f t="shared" ref="Q70" si="326">F70*P70</f>
        <v>431601.4765379111</v>
      </c>
      <c r="R70">
        <f t="shared" ref="R70" si="327">R71+Q70</f>
        <v>-12032253.375307269</v>
      </c>
      <c r="S70">
        <f t="shared" ref="S70" si="328">R70/100000</f>
        <v>-120.32253375307269</v>
      </c>
      <c r="T70">
        <f t="shared" ref="T70" si="329">S70/1000</f>
        <v>-0.1203225337530727</v>
      </c>
    </row>
    <row r="71" spans="1:20" x14ac:dyDescent="0.25">
      <c r="A71" s="5">
        <v>44522</v>
      </c>
      <c r="B71">
        <v>10.872999999999999</v>
      </c>
      <c r="C71">
        <v>11.23</v>
      </c>
      <c r="D71">
        <v>10.269</v>
      </c>
      <c r="E71">
        <v>10.731999999999999</v>
      </c>
      <c r="F71">
        <v>881650.5</v>
      </c>
      <c r="G71">
        <v>10.731999999999999</v>
      </c>
      <c r="L71" t="s">
        <v>7</v>
      </c>
      <c r="M71" t="s">
        <v>8</v>
      </c>
      <c r="N71" t="s">
        <v>7</v>
      </c>
      <c r="P71">
        <f t="shared" ref="P71" si="330">IF(C71=D71,0,((E71-D71)-(C71-E71))/(C71-D71))</f>
        <v>-3.642039542143799E-2</v>
      </c>
      <c r="Q71">
        <f t="shared" ref="Q71" si="331">F71*P71</f>
        <v>-32110.059833508516</v>
      </c>
      <c r="R71">
        <f t="shared" ref="R71" si="332">R72+Q71</f>
        <v>-12463854.851845181</v>
      </c>
      <c r="S71">
        <f t="shared" ref="S71" si="333">R71/100000</f>
        <v>-124.63854851845181</v>
      </c>
      <c r="T71">
        <f t="shared" ref="T71" si="334">S71/1000</f>
        <v>-0.12463854851845181</v>
      </c>
    </row>
    <row r="72" spans="1:20" x14ac:dyDescent="0.25">
      <c r="A72" s="5">
        <v>44521</v>
      </c>
      <c r="B72">
        <v>10.625999999999999</v>
      </c>
      <c r="C72">
        <v>11.423</v>
      </c>
      <c r="D72">
        <v>10.353999999999999</v>
      </c>
      <c r="E72">
        <v>10.843999999999999</v>
      </c>
      <c r="F72">
        <v>949901.3</v>
      </c>
      <c r="G72">
        <v>10.843999999999999</v>
      </c>
      <c r="L72" t="s">
        <v>8</v>
      </c>
      <c r="M72" t="s">
        <v>8</v>
      </c>
      <c r="N72" t="s">
        <v>7</v>
      </c>
      <c r="P72">
        <f t="shared" ref="P72" si="335">IF(C72=D72,0,((E72-D72)-(C72-E72))/(C72-D72))</f>
        <v>-8.3255378858746815E-2</v>
      </c>
      <c r="Q72">
        <f t="shared" ref="Q72" si="336">F72*P72</f>
        <v>-79084.392609916118</v>
      </c>
      <c r="R72">
        <f t="shared" ref="R72" si="337">R73+Q72</f>
        <v>-12431744.792011673</v>
      </c>
      <c r="S72">
        <f t="shared" ref="S72" si="338">R72/100000</f>
        <v>-124.31744792011672</v>
      </c>
      <c r="T72">
        <f t="shared" ref="T72" si="339">S72/1000</f>
        <v>-0.12431744792011672</v>
      </c>
    </row>
    <row r="73" spans="1:20" x14ac:dyDescent="0.25">
      <c r="A73" s="5">
        <v>44520</v>
      </c>
      <c r="B73">
        <v>9.8819999999999997</v>
      </c>
      <c r="C73">
        <v>10.715999999999999</v>
      </c>
      <c r="D73">
        <v>9.8819999999999997</v>
      </c>
      <c r="E73">
        <v>10.629</v>
      </c>
      <c r="F73">
        <v>1035804.1</v>
      </c>
      <c r="G73">
        <v>10.629</v>
      </c>
      <c r="L73" t="s">
        <v>8</v>
      </c>
      <c r="M73" t="s">
        <v>8</v>
      </c>
      <c r="N73" t="s">
        <v>7</v>
      </c>
      <c r="P73">
        <f t="shared" ref="P73" si="340">IF(C73=D73,0,((E73-D73)-(C73-E73))/(C73-D73))</f>
        <v>0.79136690647482066</v>
      </c>
      <c r="Q73">
        <f t="shared" ref="Q73" si="341">F73*P73</f>
        <v>819701.08633093582</v>
      </c>
      <c r="R73">
        <f t="shared" ref="R73" si="342">R74+Q73</f>
        <v>-12352660.399401756</v>
      </c>
      <c r="S73">
        <f t="shared" ref="S73" si="343">R73/100000</f>
        <v>-123.52660399401756</v>
      </c>
      <c r="T73">
        <f t="shared" ref="T73" si="344">S73/1000</f>
        <v>-0.12352660399401756</v>
      </c>
    </row>
    <row r="74" spans="1:20" x14ac:dyDescent="0.25">
      <c r="A74" s="5">
        <v>44519</v>
      </c>
      <c r="B74">
        <v>9.173</v>
      </c>
      <c r="C74">
        <v>10.55</v>
      </c>
      <c r="D74">
        <v>9.0109999999999992</v>
      </c>
      <c r="E74">
        <v>9.8840000000000003</v>
      </c>
      <c r="F74">
        <v>1245475.8999999999</v>
      </c>
      <c r="G74">
        <v>9.8840000000000003</v>
      </c>
      <c r="L74" t="s">
        <v>8</v>
      </c>
      <c r="M74" t="s">
        <v>8</v>
      </c>
      <c r="N74" t="s">
        <v>7</v>
      </c>
      <c r="P74">
        <f t="shared" ref="P74" si="345">IF(C74=D74,0,((E74-D74)-(C74-E74))/(C74-D74))</f>
        <v>0.13450292397660854</v>
      </c>
      <c r="Q74">
        <f t="shared" ref="Q74" si="346">F74*P74</f>
        <v>167520.15029239809</v>
      </c>
      <c r="R74">
        <f t="shared" ref="R74" si="347">R75+Q74</f>
        <v>-13172361.485732691</v>
      </c>
      <c r="S74">
        <f t="shared" ref="S74" si="348">R74/100000</f>
        <v>-131.72361485732691</v>
      </c>
      <c r="T74">
        <f t="shared" ref="T74" si="349">S74/1000</f>
        <v>-0.13172361485732692</v>
      </c>
    </row>
    <row r="75" spans="1:20" x14ac:dyDescent="0.25">
      <c r="A75" s="5">
        <v>44518</v>
      </c>
      <c r="B75">
        <v>10.176</v>
      </c>
      <c r="C75">
        <v>10.340999999999999</v>
      </c>
      <c r="D75">
        <v>8.7799999999999994</v>
      </c>
      <c r="E75">
        <v>9.157</v>
      </c>
      <c r="F75">
        <v>859336.9</v>
      </c>
      <c r="G75">
        <v>9.157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-0.51697629724535465</v>
      </c>
      <c r="Q75">
        <f t="shared" ref="Q75" si="351">F75*P75</f>
        <v>-444256.80864830164</v>
      </c>
      <c r="R75">
        <f t="shared" ref="R75" si="352">R76+Q75</f>
        <v>-13339881.63602509</v>
      </c>
      <c r="S75">
        <f t="shared" ref="S75" si="353">R75/100000</f>
        <v>-133.39881636025089</v>
      </c>
      <c r="T75">
        <f t="shared" ref="T75" si="354">S75/1000</f>
        <v>-0.13339881636025089</v>
      </c>
    </row>
    <row r="76" spans="1:20" x14ac:dyDescent="0.25">
      <c r="A76" s="5">
        <v>44517</v>
      </c>
      <c r="B76">
        <v>10.131</v>
      </c>
      <c r="C76">
        <v>10.493</v>
      </c>
      <c r="D76">
        <v>9.673</v>
      </c>
      <c r="E76">
        <v>10.176</v>
      </c>
      <c r="F76">
        <v>595491.5</v>
      </c>
      <c r="G76">
        <v>10.176</v>
      </c>
      <c r="L76" t="s">
        <v>8</v>
      </c>
      <c r="M76" t="s">
        <v>7</v>
      </c>
      <c r="N76" t="s">
        <v>7</v>
      </c>
      <c r="P76">
        <f t="shared" ref="P76" si="355">IF(C76=D76,0,((E76-D76)-(C76-E76))/(C76-D76))</f>
        <v>0.22682926829268277</v>
      </c>
      <c r="Q76">
        <f t="shared" ref="Q76" si="356">F76*P76</f>
        <v>135074.9012195121</v>
      </c>
      <c r="R76">
        <f t="shared" ref="R76" si="357">R77+Q76</f>
        <v>-12895624.827376788</v>
      </c>
      <c r="S76">
        <f t="shared" ref="S76" si="358">R76/100000</f>
        <v>-128.9562482737679</v>
      </c>
      <c r="T76">
        <f t="shared" ref="T76" si="359">S76/1000</f>
        <v>-0.12895624827376789</v>
      </c>
    </row>
    <row r="77" spans="1:20" x14ac:dyDescent="0.25">
      <c r="A77" s="5">
        <v>44516</v>
      </c>
      <c r="B77">
        <v>11.747</v>
      </c>
      <c r="C77">
        <v>11.750999999999999</v>
      </c>
      <c r="D77">
        <v>9.5820000000000007</v>
      </c>
      <c r="E77">
        <v>10.135</v>
      </c>
      <c r="F77">
        <v>1436293.8</v>
      </c>
      <c r="G77">
        <v>10.135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-0.49008759797141599</v>
      </c>
      <c r="Q77">
        <f t="shared" ref="Q77" si="361">F77*P77</f>
        <v>-703909.77842323738</v>
      </c>
      <c r="R77">
        <f t="shared" ref="R77" si="362">R78+Q77</f>
        <v>-13030699.7285963</v>
      </c>
      <c r="S77">
        <f t="shared" ref="S77" si="363">R77/100000</f>
        <v>-130.30699728596301</v>
      </c>
      <c r="T77">
        <f t="shared" ref="T77" si="364">S77/1000</f>
        <v>-0.13030699728596301</v>
      </c>
    </row>
    <row r="78" spans="1:20" x14ac:dyDescent="0.25">
      <c r="A78" s="5">
        <v>44515</v>
      </c>
      <c r="B78">
        <v>12.223000000000001</v>
      </c>
      <c r="C78">
        <v>12.6</v>
      </c>
      <c r="D78">
        <v>11.664999999999999</v>
      </c>
      <c r="E78">
        <v>11.74</v>
      </c>
      <c r="F78">
        <v>778484.1</v>
      </c>
      <c r="G78">
        <v>11.74</v>
      </c>
      <c r="L78" t="s">
        <v>8</v>
      </c>
      <c r="M78" t="s">
        <v>8</v>
      </c>
      <c r="N78" t="s">
        <v>8</v>
      </c>
      <c r="P78">
        <f t="shared" ref="P78" si="365">IF(C78=D78,0,((E78-D78)-(C78-E78))/(C78-D78))</f>
        <v>-0.83957219251336679</v>
      </c>
      <c r="Q78">
        <f t="shared" ref="Q78" si="366">F78*P78</f>
        <v>-653593.60267379507</v>
      </c>
      <c r="R78">
        <f t="shared" ref="R78" si="367">R79+Q78</f>
        <v>-12326789.950173063</v>
      </c>
      <c r="S78">
        <f t="shared" ref="S78" si="368">R78/100000</f>
        <v>-123.26789950173062</v>
      </c>
      <c r="T78">
        <f t="shared" ref="T78" si="369">S78/1000</f>
        <v>-0.12326789950173063</v>
      </c>
    </row>
    <row r="79" spans="1:20" x14ac:dyDescent="0.25">
      <c r="A79" s="5">
        <v>44514</v>
      </c>
      <c r="B79">
        <v>11.872</v>
      </c>
      <c r="C79">
        <v>12.337</v>
      </c>
      <c r="D79">
        <v>11.737</v>
      </c>
      <c r="E79">
        <v>12.211</v>
      </c>
      <c r="F79">
        <v>594058.80000000005</v>
      </c>
      <c r="G79">
        <v>12.211</v>
      </c>
      <c r="L79" t="s">
        <v>7</v>
      </c>
      <c r="M79" t="s">
        <v>8</v>
      </c>
      <c r="N79" t="s">
        <v>8</v>
      </c>
      <c r="P79">
        <f t="shared" ref="P79" si="370">IF(C79=D79,0,((E79-D79)-(C79-E79))/(C79-D79))</f>
        <v>0.58000000000000163</v>
      </c>
      <c r="Q79">
        <f t="shared" ref="Q79" si="371">F79*P79</f>
        <v>344554.10400000098</v>
      </c>
      <c r="R79">
        <f t="shared" ref="R79" si="372">R80+Q79</f>
        <v>-11673196.347499268</v>
      </c>
      <c r="S79">
        <f t="shared" ref="S79" si="373">R79/100000</f>
        <v>-116.73196347499268</v>
      </c>
      <c r="T79">
        <f t="shared" ref="T79" si="374">S79/1000</f>
        <v>-0.11673196347499268</v>
      </c>
    </row>
    <row r="80" spans="1:20" x14ac:dyDescent="0.25">
      <c r="A80" s="5">
        <v>44513</v>
      </c>
      <c r="B80">
        <v>11.766</v>
      </c>
      <c r="C80">
        <v>12.177</v>
      </c>
      <c r="D80">
        <v>11.613</v>
      </c>
      <c r="E80">
        <v>11.864000000000001</v>
      </c>
      <c r="F80">
        <v>630976.19999999995</v>
      </c>
      <c r="G80">
        <v>11.864000000000001</v>
      </c>
      <c r="L80" t="s">
        <v>7</v>
      </c>
      <c r="M80" t="s">
        <v>8</v>
      </c>
      <c r="N80" t="s">
        <v>8</v>
      </c>
      <c r="P80">
        <f t="shared" ref="P80" si="375">IF(C80=D80,0,((E80-D80)-(C80-E80))/(C80-D80))</f>
        <v>-0.10992907801418016</v>
      </c>
      <c r="Q80">
        <f t="shared" ref="Q80" si="376">F80*P80</f>
        <v>-69362.631914890939</v>
      </c>
      <c r="R80">
        <f t="shared" ref="R80" si="377">R81+Q80</f>
        <v>-12017750.451499268</v>
      </c>
      <c r="S80">
        <f t="shared" ref="S80" si="378">R80/100000</f>
        <v>-120.17750451499269</v>
      </c>
      <c r="T80">
        <f t="shared" ref="T80" si="379">S80/1000</f>
        <v>-0.12017750451499269</v>
      </c>
    </row>
    <row r="81" spans="1:20" x14ac:dyDescent="0.25">
      <c r="A81" s="5">
        <v>44512</v>
      </c>
      <c r="B81">
        <v>11.972</v>
      </c>
      <c r="C81">
        <v>13.14</v>
      </c>
      <c r="D81">
        <v>11.414</v>
      </c>
      <c r="E81">
        <v>11.766</v>
      </c>
      <c r="F81">
        <v>1108664.3</v>
      </c>
      <c r="G81">
        <v>11.766</v>
      </c>
      <c r="L81" t="s">
        <v>8</v>
      </c>
      <c r="M81" t="s">
        <v>8</v>
      </c>
      <c r="N81" t="s">
        <v>8</v>
      </c>
      <c r="P81">
        <f t="shared" ref="P81" si="380">IF(C81=D81,0,((E81-D81)-(C81-E81))/(C81-D81))</f>
        <v>-0.59212050984936249</v>
      </c>
      <c r="Q81">
        <f t="shared" ref="Q81" si="381">F81*P81</f>
        <v>-656462.87056778662</v>
      </c>
      <c r="R81">
        <f t="shared" ref="R81" si="382">R82+Q81</f>
        <v>-11948387.819584377</v>
      </c>
      <c r="S81">
        <f t="shared" ref="S81" si="383">R81/100000</f>
        <v>-119.48387819584377</v>
      </c>
      <c r="T81">
        <f t="shared" ref="T81" si="384">S81/1000</f>
        <v>-0.11948387819584377</v>
      </c>
    </row>
    <row r="82" spans="1:20" x14ac:dyDescent="0.25">
      <c r="A82" s="5">
        <v>44511</v>
      </c>
      <c r="B82">
        <v>11.022</v>
      </c>
      <c r="C82">
        <v>13.087999999999999</v>
      </c>
      <c r="D82">
        <v>10.818</v>
      </c>
      <c r="E82">
        <v>11.973000000000001</v>
      </c>
      <c r="F82">
        <v>1683098.3</v>
      </c>
      <c r="G82">
        <v>11.973000000000001</v>
      </c>
      <c r="L82" t="s">
        <v>8</v>
      </c>
      <c r="M82" t="s">
        <v>8</v>
      </c>
      <c r="N82" t="s">
        <v>8</v>
      </c>
      <c r="P82">
        <f t="shared" ref="P82" si="385">IF(C82=D82,0,((E82-D82)-(C82-E82))/(C82-D82))</f>
        <v>1.7621145374450531E-2</v>
      </c>
      <c r="Q82">
        <f t="shared" ref="Q82" si="386">F82*P82</f>
        <v>29658.119823790552</v>
      </c>
      <c r="R82">
        <f t="shared" ref="R82" si="387">R83+Q82</f>
        <v>-11291924.94901659</v>
      </c>
      <c r="S82">
        <f t="shared" ref="S82" si="388">R82/100000</f>
        <v>-112.9192494901659</v>
      </c>
      <c r="T82">
        <f t="shared" ref="T82" si="389">S82/1000</f>
        <v>-0.11291924949016589</v>
      </c>
    </row>
    <row r="83" spans="1:20" x14ac:dyDescent="0.25">
      <c r="A83" s="5">
        <v>44510</v>
      </c>
      <c r="B83">
        <v>12.228999999999999</v>
      </c>
      <c r="C83">
        <v>12.693</v>
      </c>
      <c r="D83">
        <v>10.01</v>
      </c>
      <c r="E83">
        <v>11.032</v>
      </c>
      <c r="F83">
        <v>1132956.1000000001</v>
      </c>
      <c r="G83">
        <v>11.032</v>
      </c>
      <c r="L83" t="s">
        <v>7</v>
      </c>
      <c r="M83" t="s">
        <v>7</v>
      </c>
      <c r="N83" t="s">
        <v>8</v>
      </c>
      <c r="P83">
        <f t="shared" ref="P83" si="390">IF(C83=D83,0,((E83-D83)-(C83-E83))/(C83-D83))</f>
        <v>-0.23816623183004076</v>
      </c>
      <c r="Q83">
        <f t="shared" ref="Q83" si="391">F83*P83</f>
        <v>-269831.8851658589</v>
      </c>
      <c r="R83">
        <f t="shared" ref="R83" si="392">R84+Q83</f>
        <v>-11321583.068840381</v>
      </c>
      <c r="S83">
        <f t="shared" ref="S83" si="393">R83/100000</f>
        <v>-113.21583068840381</v>
      </c>
      <c r="T83">
        <f t="shared" ref="T83" si="394">S83/1000</f>
        <v>-0.11321583068840381</v>
      </c>
    </row>
    <row r="84" spans="1:20" x14ac:dyDescent="0.25">
      <c r="A84" s="5">
        <v>44509</v>
      </c>
      <c r="B84">
        <v>12.491</v>
      </c>
      <c r="C84">
        <v>12.856</v>
      </c>
      <c r="D84">
        <v>12.037000000000001</v>
      </c>
      <c r="E84">
        <v>12.228999999999999</v>
      </c>
      <c r="F84">
        <v>629456.9</v>
      </c>
      <c r="G84">
        <v>12.228999999999999</v>
      </c>
      <c r="L84" t="s">
        <v>8</v>
      </c>
      <c r="M84" t="s">
        <v>8</v>
      </c>
      <c r="N84" t="s">
        <v>8</v>
      </c>
      <c r="P84">
        <f t="shared" ref="P84" si="395">IF(C84=D84,0,((E84-D84)-(C84-E84))/(C84-D84))</f>
        <v>-0.53113553113553447</v>
      </c>
      <c r="Q84">
        <f t="shared" ref="Q84" si="396">F84*P84</f>
        <v>-334326.924908427</v>
      </c>
      <c r="R84">
        <f t="shared" ref="R84" si="397">R85+Q84</f>
        <v>-11051751.183674522</v>
      </c>
      <c r="S84">
        <f t="shared" ref="S84" si="398">R84/100000</f>
        <v>-110.51751183674521</v>
      </c>
      <c r="T84">
        <f t="shared" ref="T84" si="399">S84/1000</f>
        <v>-0.11051751183674521</v>
      </c>
    </row>
    <row r="85" spans="1:20" x14ac:dyDescent="0.25">
      <c r="A85" s="5">
        <v>44508</v>
      </c>
      <c r="B85">
        <v>12.083</v>
      </c>
      <c r="C85">
        <v>12.542999999999999</v>
      </c>
      <c r="D85">
        <v>11.696999999999999</v>
      </c>
      <c r="E85">
        <v>12.491</v>
      </c>
      <c r="F85">
        <v>612697.5</v>
      </c>
      <c r="G85">
        <v>12.491</v>
      </c>
      <c r="L85" t="s">
        <v>8</v>
      </c>
      <c r="M85" t="s">
        <v>8</v>
      </c>
      <c r="N85" t="s">
        <v>8</v>
      </c>
      <c r="P85">
        <f t="shared" ref="P85" si="400">IF(C85=D85,0,((E85-D85)-(C85-E85))/(C85-D85))</f>
        <v>0.87706855791962268</v>
      </c>
      <c r="Q85">
        <f t="shared" ref="Q85" si="401">F85*P85</f>
        <v>537377.71276595804</v>
      </c>
      <c r="R85">
        <f t="shared" ref="R85" si="402">R86+Q85</f>
        <v>-10717424.258766094</v>
      </c>
      <c r="S85">
        <f t="shared" ref="S85" si="403">R85/100000</f>
        <v>-107.17424258766094</v>
      </c>
      <c r="T85">
        <f t="shared" ref="T85" si="404">S85/1000</f>
        <v>-0.10717424258766094</v>
      </c>
    </row>
    <row r="86" spans="1:20" x14ac:dyDescent="0.25">
      <c r="A86" s="5">
        <v>44507</v>
      </c>
      <c r="B86">
        <v>11.878</v>
      </c>
      <c r="C86">
        <v>12.173</v>
      </c>
      <c r="D86">
        <v>11.76</v>
      </c>
      <c r="E86">
        <v>12.055</v>
      </c>
      <c r="F86">
        <v>549348.80000000005</v>
      </c>
      <c r="G86">
        <v>12.055</v>
      </c>
      <c r="L86" t="s">
        <v>7</v>
      </c>
      <c r="M86" t="s">
        <v>8</v>
      </c>
      <c r="N86" t="s">
        <v>8</v>
      </c>
      <c r="P86">
        <f t="shared" ref="P86" si="405">IF(C86=D86,0,((E86-D86)-(C86-E86))/(C86-D86))</f>
        <v>0.42857142857142733</v>
      </c>
      <c r="Q86">
        <f t="shared" ref="Q86" si="406">F86*P86</f>
        <v>235435.19999999934</v>
      </c>
      <c r="R86">
        <f t="shared" ref="R86" si="407">R87+Q86</f>
        <v>-11254801.971532052</v>
      </c>
      <c r="S86">
        <f t="shared" ref="S86" si="408">R86/100000</f>
        <v>-112.54801971532052</v>
      </c>
      <c r="T86">
        <f t="shared" ref="T86" si="409">S86/1000</f>
        <v>-0.11254801971532052</v>
      </c>
    </row>
    <row r="87" spans="1:20" x14ac:dyDescent="0.25">
      <c r="A87" s="5">
        <v>44506</v>
      </c>
      <c r="B87">
        <v>12.679</v>
      </c>
      <c r="C87">
        <v>12.718999999999999</v>
      </c>
      <c r="D87">
        <v>11.585000000000001</v>
      </c>
      <c r="E87">
        <v>11.872</v>
      </c>
      <c r="F87">
        <v>650191.69999999995</v>
      </c>
      <c r="G87">
        <v>11.872</v>
      </c>
      <c r="L87" t="s">
        <v>7</v>
      </c>
      <c r="M87" t="s">
        <v>8</v>
      </c>
      <c r="N87" t="s">
        <v>8</v>
      </c>
      <c r="P87">
        <f t="shared" ref="P87" si="410">IF(C87=D87,0,((E87-D87)-(C87-E87))/(C87-D87))</f>
        <v>-0.49382716049382824</v>
      </c>
      <c r="Q87">
        <f t="shared" ref="Q87" si="411">F87*P87</f>
        <v>-321082.32098765502</v>
      </c>
      <c r="R87">
        <f t="shared" ref="R87" si="412">R88+Q87</f>
        <v>-11490237.171532052</v>
      </c>
      <c r="S87">
        <f t="shared" ref="S87" si="413">R87/100000</f>
        <v>-114.90237171532051</v>
      </c>
      <c r="T87">
        <f t="shared" ref="T87" si="414">S87/1000</f>
        <v>-0.11490237171532051</v>
      </c>
    </row>
    <row r="88" spans="1:20" x14ac:dyDescent="0.25">
      <c r="A88" s="5">
        <v>44505</v>
      </c>
      <c r="B88">
        <v>12.701000000000001</v>
      </c>
      <c r="C88">
        <v>13.574</v>
      </c>
      <c r="D88">
        <v>12.47</v>
      </c>
      <c r="E88">
        <v>12.678000000000001</v>
      </c>
      <c r="F88">
        <v>614385.30000000005</v>
      </c>
      <c r="G88">
        <v>12.678000000000001</v>
      </c>
      <c r="L88" t="s">
        <v>7</v>
      </c>
      <c r="M88" t="s">
        <v>8</v>
      </c>
      <c r="N88" t="s">
        <v>8</v>
      </c>
      <c r="P88">
        <f t="shared" ref="P88" si="415">IF(C88=D88,0,((E88-D88)-(C88-E88))/(C88-D88))</f>
        <v>-0.62318840579710089</v>
      </c>
      <c r="Q88">
        <f t="shared" ref="Q88" si="416">F88*P88</f>
        <v>-382877.79565217358</v>
      </c>
      <c r="R88">
        <f t="shared" ref="R88" si="417">R89+Q88</f>
        <v>-11169154.850544397</v>
      </c>
      <c r="S88">
        <f t="shared" ref="S88" si="418">R88/100000</f>
        <v>-111.69154850544396</v>
      </c>
      <c r="T88">
        <f t="shared" ref="T88" si="419">S88/1000</f>
        <v>-0.11169154850544397</v>
      </c>
    </row>
    <row r="89" spans="1:20" x14ac:dyDescent="0.25">
      <c r="A89" s="5">
        <v>44504</v>
      </c>
      <c r="B89">
        <v>13.103</v>
      </c>
      <c r="C89">
        <v>13.516999999999999</v>
      </c>
      <c r="D89">
        <v>12.33</v>
      </c>
      <c r="E89">
        <v>12.706</v>
      </c>
      <c r="F89">
        <v>670343</v>
      </c>
      <c r="G89">
        <v>12.706</v>
      </c>
      <c r="L89" t="s">
        <v>8</v>
      </c>
      <c r="M89" t="s">
        <v>8</v>
      </c>
      <c r="N89" t="s">
        <v>8</v>
      </c>
      <c r="P89">
        <f t="shared" ref="P89" si="420">IF(C89=D89,0,((E89-D89)-(C89-E89))/(C89-D89))</f>
        <v>-0.36647009267059877</v>
      </c>
      <c r="Q89">
        <f t="shared" ref="Q89" si="421">F89*P89</f>
        <v>-245660.66133108718</v>
      </c>
      <c r="R89">
        <f t="shared" ref="R89" si="422">R90+Q89</f>
        <v>-10786277.054892223</v>
      </c>
      <c r="S89">
        <f t="shared" ref="S89" si="423">R89/100000</f>
        <v>-107.86277054892223</v>
      </c>
      <c r="T89">
        <f t="shared" ref="T89" si="424">S89/1000</f>
        <v>-0.10786277054892222</v>
      </c>
    </row>
    <row r="90" spans="1:20" x14ac:dyDescent="0.25">
      <c r="A90" s="5">
        <v>44503</v>
      </c>
      <c r="B90">
        <v>13.058</v>
      </c>
      <c r="C90">
        <v>13.134</v>
      </c>
      <c r="D90">
        <v>12.010999999999999</v>
      </c>
      <c r="E90">
        <v>13.099</v>
      </c>
      <c r="F90">
        <v>588869.30000000005</v>
      </c>
      <c r="G90">
        <v>13.099</v>
      </c>
      <c r="L90" t="s">
        <v>7</v>
      </c>
      <c r="M90" t="s">
        <v>8</v>
      </c>
      <c r="N90" t="s">
        <v>8</v>
      </c>
      <c r="P90">
        <f t="shared" ref="P90" si="425">IF(C90=D90,0,((E90-D90)-(C90-E90))/(C90-D90))</f>
        <v>0.93766696349064982</v>
      </c>
      <c r="Q90">
        <f t="shared" ref="Q90" si="426">F90*P90</f>
        <v>552163.28842386452</v>
      </c>
      <c r="R90">
        <f t="shared" ref="R90" si="427">R91+Q90</f>
        <v>-10540616.393561136</v>
      </c>
      <c r="S90">
        <f t="shared" ref="S90" si="428">R90/100000</f>
        <v>-105.40616393561136</v>
      </c>
      <c r="T90">
        <f t="shared" ref="T90" si="429">S90/1000</f>
        <v>-0.10540616393561136</v>
      </c>
    </row>
    <row r="91" spans="1:20" x14ac:dyDescent="0.25">
      <c r="A91" s="5">
        <v>44502</v>
      </c>
      <c r="B91">
        <v>12.115</v>
      </c>
      <c r="C91">
        <v>13.79</v>
      </c>
      <c r="D91">
        <v>11.77</v>
      </c>
      <c r="E91">
        <v>13.029</v>
      </c>
      <c r="F91">
        <v>918714.4</v>
      </c>
      <c r="G91">
        <v>13.029</v>
      </c>
      <c r="L91" t="s">
        <v>8</v>
      </c>
      <c r="M91" t="s">
        <v>8</v>
      </c>
      <c r="N91" t="s">
        <v>8</v>
      </c>
      <c r="P91">
        <f t="shared" ref="P91" si="430">IF(C91=D91,0,((E91-D91)-(C91-E91))/(C91-D91))</f>
        <v>0.24653465346534714</v>
      </c>
      <c r="Q91">
        <f t="shared" ref="Q91" si="431">F91*P91</f>
        <v>226494.93623762432</v>
      </c>
      <c r="R91">
        <f t="shared" ref="R91" si="432">R92+Q91</f>
        <v>-11092779.681985</v>
      </c>
      <c r="S91">
        <f t="shared" ref="S91" si="433">R91/100000</f>
        <v>-110.92779681985</v>
      </c>
      <c r="T91">
        <f t="shared" ref="T91" si="434">S91/1000</f>
        <v>-0.11092779681985</v>
      </c>
    </row>
    <row r="92" spans="1:20" x14ac:dyDescent="0.25">
      <c r="A92" s="5">
        <v>44501</v>
      </c>
      <c r="B92">
        <v>11.545999999999999</v>
      </c>
      <c r="C92">
        <v>12.478999999999999</v>
      </c>
      <c r="D92">
        <v>11.167999999999999</v>
      </c>
      <c r="E92">
        <v>12.13</v>
      </c>
      <c r="F92">
        <v>740916.7</v>
      </c>
      <c r="G92">
        <v>12.13</v>
      </c>
      <c r="L92" t="s">
        <v>8</v>
      </c>
      <c r="M92" t="s">
        <v>8</v>
      </c>
      <c r="N92" t="s">
        <v>8</v>
      </c>
      <c r="P92">
        <f t="shared" ref="P92" si="435">IF(C92=D92,0,((E92-D92)-(C92-E92))/(C92-D92))</f>
        <v>0.46758199847444937</v>
      </c>
      <c r="Q92">
        <f t="shared" ref="Q92" si="436">F92*P92</f>
        <v>346439.31128909404</v>
      </c>
      <c r="R92">
        <f t="shared" ref="R92" si="437">R93+Q92</f>
        <v>-11319274.618222624</v>
      </c>
      <c r="S92">
        <f t="shared" ref="S92" si="438">R92/100000</f>
        <v>-113.19274618222624</v>
      </c>
      <c r="T92">
        <f t="shared" ref="T92" si="439">S92/1000</f>
        <v>-0.11319274618222624</v>
      </c>
    </row>
    <row r="93" spans="1:20" x14ac:dyDescent="0.25">
      <c r="A93" s="5">
        <v>44500</v>
      </c>
      <c r="B93">
        <v>11.124000000000001</v>
      </c>
      <c r="C93">
        <v>11.567</v>
      </c>
      <c r="D93">
        <v>10.58</v>
      </c>
      <c r="E93">
        <v>11.54</v>
      </c>
      <c r="F93">
        <v>544564.6</v>
      </c>
      <c r="G93">
        <v>11.54</v>
      </c>
      <c r="L93" t="s">
        <v>7</v>
      </c>
      <c r="M93" t="s">
        <v>7</v>
      </c>
      <c r="N93" t="s">
        <v>8</v>
      </c>
      <c r="P93">
        <f t="shared" ref="P93" si="440">IF(C93=D93,0,((E93-D93)-(C93-E93))/(C93-D93))</f>
        <v>0.94528875379939004</v>
      </c>
      <c r="Q93">
        <f t="shared" ref="Q93" si="441">F93*P93</f>
        <v>514770.79209726327</v>
      </c>
      <c r="R93">
        <f t="shared" ref="R93" si="442">R94+Q93</f>
        <v>-11665713.929511718</v>
      </c>
      <c r="S93">
        <f t="shared" ref="S93" si="443">R93/100000</f>
        <v>-116.65713929511719</v>
      </c>
      <c r="T93">
        <f t="shared" ref="T93" si="444">S93/1000</f>
        <v>-0.11665713929511719</v>
      </c>
    </row>
    <row r="94" spans="1:20" x14ac:dyDescent="0.25">
      <c r="A94" s="5">
        <v>44499</v>
      </c>
      <c r="B94">
        <v>11.457000000000001</v>
      </c>
      <c r="C94">
        <v>11.734999999999999</v>
      </c>
      <c r="D94">
        <v>10.887</v>
      </c>
      <c r="E94">
        <v>11.122999999999999</v>
      </c>
      <c r="F94">
        <v>423652.3</v>
      </c>
      <c r="G94">
        <v>11.122999999999999</v>
      </c>
      <c r="L94" t="s">
        <v>7</v>
      </c>
      <c r="M94" t="s">
        <v>7</v>
      </c>
      <c r="N94" t="s">
        <v>8</v>
      </c>
      <c r="P94">
        <f t="shared" ref="P94" si="445">IF(C94=D94,0,((E94-D94)-(C94-E94))/(C94-D94))</f>
        <v>-0.4433962264150963</v>
      </c>
      <c r="Q94">
        <f t="shared" ref="Q94" si="446">F94*P94</f>
        <v>-187845.8311320763</v>
      </c>
      <c r="R94">
        <f t="shared" ref="R94" si="447">R95+Q94</f>
        <v>-12180484.721608981</v>
      </c>
      <c r="S94">
        <f t="shared" ref="S94" si="448">R94/100000</f>
        <v>-121.80484721608981</v>
      </c>
      <c r="T94">
        <f t="shared" ref="T94" si="449">S94/1000</f>
        <v>-0.12180484721608981</v>
      </c>
    </row>
    <row r="95" spans="1:20" x14ac:dyDescent="0.25">
      <c r="A95" s="5">
        <v>44498</v>
      </c>
      <c r="B95">
        <v>10.903</v>
      </c>
      <c r="C95">
        <v>11.689</v>
      </c>
      <c r="D95">
        <v>10.791</v>
      </c>
      <c r="E95">
        <v>11.45</v>
      </c>
      <c r="F95">
        <v>819997.9</v>
      </c>
      <c r="G95">
        <v>11.45</v>
      </c>
      <c r="L95" t="s">
        <v>8</v>
      </c>
      <c r="M95" t="s">
        <v>7</v>
      </c>
      <c r="N95" t="s">
        <v>8</v>
      </c>
      <c r="P95">
        <f t="shared" ref="P95" si="450">IF(C95=D95,0,((E95-D95)-(C95-E95))/(C95-D95))</f>
        <v>0.46770601336302708</v>
      </c>
      <c r="Q95">
        <f t="shared" ref="Q95" si="451">F95*P95</f>
        <v>383517.94877505413</v>
      </c>
      <c r="R95">
        <f t="shared" ref="R95" si="452">R96+Q95</f>
        <v>-11992638.890476905</v>
      </c>
      <c r="S95">
        <f t="shared" ref="S95" si="453">R95/100000</f>
        <v>-119.92638890476904</v>
      </c>
      <c r="T95">
        <f t="shared" ref="T95" si="454">S95/1000</f>
        <v>-0.11992638890476905</v>
      </c>
    </row>
    <row r="96" spans="1:20" x14ac:dyDescent="0.25">
      <c r="A96" s="5">
        <v>44497</v>
      </c>
      <c r="B96">
        <v>10.637</v>
      </c>
      <c r="C96">
        <v>11.432</v>
      </c>
      <c r="D96">
        <v>10.526999999999999</v>
      </c>
      <c r="E96">
        <v>10.898</v>
      </c>
      <c r="F96">
        <v>705041.2</v>
      </c>
      <c r="G96">
        <v>10.898</v>
      </c>
      <c r="L96" t="s">
        <v>7</v>
      </c>
      <c r="M96" t="s">
        <v>7</v>
      </c>
      <c r="N96" t="s">
        <v>8</v>
      </c>
      <c r="P96">
        <f t="shared" ref="P96" si="455">IF(C96=D96,0,((E96-D96)-(C96-E96))/(C96-D96))</f>
        <v>-0.18011049723756911</v>
      </c>
      <c r="Q96">
        <f t="shared" ref="Q96" si="456">F96*P96</f>
        <v>-126985.32110497241</v>
      </c>
      <c r="R96">
        <f t="shared" ref="R96" si="457">R97+Q96</f>
        <v>-12376156.83925196</v>
      </c>
      <c r="S96">
        <f t="shared" ref="S96" si="458">R96/100000</f>
        <v>-123.76156839251959</v>
      </c>
      <c r="T96">
        <f t="shared" ref="T96" si="459">S96/1000</f>
        <v>-0.12376156839251959</v>
      </c>
    </row>
    <row r="97" spans="1:20" x14ac:dyDescent="0.25">
      <c r="A97" s="5">
        <v>44496</v>
      </c>
      <c r="B97">
        <v>12.224</v>
      </c>
      <c r="C97">
        <v>13.2</v>
      </c>
      <c r="D97">
        <v>10.224</v>
      </c>
      <c r="E97">
        <v>10.625</v>
      </c>
      <c r="F97">
        <v>1119803</v>
      </c>
      <c r="G97">
        <v>10.625</v>
      </c>
      <c r="L97" t="s">
        <v>8</v>
      </c>
      <c r="M97" t="s">
        <v>7</v>
      </c>
      <c r="N97" t="s">
        <v>8</v>
      </c>
      <c r="P97">
        <f t="shared" ref="P97" si="460">IF(C97=D97,0,((E97-D97)-(C97-E97))/(C97-D97))</f>
        <v>-0.73051075268817212</v>
      </c>
      <c r="Q97">
        <f t="shared" ref="Q97" si="461">F97*P97</f>
        <v>-818028.13239247317</v>
      </c>
      <c r="R97">
        <f t="shared" ref="R97" si="462">R98+Q97</f>
        <v>-12249171.518146988</v>
      </c>
      <c r="S97">
        <f t="shared" ref="S97" si="463">R97/100000</f>
        <v>-122.49171518146989</v>
      </c>
      <c r="T97">
        <f t="shared" ref="T97" si="464">S97/1000</f>
        <v>-0.12249171518146988</v>
      </c>
    </row>
    <row r="98" spans="1:20" x14ac:dyDescent="0.25">
      <c r="A98" s="5">
        <v>44495</v>
      </c>
      <c r="B98">
        <v>12.172000000000001</v>
      </c>
      <c r="C98">
        <v>12.75</v>
      </c>
      <c r="D98">
        <v>11.93</v>
      </c>
      <c r="E98">
        <v>12.214</v>
      </c>
      <c r="F98">
        <v>873309.8</v>
      </c>
      <c r="G98">
        <v>12.214</v>
      </c>
      <c r="L98" t="s">
        <v>8</v>
      </c>
      <c r="M98" t="s">
        <v>8</v>
      </c>
      <c r="N98" t="s">
        <v>8</v>
      </c>
      <c r="P98">
        <f t="shared" ref="P98" si="465">IF(C98=D98,0,((E98-D98)-(C98-E98))/(C98-D98))</f>
        <v>-0.30731707317073026</v>
      </c>
      <c r="Q98">
        <f t="shared" ref="Q98" si="466">F98*P98</f>
        <v>-268383.0117073158</v>
      </c>
      <c r="R98">
        <f t="shared" ref="R98" si="467">R99+Q98</f>
        <v>-11431143.385754514</v>
      </c>
      <c r="S98">
        <f t="shared" ref="S98" si="468">R98/100000</f>
        <v>-114.31143385754514</v>
      </c>
      <c r="T98">
        <f t="shared" ref="T98" si="469">S98/1000</f>
        <v>-0.11431143385754514</v>
      </c>
    </row>
    <row r="99" spans="1:20" x14ac:dyDescent="0.25">
      <c r="A99" s="5">
        <v>44494</v>
      </c>
      <c r="B99">
        <v>11.065</v>
      </c>
      <c r="C99">
        <v>12.45</v>
      </c>
      <c r="D99">
        <v>10.935</v>
      </c>
      <c r="E99">
        <v>12.170999999999999</v>
      </c>
      <c r="F99">
        <v>877494.8</v>
      </c>
      <c r="G99">
        <v>12.170999999999999</v>
      </c>
      <c r="L99" t="s">
        <v>8</v>
      </c>
      <c r="M99" t="s">
        <v>8</v>
      </c>
      <c r="N99" t="s">
        <v>8</v>
      </c>
      <c r="P99">
        <f t="shared" ref="P99" si="470">IF(C99=D99,0,((E99-D99)-(C99-E99))/(C99-D99))</f>
        <v>0.63168316831683147</v>
      </c>
      <c r="Q99">
        <f t="shared" ref="Q99" si="471">F99*P99</f>
        <v>554298.69544554444</v>
      </c>
      <c r="R99">
        <f t="shared" ref="R99" si="472">R100+Q99</f>
        <v>-11162760.374047199</v>
      </c>
      <c r="S99">
        <f t="shared" ref="S99" si="473">R99/100000</f>
        <v>-111.627603740472</v>
      </c>
      <c r="T99">
        <f t="shared" ref="T99" si="474">S99/1000</f>
        <v>-0.111627603740472</v>
      </c>
    </row>
    <row r="100" spans="1:20" x14ac:dyDescent="0.25">
      <c r="A100" s="5">
        <v>44493</v>
      </c>
      <c r="B100">
        <v>11.285</v>
      </c>
      <c r="C100">
        <v>11.558999999999999</v>
      </c>
      <c r="D100">
        <v>10.862</v>
      </c>
      <c r="E100">
        <v>11.037000000000001</v>
      </c>
      <c r="F100">
        <v>675985.6</v>
      </c>
      <c r="G100">
        <v>11.037000000000001</v>
      </c>
      <c r="L100" t="s">
        <v>7</v>
      </c>
      <c r="M100" t="s">
        <v>8</v>
      </c>
      <c r="N100" t="s">
        <v>8</v>
      </c>
      <c r="P100">
        <f t="shared" ref="P100" si="475">IF(C100=D100,0,((E100-D100)-(C100-E100))/(C100-D100))</f>
        <v>-0.49784791965566449</v>
      </c>
      <c r="Q100">
        <f t="shared" ref="Q100" si="476">F100*P100</f>
        <v>-336538.02467718616</v>
      </c>
      <c r="R100">
        <f t="shared" ref="R100" si="477">R101+Q100</f>
        <v>-11717059.069492744</v>
      </c>
      <c r="S100">
        <f t="shared" ref="S100" si="478">R100/100000</f>
        <v>-117.17059069492744</v>
      </c>
      <c r="T100">
        <f t="shared" ref="T100" si="479">S100/1000</f>
        <v>-0.11717059069492744</v>
      </c>
    </row>
    <row r="101" spans="1:20" x14ac:dyDescent="0.25">
      <c r="A101" s="5">
        <v>44492</v>
      </c>
      <c r="B101">
        <v>10.92</v>
      </c>
      <c r="C101">
        <v>11.773999999999999</v>
      </c>
      <c r="D101">
        <v>10.821999999999999</v>
      </c>
      <c r="E101">
        <v>11.263999999999999</v>
      </c>
      <c r="F101">
        <v>727420.4</v>
      </c>
      <c r="G101">
        <v>11.263999999999999</v>
      </c>
      <c r="L101" t="s">
        <v>8</v>
      </c>
      <c r="M101" t="s">
        <v>8</v>
      </c>
      <c r="N101" t="s">
        <v>8</v>
      </c>
      <c r="P101">
        <f t="shared" ref="P101" si="480">IF(C101=D101,0,((E101-D101)-(C101-E101))/(C101-D101))</f>
        <v>-7.1428571428571022E-2</v>
      </c>
      <c r="Q101">
        <f t="shared" ref="Q101" si="481">F101*P101</f>
        <v>-51958.599999999708</v>
      </c>
      <c r="R101">
        <f t="shared" ref="R101" si="482">R102+Q101</f>
        <v>-11380521.044815559</v>
      </c>
      <c r="S101">
        <f t="shared" ref="S101" si="483">R101/100000</f>
        <v>-113.80521044815559</v>
      </c>
      <c r="T101">
        <f t="shared" ref="T101" si="484">S101/1000</f>
        <v>-0.11380521044815559</v>
      </c>
    </row>
    <row r="102" spans="1:20" x14ac:dyDescent="0.25">
      <c r="A102" s="5">
        <v>44491</v>
      </c>
      <c r="B102">
        <v>10.826000000000001</v>
      </c>
      <c r="C102">
        <v>11.205</v>
      </c>
      <c r="D102">
        <v>10.712</v>
      </c>
      <c r="E102">
        <v>10.917</v>
      </c>
      <c r="F102">
        <v>388724.6</v>
      </c>
      <c r="G102">
        <v>10.917</v>
      </c>
      <c r="L102" t="s">
        <v>7</v>
      </c>
      <c r="M102" t="s">
        <v>8</v>
      </c>
      <c r="N102" t="s">
        <v>8</v>
      </c>
      <c r="P102">
        <f t="shared" ref="P102" si="485">IF(C102=D102,0,((E102-D102)-(C102-E102))/(C102-D102))</f>
        <v>-0.1683569979716027</v>
      </c>
      <c r="Q102">
        <f t="shared" ref="Q102" si="486">F102*P102</f>
        <v>-65444.506693712065</v>
      </c>
      <c r="R102">
        <f t="shared" ref="R102" si="487">R103+Q102</f>
        <v>-11328562.444815559</v>
      </c>
      <c r="S102">
        <f t="shared" ref="S102" si="488">R102/100000</f>
        <v>-113.28562444815559</v>
      </c>
      <c r="T102">
        <f t="shared" ref="T102" si="489">S102/1000</f>
        <v>-0.11328562444815558</v>
      </c>
    </row>
    <row r="103" spans="1:20" x14ac:dyDescent="0.25">
      <c r="A103" s="5">
        <v>44490</v>
      </c>
      <c r="B103">
        <v>11.407999999999999</v>
      </c>
      <c r="C103">
        <v>11.667</v>
      </c>
      <c r="D103">
        <v>10.654</v>
      </c>
      <c r="E103">
        <v>10.81</v>
      </c>
      <c r="F103">
        <v>712390.6</v>
      </c>
      <c r="G103">
        <v>10.81</v>
      </c>
      <c r="L103" t="s">
        <v>8</v>
      </c>
      <c r="M103" t="s">
        <v>8</v>
      </c>
      <c r="N103" t="s">
        <v>8</v>
      </c>
      <c r="P103">
        <f t="shared" ref="P103" si="490">IF(C103=D103,0,((E103-D103)-(C103-E103))/(C103-D103))</f>
        <v>-0.69200394866732362</v>
      </c>
      <c r="Q103">
        <f t="shared" ref="Q103" si="491">F103*P103</f>
        <v>-492977.10819348384</v>
      </c>
      <c r="R103">
        <f t="shared" ref="R103" si="492">R104+Q103</f>
        <v>-11263117.938121848</v>
      </c>
      <c r="S103">
        <f t="shared" ref="S103" si="493">R103/100000</f>
        <v>-112.63117938121847</v>
      </c>
      <c r="T103">
        <f t="shared" ref="T103" si="494">S103/1000</f>
        <v>-0.11263117938121847</v>
      </c>
    </row>
    <row r="104" spans="1:20" x14ac:dyDescent="0.25">
      <c r="A104" s="5">
        <v>44489</v>
      </c>
      <c r="B104">
        <v>11.047000000000001</v>
      </c>
      <c r="C104">
        <v>11.627000000000001</v>
      </c>
      <c r="D104">
        <v>10.981999999999999</v>
      </c>
      <c r="E104">
        <v>11.409000000000001</v>
      </c>
      <c r="F104">
        <v>832909.9</v>
      </c>
      <c r="G104">
        <v>11.409000000000001</v>
      </c>
      <c r="L104" t="s">
        <v>8</v>
      </c>
      <c r="M104" t="s">
        <v>8</v>
      </c>
      <c r="N104" t="s">
        <v>8</v>
      </c>
      <c r="P104">
        <f t="shared" ref="P104" si="495">IF(C104=D104,0,((E104-D104)-(C104-E104))/(C104-D104))</f>
        <v>0.32403100775193949</v>
      </c>
      <c r="Q104">
        <f t="shared" ref="Q104" si="496">F104*P104</f>
        <v>269888.63426356716</v>
      </c>
      <c r="R104">
        <f t="shared" ref="R104" si="497">R105+Q104</f>
        <v>-10770140.829928365</v>
      </c>
      <c r="S104">
        <f t="shared" ref="S104" si="498">R104/100000</f>
        <v>-107.70140829928364</v>
      </c>
      <c r="T104">
        <f t="shared" ref="T104" si="499">S104/1000</f>
        <v>-0.10770140829928364</v>
      </c>
    </row>
    <row r="105" spans="1:20" x14ac:dyDescent="0.25">
      <c r="A105" s="5">
        <v>44488</v>
      </c>
      <c r="B105">
        <v>10.781000000000001</v>
      </c>
      <c r="C105">
        <v>11.311</v>
      </c>
      <c r="D105">
        <v>10.605</v>
      </c>
      <c r="E105">
        <v>11.052</v>
      </c>
      <c r="F105">
        <v>836752.6</v>
      </c>
      <c r="G105">
        <v>11.052</v>
      </c>
      <c r="L105" t="s">
        <v>7</v>
      </c>
      <c r="M105" t="s">
        <v>8</v>
      </c>
      <c r="N105" t="s">
        <v>8</v>
      </c>
      <c r="P105">
        <f t="shared" ref="P105" si="500">IF(C105=D105,0,((E105-D105)-(C105-E105))/(C105-D105))</f>
        <v>0.26628895184135831</v>
      </c>
      <c r="Q105">
        <f t="shared" ref="Q105" si="501">F105*P105</f>
        <v>222817.97280453134</v>
      </c>
      <c r="R105">
        <f t="shared" ref="R105" si="502">R106+Q105</f>
        <v>-11040029.464191932</v>
      </c>
      <c r="S105">
        <f t="shared" ref="S105" si="503">R105/100000</f>
        <v>-110.40029464191932</v>
      </c>
      <c r="T105">
        <f t="shared" ref="T105" si="504">S105/1000</f>
        <v>-0.11040029464191932</v>
      </c>
    </row>
    <row r="106" spans="1:20" x14ac:dyDescent="0.25">
      <c r="A106" s="5">
        <v>44487</v>
      </c>
      <c r="B106">
        <v>11.13</v>
      </c>
      <c r="C106">
        <v>11.268000000000001</v>
      </c>
      <c r="D106">
        <v>10.628</v>
      </c>
      <c r="E106">
        <v>10.795999999999999</v>
      </c>
      <c r="F106">
        <v>654589</v>
      </c>
      <c r="G106">
        <v>10.795999999999999</v>
      </c>
      <c r="L106" t="s">
        <v>7</v>
      </c>
      <c r="M106" t="s">
        <v>8</v>
      </c>
      <c r="N106" t="s">
        <v>8</v>
      </c>
      <c r="P106">
        <f t="shared" ref="P106" si="505">IF(C106=D106,0,((E106-D106)-(C106-E106))/(C106-D106))</f>
        <v>-0.47500000000000275</v>
      </c>
      <c r="Q106">
        <f t="shared" ref="Q106" si="506">F106*P106</f>
        <v>-310929.77500000183</v>
      </c>
      <c r="R106">
        <f t="shared" ref="R106" si="507">R107+Q106</f>
        <v>-11262847.436996464</v>
      </c>
      <c r="S106">
        <f t="shared" ref="S106" si="508">R106/100000</f>
        <v>-112.62847436996464</v>
      </c>
      <c r="T106">
        <f t="shared" ref="T106" si="509">S106/1000</f>
        <v>-0.11262847436996463</v>
      </c>
    </row>
    <row r="107" spans="1:20" x14ac:dyDescent="0.25">
      <c r="A107" s="5">
        <v>44486</v>
      </c>
      <c r="B107">
        <v>11.381</v>
      </c>
      <c r="C107">
        <v>11.941000000000001</v>
      </c>
      <c r="D107">
        <v>10.79</v>
      </c>
      <c r="E107">
        <v>11.129</v>
      </c>
      <c r="F107">
        <v>947581.4</v>
      </c>
      <c r="G107">
        <v>11.129</v>
      </c>
      <c r="L107" t="s">
        <v>8</v>
      </c>
      <c r="M107" t="s">
        <v>8</v>
      </c>
      <c r="N107" t="s">
        <v>8</v>
      </c>
      <c r="P107">
        <f t="shared" ref="P107" si="510">IF(C107=D107,0,((E107-D107)-(C107-E107))/(C107-D107))</f>
        <v>-0.4109470026064293</v>
      </c>
      <c r="Q107">
        <f t="shared" ref="Q107" si="511">F107*P107</f>
        <v>-389405.73605560395</v>
      </c>
      <c r="R107">
        <f t="shared" ref="R107" si="512">R108+Q107</f>
        <v>-10951917.661996461</v>
      </c>
      <c r="S107">
        <f t="shared" ref="S107" si="513">R107/100000</f>
        <v>-109.51917661996461</v>
      </c>
      <c r="T107">
        <f t="shared" ref="T107" si="514">S107/1000</f>
        <v>-0.10951917661996462</v>
      </c>
    </row>
    <row r="108" spans="1:20" x14ac:dyDescent="0.25">
      <c r="A108" s="5">
        <v>44485</v>
      </c>
      <c r="B108">
        <v>11.427</v>
      </c>
      <c r="C108">
        <v>12.076000000000001</v>
      </c>
      <c r="D108">
        <v>10.92</v>
      </c>
      <c r="E108">
        <v>11.38</v>
      </c>
      <c r="F108">
        <v>1024538</v>
      </c>
      <c r="G108">
        <v>11.38</v>
      </c>
      <c r="L108" t="s">
        <v>7</v>
      </c>
      <c r="M108" t="s">
        <v>8</v>
      </c>
      <c r="N108" t="s">
        <v>8</v>
      </c>
      <c r="P108">
        <f t="shared" ref="P108" si="515">IF(C108=D108,0,((E108-D108)-(C108-E108))/(C108-D108))</f>
        <v>-0.20415224913494703</v>
      </c>
      <c r="Q108">
        <f t="shared" ref="Q108" si="516">F108*P108</f>
        <v>-209161.73702422038</v>
      </c>
      <c r="R108">
        <f t="shared" ref="R108" si="517">R109+Q108</f>
        <v>-10562511.925940858</v>
      </c>
      <c r="S108">
        <f t="shared" ref="S108" si="518">R108/100000</f>
        <v>-105.62511925940858</v>
      </c>
      <c r="T108">
        <f t="shared" ref="T108" si="519">S108/1000</f>
        <v>-0.10562511925940858</v>
      </c>
    </row>
    <row r="109" spans="1:20" x14ac:dyDescent="0.25">
      <c r="A109" s="5">
        <v>44484</v>
      </c>
      <c r="B109">
        <v>10.646000000000001</v>
      </c>
      <c r="C109">
        <v>12.3</v>
      </c>
      <c r="D109">
        <v>10.244</v>
      </c>
      <c r="E109">
        <v>11.43</v>
      </c>
      <c r="F109">
        <v>2028195</v>
      </c>
      <c r="G109">
        <v>11.43</v>
      </c>
      <c r="L109" t="s">
        <v>8</v>
      </c>
      <c r="M109" t="s">
        <v>8</v>
      </c>
      <c r="N109" t="s">
        <v>8</v>
      </c>
      <c r="P109">
        <f t="shared" ref="P109" si="520">IF(C109=D109,0,((E109-D109)-(C109-E109))/(C109-D109))</f>
        <v>0.15369649805447413</v>
      </c>
      <c r="Q109">
        <f t="shared" ref="Q109" si="521">F109*P109</f>
        <v>311726.46887159417</v>
      </c>
      <c r="R109">
        <f t="shared" ref="R109" si="522">R110+Q109</f>
        <v>-10353350.188916638</v>
      </c>
      <c r="S109">
        <f t="shared" ref="S109" si="523">R109/100000</f>
        <v>-103.53350188916639</v>
      </c>
      <c r="T109">
        <f t="shared" ref="T109" si="524">S109/1000</f>
        <v>-0.10353350188916639</v>
      </c>
    </row>
    <row r="110" spans="1:20" x14ac:dyDescent="0.25">
      <c r="A110" s="5">
        <v>44483</v>
      </c>
      <c r="B110">
        <v>9.9819999999999993</v>
      </c>
      <c r="C110">
        <v>11.667</v>
      </c>
      <c r="D110">
        <v>9.9640000000000004</v>
      </c>
      <c r="E110">
        <v>10.638999999999999</v>
      </c>
      <c r="F110">
        <v>2371081.1</v>
      </c>
      <c r="G110">
        <v>10.638999999999999</v>
      </c>
      <c r="L110" t="s">
        <v>8</v>
      </c>
      <c r="M110" t="s">
        <v>8</v>
      </c>
      <c r="N110" t="s">
        <v>8</v>
      </c>
      <c r="P110">
        <f t="shared" ref="P110" si="525">IF(C110=D110,0,((E110-D110)-(C110-E110))/(C110-D110))</f>
        <v>-0.20728126834997163</v>
      </c>
      <c r="Q110">
        <f t="shared" ref="Q110" si="526">F110*P110</f>
        <v>-491480.69776864594</v>
      </c>
      <c r="R110">
        <f t="shared" ref="R110" si="527">R111+Q110</f>
        <v>-10665076.657788232</v>
      </c>
      <c r="S110">
        <f t="shared" ref="S110" si="528">R110/100000</f>
        <v>-106.65076657788232</v>
      </c>
      <c r="T110">
        <f t="shared" ref="T110" si="529">S110/1000</f>
        <v>-0.10665076657788232</v>
      </c>
    </row>
    <row r="111" spans="1:20" x14ac:dyDescent="0.25">
      <c r="A111" s="5">
        <v>44482</v>
      </c>
      <c r="B111">
        <v>9.2829999999999995</v>
      </c>
      <c r="C111">
        <v>10.151</v>
      </c>
      <c r="D111">
        <v>9.0220000000000002</v>
      </c>
      <c r="E111">
        <v>9.9789999999999992</v>
      </c>
      <c r="F111">
        <v>1097952.3999999999</v>
      </c>
      <c r="G111">
        <v>9.9789999999999992</v>
      </c>
      <c r="L111" t="s">
        <v>8</v>
      </c>
      <c r="M111" t="s">
        <v>7</v>
      </c>
      <c r="N111" t="s">
        <v>8</v>
      </c>
      <c r="P111">
        <f t="shared" ref="P111" si="530">IF(C111=D111,0,((E111-D111)-(C111-E111))/(C111-D111))</f>
        <v>0.695305580159432</v>
      </c>
      <c r="Q111">
        <f t="shared" ref="Q111" si="531">F111*P111</f>
        <v>763412.43046944065</v>
      </c>
      <c r="R111">
        <f t="shared" ref="R111" si="532">R112+Q111</f>
        <v>-10173595.960019587</v>
      </c>
      <c r="S111">
        <f t="shared" ref="S111" si="533">R111/100000</f>
        <v>-101.73595960019587</v>
      </c>
      <c r="T111">
        <f t="shared" ref="T111" si="534">S111/1000</f>
        <v>-0.10173595960019587</v>
      </c>
    </row>
    <row r="112" spans="1:20" x14ac:dyDescent="0.25">
      <c r="A112" s="5">
        <v>44481</v>
      </c>
      <c r="B112">
        <v>9.3260000000000005</v>
      </c>
      <c r="C112">
        <v>9.34</v>
      </c>
      <c r="D112">
        <v>8.5950000000000006</v>
      </c>
      <c r="E112">
        <v>9.2799999999999994</v>
      </c>
      <c r="F112">
        <v>668485.9</v>
      </c>
      <c r="G112">
        <v>9.2799999999999994</v>
      </c>
      <c r="L112" t="s">
        <v>7</v>
      </c>
      <c r="M112" t="s">
        <v>7</v>
      </c>
      <c r="N112" t="s">
        <v>8</v>
      </c>
      <c r="P112">
        <f t="shared" ref="P112" si="535">IF(C112=D112,0,((E112-D112)-(C112-E112))/(C112-D112))</f>
        <v>0.83892617449664275</v>
      </c>
      <c r="Q112">
        <f t="shared" ref="Q112" si="536">F112*P112</f>
        <v>560810.31879194535</v>
      </c>
      <c r="R112">
        <f t="shared" ref="R112" si="537">R113+Q112</f>
        <v>-10937008.390489027</v>
      </c>
      <c r="S112">
        <f t="shared" ref="S112" si="538">R112/100000</f>
        <v>-109.37008390489027</v>
      </c>
      <c r="T112">
        <f t="shared" ref="T112" si="539">S112/1000</f>
        <v>-0.10937008390489027</v>
      </c>
    </row>
    <row r="113" spans="1:20" x14ac:dyDescent="0.25">
      <c r="A113" s="5">
        <v>44480</v>
      </c>
      <c r="B113">
        <v>9.5239999999999991</v>
      </c>
      <c r="C113">
        <v>9.8450000000000006</v>
      </c>
      <c r="D113">
        <v>9.1029999999999998</v>
      </c>
      <c r="E113">
        <v>9.3360000000000003</v>
      </c>
      <c r="F113">
        <v>752999</v>
      </c>
      <c r="G113">
        <v>9.3360000000000003</v>
      </c>
      <c r="L113" t="s">
        <v>7</v>
      </c>
      <c r="M113" t="s">
        <v>7</v>
      </c>
      <c r="N113" t="s">
        <v>8</v>
      </c>
      <c r="P113">
        <f t="shared" ref="P113" si="540">IF(C113=D113,0,((E113-D113)-(C113-E113))/(C113-D113))</f>
        <v>-0.37196765498652218</v>
      </c>
      <c r="Q113">
        <f t="shared" ref="Q113" si="541">F113*P113</f>
        <v>-280091.27223719622</v>
      </c>
      <c r="R113">
        <f t="shared" ref="R113" si="542">R114+Q113</f>
        <v>-11497818.709280971</v>
      </c>
      <c r="S113">
        <f t="shared" ref="S113" si="543">R113/100000</f>
        <v>-114.97818709280972</v>
      </c>
      <c r="T113">
        <f t="shared" ref="T113" si="544">S113/1000</f>
        <v>-0.11497818709280971</v>
      </c>
    </row>
    <row r="114" spans="1:20" x14ac:dyDescent="0.25">
      <c r="A114" s="5">
        <v>44479</v>
      </c>
      <c r="B114">
        <v>10.224</v>
      </c>
      <c r="C114">
        <v>10.552</v>
      </c>
      <c r="D114">
        <v>9.41</v>
      </c>
      <c r="E114">
        <v>9.5299999999999994</v>
      </c>
      <c r="F114">
        <v>801447.2</v>
      </c>
      <c r="G114">
        <v>9.5299999999999994</v>
      </c>
      <c r="L114" t="s">
        <v>7</v>
      </c>
      <c r="M114" t="s">
        <v>7</v>
      </c>
      <c r="N114" t="s">
        <v>8</v>
      </c>
      <c r="P114">
        <f t="shared" ref="P114" si="545">IF(C114=D114,0,((E114-D114)-(C114-E114))/(C114-D114))</f>
        <v>-0.78984238178634103</v>
      </c>
      <c r="Q114">
        <f t="shared" ref="Q114" si="546">F114*P114</f>
        <v>-633016.96532399394</v>
      </c>
      <c r="R114">
        <f t="shared" ref="R114" si="547">R115+Q114</f>
        <v>-11217727.437043775</v>
      </c>
      <c r="S114">
        <f t="shared" ref="S114" si="548">R114/100000</f>
        <v>-112.17727437043774</v>
      </c>
      <c r="T114">
        <f t="shared" ref="T114" si="549">S114/1000</f>
        <v>-0.11217727437043774</v>
      </c>
    </row>
    <row r="115" spans="1:20" x14ac:dyDescent="0.25">
      <c r="A115" s="5">
        <v>44478</v>
      </c>
      <c r="B115">
        <v>9.9429999999999996</v>
      </c>
      <c r="C115">
        <v>10.445</v>
      </c>
      <c r="D115">
        <v>9.8109999999999999</v>
      </c>
      <c r="E115">
        <v>10.224</v>
      </c>
      <c r="F115">
        <v>672240.7</v>
      </c>
      <c r="G115">
        <v>10.224</v>
      </c>
      <c r="L115" t="s">
        <v>8</v>
      </c>
      <c r="M115" t="s">
        <v>8</v>
      </c>
      <c r="N115" t="s">
        <v>8</v>
      </c>
      <c r="P115">
        <f t="shared" ref="P115" si="550">IF(C115=D115,0,((E115-D115)-(C115-E115))/(C115-D115))</f>
        <v>0.30283911671924302</v>
      </c>
      <c r="Q115">
        <f t="shared" ref="Q115" si="551">F115*P115</f>
        <v>203580.77981072562</v>
      </c>
      <c r="R115">
        <f t="shared" ref="R115" si="552">R116+Q115</f>
        <v>-10584710.471719781</v>
      </c>
      <c r="S115">
        <f t="shared" ref="S115" si="553">R115/100000</f>
        <v>-105.84710471719781</v>
      </c>
      <c r="T115">
        <f t="shared" ref="T115" si="554">S115/1000</f>
        <v>-0.10584710471719781</v>
      </c>
    </row>
    <row r="116" spans="1:20" x14ac:dyDescent="0.25">
      <c r="A116" s="5">
        <v>44477</v>
      </c>
      <c r="B116">
        <v>9.8979999999999997</v>
      </c>
      <c r="C116">
        <v>10.398999999999999</v>
      </c>
      <c r="D116">
        <v>9.6440000000000001</v>
      </c>
      <c r="E116">
        <v>9.9410000000000007</v>
      </c>
      <c r="F116">
        <v>1118930.6000000001</v>
      </c>
      <c r="G116">
        <v>9.9410000000000007</v>
      </c>
      <c r="L116" t="s">
        <v>7</v>
      </c>
      <c r="M116" t="s">
        <v>8</v>
      </c>
      <c r="N116" t="s">
        <v>8</v>
      </c>
      <c r="P116">
        <f t="shared" ref="P116" si="555">IF(C116=D116,0,((E116-D116)-(C116-E116))/(C116-D116))</f>
        <v>-0.21324503311258017</v>
      </c>
      <c r="Q116">
        <f t="shared" ref="Q116" si="556">F116*P116</f>
        <v>-238606.39284767921</v>
      </c>
      <c r="R116">
        <f t="shared" ref="R116" si="557">R117+Q116</f>
        <v>-10788291.251530506</v>
      </c>
      <c r="S116">
        <f t="shared" ref="S116" si="558">R116/100000</f>
        <v>-107.88291251530505</v>
      </c>
      <c r="T116">
        <f t="shared" ref="T116" si="559">S116/1000</f>
        <v>-0.10788291251530505</v>
      </c>
    </row>
    <row r="117" spans="1:20" x14ac:dyDescent="0.25">
      <c r="A117" s="5">
        <v>44476</v>
      </c>
      <c r="B117">
        <v>9.7080000000000002</v>
      </c>
      <c r="C117">
        <v>11</v>
      </c>
      <c r="D117">
        <v>9.3350000000000009</v>
      </c>
      <c r="E117">
        <v>9.8940000000000001</v>
      </c>
      <c r="F117">
        <v>1647906</v>
      </c>
      <c r="G117">
        <v>9.8940000000000001</v>
      </c>
      <c r="L117" t="s">
        <v>8</v>
      </c>
      <c r="M117" t="s">
        <v>8</v>
      </c>
      <c r="N117" t="s">
        <v>8</v>
      </c>
      <c r="P117">
        <f t="shared" ref="P117" si="560">IF(C117=D117,0,((E117-D117)-(C117-E117))/(C117-D117))</f>
        <v>-0.32852852852852904</v>
      </c>
      <c r="Q117">
        <f t="shared" ref="Q117" si="561">F117*P117</f>
        <v>-541384.13333333423</v>
      </c>
      <c r="R117">
        <f t="shared" ref="R117" si="562">R118+Q117</f>
        <v>-10549684.858682826</v>
      </c>
      <c r="S117">
        <f t="shared" ref="S117" si="563">R117/100000</f>
        <v>-105.49684858682826</v>
      </c>
      <c r="T117">
        <f t="shared" ref="T117" si="564">S117/1000</f>
        <v>-0.10549684858682827</v>
      </c>
    </row>
    <row r="118" spans="1:20" x14ac:dyDescent="0.25">
      <c r="A118" s="5">
        <v>44475</v>
      </c>
      <c r="B118">
        <v>9.8059999999999992</v>
      </c>
      <c r="C118">
        <v>10.143000000000001</v>
      </c>
      <c r="D118">
        <v>8.907</v>
      </c>
      <c r="E118">
        <v>9.6929999999999996</v>
      </c>
      <c r="F118">
        <v>1064527</v>
      </c>
      <c r="G118">
        <v>9.6929999999999996</v>
      </c>
      <c r="L118" t="s">
        <v>7</v>
      </c>
      <c r="M118" t="s">
        <v>8</v>
      </c>
      <c r="N118" t="s">
        <v>7</v>
      </c>
      <c r="P118">
        <f t="shared" ref="P118" si="565">IF(C118=D118,0,((E118-D118)-(C118-E118))/(C118-D118))</f>
        <v>0.27184466019417342</v>
      </c>
      <c r="Q118">
        <f t="shared" ref="Q118" si="566">F118*P118</f>
        <v>289385.98058252287</v>
      </c>
      <c r="R118">
        <f t="shared" ref="R118" si="567">R119+Q118</f>
        <v>-10008300.725349491</v>
      </c>
      <c r="S118">
        <f t="shared" ref="S118" si="568">R118/100000</f>
        <v>-100.08300725349491</v>
      </c>
      <c r="T118">
        <f t="shared" ref="T118" si="569">S118/1000</f>
        <v>-0.10008300725349491</v>
      </c>
    </row>
    <row r="119" spans="1:20" x14ac:dyDescent="0.25">
      <c r="A119" s="5">
        <v>44474</v>
      </c>
      <c r="B119">
        <v>9.5190000000000001</v>
      </c>
      <c r="C119">
        <v>10.009</v>
      </c>
      <c r="D119">
        <v>9.32</v>
      </c>
      <c r="E119">
        <v>9.8079999999999998</v>
      </c>
      <c r="F119">
        <v>1013633.7</v>
      </c>
      <c r="G119">
        <v>9.8079999999999998</v>
      </c>
      <c r="L119" t="s">
        <v>8</v>
      </c>
      <c r="M119" t="s">
        <v>8</v>
      </c>
      <c r="N119" t="s">
        <v>7</v>
      </c>
      <c r="P119">
        <f t="shared" ref="P119" si="570">IF(C119=D119,0,((E119-D119)-(C119-E119))/(C119-D119))</f>
        <v>0.41654571843250943</v>
      </c>
      <c r="Q119">
        <f t="shared" ref="Q119" si="571">F119*P119</f>
        <v>422224.77779390273</v>
      </c>
      <c r="R119">
        <f t="shared" ref="R119" si="572">R120+Q119</f>
        <v>-10297686.705932014</v>
      </c>
      <c r="S119">
        <f t="shared" ref="S119" si="573">R119/100000</f>
        <v>-102.97686705932014</v>
      </c>
      <c r="T119">
        <f t="shared" ref="T119" si="574">S119/1000</f>
        <v>-0.10297686705932015</v>
      </c>
    </row>
    <row r="120" spans="1:20" x14ac:dyDescent="0.25">
      <c r="A120" s="5">
        <v>44473</v>
      </c>
      <c r="B120">
        <v>9.3290000000000006</v>
      </c>
      <c r="C120">
        <v>9.6509999999999998</v>
      </c>
      <c r="D120">
        <v>8.8010000000000002</v>
      </c>
      <c r="E120">
        <v>9.516</v>
      </c>
      <c r="F120">
        <v>1139209.1000000001</v>
      </c>
      <c r="G120">
        <v>9.516</v>
      </c>
      <c r="L120" t="s">
        <v>7</v>
      </c>
      <c r="M120" t="s">
        <v>8</v>
      </c>
      <c r="N120" t="s">
        <v>7</v>
      </c>
      <c r="P120">
        <f t="shared" ref="P120" si="575">IF(C120=D120,0,((E120-D120)-(C120-E120))/(C120-D120))</f>
        <v>0.68235294117647094</v>
      </c>
      <c r="Q120">
        <f t="shared" ref="Q120" si="576">F120*P120</f>
        <v>777342.68000000052</v>
      </c>
      <c r="R120">
        <f t="shared" ref="R120" si="577">R121+Q120</f>
        <v>-10719911.483725917</v>
      </c>
      <c r="S120">
        <f t="shared" ref="S120" si="578">R120/100000</f>
        <v>-107.19911483725916</v>
      </c>
      <c r="T120">
        <f t="shared" ref="T120" si="579">S120/1000</f>
        <v>-0.10719911483725916</v>
      </c>
    </row>
    <row r="121" spans="1:20" x14ac:dyDescent="0.25">
      <c r="A121" s="5">
        <v>44472</v>
      </c>
      <c r="B121">
        <v>9.1029999999999998</v>
      </c>
      <c r="C121">
        <v>9.7119999999999997</v>
      </c>
      <c r="D121">
        <v>8.8659999999999997</v>
      </c>
      <c r="E121">
        <v>9.3239999999999998</v>
      </c>
      <c r="F121">
        <v>786042.1</v>
      </c>
      <c r="G121">
        <v>9.3239999999999998</v>
      </c>
      <c r="L121" t="s">
        <v>7</v>
      </c>
      <c r="M121" t="s">
        <v>8</v>
      </c>
      <c r="N121" t="s">
        <v>7</v>
      </c>
      <c r="P121">
        <f t="shared" ref="P121" si="580">IF(C121=D121,0,((E121-D121)-(C121-E121))/(C121-D121))</f>
        <v>8.2742316784870304E-2</v>
      </c>
      <c r="Q121">
        <f t="shared" ref="Q121" si="581">F121*P121</f>
        <v>65038.9444444447</v>
      </c>
      <c r="R121">
        <f t="shared" ref="R121" si="582">R122+Q121</f>
        <v>-11497254.163725916</v>
      </c>
      <c r="S121">
        <f t="shared" ref="S121" si="583">R121/100000</f>
        <v>-114.97254163725917</v>
      </c>
      <c r="T121">
        <f t="shared" ref="T121" si="584">S121/1000</f>
        <v>-0.11497254163725917</v>
      </c>
    </row>
    <row r="122" spans="1:20" x14ac:dyDescent="0.25">
      <c r="A122" s="5">
        <v>44471</v>
      </c>
      <c r="B122">
        <v>9.0670000000000002</v>
      </c>
      <c r="C122">
        <v>9.6039999999999992</v>
      </c>
      <c r="D122">
        <v>8.891</v>
      </c>
      <c r="E122">
        <v>9.1050000000000004</v>
      </c>
      <c r="F122">
        <v>988926.7</v>
      </c>
      <c r="G122">
        <v>9.1050000000000004</v>
      </c>
      <c r="L122" t="s">
        <v>8</v>
      </c>
      <c r="M122" t="s">
        <v>8</v>
      </c>
      <c r="N122" t="s">
        <v>7</v>
      </c>
      <c r="P122">
        <f t="shared" ref="P122" si="585">IF(C122=D122,0,((E122-D122)-(C122-E122))/(C122-D122))</f>
        <v>-0.39971949509116228</v>
      </c>
      <c r="Q122">
        <f t="shared" ref="Q122" si="586">F122*P122</f>
        <v>-395293.28120616928</v>
      </c>
      <c r="R122">
        <f t="shared" ref="R122" si="587">R123+Q122</f>
        <v>-11562293.10817036</v>
      </c>
      <c r="S122">
        <f t="shared" ref="S122" si="588">R122/100000</f>
        <v>-115.6229310817036</v>
      </c>
      <c r="T122">
        <f t="shared" ref="T122" si="589">S122/1000</f>
        <v>-0.1156229310817036</v>
      </c>
    </row>
    <row r="123" spans="1:20" x14ac:dyDescent="0.25">
      <c r="A123" s="5">
        <v>44470</v>
      </c>
      <c r="B123">
        <v>8.0920000000000005</v>
      </c>
      <c r="C123">
        <v>9.1140000000000008</v>
      </c>
      <c r="D123">
        <v>8.0150000000000006</v>
      </c>
      <c r="E123">
        <v>9.0690000000000008</v>
      </c>
      <c r="F123">
        <v>1093291.5</v>
      </c>
      <c r="G123">
        <v>9.0690000000000008</v>
      </c>
      <c r="L123" t="s">
        <v>8</v>
      </c>
      <c r="M123" t="s">
        <v>8</v>
      </c>
      <c r="N123" t="s">
        <v>7</v>
      </c>
      <c r="P123">
        <f t="shared" ref="P123" si="590">IF(C123=D123,0,((E123-D123)-(C123-E123))/(C123-D123))</f>
        <v>0.91810737033666989</v>
      </c>
      <c r="Q123">
        <f t="shared" ref="Q123" si="591">F123*P123</f>
        <v>1003758.9840764333</v>
      </c>
      <c r="R123">
        <f t="shared" ref="R123" si="592">R124+Q123</f>
        <v>-11166999.82696419</v>
      </c>
      <c r="S123">
        <f t="shared" ref="S123" si="593">R123/100000</f>
        <v>-111.66999826964191</v>
      </c>
      <c r="T123">
        <f t="shared" ref="T123" si="594">S123/1000</f>
        <v>-0.11166999826964191</v>
      </c>
    </row>
    <row r="124" spans="1:20" x14ac:dyDescent="0.25">
      <c r="A124" s="5">
        <v>44469</v>
      </c>
      <c r="B124">
        <v>7.8479999999999999</v>
      </c>
      <c r="C124">
        <v>8.2029999999999994</v>
      </c>
      <c r="D124">
        <v>7.806</v>
      </c>
      <c r="E124">
        <v>8.0960000000000001</v>
      </c>
      <c r="F124">
        <v>975687.5</v>
      </c>
      <c r="G124">
        <v>8.0960000000000001</v>
      </c>
      <c r="L124" t="s">
        <v>7</v>
      </c>
      <c r="M124" t="s">
        <v>7</v>
      </c>
      <c r="N124" t="s">
        <v>7</v>
      </c>
      <c r="P124">
        <f t="shared" ref="P124" si="595">IF(C124=D124,0,((E124-D124)-(C124-E124))/(C124-D124))</f>
        <v>0.46095717884131238</v>
      </c>
      <c r="Q124">
        <f t="shared" ref="Q124" si="596">F124*P124</f>
        <v>449750.15743073297</v>
      </c>
      <c r="R124">
        <f t="shared" ref="R124" si="597">R125+Q124</f>
        <v>-12170758.811040623</v>
      </c>
      <c r="S124">
        <f t="shared" ref="S124" si="598">R124/100000</f>
        <v>-121.70758811040623</v>
      </c>
      <c r="T124">
        <f t="shared" ref="T124" si="599">S124/1000</f>
        <v>-0.12170758811040623</v>
      </c>
    </row>
    <row r="125" spans="1:20" x14ac:dyDescent="0.25">
      <c r="A125" s="5">
        <v>44468</v>
      </c>
      <c r="B125">
        <v>7.64</v>
      </c>
      <c r="C125">
        <v>8.4979999999999993</v>
      </c>
      <c r="D125">
        <v>7.5869999999999997</v>
      </c>
      <c r="E125">
        <v>7.8460000000000001</v>
      </c>
      <c r="F125">
        <v>1141136.3</v>
      </c>
      <c r="G125">
        <v>7.8460000000000001</v>
      </c>
      <c r="L125" t="s">
        <v>8</v>
      </c>
      <c r="M125" t="s">
        <v>7</v>
      </c>
      <c r="N125" t="s">
        <v>7</v>
      </c>
      <c r="P125">
        <f t="shared" ref="P125" si="600">IF(C125=D125,0,((E125-D125)-(C125-E125))/(C125-D125))</f>
        <v>-0.43139407244785849</v>
      </c>
      <c r="Q125">
        <f t="shared" ref="Q125" si="601">F125*P125</f>
        <v>-492279.43567508121</v>
      </c>
      <c r="R125">
        <f t="shared" ref="R125" si="602">R126+Q125</f>
        <v>-12620508.968471356</v>
      </c>
      <c r="S125">
        <f t="shared" ref="S125" si="603">R125/100000</f>
        <v>-126.20508968471356</v>
      </c>
      <c r="T125">
        <f t="shared" ref="T125" si="604">S125/1000</f>
        <v>-0.12620508968471356</v>
      </c>
    </row>
    <row r="126" spans="1:20" x14ac:dyDescent="0.25">
      <c r="A126" s="5">
        <v>44467</v>
      </c>
      <c r="B126">
        <v>8.0549999999999997</v>
      </c>
      <c r="C126">
        <v>8.2349999999999994</v>
      </c>
      <c r="D126">
        <v>7.5819999999999999</v>
      </c>
      <c r="E126">
        <v>7.6429999999999998</v>
      </c>
      <c r="F126">
        <v>692847.3</v>
      </c>
      <c r="G126">
        <v>7.6429999999999998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-0.81316998468606438</v>
      </c>
      <c r="Q126">
        <f t="shared" ref="Q126" si="606">F126*P126</f>
        <v>-563402.62833078112</v>
      </c>
      <c r="R126">
        <f t="shared" ref="R126" si="607">R127+Q126</f>
        <v>-12128229.532796275</v>
      </c>
      <c r="S126">
        <f t="shared" ref="S126" si="608">R126/100000</f>
        <v>-121.28229532796274</v>
      </c>
      <c r="T126">
        <f t="shared" ref="T126" si="609">S126/1000</f>
        <v>-0.12128229532796274</v>
      </c>
    </row>
    <row r="127" spans="1:20" x14ac:dyDescent="0.25">
      <c r="A127" s="5">
        <v>44466</v>
      </c>
      <c r="B127">
        <v>8.3840000000000003</v>
      </c>
      <c r="C127">
        <v>8.81</v>
      </c>
      <c r="D127">
        <v>8.032</v>
      </c>
      <c r="E127">
        <v>8.0719999999999992</v>
      </c>
      <c r="F127">
        <v>863876.1</v>
      </c>
      <c r="G127">
        <v>8.0719999999999992</v>
      </c>
      <c r="L127" t="s">
        <v>8</v>
      </c>
      <c r="M127" t="s">
        <v>7</v>
      </c>
      <c r="N127" t="s">
        <v>7</v>
      </c>
      <c r="P127">
        <f t="shared" ref="P127" si="610">IF(C127=D127,0,((E127-D127)-(C127-E127))/(C127-D127))</f>
        <v>-0.89717223650385824</v>
      </c>
      <c r="Q127">
        <f t="shared" ref="Q127" si="611">F127*P127</f>
        <v>-775045.6526992307</v>
      </c>
      <c r="R127">
        <f t="shared" ref="R127" si="612">R128+Q127</f>
        <v>-11564826.904465493</v>
      </c>
      <c r="S127">
        <f t="shared" ref="S127" si="613">R127/100000</f>
        <v>-115.64826904465492</v>
      </c>
      <c r="T127">
        <f t="shared" ref="T127" si="614">S127/1000</f>
        <v>-0.11564826904465493</v>
      </c>
    </row>
    <row r="128" spans="1:20" x14ac:dyDescent="0.25">
      <c r="A128" s="5">
        <v>44465</v>
      </c>
      <c r="B128">
        <v>8.6359999999999992</v>
      </c>
      <c r="C128">
        <v>8.6590000000000007</v>
      </c>
      <c r="D128">
        <v>7.72</v>
      </c>
      <c r="E128">
        <v>8.3940000000000001</v>
      </c>
      <c r="F128">
        <v>844752.8</v>
      </c>
      <c r="G128">
        <v>8.3940000000000001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0.43556975505857232</v>
      </c>
      <c r="Q128">
        <f t="shared" ref="Q128" si="616">F128*P128</f>
        <v>367948.77018104313</v>
      </c>
      <c r="R128">
        <f t="shared" ref="R128" si="617">R129+Q128</f>
        <v>-10789781.251766263</v>
      </c>
      <c r="S128">
        <f t="shared" ref="S128" si="618">R128/100000</f>
        <v>-107.89781251766263</v>
      </c>
      <c r="T128">
        <f t="shared" ref="T128" si="619">S128/1000</f>
        <v>-0.10789781251766263</v>
      </c>
    </row>
    <row r="129" spans="1:20" x14ac:dyDescent="0.25">
      <c r="A129" s="5">
        <v>44464</v>
      </c>
      <c r="B129">
        <v>8.7260000000000009</v>
      </c>
      <c r="C129">
        <v>9.25</v>
      </c>
      <c r="D129">
        <v>8.3620000000000001</v>
      </c>
      <c r="E129">
        <v>8.6379999999999999</v>
      </c>
      <c r="F129">
        <v>996703.5</v>
      </c>
      <c r="G129">
        <v>8.6379999999999999</v>
      </c>
      <c r="L129" t="s">
        <v>7</v>
      </c>
      <c r="M129" t="s">
        <v>8</v>
      </c>
      <c r="N129" t="s">
        <v>7</v>
      </c>
      <c r="P129">
        <f t="shared" ref="P129" si="620">IF(C129=D129,0,((E129-D129)-(C129-E129))/(C129-D129))</f>
        <v>-0.37837837837837873</v>
      </c>
      <c r="Q129">
        <f t="shared" ref="Q129" si="621">F129*P129</f>
        <v>-377131.05405405443</v>
      </c>
      <c r="R129">
        <f t="shared" ref="R129" si="622">R130+Q129</f>
        <v>-11157730.021947306</v>
      </c>
      <c r="S129">
        <f t="shared" ref="S129" si="623">R129/100000</f>
        <v>-111.57730021947306</v>
      </c>
      <c r="T129">
        <f t="shared" ref="T129" si="624">S129/1000</f>
        <v>-0.11157730021947306</v>
      </c>
    </row>
    <row r="130" spans="1:20" x14ac:dyDescent="0.25">
      <c r="A130" s="5">
        <v>44463</v>
      </c>
      <c r="B130">
        <v>9.3889999999999993</v>
      </c>
      <c r="C130">
        <v>9.7739999999999991</v>
      </c>
      <c r="D130">
        <v>8.0630000000000006</v>
      </c>
      <c r="E130">
        <v>8.7370000000000001</v>
      </c>
      <c r="F130">
        <v>1144015.1000000001</v>
      </c>
      <c r="G130">
        <v>8.7370000000000001</v>
      </c>
      <c r="L130" t="s">
        <v>8</v>
      </c>
      <c r="M130" t="s">
        <v>8</v>
      </c>
      <c r="N130" t="s">
        <v>7</v>
      </c>
      <c r="P130">
        <f t="shared" ref="P130" si="625">IF(C130=D130,0,((E130-D130)-(C130-E130))/(C130-D130))</f>
        <v>-0.21215663354763287</v>
      </c>
      <c r="Q130">
        <f t="shared" ref="Q130" si="626">F130*P130</f>
        <v>-242710.39234365858</v>
      </c>
      <c r="R130">
        <f t="shared" ref="R130" si="627">R131+Q130</f>
        <v>-10780598.967893252</v>
      </c>
      <c r="S130">
        <f t="shared" ref="S130" si="628">R130/100000</f>
        <v>-107.80598967893252</v>
      </c>
      <c r="T130">
        <f t="shared" ref="T130" si="629">S130/1000</f>
        <v>-0.10780598967893253</v>
      </c>
    </row>
    <row r="131" spans="1:20" x14ac:dyDescent="0.25">
      <c r="A131" s="5">
        <v>44462</v>
      </c>
      <c r="B131">
        <v>9.2070000000000007</v>
      </c>
      <c r="C131">
        <v>9.4</v>
      </c>
      <c r="D131">
        <v>8.7260000000000009</v>
      </c>
      <c r="E131">
        <v>9.39</v>
      </c>
      <c r="F131">
        <v>902192.3</v>
      </c>
      <c r="G131">
        <v>9.39</v>
      </c>
      <c r="L131" t="s">
        <v>8</v>
      </c>
      <c r="M131" t="s">
        <v>8</v>
      </c>
      <c r="N131" t="s">
        <v>7</v>
      </c>
      <c r="P131">
        <f t="shared" ref="P131" si="630">IF(C131=D131,0,((E131-D131)-(C131-E131))/(C131-D131))</f>
        <v>0.9703264094955496</v>
      </c>
      <c r="Q131">
        <f t="shared" ref="Q131" si="631">F131*P131</f>
        <v>875421.01513353176</v>
      </c>
      <c r="R131">
        <f t="shared" ref="R131" si="632">R132+Q131</f>
        <v>-10537888.575549593</v>
      </c>
      <c r="S131">
        <f t="shared" ref="S131" si="633">R131/100000</f>
        <v>-105.37888575549593</v>
      </c>
      <c r="T131">
        <f t="shared" ref="T131" si="634">S131/1000</f>
        <v>-0.10537888575549594</v>
      </c>
    </row>
    <row r="132" spans="1:20" x14ac:dyDescent="0.25">
      <c r="A132" s="5">
        <v>44461</v>
      </c>
      <c r="B132">
        <v>8.016</v>
      </c>
      <c r="C132">
        <v>9.3490000000000002</v>
      </c>
      <c r="D132">
        <v>7.7610000000000001</v>
      </c>
      <c r="E132">
        <v>9.2149999999999999</v>
      </c>
      <c r="F132">
        <v>1058354.2</v>
      </c>
      <c r="G132">
        <v>9.2149999999999999</v>
      </c>
      <c r="L132" t="s">
        <v>8</v>
      </c>
      <c r="M132" t="s">
        <v>8</v>
      </c>
      <c r="N132" t="s">
        <v>7</v>
      </c>
      <c r="P132">
        <f t="shared" ref="P132" si="635">IF(C132=D132,0,((E132-D132)-(C132-E132))/(C132-D132))</f>
        <v>0.83123425692695174</v>
      </c>
      <c r="Q132">
        <f t="shared" ref="Q132" si="636">F132*P132</f>
        <v>879740.26700251841</v>
      </c>
      <c r="R132">
        <f t="shared" ref="R132" si="637">R133+Q132</f>
        <v>-11413309.590683125</v>
      </c>
      <c r="S132">
        <f t="shared" ref="S132" si="638">R132/100000</f>
        <v>-114.13309590683124</v>
      </c>
      <c r="T132">
        <f t="shared" ref="T132" si="639">S132/1000</f>
        <v>-0.11413309590683124</v>
      </c>
    </row>
    <row r="133" spans="1:20" x14ac:dyDescent="0.25">
      <c r="A133" s="5">
        <v>44460</v>
      </c>
      <c r="B133">
        <v>8.6560000000000006</v>
      </c>
      <c r="C133">
        <v>9.173</v>
      </c>
      <c r="D133">
        <v>7.6740000000000004</v>
      </c>
      <c r="E133">
        <v>7.9690000000000003</v>
      </c>
      <c r="F133">
        <v>1038960.346</v>
      </c>
      <c r="G133">
        <v>7.9690000000000003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-0.60640426951300863</v>
      </c>
      <c r="Q133">
        <f t="shared" ref="Q133" si="641">F133*P133</f>
        <v>-630029.98966911272</v>
      </c>
      <c r="R133">
        <f t="shared" ref="R133" si="642">R134+Q133</f>
        <v>-12293049.857685644</v>
      </c>
      <c r="S133">
        <f t="shared" ref="S133" si="643">R133/100000</f>
        <v>-122.93049857685644</v>
      </c>
      <c r="T133">
        <f t="shared" ref="T133" si="644">S133/1000</f>
        <v>-0.12293049857685644</v>
      </c>
    </row>
    <row r="134" spans="1:20" x14ac:dyDescent="0.25">
      <c r="A134" s="5">
        <v>44459</v>
      </c>
      <c r="B134">
        <v>10.414999999999999</v>
      </c>
      <c r="C134">
        <v>10.443</v>
      </c>
      <c r="D134">
        <v>8.9879999999999995</v>
      </c>
      <c r="E134">
        <v>9.2690000000000001</v>
      </c>
      <c r="F134">
        <v>606974.66200000001</v>
      </c>
      <c r="G134">
        <v>9.2690000000000001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-0.61374570446735321</v>
      </c>
      <c r="Q134">
        <f t="shared" ref="Q134" si="646">F134*P134</f>
        <v>-372528.09152302361</v>
      </c>
      <c r="R134">
        <f t="shared" ref="R134" si="647">R135+Q134</f>
        <v>-11663019.868016532</v>
      </c>
      <c r="S134">
        <f t="shared" ref="S134" si="648">R134/100000</f>
        <v>-116.63019868016532</v>
      </c>
      <c r="T134">
        <f t="shared" ref="T134" si="649">S134/1000</f>
        <v>-0.11663019868016532</v>
      </c>
    </row>
    <row r="135" spans="1:20" x14ac:dyDescent="0.25">
      <c r="A135" s="5">
        <v>44458</v>
      </c>
      <c r="B135">
        <v>10.887</v>
      </c>
      <c r="C135">
        <v>10.976000000000001</v>
      </c>
      <c r="D135">
        <v>10.192</v>
      </c>
      <c r="E135">
        <v>10.416</v>
      </c>
      <c r="F135">
        <v>528221.6</v>
      </c>
      <c r="G135">
        <v>10.416</v>
      </c>
      <c r="L135" t="s">
        <v>7</v>
      </c>
      <c r="M135" t="s">
        <v>8</v>
      </c>
      <c r="N135" t="s">
        <v>7</v>
      </c>
      <c r="P135">
        <f t="shared" ref="P135" si="650">IF(C135=D135,0,((E135-D135)-(C135-E135))/(C135-D135))</f>
        <v>-0.42857142857142855</v>
      </c>
      <c r="Q135">
        <f t="shared" ref="Q135" si="651">F135*P135</f>
        <v>-226380.6857142857</v>
      </c>
      <c r="R135">
        <f t="shared" ref="R135" si="652">R136+Q135</f>
        <v>-11290491.776493508</v>
      </c>
      <c r="S135">
        <f t="shared" ref="S135" si="653">R135/100000</f>
        <v>-112.90491776493508</v>
      </c>
      <c r="T135">
        <f t="shared" ref="T135" si="654">S135/1000</f>
        <v>-0.11290491776493508</v>
      </c>
    </row>
    <row r="136" spans="1:20" x14ac:dyDescent="0.25">
      <c r="A136" s="5">
        <v>44457</v>
      </c>
      <c r="B136">
        <v>10.81</v>
      </c>
      <c r="C136">
        <v>11.441000000000001</v>
      </c>
      <c r="D136">
        <v>10.477</v>
      </c>
      <c r="E136">
        <v>10.888999999999999</v>
      </c>
      <c r="F136">
        <v>900765.3</v>
      </c>
      <c r="G136">
        <v>10.888999999999999</v>
      </c>
      <c r="L136" t="s">
        <v>8</v>
      </c>
      <c r="M136" t="s">
        <v>8</v>
      </c>
      <c r="N136" t="s">
        <v>7</v>
      </c>
      <c r="P136">
        <f t="shared" ref="P136" si="655">IF(C136=D136,0,((E136-D136)-(C136-E136))/(C136-D136))</f>
        <v>-0.14522821576763723</v>
      </c>
      <c r="Q136">
        <f t="shared" ref="Q136" si="656">F136*P136</f>
        <v>-130816.53734440048</v>
      </c>
      <c r="R136">
        <f t="shared" ref="R136" si="657">R137+Q136</f>
        <v>-11064111.090779223</v>
      </c>
      <c r="S136">
        <f t="shared" ref="S136" si="658">R136/100000</f>
        <v>-110.64111090779222</v>
      </c>
      <c r="T136">
        <f t="shared" ref="T136" si="659">S136/1000</f>
        <v>-0.11064111090779223</v>
      </c>
    </row>
    <row r="137" spans="1:20" x14ac:dyDescent="0.25">
      <c r="A137" s="5">
        <v>44456</v>
      </c>
      <c r="B137">
        <v>11.365</v>
      </c>
      <c r="C137">
        <v>11.592000000000001</v>
      </c>
      <c r="D137">
        <v>10.43</v>
      </c>
      <c r="E137">
        <v>10.808</v>
      </c>
      <c r="F137">
        <v>971858.1</v>
      </c>
      <c r="G137">
        <v>10.808</v>
      </c>
      <c r="L137" t="s">
        <v>7</v>
      </c>
      <c r="M137" t="s">
        <v>8</v>
      </c>
      <c r="N137" t="s">
        <v>7</v>
      </c>
      <c r="P137">
        <f t="shared" ref="P137" si="660">IF(C137=D137,0,((E137-D137)-(C137-E137))/(C137-D137))</f>
        <v>-0.34939759036144602</v>
      </c>
      <c r="Q137">
        <f t="shared" ref="Q137" si="661">F137*P137</f>
        <v>-339564.87831325323</v>
      </c>
      <c r="R137">
        <f t="shared" ref="R137" si="662">R138+Q137</f>
        <v>-10933294.553434823</v>
      </c>
      <c r="S137">
        <f t="shared" ref="S137" si="663">R137/100000</f>
        <v>-109.33294553434823</v>
      </c>
      <c r="T137">
        <f t="shared" ref="T137" si="664">S137/1000</f>
        <v>-0.10933294553434823</v>
      </c>
    </row>
    <row r="138" spans="1:20" x14ac:dyDescent="0.25">
      <c r="A138" s="5">
        <v>44455</v>
      </c>
      <c r="B138">
        <v>11.455</v>
      </c>
      <c r="C138">
        <v>11.925000000000001</v>
      </c>
      <c r="D138">
        <v>10.956</v>
      </c>
      <c r="E138">
        <v>11.364000000000001</v>
      </c>
      <c r="F138">
        <v>969696.7</v>
      </c>
      <c r="G138">
        <v>11.364000000000001</v>
      </c>
      <c r="L138" t="s">
        <v>8</v>
      </c>
      <c r="M138" t="s">
        <v>8</v>
      </c>
      <c r="N138" t="s">
        <v>7</v>
      </c>
      <c r="P138">
        <f t="shared" ref="P138" si="665">IF(C138=D138,0,((E138-D138)-(C138-E138))/(C138-D138))</f>
        <v>-0.15789473684210373</v>
      </c>
      <c r="Q138">
        <f t="shared" ref="Q138" si="666">F138*P138</f>
        <v>-153110.0052631564</v>
      </c>
      <c r="R138">
        <f t="shared" ref="R138" si="667">R139+Q138</f>
        <v>-10593729.67512157</v>
      </c>
      <c r="S138">
        <f t="shared" ref="S138" si="668">R138/100000</f>
        <v>-105.9372967512157</v>
      </c>
      <c r="T138">
        <f t="shared" ref="T138" si="669">S138/1000</f>
        <v>-0.1059372967512157</v>
      </c>
    </row>
    <row r="139" spans="1:20" x14ac:dyDescent="0.25">
      <c r="A139" s="5">
        <v>44454</v>
      </c>
      <c r="B139">
        <v>10.837</v>
      </c>
      <c r="C139">
        <v>11.564</v>
      </c>
      <c r="D139">
        <v>10.744</v>
      </c>
      <c r="E139">
        <v>11.45</v>
      </c>
      <c r="F139">
        <v>812132.4</v>
      </c>
      <c r="G139">
        <v>11.45</v>
      </c>
      <c r="L139" t="s">
        <v>8</v>
      </c>
      <c r="M139" t="s">
        <v>8</v>
      </c>
      <c r="N139" t="s">
        <v>7</v>
      </c>
      <c r="P139">
        <f t="shared" ref="P139" si="670">IF(C139=D139,0,((E139-D139)-(C139-E139))/(C139-D139))</f>
        <v>0.72195121951219332</v>
      </c>
      <c r="Q139">
        <f t="shared" ref="Q139" si="671">F139*P139</f>
        <v>586319.97658536443</v>
      </c>
      <c r="R139">
        <f t="shared" ref="R139" si="672">R140+Q139</f>
        <v>-10440619.669858413</v>
      </c>
      <c r="S139">
        <f t="shared" ref="S139" si="673">R139/100000</f>
        <v>-104.40619669858413</v>
      </c>
      <c r="T139">
        <f t="shared" ref="T139" si="674">S139/1000</f>
        <v>-0.10440619669858413</v>
      </c>
    </row>
    <row r="140" spans="1:20" x14ac:dyDescent="0.25">
      <c r="A140" s="5">
        <v>44453</v>
      </c>
      <c r="B140">
        <v>10.704000000000001</v>
      </c>
      <c r="C140">
        <v>11.164999999999999</v>
      </c>
      <c r="D140">
        <v>10.464</v>
      </c>
      <c r="E140">
        <v>10.839</v>
      </c>
      <c r="F140">
        <v>933876</v>
      </c>
      <c r="G140">
        <v>10.839</v>
      </c>
      <c r="L140" t="s">
        <v>8</v>
      </c>
      <c r="M140" t="s">
        <v>7</v>
      </c>
      <c r="N140" t="s">
        <v>7</v>
      </c>
      <c r="P140">
        <f t="shared" ref="P140" si="675">IF(C140=D140,0,((E140-D140)-(C140-E140))/(C140-D140))</f>
        <v>6.9900142653354286E-2</v>
      </c>
      <c r="Q140">
        <f t="shared" ref="Q140" si="676">F140*P140</f>
        <v>65278.065620543886</v>
      </c>
      <c r="R140">
        <f t="shared" ref="R140" si="677">R141+Q140</f>
        <v>-11026939.646443777</v>
      </c>
      <c r="S140">
        <f t="shared" ref="S140" si="678">R140/100000</f>
        <v>-110.26939646443776</v>
      </c>
      <c r="T140">
        <f t="shared" ref="T140" si="679">S140/1000</f>
        <v>-0.11026939646443776</v>
      </c>
    </row>
    <row r="141" spans="1:20" x14ac:dyDescent="0.25">
      <c r="A141" s="5">
        <v>44452</v>
      </c>
      <c r="B141">
        <v>11.247999999999999</v>
      </c>
      <c r="C141">
        <v>11.367000000000001</v>
      </c>
      <c r="D141">
        <v>9.75</v>
      </c>
      <c r="E141">
        <v>10.696</v>
      </c>
      <c r="F141">
        <v>1532382.2</v>
      </c>
      <c r="G141">
        <v>10.696</v>
      </c>
      <c r="L141" t="s">
        <v>7</v>
      </c>
      <c r="M141" t="s">
        <v>7</v>
      </c>
      <c r="N141" t="s">
        <v>7</v>
      </c>
      <c r="P141">
        <f t="shared" ref="P141" si="680">IF(C141=D141,0,((E141-D141)-(C141-E141))/(C141-D141))</f>
        <v>0.17006802721088338</v>
      </c>
      <c r="Q141">
        <f t="shared" ref="Q141" si="681">F141*P141</f>
        <v>260609.21768707334</v>
      </c>
      <c r="R141">
        <f t="shared" ref="R141" si="682">R142+Q141</f>
        <v>-11092217.71206432</v>
      </c>
      <c r="S141">
        <f t="shared" ref="S141" si="683">R141/100000</f>
        <v>-110.9221771206432</v>
      </c>
      <c r="T141">
        <f t="shared" ref="T141" si="684">S141/1000</f>
        <v>-0.1109221771206432</v>
      </c>
    </row>
    <row r="142" spans="1:20" x14ac:dyDescent="0.25">
      <c r="A142" s="5">
        <v>44451</v>
      </c>
      <c r="B142">
        <v>11.461</v>
      </c>
      <c r="C142">
        <v>12.337</v>
      </c>
      <c r="D142">
        <v>10.754</v>
      </c>
      <c r="E142">
        <v>11.24</v>
      </c>
      <c r="F142">
        <v>2580733.5</v>
      </c>
      <c r="G142">
        <v>11.24</v>
      </c>
      <c r="L142" t="s">
        <v>8</v>
      </c>
      <c r="M142" t="s">
        <v>8</v>
      </c>
      <c r="N142" t="s">
        <v>7</v>
      </c>
      <c r="P142">
        <f t="shared" ref="P142" si="685">IF(C142=D142,0,((E142-D142)-(C142-E142))/(C142-D142))</f>
        <v>-0.38597599494630375</v>
      </c>
      <c r="Q142">
        <f t="shared" ref="Q142" si="686">F142*P142</f>
        <v>-996101.18035375676</v>
      </c>
      <c r="R142">
        <f t="shared" ref="R142" si="687">R143+Q142</f>
        <v>-11352826.929751394</v>
      </c>
      <c r="S142">
        <f t="shared" ref="S142" si="688">R142/100000</f>
        <v>-113.52826929751394</v>
      </c>
      <c r="T142">
        <f t="shared" ref="T142" si="689">S142/1000</f>
        <v>-0.11352826929751395</v>
      </c>
    </row>
    <row r="143" spans="1:20" x14ac:dyDescent="0.25">
      <c r="A143" s="5">
        <v>44450</v>
      </c>
      <c r="B143">
        <v>10.092000000000001</v>
      </c>
      <c r="C143">
        <v>12.1</v>
      </c>
      <c r="D143">
        <v>9.8770000000000007</v>
      </c>
      <c r="E143">
        <v>11.455</v>
      </c>
      <c r="F143">
        <v>4225811.9000000004</v>
      </c>
      <c r="G143">
        <v>11.455</v>
      </c>
      <c r="L143" t="s">
        <v>8</v>
      </c>
      <c r="M143" t="s">
        <v>8</v>
      </c>
      <c r="N143" t="s">
        <v>7</v>
      </c>
      <c r="P143">
        <f t="shared" ref="P143" si="690">IF(C143=D143,0,((E143-D143)-(C143-E143))/(C143-D143))</f>
        <v>0.41970310391363036</v>
      </c>
      <c r="Q143">
        <f t="shared" ref="Q143" si="691">F143*P143</f>
        <v>1773586.3709851559</v>
      </c>
      <c r="R143">
        <f t="shared" ref="R143" si="692">R144+Q143</f>
        <v>-10356725.749397637</v>
      </c>
      <c r="S143">
        <f t="shared" ref="S143" si="693">R143/100000</f>
        <v>-103.56725749397637</v>
      </c>
      <c r="T143">
        <f t="shared" ref="T143" si="694">S143/1000</f>
        <v>-0.10356725749397637</v>
      </c>
    </row>
    <row r="144" spans="1:20" x14ac:dyDescent="0.25">
      <c r="A144" s="5">
        <v>44449</v>
      </c>
      <c r="B144">
        <v>10.175000000000001</v>
      </c>
      <c r="C144">
        <v>10.558999999999999</v>
      </c>
      <c r="D144">
        <v>9.2530000000000001</v>
      </c>
      <c r="E144">
        <v>10.071999999999999</v>
      </c>
      <c r="F144">
        <v>1461865.7</v>
      </c>
      <c r="G144">
        <v>10.071999999999999</v>
      </c>
      <c r="L144" t="s">
        <v>7</v>
      </c>
      <c r="M144" t="s">
        <v>7</v>
      </c>
      <c r="N144" t="s">
        <v>7</v>
      </c>
      <c r="P144">
        <f t="shared" ref="P144" si="695">IF(C144=D144,0,((E144-D144)-(C144-E144))/(C144-D144))</f>
        <v>0.25421133231240367</v>
      </c>
      <c r="Q144">
        <f t="shared" ref="Q144" si="696">F144*P144</f>
        <v>371622.82725880458</v>
      </c>
      <c r="R144">
        <f t="shared" ref="R144" si="697">R145+Q144</f>
        <v>-12130312.120382793</v>
      </c>
      <c r="S144">
        <f t="shared" ref="S144" si="698">R144/100000</f>
        <v>-121.30312120382793</v>
      </c>
      <c r="T144">
        <f t="shared" ref="T144" si="699">S144/1000</f>
        <v>-0.12130312120382793</v>
      </c>
    </row>
    <row r="145" spans="1:20" x14ac:dyDescent="0.25">
      <c r="A145" s="5">
        <v>44448</v>
      </c>
      <c r="B145">
        <v>10.276999999999999</v>
      </c>
      <c r="C145">
        <v>10.715</v>
      </c>
      <c r="D145">
        <v>9.7509999999999994</v>
      </c>
      <c r="E145">
        <v>10.177</v>
      </c>
      <c r="F145">
        <v>1943709</v>
      </c>
      <c r="G145">
        <v>10.177</v>
      </c>
      <c r="L145" t="s">
        <v>8</v>
      </c>
      <c r="M145" t="s">
        <v>7</v>
      </c>
      <c r="N145" t="s">
        <v>7</v>
      </c>
      <c r="P145">
        <f t="shared" ref="P145" si="700">IF(C145=D145,0,((E145-D145)-(C145-E145))/(C145-D145))</f>
        <v>-0.11618257261410794</v>
      </c>
      <c r="Q145">
        <f t="shared" ref="Q145" si="701">F145*P145</f>
        <v>-225825.11203319512</v>
      </c>
      <c r="R145">
        <f t="shared" ref="R145" si="702">R146+Q145</f>
        <v>-12501934.947641598</v>
      </c>
      <c r="S145">
        <f t="shared" ref="S145" si="703">R145/100000</f>
        <v>-125.01934947641598</v>
      </c>
      <c r="T145">
        <f t="shared" ref="T145" si="704">S145/1000</f>
        <v>-0.12501934947641599</v>
      </c>
    </row>
    <row r="146" spans="1:20" x14ac:dyDescent="0.25">
      <c r="A146" s="5">
        <v>44447</v>
      </c>
      <c r="B146">
        <v>10.532</v>
      </c>
      <c r="C146">
        <v>11.034000000000001</v>
      </c>
      <c r="D146">
        <v>9.0739999999999998</v>
      </c>
      <c r="E146">
        <v>10.279</v>
      </c>
      <c r="F146">
        <v>2335438.1320000002</v>
      </c>
      <c r="G146">
        <v>10.279</v>
      </c>
      <c r="L146" t="s">
        <v>7</v>
      </c>
      <c r="M146" t="s">
        <v>7</v>
      </c>
      <c r="N146" t="s">
        <v>7</v>
      </c>
      <c r="P146">
        <f t="shared" ref="P146" si="705">IF(C146=D146,0,((E146-D146)-(C146-E146))/(C146-D146))</f>
        <v>0.22959183673469341</v>
      </c>
      <c r="Q146">
        <f t="shared" ref="Q146" si="706">F146*P146</f>
        <v>536197.53030612145</v>
      </c>
      <c r="R146">
        <f t="shared" ref="R146" si="707">R147+Q146</f>
        <v>-12276109.835608402</v>
      </c>
      <c r="S146">
        <f t="shared" ref="S146" si="708">R146/100000</f>
        <v>-122.76109835608402</v>
      </c>
      <c r="T146">
        <f t="shared" ref="T146" si="709">S146/1000</f>
        <v>-0.12276109835608402</v>
      </c>
    </row>
    <row r="147" spans="1:20" x14ac:dyDescent="0.25">
      <c r="A147" s="5">
        <v>44446</v>
      </c>
      <c r="B147">
        <v>14.116</v>
      </c>
      <c r="C147">
        <v>14.124000000000001</v>
      </c>
      <c r="D147">
        <v>9.452</v>
      </c>
      <c r="E147">
        <v>10.55</v>
      </c>
      <c r="F147">
        <v>3740698.43</v>
      </c>
      <c r="G147">
        <v>10.55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-0.52996575342465724</v>
      </c>
      <c r="Q147">
        <f t="shared" ref="Q147" si="711">F147*P147</f>
        <v>-1982442.0617893825</v>
      </c>
      <c r="R147">
        <f t="shared" ref="R147" si="712">R148+Q147</f>
        <v>-12812307.365914524</v>
      </c>
      <c r="S147">
        <f t="shared" ref="S147" si="713">R147/100000</f>
        <v>-128.12307365914523</v>
      </c>
      <c r="T147">
        <f t="shared" ref="T147" si="714">S147/1000</f>
        <v>-0.12812307365914524</v>
      </c>
    </row>
    <row r="148" spans="1:20" x14ac:dyDescent="0.25">
      <c r="A148" s="5">
        <v>44445</v>
      </c>
      <c r="B148">
        <v>14.702999999999999</v>
      </c>
      <c r="C148">
        <v>15.3</v>
      </c>
      <c r="D148">
        <v>12.752000000000001</v>
      </c>
      <c r="E148">
        <v>14.117000000000001</v>
      </c>
      <c r="F148">
        <v>2322133.71</v>
      </c>
      <c r="G148">
        <v>14.117000000000001</v>
      </c>
      <c r="L148" t="s">
        <v>8</v>
      </c>
      <c r="M148" t="s">
        <v>8</v>
      </c>
      <c r="N148" t="s">
        <v>8</v>
      </c>
      <c r="P148">
        <f t="shared" ref="P148" si="715">IF(C148=D148,0,((E148-D148)-(C148-E148))/(C148-D148))</f>
        <v>7.1428571428571577E-2</v>
      </c>
      <c r="Q148">
        <f t="shared" ref="Q148" si="716">F148*P148</f>
        <v>165866.69357142891</v>
      </c>
      <c r="R148">
        <f t="shared" ref="R148" si="717">R149+Q148</f>
        <v>-10829865.304125141</v>
      </c>
      <c r="S148">
        <f t="shared" ref="S148" si="718">R148/100000</f>
        <v>-108.29865304125141</v>
      </c>
      <c r="T148">
        <f t="shared" ref="T148" si="719">S148/1000</f>
        <v>-0.10829865304125141</v>
      </c>
    </row>
    <row r="149" spans="1:20" x14ac:dyDescent="0.25">
      <c r="A149" s="5">
        <v>44444</v>
      </c>
      <c r="B149">
        <v>14.191000000000001</v>
      </c>
      <c r="C149">
        <v>14.766</v>
      </c>
      <c r="D149">
        <v>14.012</v>
      </c>
      <c r="E149">
        <v>14.702999999999999</v>
      </c>
      <c r="F149">
        <v>1335562.1710000001</v>
      </c>
      <c r="G149">
        <v>14.702999999999999</v>
      </c>
      <c r="L149" t="s">
        <v>8</v>
      </c>
      <c r="M149" t="s">
        <v>8</v>
      </c>
      <c r="N149" t="s">
        <v>8</v>
      </c>
      <c r="P149">
        <f t="shared" ref="P149" si="720">IF(C149=D149,0,((E149-D149)-(C149-E149))/(C149-D149))</f>
        <v>0.83289124668434844</v>
      </c>
      <c r="Q149">
        <f t="shared" ref="Q149" si="721">F149*P149</f>
        <v>1112378.041628645</v>
      </c>
      <c r="R149">
        <f t="shared" ref="R149" si="722">R150+Q149</f>
        <v>-10995731.997696571</v>
      </c>
      <c r="S149">
        <f t="shared" ref="S149" si="723">R149/100000</f>
        <v>-109.95731997696571</v>
      </c>
      <c r="T149">
        <f t="shared" ref="T149" si="724">S149/1000</f>
        <v>-0.1099573199769657</v>
      </c>
    </row>
    <row r="150" spans="1:20" x14ac:dyDescent="0.25">
      <c r="A150" s="5">
        <v>44443</v>
      </c>
      <c r="B150">
        <v>13.231</v>
      </c>
      <c r="C150">
        <v>14.5</v>
      </c>
      <c r="D150">
        <v>13.154999999999999</v>
      </c>
      <c r="E150">
        <v>14.191000000000001</v>
      </c>
      <c r="F150">
        <v>1724861.7050000001</v>
      </c>
      <c r="G150">
        <v>14.191000000000001</v>
      </c>
      <c r="L150" t="s">
        <v>8</v>
      </c>
      <c r="M150" t="s">
        <v>8</v>
      </c>
      <c r="N150" t="s">
        <v>8</v>
      </c>
      <c r="P150">
        <f t="shared" ref="P150" si="725">IF(C150=D150,0,((E150-D150)-(C150-E150))/(C150-D150))</f>
        <v>0.54052044609665562</v>
      </c>
      <c r="Q150">
        <f t="shared" ref="Q150" si="726">F150*P150</f>
        <v>932323.01824163808</v>
      </c>
      <c r="R150">
        <f t="shared" ref="R150" si="727">R151+Q150</f>
        <v>-12108110.039325217</v>
      </c>
      <c r="S150">
        <f t="shared" ref="S150" si="728">R150/100000</f>
        <v>-121.08110039325217</v>
      </c>
      <c r="T150">
        <f t="shared" ref="T150" si="729">S150/1000</f>
        <v>-0.12108110039325218</v>
      </c>
    </row>
    <row r="151" spans="1:20" x14ac:dyDescent="0.25">
      <c r="A151" s="5">
        <v>44442</v>
      </c>
      <c r="B151">
        <v>13.195</v>
      </c>
      <c r="C151">
        <v>13.680999999999999</v>
      </c>
      <c r="D151">
        <v>12.723000000000001</v>
      </c>
      <c r="E151">
        <v>13.211</v>
      </c>
      <c r="F151">
        <v>936010.5</v>
      </c>
      <c r="G151">
        <v>13.211</v>
      </c>
      <c r="L151" t="s">
        <v>7</v>
      </c>
      <c r="M151" t="s">
        <v>7</v>
      </c>
      <c r="N151" t="s">
        <v>8</v>
      </c>
      <c r="P151">
        <f t="shared" ref="P151" si="730">IF(C151=D151,0,((E151-D151)-(C151-E151))/(C151-D151))</f>
        <v>1.8789144050105129E-2</v>
      </c>
      <c r="Q151">
        <f t="shared" ref="Q151" si="731">F151*P151</f>
        <v>17586.836116910927</v>
      </c>
      <c r="R151">
        <f t="shared" ref="R151" si="732">R152+Q151</f>
        <v>-13040433.057566855</v>
      </c>
      <c r="S151">
        <f t="shared" ref="S151" si="733">R151/100000</f>
        <v>-130.40433057566855</v>
      </c>
      <c r="T151">
        <f t="shared" ref="T151" si="734">S151/1000</f>
        <v>-0.13040433057566855</v>
      </c>
    </row>
    <row r="152" spans="1:20" x14ac:dyDescent="0.25">
      <c r="A152" s="5">
        <v>44441</v>
      </c>
      <c r="B152">
        <v>13.43</v>
      </c>
      <c r="C152">
        <v>13.747999999999999</v>
      </c>
      <c r="D152">
        <v>13.066000000000001</v>
      </c>
      <c r="E152">
        <v>13.193</v>
      </c>
      <c r="F152">
        <v>977081</v>
      </c>
      <c r="G152">
        <v>13.193</v>
      </c>
      <c r="L152" t="s">
        <v>8</v>
      </c>
      <c r="M152" t="s">
        <v>7</v>
      </c>
      <c r="N152" t="s">
        <v>8</v>
      </c>
      <c r="P152">
        <f t="shared" ref="P152" si="735">IF(C152=D152,0,((E152-D152)-(C152-E152))/(C152-D152))</f>
        <v>-0.62756598240469452</v>
      </c>
      <c r="Q152">
        <f t="shared" ref="Q152" si="736">F152*P152</f>
        <v>-613182.79765396134</v>
      </c>
      <c r="R152">
        <f t="shared" ref="R152" si="737">R153+Q152</f>
        <v>-13058019.893683767</v>
      </c>
      <c r="S152">
        <f t="shared" ref="S152" si="738">R152/100000</f>
        <v>-130.58019893683766</v>
      </c>
      <c r="T152">
        <f t="shared" ref="T152" si="739">S152/1000</f>
        <v>-0.13058019893683767</v>
      </c>
    </row>
    <row r="153" spans="1:20" x14ac:dyDescent="0.25">
      <c r="A153" s="5">
        <v>44440</v>
      </c>
      <c r="B153">
        <v>13.064</v>
      </c>
      <c r="C153">
        <v>13.734</v>
      </c>
      <c r="D153">
        <v>12.183999999999999</v>
      </c>
      <c r="E153">
        <v>13.428000000000001</v>
      </c>
      <c r="F153">
        <v>1503662.7</v>
      </c>
      <c r="G153">
        <v>13.428000000000001</v>
      </c>
      <c r="L153" t="s">
        <v>8</v>
      </c>
      <c r="M153" t="s">
        <v>7</v>
      </c>
      <c r="N153" t="s">
        <v>8</v>
      </c>
      <c r="P153">
        <f t="shared" ref="P153" si="740">IF(C153=D153,0,((E153-D153)-(C153-E153))/(C153-D153))</f>
        <v>0.60516129032258192</v>
      </c>
      <c r="Q153">
        <f t="shared" ref="Q153" si="741">F153*P153</f>
        <v>909958.45974193735</v>
      </c>
      <c r="R153">
        <f t="shared" ref="R153" si="742">R154+Q153</f>
        <v>-12444837.096029805</v>
      </c>
      <c r="S153">
        <f t="shared" ref="S153" si="743">R153/100000</f>
        <v>-124.44837096029805</v>
      </c>
      <c r="T153">
        <f t="shared" ref="T153" si="744">S153/1000</f>
        <v>-0.12444837096029805</v>
      </c>
    </row>
    <row r="154" spans="1:20" x14ac:dyDescent="0.25">
      <c r="A154" s="5">
        <v>44439</v>
      </c>
      <c r="B154">
        <v>12.247</v>
      </c>
      <c r="C154">
        <v>13.5</v>
      </c>
      <c r="D154">
        <v>12.135</v>
      </c>
      <c r="E154">
        <v>13.048</v>
      </c>
      <c r="F154">
        <v>1537115.7</v>
      </c>
      <c r="G154">
        <v>13.048</v>
      </c>
      <c r="L154" t="s">
        <v>8</v>
      </c>
      <c r="M154" t="s">
        <v>7</v>
      </c>
      <c r="N154" t="s">
        <v>8</v>
      </c>
      <c r="P154">
        <f t="shared" ref="P154" si="745">IF(C154=D154,0,((E154-D154)-(C154-E154))/(C154-D154))</f>
        <v>0.33772893772893792</v>
      </c>
      <c r="Q154">
        <f t="shared" ref="Q154" si="746">F154*P154</f>
        <v>519128.45252747281</v>
      </c>
      <c r="R154">
        <f t="shared" ref="R154" si="747">R155+Q154</f>
        <v>-13354795.555771742</v>
      </c>
      <c r="S154">
        <f t="shared" ref="S154" si="748">R154/100000</f>
        <v>-133.54795555771742</v>
      </c>
      <c r="T154">
        <f t="shared" ref="T154" si="749">S154/1000</f>
        <v>-0.13354795555771742</v>
      </c>
    </row>
    <row r="155" spans="1:20" x14ac:dyDescent="0.25">
      <c r="A155" s="5">
        <v>44438</v>
      </c>
      <c r="B155">
        <v>13.125</v>
      </c>
      <c r="C155">
        <v>13.157999999999999</v>
      </c>
      <c r="D155">
        <v>12.073</v>
      </c>
      <c r="E155">
        <v>12.247</v>
      </c>
      <c r="F155">
        <v>1115452.5</v>
      </c>
      <c r="G155">
        <v>12.247</v>
      </c>
      <c r="L155" t="s">
        <v>7</v>
      </c>
      <c r="M155" t="s">
        <v>7</v>
      </c>
      <c r="N155" t="s">
        <v>8</v>
      </c>
      <c r="P155">
        <f t="shared" ref="P155" si="750">IF(C155=D155,0,((E155-D155)-(C155-E155))/(C155-D155))</f>
        <v>-0.67926267281106056</v>
      </c>
      <c r="Q155">
        <f t="shared" ref="Q155" si="751">F155*P155</f>
        <v>-757685.2465437795</v>
      </c>
      <c r="R155">
        <f t="shared" ref="R155" si="752">R156+Q155</f>
        <v>-13873924.008299215</v>
      </c>
      <c r="S155">
        <f t="shared" ref="S155" si="753">R155/100000</f>
        <v>-138.73924008299215</v>
      </c>
      <c r="T155">
        <f t="shared" ref="T155" si="754">S155/1000</f>
        <v>-0.13873924008299215</v>
      </c>
    </row>
    <row r="156" spans="1:20" x14ac:dyDescent="0.25">
      <c r="A156" s="5">
        <v>44437</v>
      </c>
      <c r="B156">
        <v>13.414999999999999</v>
      </c>
      <c r="C156">
        <v>13.795</v>
      </c>
      <c r="D156">
        <v>12.747999999999999</v>
      </c>
      <c r="E156">
        <v>13.125</v>
      </c>
      <c r="F156">
        <v>1384118.4</v>
      </c>
      <c r="G156">
        <v>13.125</v>
      </c>
      <c r="L156" t="s">
        <v>7</v>
      </c>
      <c r="M156" t="s">
        <v>7</v>
      </c>
      <c r="N156" t="s">
        <v>8</v>
      </c>
      <c r="P156">
        <f t="shared" ref="P156" si="755">IF(C156=D156,0,((E156-D156)-(C156-E156))/(C156-D156))</f>
        <v>-0.27984718242597811</v>
      </c>
      <c r="Q156">
        <f t="shared" ref="Q156" si="756">F156*P156</f>
        <v>-387341.63438395294</v>
      </c>
      <c r="R156">
        <f t="shared" ref="R156" si="757">R157+Q156</f>
        <v>-13116238.761755435</v>
      </c>
      <c r="S156">
        <f t="shared" ref="S156" si="758">R156/100000</f>
        <v>-131.16238761755434</v>
      </c>
      <c r="T156">
        <f t="shared" ref="T156" si="759">S156/1000</f>
        <v>-0.13116238761755433</v>
      </c>
    </row>
    <row r="157" spans="1:20" x14ac:dyDescent="0.25">
      <c r="A157" s="5">
        <v>44436</v>
      </c>
      <c r="B157">
        <v>12.837999999999999</v>
      </c>
      <c r="C157">
        <v>13.834</v>
      </c>
      <c r="D157">
        <v>12.263999999999999</v>
      </c>
      <c r="E157">
        <v>13.398</v>
      </c>
      <c r="F157">
        <v>1935257.0649999999</v>
      </c>
      <c r="G157">
        <v>13.398</v>
      </c>
      <c r="L157" t="s">
        <v>8</v>
      </c>
      <c r="M157" t="s">
        <v>7</v>
      </c>
      <c r="N157" t="s">
        <v>8</v>
      </c>
      <c r="P157">
        <f t="shared" ref="P157" si="760">IF(C157=D157,0,((E157-D157)-(C157-E157))/(C157-D157))</f>
        <v>0.44458598726114668</v>
      </c>
      <c r="Q157">
        <f t="shared" ref="Q157" si="761">F157*P157</f>
        <v>860388.17284713406</v>
      </c>
      <c r="R157">
        <f t="shared" ref="R157" si="762">R158+Q157</f>
        <v>-12728897.127371483</v>
      </c>
      <c r="S157">
        <f t="shared" ref="S157" si="763">R157/100000</f>
        <v>-127.28897127371482</v>
      </c>
      <c r="T157">
        <f t="shared" ref="T157" si="764">S157/1000</f>
        <v>-0.12728897127371483</v>
      </c>
    </row>
    <row r="158" spans="1:20" x14ac:dyDescent="0.25">
      <c r="A158" s="5">
        <v>44435</v>
      </c>
      <c r="B158">
        <v>12.097</v>
      </c>
      <c r="C158">
        <v>13.387</v>
      </c>
      <c r="D158">
        <v>11.515000000000001</v>
      </c>
      <c r="E158">
        <v>12.829000000000001</v>
      </c>
      <c r="F158">
        <v>1786194.767</v>
      </c>
      <c r="G158">
        <v>12.829000000000001</v>
      </c>
      <c r="L158" t="s">
        <v>7</v>
      </c>
      <c r="M158" t="s">
        <v>7</v>
      </c>
      <c r="N158" t="s">
        <v>8</v>
      </c>
      <c r="P158">
        <f t="shared" ref="P158" si="765">IF(C158=D158,0,((E158-D158)-(C158-E158))/(C158-D158))</f>
        <v>0.40384615384615397</v>
      </c>
      <c r="Q158">
        <f t="shared" ref="Q158" si="766">F158*P158</f>
        <v>721347.88667307713</v>
      </c>
      <c r="R158">
        <f t="shared" ref="R158" si="767">R159+Q158</f>
        <v>-13589285.300218618</v>
      </c>
      <c r="S158">
        <f t="shared" ref="S158" si="768">R158/100000</f>
        <v>-135.89285300218617</v>
      </c>
      <c r="T158">
        <f t="shared" ref="T158" si="769">S158/1000</f>
        <v>-0.13589285300218618</v>
      </c>
    </row>
    <row r="159" spans="1:20" x14ac:dyDescent="0.25">
      <c r="A159" s="5">
        <v>44434</v>
      </c>
      <c r="B159">
        <v>13.749000000000001</v>
      </c>
      <c r="C159">
        <v>13.861000000000001</v>
      </c>
      <c r="D159">
        <v>12.007999999999999</v>
      </c>
      <c r="E159">
        <v>12.090999999999999</v>
      </c>
      <c r="F159">
        <v>1462372.1140000001</v>
      </c>
      <c r="G159">
        <v>12.090999999999999</v>
      </c>
      <c r="L159" t="s">
        <v>8</v>
      </c>
      <c r="M159" t="s">
        <v>7</v>
      </c>
      <c r="N159" t="s">
        <v>8</v>
      </c>
      <c r="P159">
        <f t="shared" ref="P159" si="770">IF(C159=D159,0,((E159-D159)-(C159-E159))/(C159-D159))</f>
        <v>-0.91041554236373434</v>
      </c>
      <c r="Q159">
        <f t="shared" ref="Q159" si="771">F159*P159</f>
        <v>-1331366.3013049108</v>
      </c>
      <c r="R159">
        <f t="shared" ref="R159" si="772">R160+Q159</f>
        <v>-14310633.186891695</v>
      </c>
      <c r="S159">
        <f t="shared" ref="S159" si="773">R159/100000</f>
        <v>-143.10633186891695</v>
      </c>
      <c r="T159">
        <f t="shared" ref="T159" si="774">S159/1000</f>
        <v>-0.14310633186891694</v>
      </c>
    </row>
    <row r="160" spans="1:20" x14ac:dyDescent="0.25">
      <c r="A160" s="5">
        <v>44433</v>
      </c>
      <c r="B160">
        <v>12.8</v>
      </c>
      <c r="C160">
        <v>14.037000000000001</v>
      </c>
      <c r="D160">
        <v>12.076000000000001</v>
      </c>
      <c r="E160">
        <v>13.737</v>
      </c>
      <c r="F160">
        <v>2015539.2139999999</v>
      </c>
      <c r="G160">
        <v>13.737</v>
      </c>
      <c r="L160" t="s">
        <v>7</v>
      </c>
      <c r="M160" t="s">
        <v>7</v>
      </c>
      <c r="N160" t="s">
        <v>8</v>
      </c>
      <c r="P160">
        <f t="shared" ref="P160" si="775">IF(C160=D160,0,((E160-D160)-(C160-E160))/(C160-D160))</f>
        <v>0.69403365629780656</v>
      </c>
      <c r="Q160">
        <f t="shared" ref="Q160" si="776">F160*P160</f>
        <v>1398852.0501040271</v>
      </c>
      <c r="R160">
        <f t="shared" ref="R160" si="777">R161+Q160</f>
        <v>-12979266.885586785</v>
      </c>
      <c r="S160">
        <f t="shared" ref="S160" si="778">R160/100000</f>
        <v>-129.79266885586784</v>
      </c>
      <c r="T160">
        <f t="shared" ref="T160" si="779">S160/1000</f>
        <v>-0.12979266885586785</v>
      </c>
    </row>
    <row r="161" spans="1:20" x14ac:dyDescent="0.25">
      <c r="A161" s="5">
        <v>44432</v>
      </c>
      <c r="B161">
        <v>14.669</v>
      </c>
      <c r="C161">
        <v>14.952999999999999</v>
      </c>
      <c r="D161">
        <v>12.77</v>
      </c>
      <c r="E161">
        <v>12.821</v>
      </c>
      <c r="F161">
        <v>1712666.122</v>
      </c>
      <c r="G161">
        <v>12.821</v>
      </c>
      <c r="L161" t="s">
        <v>7</v>
      </c>
      <c r="M161" t="s">
        <v>7</v>
      </c>
      <c r="N161" t="s">
        <v>8</v>
      </c>
      <c r="P161">
        <f t="shared" ref="P161" si="780">IF(C161=D161,0,((E161-D161)-(C161-E161))/(C161-D161))</f>
        <v>-0.95327530920751247</v>
      </c>
      <c r="Q161">
        <f t="shared" ref="Q161" si="781">F161*P161</f>
        <v>-1632642.3270187813</v>
      </c>
      <c r="R161">
        <f t="shared" ref="R161" si="782">R162+Q161</f>
        <v>-14378118.935690813</v>
      </c>
      <c r="S161">
        <f t="shared" ref="S161" si="783">R161/100000</f>
        <v>-143.78118935690813</v>
      </c>
      <c r="T161">
        <f t="shared" ref="T161" si="784">S161/1000</f>
        <v>-0.14378118935690812</v>
      </c>
    </row>
    <row r="162" spans="1:20" x14ac:dyDescent="0.25">
      <c r="A162" s="5">
        <v>44431</v>
      </c>
      <c r="B162">
        <v>14.233000000000001</v>
      </c>
      <c r="C162">
        <v>15.5</v>
      </c>
      <c r="D162">
        <v>13.8</v>
      </c>
      <c r="E162">
        <v>14.692</v>
      </c>
      <c r="F162">
        <v>2359401.463</v>
      </c>
      <c r="G162">
        <v>14.692</v>
      </c>
      <c r="L162" t="s">
        <v>8</v>
      </c>
      <c r="M162" t="s">
        <v>8</v>
      </c>
      <c r="N162" t="s">
        <v>8</v>
      </c>
      <c r="P162">
        <f t="shared" ref="P162" si="785">IF(C162=D162,0,((E162-D162)-(C162-E162))/(C162-D162))</f>
        <v>4.9411764705882155E-2</v>
      </c>
      <c r="Q162">
        <f t="shared" ref="Q162" si="786">F162*P162</f>
        <v>116582.18993647012</v>
      </c>
      <c r="R162">
        <f t="shared" ref="R162" si="787">R163+Q162</f>
        <v>-12745476.608672032</v>
      </c>
      <c r="S162">
        <f t="shared" ref="S162" si="788">R162/100000</f>
        <v>-127.45476608672033</v>
      </c>
      <c r="T162">
        <f t="shared" ref="T162" si="789">S162/1000</f>
        <v>-0.12745476608672032</v>
      </c>
    </row>
    <row r="163" spans="1:20" x14ac:dyDescent="0.25">
      <c r="A163" s="5">
        <v>44430</v>
      </c>
      <c r="B163">
        <v>13.236000000000001</v>
      </c>
      <c r="C163">
        <v>13.645</v>
      </c>
      <c r="D163">
        <v>13.154</v>
      </c>
      <c r="E163">
        <v>13.574999999999999</v>
      </c>
      <c r="F163">
        <v>414571.85399999999</v>
      </c>
      <c r="G163">
        <v>13.574999999999999</v>
      </c>
      <c r="L163" t="s">
        <v>7</v>
      </c>
      <c r="M163" t="s">
        <v>8</v>
      </c>
      <c r="N163" t="s">
        <v>8</v>
      </c>
      <c r="P163">
        <f t="shared" ref="P163" si="790">IF(C163=D163,0,((E163-D163)-(C163-E163))/(C163-D163))</f>
        <v>0.71486761710794167</v>
      </c>
      <c r="Q163">
        <f t="shared" ref="Q163" si="791">F163*P163</f>
        <v>296363.99338900147</v>
      </c>
      <c r="R163">
        <f t="shared" ref="R163" si="792">R164+Q163</f>
        <v>-12862058.798608502</v>
      </c>
      <c r="S163">
        <f t="shared" ref="S163" si="793">R163/100000</f>
        <v>-128.62058798608501</v>
      </c>
      <c r="T163">
        <f t="shared" ref="T163" si="794">S163/1000</f>
        <v>-0.128620587986085</v>
      </c>
    </row>
    <row r="164" spans="1:20" x14ac:dyDescent="0.25">
      <c r="A164" s="5">
        <v>44429</v>
      </c>
      <c r="B164">
        <v>13.31</v>
      </c>
      <c r="C164">
        <v>14.47</v>
      </c>
      <c r="D164">
        <v>13</v>
      </c>
      <c r="E164">
        <v>13.244</v>
      </c>
      <c r="F164">
        <v>1949404.692</v>
      </c>
      <c r="G164">
        <v>13.244</v>
      </c>
      <c r="L164" t="s">
        <v>8</v>
      </c>
      <c r="M164" t="s">
        <v>8</v>
      </c>
      <c r="N164" t="s">
        <v>8</v>
      </c>
      <c r="P164">
        <f t="shared" ref="P164" si="795">IF(C164=D164,0,((E164-D164)-(C164-E164))/(C164-D164))</f>
        <v>-0.66802721088435424</v>
      </c>
      <c r="Q164">
        <f t="shared" ref="Q164" si="796">F164*P164</f>
        <v>-1302255.3792816335</v>
      </c>
      <c r="R164">
        <f t="shared" ref="R164" si="797">R165+Q164</f>
        <v>-13158422.791997503</v>
      </c>
      <c r="S164">
        <f t="shared" ref="S164" si="798">R164/100000</f>
        <v>-131.58422791997504</v>
      </c>
      <c r="T164">
        <f t="shared" ref="T164" si="799">S164/1000</f>
        <v>-0.13158422791997504</v>
      </c>
    </row>
    <row r="165" spans="1:20" x14ac:dyDescent="0.25">
      <c r="A165" s="5">
        <v>44428</v>
      </c>
      <c r="B165">
        <v>12.832000000000001</v>
      </c>
      <c r="C165">
        <v>13.57</v>
      </c>
      <c r="D165">
        <v>12.5</v>
      </c>
      <c r="E165">
        <v>13.304</v>
      </c>
      <c r="F165">
        <v>827035.85199999996</v>
      </c>
      <c r="G165">
        <v>13.304</v>
      </c>
      <c r="L165" t="s">
        <v>8</v>
      </c>
      <c r="M165" t="s">
        <v>7</v>
      </c>
      <c r="N165" t="s">
        <v>8</v>
      </c>
      <c r="P165">
        <f t="shared" ref="P165" si="800">IF(C165=D165,0,((E165-D165)-(C165-E165))/(C165-D165))</f>
        <v>0.50280373831775715</v>
      </c>
      <c r="Q165">
        <f t="shared" ref="Q165" si="801">F165*P165</f>
        <v>415836.7181084113</v>
      </c>
      <c r="R165">
        <f t="shared" ref="R165" si="802">R166+Q165</f>
        <v>-11856167.412715871</v>
      </c>
      <c r="S165">
        <f t="shared" ref="S165" si="803">R165/100000</f>
        <v>-118.56167412715871</v>
      </c>
      <c r="T165">
        <f t="shared" ref="T165" si="804">S165/1000</f>
        <v>-0.11856167412715871</v>
      </c>
    </row>
    <row r="166" spans="1:20" x14ac:dyDescent="0.25">
      <c r="A166" s="5">
        <v>44427</v>
      </c>
      <c r="B166">
        <v>12.236000000000001</v>
      </c>
      <c r="C166">
        <v>12.875</v>
      </c>
      <c r="D166">
        <v>11.853999999999999</v>
      </c>
      <c r="E166">
        <v>12.832000000000001</v>
      </c>
      <c r="F166">
        <v>1014010.728</v>
      </c>
      <c r="G166">
        <v>12.832000000000001</v>
      </c>
      <c r="L166" t="s">
        <v>8</v>
      </c>
      <c r="M166" t="s">
        <v>7</v>
      </c>
      <c r="N166" t="s">
        <v>8</v>
      </c>
      <c r="P166">
        <f t="shared" ref="P166" si="805">IF(C166=D166,0,((E166-D166)-(C166-E166))/(C166-D166))</f>
        <v>0.91576885406464403</v>
      </c>
      <c r="Q166">
        <f t="shared" ref="Q166" si="806">F166*P166</f>
        <v>928599.44238981546</v>
      </c>
      <c r="R166">
        <f t="shared" ref="R166" si="807">R167+Q166</f>
        <v>-12272004.130824283</v>
      </c>
      <c r="S166">
        <f t="shared" ref="S166" si="808">R166/100000</f>
        <v>-122.72004130824283</v>
      </c>
      <c r="T166">
        <f t="shared" ref="T166" si="809">S166/1000</f>
        <v>-0.12272004130824282</v>
      </c>
    </row>
    <row r="167" spans="1:20" x14ac:dyDescent="0.25">
      <c r="A167" s="5">
        <v>44426</v>
      </c>
      <c r="B167">
        <v>12.616</v>
      </c>
      <c r="C167">
        <v>12.945</v>
      </c>
      <c r="D167">
        <v>11.5</v>
      </c>
      <c r="E167">
        <v>12.228999999999999</v>
      </c>
      <c r="F167">
        <v>1257516.9950000001</v>
      </c>
      <c r="G167">
        <v>12.228999999999999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8.996539792386243E-3</v>
      </c>
      <c r="Q167">
        <f t="shared" ref="Q167" si="811">F167*P167</f>
        <v>11313.301685119473</v>
      </c>
      <c r="R167">
        <f t="shared" ref="R167" si="812">R168+Q167</f>
        <v>-13200603.573214099</v>
      </c>
      <c r="S167">
        <f t="shared" ref="S167" si="813">R167/100000</f>
        <v>-132.00603573214099</v>
      </c>
      <c r="T167">
        <f t="shared" ref="T167" si="814">S167/1000</f>
        <v>-0.13200603573214098</v>
      </c>
    </row>
    <row r="168" spans="1:20" x14ac:dyDescent="0.25">
      <c r="A168" s="5">
        <v>44425</v>
      </c>
      <c r="B168">
        <v>13.391</v>
      </c>
      <c r="C168">
        <v>14.313000000000001</v>
      </c>
      <c r="D168">
        <v>12.352</v>
      </c>
      <c r="E168">
        <v>12.619</v>
      </c>
      <c r="F168">
        <v>3305988.8020000001</v>
      </c>
      <c r="G168">
        <v>12.619</v>
      </c>
      <c r="L168" t="s">
        <v>7</v>
      </c>
      <c r="M168" t="s">
        <v>8</v>
      </c>
      <c r="N168" t="s">
        <v>8</v>
      </c>
      <c r="P168">
        <f t="shared" ref="P168" si="815">IF(C168=D168,0,((E168-D168)-(C168-E168))/(C168-D168))</f>
        <v>-0.727689954105049</v>
      </c>
      <c r="Q168">
        <f t="shared" ref="Q168" si="816">F168*P168</f>
        <v>-2405734.8395991861</v>
      </c>
      <c r="R168">
        <f t="shared" ref="R168" si="817">R169+Q168</f>
        <v>-13211916.874899218</v>
      </c>
      <c r="S168">
        <f t="shared" ref="S168" si="818">R168/100000</f>
        <v>-132.11916874899217</v>
      </c>
      <c r="T168">
        <f t="shared" ref="T168" si="819">S168/1000</f>
        <v>-0.13211916874899216</v>
      </c>
    </row>
    <row r="169" spans="1:20" x14ac:dyDescent="0.25">
      <c r="A169" s="5">
        <v>44424</v>
      </c>
      <c r="B169">
        <v>13.637</v>
      </c>
      <c r="C169">
        <v>14.59</v>
      </c>
      <c r="D169">
        <v>13.301</v>
      </c>
      <c r="E169">
        <v>13.398</v>
      </c>
      <c r="F169">
        <v>2272537.2659999998</v>
      </c>
      <c r="G169">
        <v>13.398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-0.84949573312645532</v>
      </c>
      <c r="Q169">
        <f t="shared" ref="Q169" si="821">F169*P169</f>
        <v>-1930510.7108378604</v>
      </c>
      <c r="R169">
        <f t="shared" ref="R169" si="822">R170+Q169</f>
        <v>-10806182.035300031</v>
      </c>
      <c r="S169">
        <f t="shared" ref="S169" si="823">R169/100000</f>
        <v>-108.06182035300031</v>
      </c>
      <c r="T169">
        <f t="shared" ref="T169" si="824">S169/1000</f>
        <v>-0.10806182035300031</v>
      </c>
    </row>
    <row r="170" spans="1:20" x14ac:dyDescent="0.25">
      <c r="A170" s="5">
        <v>44423</v>
      </c>
      <c r="B170">
        <v>13.688000000000001</v>
      </c>
      <c r="C170">
        <v>14.169</v>
      </c>
      <c r="D170">
        <v>13.003</v>
      </c>
      <c r="E170">
        <v>13.637</v>
      </c>
      <c r="F170">
        <v>1968472.2579999999</v>
      </c>
      <c r="G170">
        <v>13.637</v>
      </c>
      <c r="L170" t="s">
        <v>7</v>
      </c>
      <c r="M170" t="s">
        <v>8</v>
      </c>
      <c r="N170" t="s">
        <v>8</v>
      </c>
      <c r="P170">
        <f t="shared" ref="P170" si="825">IF(C170=D170,0,((E170-D170)-(C170-E170))/(C170-D170))</f>
        <v>8.7478559176672618E-2</v>
      </c>
      <c r="Q170">
        <f t="shared" ref="Q170" si="826">F170*P170</f>
        <v>172199.11690909136</v>
      </c>
      <c r="R170">
        <f t="shared" ref="R170" si="827">R171+Q170</f>
        <v>-8875671.3244621716</v>
      </c>
      <c r="S170">
        <f t="shared" ref="S170" si="828">R170/100000</f>
        <v>-88.756713244621722</v>
      </c>
      <c r="T170">
        <f t="shared" ref="T170" si="829">S170/1000</f>
        <v>-8.8756713244621727E-2</v>
      </c>
    </row>
    <row r="171" spans="1:20" x14ac:dyDescent="0.25">
      <c r="A171" s="5">
        <v>44422</v>
      </c>
      <c r="B171">
        <v>13.182</v>
      </c>
      <c r="C171">
        <v>14.1</v>
      </c>
      <c r="D171">
        <v>12.18</v>
      </c>
      <c r="E171">
        <v>13.688000000000001</v>
      </c>
      <c r="F171">
        <v>2323880.068</v>
      </c>
      <c r="G171">
        <v>13.688000000000001</v>
      </c>
      <c r="L171" t="s">
        <v>8</v>
      </c>
      <c r="M171" t="s">
        <v>8</v>
      </c>
      <c r="N171" t="s">
        <v>8</v>
      </c>
      <c r="P171">
        <f t="shared" ref="P171" si="830">IF(C171=D171,0,((E171-D171)-(C171-E171))/(C171-D171))</f>
        <v>0.5708333333333343</v>
      </c>
      <c r="Q171">
        <f t="shared" ref="Q171" si="831">F171*P171</f>
        <v>1326548.2054833355</v>
      </c>
      <c r="R171">
        <f t="shared" ref="R171" si="832">R172+Q171</f>
        <v>-9047870.4413712639</v>
      </c>
      <c r="S171">
        <f t="shared" ref="S171" si="833">R171/100000</f>
        <v>-90.478704413712634</v>
      </c>
      <c r="T171">
        <f t="shared" ref="T171" si="834">S171/1000</f>
        <v>-9.0478704413712641E-2</v>
      </c>
    </row>
    <row r="172" spans="1:20" x14ac:dyDescent="0.25">
      <c r="A172" s="5">
        <v>44421</v>
      </c>
      <c r="B172">
        <v>12.439</v>
      </c>
      <c r="C172">
        <v>13.429</v>
      </c>
      <c r="D172">
        <v>12.206</v>
      </c>
      <c r="E172">
        <v>13.188000000000001</v>
      </c>
      <c r="F172">
        <v>682456.19499999995</v>
      </c>
      <c r="G172">
        <v>13.188000000000001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0.60588716271463694</v>
      </c>
      <c r="Q172">
        <f t="shared" ref="Q172" si="836">F172*P172</f>
        <v>413491.44766557694</v>
      </c>
      <c r="R172">
        <f t="shared" ref="R172" si="837">R173+Q172</f>
        <v>-10374418.6468546</v>
      </c>
      <c r="S172">
        <f t="shared" ref="S172" si="838">R172/100000</f>
        <v>-103.744186468546</v>
      </c>
      <c r="T172">
        <f t="shared" ref="T172" si="839">S172/1000</f>
        <v>-0.10374418646854601</v>
      </c>
    </row>
    <row r="173" spans="1:20" x14ac:dyDescent="0.25">
      <c r="A173" s="5">
        <v>44420</v>
      </c>
      <c r="B173">
        <v>12.750999999999999</v>
      </c>
      <c r="C173">
        <v>13.513</v>
      </c>
      <c r="D173">
        <v>11.577</v>
      </c>
      <c r="E173">
        <v>12.451000000000001</v>
      </c>
      <c r="F173">
        <v>1067754.358</v>
      </c>
      <c r="G173">
        <v>12.451000000000001</v>
      </c>
      <c r="L173" t="s">
        <v>7</v>
      </c>
      <c r="M173" t="s">
        <v>8</v>
      </c>
      <c r="N173" t="s">
        <v>8</v>
      </c>
      <c r="P173">
        <f t="shared" ref="P173" si="840">IF(C173=D173,0,((E173-D173)-(C173-E173))/(C173-D173))</f>
        <v>-9.7107438016528325E-2</v>
      </c>
      <c r="Q173">
        <f t="shared" ref="Q173" si="841">F173*P173</f>
        <v>-103686.890136363</v>
      </c>
      <c r="R173">
        <f t="shared" ref="R173" si="842">R174+Q173</f>
        <v>-10787910.094520178</v>
      </c>
      <c r="S173">
        <f t="shared" ref="S173" si="843">R173/100000</f>
        <v>-107.87910094520177</v>
      </c>
      <c r="T173">
        <f t="shared" ref="T173" si="844">S173/1000</f>
        <v>-0.10787910094520177</v>
      </c>
    </row>
    <row r="174" spans="1:20" x14ac:dyDescent="0.25">
      <c r="A174" s="5">
        <v>44419</v>
      </c>
      <c r="B174">
        <v>11.944000000000001</v>
      </c>
      <c r="C174">
        <v>13.8</v>
      </c>
      <c r="D174">
        <v>11.907999999999999</v>
      </c>
      <c r="E174">
        <v>12.75</v>
      </c>
      <c r="F174">
        <v>1454169.8060000001</v>
      </c>
      <c r="G174">
        <v>12.75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-0.10993657505285415</v>
      </c>
      <c r="Q174">
        <f t="shared" ref="Q174" si="846">F174*P174</f>
        <v>-159866.44801691337</v>
      </c>
      <c r="R174">
        <f t="shared" ref="R174" si="847">R175+Q174</f>
        <v>-10684223.204383815</v>
      </c>
      <c r="S174">
        <f t="shared" ref="S174" si="848">R174/100000</f>
        <v>-106.84223204383815</v>
      </c>
      <c r="T174">
        <f t="shared" ref="T174" si="849">S174/1000</f>
        <v>-0.10684223204383815</v>
      </c>
    </row>
    <row r="175" spans="1:20" x14ac:dyDescent="0.25">
      <c r="A175" s="5">
        <v>44418</v>
      </c>
      <c r="B175">
        <v>12.147</v>
      </c>
      <c r="C175">
        <v>12.75</v>
      </c>
      <c r="D175">
        <v>11.476000000000001</v>
      </c>
      <c r="E175">
        <v>11.946</v>
      </c>
      <c r="F175">
        <v>1220411.78</v>
      </c>
      <c r="G175">
        <v>11.946</v>
      </c>
      <c r="L175" t="s">
        <v>8</v>
      </c>
      <c r="M175" t="s">
        <v>8</v>
      </c>
      <c r="N175" t="s">
        <v>8</v>
      </c>
      <c r="P175">
        <f t="shared" ref="P175" si="850">IF(C175=D175,0,((E175-D175)-(C175-E175))/(C175-D175))</f>
        <v>-0.26216640502354915</v>
      </c>
      <c r="Q175">
        <f t="shared" ref="Q175" si="851">F175*P175</f>
        <v>-319950.96901099058</v>
      </c>
      <c r="R175">
        <f t="shared" ref="R175" si="852">R176+Q175</f>
        <v>-10524356.756366901</v>
      </c>
      <c r="S175">
        <f t="shared" ref="S175" si="853">R175/100000</f>
        <v>-105.24356756366902</v>
      </c>
      <c r="T175">
        <f t="shared" ref="T175" si="854">S175/1000</f>
        <v>-0.10524356756366902</v>
      </c>
    </row>
    <row r="176" spans="1:20" x14ac:dyDescent="0.25">
      <c r="A176" s="5">
        <v>44417</v>
      </c>
      <c r="B176">
        <v>10.414</v>
      </c>
      <c r="C176">
        <v>12.8</v>
      </c>
      <c r="D176">
        <v>10.074999999999999</v>
      </c>
      <c r="E176">
        <v>12.154</v>
      </c>
      <c r="F176">
        <v>1816523.6410000001</v>
      </c>
      <c r="G176">
        <v>12.154</v>
      </c>
      <c r="L176" t="s">
        <v>7</v>
      </c>
      <c r="M176" t="s">
        <v>8</v>
      </c>
      <c r="N176" t="s">
        <v>8</v>
      </c>
      <c r="P176">
        <f t="shared" ref="P176" si="855">IF(C176=D176,0,((E176-D176)-(C176-E176))/(C176-D176))</f>
        <v>0.52587155963302723</v>
      </c>
      <c r="Q176">
        <f t="shared" ref="Q176" si="856">F176*P176</f>
        <v>955258.1202029353</v>
      </c>
      <c r="R176">
        <f t="shared" ref="R176" si="857">R177+Q176</f>
        <v>-10204405.787355911</v>
      </c>
      <c r="S176">
        <f t="shared" ref="S176" si="858">R176/100000</f>
        <v>-102.04405787355911</v>
      </c>
      <c r="T176">
        <f t="shared" ref="T176" si="859">S176/1000</f>
        <v>-0.10204405787355911</v>
      </c>
    </row>
    <row r="177" spans="1:20" x14ac:dyDescent="0.25">
      <c r="A177" s="5">
        <v>44416</v>
      </c>
      <c r="B177">
        <v>11.278</v>
      </c>
      <c r="C177">
        <v>11.59</v>
      </c>
      <c r="D177">
        <v>10.292999999999999</v>
      </c>
      <c r="E177">
        <v>10.404</v>
      </c>
      <c r="F177">
        <v>898872.66</v>
      </c>
      <c r="G177">
        <v>10.404</v>
      </c>
      <c r="L177" t="s">
        <v>7</v>
      </c>
      <c r="M177" t="s">
        <v>8</v>
      </c>
      <c r="N177" t="s">
        <v>8</v>
      </c>
      <c r="P177">
        <f t="shared" ref="P177" si="860">IF(C177=D177,0,((E177-D177)-(C177-E177))/(C177-D177))</f>
        <v>-0.82883577486507232</v>
      </c>
      <c r="Q177">
        <f t="shared" ref="Q177" si="861">F177*P177</f>
        <v>-745017.81765612867</v>
      </c>
      <c r="R177">
        <f t="shared" ref="R177" si="862">R178+Q177</f>
        <v>-11159663.907558847</v>
      </c>
      <c r="S177">
        <f t="shared" ref="S177" si="863">R177/100000</f>
        <v>-111.59663907558847</v>
      </c>
      <c r="T177">
        <f t="shared" ref="T177" si="864">S177/1000</f>
        <v>-0.11159663907558846</v>
      </c>
    </row>
    <row r="178" spans="1:20" x14ac:dyDescent="0.25">
      <c r="A178" s="5">
        <v>44415</v>
      </c>
      <c r="B178">
        <v>11.638</v>
      </c>
      <c r="C178">
        <v>11.999000000000001</v>
      </c>
      <c r="D178">
        <v>10.87</v>
      </c>
      <c r="E178">
        <v>11.269</v>
      </c>
      <c r="F178">
        <v>1424737.1939999999</v>
      </c>
      <c r="G178">
        <v>11.269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-0.29317980513728886</v>
      </c>
      <c r="Q178">
        <f t="shared" ref="Q178" si="866">F178*P178</f>
        <v>-417704.17290876771</v>
      </c>
      <c r="R178">
        <f t="shared" ref="R178" si="867">R179+Q178</f>
        <v>-10414646.089902718</v>
      </c>
      <c r="S178">
        <f t="shared" ref="S178" si="868">R178/100000</f>
        <v>-104.14646089902718</v>
      </c>
      <c r="T178">
        <f t="shared" ref="T178" si="869">S178/1000</f>
        <v>-0.10414646089902718</v>
      </c>
    </row>
    <row r="179" spans="1:20" x14ac:dyDescent="0.25">
      <c r="A179" s="5">
        <v>44414</v>
      </c>
      <c r="B179">
        <v>10.193</v>
      </c>
      <c r="C179">
        <v>11.65</v>
      </c>
      <c r="D179">
        <v>9.8170000000000002</v>
      </c>
      <c r="E179">
        <v>11.65</v>
      </c>
      <c r="F179">
        <v>1293450.308</v>
      </c>
      <c r="G179">
        <v>11.65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1</v>
      </c>
      <c r="Q179">
        <f t="shared" ref="Q179" si="871">F179*P179</f>
        <v>1293450.308</v>
      </c>
      <c r="R179">
        <f t="shared" ref="R179" si="872">R180+Q179</f>
        <v>-9996941.9169939496</v>
      </c>
      <c r="S179">
        <f t="shared" ref="S179" si="873">R179/100000</f>
        <v>-99.969419169939499</v>
      </c>
      <c r="T179">
        <f t="shared" ref="T179" si="874">S179/1000</f>
        <v>-9.9969419169939497E-2</v>
      </c>
    </row>
    <row r="180" spans="1:20" x14ac:dyDescent="0.25">
      <c r="A180" s="5">
        <v>44413</v>
      </c>
      <c r="B180">
        <v>9.7070000000000007</v>
      </c>
      <c r="C180">
        <v>10.753</v>
      </c>
      <c r="D180">
        <v>9.3000000000000007</v>
      </c>
      <c r="E180">
        <v>10.18</v>
      </c>
      <c r="F180">
        <v>2058646.622</v>
      </c>
      <c r="G180">
        <v>10.18</v>
      </c>
      <c r="L180" t="s">
        <v>8</v>
      </c>
      <c r="M180" t="s">
        <v>8</v>
      </c>
      <c r="N180" t="s">
        <v>7</v>
      </c>
      <c r="P180">
        <f t="shared" ref="P180" si="875">IF(C180=D180,0,((E180-D180)-(C180-E180))/(C180-D180))</f>
        <v>0.21128699242945542</v>
      </c>
      <c r="Q180">
        <f t="shared" ref="Q180" si="876">F180*P180</f>
        <v>434965.25323743798</v>
      </c>
      <c r="R180">
        <f t="shared" ref="R180" si="877">R181+Q180</f>
        <v>-11290392.22499395</v>
      </c>
      <c r="S180">
        <f t="shared" ref="S180" si="878">R180/100000</f>
        <v>-112.9039222499395</v>
      </c>
      <c r="T180">
        <f t="shared" ref="T180" si="879">S180/1000</f>
        <v>-0.1129039222499395</v>
      </c>
    </row>
    <row r="181" spans="1:20" x14ac:dyDescent="0.25">
      <c r="A181" s="5">
        <v>44412</v>
      </c>
      <c r="B181">
        <v>8.8490000000000002</v>
      </c>
      <c r="C181">
        <v>9.99</v>
      </c>
      <c r="D181">
        <v>8.6739999999999995</v>
      </c>
      <c r="E181">
        <v>9.702</v>
      </c>
      <c r="F181">
        <v>1915395.703</v>
      </c>
      <c r="G181">
        <v>9.702</v>
      </c>
      <c r="L181" t="s">
        <v>8</v>
      </c>
      <c r="M181" t="s">
        <v>8</v>
      </c>
      <c r="N181" t="s">
        <v>7</v>
      </c>
      <c r="P181">
        <f t="shared" ref="P181" si="880">IF(C181=D181,0,((E181-D181)-(C181-E181))/(C181-D181))</f>
        <v>0.56231003039513661</v>
      </c>
      <c r="Q181">
        <f t="shared" ref="Q181" si="881">F181*P181</f>
        <v>1077046.215972644</v>
      </c>
      <c r="R181">
        <f t="shared" ref="R181" si="882">R182+Q181</f>
        <v>-11725357.478231387</v>
      </c>
      <c r="S181">
        <f t="shared" ref="S181" si="883">R181/100000</f>
        <v>-117.25357478231388</v>
      </c>
      <c r="T181">
        <f t="shared" ref="T181" si="884">S181/1000</f>
        <v>-0.11725357478231388</v>
      </c>
    </row>
    <row r="182" spans="1:20" x14ac:dyDescent="0.25">
      <c r="A182" s="5">
        <v>44411</v>
      </c>
      <c r="B182">
        <v>8.83</v>
      </c>
      <c r="C182">
        <v>8.9779999999999998</v>
      </c>
      <c r="D182">
        <v>8.125</v>
      </c>
      <c r="E182">
        <v>8.8350000000000009</v>
      </c>
      <c r="F182">
        <v>1421642.93</v>
      </c>
      <c r="G182">
        <v>8.8350000000000009</v>
      </c>
      <c r="L182" t="s">
        <v>7</v>
      </c>
      <c r="M182" t="s">
        <v>7</v>
      </c>
      <c r="N182" t="s">
        <v>7</v>
      </c>
      <c r="P182">
        <f t="shared" ref="P182" si="885">IF(C182=D182,0,((E182-D182)-(C182-E182))/(C182-D182))</f>
        <v>0.66471277842907628</v>
      </c>
      <c r="Q182">
        <f t="shared" ref="Q182" si="886">F182*P182</f>
        <v>944984.22193435277</v>
      </c>
      <c r="R182">
        <f t="shared" ref="R182" si="887">R183+Q182</f>
        <v>-12802403.694204031</v>
      </c>
      <c r="S182">
        <f t="shared" ref="S182" si="888">R182/100000</f>
        <v>-128.02403694204031</v>
      </c>
      <c r="T182">
        <f t="shared" ref="T182" si="889">S182/1000</f>
        <v>-0.12802403694204031</v>
      </c>
    </row>
    <row r="183" spans="1:20" x14ac:dyDescent="0.25">
      <c r="A183" s="5">
        <v>44410</v>
      </c>
      <c r="B183">
        <v>8.8290000000000006</v>
      </c>
      <c r="C183">
        <v>9.0579999999999998</v>
      </c>
      <c r="D183">
        <v>8.5500000000000007</v>
      </c>
      <c r="E183">
        <v>8.8320000000000007</v>
      </c>
      <c r="F183">
        <v>1146299.246</v>
      </c>
      <c r="G183">
        <v>8.8320000000000007</v>
      </c>
      <c r="L183" t="s">
        <v>7</v>
      </c>
      <c r="M183" t="s">
        <v>7</v>
      </c>
      <c r="N183" t="s">
        <v>7</v>
      </c>
      <c r="P183">
        <f t="shared" ref="P183" si="890">IF(C183=D183,0,((E183-D183)-(C183-E183))/(C183-D183))</f>
        <v>0.11023622047244298</v>
      </c>
      <c r="Q183">
        <f t="shared" ref="Q183" si="891">F183*P183</f>
        <v>126363.69640945116</v>
      </c>
      <c r="R183">
        <f t="shared" ref="R183" si="892">R184+Q183</f>
        <v>-13747387.916138383</v>
      </c>
      <c r="S183">
        <f t="shared" ref="S183" si="893">R183/100000</f>
        <v>-137.47387916138382</v>
      </c>
      <c r="T183">
        <f t="shared" ref="T183" si="894">S183/1000</f>
        <v>-0.13747387916138382</v>
      </c>
    </row>
    <row r="184" spans="1:20" x14ac:dyDescent="0.25">
      <c r="A184" s="5">
        <v>44409</v>
      </c>
      <c r="B184">
        <v>8.9540000000000006</v>
      </c>
      <c r="C184">
        <v>9.9169999999999998</v>
      </c>
      <c r="D184">
        <v>8.6</v>
      </c>
      <c r="E184">
        <v>8.8290000000000006</v>
      </c>
      <c r="F184">
        <v>2197863.1979999999</v>
      </c>
      <c r="G184">
        <v>8.8290000000000006</v>
      </c>
      <c r="L184" t="s">
        <v>7</v>
      </c>
      <c r="M184" t="s">
        <v>8</v>
      </c>
      <c r="N184" t="s">
        <v>7</v>
      </c>
      <c r="P184">
        <f t="shared" ref="P184" si="895">IF(C184=D184,0,((E184-D184)-(C184-E184))/(C184-D184))</f>
        <v>-0.65223993925588319</v>
      </c>
      <c r="Q184">
        <f t="shared" ref="Q184" si="896">F184*P184</f>
        <v>-1433534.158756261</v>
      </c>
      <c r="R184">
        <f t="shared" ref="R184" si="897">R185+Q184</f>
        <v>-13873751.612547833</v>
      </c>
      <c r="S184">
        <f t="shared" ref="S184" si="898">R184/100000</f>
        <v>-138.73751612547832</v>
      </c>
      <c r="T184">
        <f t="shared" ref="T184" si="899">S184/1000</f>
        <v>-0.13873751612547833</v>
      </c>
    </row>
    <row r="185" spans="1:20" x14ac:dyDescent="0.25">
      <c r="A185" s="5">
        <v>44408</v>
      </c>
      <c r="B185">
        <v>9.0570000000000004</v>
      </c>
      <c r="C185">
        <v>9.5</v>
      </c>
      <c r="D185">
        <v>8.7330000000000005</v>
      </c>
      <c r="E185">
        <v>8.9499999999999993</v>
      </c>
      <c r="F185">
        <v>1200607.2509999999</v>
      </c>
      <c r="G185">
        <v>8.9499999999999993</v>
      </c>
      <c r="L185" t="s">
        <v>7</v>
      </c>
      <c r="M185" t="s">
        <v>8</v>
      </c>
      <c r="N185" t="s">
        <v>7</v>
      </c>
      <c r="P185">
        <f t="shared" ref="P185" si="900">IF(C185=D185,0,((E185-D185)-(C185-E185))/(C185-D185))</f>
        <v>-0.4341590612777082</v>
      </c>
      <c r="Q185">
        <f t="shared" ref="Q185" si="901">F185*P185</f>
        <v>-521254.51705736975</v>
      </c>
      <c r="R185">
        <f t="shared" ref="R185" si="902">R186+Q185</f>
        <v>-12440217.453791572</v>
      </c>
      <c r="S185">
        <f t="shared" ref="S185" si="903">R185/100000</f>
        <v>-124.40217453791571</v>
      </c>
      <c r="T185">
        <f t="shared" ref="T185" si="904">S185/1000</f>
        <v>-0.12440217453791572</v>
      </c>
    </row>
    <row r="186" spans="1:20" x14ac:dyDescent="0.25">
      <c r="A186" s="5">
        <v>44407</v>
      </c>
      <c r="B186">
        <v>8.8230000000000004</v>
      </c>
      <c r="C186">
        <v>9.5540000000000003</v>
      </c>
      <c r="D186">
        <v>8.4049999999999994</v>
      </c>
      <c r="E186">
        <v>9.0570000000000004</v>
      </c>
      <c r="F186">
        <v>1309249.0460000001</v>
      </c>
      <c r="G186">
        <v>9.0570000000000004</v>
      </c>
      <c r="L186" t="s">
        <v>8</v>
      </c>
      <c r="M186" t="s">
        <v>8</v>
      </c>
      <c r="N186" t="s">
        <v>7</v>
      </c>
      <c r="P186">
        <f t="shared" ref="P186" si="905">IF(C186=D186,0,((E186-D186)-(C186-E186))/(C186-D186))</f>
        <v>0.13489991296779896</v>
      </c>
      <c r="Q186">
        <f t="shared" ref="Q186" si="906">F186*P186</f>
        <v>176617.58235857383</v>
      </c>
      <c r="R186">
        <f t="shared" ref="R186" si="907">R187+Q186</f>
        <v>-11918962.936734201</v>
      </c>
      <c r="S186">
        <f t="shared" ref="S186" si="908">R186/100000</f>
        <v>-119.18962936734201</v>
      </c>
      <c r="T186">
        <f t="shared" ref="T186" si="909">S186/1000</f>
        <v>-0.11918962936734201</v>
      </c>
    </row>
    <row r="187" spans="1:20" x14ac:dyDescent="0.25">
      <c r="A187" s="5">
        <v>44406</v>
      </c>
      <c r="B187">
        <v>8.4710000000000001</v>
      </c>
      <c r="C187">
        <v>9.15</v>
      </c>
      <c r="D187">
        <v>8.2230000000000008</v>
      </c>
      <c r="E187">
        <v>8.8140000000000001</v>
      </c>
      <c r="F187">
        <v>1311956.3870000001</v>
      </c>
      <c r="G187">
        <v>8.8140000000000001</v>
      </c>
      <c r="L187" t="s">
        <v>7</v>
      </c>
      <c r="M187" t="s">
        <v>7</v>
      </c>
      <c r="N187" t="s">
        <v>7</v>
      </c>
      <c r="P187">
        <f t="shared" ref="P187" si="910">IF(C187=D187,0,((E187-D187)-(C187-E187))/(C187-D187))</f>
        <v>0.27508090614886638</v>
      </c>
      <c r="Q187">
        <f t="shared" ref="Q187" si="911">F187*P187</f>
        <v>360894.15176375286</v>
      </c>
      <c r="R187">
        <f t="shared" ref="R187" si="912">R188+Q187</f>
        <v>-12095580.519092776</v>
      </c>
      <c r="S187">
        <f t="shared" ref="S187" si="913">R187/100000</f>
        <v>-120.95580519092776</v>
      </c>
      <c r="T187">
        <f t="shared" ref="T187" si="914">S187/1000</f>
        <v>-0.12095580519092776</v>
      </c>
    </row>
    <row r="188" spans="1:20" x14ac:dyDescent="0.25">
      <c r="A188" s="5">
        <v>44405</v>
      </c>
      <c r="B188">
        <v>9.0879999999999992</v>
      </c>
      <c r="C188">
        <v>9.15</v>
      </c>
      <c r="D188">
        <v>8.2579999999999991</v>
      </c>
      <c r="E188">
        <v>8.4710000000000001</v>
      </c>
      <c r="F188">
        <v>1306682.4820000001</v>
      </c>
      <c r="G188">
        <v>8.4710000000000001</v>
      </c>
      <c r="L188" t="s">
        <v>8</v>
      </c>
      <c r="M188" t="s">
        <v>7</v>
      </c>
      <c r="N188" t="s">
        <v>7</v>
      </c>
      <c r="P188">
        <f t="shared" ref="P188" si="915">IF(C188=D188,0,((E188-D188)-(C188-E188))/(C188-D188))</f>
        <v>-0.52242152466367564</v>
      </c>
      <c r="Q188">
        <f t="shared" ref="Q188" si="916">F188*P188</f>
        <v>-682639.05449775595</v>
      </c>
      <c r="R188">
        <f t="shared" ref="R188" si="917">R189+Q188</f>
        <v>-12456474.670856528</v>
      </c>
      <c r="S188">
        <f t="shared" ref="S188" si="918">R188/100000</f>
        <v>-124.56474670856528</v>
      </c>
      <c r="T188">
        <f t="shared" ref="T188" si="919">S188/1000</f>
        <v>-0.12456474670856528</v>
      </c>
    </row>
    <row r="189" spans="1:20" x14ac:dyDescent="0.25">
      <c r="A189" s="5">
        <v>44404</v>
      </c>
      <c r="B189">
        <v>8.3469999999999995</v>
      </c>
      <c r="C189">
        <v>9.7289999999999992</v>
      </c>
      <c r="D189">
        <v>7.931</v>
      </c>
      <c r="E189">
        <v>9.0860000000000003</v>
      </c>
      <c r="F189">
        <v>2386454.048</v>
      </c>
      <c r="G189">
        <v>9.0860000000000003</v>
      </c>
      <c r="L189" t="s">
        <v>7</v>
      </c>
      <c r="M189" t="s">
        <v>7</v>
      </c>
      <c r="N189" t="s">
        <v>7</v>
      </c>
      <c r="P189">
        <f t="shared" ref="P189" si="920">IF(C189=D189,0,((E189-D189)-(C189-E189))/(C189-D189))</f>
        <v>0.28476084538376062</v>
      </c>
      <c r="Q189">
        <f t="shared" ref="Q189" si="921">F189*P189</f>
        <v>679568.67217797763</v>
      </c>
      <c r="R189">
        <f t="shared" ref="R189" si="922">R190+Q189</f>
        <v>-11773835.616358772</v>
      </c>
      <c r="S189">
        <f t="shared" ref="S189" si="923">R189/100000</f>
        <v>-117.73835616358772</v>
      </c>
      <c r="T189">
        <f t="shared" ref="T189" si="924">S189/1000</f>
        <v>-0.11773835616358773</v>
      </c>
    </row>
    <row r="190" spans="1:20" x14ac:dyDescent="0.25">
      <c r="A190" s="5">
        <v>44403</v>
      </c>
      <c r="B190">
        <v>9.5630000000000006</v>
      </c>
      <c r="C190">
        <v>10.989000000000001</v>
      </c>
      <c r="D190">
        <v>8.2669999999999995</v>
      </c>
      <c r="E190">
        <v>8.3469999999999995</v>
      </c>
      <c r="F190">
        <v>4627166.3909999998</v>
      </c>
      <c r="G190">
        <v>8.3469999999999995</v>
      </c>
      <c r="L190" t="s">
        <v>8</v>
      </c>
      <c r="M190" t="s">
        <v>8</v>
      </c>
      <c r="N190" t="s">
        <v>8</v>
      </c>
      <c r="P190">
        <f t="shared" ref="P190" si="925">IF(C190=D190,0,((E190-D190)-(C190-E190))/(C190-D190))</f>
        <v>-0.9412196914033798</v>
      </c>
      <c r="Q190">
        <f t="shared" ref="Q190" si="926">F190*P190</f>
        <v>-4355180.1226091105</v>
      </c>
      <c r="R190">
        <f t="shared" ref="R190" si="927">R191+Q190</f>
        <v>-12453404.28853675</v>
      </c>
      <c r="S190">
        <f t="shared" ref="S190" si="928">R190/100000</f>
        <v>-124.5340428853675</v>
      </c>
      <c r="T190">
        <f t="shared" ref="T190" si="929">S190/1000</f>
        <v>-0.1245340428853675</v>
      </c>
    </row>
    <row r="191" spans="1:20" x14ac:dyDescent="0.25">
      <c r="A191" s="5">
        <v>44402</v>
      </c>
      <c r="B191">
        <v>6.8250000000000002</v>
      </c>
      <c r="C191">
        <v>9.99</v>
      </c>
      <c r="D191">
        <v>6.5</v>
      </c>
      <c r="E191">
        <v>9.5530000000000008</v>
      </c>
      <c r="F191">
        <v>5525123.6830000002</v>
      </c>
      <c r="G191">
        <v>9.5530000000000008</v>
      </c>
      <c r="L191" t="s">
        <v>7</v>
      </c>
      <c r="M191" t="s">
        <v>8</v>
      </c>
      <c r="N191" t="s">
        <v>8</v>
      </c>
      <c r="P191">
        <f t="shared" ref="P191" si="930">IF(C191=D191,0,((E191-D191)-(C191-E191))/(C191-D191))</f>
        <v>0.74957020057306623</v>
      </c>
      <c r="Q191">
        <f t="shared" ref="Q191" si="931">F191*P191</f>
        <v>4141468.0672573084</v>
      </c>
      <c r="R191">
        <f t="shared" ref="R191" si="932">R192+Q191</f>
        <v>-8098224.1659276383</v>
      </c>
      <c r="S191">
        <f t="shared" ref="S191" si="933">R191/100000</f>
        <v>-80.982241659276383</v>
      </c>
      <c r="T191">
        <f t="shared" ref="T191:T197" si="934">S191/1000</f>
        <v>-8.098224165927638E-2</v>
      </c>
    </row>
    <row r="192" spans="1:20" x14ac:dyDescent="0.25">
      <c r="A192" s="5">
        <v>44401</v>
      </c>
      <c r="B192">
        <v>6.9219999999999997</v>
      </c>
      <c r="C192">
        <v>7.399</v>
      </c>
      <c r="D192">
        <v>6.569</v>
      </c>
      <c r="E192">
        <v>6.82</v>
      </c>
      <c r="F192">
        <v>1695183.081</v>
      </c>
      <c r="G192">
        <v>6.82</v>
      </c>
      <c r="L192" t="s">
        <v>7</v>
      </c>
      <c r="M192" t="s">
        <v>8</v>
      </c>
      <c r="N192" t="s">
        <v>8</v>
      </c>
      <c r="P192">
        <f t="shared" ref="P192" si="935">IF(C192=D192,0,((E192-D192)-(C192-E192))/(C192-D192))</f>
        <v>-0.39518072289156553</v>
      </c>
      <c r="Q192">
        <f t="shared" ref="Q192" si="936">F192*P192</f>
        <v>-669903.67538313125</v>
      </c>
      <c r="R192">
        <f t="shared" ref="R192" si="937">R193+Q192</f>
        <v>-12239692.233184947</v>
      </c>
      <c r="S192">
        <f t="shared" ref="S192" si="938">R192/100000</f>
        <v>-122.39692233184947</v>
      </c>
      <c r="T192">
        <f t="shared" si="934"/>
        <v>-0.12239692233184947</v>
      </c>
    </row>
    <row r="193" spans="1:20" x14ac:dyDescent="0.25">
      <c r="A193" s="5">
        <v>44400</v>
      </c>
      <c r="B193">
        <v>7.2380000000000004</v>
      </c>
      <c r="C193">
        <v>7.5</v>
      </c>
      <c r="D193">
        <v>6.3789999999999996</v>
      </c>
      <c r="E193">
        <v>6.9109999999999996</v>
      </c>
      <c r="F193">
        <v>2236971.7390000001</v>
      </c>
      <c r="G193">
        <v>6.9109999999999996</v>
      </c>
      <c r="L193" t="s">
        <v>8</v>
      </c>
      <c r="M193" t="s">
        <v>8</v>
      </c>
      <c r="N193" t="s">
        <v>8</v>
      </c>
      <c r="P193">
        <f t="shared" ref="P193" si="939">IF(C193=D193,0,((E193-D193)-(C193-E193))/(C193-D193))</f>
        <v>-5.0847457627118967E-2</v>
      </c>
      <c r="Q193">
        <f t="shared" ref="Q193" si="940">F193*P193</f>
        <v>-113744.32571186514</v>
      </c>
      <c r="R193">
        <f t="shared" ref="R193" si="941">R194+Q193</f>
        <v>-11569788.557801815</v>
      </c>
      <c r="S193">
        <f t="shared" ref="S193" si="942">R193/100000</f>
        <v>-115.69788557801814</v>
      </c>
      <c r="T193">
        <f t="shared" si="934"/>
        <v>-0.11569788557801815</v>
      </c>
    </row>
    <row r="194" spans="1:20" x14ac:dyDescent="0.25">
      <c r="A194" s="5">
        <v>44399</v>
      </c>
      <c r="B194">
        <v>6.085</v>
      </c>
      <c r="C194">
        <v>7.3449999999999998</v>
      </c>
      <c r="D194">
        <v>5.7510000000000003</v>
      </c>
      <c r="E194">
        <v>7.2329999999999997</v>
      </c>
      <c r="F194">
        <v>2171519.3909999998</v>
      </c>
      <c r="G194">
        <v>7.2329999999999997</v>
      </c>
      <c r="L194" t="s">
        <v>8</v>
      </c>
      <c r="M194" t="s">
        <v>8</v>
      </c>
      <c r="N194" t="s">
        <v>8</v>
      </c>
      <c r="P194">
        <f t="shared" ref="P194" si="943">IF(C194=D194,0,((E194-D194)-(C194-E194))/(C194-D194))</f>
        <v>0.85947302383939761</v>
      </c>
      <c r="Q194">
        <f t="shared" ref="Q194" si="944">F194*P194</f>
        <v>1866362.3373086571</v>
      </c>
      <c r="R194">
        <f t="shared" ref="R194" si="945">R195+Q194</f>
        <v>-11456044.23208995</v>
      </c>
      <c r="S194">
        <f t="shared" ref="S194" si="946">R194/100000</f>
        <v>-114.5604423208995</v>
      </c>
      <c r="T194">
        <f t="shared" si="934"/>
        <v>-0.1145604423208995</v>
      </c>
    </row>
    <row r="195" spans="1:20" x14ac:dyDescent="0.25">
      <c r="A195" s="5">
        <v>44398</v>
      </c>
      <c r="B195">
        <v>5.1859999999999999</v>
      </c>
      <c r="C195">
        <v>6.26</v>
      </c>
      <c r="D195">
        <v>4.9450000000000003</v>
      </c>
      <c r="E195">
        <v>6.0750000000000002</v>
      </c>
      <c r="F195">
        <v>1917122.625</v>
      </c>
      <c r="G195">
        <v>6.0750000000000002</v>
      </c>
      <c r="L195" t="s">
        <v>8</v>
      </c>
      <c r="M195" t="s">
        <v>8</v>
      </c>
      <c r="N195" t="s">
        <v>7</v>
      </c>
      <c r="P195">
        <f t="shared" ref="P195" si="947">IF(C195=D195,0,((E195-D195)-(C195-E195))/(C195-D195))</f>
        <v>0.71863117870722482</v>
      </c>
      <c r="Q195">
        <f t="shared" ref="Q195" si="948">F195*P195</f>
        <v>1377704.0917300389</v>
      </c>
      <c r="R195">
        <f t="shared" ref="R195" si="949">R196+Q195</f>
        <v>-13322406.569398606</v>
      </c>
      <c r="S195">
        <f t="shared" ref="S195" si="950">R195/100000</f>
        <v>-133.22406569398606</v>
      </c>
      <c r="T195">
        <f t="shared" si="934"/>
        <v>-0.13322406569398607</v>
      </c>
    </row>
    <row r="196" spans="1:20" x14ac:dyDescent="0.25">
      <c r="A196" s="5">
        <v>44397</v>
      </c>
      <c r="B196">
        <v>5.7370000000000001</v>
      </c>
      <c r="C196">
        <v>5.835</v>
      </c>
      <c r="D196">
        <v>4.8689999999999998</v>
      </c>
      <c r="E196">
        <v>5.1950000000000003</v>
      </c>
      <c r="F196">
        <v>1258526.7279999999</v>
      </c>
      <c r="G196">
        <v>5.1950000000000003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-0.32505175983436763</v>
      </c>
      <c r="Q196">
        <f t="shared" ref="Q196" si="952">F196*P196</f>
        <v>-409086.32773498847</v>
      </c>
      <c r="R196">
        <f t="shared" ref="R196" si="953">R197+Q196</f>
        <v>-14700110.661128646</v>
      </c>
      <c r="S196">
        <f t="shared" ref="S196" si="954">R196/100000</f>
        <v>-147.00110661128645</v>
      </c>
      <c r="T196">
        <f t="shared" si="934"/>
        <v>-0.14700110661128646</v>
      </c>
    </row>
    <row r="197" spans="1:20" x14ac:dyDescent="0.25">
      <c r="A197" s="5">
        <v>44396</v>
      </c>
      <c r="B197">
        <v>6.2629999999999999</v>
      </c>
      <c r="C197">
        <v>6.282</v>
      </c>
      <c r="D197">
        <v>5.6859999999999999</v>
      </c>
      <c r="E197">
        <v>5.7290000000000001</v>
      </c>
      <c r="F197">
        <v>1312034.3330000001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-0.85570469798657667</v>
      </c>
      <c r="Q197">
        <f t="shared" ref="Q197" si="956">F197*P197</f>
        <v>-1122713.9426677846</v>
      </c>
      <c r="R197">
        <f t="shared" ref="R197" si="957">R198+Q197</f>
        <v>-14291024.333393658</v>
      </c>
      <c r="S197">
        <f t="shared" ref="S197" si="958">R197/100000</f>
        <v>-142.91024333393656</v>
      </c>
      <c r="T197">
        <f t="shared" si="934"/>
        <v>-0.14291024333393657</v>
      </c>
    </row>
    <row r="198" spans="1:20" x14ac:dyDescent="0.25">
      <c r="A198" s="5">
        <v>44395</v>
      </c>
      <c r="B198">
        <v>6.625</v>
      </c>
      <c r="C198">
        <v>7.1</v>
      </c>
      <c r="D198">
        <v>6.181</v>
      </c>
      <c r="E198">
        <v>6.2619999999999996</v>
      </c>
      <c r="F198">
        <v>1424130.219</v>
      </c>
      <c r="G198">
        <v>0</v>
      </c>
      <c r="L198" t="s">
        <v>7</v>
      </c>
      <c r="M198" t="s">
        <v>7</v>
      </c>
      <c r="N198" t="s">
        <v>7</v>
      </c>
      <c r="P198">
        <f t="shared" ref="P198:P261" si="959">IF(C198=D198,0,((E198-D198)-(C198-E198))/(C198-D198))</f>
        <v>-0.82372143634385298</v>
      </c>
      <c r="Q198">
        <f t="shared" ref="Q198:Q261" si="960">F198*P198</f>
        <v>-1173086.589535366</v>
      </c>
      <c r="R198">
        <f t="shared" ref="R198:R261" si="961">R199+Q198</f>
        <v>-13168310.390725873</v>
      </c>
      <c r="S198">
        <f t="shared" ref="S198:S261" si="962">R198/100000</f>
        <v>-131.68310390725873</v>
      </c>
      <c r="T198">
        <f t="shared" ref="T198:T261" si="963">S198/1000</f>
        <v>-0.13168310390725874</v>
      </c>
    </row>
    <row r="199" spans="1:20" x14ac:dyDescent="0.25">
      <c r="A199" s="5">
        <v>44394</v>
      </c>
      <c r="B199">
        <v>6.5549999999999997</v>
      </c>
      <c r="C199">
        <v>6.8490000000000002</v>
      </c>
      <c r="D199">
        <v>6.2519999999999998</v>
      </c>
      <c r="E199">
        <v>6.62</v>
      </c>
      <c r="F199">
        <v>894771.80700000003</v>
      </c>
      <c r="G199">
        <v>0</v>
      </c>
      <c r="L199" t="s">
        <v>7</v>
      </c>
      <c r="M199" t="s">
        <v>7</v>
      </c>
      <c r="N199" t="s">
        <v>7</v>
      </c>
      <c r="P199">
        <f t="shared" si="959"/>
        <v>0.2328308207705195</v>
      </c>
      <c r="Q199">
        <f t="shared" si="960"/>
        <v>208330.45422613088</v>
      </c>
      <c r="R199">
        <f t="shared" si="961"/>
        <v>-11995223.801190507</v>
      </c>
      <c r="S199">
        <f t="shared" si="962"/>
        <v>-119.95223801190507</v>
      </c>
      <c r="T199">
        <f t="shared" si="963"/>
        <v>-0.11995223801190506</v>
      </c>
    </row>
    <row r="200" spans="1:20" x14ac:dyDescent="0.25">
      <c r="A200" s="5">
        <v>44393</v>
      </c>
      <c r="B200">
        <v>7.8209999999999997</v>
      </c>
      <c r="C200">
        <v>8.34</v>
      </c>
      <c r="D200">
        <v>6.5289999999999999</v>
      </c>
      <c r="E200">
        <v>6.5579999999999998</v>
      </c>
      <c r="F200">
        <v>1729280.3330000001</v>
      </c>
      <c r="G200">
        <v>0</v>
      </c>
      <c r="L200" t="s">
        <v>7</v>
      </c>
      <c r="M200" t="s">
        <v>7</v>
      </c>
      <c r="N200" t="s">
        <v>7</v>
      </c>
      <c r="P200">
        <f t="shared" si="959"/>
        <v>-0.9679734953064606</v>
      </c>
      <c r="Q200">
        <f t="shared" si="960"/>
        <v>-1673897.5282987303</v>
      </c>
      <c r="R200">
        <f t="shared" si="961"/>
        <v>-12203554.255416637</v>
      </c>
      <c r="S200">
        <f t="shared" si="962"/>
        <v>-122.03554255416637</v>
      </c>
      <c r="T200">
        <f t="shared" si="963"/>
        <v>-0.12203554255416636</v>
      </c>
    </row>
    <row r="201" spans="1:20" x14ac:dyDescent="0.25">
      <c r="A201" s="5">
        <v>44392</v>
      </c>
      <c r="B201">
        <v>8.4149999999999991</v>
      </c>
      <c r="C201">
        <v>9.6999999999999993</v>
      </c>
      <c r="D201">
        <v>7.5629999999999997</v>
      </c>
      <c r="E201">
        <v>7.8049999999999997</v>
      </c>
      <c r="F201">
        <v>2135958.1669999999</v>
      </c>
      <c r="G201">
        <v>0</v>
      </c>
      <c r="L201" t="s">
        <v>8</v>
      </c>
      <c r="M201" t="s">
        <v>8</v>
      </c>
      <c r="N201" t="s">
        <v>8</v>
      </c>
      <c r="P201">
        <f t="shared" si="959"/>
        <v>-0.77351427234440806</v>
      </c>
      <c r="Q201">
        <f t="shared" si="960"/>
        <v>-1652194.1273051007</v>
      </c>
      <c r="R201">
        <f t="shared" si="961"/>
        <v>-10529656.727117907</v>
      </c>
      <c r="S201">
        <f t="shared" si="962"/>
        <v>-105.29656727117907</v>
      </c>
      <c r="T201">
        <f t="shared" si="963"/>
        <v>-0.10529656727117907</v>
      </c>
    </row>
    <row r="202" spans="1:20" x14ac:dyDescent="0.25">
      <c r="A202" s="5">
        <v>44391</v>
      </c>
      <c r="B202">
        <v>7.681</v>
      </c>
      <c r="C202">
        <v>8.9659999999999993</v>
      </c>
      <c r="D202">
        <v>6.8710000000000004</v>
      </c>
      <c r="E202">
        <v>8.4209999999999994</v>
      </c>
      <c r="F202">
        <v>3188943.95</v>
      </c>
      <c r="G202">
        <v>0</v>
      </c>
      <c r="L202" t="s">
        <v>8</v>
      </c>
      <c r="M202" t="s">
        <v>8</v>
      </c>
      <c r="N202" t="s">
        <v>8</v>
      </c>
      <c r="P202">
        <f t="shared" si="959"/>
        <v>0.47971360381861555</v>
      </c>
      <c r="Q202">
        <f t="shared" si="960"/>
        <v>1529779.7946300711</v>
      </c>
      <c r="R202">
        <f t="shared" si="961"/>
        <v>-8877462.5998128075</v>
      </c>
      <c r="S202">
        <f t="shared" si="962"/>
        <v>-88.774625998128073</v>
      </c>
      <c r="T202">
        <f t="shared" si="963"/>
        <v>-8.8774625998128076E-2</v>
      </c>
    </row>
    <row r="203" spans="1:20" x14ac:dyDescent="0.25">
      <c r="A203" s="5">
        <v>44390</v>
      </c>
      <c r="B203">
        <v>6.5</v>
      </c>
      <c r="C203">
        <v>8</v>
      </c>
      <c r="D203">
        <v>6.399</v>
      </c>
      <c r="E203">
        <v>7.6769999999999996</v>
      </c>
      <c r="F203">
        <v>1673433.8219999999</v>
      </c>
      <c r="G203">
        <v>0</v>
      </c>
      <c r="L203" t="s">
        <v>8</v>
      </c>
      <c r="M203" t="s">
        <v>8</v>
      </c>
      <c r="N203" t="s">
        <v>8</v>
      </c>
      <c r="P203">
        <f t="shared" si="959"/>
        <v>0.5965021861336659</v>
      </c>
      <c r="Q203">
        <f t="shared" si="960"/>
        <v>998206.93317301595</v>
      </c>
      <c r="R203">
        <f t="shared" si="961"/>
        <v>-10407242.394442879</v>
      </c>
      <c r="S203">
        <f t="shared" si="962"/>
        <v>-104.07242394442879</v>
      </c>
      <c r="T203">
        <f t="shared" si="963"/>
        <v>-0.1040724239444288</v>
      </c>
    </row>
    <row r="204" spans="1:20" x14ac:dyDescent="0.25">
      <c r="A204" s="5">
        <v>44389</v>
      </c>
      <c r="B204">
        <v>6.7770000000000001</v>
      </c>
      <c r="C204">
        <v>7.1890000000000001</v>
      </c>
      <c r="D204">
        <v>6.3</v>
      </c>
      <c r="E204">
        <v>6.4989999999999997</v>
      </c>
      <c r="F204">
        <v>1081390.405</v>
      </c>
      <c r="G204">
        <v>0</v>
      </c>
      <c r="L204" t="s">
        <v>7</v>
      </c>
      <c r="M204" t="s">
        <v>8</v>
      </c>
      <c r="N204" t="s">
        <v>8</v>
      </c>
      <c r="P204">
        <f t="shared" si="959"/>
        <v>-0.55230596175478108</v>
      </c>
      <c r="Q204">
        <f t="shared" si="960"/>
        <v>-597258.36766591726</v>
      </c>
      <c r="R204">
        <f t="shared" si="961"/>
        <v>-11405449.327615894</v>
      </c>
      <c r="S204">
        <f t="shared" si="962"/>
        <v>-114.05449327615895</v>
      </c>
      <c r="T204">
        <f t="shared" si="963"/>
        <v>-0.11405449327615895</v>
      </c>
    </row>
    <row r="205" spans="1:20" x14ac:dyDescent="0.25">
      <c r="A205" s="5">
        <v>44388</v>
      </c>
      <c r="B205">
        <v>6.1509999999999998</v>
      </c>
      <c r="C205">
        <v>7.1189999999999998</v>
      </c>
      <c r="D205">
        <v>6.09</v>
      </c>
      <c r="E205">
        <v>6.7709999999999999</v>
      </c>
      <c r="F205">
        <v>2057851.202</v>
      </c>
      <c r="G205">
        <v>0</v>
      </c>
      <c r="L205" t="s">
        <v>8</v>
      </c>
      <c r="M205" t="s">
        <v>8</v>
      </c>
      <c r="N205" t="s">
        <v>8</v>
      </c>
      <c r="P205">
        <f t="shared" si="959"/>
        <v>0.32361516034985444</v>
      </c>
      <c r="Q205">
        <f t="shared" si="960"/>
        <v>665951.84671137074</v>
      </c>
      <c r="R205">
        <f t="shared" si="961"/>
        <v>-10808190.959949978</v>
      </c>
      <c r="S205">
        <f t="shared" si="962"/>
        <v>-108.08190959949978</v>
      </c>
      <c r="T205">
        <f t="shared" si="963"/>
        <v>-0.10808190959949979</v>
      </c>
    </row>
    <row r="206" spans="1:20" x14ac:dyDescent="0.25">
      <c r="A206" s="5">
        <v>44387</v>
      </c>
      <c r="B206">
        <v>6.19</v>
      </c>
      <c r="C206">
        <v>6.5579999999999998</v>
      </c>
      <c r="D206">
        <v>5.9820000000000002</v>
      </c>
      <c r="E206">
        <v>6.1539999999999999</v>
      </c>
      <c r="F206">
        <v>824524.07299999997</v>
      </c>
      <c r="G206">
        <v>0</v>
      </c>
      <c r="L206" t="s">
        <v>8</v>
      </c>
      <c r="M206" t="s">
        <v>7</v>
      </c>
      <c r="N206" t="s">
        <v>8</v>
      </c>
      <c r="P206">
        <f t="shared" si="959"/>
        <v>-0.4027777777777784</v>
      </c>
      <c r="Q206">
        <f t="shared" si="960"/>
        <v>-332099.97384722275</v>
      </c>
      <c r="R206">
        <f t="shared" si="961"/>
        <v>-11474142.806661349</v>
      </c>
      <c r="S206">
        <f t="shared" si="962"/>
        <v>-114.74142806661349</v>
      </c>
      <c r="T206">
        <f t="shared" si="963"/>
        <v>-0.1147414280666135</v>
      </c>
    </row>
    <row r="207" spans="1:20" x14ac:dyDescent="0.25">
      <c r="A207" s="5">
        <v>44386</v>
      </c>
      <c r="B207">
        <v>6.117</v>
      </c>
      <c r="C207">
        <v>6.4039999999999999</v>
      </c>
      <c r="D207">
        <v>5.8360000000000003</v>
      </c>
      <c r="E207">
        <v>6.19</v>
      </c>
      <c r="F207">
        <v>715305.91700000002</v>
      </c>
      <c r="G207">
        <v>0</v>
      </c>
      <c r="L207" t="s">
        <v>7</v>
      </c>
      <c r="M207" t="s">
        <v>7</v>
      </c>
      <c r="N207" t="s">
        <v>8</v>
      </c>
      <c r="P207">
        <f t="shared" si="959"/>
        <v>0.24647887323943779</v>
      </c>
      <c r="Q207">
        <f t="shared" si="960"/>
        <v>176307.79644366281</v>
      </c>
      <c r="R207">
        <f t="shared" si="961"/>
        <v>-11142042.832814125</v>
      </c>
      <c r="S207">
        <f t="shared" si="962"/>
        <v>-111.42042832814126</v>
      </c>
      <c r="T207">
        <f t="shared" si="963"/>
        <v>-0.11142042832814125</v>
      </c>
    </row>
    <row r="208" spans="1:20" x14ac:dyDescent="0.25">
      <c r="A208" s="5">
        <v>44385</v>
      </c>
      <c r="B208">
        <v>6.867</v>
      </c>
      <c r="C208">
        <v>6.9279999999999999</v>
      </c>
      <c r="D208">
        <v>5.9530000000000003</v>
      </c>
      <c r="E208">
        <v>6.1020000000000003</v>
      </c>
      <c r="F208">
        <v>1180228.649</v>
      </c>
      <c r="G208">
        <v>0</v>
      </c>
      <c r="L208" t="s">
        <v>7</v>
      </c>
      <c r="M208" t="s">
        <v>7</v>
      </c>
      <c r="N208" t="s">
        <v>8</v>
      </c>
      <c r="P208">
        <f t="shared" si="959"/>
        <v>-0.6943589743589742</v>
      </c>
      <c r="Q208">
        <f t="shared" si="960"/>
        <v>-819502.35422871774</v>
      </c>
      <c r="R208">
        <f t="shared" si="961"/>
        <v>-11318350.629257789</v>
      </c>
      <c r="S208">
        <f t="shared" si="962"/>
        <v>-113.18350629257789</v>
      </c>
      <c r="T208">
        <f t="shared" si="963"/>
        <v>-0.11318350629257788</v>
      </c>
    </row>
    <row r="209" spans="1:20" x14ac:dyDescent="0.25">
      <c r="A209" s="5">
        <v>44384</v>
      </c>
      <c r="B209">
        <v>7.1230000000000002</v>
      </c>
      <c r="C209">
        <v>7.5419999999999998</v>
      </c>
      <c r="D209">
        <v>6.7869999999999999</v>
      </c>
      <c r="E209">
        <v>6.87</v>
      </c>
      <c r="F209">
        <v>2133368.5490000001</v>
      </c>
      <c r="G209">
        <v>0</v>
      </c>
      <c r="L209" t="s">
        <v>8</v>
      </c>
      <c r="M209" t="s">
        <v>8</v>
      </c>
      <c r="N209" t="s">
        <v>8</v>
      </c>
      <c r="P209">
        <f t="shared" si="959"/>
        <v>-0.78013245033112533</v>
      </c>
      <c r="Q209">
        <f t="shared" si="960"/>
        <v>-1664310.0335907275</v>
      </c>
      <c r="R209">
        <f t="shared" si="961"/>
        <v>-10498848.275029071</v>
      </c>
      <c r="S209">
        <f t="shared" si="962"/>
        <v>-104.9884827502907</v>
      </c>
      <c r="T209">
        <f t="shared" si="963"/>
        <v>-0.1049884827502907</v>
      </c>
    </row>
    <row r="210" spans="1:20" x14ac:dyDescent="0.25">
      <c r="A210" s="5">
        <v>44383</v>
      </c>
      <c r="B210">
        <v>5.8170000000000002</v>
      </c>
      <c r="C210">
        <v>7.1849999999999996</v>
      </c>
      <c r="D210">
        <v>5.8150000000000004</v>
      </c>
      <c r="E210">
        <v>7.1230000000000002</v>
      </c>
      <c r="F210">
        <v>1728466.602</v>
      </c>
      <c r="G210">
        <v>0</v>
      </c>
      <c r="L210" t="s">
        <v>8</v>
      </c>
      <c r="M210" t="s">
        <v>8</v>
      </c>
      <c r="N210" t="s">
        <v>7</v>
      </c>
      <c r="P210">
        <f t="shared" si="959"/>
        <v>0.90948905109489131</v>
      </c>
      <c r="Q210">
        <f t="shared" si="960"/>
        <v>1572021.4497021912</v>
      </c>
      <c r="R210">
        <f t="shared" si="961"/>
        <v>-8834538.2414383441</v>
      </c>
      <c r="S210">
        <f t="shared" si="962"/>
        <v>-88.345382414383437</v>
      </c>
      <c r="T210">
        <f t="shared" si="963"/>
        <v>-8.834538241438343E-2</v>
      </c>
    </row>
    <row r="211" spans="1:20" x14ac:dyDescent="0.25">
      <c r="A211" s="5">
        <v>44382</v>
      </c>
      <c r="B211">
        <v>6.2309999999999999</v>
      </c>
      <c r="C211">
        <v>6.2430000000000003</v>
      </c>
      <c r="D211">
        <v>5.5990000000000002</v>
      </c>
      <c r="E211">
        <v>5.835</v>
      </c>
      <c r="F211">
        <v>1364303.693</v>
      </c>
      <c r="G211">
        <v>0</v>
      </c>
      <c r="L211" t="s">
        <v>7</v>
      </c>
      <c r="M211" t="s">
        <v>7</v>
      </c>
      <c r="N211" t="s">
        <v>7</v>
      </c>
      <c r="P211">
        <f t="shared" si="959"/>
        <v>-0.2670807453416158</v>
      </c>
      <c r="Q211">
        <f t="shared" si="960"/>
        <v>-364379.247198759</v>
      </c>
      <c r="R211">
        <f t="shared" si="961"/>
        <v>-10406559.691140536</v>
      </c>
      <c r="S211">
        <f t="shared" si="962"/>
        <v>-104.06559691140536</v>
      </c>
      <c r="T211">
        <f t="shared" si="963"/>
        <v>-0.10406559691140536</v>
      </c>
    </row>
    <row r="212" spans="1:20" x14ac:dyDescent="0.25">
      <c r="A212" s="5">
        <v>44381</v>
      </c>
      <c r="B212">
        <v>6.085</v>
      </c>
      <c r="C212">
        <v>6.7</v>
      </c>
      <c r="D212">
        <v>5.7359999999999998</v>
      </c>
      <c r="E212">
        <v>6.2329999999999997</v>
      </c>
      <c r="F212">
        <v>1055691.459</v>
      </c>
      <c r="G212">
        <v>0</v>
      </c>
      <c r="L212" t="s">
        <v>8</v>
      </c>
      <c r="M212" t="s">
        <v>7</v>
      </c>
      <c r="N212" t="s">
        <v>7</v>
      </c>
      <c r="P212">
        <f t="shared" si="959"/>
        <v>3.1120331950206793E-2</v>
      </c>
      <c r="Q212">
        <f t="shared" si="960"/>
        <v>32853.468641078129</v>
      </c>
      <c r="R212">
        <f t="shared" si="961"/>
        <v>-10042180.443941778</v>
      </c>
      <c r="S212">
        <f t="shared" si="962"/>
        <v>-100.42180443941777</v>
      </c>
      <c r="T212">
        <f t="shared" si="963"/>
        <v>-0.10042180443941777</v>
      </c>
    </row>
    <row r="213" spans="1:20" x14ac:dyDescent="0.25">
      <c r="A213" s="5">
        <v>44380</v>
      </c>
      <c r="B213">
        <v>5.9269999999999996</v>
      </c>
      <c r="C213">
        <v>6.3</v>
      </c>
      <c r="D213">
        <v>5.7869999999999999</v>
      </c>
      <c r="E213">
        <v>6.0860000000000003</v>
      </c>
      <c r="F213">
        <v>373688.54399999999</v>
      </c>
      <c r="G213">
        <v>0</v>
      </c>
      <c r="L213" t="s">
        <v>8</v>
      </c>
      <c r="M213" t="s">
        <v>7</v>
      </c>
      <c r="N213" t="s">
        <v>7</v>
      </c>
      <c r="P213">
        <f t="shared" si="959"/>
        <v>0.16569200779727264</v>
      </c>
      <c r="Q213">
        <f t="shared" si="960"/>
        <v>61917.205146199456</v>
      </c>
      <c r="R213">
        <f t="shared" si="961"/>
        <v>-10075033.912582856</v>
      </c>
      <c r="S213">
        <f t="shared" si="962"/>
        <v>-100.75033912582856</v>
      </c>
      <c r="T213">
        <f t="shared" si="963"/>
        <v>-0.10075033912582856</v>
      </c>
    </row>
    <row r="214" spans="1:20" x14ac:dyDescent="0.25">
      <c r="A214" s="5">
        <v>44379</v>
      </c>
      <c r="B214">
        <v>6.1449999999999996</v>
      </c>
      <c r="C214">
        <v>6.3</v>
      </c>
      <c r="D214">
        <v>5.6420000000000003</v>
      </c>
      <c r="E214">
        <v>5.9219999999999997</v>
      </c>
      <c r="F214">
        <v>700680.58100000001</v>
      </c>
      <c r="G214">
        <v>0</v>
      </c>
      <c r="L214" t="s">
        <v>7</v>
      </c>
      <c r="M214" t="s">
        <v>7</v>
      </c>
      <c r="N214" t="s">
        <v>7</v>
      </c>
      <c r="P214">
        <f t="shared" si="959"/>
        <v>-0.14893617021276723</v>
      </c>
      <c r="Q214">
        <f t="shared" si="960"/>
        <v>-104356.68227659664</v>
      </c>
      <c r="R214">
        <f t="shared" si="961"/>
        <v>-10136951.117729055</v>
      </c>
      <c r="S214">
        <f t="shared" si="962"/>
        <v>-101.36951117729055</v>
      </c>
      <c r="T214">
        <f t="shared" si="963"/>
        <v>-0.10136951117729055</v>
      </c>
    </row>
    <row r="215" spans="1:20" x14ac:dyDescent="0.25">
      <c r="A215" s="5">
        <v>44378</v>
      </c>
      <c r="B215">
        <v>6.59</v>
      </c>
      <c r="C215">
        <v>6.7110000000000003</v>
      </c>
      <c r="D215">
        <v>5.923</v>
      </c>
      <c r="E215">
        <v>6.14</v>
      </c>
      <c r="F215">
        <v>487547.89199999999</v>
      </c>
      <c r="G215">
        <v>0</v>
      </c>
      <c r="L215" t="s">
        <v>7</v>
      </c>
      <c r="M215" t="s">
        <v>7</v>
      </c>
      <c r="N215" t="s">
        <v>7</v>
      </c>
      <c r="P215">
        <f t="shared" si="959"/>
        <v>-0.44923857868020417</v>
      </c>
      <c r="Q215">
        <f t="shared" si="960"/>
        <v>-219025.3220406097</v>
      </c>
      <c r="R215">
        <f t="shared" si="961"/>
        <v>-10032594.435452458</v>
      </c>
      <c r="S215">
        <f t="shared" si="962"/>
        <v>-100.32594435452458</v>
      </c>
      <c r="T215">
        <f t="shared" si="963"/>
        <v>-0.10032594435452458</v>
      </c>
    </row>
    <row r="216" spans="1:20" x14ac:dyDescent="0.25">
      <c r="A216" s="5">
        <v>44377</v>
      </c>
      <c r="B216">
        <v>7.0750000000000002</v>
      </c>
      <c r="C216">
        <v>7.1580000000000004</v>
      </c>
      <c r="D216">
        <v>6.109</v>
      </c>
      <c r="E216">
        <v>6.5890000000000004</v>
      </c>
      <c r="F216">
        <v>660670.69900000002</v>
      </c>
      <c r="G216">
        <v>0</v>
      </c>
      <c r="L216" t="s">
        <v>7</v>
      </c>
      <c r="M216" t="s">
        <v>8</v>
      </c>
      <c r="N216" t="s">
        <v>7</v>
      </c>
      <c r="P216">
        <f t="shared" si="959"/>
        <v>-8.4842707340323634E-2</v>
      </c>
      <c r="Q216">
        <f t="shared" si="960"/>
        <v>-56053.090763584049</v>
      </c>
      <c r="R216">
        <f t="shared" si="961"/>
        <v>-9813569.1134118475</v>
      </c>
      <c r="S216">
        <f t="shared" si="962"/>
        <v>-98.135691134118474</v>
      </c>
      <c r="T216">
        <f t="shared" si="963"/>
        <v>-9.8135691134118477E-2</v>
      </c>
    </row>
    <row r="217" spans="1:20" x14ac:dyDescent="0.25">
      <c r="A217" s="5">
        <v>44376</v>
      </c>
      <c r="B217">
        <v>6.274</v>
      </c>
      <c r="C217">
        <v>7.3230000000000004</v>
      </c>
      <c r="D217">
        <v>6.2220000000000004</v>
      </c>
      <c r="E217">
        <v>7.0830000000000002</v>
      </c>
      <c r="F217">
        <v>598939.80099999998</v>
      </c>
      <c r="G217">
        <v>0</v>
      </c>
      <c r="L217" t="s">
        <v>8</v>
      </c>
      <c r="M217" t="s">
        <v>8</v>
      </c>
      <c r="N217" t="s">
        <v>7</v>
      </c>
      <c r="P217">
        <f t="shared" si="959"/>
        <v>0.56403269754768348</v>
      </c>
      <c r="Q217">
        <f t="shared" si="960"/>
        <v>337821.63162670273</v>
      </c>
      <c r="R217">
        <f t="shared" si="961"/>
        <v>-9757516.0226482637</v>
      </c>
      <c r="S217">
        <f t="shared" si="962"/>
        <v>-97.575160226482637</v>
      </c>
      <c r="T217">
        <f t="shared" si="963"/>
        <v>-9.7575160226482632E-2</v>
      </c>
    </row>
    <row r="218" spans="1:20" x14ac:dyDescent="0.25">
      <c r="A218" s="5">
        <v>44375</v>
      </c>
      <c r="B218">
        <v>6.0679999999999996</v>
      </c>
      <c r="C218">
        <v>6.3810000000000002</v>
      </c>
      <c r="D218">
        <v>5.9020000000000001</v>
      </c>
      <c r="E218">
        <v>6.2830000000000004</v>
      </c>
      <c r="F218">
        <v>424233.37900000002</v>
      </c>
      <c r="G218">
        <v>0</v>
      </c>
      <c r="L218" t="s">
        <v>8</v>
      </c>
      <c r="M218" t="s">
        <v>7</v>
      </c>
      <c r="N218" t="s">
        <v>7</v>
      </c>
      <c r="P218">
        <f t="shared" si="959"/>
        <v>0.5908141962421718</v>
      </c>
      <c r="Q218">
        <f t="shared" si="960"/>
        <v>250643.10283298566</v>
      </c>
      <c r="R218">
        <f t="shared" si="961"/>
        <v>-10095337.654274967</v>
      </c>
      <c r="S218">
        <f t="shared" si="962"/>
        <v>-100.95337654274967</v>
      </c>
      <c r="T218">
        <f t="shared" si="963"/>
        <v>-0.10095337654274966</v>
      </c>
    </row>
    <row r="219" spans="1:20" x14ac:dyDescent="0.25">
      <c r="A219" s="5">
        <v>44374</v>
      </c>
      <c r="B219">
        <v>5.8029999999999999</v>
      </c>
      <c r="C219">
        <v>6.0620000000000003</v>
      </c>
      <c r="D219">
        <v>5.6379999999999999</v>
      </c>
      <c r="E219">
        <v>6.0529999999999999</v>
      </c>
      <c r="F219">
        <v>324840.929</v>
      </c>
      <c r="G219">
        <v>0</v>
      </c>
      <c r="L219" t="s">
        <v>8</v>
      </c>
      <c r="M219" t="s">
        <v>7</v>
      </c>
      <c r="N219" t="s">
        <v>7</v>
      </c>
      <c r="P219">
        <f t="shared" si="959"/>
        <v>0.95754716981131915</v>
      </c>
      <c r="Q219">
        <f t="shared" si="960"/>
        <v>311050.51220282965</v>
      </c>
      <c r="R219">
        <f t="shared" si="961"/>
        <v>-10345980.757107953</v>
      </c>
      <c r="S219">
        <f t="shared" si="962"/>
        <v>-103.45980757107952</v>
      </c>
      <c r="T219">
        <f t="shared" si="963"/>
        <v>-0.10345980757107952</v>
      </c>
    </row>
    <row r="220" spans="1:20" x14ac:dyDescent="0.25">
      <c r="A220" s="5">
        <v>44373</v>
      </c>
      <c r="B220">
        <v>5.8979999999999997</v>
      </c>
      <c r="C220">
        <v>6.1319999999999997</v>
      </c>
      <c r="D220">
        <v>5.5069999999999997</v>
      </c>
      <c r="E220">
        <v>5.8029999999999999</v>
      </c>
      <c r="F220">
        <v>474059.33199999999</v>
      </c>
      <c r="G220">
        <v>0</v>
      </c>
      <c r="L220" t="s">
        <v>7</v>
      </c>
      <c r="M220" t="s">
        <v>7</v>
      </c>
      <c r="N220" t="s">
        <v>7</v>
      </c>
      <c r="P220">
        <f t="shared" si="959"/>
        <v>-5.279999999999916E-2</v>
      </c>
      <c r="Q220">
        <f t="shared" si="960"/>
        <v>-25030.332729599602</v>
      </c>
      <c r="R220">
        <f t="shared" si="961"/>
        <v>-10657031.269310782</v>
      </c>
      <c r="S220">
        <f t="shared" si="962"/>
        <v>-106.57031269310782</v>
      </c>
      <c r="T220">
        <f t="shared" si="963"/>
        <v>-0.10657031269310782</v>
      </c>
    </row>
    <row r="221" spans="1:20" x14ac:dyDescent="0.25">
      <c r="A221" s="5">
        <v>44372</v>
      </c>
      <c r="B221">
        <v>6.5439999999999996</v>
      </c>
      <c r="C221">
        <v>7.0540000000000003</v>
      </c>
      <c r="D221">
        <v>5.85</v>
      </c>
      <c r="E221">
        <v>5.9260000000000002</v>
      </c>
      <c r="F221">
        <v>568740.46799999999</v>
      </c>
      <c r="G221">
        <v>0</v>
      </c>
      <c r="L221" t="s">
        <v>7</v>
      </c>
      <c r="M221" t="s">
        <v>8</v>
      </c>
      <c r="N221" t="s">
        <v>7</v>
      </c>
      <c r="P221">
        <f t="shared" si="959"/>
        <v>-0.87375415282391944</v>
      </c>
      <c r="Q221">
        <f t="shared" si="960"/>
        <v>-496939.34579401946</v>
      </c>
      <c r="R221">
        <f t="shared" si="961"/>
        <v>-10632000.936581181</v>
      </c>
      <c r="S221">
        <f t="shared" si="962"/>
        <v>-106.32000936581181</v>
      </c>
      <c r="T221">
        <f t="shared" si="963"/>
        <v>-0.10632000936581182</v>
      </c>
    </row>
    <row r="222" spans="1:20" x14ac:dyDescent="0.25">
      <c r="A222" s="5">
        <v>44371</v>
      </c>
      <c r="B222">
        <v>6.4050000000000002</v>
      </c>
      <c r="C222">
        <v>6.6029999999999998</v>
      </c>
      <c r="D222">
        <v>6</v>
      </c>
      <c r="E222">
        <v>6.5270000000000001</v>
      </c>
      <c r="F222">
        <v>415357.97</v>
      </c>
      <c r="G222">
        <v>0</v>
      </c>
      <c r="L222" t="s">
        <v>7</v>
      </c>
      <c r="M222" t="s">
        <v>8</v>
      </c>
      <c r="N222" t="s">
        <v>7</v>
      </c>
      <c r="P222">
        <f t="shared" si="959"/>
        <v>0.74792703150912221</v>
      </c>
      <c r="Q222">
        <f t="shared" si="960"/>
        <v>310657.45351575501</v>
      </c>
      <c r="R222">
        <f t="shared" si="961"/>
        <v>-10135061.590787161</v>
      </c>
      <c r="S222">
        <f t="shared" si="962"/>
        <v>-101.35061590787161</v>
      </c>
      <c r="T222">
        <f t="shared" si="963"/>
        <v>-0.10135061590787162</v>
      </c>
    </row>
    <row r="223" spans="1:20" x14ac:dyDescent="0.25">
      <c r="A223" s="5">
        <v>44370</v>
      </c>
      <c r="B223">
        <v>6.02</v>
      </c>
      <c r="C223">
        <v>6.9080000000000004</v>
      </c>
      <c r="D223">
        <v>5.7549999999999999</v>
      </c>
      <c r="E223">
        <v>6.4169999999999998</v>
      </c>
      <c r="F223">
        <v>476974.35600000003</v>
      </c>
      <c r="G223">
        <v>0</v>
      </c>
      <c r="L223" t="s">
        <v>8</v>
      </c>
      <c r="M223" t="s">
        <v>8</v>
      </c>
      <c r="N223" t="s">
        <v>7</v>
      </c>
      <c r="P223">
        <f t="shared" si="959"/>
        <v>0.14830875975715466</v>
      </c>
      <c r="Q223">
        <f t="shared" si="960"/>
        <v>70739.47517432757</v>
      </c>
      <c r="R223">
        <f t="shared" si="961"/>
        <v>-10445719.044302916</v>
      </c>
      <c r="S223">
        <f t="shared" si="962"/>
        <v>-104.45719044302916</v>
      </c>
      <c r="T223">
        <f t="shared" si="963"/>
        <v>-0.10445719044302916</v>
      </c>
    </row>
    <row r="224" spans="1:20" x14ac:dyDescent="0.25">
      <c r="A224" s="5">
        <v>44369</v>
      </c>
      <c r="B224">
        <v>6.3049999999999997</v>
      </c>
      <c r="C224">
        <v>7.0209999999999999</v>
      </c>
      <c r="D224">
        <v>5.3109999999999999</v>
      </c>
      <c r="E224">
        <v>6.032</v>
      </c>
      <c r="F224">
        <v>574173.90800000005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-0.1567251461988303</v>
      </c>
      <c r="Q224">
        <f t="shared" si="960"/>
        <v>-89987.489674853743</v>
      </c>
      <c r="R224">
        <f t="shared" si="961"/>
        <v>-10516458.519477244</v>
      </c>
      <c r="S224">
        <f t="shared" si="962"/>
        <v>-105.16458519477244</v>
      </c>
      <c r="T224">
        <f t="shared" si="963"/>
        <v>-0.10516458519477244</v>
      </c>
    </row>
    <row r="225" spans="1:20" x14ac:dyDescent="0.25">
      <c r="A225" s="5">
        <v>44368</v>
      </c>
      <c r="B225">
        <v>8.02</v>
      </c>
      <c r="C225">
        <v>8.0579999999999998</v>
      </c>
      <c r="D225">
        <v>6.2549999999999999</v>
      </c>
      <c r="E225">
        <v>6.2859999999999996</v>
      </c>
      <c r="F225">
        <v>531939.35600000003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-0.96561286744315067</v>
      </c>
      <c r="Q225">
        <f t="shared" si="960"/>
        <v>-513647.48685302294</v>
      </c>
      <c r="R225">
        <f t="shared" si="961"/>
        <v>-10426471.029802391</v>
      </c>
      <c r="S225">
        <f t="shared" si="962"/>
        <v>-104.26471029802391</v>
      </c>
      <c r="T225">
        <f t="shared" si="963"/>
        <v>-0.10426471029802391</v>
      </c>
    </row>
    <row r="226" spans="1:20" x14ac:dyDescent="0.25">
      <c r="A226" s="5">
        <v>44367</v>
      </c>
      <c r="B226">
        <v>8.0500000000000007</v>
      </c>
      <c r="C226">
        <v>8.2140000000000004</v>
      </c>
      <c r="D226">
        <v>7.3460000000000001</v>
      </c>
      <c r="E226">
        <v>8.0079999999999991</v>
      </c>
      <c r="F226">
        <v>282869.09999999998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0.52534562211981284</v>
      </c>
      <c r="Q226">
        <f t="shared" si="960"/>
        <v>148604.04331797155</v>
      </c>
      <c r="R226">
        <f t="shared" si="961"/>
        <v>-9912823.5429493692</v>
      </c>
      <c r="S226">
        <f t="shared" si="962"/>
        <v>-99.128235429493685</v>
      </c>
      <c r="T226">
        <f t="shared" si="963"/>
        <v>-9.9128235429493686E-2</v>
      </c>
    </row>
    <row r="227" spans="1:20" x14ac:dyDescent="0.25">
      <c r="A227" s="5">
        <v>44366</v>
      </c>
      <c r="B227">
        <v>8.3550000000000004</v>
      </c>
      <c r="C227">
        <v>8.5109999999999992</v>
      </c>
      <c r="D227">
        <v>7.96</v>
      </c>
      <c r="E227">
        <v>8.07</v>
      </c>
      <c r="F227">
        <v>242170.14300000001</v>
      </c>
      <c r="G227">
        <v>0</v>
      </c>
      <c r="L227" t="s">
        <v>8</v>
      </c>
      <c r="M227" t="s">
        <v>7</v>
      </c>
      <c r="N227" t="s">
        <v>7</v>
      </c>
      <c r="P227">
        <f t="shared" si="959"/>
        <v>-0.60072595281306551</v>
      </c>
      <c r="Q227">
        <f t="shared" si="960"/>
        <v>-145477.88989655132</v>
      </c>
      <c r="R227">
        <f t="shared" si="961"/>
        <v>-10061427.586267341</v>
      </c>
      <c r="S227">
        <f t="shared" si="962"/>
        <v>-100.61427586267341</v>
      </c>
      <c r="T227">
        <f t="shared" si="963"/>
        <v>-0.10061427586267341</v>
      </c>
    </row>
    <row r="228" spans="1:20" x14ac:dyDescent="0.25">
      <c r="A228" s="5">
        <v>44365</v>
      </c>
      <c r="B228">
        <v>9.4939999999999998</v>
      </c>
      <c r="C228">
        <v>9.4939999999999998</v>
      </c>
      <c r="D228">
        <v>7.976</v>
      </c>
      <c r="E228">
        <v>8.359</v>
      </c>
      <c r="F228">
        <v>497637.95899999997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-0.49538866930171271</v>
      </c>
      <c r="Q228">
        <f t="shared" si="960"/>
        <v>-246524.20630303025</v>
      </c>
      <c r="R228">
        <f t="shared" si="961"/>
        <v>-9915949.6963707898</v>
      </c>
      <c r="S228">
        <f t="shared" si="962"/>
        <v>-99.159496963707895</v>
      </c>
      <c r="T228">
        <f t="shared" si="963"/>
        <v>-9.9159496963707891E-2</v>
      </c>
    </row>
    <row r="229" spans="1:20" x14ac:dyDescent="0.25">
      <c r="A229" s="5">
        <v>44364</v>
      </c>
      <c r="B229">
        <v>9.2680000000000007</v>
      </c>
      <c r="C229">
        <v>9.9420000000000002</v>
      </c>
      <c r="D229">
        <v>9.23</v>
      </c>
      <c r="E229">
        <v>9.5030000000000001</v>
      </c>
      <c r="F229">
        <v>404740.16499999998</v>
      </c>
      <c r="G229">
        <v>0</v>
      </c>
      <c r="L229" t="s">
        <v>8</v>
      </c>
      <c r="M229" t="s">
        <v>8</v>
      </c>
      <c r="N229" t="s">
        <v>8</v>
      </c>
      <c r="P229">
        <f t="shared" si="959"/>
        <v>-0.23314606741573093</v>
      </c>
      <c r="Q229">
        <f t="shared" si="960"/>
        <v>-94363.577794944053</v>
      </c>
      <c r="R229">
        <f t="shared" si="961"/>
        <v>-9669425.4900677595</v>
      </c>
      <c r="S229">
        <f t="shared" si="962"/>
        <v>-96.694254900677592</v>
      </c>
      <c r="T229">
        <f t="shared" si="963"/>
        <v>-9.6694254900677595E-2</v>
      </c>
    </row>
    <row r="230" spans="1:20" x14ac:dyDescent="0.25">
      <c r="A230" s="5">
        <v>44363</v>
      </c>
      <c r="B230">
        <v>10.67</v>
      </c>
      <c r="C230">
        <v>10.691000000000001</v>
      </c>
      <c r="D230">
        <v>9.173</v>
      </c>
      <c r="E230">
        <v>9.2609999999999992</v>
      </c>
      <c r="F230">
        <v>911076.978</v>
      </c>
      <c r="G230">
        <v>0</v>
      </c>
      <c r="L230" t="s">
        <v>7</v>
      </c>
      <c r="M230" t="s">
        <v>8</v>
      </c>
      <c r="N230" t="s">
        <v>8</v>
      </c>
      <c r="P230">
        <f t="shared" si="959"/>
        <v>-0.8840579710144939</v>
      </c>
      <c r="Q230">
        <f t="shared" si="960"/>
        <v>-805444.86460869666</v>
      </c>
      <c r="R230">
        <f t="shared" si="961"/>
        <v>-9575061.9122728147</v>
      </c>
      <c r="S230">
        <f t="shared" si="962"/>
        <v>-95.750619122728153</v>
      </c>
      <c r="T230">
        <f t="shared" si="963"/>
        <v>-9.5750619122728156E-2</v>
      </c>
    </row>
    <row r="231" spans="1:20" x14ac:dyDescent="0.25">
      <c r="A231" s="5">
        <v>44362</v>
      </c>
      <c r="B231">
        <v>9.0739999999999998</v>
      </c>
      <c r="C231">
        <v>10.891999999999999</v>
      </c>
      <c r="D231">
        <v>8.6639999999999997</v>
      </c>
      <c r="E231">
        <v>10.664999999999999</v>
      </c>
      <c r="F231">
        <v>1381775.493</v>
      </c>
      <c r="G231">
        <v>0</v>
      </c>
      <c r="L231" t="s">
        <v>8</v>
      </c>
      <c r="M231" t="s">
        <v>8</v>
      </c>
      <c r="N231" t="s">
        <v>8</v>
      </c>
      <c r="P231">
        <f t="shared" si="959"/>
        <v>0.79622980251346465</v>
      </c>
      <c r="Q231">
        <f t="shared" si="960"/>
        <v>1100210.8279093353</v>
      </c>
      <c r="R231">
        <f t="shared" si="961"/>
        <v>-8769617.0476641189</v>
      </c>
      <c r="S231">
        <f t="shared" si="962"/>
        <v>-87.696170476641186</v>
      </c>
      <c r="T231">
        <f t="shared" si="963"/>
        <v>-8.7696170476641189E-2</v>
      </c>
    </row>
    <row r="232" spans="1:20" x14ac:dyDescent="0.25">
      <c r="A232" s="5">
        <v>44361</v>
      </c>
      <c r="B232">
        <v>8.6859999999999999</v>
      </c>
      <c r="C232">
        <v>9.1999999999999993</v>
      </c>
      <c r="D232">
        <v>8.4499999999999993</v>
      </c>
      <c r="E232">
        <v>9.0749999999999993</v>
      </c>
      <c r="F232">
        <v>512226.94099999999</v>
      </c>
      <c r="G232">
        <v>0</v>
      </c>
      <c r="L232" t="s">
        <v>8</v>
      </c>
      <c r="M232" t="s">
        <v>8</v>
      </c>
      <c r="N232" t="s">
        <v>7</v>
      </c>
      <c r="P232">
        <f t="shared" si="959"/>
        <v>0.66666666666666663</v>
      </c>
      <c r="Q232">
        <f t="shared" si="960"/>
        <v>341484.62733333331</v>
      </c>
      <c r="R232">
        <f t="shared" si="961"/>
        <v>-9869827.8755734544</v>
      </c>
      <c r="S232">
        <f t="shared" si="962"/>
        <v>-98.698278755734549</v>
      </c>
      <c r="T232">
        <f t="shared" si="963"/>
        <v>-9.8698278755734545E-2</v>
      </c>
    </row>
    <row r="233" spans="1:20" x14ac:dyDescent="0.25">
      <c r="A233" s="5">
        <v>44360</v>
      </c>
      <c r="B233">
        <v>8.1259999999999994</v>
      </c>
      <c r="C233">
        <v>8.7349999999999994</v>
      </c>
      <c r="D233">
        <v>7.9</v>
      </c>
      <c r="E233">
        <v>8.6820000000000004</v>
      </c>
      <c r="F233">
        <v>487158.18</v>
      </c>
      <c r="G233">
        <v>0</v>
      </c>
      <c r="L233" t="s">
        <v>8</v>
      </c>
      <c r="M233" t="s">
        <v>7</v>
      </c>
      <c r="N233" t="s">
        <v>7</v>
      </c>
      <c r="P233">
        <f t="shared" si="959"/>
        <v>0.87305389221557095</v>
      </c>
      <c r="Q233">
        <f t="shared" si="960"/>
        <v>425315.34517365368</v>
      </c>
      <c r="R233">
        <f t="shared" si="961"/>
        <v>-10211312.502906788</v>
      </c>
      <c r="S233">
        <f t="shared" si="962"/>
        <v>-102.11312502906789</v>
      </c>
      <c r="T233">
        <f t="shared" si="963"/>
        <v>-0.10211312502906789</v>
      </c>
    </row>
    <row r="234" spans="1:20" x14ac:dyDescent="0.25">
      <c r="A234" s="5">
        <v>44359</v>
      </c>
      <c r="B234">
        <v>8.8510000000000009</v>
      </c>
      <c r="C234">
        <v>9.2490000000000006</v>
      </c>
      <c r="D234">
        <v>7.5330000000000004</v>
      </c>
      <c r="E234">
        <v>8.1289999999999996</v>
      </c>
      <c r="F234">
        <v>1113267.105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-0.3053613053613064</v>
      </c>
      <c r="Q234">
        <f t="shared" si="960"/>
        <v>-339948.69639860257</v>
      </c>
      <c r="R234">
        <f t="shared" si="961"/>
        <v>-10636627.848080441</v>
      </c>
      <c r="S234">
        <f t="shared" si="962"/>
        <v>-106.36627848080441</v>
      </c>
      <c r="T234">
        <f t="shared" si="963"/>
        <v>-0.1063662784808044</v>
      </c>
    </row>
    <row r="235" spans="1:20" x14ac:dyDescent="0.25">
      <c r="A235" s="5">
        <v>44358</v>
      </c>
      <c r="B235">
        <v>8.8529999999999998</v>
      </c>
      <c r="C235">
        <v>9.3770000000000007</v>
      </c>
      <c r="D235">
        <v>8.0419999999999998</v>
      </c>
      <c r="E235">
        <v>8.8330000000000002</v>
      </c>
      <c r="F235">
        <v>784462.72</v>
      </c>
      <c r="G235">
        <v>0</v>
      </c>
      <c r="L235" t="s">
        <v>7</v>
      </c>
      <c r="M235" t="s">
        <v>7</v>
      </c>
      <c r="N235" t="s">
        <v>7</v>
      </c>
      <c r="P235">
        <f t="shared" si="959"/>
        <v>0.18501872659176011</v>
      </c>
      <c r="Q235">
        <f t="shared" si="960"/>
        <v>145140.29351310845</v>
      </c>
      <c r="R235">
        <f t="shared" si="961"/>
        <v>-10296679.151681839</v>
      </c>
      <c r="S235">
        <f t="shared" si="962"/>
        <v>-102.96679151681839</v>
      </c>
      <c r="T235">
        <f t="shared" si="963"/>
        <v>-0.1029667915168184</v>
      </c>
    </row>
    <row r="236" spans="1:20" x14ac:dyDescent="0.25">
      <c r="A236" s="5">
        <v>44357</v>
      </c>
      <c r="B236">
        <v>9.1110000000000007</v>
      </c>
      <c r="C236">
        <v>9.6910000000000007</v>
      </c>
      <c r="D236">
        <v>8.5570000000000004</v>
      </c>
      <c r="E236">
        <v>8.8350000000000009</v>
      </c>
      <c r="F236">
        <v>651019.49399999995</v>
      </c>
      <c r="G236">
        <v>0</v>
      </c>
      <c r="L236" t="s">
        <v>8</v>
      </c>
      <c r="M236" t="s">
        <v>8</v>
      </c>
      <c r="N236" t="s">
        <v>7</v>
      </c>
      <c r="P236">
        <f t="shared" si="959"/>
        <v>-0.50970017636684239</v>
      </c>
      <c r="Q236">
        <f t="shared" si="960"/>
        <v>-331824.75091005245</v>
      </c>
      <c r="R236">
        <f t="shared" si="961"/>
        <v>-10441819.445194947</v>
      </c>
      <c r="S236">
        <f t="shared" si="962"/>
        <v>-104.41819445194946</v>
      </c>
      <c r="T236">
        <f t="shared" si="963"/>
        <v>-0.10441819445194946</v>
      </c>
    </row>
    <row r="237" spans="1:20" x14ac:dyDescent="0.25">
      <c r="A237" s="5">
        <v>44356</v>
      </c>
      <c r="B237">
        <v>8.5730000000000004</v>
      </c>
      <c r="C237">
        <v>9.3889999999999993</v>
      </c>
      <c r="D237">
        <v>8.0250000000000004</v>
      </c>
      <c r="E237">
        <v>9.0980000000000008</v>
      </c>
      <c r="F237">
        <v>739304.33</v>
      </c>
      <c r="G237">
        <v>0</v>
      </c>
      <c r="L237" t="s">
        <v>8</v>
      </c>
      <c r="M237" t="s">
        <v>8</v>
      </c>
      <c r="N237" t="s">
        <v>7</v>
      </c>
      <c r="P237">
        <f t="shared" si="959"/>
        <v>0.57331378299120406</v>
      </c>
      <c r="Q237">
        <f t="shared" si="960"/>
        <v>423853.3622140775</v>
      </c>
      <c r="R237">
        <f t="shared" si="961"/>
        <v>-10109994.694284894</v>
      </c>
      <c r="S237">
        <f t="shared" si="962"/>
        <v>-101.09994694284893</v>
      </c>
      <c r="T237">
        <f t="shared" si="963"/>
        <v>-0.10109994694284893</v>
      </c>
    </row>
    <row r="238" spans="1:20" x14ac:dyDescent="0.25">
      <c r="A238" s="5">
        <v>44355</v>
      </c>
      <c r="B238">
        <v>8.7390000000000008</v>
      </c>
      <c r="C238">
        <v>8.8840000000000003</v>
      </c>
      <c r="D238">
        <v>7.4180000000000001</v>
      </c>
      <c r="E238">
        <v>8.5890000000000004</v>
      </c>
      <c r="F238">
        <v>656236.20700000005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0.59754433833560727</v>
      </c>
      <c r="Q238">
        <f t="shared" si="960"/>
        <v>392130.23010368366</v>
      </c>
      <c r="R238">
        <f t="shared" si="961"/>
        <v>-10533848.056498971</v>
      </c>
      <c r="S238">
        <f t="shared" si="962"/>
        <v>-105.33848056498971</v>
      </c>
      <c r="T238">
        <f t="shared" si="963"/>
        <v>-0.10533848056498971</v>
      </c>
    </row>
    <row r="239" spans="1:20" x14ac:dyDescent="0.25">
      <c r="A239" s="5">
        <v>44354</v>
      </c>
      <c r="B239">
        <v>9.5380000000000003</v>
      </c>
      <c r="C239">
        <v>10.207000000000001</v>
      </c>
      <c r="D239">
        <v>8.6379999999999999</v>
      </c>
      <c r="E239">
        <v>8.7439999999999998</v>
      </c>
      <c r="F239">
        <v>540235.35499999998</v>
      </c>
      <c r="G239">
        <v>0</v>
      </c>
      <c r="L239" t="s">
        <v>8</v>
      </c>
      <c r="M239" t="s">
        <v>7</v>
      </c>
      <c r="N239" t="s">
        <v>7</v>
      </c>
      <c r="P239">
        <f t="shared" si="959"/>
        <v>-0.86488209050350562</v>
      </c>
      <c r="Q239">
        <f t="shared" si="960"/>
        <v>-467239.88319630345</v>
      </c>
      <c r="R239">
        <f t="shared" si="961"/>
        <v>-10925978.286602654</v>
      </c>
      <c r="S239">
        <f t="shared" si="962"/>
        <v>-109.25978286602654</v>
      </c>
      <c r="T239">
        <f t="shared" si="963"/>
        <v>-0.10925978286602654</v>
      </c>
    </row>
    <row r="240" spans="1:20" x14ac:dyDescent="0.25">
      <c r="A240" s="5">
        <v>44353</v>
      </c>
      <c r="B240">
        <v>9.3580000000000005</v>
      </c>
      <c r="C240">
        <v>9.76</v>
      </c>
      <c r="D240">
        <v>9.2680000000000007</v>
      </c>
      <c r="E240">
        <v>9.5109999999999992</v>
      </c>
      <c r="F240">
        <v>241281.66099999999</v>
      </c>
      <c r="G240">
        <v>0</v>
      </c>
      <c r="L240" t="s">
        <v>8</v>
      </c>
      <c r="M240" t="s">
        <v>7</v>
      </c>
      <c r="N240" t="s">
        <v>7</v>
      </c>
      <c r="P240">
        <f t="shared" si="959"/>
        <v>-1.2195121951223607E-2</v>
      </c>
      <c r="Q240">
        <f t="shared" si="960"/>
        <v>-2942.4592804887925</v>
      </c>
      <c r="R240">
        <f t="shared" si="961"/>
        <v>-10458738.40340635</v>
      </c>
      <c r="S240">
        <f t="shared" si="962"/>
        <v>-104.5873840340635</v>
      </c>
      <c r="T240">
        <f t="shared" si="963"/>
        <v>-0.10458738403406351</v>
      </c>
    </row>
    <row r="241" spans="1:20" x14ac:dyDescent="0.25">
      <c r="A241" s="5">
        <v>44352</v>
      </c>
      <c r="B241">
        <v>9.7219999999999995</v>
      </c>
      <c r="C241">
        <v>10.170999999999999</v>
      </c>
      <c r="D241">
        <v>8.9120000000000008</v>
      </c>
      <c r="E241">
        <v>9.3249999999999993</v>
      </c>
      <c r="F241">
        <v>591705.93700000003</v>
      </c>
      <c r="G241">
        <v>0</v>
      </c>
      <c r="L241" t="s">
        <v>7</v>
      </c>
      <c r="M241" t="s">
        <v>7</v>
      </c>
      <c r="N241" t="s">
        <v>7</v>
      </c>
      <c r="P241">
        <f t="shared" si="959"/>
        <v>-0.34392374900715023</v>
      </c>
      <c r="Q241">
        <f t="shared" si="960"/>
        <v>-203501.72416282864</v>
      </c>
      <c r="R241">
        <f t="shared" si="961"/>
        <v>-10455795.944125861</v>
      </c>
      <c r="S241">
        <f t="shared" si="962"/>
        <v>-104.5579594412586</v>
      </c>
      <c r="T241">
        <f t="shared" si="963"/>
        <v>-0.1045579594412586</v>
      </c>
    </row>
    <row r="242" spans="1:20" x14ac:dyDescent="0.25">
      <c r="A242" s="5">
        <v>44351</v>
      </c>
      <c r="B242">
        <v>10.945</v>
      </c>
      <c r="C242">
        <v>10.997</v>
      </c>
      <c r="D242">
        <v>9.2550000000000008</v>
      </c>
      <c r="E242">
        <v>9.7040000000000006</v>
      </c>
      <c r="F242">
        <v>623288.49699999997</v>
      </c>
      <c r="G242">
        <v>0</v>
      </c>
      <c r="L242" t="s">
        <v>7</v>
      </c>
      <c r="M242" t="s">
        <v>7</v>
      </c>
      <c r="N242" t="s">
        <v>7</v>
      </c>
      <c r="P242">
        <f t="shared" si="959"/>
        <v>-0.48450057405281277</v>
      </c>
      <c r="Q242">
        <f t="shared" si="960"/>
        <v>-301983.63459701487</v>
      </c>
      <c r="R242">
        <f t="shared" si="961"/>
        <v>-10252294.219963033</v>
      </c>
      <c r="S242">
        <f t="shared" si="962"/>
        <v>-102.52294219963032</v>
      </c>
      <c r="T242">
        <f t="shared" si="963"/>
        <v>-0.10252294219963032</v>
      </c>
    </row>
    <row r="243" spans="1:20" x14ac:dyDescent="0.25">
      <c r="A243" s="5">
        <v>44350</v>
      </c>
      <c r="B243">
        <v>10.851000000000001</v>
      </c>
      <c r="C243">
        <v>11.855</v>
      </c>
      <c r="D243">
        <v>10.763999999999999</v>
      </c>
      <c r="E243">
        <v>10.945</v>
      </c>
      <c r="F243">
        <v>601790.62100000004</v>
      </c>
      <c r="G243">
        <v>0</v>
      </c>
      <c r="L243" t="s">
        <v>8</v>
      </c>
      <c r="M243" t="s">
        <v>8</v>
      </c>
      <c r="N243" t="s">
        <v>7</v>
      </c>
      <c r="P243">
        <f t="shared" si="959"/>
        <v>-0.66819431714023692</v>
      </c>
      <c r="Q243">
        <f t="shared" si="960"/>
        <v>-402113.07306049415</v>
      </c>
      <c r="R243">
        <f t="shared" si="961"/>
        <v>-9950310.5853660181</v>
      </c>
      <c r="S243">
        <f t="shared" si="962"/>
        <v>-99.503105853660188</v>
      </c>
      <c r="T243">
        <f t="shared" si="963"/>
        <v>-9.9503105853660193E-2</v>
      </c>
    </row>
    <row r="244" spans="1:20" x14ac:dyDescent="0.25">
      <c r="A244" s="5">
        <v>44349</v>
      </c>
      <c r="B244">
        <v>10.192</v>
      </c>
      <c r="C244">
        <v>11.34</v>
      </c>
      <c r="D244">
        <v>9.8569999999999993</v>
      </c>
      <c r="E244">
        <v>10.837999999999999</v>
      </c>
      <c r="F244">
        <v>577769.03200000001</v>
      </c>
      <c r="G244">
        <v>0</v>
      </c>
      <c r="L244" t="s">
        <v>7</v>
      </c>
      <c r="M244" t="s">
        <v>7</v>
      </c>
      <c r="N244" t="s">
        <v>7</v>
      </c>
      <c r="P244">
        <f t="shared" si="959"/>
        <v>0.32299393122049835</v>
      </c>
      <c r="Q244">
        <f t="shared" si="960"/>
        <v>186615.8909831419</v>
      </c>
      <c r="R244">
        <f t="shared" si="961"/>
        <v>-9548197.5123055242</v>
      </c>
      <c r="S244">
        <f t="shared" si="962"/>
        <v>-95.481975123055236</v>
      </c>
      <c r="T244">
        <f t="shared" si="963"/>
        <v>-9.5481975123055229E-2</v>
      </c>
    </row>
    <row r="245" spans="1:20" x14ac:dyDescent="0.25">
      <c r="A245" s="5">
        <v>44348</v>
      </c>
      <c r="B245">
        <v>11.135</v>
      </c>
      <c r="C245">
        <v>11.5</v>
      </c>
      <c r="D245">
        <v>10</v>
      </c>
      <c r="E245">
        <v>10.192</v>
      </c>
      <c r="F245">
        <v>614887.18700000003</v>
      </c>
      <c r="G245">
        <v>0</v>
      </c>
      <c r="L245" t="s">
        <v>8</v>
      </c>
      <c r="M245" t="s">
        <v>8</v>
      </c>
      <c r="N245" t="s">
        <v>7</v>
      </c>
      <c r="P245">
        <f t="shared" si="959"/>
        <v>-0.74399999999999977</v>
      </c>
      <c r="Q245">
        <f t="shared" si="960"/>
        <v>-457476.06712799991</v>
      </c>
      <c r="R245">
        <f t="shared" si="961"/>
        <v>-9734813.4032886662</v>
      </c>
      <c r="S245">
        <f t="shared" si="962"/>
        <v>-97.348134032886662</v>
      </c>
      <c r="T245">
        <f t="shared" si="963"/>
        <v>-9.7348134032886668E-2</v>
      </c>
    </row>
    <row r="246" spans="1:20" x14ac:dyDescent="0.25">
      <c r="A246" s="5">
        <v>44347</v>
      </c>
      <c r="B246">
        <v>9.173</v>
      </c>
      <c r="C246">
        <v>11.225</v>
      </c>
      <c r="D246">
        <v>8.6760000000000002</v>
      </c>
      <c r="E246">
        <v>11.086</v>
      </c>
      <c r="F246">
        <v>789717.14199999999</v>
      </c>
      <c r="G246">
        <v>0</v>
      </c>
      <c r="L246" t="s">
        <v>8</v>
      </c>
      <c r="M246" t="s">
        <v>8</v>
      </c>
      <c r="N246" t="s">
        <v>7</v>
      </c>
      <c r="P246">
        <f t="shared" si="959"/>
        <v>0.89093762259709741</v>
      </c>
      <c r="Q246">
        <f t="shared" si="960"/>
        <v>703588.71301765437</v>
      </c>
      <c r="R246">
        <f t="shared" si="961"/>
        <v>-9277337.3361606654</v>
      </c>
      <c r="S246">
        <f t="shared" si="962"/>
        <v>-92.773373361606659</v>
      </c>
      <c r="T246">
        <f t="shared" si="963"/>
        <v>-9.2773373361606654E-2</v>
      </c>
    </row>
    <row r="247" spans="1:20" x14ac:dyDescent="0.25">
      <c r="A247" s="5">
        <v>44346</v>
      </c>
      <c r="B247">
        <v>8.8670000000000009</v>
      </c>
      <c r="C247">
        <v>9.8989999999999991</v>
      </c>
      <c r="D247">
        <v>8.2050000000000001</v>
      </c>
      <c r="E247">
        <v>9.1820000000000004</v>
      </c>
      <c r="F247">
        <v>441403.179</v>
      </c>
      <c r="G247">
        <v>0</v>
      </c>
      <c r="L247" t="s">
        <v>8</v>
      </c>
      <c r="M247" t="s">
        <v>7</v>
      </c>
      <c r="N247" t="s">
        <v>7</v>
      </c>
      <c r="P247">
        <f t="shared" si="959"/>
        <v>0.15348288075560904</v>
      </c>
      <c r="Q247">
        <f t="shared" si="960"/>
        <v>67747.831487603748</v>
      </c>
      <c r="R247">
        <f t="shared" si="961"/>
        <v>-9980926.0491783191</v>
      </c>
      <c r="S247">
        <f t="shared" si="962"/>
        <v>-99.809260491783192</v>
      </c>
      <c r="T247">
        <f t="shared" si="963"/>
        <v>-9.9809260491783194E-2</v>
      </c>
    </row>
    <row r="248" spans="1:20" x14ac:dyDescent="0.25">
      <c r="A248" s="5">
        <v>44345</v>
      </c>
      <c r="B248">
        <v>10.007</v>
      </c>
      <c r="C248">
        <v>10.425000000000001</v>
      </c>
      <c r="D248">
        <v>8.2989999999999995</v>
      </c>
      <c r="E248">
        <v>8.8670000000000009</v>
      </c>
      <c r="F248">
        <v>570669.14800000004</v>
      </c>
      <c r="G248">
        <v>0</v>
      </c>
      <c r="L248" t="s">
        <v>7</v>
      </c>
      <c r="M248" t="s">
        <v>7</v>
      </c>
      <c r="N248" t="s">
        <v>7</v>
      </c>
      <c r="P248">
        <f t="shared" si="959"/>
        <v>-0.46566321730950039</v>
      </c>
      <c r="Q248">
        <f t="shared" si="960"/>
        <v>-265739.63147695147</v>
      </c>
      <c r="R248">
        <f t="shared" si="961"/>
        <v>-10048673.880665923</v>
      </c>
      <c r="S248">
        <f t="shared" si="962"/>
        <v>-100.48673880665922</v>
      </c>
      <c r="T248">
        <f t="shared" si="963"/>
        <v>-0.10048673880665922</v>
      </c>
    </row>
    <row r="249" spans="1:20" x14ac:dyDescent="0.25">
      <c r="A249" s="5">
        <v>44344</v>
      </c>
      <c r="B249">
        <v>11.659000000000001</v>
      </c>
      <c r="C249">
        <v>11.8</v>
      </c>
      <c r="D249">
        <v>9.5250000000000004</v>
      </c>
      <c r="E249">
        <v>10.028</v>
      </c>
      <c r="F249">
        <v>775631.09600000002</v>
      </c>
      <c r="G249">
        <v>0</v>
      </c>
      <c r="L249" t="s">
        <v>7</v>
      </c>
      <c r="M249" t="s">
        <v>7</v>
      </c>
      <c r="N249" t="s">
        <v>7</v>
      </c>
      <c r="P249">
        <f t="shared" si="959"/>
        <v>-0.55780219780219775</v>
      </c>
      <c r="Q249">
        <f t="shared" si="960"/>
        <v>-432648.73003252747</v>
      </c>
      <c r="R249">
        <f t="shared" si="961"/>
        <v>-9782934.2491889708</v>
      </c>
      <c r="S249">
        <f t="shared" si="962"/>
        <v>-97.829342491889705</v>
      </c>
      <c r="T249">
        <f t="shared" si="963"/>
        <v>-9.7829342491889709E-2</v>
      </c>
    </row>
    <row r="250" spans="1:20" x14ac:dyDescent="0.25">
      <c r="A250" s="5">
        <v>44343</v>
      </c>
      <c r="B250">
        <v>12.613</v>
      </c>
      <c r="C250">
        <v>12.63</v>
      </c>
      <c r="D250">
        <v>10.895</v>
      </c>
      <c r="E250">
        <v>11.691000000000001</v>
      </c>
      <c r="F250">
        <v>1133641.7830000001</v>
      </c>
      <c r="G250">
        <v>0</v>
      </c>
      <c r="L250" t="s">
        <v>7</v>
      </c>
      <c r="M250" t="s">
        <v>7</v>
      </c>
      <c r="N250" t="s">
        <v>8</v>
      </c>
      <c r="P250">
        <f t="shared" si="959"/>
        <v>-8.2420749279538214E-2</v>
      </c>
      <c r="Q250">
        <f t="shared" si="960"/>
        <v>-93435.605169451665</v>
      </c>
      <c r="R250">
        <f t="shared" si="961"/>
        <v>-9350285.519156443</v>
      </c>
      <c r="S250">
        <f t="shared" si="962"/>
        <v>-93.502855191564436</v>
      </c>
      <c r="T250">
        <f t="shared" si="963"/>
        <v>-9.3502855191564441E-2</v>
      </c>
    </row>
    <row r="251" spans="1:20" x14ac:dyDescent="0.25">
      <c r="A251" s="5">
        <v>44342</v>
      </c>
      <c r="B251">
        <v>10.057</v>
      </c>
      <c r="C251">
        <v>14.464</v>
      </c>
      <c r="D251">
        <v>9.6590000000000007</v>
      </c>
      <c r="E251">
        <v>12.643000000000001</v>
      </c>
      <c r="F251">
        <v>3053348.5129999998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0.24203954214360049</v>
      </c>
      <c r="Q251">
        <f t="shared" si="960"/>
        <v>739031.07609136333</v>
      </c>
      <c r="R251">
        <f t="shared" si="961"/>
        <v>-9256849.9139869921</v>
      </c>
      <c r="S251">
        <f t="shared" si="962"/>
        <v>-92.568499139869914</v>
      </c>
      <c r="T251">
        <f t="shared" si="963"/>
        <v>-9.256849913986992E-2</v>
      </c>
    </row>
    <row r="252" spans="1:20" x14ac:dyDescent="0.25">
      <c r="A252" s="5">
        <v>44341</v>
      </c>
      <c r="B252">
        <v>10.798999999999999</v>
      </c>
      <c r="C252">
        <v>12</v>
      </c>
      <c r="D252">
        <v>9.0850000000000009</v>
      </c>
      <c r="E252">
        <v>10.050000000000001</v>
      </c>
      <c r="F252">
        <v>1969035.473</v>
      </c>
      <c r="G252">
        <v>0</v>
      </c>
      <c r="L252" t="s">
        <v>7</v>
      </c>
      <c r="M252" t="s">
        <v>7</v>
      </c>
      <c r="N252" t="s">
        <v>8</v>
      </c>
      <c r="P252">
        <f t="shared" si="959"/>
        <v>-0.33790737564322459</v>
      </c>
      <c r="Q252">
        <f t="shared" si="960"/>
        <v>-665351.60922984546</v>
      </c>
      <c r="R252">
        <f t="shared" si="961"/>
        <v>-9995880.9900783561</v>
      </c>
      <c r="S252">
        <f t="shared" si="962"/>
        <v>-99.958809900783564</v>
      </c>
      <c r="T252">
        <f t="shared" si="963"/>
        <v>-9.9958809900783568E-2</v>
      </c>
    </row>
    <row r="253" spans="1:20" x14ac:dyDescent="0.25">
      <c r="A253" s="5">
        <v>44340</v>
      </c>
      <c r="B253">
        <v>10.851000000000001</v>
      </c>
      <c r="C253">
        <v>12.862</v>
      </c>
      <c r="D253">
        <v>9.68</v>
      </c>
      <c r="E253">
        <v>10.798999999999999</v>
      </c>
      <c r="F253">
        <v>5708561.9119999995</v>
      </c>
      <c r="G253">
        <v>0</v>
      </c>
      <c r="L253" t="s">
        <v>7</v>
      </c>
      <c r="M253" t="s">
        <v>7</v>
      </c>
      <c r="N253" t="s">
        <v>8</v>
      </c>
      <c r="P253">
        <f t="shared" si="959"/>
        <v>-0.29666876178504109</v>
      </c>
      <c r="Q253">
        <f t="shared" si="960"/>
        <v>-1693551.9940062866</v>
      </c>
      <c r="R253">
        <f t="shared" si="961"/>
        <v>-9330529.3808485102</v>
      </c>
      <c r="S253">
        <f t="shared" si="962"/>
        <v>-93.305293808485104</v>
      </c>
      <c r="T253">
        <f t="shared" si="963"/>
        <v>-9.330529380848511E-2</v>
      </c>
    </row>
    <row r="254" spans="1:20" x14ac:dyDescent="0.25">
      <c r="A254" s="5">
        <v>44339</v>
      </c>
      <c r="B254">
        <v>7.843</v>
      </c>
      <c r="C254">
        <v>13.766999999999999</v>
      </c>
      <c r="D254">
        <v>5.6319999999999997</v>
      </c>
      <c r="E254">
        <v>10.877000000000001</v>
      </c>
      <c r="F254">
        <v>4007735.03</v>
      </c>
      <c r="G254">
        <v>0</v>
      </c>
      <c r="L254" t="s">
        <v>8</v>
      </c>
      <c r="M254" t="s">
        <v>8</v>
      </c>
      <c r="N254" t="s">
        <v>7</v>
      </c>
      <c r="P254">
        <f t="shared" si="959"/>
        <v>0.28948985863552579</v>
      </c>
      <c r="Q254">
        <f t="shared" si="960"/>
        <v>1160198.6472833445</v>
      </c>
      <c r="R254">
        <f t="shared" si="961"/>
        <v>-7636977.3868422238</v>
      </c>
      <c r="S254">
        <f t="shared" si="962"/>
        <v>-76.369773868422243</v>
      </c>
      <c r="T254">
        <f t="shared" si="963"/>
        <v>-7.6369773868422239E-2</v>
      </c>
    </row>
    <row r="255" spans="1:20" x14ac:dyDescent="0.25">
      <c r="A255" s="5">
        <v>44338</v>
      </c>
      <c r="B255">
        <v>8.6159999999999997</v>
      </c>
      <c r="C255">
        <v>8.9860000000000007</v>
      </c>
      <c r="D255">
        <v>7.431</v>
      </c>
      <c r="E255">
        <v>7.8449999999999998</v>
      </c>
      <c r="F255">
        <v>554225.05599999998</v>
      </c>
      <c r="G255">
        <v>0</v>
      </c>
      <c r="L255" t="s">
        <v>8</v>
      </c>
      <c r="M255" t="s">
        <v>8</v>
      </c>
      <c r="N255" t="s">
        <v>7</v>
      </c>
      <c r="P255">
        <f t="shared" si="959"/>
        <v>-0.46752411575562758</v>
      </c>
      <c r="Q255">
        <f t="shared" si="960"/>
        <v>-259113.57923601317</v>
      </c>
      <c r="R255">
        <f t="shared" si="961"/>
        <v>-8797176.0341255683</v>
      </c>
      <c r="S255">
        <f t="shared" si="962"/>
        <v>-87.971760341255688</v>
      </c>
      <c r="T255">
        <f t="shared" si="963"/>
        <v>-8.7971760341255686E-2</v>
      </c>
    </row>
    <row r="256" spans="1:20" x14ac:dyDescent="0.25">
      <c r="A256" s="5">
        <v>44337</v>
      </c>
      <c r="B256">
        <v>10.605</v>
      </c>
      <c r="C256">
        <v>11.199</v>
      </c>
      <c r="D256">
        <v>7.2640000000000002</v>
      </c>
      <c r="E256">
        <v>8.6460000000000008</v>
      </c>
      <c r="F256">
        <v>1001021.027</v>
      </c>
      <c r="G256">
        <v>0</v>
      </c>
      <c r="L256" t="s">
        <v>7</v>
      </c>
      <c r="M256" t="s">
        <v>7</v>
      </c>
      <c r="N256" t="s">
        <v>7</v>
      </c>
      <c r="P256">
        <f t="shared" si="959"/>
        <v>-0.29758576874205811</v>
      </c>
      <c r="Q256">
        <f t="shared" si="960"/>
        <v>-297889.61184675951</v>
      </c>
      <c r="R256">
        <f t="shared" si="961"/>
        <v>-8538062.4548895545</v>
      </c>
      <c r="S256">
        <f t="shared" si="962"/>
        <v>-85.38062454889554</v>
      </c>
      <c r="T256">
        <f t="shared" si="963"/>
        <v>-8.5380624548895542E-2</v>
      </c>
    </row>
    <row r="257" spans="1:20" x14ac:dyDescent="0.25">
      <c r="A257" s="5">
        <v>44336</v>
      </c>
      <c r="B257">
        <v>9.82</v>
      </c>
      <c r="C257">
        <v>11.907999999999999</v>
      </c>
      <c r="D257">
        <v>8.7460000000000004</v>
      </c>
      <c r="E257">
        <v>10.58</v>
      </c>
      <c r="F257">
        <v>1252102.6710000001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0.16002530044275787</v>
      </c>
      <c r="Q257">
        <f t="shared" si="960"/>
        <v>200368.10611195464</v>
      </c>
      <c r="R257">
        <f t="shared" si="961"/>
        <v>-8240172.8430427946</v>
      </c>
      <c r="S257">
        <f t="shared" si="962"/>
        <v>-82.401728430427951</v>
      </c>
      <c r="T257">
        <f t="shared" si="963"/>
        <v>-8.2401728430427951E-2</v>
      </c>
    </row>
    <row r="258" spans="1:20" x14ac:dyDescent="0.25">
      <c r="A258" s="5">
        <v>44335</v>
      </c>
      <c r="B258">
        <v>17.690000000000001</v>
      </c>
      <c r="C258">
        <v>17.981999999999999</v>
      </c>
      <c r="D258">
        <v>7.6719999999999997</v>
      </c>
      <c r="E258">
        <v>9.827</v>
      </c>
      <c r="F258">
        <v>1612775.4169999999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-0.58195926285160038</v>
      </c>
      <c r="Q258">
        <f t="shared" si="960"/>
        <v>-938569.59282250237</v>
      </c>
      <c r="R258">
        <f t="shared" si="961"/>
        <v>-8440540.9491547495</v>
      </c>
      <c r="S258">
        <f t="shared" si="962"/>
        <v>-84.405409491547502</v>
      </c>
      <c r="T258">
        <f t="shared" si="963"/>
        <v>-8.4405409491547498E-2</v>
      </c>
    </row>
    <row r="259" spans="1:20" x14ac:dyDescent="0.25">
      <c r="A259" s="5">
        <v>44334</v>
      </c>
      <c r="B259">
        <v>17.332999999999998</v>
      </c>
      <c r="C259">
        <v>18.817</v>
      </c>
      <c r="D259">
        <v>17.056999999999999</v>
      </c>
      <c r="E259">
        <v>17.692</v>
      </c>
      <c r="F259">
        <v>362443.87699999998</v>
      </c>
      <c r="G259">
        <v>0</v>
      </c>
      <c r="L259" t="s">
        <v>8</v>
      </c>
      <c r="M259" t="s">
        <v>7</v>
      </c>
      <c r="N259" t="s">
        <v>7</v>
      </c>
      <c r="P259">
        <f t="shared" si="959"/>
        <v>-0.27840909090908977</v>
      </c>
      <c r="Q259">
        <f t="shared" si="960"/>
        <v>-100907.67030113595</v>
      </c>
      <c r="R259">
        <f t="shared" si="961"/>
        <v>-7501971.3563322481</v>
      </c>
      <c r="S259">
        <f t="shared" si="962"/>
        <v>-75.019713563322483</v>
      </c>
      <c r="T259">
        <f t="shared" si="963"/>
        <v>-7.5019713563322488E-2</v>
      </c>
    </row>
    <row r="260" spans="1:20" x14ac:dyDescent="0.25">
      <c r="A260" s="5">
        <v>44333</v>
      </c>
      <c r="B260">
        <v>18.914999999999999</v>
      </c>
      <c r="C260">
        <v>18.954999999999998</v>
      </c>
      <c r="D260">
        <v>16.722999999999999</v>
      </c>
      <c r="E260">
        <v>17.309999999999999</v>
      </c>
      <c r="F260">
        <v>280753.94900000002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-0.47401433691756278</v>
      </c>
      <c r="Q260">
        <f t="shared" si="960"/>
        <v>-133081.39697222225</v>
      </c>
      <c r="R260">
        <f t="shared" si="961"/>
        <v>-7401063.6860311124</v>
      </c>
      <c r="S260">
        <f t="shared" si="962"/>
        <v>-74.010636860311124</v>
      </c>
      <c r="T260">
        <f t="shared" si="963"/>
        <v>-7.4010636860311119E-2</v>
      </c>
    </row>
    <row r="261" spans="1:20" x14ac:dyDescent="0.25">
      <c r="A261" s="5">
        <v>44332</v>
      </c>
      <c r="B261">
        <v>19.692</v>
      </c>
      <c r="C261">
        <v>21.204000000000001</v>
      </c>
      <c r="D261">
        <v>17.8</v>
      </c>
      <c r="E261">
        <v>18.908000000000001</v>
      </c>
      <c r="F261">
        <v>333944.48599999998</v>
      </c>
      <c r="G261">
        <v>0</v>
      </c>
      <c r="L261" t="s">
        <v>7</v>
      </c>
      <c r="M261" t="s">
        <v>7</v>
      </c>
      <c r="N261" t="s">
        <v>7</v>
      </c>
      <c r="P261">
        <f t="shared" si="959"/>
        <v>-0.34900117508813128</v>
      </c>
      <c r="Q261">
        <f t="shared" si="960"/>
        <v>-116547.018028202</v>
      </c>
      <c r="R261">
        <f t="shared" si="961"/>
        <v>-7267982.2890588902</v>
      </c>
      <c r="S261">
        <f t="shared" si="962"/>
        <v>-72.679822890588909</v>
      </c>
      <c r="T261">
        <f t="shared" si="963"/>
        <v>-7.2679822890588913E-2</v>
      </c>
    </row>
    <row r="262" spans="1:20" x14ac:dyDescent="0.25">
      <c r="A262" s="5">
        <v>44331</v>
      </c>
      <c r="B262">
        <v>22.219000000000001</v>
      </c>
      <c r="C262">
        <v>22.542999999999999</v>
      </c>
      <c r="D262">
        <v>19.494</v>
      </c>
      <c r="E262">
        <v>19.661999999999999</v>
      </c>
      <c r="F262">
        <v>296027.36099999998</v>
      </c>
      <c r="G262">
        <v>0</v>
      </c>
      <c r="L262" t="s">
        <v>7</v>
      </c>
      <c r="M262" t="s">
        <v>7</v>
      </c>
      <c r="N262" t="s">
        <v>7</v>
      </c>
      <c r="P262">
        <f t="shared" ref="P262:P325" si="964">IF(C262=D262,0,((E262-D262)-(C262-E262))/(C262-D262))</f>
        <v>-0.88979993440472338</v>
      </c>
      <c r="Q262">
        <f t="shared" ref="Q262:Q325" si="965">F262*P262</f>
        <v>-263405.12639980332</v>
      </c>
      <c r="R262">
        <f t="shared" ref="R262:R325" si="966">R263+Q262</f>
        <v>-7151435.2710306877</v>
      </c>
      <c r="S262">
        <f t="shared" ref="S262:S325" si="967">R262/100000</f>
        <v>-71.514352710306881</v>
      </c>
      <c r="T262">
        <f t="shared" ref="T262:T325" si="968">S262/1000</f>
        <v>-7.1514352710306886E-2</v>
      </c>
    </row>
    <row r="263" spans="1:20" x14ac:dyDescent="0.25">
      <c r="A263" s="5">
        <v>44330</v>
      </c>
      <c r="B263">
        <v>20.123000000000001</v>
      </c>
      <c r="C263">
        <v>23.797000000000001</v>
      </c>
      <c r="D263">
        <v>19.835000000000001</v>
      </c>
      <c r="E263">
        <v>22.22</v>
      </c>
      <c r="F263">
        <v>525273.24800000002</v>
      </c>
      <c r="G263">
        <v>0</v>
      </c>
      <c r="L263" t="s">
        <v>8</v>
      </c>
      <c r="M263" t="s">
        <v>8</v>
      </c>
      <c r="N263" t="s">
        <v>7</v>
      </c>
      <c r="P263">
        <f t="shared" si="964"/>
        <v>0.20393740535083199</v>
      </c>
      <c r="Q263">
        <f t="shared" si="965"/>
        <v>107122.8632973241</v>
      </c>
      <c r="R263">
        <f t="shared" si="966"/>
        <v>-6888030.1446308848</v>
      </c>
      <c r="S263">
        <f t="shared" si="967"/>
        <v>-68.880301446308849</v>
      </c>
      <c r="T263">
        <f t="shared" si="968"/>
        <v>-6.8880301446308842E-2</v>
      </c>
    </row>
    <row r="264" spans="1:20" x14ac:dyDescent="0.25">
      <c r="A264" s="5">
        <v>44329</v>
      </c>
      <c r="B264">
        <v>20.375</v>
      </c>
      <c r="C264">
        <v>21.977</v>
      </c>
      <c r="D264">
        <v>18.8</v>
      </c>
      <c r="E264">
        <v>20.178000000000001</v>
      </c>
      <c r="F264">
        <v>419746.35200000001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-0.13251495121183487</v>
      </c>
      <c r="Q264">
        <f t="shared" si="965"/>
        <v>-55622.667356625672</v>
      </c>
      <c r="R264">
        <f t="shared" si="966"/>
        <v>-6995153.0079282084</v>
      </c>
      <c r="S264">
        <f t="shared" si="967"/>
        <v>-69.95153007928208</v>
      </c>
      <c r="T264">
        <f t="shared" si="968"/>
        <v>-6.9951530079282079E-2</v>
      </c>
    </row>
    <row r="265" spans="1:20" x14ac:dyDescent="0.25">
      <c r="A265" s="5">
        <v>44328</v>
      </c>
      <c r="B265">
        <v>22.8</v>
      </c>
      <c r="C265">
        <v>25.035</v>
      </c>
      <c r="D265">
        <v>19.827000000000002</v>
      </c>
      <c r="E265">
        <v>20.375</v>
      </c>
      <c r="F265">
        <v>424400.48200000002</v>
      </c>
      <c r="G265">
        <v>0</v>
      </c>
      <c r="L265" t="s">
        <v>8</v>
      </c>
      <c r="M265" t="s">
        <v>8</v>
      </c>
      <c r="N265" t="s">
        <v>7</v>
      </c>
      <c r="P265">
        <f t="shared" si="964"/>
        <v>-0.78955453149001598</v>
      </c>
      <c r="Q265">
        <f t="shared" si="965"/>
        <v>-335087.32372964697</v>
      </c>
      <c r="R265">
        <f t="shared" si="966"/>
        <v>-6939530.3405715823</v>
      </c>
      <c r="S265">
        <f t="shared" si="967"/>
        <v>-69.395303405715822</v>
      </c>
      <c r="T265">
        <f t="shared" si="968"/>
        <v>-6.9395303405715827E-2</v>
      </c>
    </row>
    <row r="266" spans="1:20" x14ac:dyDescent="0.25">
      <c r="A266" s="5">
        <v>44327</v>
      </c>
      <c r="B266">
        <v>21.684000000000001</v>
      </c>
      <c r="C266">
        <v>23.015000000000001</v>
      </c>
      <c r="D266">
        <v>20.766999999999999</v>
      </c>
      <c r="E266">
        <v>22.859000000000002</v>
      </c>
      <c r="F266">
        <v>206066.47899999999</v>
      </c>
      <c r="G266">
        <v>0</v>
      </c>
      <c r="L266" t="s">
        <v>8</v>
      </c>
      <c r="M266" t="s">
        <v>7</v>
      </c>
      <c r="N266" t="s">
        <v>7</v>
      </c>
      <c r="P266">
        <f t="shared" si="964"/>
        <v>0.8612099644128125</v>
      </c>
      <c r="Q266">
        <f t="shared" si="965"/>
        <v>177466.50504626357</v>
      </c>
      <c r="R266">
        <f t="shared" si="966"/>
        <v>-6604443.016841935</v>
      </c>
      <c r="S266">
        <f t="shared" si="967"/>
        <v>-66.044430168419353</v>
      </c>
      <c r="T266">
        <f t="shared" si="968"/>
        <v>-6.6044430168419349E-2</v>
      </c>
    </row>
    <row r="267" spans="1:20" x14ac:dyDescent="0.25">
      <c r="A267" s="5">
        <v>44326</v>
      </c>
      <c r="B267">
        <v>24.047000000000001</v>
      </c>
      <c r="C267">
        <v>24.509</v>
      </c>
      <c r="D267">
        <v>20</v>
      </c>
      <c r="E267">
        <v>21.619</v>
      </c>
      <c r="F267">
        <v>260098.946</v>
      </c>
      <c r="G267">
        <v>0</v>
      </c>
      <c r="L267" t="s">
        <v>7</v>
      </c>
      <c r="M267" t="s">
        <v>7</v>
      </c>
      <c r="N267" t="s">
        <v>7</v>
      </c>
      <c r="P267">
        <f t="shared" si="964"/>
        <v>-0.28188068307828801</v>
      </c>
      <c r="Q267">
        <f t="shared" si="965"/>
        <v>-73316.868566422752</v>
      </c>
      <c r="R267">
        <f t="shared" si="966"/>
        <v>-6781909.5218881983</v>
      </c>
      <c r="S267">
        <f t="shared" si="967"/>
        <v>-67.819095218881984</v>
      </c>
      <c r="T267">
        <f t="shared" si="968"/>
        <v>-6.7819095218881978E-2</v>
      </c>
    </row>
    <row r="268" spans="1:20" x14ac:dyDescent="0.25">
      <c r="A268" s="5">
        <v>44325</v>
      </c>
      <c r="B268">
        <v>24.597999999999999</v>
      </c>
      <c r="C268">
        <v>24.712</v>
      </c>
      <c r="D268">
        <v>22.295000000000002</v>
      </c>
      <c r="E268">
        <v>24.068000000000001</v>
      </c>
      <c r="F268">
        <v>263310.43300000002</v>
      </c>
      <c r="G268">
        <v>0</v>
      </c>
      <c r="L268" t="s">
        <v>7</v>
      </c>
      <c r="M268" t="s">
        <v>7</v>
      </c>
      <c r="N268" t="s">
        <v>7</v>
      </c>
      <c r="P268">
        <f t="shared" si="964"/>
        <v>0.46710798510550361</v>
      </c>
      <c r="Q268">
        <f t="shared" si="965"/>
        <v>122994.40581588772</v>
      </c>
      <c r="R268">
        <f t="shared" si="966"/>
        <v>-6708592.6533217756</v>
      </c>
      <c r="S268">
        <f t="shared" si="967"/>
        <v>-67.085926533217759</v>
      </c>
      <c r="T268">
        <f t="shared" si="968"/>
        <v>-6.7085926533217752E-2</v>
      </c>
    </row>
    <row r="269" spans="1:20" x14ac:dyDescent="0.25">
      <c r="A269" s="5">
        <v>44324</v>
      </c>
      <c r="B269">
        <v>24.777999999999999</v>
      </c>
      <c r="C269">
        <v>25.405999999999999</v>
      </c>
      <c r="D269">
        <v>24.260999999999999</v>
      </c>
      <c r="E269">
        <v>24.582999999999998</v>
      </c>
      <c r="F269">
        <v>185635.51</v>
      </c>
      <c r="G269">
        <v>0</v>
      </c>
      <c r="L269" t="s">
        <v>8</v>
      </c>
      <c r="M269" t="s">
        <v>7</v>
      </c>
      <c r="N269" t="s">
        <v>8</v>
      </c>
      <c r="P269">
        <f t="shared" si="964"/>
        <v>-0.43755458515283968</v>
      </c>
      <c r="Q269">
        <f t="shared" si="965"/>
        <v>-81225.668567685832</v>
      </c>
      <c r="R269">
        <f t="shared" si="966"/>
        <v>-6831587.0591376629</v>
      </c>
      <c r="S269">
        <f t="shared" si="967"/>
        <v>-68.315870591376623</v>
      </c>
      <c r="T269">
        <f t="shared" si="968"/>
        <v>-6.8315870591376629E-2</v>
      </c>
    </row>
    <row r="270" spans="1:20" x14ac:dyDescent="0.25">
      <c r="A270" s="5">
        <v>44323</v>
      </c>
      <c r="B270">
        <v>25.036000000000001</v>
      </c>
      <c r="C270">
        <v>26.228999999999999</v>
      </c>
      <c r="D270">
        <v>23.76</v>
      </c>
      <c r="E270">
        <v>24.777999999999999</v>
      </c>
      <c r="F270">
        <v>379638.533</v>
      </c>
      <c r="G270">
        <v>0</v>
      </c>
      <c r="L270" t="s">
        <v>7</v>
      </c>
      <c r="M270" t="s">
        <v>7</v>
      </c>
      <c r="N270" t="s">
        <v>8</v>
      </c>
      <c r="P270">
        <f t="shared" si="964"/>
        <v>-0.17537464560550983</v>
      </c>
      <c r="Q270">
        <f t="shared" si="965"/>
        <v>-66578.973183070644</v>
      </c>
      <c r="R270">
        <f t="shared" si="966"/>
        <v>-6750361.3905699775</v>
      </c>
      <c r="S270">
        <f t="shared" si="967"/>
        <v>-67.50361390569978</v>
      </c>
      <c r="T270">
        <f t="shared" si="968"/>
        <v>-6.7503613905699783E-2</v>
      </c>
    </row>
    <row r="271" spans="1:20" x14ac:dyDescent="0.25">
      <c r="A271" s="5">
        <v>44322</v>
      </c>
      <c r="B271">
        <v>27.001999999999999</v>
      </c>
      <c r="C271">
        <v>27.388999999999999</v>
      </c>
      <c r="D271">
        <v>24.492000000000001</v>
      </c>
      <c r="E271">
        <v>25.029</v>
      </c>
      <c r="F271">
        <v>241790.486</v>
      </c>
      <c r="G271">
        <v>0</v>
      </c>
      <c r="L271" t="s">
        <v>7</v>
      </c>
      <c r="M271" t="s">
        <v>7</v>
      </c>
      <c r="N271" t="s">
        <v>8</v>
      </c>
      <c r="P271">
        <f t="shared" si="964"/>
        <v>-0.62927166033828141</v>
      </c>
      <c r="Q271">
        <f t="shared" si="965"/>
        <v>-152151.90057922</v>
      </c>
      <c r="R271">
        <f t="shared" si="966"/>
        <v>-6683782.4173869072</v>
      </c>
      <c r="S271">
        <f t="shared" si="967"/>
        <v>-66.837824173869066</v>
      </c>
      <c r="T271">
        <f t="shared" si="968"/>
        <v>-6.6837824173869062E-2</v>
      </c>
    </row>
    <row r="272" spans="1:20" x14ac:dyDescent="0.25">
      <c r="A272" s="5">
        <v>44321</v>
      </c>
      <c r="B272">
        <v>24.773</v>
      </c>
      <c r="C272">
        <v>27.597999999999999</v>
      </c>
      <c r="D272">
        <v>24.55</v>
      </c>
      <c r="E272">
        <v>26.977</v>
      </c>
      <c r="F272">
        <v>318671.17200000002</v>
      </c>
      <c r="G272">
        <v>0</v>
      </c>
      <c r="L272" t="s">
        <v>8</v>
      </c>
      <c r="M272" t="s">
        <v>7</v>
      </c>
      <c r="N272" t="s">
        <v>8</v>
      </c>
      <c r="P272">
        <f t="shared" si="964"/>
        <v>0.59251968503937069</v>
      </c>
      <c r="Q272">
        <f t="shared" si="965"/>
        <v>188818.94246456714</v>
      </c>
      <c r="R272">
        <f t="shared" si="966"/>
        <v>-6531630.5168076875</v>
      </c>
      <c r="S272">
        <f t="shared" si="967"/>
        <v>-65.31630516807688</v>
      </c>
      <c r="T272">
        <f t="shared" si="968"/>
        <v>-6.5316305168076877E-2</v>
      </c>
    </row>
    <row r="273" spans="1:20" x14ac:dyDescent="0.25">
      <c r="A273" s="5">
        <v>44320</v>
      </c>
      <c r="B273">
        <v>30.766999999999999</v>
      </c>
      <c r="C273">
        <v>31.47</v>
      </c>
      <c r="D273">
        <v>24.5</v>
      </c>
      <c r="E273">
        <v>24.771000000000001</v>
      </c>
      <c r="F273">
        <v>876595.92200000002</v>
      </c>
      <c r="G273">
        <v>0</v>
      </c>
      <c r="L273" t="s">
        <v>7</v>
      </c>
      <c r="M273" t="s">
        <v>7</v>
      </c>
      <c r="N273" t="s">
        <v>8</v>
      </c>
      <c r="P273">
        <f t="shared" si="964"/>
        <v>-0.92223816355810595</v>
      </c>
      <c r="Q273">
        <f t="shared" si="965"/>
        <v>-808430.21328780474</v>
      </c>
      <c r="R273">
        <f t="shared" si="966"/>
        <v>-6720449.4592722543</v>
      </c>
      <c r="S273">
        <f t="shared" si="967"/>
        <v>-67.20449459272254</v>
      </c>
      <c r="T273">
        <f t="shared" si="968"/>
        <v>-6.7204494592722541E-2</v>
      </c>
    </row>
    <row r="274" spans="1:20" x14ac:dyDescent="0.25">
      <c r="A274" s="5">
        <v>44319</v>
      </c>
      <c r="B274">
        <v>24.358000000000001</v>
      </c>
      <c r="C274">
        <v>31.785</v>
      </c>
      <c r="D274">
        <v>24.327999999999999</v>
      </c>
      <c r="E274">
        <v>30.766999999999999</v>
      </c>
      <c r="F274">
        <v>1001383.809</v>
      </c>
      <c r="G274">
        <v>0</v>
      </c>
      <c r="L274" t="s">
        <v>8</v>
      </c>
      <c r="M274" t="s">
        <v>8</v>
      </c>
      <c r="N274" t="s">
        <v>8</v>
      </c>
      <c r="P274">
        <f t="shared" si="964"/>
        <v>0.72696794957757793</v>
      </c>
      <c r="Q274">
        <f t="shared" si="965"/>
        <v>727973.93436891492</v>
      </c>
      <c r="R274">
        <f t="shared" si="966"/>
        <v>-5912019.2459844491</v>
      </c>
      <c r="S274">
        <f t="shared" si="967"/>
        <v>-59.120192459844489</v>
      </c>
      <c r="T274">
        <f t="shared" si="968"/>
        <v>-5.9120192459844491E-2</v>
      </c>
    </row>
    <row r="275" spans="1:20" x14ac:dyDescent="0.25">
      <c r="A275" s="5">
        <v>44318</v>
      </c>
      <c r="B275">
        <v>25.53</v>
      </c>
      <c r="C275">
        <v>25.673999999999999</v>
      </c>
      <c r="D275">
        <v>23.702000000000002</v>
      </c>
      <c r="E275">
        <v>24.35</v>
      </c>
      <c r="F275">
        <v>169694.39499999999</v>
      </c>
      <c r="G275">
        <v>0</v>
      </c>
      <c r="L275" t="s">
        <v>7</v>
      </c>
      <c r="M275" t="s">
        <v>7</v>
      </c>
      <c r="N275" t="s">
        <v>8</v>
      </c>
      <c r="P275">
        <f t="shared" si="964"/>
        <v>-0.3427991886409732</v>
      </c>
      <c r="Q275">
        <f t="shared" si="965"/>
        <v>-58171.100922920814</v>
      </c>
      <c r="R275">
        <f t="shared" si="966"/>
        <v>-6639993.180353364</v>
      </c>
      <c r="S275">
        <f t="shared" si="967"/>
        <v>-66.399931803533633</v>
      </c>
      <c r="T275">
        <f t="shared" si="968"/>
        <v>-6.6399931803533638E-2</v>
      </c>
    </row>
    <row r="276" spans="1:20" x14ac:dyDescent="0.25">
      <c r="A276" s="5">
        <v>44317</v>
      </c>
      <c r="B276">
        <v>25.37</v>
      </c>
      <c r="C276">
        <v>26.148</v>
      </c>
      <c r="D276">
        <v>24.501000000000001</v>
      </c>
      <c r="E276">
        <v>25.529</v>
      </c>
      <c r="F276">
        <v>168426.75899999999</v>
      </c>
      <c r="G276">
        <v>0</v>
      </c>
      <c r="L276" t="s">
        <v>7</v>
      </c>
      <c r="M276" t="s">
        <v>8</v>
      </c>
      <c r="N276" t="s">
        <v>8</v>
      </c>
      <c r="P276">
        <f t="shared" si="964"/>
        <v>0.24833029751062496</v>
      </c>
      <c r="Q276">
        <f t="shared" si="965"/>
        <v>41825.467171220327</v>
      </c>
      <c r="R276">
        <f t="shared" si="966"/>
        <v>-6581822.0794304432</v>
      </c>
      <c r="S276">
        <f t="shared" si="967"/>
        <v>-65.818220794304438</v>
      </c>
      <c r="T276">
        <f t="shared" si="968"/>
        <v>-6.5818220794304438E-2</v>
      </c>
    </row>
    <row r="277" spans="1:20" x14ac:dyDescent="0.25">
      <c r="A277" s="5">
        <v>44316</v>
      </c>
      <c r="B277">
        <v>24.81</v>
      </c>
      <c r="C277">
        <v>26.483000000000001</v>
      </c>
      <c r="D277">
        <v>24.28</v>
      </c>
      <c r="E277">
        <v>25.335999999999999</v>
      </c>
      <c r="F277">
        <v>235527.91699999999</v>
      </c>
      <c r="G277">
        <v>0</v>
      </c>
      <c r="L277" t="s">
        <v>7</v>
      </c>
      <c r="M277" t="s">
        <v>8</v>
      </c>
      <c r="N277" t="s">
        <v>8</v>
      </c>
      <c r="P277">
        <f t="shared" si="964"/>
        <v>-4.1307308216071113E-2</v>
      </c>
      <c r="Q277">
        <f t="shared" si="965"/>
        <v>-9729.024261008215</v>
      </c>
      <c r="R277">
        <f t="shared" si="966"/>
        <v>-6623647.5466016633</v>
      </c>
      <c r="S277">
        <f t="shared" si="967"/>
        <v>-66.236475466016628</v>
      </c>
      <c r="T277">
        <f t="shared" si="968"/>
        <v>-6.6236475466016631E-2</v>
      </c>
    </row>
    <row r="278" spans="1:20" x14ac:dyDescent="0.25">
      <c r="A278" s="5">
        <v>44315</v>
      </c>
      <c r="B278">
        <v>26.468</v>
      </c>
      <c r="C278">
        <v>27.6</v>
      </c>
      <c r="D278">
        <v>23.852</v>
      </c>
      <c r="E278">
        <v>24.806999999999999</v>
      </c>
      <c r="F278">
        <v>382585.66499999998</v>
      </c>
      <c r="G278">
        <v>0</v>
      </c>
      <c r="L278" t="s">
        <v>8</v>
      </c>
      <c r="M278" t="s">
        <v>8</v>
      </c>
      <c r="N278" t="s">
        <v>8</v>
      </c>
      <c r="P278">
        <f t="shared" si="964"/>
        <v>-0.49039487726787728</v>
      </c>
      <c r="Q278">
        <f t="shared" si="965"/>
        <v>-187618.05023212419</v>
      </c>
      <c r="R278">
        <f t="shared" si="966"/>
        <v>-6613918.5223406553</v>
      </c>
      <c r="S278">
        <f t="shared" si="967"/>
        <v>-66.139185223406557</v>
      </c>
      <c r="T278">
        <f t="shared" si="968"/>
        <v>-6.613918522340656E-2</v>
      </c>
    </row>
    <row r="279" spans="1:20" x14ac:dyDescent="0.25">
      <c r="A279" s="5">
        <v>44314</v>
      </c>
      <c r="B279">
        <v>24.361000000000001</v>
      </c>
      <c r="C279">
        <v>26.91</v>
      </c>
      <c r="D279">
        <v>22.003</v>
      </c>
      <c r="E279">
        <v>26.388000000000002</v>
      </c>
      <c r="F279">
        <v>588078.42700000003</v>
      </c>
      <c r="G279">
        <v>0</v>
      </c>
      <c r="L279" t="s">
        <v>8</v>
      </c>
      <c r="M279" t="s">
        <v>8</v>
      </c>
      <c r="N279" t="s">
        <v>8</v>
      </c>
      <c r="P279">
        <f t="shared" si="964"/>
        <v>0.78724271448950545</v>
      </c>
      <c r="Q279">
        <f t="shared" si="965"/>
        <v>462960.45720419846</v>
      </c>
      <c r="R279">
        <f t="shared" si="966"/>
        <v>-6426300.4721085308</v>
      </c>
      <c r="S279">
        <f t="shared" si="967"/>
        <v>-64.263004721085309</v>
      </c>
      <c r="T279">
        <f t="shared" si="968"/>
        <v>-6.4263004721085315E-2</v>
      </c>
    </row>
    <row r="280" spans="1:20" x14ac:dyDescent="0.25">
      <c r="A280" s="5">
        <v>44313</v>
      </c>
      <c r="B280">
        <v>22.542000000000002</v>
      </c>
      <c r="C280">
        <v>25.123000000000001</v>
      </c>
      <c r="D280">
        <v>22.001000000000001</v>
      </c>
      <c r="E280">
        <v>24.366</v>
      </c>
      <c r="F280">
        <v>277477.19</v>
      </c>
      <c r="G280">
        <v>0</v>
      </c>
      <c r="L280" t="s">
        <v>8</v>
      </c>
      <c r="M280" t="s">
        <v>8</v>
      </c>
      <c r="N280" t="s">
        <v>7</v>
      </c>
      <c r="P280">
        <f t="shared" si="964"/>
        <v>0.51505445227418223</v>
      </c>
      <c r="Q280">
        <f t="shared" si="965"/>
        <v>142915.86211402921</v>
      </c>
      <c r="R280">
        <f t="shared" si="966"/>
        <v>-6889260.9293127293</v>
      </c>
      <c r="S280">
        <f t="shared" si="967"/>
        <v>-68.892609293127293</v>
      </c>
      <c r="T280">
        <f t="shared" si="968"/>
        <v>-6.8892609293127294E-2</v>
      </c>
    </row>
    <row r="281" spans="1:20" x14ac:dyDescent="0.25">
      <c r="A281" s="5">
        <v>44312</v>
      </c>
      <c r="B281">
        <v>19.082999999999998</v>
      </c>
      <c r="C281">
        <v>22.911999999999999</v>
      </c>
      <c r="D281">
        <v>18.812999999999999</v>
      </c>
      <c r="E281">
        <v>22.541</v>
      </c>
      <c r="F281">
        <v>346535.82299999997</v>
      </c>
      <c r="G281">
        <v>0</v>
      </c>
      <c r="L281" t="s">
        <v>8</v>
      </c>
      <c r="M281" t="s">
        <v>8</v>
      </c>
      <c r="N281" t="s">
        <v>7</v>
      </c>
      <c r="P281">
        <f t="shared" si="964"/>
        <v>0.81898023908270379</v>
      </c>
      <c r="Q281">
        <f t="shared" si="965"/>
        <v>283805.99117126153</v>
      </c>
      <c r="R281">
        <f t="shared" si="966"/>
        <v>-7032176.7914267583</v>
      </c>
      <c r="S281">
        <f t="shared" si="967"/>
        <v>-70.321767914267582</v>
      </c>
      <c r="T281">
        <f t="shared" si="968"/>
        <v>-7.0321767914267586E-2</v>
      </c>
    </row>
    <row r="282" spans="1:20" x14ac:dyDescent="0.25">
      <c r="A282" s="5">
        <v>44311</v>
      </c>
      <c r="B282">
        <v>19.282499999999999</v>
      </c>
      <c r="C282">
        <v>20.9</v>
      </c>
      <c r="D282">
        <v>18.013999999999999</v>
      </c>
      <c r="E282">
        <v>19.013999999999999</v>
      </c>
      <c r="F282">
        <v>159122.29699999999</v>
      </c>
      <c r="G282">
        <v>0</v>
      </c>
      <c r="L282" t="s">
        <v>7</v>
      </c>
      <c r="M282" t="s">
        <v>7</v>
      </c>
      <c r="N282" t="s">
        <v>7</v>
      </c>
      <c r="P282">
        <f t="shared" si="964"/>
        <v>-0.30699930699930683</v>
      </c>
      <c r="Q282">
        <f t="shared" si="965"/>
        <v>-48850.434907137875</v>
      </c>
      <c r="R282">
        <f t="shared" si="966"/>
        <v>-7315982.7825980196</v>
      </c>
      <c r="S282">
        <f t="shared" si="967"/>
        <v>-73.159827825980202</v>
      </c>
      <c r="T282">
        <f t="shared" si="968"/>
        <v>-7.3159827825980198E-2</v>
      </c>
    </row>
    <row r="283" spans="1:20" x14ac:dyDescent="0.25">
      <c r="A283" s="5">
        <v>44310</v>
      </c>
      <c r="B283">
        <v>21.537199999999999</v>
      </c>
      <c r="C283">
        <v>21.610399999999998</v>
      </c>
      <c r="D283">
        <v>19.023299999999999</v>
      </c>
      <c r="E283">
        <v>19.1587</v>
      </c>
      <c r="F283">
        <v>269861.96999999997</v>
      </c>
      <c r="G283">
        <v>0</v>
      </c>
      <c r="L283" t="s">
        <v>8</v>
      </c>
      <c r="M283" t="s">
        <v>7</v>
      </c>
      <c r="N283" t="s">
        <v>7</v>
      </c>
      <c r="P283">
        <f t="shared" si="964"/>
        <v>-0.89532681380696477</v>
      </c>
      <c r="Q283">
        <f t="shared" si="965"/>
        <v>-241614.6577677707</v>
      </c>
      <c r="R283">
        <f t="shared" si="966"/>
        <v>-7267132.3476908822</v>
      </c>
      <c r="S283">
        <f t="shared" si="967"/>
        <v>-72.671323476908825</v>
      </c>
      <c r="T283">
        <f t="shared" si="968"/>
        <v>-7.2671323476908828E-2</v>
      </c>
    </row>
    <row r="284" spans="1:20" x14ac:dyDescent="0.25">
      <c r="A284" s="5">
        <v>44309</v>
      </c>
      <c r="B284">
        <v>21.065100000000001</v>
      </c>
      <c r="C284">
        <v>21.618400000000001</v>
      </c>
      <c r="D284">
        <v>17.82</v>
      </c>
      <c r="E284">
        <v>21.618400000000001</v>
      </c>
      <c r="F284">
        <v>475386.48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1</v>
      </c>
      <c r="Q284">
        <f t="shared" si="965"/>
        <v>475386.48</v>
      </c>
      <c r="R284">
        <f t="shared" si="966"/>
        <v>-7025517.6899231113</v>
      </c>
      <c r="S284">
        <f t="shared" si="967"/>
        <v>-70.255176899231117</v>
      </c>
      <c r="T284">
        <f t="shared" si="968"/>
        <v>-7.0255176899231123E-2</v>
      </c>
    </row>
    <row r="285" spans="1:20" x14ac:dyDescent="0.25">
      <c r="A285" s="5">
        <v>44308</v>
      </c>
      <c r="B285">
        <v>22.5319</v>
      </c>
      <c r="C285">
        <v>24.0928</v>
      </c>
      <c r="D285">
        <v>20.238</v>
      </c>
      <c r="E285">
        <v>21.064399999999999</v>
      </c>
      <c r="F285">
        <v>404265</v>
      </c>
      <c r="G285">
        <v>0</v>
      </c>
      <c r="L285" t="s">
        <v>7</v>
      </c>
      <c r="M285" t="s">
        <v>7</v>
      </c>
      <c r="N285" t="s">
        <v>8</v>
      </c>
      <c r="P285">
        <f t="shared" si="964"/>
        <v>-0.57123586178271279</v>
      </c>
      <c r="Q285">
        <f t="shared" si="965"/>
        <v>-230930.66566358838</v>
      </c>
      <c r="R285">
        <f t="shared" si="966"/>
        <v>-7500904.1699231109</v>
      </c>
      <c r="S285">
        <f t="shared" si="967"/>
        <v>-75.009041699231105</v>
      </c>
      <c r="T285">
        <f t="shared" si="968"/>
        <v>-7.5009041699231102E-2</v>
      </c>
    </row>
    <row r="286" spans="1:20" x14ac:dyDescent="0.25">
      <c r="A286" s="5">
        <v>44307</v>
      </c>
      <c r="B286">
        <v>23.903600000000001</v>
      </c>
      <c r="C286">
        <v>25</v>
      </c>
      <c r="D286">
        <v>22.340599999999998</v>
      </c>
      <c r="E286">
        <v>22.417400000000001</v>
      </c>
      <c r="F286">
        <v>331431.02</v>
      </c>
      <c r="G286">
        <v>0</v>
      </c>
      <c r="L286" t="s">
        <v>8</v>
      </c>
      <c r="M286" t="s">
        <v>7</v>
      </c>
      <c r="N286" t="s">
        <v>8</v>
      </c>
      <c r="P286">
        <f t="shared" si="964"/>
        <v>-0.94224261111528751</v>
      </c>
      <c r="Q286">
        <f t="shared" si="965"/>
        <v>-312288.4296894031</v>
      </c>
      <c r="R286">
        <f t="shared" si="966"/>
        <v>-7269973.5042595221</v>
      </c>
      <c r="S286">
        <f t="shared" si="967"/>
        <v>-72.699735042595222</v>
      </c>
      <c r="T286">
        <f t="shared" si="968"/>
        <v>-7.269973504259522E-2</v>
      </c>
    </row>
    <row r="287" spans="1:20" x14ac:dyDescent="0.25">
      <c r="A287" s="5">
        <v>44306</v>
      </c>
      <c r="B287">
        <v>23.141400000000001</v>
      </c>
      <c r="C287">
        <v>24.606400000000001</v>
      </c>
      <c r="D287">
        <v>21.140999999999998</v>
      </c>
      <c r="E287">
        <v>23.925599999999999</v>
      </c>
      <c r="F287">
        <v>456469.48</v>
      </c>
      <c r="G287">
        <v>0</v>
      </c>
      <c r="L287" t="s">
        <v>7</v>
      </c>
      <c r="M287" t="s">
        <v>7</v>
      </c>
      <c r="N287" t="s">
        <v>8</v>
      </c>
      <c r="P287">
        <f t="shared" si="964"/>
        <v>0.60708720494026613</v>
      </c>
      <c r="Q287">
        <f t="shared" si="965"/>
        <v>277116.78075373668</v>
      </c>
      <c r="R287">
        <f t="shared" si="966"/>
        <v>-6957685.0745701194</v>
      </c>
      <c r="S287">
        <f t="shared" si="967"/>
        <v>-69.576850745701194</v>
      </c>
      <c r="T287">
        <f t="shared" si="968"/>
        <v>-6.9576850745701191E-2</v>
      </c>
    </row>
    <row r="288" spans="1:20" x14ac:dyDescent="0.25">
      <c r="A288" s="5">
        <v>44305</v>
      </c>
      <c r="B288">
        <v>25.4755</v>
      </c>
      <c r="C288">
        <v>27</v>
      </c>
      <c r="D288">
        <v>22.672899999999998</v>
      </c>
      <c r="E288">
        <v>23.147600000000001</v>
      </c>
      <c r="F288">
        <v>434342</v>
      </c>
      <c r="G288">
        <v>0</v>
      </c>
      <c r="L288" t="s">
        <v>8</v>
      </c>
      <c r="M288" t="s">
        <v>8</v>
      </c>
      <c r="N288" t="s">
        <v>8</v>
      </c>
      <c r="P288">
        <f t="shared" si="964"/>
        <v>-0.78059208245707201</v>
      </c>
      <c r="Q288">
        <f t="shared" si="965"/>
        <v>-339043.92627856956</v>
      </c>
      <c r="R288">
        <f t="shared" si="966"/>
        <v>-7234801.8553238558</v>
      </c>
      <c r="S288">
        <f t="shared" si="967"/>
        <v>-72.34801855323856</v>
      </c>
      <c r="T288">
        <f t="shared" si="968"/>
        <v>-7.2348018553238566E-2</v>
      </c>
    </row>
    <row r="289" spans="1:20" x14ac:dyDescent="0.25">
      <c r="A289" s="5">
        <v>44304</v>
      </c>
      <c r="B289">
        <v>29.065999999999999</v>
      </c>
      <c r="C289">
        <v>29.428899999999999</v>
      </c>
      <c r="D289">
        <v>17.674900000000001</v>
      </c>
      <c r="E289">
        <v>25.4758</v>
      </c>
      <c r="F289">
        <v>728200.51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0.32736089841756</v>
      </c>
      <c r="Q289">
        <f t="shared" si="965"/>
        <v>238384.37318172539</v>
      </c>
      <c r="R289">
        <f t="shared" si="966"/>
        <v>-6895757.929045286</v>
      </c>
      <c r="S289">
        <f t="shared" si="967"/>
        <v>-68.957579290452856</v>
      </c>
      <c r="T289">
        <f t="shared" si="968"/>
        <v>-6.8957579290452861E-2</v>
      </c>
    </row>
    <row r="290" spans="1:20" x14ac:dyDescent="0.25">
      <c r="A290" s="5">
        <v>44303</v>
      </c>
      <c r="B290">
        <v>30.349900000000002</v>
      </c>
      <c r="C290">
        <v>31.846800000000002</v>
      </c>
      <c r="D290">
        <v>28.749500000000001</v>
      </c>
      <c r="E290">
        <v>29.067799999999998</v>
      </c>
      <c r="F290">
        <v>306044.32</v>
      </c>
      <c r="G290">
        <v>0</v>
      </c>
      <c r="L290" t="s">
        <v>7</v>
      </c>
      <c r="M290" t="s">
        <v>7</v>
      </c>
      <c r="N290" t="s">
        <v>8</v>
      </c>
      <c r="P290">
        <f t="shared" si="964"/>
        <v>-0.79446614793530035</v>
      </c>
      <c r="Q290">
        <f t="shared" si="965"/>
        <v>-243141.85200787839</v>
      </c>
      <c r="R290">
        <f t="shared" si="966"/>
        <v>-7134142.3022270119</v>
      </c>
      <c r="S290">
        <f t="shared" si="967"/>
        <v>-71.341423022270121</v>
      </c>
      <c r="T290">
        <f t="shared" si="968"/>
        <v>-7.1341423022270117E-2</v>
      </c>
    </row>
    <row r="291" spans="1:20" x14ac:dyDescent="0.25">
      <c r="A291" s="5">
        <v>44302</v>
      </c>
      <c r="B291">
        <v>32.493000000000002</v>
      </c>
      <c r="C291">
        <v>32.686399999999999</v>
      </c>
      <c r="D291">
        <v>29.311199999999999</v>
      </c>
      <c r="E291">
        <v>30.3626</v>
      </c>
      <c r="F291">
        <v>526555.47</v>
      </c>
      <c r="G291">
        <v>0</v>
      </c>
      <c r="L291" t="s">
        <v>7</v>
      </c>
      <c r="M291" t="s">
        <v>7</v>
      </c>
      <c r="N291" t="s">
        <v>8</v>
      </c>
      <c r="P291">
        <f t="shared" si="964"/>
        <v>-0.37698506755155181</v>
      </c>
      <c r="Q291">
        <f t="shared" si="965"/>
        <v>-198503.54942758911</v>
      </c>
      <c r="R291">
        <f t="shared" si="966"/>
        <v>-6891000.4502191339</v>
      </c>
      <c r="S291">
        <f t="shared" si="967"/>
        <v>-68.910004502191342</v>
      </c>
      <c r="T291">
        <f t="shared" si="968"/>
        <v>-6.8910004502191341E-2</v>
      </c>
    </row>
    <row r="292" spans="1:20" x14ac:dyDescent="0.25">
      <c r="A292" s="5">
        <v>44301</v>
      </c>
      <c r="B292">
        <v>34.876899999999999</v>
      </c>
      <c r="C292">
        <v>35.706899999999997</v>
      </c>
      <c r="D292">
        <v>31.3</v>
      </c>
      <c r="E292">
        <v>32.498800000000003</v>
      </c>
      <c r="F292">
        <v>757757.21</v>
      </c>
      <c r="G292">
        <v>0</v>
      </c>
      <c r="L292" t="s">
        <v>7</v>
      </c>
      <c r="M292" t="s">
        <v>8</v>
      </c>
      <c r="N292" t="s">
        <v>8</v>
      </c>
      <c r="P292">
        <f t="shared" si="964"/>
        <v>-0.45594408768068123</v>
      </c>
      <c r="Q292">
        <f t="shared" si="965"/>
        <v>-345494.91979690839</v>
      </c>
      <c r="R292">
        <f t="shared" si="966"/>
        <v>-6692496.9007915445</v>
      </c>
      <c r="S292">
        <f t="shared" si="967"/>
        <v>-66.92496900791545</v>
      </c>
      <c r="T292">
        <f t="shared" si="968"/>
        <v>-6.6924969007915447E-2</v>
      </c>
    </row>
    <row r="293" spans="1:20" x14ac:dyDescent="0.25">
      <c r="A293" s="5">
        <v>44300</v>
      </c>
      <c r="B293">
        <v>27.749199999999998</v>
      </c>
      <c r="C293">
        <v>36.299999999999997</v>
      </c>
      <c r="D293">
        <v>27.023800000000001</v>
      </c>
      <c r="E293">
        <v>34.872500000000002</v>
      </c>
      <c r="F293">
        <v>1934651.81</v>
      </c>
      <c r="G293">
        <v>0</v>
      </c>
      <c r="L293" t="s">
        <v>8</v>
      </c>
      <c r="M293" t="s">
        <v>8</v>
      </c>
      <c r="N293" t="s">
        <v>8</v>
      </c>
      <c r="P293">
        <f t="shared" si="964"/>
        <v>0.69222310860050551</v>
      </c>
      <c r="Q293">
        <f t="shared" si="965"/>
        <v>1339210.6899777947</v>
      </c>
      <c r="R293">
        <f t="shared" si="966"/>
        <v>-6347001.9809946362</v>
      </c>
      <c r="S293">
        <f t="shared" si="967"/>
        <v>-63.470019809946365</v>
      </c>
      <c r="T293">
        <f t="shared" si="968"/>
        <v>-6.3470019809946362E-2</v>
      </c>
    </row>
    <row r="294" spans="1:20" x14ac:dyDescent="0.25">
      <c r="A294" s="5">
        <v>44299</v>
      </c>
      <c r="B294">
        <v>25.518599999999999</v>
      </c>
      <c r="C294">
        <v>27.9237</v>
      </c>
      <c r="D294">
        <v>23.590900000000001</v>
      </c>
      <c r="E294">
        <v>27.747499999999999</v>
      </c>
      <c r="F294">
        <v>767375.82</v>
      </c>
      <c r="G294">
        <v>0</v>
      </c>
      <c r="L294" t="s">
        <v>7</v>
      </c>
      <c r="M294" t="s">
        <v>7</v>
      </c>
      <c r="N294" t="s">
        <v>8</v>
      </c>
      <c r="P294">
        <f t="shared" si="964"/>
        <v>0.9186669128508117</v>
      </c>
      <c r="Q294">
        <f t="shared" si="965"/>
        <v>704962.77555576013</v>
      </c>
      <c r="R294">
        <f t="shared" si="966"/>
        <v>-7686212.6709724311</v>
      </c>
      <c r="S294">
        <f t="shared" si="967"/>
        <v>-76.862126709724308</v>
      </c>
      <c r="T294">
        <f t="shared" si="968"/>
        <v>-7.686212670972431E-2</v>
      </c>
    </row>
    <row r="295" spans="1:20" x14ac:dyDescent="0.25">
      <c r="A295" s="5">
        <v>44298</v>
      </c>
      <c r="B295">
        <v>26.549499999999998</v>
      </c>
      <c r="C295">
        <v>26.698</v>
      </c>
      <c r="D295">
        <v>24.420999999999999</v>
      </c>
      <c r="E295">
        <v>25.513400000000001</v>
      </c>
      <c r="F295">
        <v>423219.66</v>
      </c>
      <c r="G295">
        <v>0</v>
      </c>
      <c r="L295" t="s">
        <v>7</v>
      </c>
      <c r="M295" t="s">
        <v>7</v>
      </c>
      <c r="N295" t="s">
        <v>8</v>
      </c>
      <c r="P295">
        <f t="shared" si="964"/>
        <v>-4.0491875274483197E-2</v>
      </c>
      <c r="Q295">
        <f t="shared" si="965"/>
        <v>-17136.957686429185</v>
      </c>
      <c r="R295">
        <f t="shared" si="966"/>
        <v>-8391175.4465281907</v>
      </c>
      <c r="S295">
        <f t="shared" si="967"/>
        <v>-83.911754465281902</v>
      </c>
      <c r="T295">
        <f t="shared" si="968"/>
        <v>-8.3911754465281901E-2</v>
      </c>
    </row>
    <row r="296" spans="1:20" x14ac:dyDescent="0.25">
      <c r="A296" s="5">
        <v>44297</v>
      </c>
      <c r="B296">
        <v>25.958500000000001</v>
      </c>
      <c r="C296">
        <v>26.749199999999998</v>
      </c>
      <c r="D296">
        <v>25</v>
      </c>
      <c r="E296">
        <v>26.553699999999999</v>
      </c>
      <c r="F296">
        <v>357928.48</v>
      </c>
      <c r="G296">
        <v>0</v>
      </c>
      <c r="L296" t="s">
        <v>7</v>
      </c>
      <c r="M296" t="s">
        <v>7</v>
      </c>
      <c r="N296" t="s">
        <v>8</v>
      </c>
      <c r="P296">
        <f t="shared" si="964"/>
        <v>0.77646924308255283</v>
      </c>
      <c r="Q296">
        <f t="shared" si="965"/>
        <v>277920.45594328863</v>
      </c>
      <c r="R296">
        <f t="shared" si="966"/>
        <v>-8374038.4888417609</v>
      </c>
      <c r="S296">
        <f t="shared" si="967"/>
        <v>-83.740384888417609</v>
      </c>
      <c r="T296">
        <f t="shared" si="968"/>
        <v>-8.3740384888417604E-2</v>
      </c>
    </row>
    <row r="297" spans="1:20" x14ac:dyDescent="0.25">
      <c r="A297" s="5">
        <v>44296</v>
      </c>
      <c r="B297">
        <v>26.3568</v>
      </c>
      <c r="C297">
        <v>27.52</v>
      </c>
      <c r="D297">
        <v>24.784099999999999</v>
      </c>
      <c r="E297">
        <v>25.9163</v>
      </c>
      <c r="F297">
        <v>501128.71</v>
      </c>
      <c r="G297">
        <v>0</v>
      </c>
      <c r="L297" t="s">
        <v>7</v>
      </c>
      <c r="M297" t="s">
        <v>7</v>
      </c>
      <c r="N297" t="s">
        <v>8</v>
      </c>
      <c r="P297">
        <f t="shared" si="964"/>
        <v>-0.17233817025476034</v>
      </c>
      <c r="Q297">
        <f t="shared" si="965"/>
        <v>-86363.604943528422</v>
      </c>
      <c r="R297">
        <f t="shared" si="966"/>
        <v>-8651958.9447850492</v>
      </c>
      <c r="S297">
        <f t="shared" si="967"/>
        <v>-86.519589447850493</v>
      </c>
      <c r="T297">
        <f t="shared" si="968"/>
        <v>-8.6519589447850487E-2</v>
      </c>
    </row>
    <row r="298" spans="1:20" x14ac:dyDescent="0.25">
      <c r="A298" s="5">
        <v>44295</v>
      </c>
      <c r="B298">
        <v>26.462299999999999</v>
      </c>
      <c r="C298">
        <v>28.608499999999999</v>
      </c>
      <c r="D298">
        <v>25.748899999999999</v>
      </c>
      <c r="E298">
        <v>26.357399999999998</v>
      </c>
      <c r="F298">
        <v>763151.27</v>
      </c>
      <c r="G298">
        <v>0</v>
      </c>
      <c r="L298" t="s">
        <v>8</v>
      </c>
      <c r="M298" t="s">
        <v>7</v>
      </c>
      <c r="N298" t="s">
        <v>8</v>
      </c>
      <c r="P298">
        <f t="shared" si="964"/>
        <v>-0.57441600223807576</v>
      </c>
      <c r="Q298">
        <f t="shared" si="965"/>
        <v>-438366.30161631037</v>
      </c>
      <c r="R298">
        <f t="shared" si="966"/>
        <v>-8565595.3398415204</v>
      </c>
      <c r="S298">
        <f t="shared" si="967"/>
        <v>-85.655953398415207</v>
      </c>
      <c r="T298">
        <f t="shared" si="968"/>
        <v>-8.565595339841521E-2</v>
      </c>
    </row>
    <row r="299" spans="1:20" x14ac:dyDescent="0.25">
      <c r="A299" s="5">
        <v>44294</v>
      </c>
      <c r="B299">
        <v>24.470800000000001</v>
      </c>
      <c r="C299">
        <v>27.59</v>
      </c>
      <c r="D299">
        <v>24.16</v>
      </c>
      <c r="E299">
        <v>26.544</v>
      </c>
      <c r="F299">
        <v>1713751</v>
      </c>
      <c r="G299">
        <v>0</v>
      </c>
      <c r="L299" t="s">
        <v>7</v>
      </c>
      <c r="M299" t="s">
        <v>7</v>
      </c>
      <c r="N299" t="s">
        <v>8</v>
      </c>
      <c r="P299">
        <f t="shared" si="964"/>
        <v>0.39008746355685164</v>
      </c>
      <c r="Q299">
        <f t="shared" si="965"/>
        <v>668512.78075801802</v>
      </c>
      <c r="R299">
        <f t="shared" si="966"/>
        <v>-8127229.0382252093</v>
      </c>
      <c r="S299">
        <f t="shared" si="967"/>
        <v>-81.272290382252095</v>
      </c>
      <c r="T299">
        <f t="shared" si="968"/>
        <v>-8.1272290382252088E-2</v>
      </c>
    </row>
    <row r="300" spans="1:20" x14ac:dyDescent="0.25">
      <c r="A300" s="5">
        <v>44293</v>
      </c>
      <c r="B300">
        <v>29.404599999999999</v>
      </c>
      <c r="C300">
        <v>31.691800000000001</v>
      </c>
      <c r="D300">
        <v>24.2134</v>
      </c>
      <c r="E300">
        <v>24.599399999999999</v>
      </c>
      <c r="F300">
        <v>635879.82999999996</v>
      </c>
      <c r="G300">
        <v>0</v>
      </c>
      <c r="L300" t="s">
        <v>8</v>
      </c>
      <c r="M300" t="s">
        <v>7</v>
      </c>
      <c r="N300" t="s">
        <v>8</v>
      </c>
      <c r="P300">
        <f t="shared" si="964"/>
        <v>-0.89676936243046668</v>
      </c>
      <c r="Q300">
        <f t="shared" si="965"/>
        <v>-570237.54973149346</v>
      </c>
      <c r="R300">
        <f t="shared" si="966"/>
        <v>-8795741.818983227</v>
      </c>
      <c r="S300">
        <f t="shared" si="967"/>
        <v>-87.957418189832268</v>
      </c>
      <c r="T300">
        <f t="shared" si="968"/>
        <v>-8.795741818983227E-2</v>
      </c>
    </row>
    <row r="301" spans="1:20" x14ac:dyDescent="0.25">
      <c r="A301" s="5">
        <v>44292</v>
      </c>
      <c r="B301">
        <v>26.819299999999998</v>
      </c>
      <c r="C301">
        <v>31</v>
      </c>
      <c r="D301">
        <v>26.3</v>
      </c>
      <c r="E301">
        <v>29.404499999999999</v>
      </c>
      <c r="F301">
        <v>497380.82</v>
      </c>
      <c r="G301">
        <v>0</v>
      </c>
      <c r="L301" t="s">
        <v>8</v>
      </c>
      <c r="M301" t="s">
        <v>8</v>
      </c>
      <c r="N301" t="s">
        <v>8</v>
      </c>
      <c r="P301">
        <f t="shared" si="964"/>
        <v>0.32106382978723341</v>
      </c>
      <c r="Q301">
        <f t="shared" si="965"/>
        <v>159690.9909319146</v>
      </c>
      <c r="R301">
        <f t="shared" si="966"/>
        <v>-8225504.2692517331</v>
      </c>
      <c r="S301">
        <f t="shared" si="967"/>
        <v>-82.255042692517335</v>
      </c>
      <c r="T301">
        <f t="shared" si="968"/>
        <v>-8.2255042692517336E-2</v>
      </c>
    </row>
    <row r="302" spans="1:20" x14ac:dyDescent="0.25">
      <c r="A302" s="5">
        <v>44291</v>
      </c>
      <c r="B302">
        <v>26.620200000000001</v>
      </c>
      <c r="C302">
        <v>28.3415</v>
      </c>
      <c r="D302">
        <v>24.973700000000001</v>
      </c>
      <c r="E302">
        <v>26.819400000000002</v>
      </c>
      <c r="F302">
        <v>275772.84999999998</v>
      </c>
      <c r="G302">
        <v>0</v>
      </c>
      <c r="L302" t="s">
        <v>8</v>
      </c>
      <c r="M302" t="s">
        <v>8</v>
      </c>
      <c r="N302" t="s">
        <v>8</v>
      </c>
      <c r="P302">
        <f t="shared" si="964"/>
        <v>9.6086465942158875E-2</v>
      </c>
      <c r="Q302">
        <f t="shared" si="965"/>
        <v>26498.038559297085</v>
      </c>
      <c r="R302">
        <f t="shared" si="966"/>
        <v>-8385195.2601836473</v>
      </c>
      <c r="S302">
        <f t="shared" si="967"/>
        <v>-83.851952601836473</v>
      </c>
      <c r="T302">
        <f t="shared" si="968"/>
        <v>-8.3851952601836477E-2</v>
      </c>
    </row>
    <row r="303" spans="1:20" x14ac:dyDescent="0.25">
      <c r="A303" s="5">
        <v>44290</v>
      </c>
      <c r="B303">
        <v>24.148700000000002</v>
      </c>
      <c r="C303">
        <v>27.165199999999999</v>
      </c>
      <c r="D303">
        <v>23.6477</v>
      </c>
      <c r="E303">
        <v>26.546099999999999</v>
      </c>
      <c r="F303">
        <v>260029.38</v>
      </c>
      <c r="G303">
        <v>0</v>
      </c>
      <c r="L303" t="s">
        <v>8</v>
      </c>
      <c r="M303" t="s">
        <v>7</v>
      </c>
      <c r="N303" t="s">
        <v>8</v>
      </c>
      <c r="P303">
        <f t="shared" si="964"/>
        <v>0.64798862828713588</v>
      </c>
      <c r="Q303">
        <f t="shared" si="965"/>
        <v>168496.08126055441</v>
      </c>
      <c r="R303">
        <f t="shared" si="966"/>
        <v>-8411693.2987429444</v>
      </c>
      <c r="S303">
        <f t="shared" si="967"/>
        <v>-84.11693298742945</v>
      </c>
      <c r="T303">
        <f t="shared" si="968"/>
        <v>-8.4116932987429449E-2</v>
      </c>
    </row>
    <row r="304" spans="1:20" x14ac:dyDescent="0.25">
      <c r="A304" s="5">
        <v>44289</v>
      </c>
      <c r="B304">
        <v>26.299900000000001</v>
      </c>
      <c r="C304">
        <v>26.641500000000001</v>
      </c>
      <c r="D304">
        <v>23.5732</v>
      </c>
      <c r="E304">
        <v>24.148700000000002</v>
      </c>
      <c r="F304">
        <v>287394.27</v>
      </c>
      <c r="G304">
        <v>0</v>
      </c>
      <c r="L304" t="s">
        <v>7</v>
      </c>
      <c r="M304" t="s">
        <v>7</v>
      </c>
      <c r="N304" t="s">
        <v>8</v>
      </c>
      <c r="P304">
        <f t="shared" si="964"/>
        <v>-0.62487370856826152</v>
      </c>
      <c r="Q304">
        <f t="shared" si="965"/>
        <v>-179585.12331616829</v>
      </c>
      <c r="R304">
        <f t="shared" si="966"/>
        <v>-8580189.3800034989</v>
      </c>
      <c r="S304">
        <f t="shared" si="967"/>
        <v>-85.801893800034989</v>
      </c>
      <c r="T304">
        <f t="shared" si="968"/>
        <v>-8.5801893800034987E-2</v>
      </c>
    </row>
    <row r="305" spans="1:20" x14ac:dyDescent="0.25">
      <c r="A305" s="5">
        <v>44288</v>
      </c>
      <c r="B305">
        <v>27.3521</v>
      </c>
      <c r="C305">
        <v>27.7151</v>
      </c>
      <c r="D305">
        <v>26.1313</v>
      </c>
      <c r="E305">
        <v>26.299600000000002</v>
      </c>
      <c r="F305">
        <v>273807.86</v>
      </c>
      <c r="G305">
        <v>0</v>
      </c>
      <c r="L305" t="s">
        <v>7</v>
      </c>
      <c r="M305" t="s">
        <v>7</v>
      </c>
      <c r="N305" t="s">
        <v>8</v>
      </c>
      <c r="P305">
        <f t="shared" si="964"/>
        <v>-0.78747316580376048</v>
      </c>
      <c r="Q305">
        <f t="shared" si="965"/>
        <v>-215616.34233615283</v>
      </c>
      <c r="R305">
        <f t="shared" si="966"/>
        <v>-8400604.2566873301</v>
      </c>
      <c r="S305">
        <f t="shared" si="967"/>
        <v>-84.006042566873305</v>
      </c>
      <c r="T305">
        <f t="shared" si="968"/>
        <v>-8.4006042566873301E-2</v>
      </c>
    </row>
    <row r="306" spans="1:20" x14ac:dyDescent="0.25">
      <c r="A306" s="5">
        <v>44287</v>
      </c>
      <c r="B306">
        <v>29.2486</v>
      </c>
      <c r="C306">
        <v>30.120899999999999</v>
      </c>
      <c r="D306">
        <v>27</v>
      </c>
      <c r="E306">
        <v>27.352399999999999</v>
      </c>
      <c r="F306">
        <v>204062.36</v>
      </c>
      <c r="G306">
        <v>0</v>
      </c>
      <c r="L306" t="s">
        <v>7</v>
      </c>
      <c r="M306" t="s">
        <v>7</v>
      </c>
      <c r="N306" t="s">
        <v>8</v>
      </c>
      <c r="P306">
        <f t="shared" si="964"/>
        <v>-0.77416770803293955</v>
      </c>
      <c r="Q306">
        <f t="shared" si="965"/>
        <v>-157978.48953699259</v>
      </c>
      <c r="R306">
        <f t="shared" si="966"/>
        <v>-8184987.9143511774</v>
      </c>
      <c r="S306">
        <f t="shared" si="967"/>
        <v>-81.849879143511771</v>
      </c>
      <c r="T306">
        <f t="shared" si="968"/>
        <v>-8.1849879143511772E-2</v>
      </c>
    </row>
    <row r="307" spans="1:20" x14ac:dyDescent="0.25">
      <c r="A307" s="5">
        <v>44286</v>
      </c>
      <c r="B307">
        <v>32.299799999999998</v>
      </c>
      <c r="C307">
        <v>32.851900000000001</v>
      </c>
      <c r="D307">
        <v>28.015899999999998</v>
      </c>
      <c r="E307">
        <v>29.2517</v>
      </c>
      <c r="F307">
        <v>361010.68</v>
      </c>
      <c r="G307">
        <v>0</v>
      </c>
      <c r="L307" t="s">
        <v>8</v>
      </c>
      <c r="M307" t="s">
        <v>8</v>
      </c>
      <c r="N307" t="s">
        <v>8</v>
      </c>
      <c r="P307">
        <f t="shared" si="964"/>
        <v>-0.48891645988420157</v>
      </c>
      <c r="Q307">
        <f t="shared" si="965"/>
        <v>-176504.06364598832</v>
      </c>
      <c r="R307">
        <f t="shared" si="966"/>
        <v>-8027009.4248141851</v>
      </c>
      <c r="S307">
        <f t="shared" si="967"/>
        <v>-80.270094248141845</v>
      </c>
      <c r="T307">
        <f t="shared" si="968"/>
        <v>-8.0270094248141841E-2</v>
      </c>
    </row>
    <row r="308" spans="1:20" x14ac:dyDescent="0.25">
      <c r="A308" s="5">
        <v>44285</v>
      </c>
      <c r="B308">
        <v>27.354099999999999</v>
      </c>
      <c r="C308">
        <v>32.5</v>
      </c>
      <c r="D308">
        <v>26.504999999999999</v>
      </c>
      <c r="E308">
        <v>32.299799999999998</v>
      </c>
      <c r="F308">
        <v>580922.06999999995</v>
      </c>
      <c r="G308">
        <v>0</v>
      </c>
      <c r="L308" t="s">
        <v>8</v>
      </c>
      <c r="M308" t="s">
        <v>8</v>
      </c>
      <c r="N308" t="s">
        <v>8</v>
      </c>
      <c r="P308">
        <f t="shared" si="964"/>
        <v>0.9332110091743111</v>
      </c>
      <c r="Q308">
        <f t="shared" si="965"/>
        <v>542122.87119632971</v>
      </c>
      <c r="R308">
        <f t="shared" si="966"/>
        <v>-7850505.3611681964</v>
      </c>
      <c r="S308">
        <f t="shared" si="967"/>
        <v>-78.505053611681959</v>
      </c>
      <c r="T308">
        <f t="shared" si="968"/>
        <v>-7.850505361168196E-2</v>
      </c>
    </row>
    <row r="309" spans="1:20" x14ac:dyDescent="0.25">
      <c r="A309" s="5">
        <v>44284</v>
      </c>
      <c r="B309">
        <v>27.9802</v>
      </c>
      <c r="C309">
        <v>28.995000000000001</v>
      </c>
      <c r="D309">
        <v>27.163499999999999</v>
      </c>
      <c r="E309">
        <v>27.354099999999999</v>
      </c>
      <c r="F309">
        <v>165840.07999999999</v>
      </c>
      <c r="G309">
        <v>0</v>
      </c>
      <c r="L309" t="s">
        <v>8</v>
      </c>
      <c r="M309" t="s">
        <v>8</v>
      </c>
      <c r="N309" t="s">
        <v>8</v>
      </c>
      <c r="P309">
        <f t="shared" si="964"/>
        <v>-0.79186459186459224</v>
      </c>
      <c r="Q309">
        <f t="shared" si="965"/>
        <v>-131322.88726399132</v>
      </c>
      <c r="R309">
        <f t="shared" si="966"/>
        <v>-8392628.232364526</v>
      </c>
      <c r="S309">
        <f t="shared" si="967"/>
        <v>-83.926282323645253</v>
      </c>
      <c r="T309">
        <f t="shared" si="968"/>
        <v>-8.3926282323645254E-2</v>
      </c>
    </row>
    <row r="310" spans="1:20" x14ac:dyDescent="0.25">
      <c r="A310" s="5">
        <v>44283</v>
      </c>
      <c r="B310">
        <v>29.159700000000001</v>
      </c>
      <c r="C310">
        <v>30.0075</v>
      </c>
      <c r="D310">
        <v>26.859500000000001</v>
      </c>
      <c r="E310">
        <v>27.960699999999999</v>
      </c>
      <c r="F310">
        <v>321513.02</v>
      </c>
      <c r="G310">
        <v>0</v>
      </c>
      <c r="L310" t="s">
        <v>7</v>
      </c>
      <c r="M310" t="s">
        <v>8</v>
      </c>
      <c r="N310" t="s">
        <v>8</v>
      </c>
      <c r="P310">
        <f t="shared" si="964"/>
        <v>-0.30038119440914945</v>
      </c>
      <c r="Q310">
        <f t="shared" si="965"/>
        <v>-96576.464965692765</v>
      </c>
      <c r="R310">
        <f t="shared" si="966"/>
        <v>-8261305.3451005341</v>
      </c>
      <c r="S310">
        <f t="shared" si="967"/>
        <v>-82.613053451005342</v>
      </c>
      <c r="T310">
        <f t="shared" si="968"/>
        <v>-8.2613053451005336E-2</v>
      </c>
    </row>
    <row r="311" spans="1:20" x14ac:dyDescent="0.25">
      <c r="A311" s="5">
        <v>44282</v>
      </c>
      <c r="B311">
        <v>24.9483</v>
      </c>
      <c r="C311">
        <v>29.7</v>
      </c>
      <c r="D311">
        <v>24.889600000000002</v>
      </c>
      <c r="E311">
        <v>29.248999999999999</v>
      </c>
      <c r="F311">
        <v>393979.65</v>
      </c>
      <c r="G311">
        <v>0</v>
      </c>
      <c r="L311" t="s">
        <v>8</v>
      </c>
      <c r="M311" t="s">
        <v>8</v>
      </c>
      <c r="N311" t="s">
        <v>8</v>
      </c>
      <c r="P311">
        <f t="shared" si="964"/>
        <v>0.81248960585398278</v>
      </c>
      <c r="Q311">
        <f t="shared" si="965"/>
        <v>320104.3705429901</v>
      </c>
      <c r="R311">
        <f t="shared" si="966"/>
        <v>-8164728.8801348414</v>
      </c>
      <c r="S311">
        <f t="shared" si="967"/>
        <v>-81.647288801348409</v>
      </c>
      <c r="T311">
        <f t="shared" si="968"/>
        <v>-8.1647288801348403E-2</v>
      </c>
    </row>
    <row r="312" spans="1:20" x14ac:dyDescent="0.25">
      <c r="A312" s="5">
        <v>44281</v>
      </c>
      <c r="B312">
        <v>22.230599999999999</v>
      </c>
      <c r="C312">
        <v>25.658999999999999</v>
      </c>
      <c r="D312">
        <v>22.230599999999999</v>
      </c>
      <c r="E312">
        <v>24.930700000000002</v>
      </c>
      <c r="F312">
        <v>188204.97</v>
      </c>
      <c r="G312">
        <v>0</v>
      </c>
      <c r="L312" t="s">
        <v>8</v>
      </c>
      <c r="M312" t="s">
        <v>8</v>
      </c>
      <c r="N312" t="s">
        <v>7</v>
      </c>
      <c r="P312">
        <f t="shared" si="964"/>
        <v>0.57513709018784431</v>
      </c>
      <c r="Q312">
        <f t="shared" si="965"/>
        <v>108243.65880469054</v>
      </c>
      <c r="R312">
        <f t="shared" si="966"/>
        <v>-8484833.2506778315</v>
      </c>
      <c r="S312">
        <f t="shared" si="967"/>
        <v>-84.84833250677832</v>
      </c>
      <c r="T312">
        <f t="shared" si="968"/>
        <v>-8.4848332506778326E-2</v>
      </c>
    </row>
    <row r="313" spans="1:20" x14ac:dyDescent="0.25">
      <c r="A313" s="5">
        <v>44280</v>
      </c>
      <c r="B313">
        <v>22.177299999999999</v>
      </c>
      <c r="C313">
        <v>24.287600000000001</v>
      </c>
      <c r="D313">
        <v>21.01</v>
      </c>
      <c r="E313">
        <v>22.249400000000001</v>
      </c>
      <c r="F313">
        <v>246703.85</v>
      </c>
      <c r="G313">
        <v>0</v>
      </c>
      <c r="L313" t="s">
        <v>7</v>
      </c>
      <c r="M313" t="s">
        <v>7</v>
      </c>
      <c r="N313" t="s">
        <v>7</v>
      </c>
      <c r="P313">
        <f t="shared" si="964"/>
        <v>-0.24371491335123263</v>
      </c>
      <c r="Q313">
        <f t="shared" si="965"/>
        <v>-60125.407426165497</v>
      </c>
      <c r="R313">
        <f t="shared" si="966"/>
        <v>-8593076.9094825219</v>
      </c>
      <c r="S313">
        <f t="shared" si="967"/>
        <v>-85.930769094825223</v>
      </c>
      <c r="T313">
        <f t="shared" si="968"/>
        <v>-8.5930769094825221E-2</v>
      </c>
    </row>
    <row r="314" spans="1:20" x14ac:dyDescent="0.25">
      <c r="A314" s="5">
        <v>44279</v>
      </c>
      <c r="B314">
        <v>24.426400000000001</v>
      </c>
      <c r="C314">
        <v>26.39</v>
      </c>
      <c r="D314">
        <v>21.6831</v>
      </c>
      <c r="E314">
        <v>22.177600000000002</v>
      </c>
      <c r="F314">
        <v>237489.42</v>
      </c>
      <c r="G314">
        <v>0</v>
      </c>
      <c r="L314" t="s">
        <v>7</v>
      </c>
      <c r="M314" t="s">
        <v>7</v>
      </c>
      <c r="N314" t="s">
        <v>7</v>
      </c>
      <c r="P314">
        <f t="shared" si="964"/>
        <v>-0.78988293781469665</v>
      </c>
      <c r="Q314">
        <f t="shared" si="965"/>
        <v>-187588.84076950839</v>
      </c>
      <c r="R314">
        <f t="shared" si="966"/>
        <v>-8532951.5020563565</v>
      </c>
      <c r="S314">
        <f t="shared" si="967"/>
        <v>-85.329515020563562</v>
      </c>
      <c r="T314">
        <f t="shared" si="968"/>
        <v>-8.5329515020563559E-2</v>
      </c>
    </row>
    <row r="315" spans="1:20" x14ac:dyDescent="0.25">
      <c r="A315" s="5">
        <v>44278</v>
      </c>
      <c r="B315">
        <v>25.813700000000001</v>
      </c>
      <c r="C315">
        <v>27.471699999999998</v>
      </c>
      <c r="D315">
        <v>23.7714</v>
      </c>
      <c r="E315">
        <v>24.5153</v>
      </c>
      <c r="F315">
        <v>279085.09999999998</v>
      </c>
      <c r="G315">
        <v>0</v>
      </c>
      <c r="L315" t="s">
        <v>7</v>
      </c>
      <c r="M315" t="s">
        <v>7</v>
      </c>
      <c r="N315" t="s">
        <v>7</v>
      </c>
      <c r="P315">
        <f t="shared" si="964"/>
        <v>-0.59792449260870728</v>
      </c>
      <c r="Q315">
        <f t="shared" si="965"/>
        <v>-166871.81681215033</v>
      </c>
      <c r="R315">
        <f t="shared" si="966"/>
        <v>-8345362.6612868477</v>
      </c>
      <c r="S315">
        <f t="shared" si="967"/>
        <v>-83.453626612868476</v>
      </c>
      <c r="T315">
        <f t="shared" si="968"/>
        <v>-8.3453626612868481E-2</v>
      </c>
    </row>
    <row r="316" spans="1:20" x14ac:dyDescent="0.25">
      <c r="A316" s="5">
        <v>44277</v>
      </c>
      <c r="B316">
        <v>27.8398</v>
      </c>
      <c r="C316">
        <v>28.8</v>
      </c>
      <c r="D316">
        <v>25.252300000000002</v>
      </c>
      <c r="E316">
        <v>25.795000000000002</v>
      </c>
      <c r="F316">
        <v>258928.19</v>
      </c>
      <c r="G316">
        <v>0</v>
      </c>
      <c r="L316" t="s">
        <v>7</v>
      </c>
      <c r="M316" t="s">
        <v>7</v>
      </c>
      <c r="N316" t="s">
        <v>7</v>
      </c>
      <c r="P316">
        <f t="shared" si="964"/>
        <v>-0.69405530343602895</v>
      </c>
      <c r="Q316">
        <f t="shared" si="965"/>
        <v>-179710.48347859175</v>
      </c>
      <c r="R316">
        <f t="shared" si="966"/>
        <v>-8178490.8444746975</v>
      </c>
      <c r="S316">
        <f t="shared" si="967"/>
        <v>-81.784908444746975</v>
      </c>
      <c r="T316">
        <f t="shared" si="968"/>
        <v>-8.1784908444746979E-2</v>
      </c>
    </row>
    <row r="317" spans="1:20" x14ac:dyDescent="0.25">
      <c r="A317" s="5">
        <v>44276</v>
      </c>
      <c r="B317">
        <v>28.5702</v>
      </c>
      <c r="C317">
        <v>29.071899999999999</v>
      </c>
      <c r="D317">
        <v>26.678999999999998</v>
      </c>
      <c r="E317">
        <v>27.818200000000001</v>
      </c>
      <c r="F317">
        <v>222103.88</v>
      </c>
      <c r="G317">
        <v>0</v>
      </c>
      <c r="L317" t="s">
        <v>7</v>
      </c>
      <c r="M317" t="s">
        <v>7</v>
      </c>
      <c r="N317" t="s">
        <v>7</v>
      </c>
      <c r="P317">
        <f t="shared" si="964"/>
        <v>-4.7849889255713152E-2</v>
      </c>
      <c r="Q317">
        <f t="shared" si="965"/>
        <v>-10627.646061264204</v>
      </c>
      <c r="R317">
        <f t="shared" si="966"/>
        <v>-7998780.3609961057</v>
      </c>
      <c r="S317">
        <f t="shared" si="967"/>
        <v>-79.987803609961063</v>
      </c>
      <c r="T317">
        <f t="shared" si="968"/>
        <v>-7.9987803609961064E-2</v>
      </c>
    </row>
    <row r="318" spans="1:20" x14ac:dyDescent="0.25">
      <c r="A318" s="5">
        <v>44275</v>
      </c>
      <c r="B318">
        <v>29.7</v>
      </c>
      <c r="C318">
        <v>31.899699999999999</v>
      </c>
      <c r="D318">
        <v>28.51</v>
      </c>
      <c r="E318">
        <v>28.570499999999999</v>
      </c>
      <c r="F318">
        <v>222253.74</v>
      </c>
      <c r="G318">
        <v>0</v>
      </c>
      <c r="L318" t="s">
        <v>7</v>
      </c>
      <c r="M318" t="s">
        <v>7</v>
      </c>
      <c r="N318" t="s">
        <v>8</v>
      </c>
      <c r="P318">
        <f t="shared" si="964"/>
        <v>-0.96430362568959049</v>
      </c>
      <c r="Q318">
        <f t="shared" si="965"/>
        <v>-214320.08730507156</v>
      </c>
      <c r="R318">
        <f t="shared" si="966"/>
        <v>-7988152.7149348417</v>
      </c>
      <c r="S318">
        <f t="shared" si="967"/>
        <v>-79.881527149348415</v>
      </c>
      <c r="T318">
        <f t="shared" si="968"/>
        <v>-7.9881527149348416E-2</v>
      </c>
    </row>
    <row r="319" spans="1:20" x14ac:dyDescent="0.25">
      <c r="A319" s="5">
        <v>44274</v>
      </c>
      <c r="B319">
        <v>30.2836</v>
      </c>
      <c r="C319">
        <v>30.5914</v>
      </c>
      <c r="D319">
        <v>29</v>
      </c>
      <c r="E319">
        <v>29.7043</v>
      </c>
      <c r="F319">
        <v>202114.52</v>
      </c>
      <c r="G319">
        <v>0</v>
      </c>
      <c r="L319" t="s">
        <v>7</v>
      </c>
      <c r="M319" t="s">
        <v>7</v>
      </c>
      <c r="N319" t="s">
        <v>8</v>
      </c>
      <c r="P319">
        <f t="shared" si="964"/>
        <v>-0.11486741234133485</v>
      </c>
      <c r="Q319">
        <f t="shared" si="965"/>
        <v>-23216.37190901097</v>
      </c>
      <c r="R319">
        <f t="shared" si="966"/>
        <v>-7773832.62762977</v>
      </c>
      <c r="S319">
        <f t="shared" si="967"/>
        <v>-77.738326276297698</v>
      </c>
      <c r="T319">
        <f t="shared" si="968"/>
        <v>-7.7738326276297703E-2</v>
      </c>
    </row>
    <row r="320" spans="1:20" x14ac:dyDescent="0.25">
      <c r="A320" s="5">
        <v>44273</v>
      </c>
      <c r="B320">
        <v>32.1843</v>
      </c>
      <c r="C320">
        <v>32.700000000000003</v>
      </c>
      <c r="D320">
        <v>30.202999999999999</v>
      </c>
      <c r="E320">
        <v>30.2836</v>
      </c>
      <c r="F320">
        <v>275574.06</v>
      </c>
      <c r="G320">
        <v>0</v>
      </c>
      <c r="L320" t="s">
        <v>7</v>
      </c>
      <c r="M320" t="s">
        <v>7</v>
      </c>
      <c r="N320" t="s">
        <v>8</v>
      </c>
      <c r="P320">
        <f t="shared" si="964"/>
        <v>-0.9354425310372444</v>
      </c>
      <c r="Q320">
        <f t="shared" si="965"/>
        <v>-257783.69617460945</v>
      </c>
      <c r="R320">
        <f t="shared" si="966"/>
        <v>-7750616.2557207588</v>
      </c>
      <c r="S320">
        <f t="shared" si="967"/>
        <v>-77.506162557207588</v>
      </c>
      <c r="T320">
        <f t="shared" si="968"/>
        <v>-7.7506162557207589E-2</v>
      </c>
    </row>
    <row r="321" spans="1:20" x14ac:dyDescent="0.25">
      <c r="A321" s="5">
        <v>44272</v>
      </c>
      <c r="B321">
        <v>31.795100000000001</v>
      </c>
      <c r="C321">
        <v>32.705800000000004</v>
      </c>
      <c r="D321">
        <v>30</v>
      </c>
      <c r="E321">
        <v>32.184100000000001</v>
      </c>
      <c r="F321">
        <v>336493.08</v>
      </c>
      <c r="G321">
        <v>0</v>
      </c>
      <c r="L321" t="s">
        <v>8</v>
      </c>
      <c r="M321" t="s">
        <v>7</v>
      </c>
      <c r="N321" t="s">
        <v>8</v>
      </c>
      <c r="P321">
        <f t="shared" si="964"/>
        <v>0.61438391603222553</v>
      </c>
      <c r="Q321">
        <f t="shared" si="965"/>
        <v>206735.93620814497</v>
      </c>
      <c r="R321">
        <f t="shared" si="966"/>
        <v>-7492832.5595461493</v>
      </c>
      <c r="S321">
        <f t="shared" si="967"/>
        <v>-74.928325595461487</v>
      </c>
      <c r="T321">
        <f t="shared" si="968"/>
        <v>-7.492832559546149E-2</v>
      </c>
    </row>
    <row r="322" spans="1:20" x14ac:dyDescent="0.25">
      <c r="A322" s="5">
        <v>44271</v>
      </c>
      <c r="B322">
        <v>31.617899999999999</v>
      </c>
      <c r="C322">
        <v>33</v>
      </c>
      <c r="D322">
        <v>29.061699999999998</v>
      </c>
      <c r="E322">
        <v>31.805599999999998</v>
      </c>
      <c r="F322">
        <v>375846.72</v>
      </c>
      <c r="G322">
        <v>0</v>
      </c>
      <c r="L322" t="s">
        <v>7</v>
      </c>
      <c r="M322" t="s">
        <v>7</v>
      </c>
      <c r="N322" t="s">
        <v>8</v>
      </c>
      <c r="P322">
        <f t="shared" si="964"/>
        <v>0.39344387172130046</v>
      </c>
      <c r="Q322">
        <f t="shared" si="965"/>
        <v>147874.58869055152</v>
      </c>
      <c r="R322">
        <f t="shared" si="966"/>
        <v>-7699568.4957542941</v>
      </c>
      <c r="S322">
        <f t="shared" si="967"/>
        <v>-76.995684957542935</v>
      </c>
      <c r="T322">
        <f t="shared" si="968"/>
        <v>-7.6995684957542929E-2</v>
      </c>
    </row>
    <row r="323" spans="1:20" x14ac:dyDescent="0.25">
      <c r="A323" s="5">
        <v>44270</v>
      </c>
      <c r="B323">
        <v>35.187100000000001</v>
      </c>
      <c r="C323">
        <v>36.807099999999998</v>
      </c>
      <c r="D323">
        <v>31.25</v>
      </c>
      <c r="E323">
        <v>31.587599999999998</v>
      </c>
      <c r="F323">
        <v>523849.61</v>
      </c>
      <c r="G323">
        <v>0</v>
      </c>
      <c r="L323" t="s">
        <v>7</v>
      </c>
      <c r="M323" t="s">
        <v>7</v>
      </c>
      <c r="N323" t="s">
        <v>8</v>
      </c>
      <c r="P323">
        <f t="shared" si="964"/>
        <v>-0.87849777761782277</v>
      </c>
      <c r="Q323">
        <f t="shared" si="965"/>
        <v>-460200.71819096315</v>
      </c>
      <c r="R323">
        <f t="shared" si="966"/>
        <v>-7847443.084444846</v>
      </c>
      <c r="S323">
        <f t="shared" si="967"/>
        <v>-78.474430844448463</v>
      </c>
      <c r="T323">
        <f t="shared" si="968"/>
        <v>-7.8474430844448467E-2</v>
      </c>
    </row>
    <row r="324" spans="1:20" x14ac:dyDescent="0.25">
      <c r="A324" s="5">
        <v>44269</v>
      </c>
      <c r="B324">
        <v>34.121299999999998</v>
      </c>
      <c r="C324">
        <v>37.03</v>
      </c>
      <c r="D324">
        <v>33.0242</v>
      </c>
      <c r="E324">
        <v>35.193399999999997</v>
      </c>
      <c r="F324">
        <v>410144.05</v>
      </c>
      <c r="G324">
        <v>0</v>
      </c>
      <c r="L324" t="s">
        <v>8</v>
      </c>
      <c r="M324" t="s">
        <v>8</v>
      </c>
      <c r="N324" t="s">
        <v>8</v>
      </c>
      <c r="P324">
        <f t="shared" si="964"/>
        <v>8.3029607069746908E-2</v>
      </c>
      <c r="Q324">
        <f t="shared" si="965"/>
        <v>34054.099313494626</v>
      </c>
      <c r="R324">
        <f t="shared" si="966"/>
        <v>-7387242.3662538826</v>
      </c>
      <c r="S324">
        <f t="shared" si="967"/>
        <v>-73.872423662538822</v>
      </c>
      <c r="T324">
        <f t="shared" si="968"/>
        <v>-7.3872423662538822E-2</v>
      </c>
    </row>
    <row r="325" spans="1:20" x14ac:dyDescent="0.25">
      <c r="A325" s="5">
        <v>44268</v>
      </c>
      <c r="B325">
        <v>32.662199999999999</v>
      </c>
      <c r="C325">
        <v>35.32</v>
      </c>
      <c r="D325">
        <v>31.385100000000001</v>
      </c>
      <c r="E325">
        <v>34.111800000000002</v>
      </c>
      <c r="F325">
        <v>338900.12</v>
      </c>
      <c r="G325">
        <v>0</v>
      </c>
      <c r="L325" t="s">
        <v>8</v>
      </c>
      <c r="M325" t="s">
        <v>7</v>
      </c>
      <c r="N325" t="s">
        <v>8</v>
      </c>
      <c r="P325">
        <f t="shared" si="964"/>
        <v>0.38590561386566458</v>
      </c>
      <c r="Q325">
        <f t="shared" si="965"/>
        <v>130783.45884774739</v>
      </c>
      <c r="R325">
        <f t="shared" si="966"/>
        <v>-7421296.4655673774</v>
      </c>
      <c r="S325">
        <f t="shared" si="967"/>
        <v>-74.212964655673773</v>
      </c>
      <c r="T325">
        <f t="shared" si="968"/>
        <v>-7.4212964655673772E-2</v>
      </c>
    </row>
    <row r="326" spans="1:20" x14ac:dyDescent="0.25">
      <c r="A326" s="5">
        <v>44267</v>
      </c>
      <c r="B326">
        <v>32.7744</v>
      </c>
      <c r="C326">
        <v>36.209899999999998</v>
      </c>
      <c r="D326">
        <v>31.38</v>
      </c>
      <c r="E326">
        <v>32.6402</v>
      </c>
      <c r="F326">
        <v>607057.69999999995</v>
      </c>
      <c r="G326">
        <v>0</v>
      </c>
      <c r="L326" t="s">
        <v>7</v>
      </c>
      <c r="M326" t="s">
        <v>7</v>
      </c>
      <c r="N326" t="s">
        <v>8</v>
      </c>
      <c r="P326">
        <f t="shared" ref="P326:P389" si="969">IF(C326=D326,0,((E326-D326)-(C326-E326))/(C326-D326))</f>
        <v>-0.47816724983954056</v>
      </c>
      <c r="Q326">
        <f t="shared" ref="Q326:Q389" si="970">F326*P326</f>
        <v>-290275.11090291681</v>
      </c>
      <c r="R326">
        <f t="shared" ref="R326:R389" si="971">R327+Q326</f>
        <v>-7552079.9244151246</v>
      </c>
      <c r="S326">
        <f t="shared" ref="S326:S389" si="972">R326/100000</f>
        <v>-75.520799244151249</v>
      </c>
      <c r="T326">
        <f t="shared" ref="T326:T389" si="973">S326/1000</f>
        <v>-7.5520799244151254E-2</v>
      </c>
    </row>
    <row r="327" spans="1:20" x14ac:dyDescent="0.25">
      <c r="A327" s="5">
        <v>44266</v>
      </c>
      <c r="B327">
        <v>34.793100000000003</v>
      </c>
      <c r="C327">
        <v>35.7776</v>
      </c>
      <c r="D327">
        <v>32.503500000000003</v>
      </c>
      <c r="E327">
        <v>32.730499999999999</v>
      </c>
      <c r="F327">
        <v>298605.82</v>
      </c>
      <c r="G327">
        <v>0</v>
      </c>
      <c r="L327" t="s">
        <v>7</v>
      </c>
      <c r="M327" t="s">
        <v>7</v>
      </c>
      <c r="N327" t="s">
        <v>8</v>
      </c>
      <c r="P327">
        <f t="shared" si="969"/>
        <v>-0.86133593964753863</v>
      </c>
      <c r="Q327">
        <f t="shared" si="970"/>
        <v>-257199.9245539238</v>
      </c>
      <c r="R327">
        <f t="shared" si="971"/>
        <v>-7261804.8135122079</v>
      </c>
      <c r="S327">
        <f t="shared" si="972"/>
        <v>-72.618048135122081</v>
      </c>
      <c r="T327">
        <f t="shared" si="973"/>
        <v>-7.2618048135122085E-2</v>
      </c>
    </row>
    <row r="328" spans="1:20" x14ac:dyDescent="0.25">
      <c r="A328" s="5">
        <v>44265</v>
      </c>
      <c r="B328">
        <v>37.569899999999997</v>
      </c>
      <c r="C328">
        <v>38</v>
      </c>
      <c r="D328">
        <v>34</v>
      </c>
      <c r="E328">
        <v>34.8005</v>
      </c>
      <c r="F328">
        <v>374580.36</v>
      </c>
      <c r="G328">
        <v>0</v>
      </c>
      <c r="L328" t="s">
        <v>7</v>
      </c>
      <c r="M328" t="s">
        <v>8</v>
      </c>
      <c r="N328" t="s">
        <v>8</v>
      </c>
      <c r="P328">
        <f t="shared" si="969"/>
        <v>-0.59975000000000023</v>
      </c>
      <c r="Q328">
        <f t="shared" si="970"/>
        <v>-224654.57091000007</v>
      </c>
      <c r="R328">
        <f t="shared" si="971"/>
        <v>-7004604.8889582837</v>
      </c>
      <c r="S328">
        <f t="shared" si="972"/>
        <v>-70.046048889582835</v>
      </c>
      <c r="T328">
        <f t="shared" si="973"/>
        <v>-7.0046048889582838E-2</v>
      </c>
    </row>
    <row r="329" spans="1:20" x14ac:dyDescent="0.25">
      <c r="A329" s="5">
        <v>44264</v>
      </c>
      <c r="B329">
        <v>33.532200000000003</v>
      </c>
      <c r="C329">
        <v>39</v>
      </c>
      <c r="D329">
        <v>32.957599999999999</v>
      </c>
      <c r="E329">
        <v>37.578299999999999</v>
      </c>
      <c r="F329">
        <v>576758.30000000005</v>
      </c>
      <c r="G329">
        <v>0</v>
      </c>
      <c r="L329" t="s">
        <v>8</v>
      </c>
      <c r="M329" t="s">
        <v>8</v>
      </c>
      <c r="N329" t="s">
        <v>8</v>
      </c>
      <c r="P329">
        <f t="shared" si="969"/>
        <v>0.52942539388322485</v>
      </c>
      <c r="Q329">
        <f t="shared" si="970"/>
        <v>305350.4901529192</v>
      </c>
      <c r="R329">
        <f t="shared" si="971"/>
        <v>-6779950.3180482835</v>
      </c>
      <c r="S329">
        <f t="shared" si="972"/>
        <v>-67.79950318048283</v>
      </c>
      <c r="T329">
        <f t="shared" si="973"/>
        <v>-6.7799503180482834E-2</v>
      </c>
    </row>
    <row r="330" spans="1:20" x14ac:dyDescent="0.25">
      <c r="A330" s="5">
        <v>44263</v>
      </c>
      <c r="B330">
        <v>34.285299999999999</v>
      </c>
      <c r="C330">
        <v>34.999000000000002</v>
      </c>
      <c r="D330">
        <v>32.156599999999997</v>
      </c>
      <c r="E330">
        <v>33.468299999999999</v>
      </c>
      <c r="F330">
        <v>297074.89</v>
      </c>
      <c r="G330">
        <v>0</v>
      </c>
      <c r="L330" t="s">
        <v>7</v>
      </c>
      <c r="M330" t="s">
        <v>8</v>
      </c>
      <c r="N330" t="s">
        <v>8</v>
      </c>
      <c r="P330">
        <f t="shared" si="969"/>
        <v>-7.7047565437658602E-2</v>
      </c>
      <c r="Q330">
        <f t="shared" si="970"/>
        <v>-22888.897027160234</v>
      </c>
      <c r="R330">
        <f t="shared" si="971"/>
        <v>-7085300.8082012031</v>
      </c>
      <c r="S330">
        <f t="shared" si="972"/>
        <v>-70.853008082012025</v>
      </c>
      <c r="T330">
        <f t="shared" si="973"/>
        <v>-7.0853008082012031E-2</v>
      </c>
    </row>
    <row r="331" spans="1:20" x14ac:dyDescent="0.25">
      <c r="A331" s="5">
        <v>44262</v>
      </c>
      <c r="B331">
        <v>33.415100000000002</v>
      </c>
      <c r="C331">
        <v>37.549900000000001</v>
      </c>
      <c r="D331">
        <v>32.7667</v>
      </c>
      <c r="E331">
        <v>34.285400000000003</v>
      </c>
      <c r="F331">
        <v>402353.99</v>
      </c>
      <c r="G331">
        <v>0</v>
      </c>
      <c r="L331" t="s">
        <v>8</v>
      </c>
      <c r="M331" t="s">
        <v>8</v>
      </c>
      <c r="N331" t="s">
        <v>8</v>
      </c>
      <c r="P331">
        <f t="shared" si="969"/>
        <v>-0.36498578357584782</v>
      </c>
      <c r="Q331">
        <f t="shared" si="970"/>
        <v>-146853.48631501885</v>
      </c>
      <c r="R331">
        <f t="shared" si="971"/>
        <v>-7062411.9111740431</v>
      </c>
      <c r="S331">
        <f t="shared" si="972"/>
        <v>-70.624119111740427</v>
      </c>
      <c r="T331">
        <f t="shared" si="973"/>
        <v>-7.0624119111740422E-2</v>
      </c>
    </row>
    <row r="332" spans="1:20" x14ac:dyDescent="0.25">
      <c r="A332" s="5">
        <v>44261</v>
      </c>
      <c r="B332">
        <v>31.156300000000002</v>
      </c>
      <c r="C332">
        <v>34.5</v>
      </c>
      <c r="D332">
        <v>30.886700000000001</v>
      </c>
      <c r="E332">
        <v>33.447099999999999</v>
      </c>
      <c r="F332">
        <v>391173.43</v>
      </c>
      <c r="G332">
        <v>0</v>
      </c>
      <c r="L332" t="s">
        <v>8</v>
      </c>
      <c r="M332" t="s">
        <v>8</v>
      </c>
      <c r="N332" t="s">
        <v>7</v>
      </c>
      <c r="P332">
        <f t="shared" si="969"/>
        <v>0.41720864583621542</v>
      </c>
      <c r="Q332">
        <f t="shared" si="970"/>
        <v>163200.93701740759</v>
      </c>
      <c r="R332">
        <f t="shared" si="971"/>
        <v>-6915558.4248590246</v>
      </c>
      <c r="S332">
        <f t="shared" si="972"/>
        <v>-69.155584248590245</v>
      </c>
      <c r="T332">
        <f t="shared" si="973"/>
        <v>-6.9155584248590238E-2</v>
      </c>
    </row>
    <row r="333" spans="1:20" x14ac:dyDescent="0.25">
      <c r="A333" s="5">
        <v>44260</v>
      </c>
      <c r="B333">
        <v>30.628799999999998</v>
      </c>
      <c r="C333">
        <v>33.337800000000001</v>
      </c>
      <c r="D333">
        <v>28</v>
      </c>
      <c r="E333">
        <v>31.1555</v>
      </c>
      <c r="F333">
        <v>479865.14</v>
      </c>
      <c r="G333">
        <v>0</v>
      </c>
      <c r="L333" t="s">
        <v>7</v>
      </c>
      <c r="M333" t="s">
        <v>7</v>
      </c>
      <c r="N333" t="s">
        <v>7</v>
      </c>
      <c r="P333">
        <f t="shared" si="969"/>
        <v>0.18232230506950398</v>
      </c>
      <c r="Q333">
        <f t="shared" si="970"/>
        <v>87490.118447300236</v>
      </c>
      <c r="R333">
        <f t="shared" si="971"/>
        <v>-7078759.3618764319</v>
      </c>
      <c r="S333">
        <f t="shared" si="972"/>
        <v>-70.787593618764319</v>
      </c>
      <c r="T333">
        <f t="shared" si="973"/>
        <v>-7.0787593618764313E-2</v>
      </c>
    </row>
    <row r="334" spans="1:20" x14ac:dyDescent="0.25">
      <c r="A334" s="5">
        <v>44259</v>
      </c>
      <c r="B334">
        <v>34.290799999999997</v>
      </c>
      <c r="C334">
        <v>37.1</v>
      </c>
      <c r="D334">
        <v>30.429600000000001</v>
      </c>
      <c r="E334">
        <v>30.645800000000001</v>
      </c>
      <c r="F334">
        <v>511158.71</v>
      </c>
      <c r="G334">
        <v>0</v>
      </c>
      <c r="L334" t="s">
        <v>7</v>
      </c>
      <c r="M334" t="s">
        <v>7</v>
      </c>
      <c r="N334" t="s">
        <v>7</v>
      </c>
      <c r="P334">
        <f t="shared" si="969"/>
        <v>-0.93517630127128792</v>
      </c>
      <c r="Q334">
        <f t="shared" si="970"/>
        <v>-478023.51178040291</v>
      </c>
      <c r="R334">
        <f t="shared" si="971"/>
        <v>-7166249.4803237319</v>
      </c>
      <c r="S334">
        <f t="shared" si="972"/>
        <v>-71.662494803237323</v>
      </c>
      <c r="T334">
        <f t="shared" si="973"/>
        <v>-7.1662494803237317E-2</v>
      </c>
    </row>
    <row r="335" spans="1:20" x14ac:dyDescent="0.25">
      <c r="A335" s="5">
        <v>44258</v>
      </c>
      <c r="B335">
        <v>36.341999999999999</v>
      </c>
      <c r="C335">
        <v>37.7971</v>
      </c>
      <c r="D335">
        <v>34.150100000000002</v>
      </c>
      <c r="E335">
        <v>34.279499999999999</v>
      </c>
      <c r="F335">
        <v>582488.28</v>
      </c>
      <c r="G335">
        <v>0</v>
      </c>
      <c r="L335" t="s">
        <v>8</v>
      </c>
      <c r="M335" t="s">
        <v>7</v>
      </c>
      <c r="N335" t="s">
        <v>8</v>
      </c>
      <c r="P335">
        <f t="shared" si="969"/>
        <v>-0.92903756512201985</v>
      </c>
      <c r="Q335">
        <f t="shared" si="970"/>
        <v>-541153.49336331338</v>
      </c>
      <c r="R335">
        <f t="shared" si="971"/>
        <v>-6688225.9685433293</v>
      </c>
      <c r="S335">
        <f t="shared" si="972"/>
        <v>-66.882259685433297</v>
      </c>
      <c r="T335">
        <f t="shared" si="973"/>
        <v>-6.6882259685433293E-2</v>
      </c>
    </row>
    <row r="336" spans="1:20" x14ac:dyDescent="0.25">
      <c r="A336" s="5">
        <v>44257</v>
      </c>
      <c r="B336">
        <v>41.932000000000002</v>
      </c>
      <c r="C336">
        <v>42.467199999999998</v>
      </c>
      <c r="D336">
        <v>34.433</v>
      </c>
      <c r="E336">
        <v>36.322200000000002</v>
      </c>
      <c r="F336">
        <v>816696.39</v>
      </c>
      <c r="G336">
        <v>0</v>
      </c>
      <c r="L336" t="s">
        <v>7</v>
      </c>
      <c r="M336" t="s">
        <v>7</v>
      </c>
      <c r="N336" t="s">
        <v>8</v>
      </c>
      <c r="P336">
        <f t="shared" si="969"/>
        <v>-0.52971048766523043</v>
      </c>
      <c r="Q336">
        <f t="shared" si="970"/>
        <v>-432612.64302133321</v>
      </c>
      <c r="R336">
        <f t="shared" si="971"/>
        <v>-6147072.4751800159</v>
      </c>
      <c r="S336">
        <f t="shared" si="972"/>
        <v>-61.470724751800162</v>
      </c>
      <c r="T336">
        <f t="shared" si="973"/>
        <v>-6.1470724751800161E-2</v>
      </c>
    </row>
    <row r="337" spans="1:20" x14ac:dyDescent="0.25">
      <c r="A337" s="5">
        <v>44256</v>
      </c>
      <c r="B337">
        <v>35.846299999999999</v>
      </c>
      <c r="C337">
        <v>44.3992</v>
      </c>
      <c r="D337">
        <v>35.506900000000002</v>
      </c>
      <c r="E337">
        <v>41.921900000000001</v>
      </c>
      <c r="F337">
        <v>1309090.72</v>
      </c>
      <c r="G337">
        <v>0</v>
      </c>
      <c r="L337" t="s">
        <v>8</v>
      </c>
      <c r="M337" t="s">
        <v>8</v>
      </c>
      <c r="N337" t="s">
        <v>8</v>
      </c>
      <c r="P337">
        <f t="shared" si="969"/>
        <v>0.44282131731947866</v>
      </c>
      <c r="Q337">
        <f t="shared" si="970"/>
        <v>579693.27712110477</v>
      </c>
      <c r="R337">
        <f t="shared" si="971"/>
        <v>-5714459.8321586829</v>
      </c>
      <c r="S337">
        <f t="shared" si="972"/>
        <v>-57.144598321586827</v>
      </c>
      <c r="T337">
        <f t="shared" si="973"/>
        <v>-5.7144598321586824E-2</v>
      </c>
    </row>
    <row r="338" spans="1:20" x14ac:dyDescent="0.25">
      <c r="A338" s="5">
        <v>44255</v>
      </c>
      <c r="B338">
        <v>35.862699999999997</v>
      </c>
      <c r="C338">
        <v>37.85</v>
      </c>
      <c r="D338">
        <v>30</v>
      </c>
      <c r="E338">
        <v>35.758600000000001</v>
      </c>
      <c r="F338">
        <v>1429375.91</v>
      </c>
      <c r="G338">
        <v>0</v>
      </c>
      <c r="L338" t="s">
        <v>7</v>
      </c>
      <c r="M338" t="s">
        <v>7</v>
      </c>
      <c r="N338" t="s">
        <v>8</v>
      </c>
      <c r="P338">
        <f t="shared" si="969"/>
        <v>0.46715923566878986</v>
      </c>
      <c r="Q338">
        <f t="shared" si="970"/>
        <v>667746.15759898094</v>
      </c>
      <c r="R338">
        <f t="shared" si="971"/>
        <v>-6294153.1092797881</v>
      </c>
      <c r="S338">
        <f t="shared" si="972"/>
        <v>-62.941531092797881</v>
      </c>
      <c r="T338">
        <f t="shared" si="973"/>
        <v>-6.2941531092797876E-2</v>
      </c>
    </row>
    <row r="339" spans="1:20" x14ac:dyDescent="0.25">
      <c r="A339" s="5">
        <v>44254</v>
      </c>
      <c r="B339">
        <v>28.555599999999998</v>
      </c>
      <c r="C339">
        <v>38.885199999999998</v>
      </c>
      <c r="D339">
        <v>28.5</v>
      </c>
      <c r="E339">
        <v>35.872700000000002</v>
      </c>
      <c r="F339">
        <v>1532386.69</v>
      </c>
      <c r="G339">
        <v>0</v>
      </c>
      <c r="L339" t="s">
        <v>8</v>
      </c>
      <c r="M339" t="s">
        <v>8</v>
      </c>
      <c r="N339" t="s">
        <v>8</v>
      </c>
      <c r="P339">
        <f t="shared" si="969"/>
        <v>0.41984747525324567</v>
      </c>
      <c r="Q339">
        <f t="shared" si="970"/>
        <v>643368.68290817807</v>
      </c>
      <c r="R339">
        <f t="shared" si="971"/>
        <v>-6961899.2668787688</v>
      </c>
      <c r="S339">
        <f t="shared" si="972"/>
        <v>-69.618992668787683</v>
      </c>
      <c r="T339">
        <f t="shared" si="973"/>
        <v>-6.9618992668787683E-2</v>
      </c>
    </row>
    <row r="340" spans="1:20" x14ac:dyDescent="0.25">
      <c r="A340" s="5">
        <v>44253</v>
      </c>
      <c r="B340">
        <v>28.606000000000002</v>
      </c>
      <c r="C340">
        <v>32.790799999999997</v>
      </c>
      <c r="D340">
        <v>25.21</v>
      </c>
      <c r="E340">
        <v>28.55</v>
      </c>
      <c r="F340">
        <v>1411077.1</v>
      </c>
      <c r="G340">
        <v>0</v>
      </c>
      <c r="L340" t="s">
        <v>7</v>
      </c>
      <c r="M340" t="s">
        <v>7</v>
      </c>
      <c r="N340" t="s">
        <v>7</v>
      </c>
      <c r="P340">
        <f t="shared" si="969"/>
        <v>-0.11882650907555893</v>
      </c>
      <c r="Q340">
        <f t="shared" si="970"/>
        <v>-167673.36582946338</v>
      </c>
      <c r="R340">
        <f t="shared" si="971"/>
        <v>-7605267.9497869471</v>
      </c>
      <c r="S340">
        <f t="shared" si="972"/>
        <v>-76.052679497869477</v>
      </c>
      <c r="T340">
        <f t="shared" si="973"/>
        <v>-7.605267949786948E-2</v>
      </c>
    </row>
    <row r="341" spans="1:20" x14ac:dyDescent="0.25">
      <c r="A341" s="5">
        <v>44252</v>
      </c>
      <c r="B341">
        <v>32.146599999999999</v>
      </c>
      <c r="C341">
        <v>39.181699999999999</v>
      </c>
      <c r="D341">
        <v>28.04</v>
      </c>
      <c r="E341">
        <v>28.5654</v>
      </c>
      <c r="F341">
        <v>2417646.7000000002</v>
      </c>
      <c r="G341">
        <v>0</v>
      </c>
      <c r="L341" t="s">
        <v>8</v>
      </c>
      <c r="M341" t="s">
        <v>8</v>
      </c>
      <c r="N341" t="s">
        <v>8</v>
      </c>
      <c r="P341">
        <f t="shared" si="969"/>
        <v>-0.90568764192178908</v>
      </c>
      <c r="Q341">
        <f t="shared" si="970"/>
        <v>-2189632.7387229954</v>
      </c>
      <c r="R341">
        <f t="shared" si="971"/>
        <v>-7437594.583957484</v>
      </c>
      <c r="S341">
        <f t="shared" si="972"/>
        <v>-74.37594583957484</v>
      </c>
      <c r="T341">
        <f t="shared" si="973"/>
        <v>-7.4375945839574839E-2</v>
      </c>
    </row>
    <row r="342" spans="1:20" x14ac:dyDescent="0.25">
      <c r="A342" s="5">
        <v>44251</v>
      </c>
      <c r="B342">
        <v>20.997199999999999</v>
      </c>
      <c r="C342">
        <v>33.65</v>
      </c>
      <c r="D342">
        <v>19.38</v>
      </c>
      <c r="E342">
        <v>32.023699999999998</v>
      </c>
      <c r="F342">
        <v>2670579.5</v>
      </c>
      <c r="G342">
        <v>0</v>
      </c>
      <c r="L342" t="s">
        <v>8</v>
      </c>
      <c r="M342" t="s">
        <v>8</v>
      </c>
      <c r="N342" t="s">
        <v>8</v>
      </c>
      <c r="P342">
        <f t="shared" si="969"/>
        <v>0.77206727400140152</v>
      </c>
      <c r="Q342">
        <f t="shared" si="970"/>
        <v>2061867.034569026</v>
      </c>
      <c r="R342">
        <f t="shared" si="971"/>
        <v>-5247961.8452344881</v>
      </c>
      <c r="S342">
        <f t="shared" si="972"/>
        <v>-52.47961845234488</v>
      </c>
      <c r="T342">
        <f t="shared" si="973"/>
        <v>-5.2479618452344882E-2</v>
      </c>
    </row>
    <row r="343" spans="1:20" x14ac:dyDescent="0.25">
      <c r="A343" s="5">
        <v>44250</v>
      </c>
      <c r="B343">
        <v>26.062899999999999</v>
      </c>
      <c r="C343">
        <v>28.9801</v>
      </c>
      <c r="D343">
        <v>16.5</v>
      </c>
      <c r="E343">
        <v>21.024999999999999</v>
      </c>
      <c r="F343">
        <v>1396339.76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-0.27484555412216272</v>
      </c>
      <c r="Q343">
        <f t="shared" si="970"/>
        <v>-383777.77508000768</v>
      </c>
      <c r="R343">
        <f t="shared" si="971"/>
        <v>-7309828.8798035141</v>
      </c>
      <c r="S343">
        <f t="shared" si="972"/>
        <v>-73.098288798035142</v>
      </c>
      <c r="T343">
        <f t="shared" si="973"/>
        <v>-7.3098288798035135E-2</v>
      </c>
    </row>
    <row r="344" spans="1:20" x14ac:dyDescent="0.25">
      <c r="A344" s="5">
        <v>44249</v>
      </c>
      <c r="B344">
        <v>24.330200000000001</v>
      </c>
      <c r="C344">
        <v>26.5</v>
      </c>
      <c r="D344">
        <v>18.579999999999998</v>
      </c>
      <c r="E344">
        <v>26.090599999999998</v>
      </c>
      <c r="F344">
        <v>1041915.94</v>
      </c>
      <c r="G344">
        <v>0</v>
      </c>
      <c r="L344" t="s">
        <v>7</v>
      </c>
      <c r="M344" t="s">
        <v>7</v>
      </c>
      <c r="N344" t="s">
        <v>7</v>
      </c>
      <c r="P344">
        <f t="shared" si="969"/>
        <v>0.8966161616161612</v>
      </c>
      <c r="Q344">
        <f t="shared" si="970"/>
        <v>934198.67084949452</v>
      </c>
      <c r="R344">
        <f t="shared" si="971"/>
        <v>-6926051.1047235066</v>
      </c>
      <c r="S344">
        <f t="shared" si="972"/>
        <v>-69.26051104723507</v>
      </c>
      <c r="T344">
        <f t="shared" si="973"/>
        <v>-6.9260511047235074E-2</v>
      </c>
    </row>
    <row r="345" spans="1:20" x14ac:dyDescent="0.25">
      <c r="A345" s="5">
        <v>44248</v>
      </c>
      <c r="B345">
        <v>23.072299999999998</v>
      </c>
      <c r="C345">
        <v>26.302099999999999</v>
      </c>
      <c r="D345">
        <v>22.281600000000001</v>
      </c>
      <c r="E345">
        <v>24.3215</v>
      </c>
      <c r="F345">
        <v>532537.1</v>
      </c>
      <c r="G345">
        <v>0</v>
      </c>
      <c r="L345" t="s">
        <v>8</v>
      </c>
      <c r="M345" t="s">
        <v>8</v>
      </c>
      <c r="N345" t="s">
        <v>7</v>
      </c>
      <c r="P345">
        <f t="shared" si="969"/>
        <v>1.4749409277453147E-2</v>
      </c>
      <c r="Q345">
        <f t="shared" si="970"/>
        <v>7854.6076433279941</v>
      </c>
      <c r="R345">
        <f t="shared" si="971"/>
        <v>-7860249.7755730012</v>
      </c>
      <c r="S345">
        <f t="shared" si="972"/>
        <v>-78.602497755730013</v>
      </c>
      <c r="T345">
        <f t="shared" si="973"/>
        <v>-7.8602497755730014E-2</v>
      </c>
    </row>
    <row r="346" spans="1:20" x14ac:dyDescent="0.25">
      <c r="A346" s="5">
        <v>44247</v>
      </c>
      <c r="B346">
        <v>26.928799999999999</v>
      </c>
      <c r="C346">
        <v>26.9846</v>
      </c>
      <c r="D346">
        <v>20.715399999999999</v>
      </c>
      <c r="E346">
        <v>23.023399999999999</v>
      </c>
      <c r="F346">
        <v>766402.69</v>
      </c>
      <c r="G346">
        <v>0</v>
      </c>
      <c r="L346" t="s">
        <v>7</v>
      </c>
      <c r="M346" t="s">
        <v>7</v>
      </c>
      <c r="N346" t="s">
        <v>7</v>
      </c>
      <c r="P346">
        <f t="shared" si="969"/>
        <v>-0.2637019077394247</v>
      </c>
      <c r="Q346">
        <f t="shared" si="970"/>
        <v>-202101.85144962691</v>
      </c>
      <c r="R346">
        <f t="shared" si="971"/>
        <v>-7868104.3832163289</v>
      </c>
      <c r="S346">
        <f t="shared" si="972"/>
        <v>-78.681043832163283</v>
      </c>
      <c r="T346">
        <f t="shared" si="973"/>
        <v>-7.8681043832163289E-2</v>
      </c>
    </row>
    <row r="347" spans="1:20" x14ac:dyDescent="0.25">
      <c r="A347" s="5">
        <v>44246</v>
      </c>
      <c r="B347">
        <v>29.616199999999999</v>
      </c>
      <c r="C347">
        <v>30.3383</v>
      </c>
      <c r="D347">
        <v>22.0001</v>
      </c>
      <c r="E347">
        <v>26.928799999999999</v>
      </c>
      <c r="F347">
        <v>1186914.81</v>
      </c>
      <c r="G347">
        <v>0</v>
      </c>
      <c r="L347" t="s">
        <v>7</v>
      </c>
      <c r="M347" t="s">
        <v>7</v>
      </c>
      <c r="N347" t="s">
        <v>7</v>
      </c>
      <c r="P347">
        <f t="shared" si="969"/>
        <v>0.18219759660358326</v>
      </c>
      <c r="Q347">
        <f t="shared" si="970"/>
        <v>216253.02575519867</v>
      </c>
      <c r="R347">
        <f t="shared" si="971"/>
        <v>-7666002.5317667024</v>
      </c>
      <c r="S347">
        <f t="shared" si="972"/>
        <v>-76.660025317667021</v>
      </c>
      <c r="T347">
        <f t="shared" si="973"/>
        <v>-7.6660025317667024E-2</v>
      </c>
    </row>
    <row r="348" spans="1:20" x14ac:dyDescent="0.25">
      <c r="A348" s="5">
        <v>44245</v>
      </c>
      <c r="B348">
        <v>25.409199999999998</v>
      </c>
      <c r="C348">
        <v>32.322400000000002</v>
      </c>
      <c r="D348">
        <v>25.236999999999998</v>
      </c>
      <c r="E348">
        <v>29.616399999999999</v>
      </c>
      <c r="F348">
        <v>738794.12</v>
      </c>
      <c r="G348">
        <v>0</v>
      </c>
      <c r="L348" t="s">
        <v>8</v>
      </c>
      <c r="M348" t="s">
        <v>8</v>
      </c>
      <c r="N348" t="s">
        <v>8</v>
      </c>
      <c r="P348">
        <f t="shared" si="969"/>
        <v>0.23617579812007741</v>
      </c>
      <c r="Q348">
        <f t="shared" si="970"/>
        <v>174485.29093742024</v>
      </c>
      <c r="R348">
        <f t="shared" si="971"/>
        <v>-7882255.5575219011</v>
      </c>
      <c r="S348">
        <f t="shared" si="972"/>
        <v>-78.822555575219013</v>
      </c>
      <c r="T348">
        <f t="shared" si="973"/>
        <v>-7.8822555575219014E-2</v>
      </c>
    </row>
    <row r="349" spans="1:20" x14ac:dyDescent="0.25">
      <c r="A349" s="5">
        <v>44244</v>
      </c>
      <c r="B349">
        <v>21.561199999999999</v>
      </c>
      <c r="C349">
        <v>29.0899</v>
      </c>
      <c r="D349">
        <v>20</v>
      </c>
      <c r="E349">
        <v>25.3689</v>
      </c>
      <c r="F349">
        <v>901322.93</v>
      </c>
      <c r="G349">
        <v>0</v>
      </c>
      <c r="L349" t="s">
        <v>8</v>
      </c>
      <c r="M349" t="s">
        <v>8</v>
      </c>
      <c r="N349" t="s">
        <v>8</v>
      </c>
      <c r="P349">
        <f t="shared" si="969"/>
        <v>0.18128912309266326</v>
      </c>
      <c r="Q349">
        <f t="shared" si="970"/>
        <v>163400.04360300992</v>
      </c>
      <c r="R349">
        <f t="shared" si="971"/>
        <v>-8056740.8484593211</v>
      </c>
      <c r="S349">
        <f t="shared" si="972"/>
        <v>-80.567408484593216</v>
      </c>
      <c r="T349">
        <f t="shared" si="973"/>
        <v>-8.056740848459322E-2</v>
      </c>
    </row>
    <row r="350" spans="1:20" x14ac:dyDescent="0.25">
      <c r="A350" s="5">
        <v>44243</v>
      </c>
      <c r="B350">
        <v>22.0808</v>
      </c>
      <c r="C350">
        <v>22.6999</v>
      </c>
      <c r="D350">
        <v>20.105</v>
      </c>
      <c r="E350">
        <v>21.626899999999999</v>
      </c>
      <c r="F350">
        <v>240891.96</v>
      </c>
      <c r="G350">
        <v>0</v>
      </c>
      <c r="L350" t="s">
        <v>8</v>
      </c>
      <c r="M350" t="s">
        <v>8</v>
      </c>
      <c r="N350" t="s">
        <v>7</v>
      </c>
      <c r="P350">
        <f t="shared" si="969"/>
        <v>0.17299317892789642</v>
      </c>
      <c r="Q350">
        <f t="shared" si="970"/>
        <v>41672.66593857167</v>
      </c>
      <c r="R350">
        <f t="shared" si="971"/>
        <v>-8220140.8920623306</v>
      </c>
      <c r="S350">
        <f t="shared" si="972"/>
        <v>-82.201408920623308</v>
      </c>
      <c r="T350">
        <f t="shared" si="973"/>
        <v>-8.2201408920623303E-2</v>
      </c>
    </row>
    <row r="351" spans="1:20" x14ac:dyDescent="0.25">
      <c r="A351" s="5">
        <v>44242</v>
      </c>
      <c r="B351">
        <v>23.180700000000002</v>
      </c>
      <c r="C351">
        <v>24.5</v>
      </c>
      <c r="D351">
        <v>18.518999999999998</v>
      </c>
      <c r="E351">
        <v>22.0169</v>
      </c>
      <c r="F351">
        <v>473167.12</v>
      </c>
      <c r="G351">
        <v>0</v>
      </c>
      <c r="L351" t="s">
        <v>7</v>
      </c>
      <c r="M351" t="s">
        <v>7</v>
      </c>
      <c r="N351" t="s">
        <v>7</v>
      </c>
      <c r="P351">
        <f t="shared" si="969"/>
        <v>0.16967062364153165</v>
      </c>
      <c r="Q351">
        <f t="shared" si="970"/>
        <v>80282.560337067451</v>
      </c>
      <c r="R351">
        <f t="shared" si="971"/>
        <v>-8261813.5580009026</v>
      </c>
      <c r="S351">
        <f t="shared" si="972"/>
        <v>-82.618135580009024</v>
      </c>
      <c r="T351">
        <f t="shared" si="973"/>
        <v>-8.2618135580009022E-2</v>
      </c>
    </row>
    <row r="352" spans="1:20" x14ac:dyDescent="0.25">
      <c r="A352" s="5">
        <v>44241</v>
      </c>
      <c r="B352">
        <v>27.783999999999999</v>
      </c>
      <c r="C352">
        <v>28.105599999999999</v>
      </c>
      <c r="D352">
        <v>21.1</v>
      </c>
      <c r="E352">
        <v>23.159600000000001</v>
      </c>
      <c r="F352">
        <v>426475.73</v>
      </c>
      <c r="G352">
        <v>0</v>
      </c>
      <c r="L352" t="s">
        <v>7</v>
      </c>
      <c r="M352" t="s">
        <v>7</v>
      </c>
      <c r="N352" t="s">
        <v>7</v>
      </c>
      <c r="P352">
        <f t="shared" si="969"/>
        <v>-0.41201324654562055</v>
      </c>
      <c r="Q352">
        <f t="shared" si="970"/>
        <v>-175713.65009021349</v>
      </c>
      <c r="R352">
        <f t="shared" si="971"/>
        <v>-8342096.1183379702</v>
      </c>
      <c r="S352">
        <f t="shared" si="972"/>
        <v>-83.420961183379703</v>
      </c>
      <c r="T352">
        <f t="shared" si="973"/>
        <v>-8.3420961183379702E-2</v>
      </c>
    </row>
    <row r="353" spans="1:20" x14ac:dyDescent="0.25">
      <c r="A353" s="5">
        <v>44240</v>
      </c>
      <c r="B353">
        <v>26.1449</v>
      </c>
      <c r="C353">
        <v>31.07</v>
      </c>
      <c r="D353">
        <v>25.1</v>
      </c>
      <c r="E353">
        <v>27.867699999999999</v>
      </c>
      <c r="F353">
        <v>519003.43</v>
      </c>
      <c r="G353">
        <v>0</v>
      </c>
      <c r="L353" t="s">
        <v>8</v>
      </c>
      <c r="M353" t="s">
        <v>8</v>
      </c>
      <c r="N353" t="s">
        <v>8</v>
      </c>
      <c r="P353">
        <f t="shared" si="969"/>
        <v>-7.2797319932998872E-2</v>
      </c>
      <c r="Q353">
        <f t="shared" si="970"/>
        <v>-37782.058740033783</v>
      </c>
      <c r="R353">
        <f t="shared" si="971"/>
        <v>-8166382.4682477564</v>
      </c>
      <c r="S353">
        <f t="shared" si="972"/>
        <v>-81.663824682477568</v>
      </c>
      <c r="T353">
        <f t="shared" si="973"/>
        <v>-8.166382468247757E-2</v>
      </c>
    </row>
    <row r="354" spans="1:20" x14ac:dyDescent="0.25">
      <c r="A354" s="5">
        <v>44239</v>
      </c>
      <c r="B354">
        <v>25.926600000000001</v>
      </c>
      <c r="C354">
        <v>29.3673</v>
      </c>
      <c r="D354">
        <v>24.5</v>
      </c>
      <c r="E354">
        <v>25.9816</v>
      </c>
      <c r="F354">
        <v>553435.06000000006</v>
      </c>
      <c r="G354">
        <v>0</v>
      </c>
      <c r="L354" t="s">
        <v>7</v>
      </c>
      <c r="M354" t="s">
        <v>8</v>
      </c>
      <c r="N354" t="s">
        <v>8</v>
      </c>
      <c r="P354">
        <f t="shared" si="969"/>
        <v>-0.39120251474123224</v>
      </c>
      <c r="Q354">
        <f t="shared" si="970"/>
        <v>-216505.18721796476</v>
      </c>
      <c r="R354">
        <f t="shared" si="971"/>
        <v>-8128600.4095077226</v>
      </c>
      <c r="S354">
        <f t="shared" si="972"/>
        <v>-81.286004095077232</v>
      </c>
      <c r="T354">
        <f t="shared" si="973"/>
        <v>-8.1286004095077233E-2</v>
      </c>
    </row>
    <row r="355" spans="1:20" x14ac:dyDescent="0.25">
      <c r="A355" s="5">
        <v>44238</v>
      </c>
      <c r="B355">
        <v>27.8339</v>
      </c>
      <c r="C355">
        <v>31.889600000000002</v>
      </c>
      <c r="D355">
        <v>25.02</v>
      </c>
      <c r="E355">
        <v>25.927800000000001</v>
      </c>
      <c r="F355">
        <v>551530.4</v>
      </c>
      <c r="G355">
        <v>0</v>
      </c>
      <c r="L355" t="s">
        <v>7</v>
      </c>
      <c r="M355" t="s">
        <v>7</v>
      </c>
      <c r="N355" t="s">
        <v>8</v>
      </c>
      <c r="P355">
        <f t="shared" si="969"/>
        <v>-0.73570513567019868</v>
      </c>
      <c r="Q355">
        <f t="shared" si="970"/>
        <v>-405763.74775823898</v>
      </c>
      <c r="R355">
        <f t="shared" si="971"/>
        <v>-7912095.2222897578</v>
      </c>
      <c r="S355">
        <f t="shared" si="972"/>
        <v>-79.120952222897571</v>
      </c>
      <c r="T355">
        <f t="shared" si="973"/>
        <v>-7.912095222289757E-2</v>
      </c>
    </row>
    <row r="356" spans="1:20" x14ac:dyDescent="0.25">
      <c r="A356" s="5">
        <v>44237</v>
      </c>
      <c r="B356">
        <v>27.3188</v>
      </c>
      <c r="C356">
        <v>33.67</v>
      </c>
      <c r="D356">
        <v>23.305299999999999</v>
      </c>
      <c r="E356">
        <v>27.7911</v>
      </c>
      <c r="F356">
        <v>1049032.02</v>
      </c>
      <c r="G356">
        <v>0</v>
      </c>
      <c r="L356" t="s">
        <v>8</v>
      </c>
      <c r="M356" t="s">
        <v>8</v>
      </c>
      <c r="N356" t="s">
        <v>8</v>
      </c>
      <c r="P356">
        <f t="shared" si="969"/>
        <v>-0.13440813530541165</v>
      </c>
      <c r="Q356">
        <f t="shared" si="970"/>
        <v>-140998.4376838693</v>
      </c>
      <c r="R356">
        <f t="shared" si="971"/>
        <v>-7506331.4745315192</v>
      </c>
      <c r="S356">
        <f t="shared" si="972"/>
        <v>-75.063314745315196</v>
      </c>
      <c r="T356">
        <f t="shared" si="973"/>
        <v>-7.5063314745315191E-2</v>
      </c>
    </row>
    <row r="357" spans="1:20" x14ac:dyDescent="0.25">
      <c r="A357" s="5">
        <v>44236</v>
      </c>
      <c r="B357">
        <v>18.8337</v>
      </c>
      <c r="C357">
        <v>30.091999999999999</v>
      </c>
      <c r="D357">
        <v>18.241499999999998</v>
      </c>
      <c r="E357">
        <v>27.341000000000001</v>
      </c>
      <c r="F357">
        <v>1005637.54</v>
      </c>
      <c r="G357">
        <v>0</v>
      </c>
      <c r="L357" t="s">
        <v>8</v>
      </c>
      <c r="M357" t="s">
        <v>8</v>
      </c>
      <c r="N357" t="s">
        <v>8</v>
      </c>
      <c r="P357">
        <f t="shared" si="969"/>
        <v>0.53571579258259183</v>
      </c>
      <c r="Q357">
        <f t="shared" si="970"/>
        <v>538735.91179190797</v>
      </c>
      <c r="R357">
        <f t="shared" si="971"/>
        <v>-7365333.0368476501</v>
      </c>
      <c r="S357">
        <f t="shared" si="972"/>
        <v>-73.653330368476503</v>
      </c>
      <c r="T357">
        <f t="shared" si="973"/>
        <v>-7.3653330368476502E-2</v>
      </c>
    </row>
    <row r="358" spans="1:20" x14ac:dyDescent="0.25">
      <c r="A358" s="5">
        <v>44235</v>
      </c>
      <c r="B358">
        <v>18.933700000000002</v>
      </c>
      <c r="C358">
        <v>20.350000000000001</v>
      </c>
      <c r="D358">
        <v>16.9268</v>
      </c>
      <c r="E358">
        <v>18.858899999999998</v>
      </c>
      <c r="F358">
        <v>692373.35</v>
      </c>
      <c r="G358">
        <v>0</v>
      </c>
      <c r="L358" t="s">
        <v>7</v>
      </c>
      <c r="M358" t="s">
        <v>7</v>
      </c>
      <c r="N358" t="s">
        <v>8</v>
      </c>
      <c r="P358">
        <f t="shared" si="969"/>
        <v>0.12882682869829259</v>
      </c>
      <c r="Q358">
        <f t="shared" si="970"/>
        <v>89196.262955712984</v>
      </c>
      <c r="R358">
        <f t="shared" si="971"/>
        <v>-7904068.9486395577</v>
      </c>
      <c r="S358">
        <f t="shared" si="972"/>
        <v>-79.040689486395578</v>
      </c>
      <c r="T358">
        <f t="shared" si="973"/>
        <v>-7.9040689486395574E-2</v>
      </c>
    </row>
    <row r="359" spans="1:20" x14ac:dyDescent="0.25">
      <c r="A359" s="5">
        <v>44234</v>
      </c>
      <c r="B359">
        <v>16.748699999999999</v>
      </c>
      <c r="C359">
        <v>22.3</v>
      </c>
      <c r="D359">
        <v>15.998900000000001</v>
      </c>
      <c r="E359">
        <v>18.937799999999999</v>
      </c>
      <c r="F359">
        <v>1768769.43</v>
      </c>
      <c r="G359">
        <v>0</v>
      </c>
      <c r="L359" t="s">
        <v>8</v>
      </c>
      <c r="M359" t="s">
        <v>8</v>
      </c>
      <c r="N359" t="s">
        <v>8</v>
      </c>
      <c r="P359">
        <f t="shared" si="969"/>
        <v>-6.7178746568059999E-2</v>
      </c>
      <c r="Q359">
        <f t="shared" si="970"/>
        <v>-118823.71327530194</v>
      </c>
      <c r="R359">
        <f t="shared" si="971"/>
        <v>-7993265.2115952708</v>
      </c>
      <c r="S359">
        <f t="shared" si="972"/>
        <v>-79.932652115952706</v>
      </c>
      <c r="T359">
        <f t="shared" si="973"/>
        <v>-7.9932652115952713E-2</v>
      </c>
    </row>
    <row r="360" spans="1:20" x14ac:dyDescent="0.25">
      <c r="A360" s="5">
        <v>44233</v>
      </c>
      <c r="B360">
        <v>13.411</v>
      </c>
      <c r="C360">
        <v>19.261399999999998</v>
      </c>
      <c r="D360">
        <v>11.856400000000001</v>
      </c>
      <c r="E360">
        <v>16.748699999999999</v>
      </c>
      <c r="F360">
        <v>2022447.69</v>
      </c>
      <c r="G360">
        <v>0</v>
      </c>
      <c r="L360" t="s">
        <v>8</v>
      </c>
      <c r="M360" t="s">
        <v>8</v>
      </c>
      <c r="N360" t="s">
        <v>8</v>
      </c>
      <c r="P360">
        <f t="shared" si="969"/>
        <v>0.3213504388926402</v>
      </c>
      <c r="Q360">
        <f t="shared" si="970"/>
        <v>649914.45281890628</v>
      </c>
      <c r="R360">
        <f t="shared" si="971"/>
        <v>-7874441.4983199686</v>
      </c>
      <c r="S360">
        <f t="shared" si="972"/>
        <v>-78.74441498319969</v>
      </c>
      <c r="T360">
        <f t="shared" si="973"/>
        <v>-7.8744414983199687E-2</v>
      </c>
    </row>
    <row r="361" spans="1:20" x14ac:dyDescent="0.25">
      <c r="A361" s="5">
        <v>44232</v>
      </c>
      <c r="B361">
        <v>12.2233</v>
      </c>
      <c r="C361">
        <v>14.4</v>
      </c>
      <c r="D361">
        <v>11.701599999999999</v>
      </c>
      <c r="E361">
        <v>13.4026</v>
      </c>
      <c r="F361">
        <v>754696.01</v>
      </c>
      <c r="G361">
        <v>0</v>
      </c>
      <c r="L361" t="s">
        <v>8</v>
      </c>
      <c r="M361" t="s">
        <v>8</v>
      </c>
      <c r="N361" t="s">
        <v>8</v>
      </c>
      <c r="P361">
        <f t="shared" si="969"/>
        <v>0.26074710939816165</v>
      </c>
      <c r="Q361">
        <f t="shared" si="970"/>
        <v>196784.8030818261</v>
      </c>
      <c r="R361">
        <f t="shared" si="971"/>
        <v>-8524355.9511388745</v>
      </c>
      <c r="S361">
        <f t="shared" si="972"/>
        <v>-85.243559511388739</v>
      </c>
      <c r="T361">
        <f t="shared" si="973"/>
        <v>-8.5243559511388733E-2</v>
      </c>
    </row>
    <row r="362" spans="1:20" x14ac:dyDescent="0.25">
      <c r="A362" s="5">
        <v>44231</v>
      </c>
      <c r="B362">
        <v>10.2247</v>
      </c>
      <c r="C362">
        <v>12.45</v>
      </c>
      <c r="D362">
        <v>10.01</v>
      </c>
      <c r="E362">
        <v>12.194100000000001</v>
      </c>
      <c r="F362">
        <v>707211.18</v>
      </c>
      <c r="G362">
        <v>0</v>
      </c>
      <c r="L362" t="s">
        <v>8</v>
      </c>
      <c r="M362" t="s">
        <v>8</v>
      </c>
      <c r="N362" t="s">
        <v>8</v>
      </c>
      <c r="P362">
        <f t="shared" si="969"/>
        <v>0.79024590163934527</v>
      </c>
      <c r="Q362">
        <f t="shared" si="970"/>
        <v>558870.73658852535</v>
      </c>
      <c r="R362">
        <f t="shared" si="971"/>
        <v>-8721140.7542206999</v>
      </c>
      <c r="S362">
        <f t="shared" si="972"/>
        <v>-87.211407542206999</v>
      </c>
      <c r="T362">
        <f t="shared" si="973"/>
        <v>-8.7211407542206992E-2</v>
      </c>
    </row>
    <row r="363" spans="1:20" x14ac:dyDescent="0.25">
      <c r="A363" s="5">
        <v>44230</v>
      </c>
      <c r="B363">
        <v>10.280099999999999</v>
      </c>
      <c r="C363">
        <v>10.4712</v>
      </c>
      <c r="D363">
        <v>9.8524999999999991</v>
      </c>
      <c r="E363">
        <v>10.199999999999999</v>
      </c>
      <c r="F363">
        <v>397683.02</v>
      </c>
      <c r="G363">
        <v>0</v>
      </c>
      <c r="L363" t="s">
        <v>7</v>
      </c>
      <c r="M363" t="s">
        <v>7</v>
      </c>
      <c r="N363" t="s">
        <v>8</v>
      </c>
      <c r="P363">
        <f t="shared" si="969"/>
        <v>0.12332309681590392</v>
      </c>
      <c r="Q363">
        <f t="shared" si="970"/>
        <v>49043.501577501054</v>
      </c>
      <c r="R363">
        <f t="shared" si="971"/>
        <v>-9280011.4908092245</v>
      </c>
      <c r="S363">
        <f t="shared" si="972"/>
        <v>-92.80011490809224</v>
      </c>
      <c r="T363">
        <f t="shared" si="973"/>
        <v>-9.2800114908092243E-2</v>
      </c>
    </row>
    <row r="364" spans="1:20" x14ac:dyDescent="0.25">
      <c r="A364" s="5">
        <v>44229</v>
      </c>
      <c r="B364">
        <v>10.634399999999999</v>
      </c>
      <c r="C364">
        <v>11.8</v>
      </c>
      <c r="D364">
        <v>9.9700000000000006</v>
      </c>
      <c r="E364">
        <v>10.2751</v>
      </c>
      <c r="F364">
        <v>748362.99</v>
      </c>
      <c r="G364">
        <v>0</v>
      </c>
      <c r="L364" t="s">
        <v>8</v>
      </c>
      <c r="M364" t="s">
        <v>8</v>
      </c>
      <c r="N364" t="s">
        <v>8</v>
      </c>
      <c r="P364">
        <f t="shared" si="969"/>
        <v>-0.66655737704918094</v>
      </c>
      <c r="Q364">
        <f t="shared" si="970"/>
        <v>-498826.8716950824</v>
      </c>
      <c r="R364">
        <f t="shared" si="971"/>
        <v>-9329054.9923867248</v>
      </c>
      <c r="S364">
        <f t="shared" si="972"/>
        <v>-93.290549923867246</v>
      </c>
      <c r="T364">
        <f t="shared" si="973"/>
        <v>-9.3290549923867247E-2</v>
      </c>
    </row>
    <row r="365" spans="1:20" x14ac:dyDescent="0.25">
      <c r="A365" s="5">
        <v>44228</v>
      </c>
      <c r="B365">
        <v>9.7927</v>
      </c>
      <c r="C365">
        <v>10.89</v>
      </c>
      <c r="D365">
        <v>9.2047000000000008</v>
      </c>
      <c r="E365">
        <v>10.642799999999999</v>
      </c>
      <c r="F365">
        <v>586152.4</v>
      </c>
      <c r="G365">
        <v>0</v>
      </c>
      <c r="L365" t="s">
        <v>8</v>
      </c>
      <c r="M365" t="s">
        <v>8</v>
      </c>
      <c r="N365" t="s">
        <v>8</v>
      </c>
      <c r="P365">
        <f t="shared" si="969"/>
        <v>0.70663976740046142</v>
      </c>
      <c r="Q365">
        <f t="shared" si="970"/>
        <v>414198.59559722221</v>
      </c>
      <c r="R365">
        <f t="shared" si="971"/>
        <v>-8830228.1206916422</v>
      </c>
      <c r="S365">
        <f t="shared" si="972"/>
        <v>-88.302281206916419</v>
      </c>
      <c r="T365">
        <f t="shared" si="973"/>
        <v>-8.8302281206916425E-2</v>
      </c>
    </row>
    <row r="366" spans="1:20" x14ac:dyDescent="0.25">
      <c r="A366" s="5">
        <v>44227</v>
      </c>
      <c r="B366">
        <v>8.7973999999999997</v>
      </c>
      <c r="C366">
        <v>10.157999999999999</v>
      </c>
      <c r="D366">
        <v>8.4050999999999991</v>
      </c>
      <c r="E366">
        <v>9.7927</v>
      </c>
      <c r="F366">
        <v>659202.34</v>
      </c>
      <c r="G366">
        <v>0</v>
      </c>
      <c r="L366" t="s">
        <v>8</v>
      </c>
      <c r="M366" t="s">
        <v>8</v>
      </c>
      <c r="N366" t="s">
        <v>7</v>
      </c>
      <c r="P366">
        <f t="shared" si="969"/>
        <v>0.58320497461349829</v>
      </c>
      <c r="Q366">
        <f t="shared" si="970"/>
        <v>384450.08396485867</v>
      </c>
      <c r="R366">
        <f t="shared" si="971"/>
        <v>-9244426.7162888646</v>
      </c>
      <c r="S366">
        <f t="shared" si="972"/>
        <v>-92.44426716288865</v>
      </c>
      <c r="T366">
        <f t="shared" si="973"/>
        <v>-9.2444267162888644E-2</v>
      </c>
    </row>
    <row r="367" spans="1:20" x14ac:dyDescent="0.25">
      <c r="A367" s="5">
        <v>44226</v>
      </c>
      <c r="B367">
        <v>8.2911999999999999</v>
      </c>
      <c r="C367">
        <v>9.4</v>
      </c>
      <c r="D367">
        <v>8.2410999999999994</v>
      </c>
      <c r="E367">
        <v>8.8000000000000007</v>
      </c>
      <c r="F367">
        <v>532725.48</v>
      </c>
      <c r="G367">
        <v>0</v>
      </c>
      <c r="L367" t="s">
        <v>8</v>
      </c>
      <c r="M367" t="s">
        <v>7</v>
      </c>
      <c r="N367" t="s">
        <v>7</v>
      </c>
      <c r="P367">
        <f t="shared" si="969"/>
        <v>-3.5464664768313336E-2</v>
      </c>
      <c r="Q367">
        <f t="shared" si="970"/>
        <v>-18892.930561738809</v>
      </c>
      <c r="R367">
        <f t="shared" si="971"/>
        <v>-9628876.8002537228</v>
      </c>
      <c r="S367">
        <f t="shared" si="972"/>
        <v>-96.288768002537225</v>
      </c>
      <c r="T367">
        <f t="shared" si="973"/>
        <v>-9.6288768002537231E-2</v>
      </c>
    </row>
    <row r="368" spans="1:20" x14ac:dyDescent="0.25">
      <c r="A368" s="5">
        <v>44225</v>
      </c>
      <c r="B368">
        <v>8.5573999999999995</v>
      </c>
      <c r="C368">
        <v>8.6568000000000005</v>
      </c>
      <c r="D368">
        <v>7.9313000000000002</v>
      </c>
      <c r="E368">
        <v>8.2957000000000001</v>
      </c>
      <c r="F368">
        <v>626782.53</v>
      </c>
      <c r="G368">
        <v>0</v>
      </c>
      <c r="L368" t="s">
        <v>7</v>
      </c>
      <c r="M368" t="s">
        <v>7</v>
      </c>
      <c r="N368" t="s">
        <v>7</v>
      </c>
      <c r="P368">
        <f t="shared" si="969"/>
        <v>4.548587181253499E-3</v>
      </c>
      <c r="Q368">
        <f t="shared" si="970"/>
        <v>2850.9749813916369</v>
      </c>
      <c r="R368">
        <f t="shared" si="971"/>
        <v>-9609983.8696919847</v>
      </c>
      <c r="S368">
        <f t="shared" si="972"/>
        <v>-96.099838696919846</v>
      </c>
      <c r="T368">
        <f t="shared" si="973"/>
        <v>-9.6099838696919848E-2</v>
      </c>
    </row>
    <row r="369" spans="1:20" x14ac:dyDescent="0.25">
      <c r="A369" s="5">
        <v>44224</v>
      </c>
      <c r="B369">
        <v>9.0204000000000004</v>
      </c>
      <c r="C369">
        <v>9.6999999999999993</v>
      </c>
      <c r="D369">
        <v>8.5297000000000001</v>
      </c>
      <c r="E369">
        <v>8.5823999999999998</v>
      </c>
      <c r="F369">
        <v>696306.71</v>
      </c>
      <c r="G369">
        <v>0</v>
      </c>
      <c r="L369" t="s">
        <v>7</v>
      </c>
      <c r="M369" t="s">
        <v>7</v>
      </c>
      <c r="N369" t="s">
        <v>8</v>
      </c>
      <c r="P369">
        <f t="shared" si="969"/>
        <v>-0.90993762283175295</v>
      </c>
      <c r="Q369">
        <f t="shared" si="970"/>
        <v>-633595.67245919874</v>
      </c>
      <c r="R369">
        <f t="shared" si="971"/>
        <v>-9612834.8446733765</v>
      </c>
      <c r="S369">
        <f t="shared" si="972"/>
        <v>-96.128348446733767</v>
      </c>
      <c r="T369">
        <f t="shared" si="973"/>
        <v>-9.6128348446733763E-2</v>
      </c>
    </row>
    <row r="370" spans="1:20" x14ac:dyDescent="0.25">
      <c r="A370" s="5">
        <v>44223</v>
      </c>
      <c r="B370">
        <v>9.5897000000000006</v>
      </c>
      <c r="C370">
        <v>11.2</v>
      </c>
      <c r="D370">
        <v>8.2294</v>
      </c>
      <c r="E370">
        <v>9.0152999999999999</v>
      </c>
      <c r="F370">
        <v>1464719.11</v>
      </c>
      <c r="G370">
        <v>0</v>
      </c>
      <c r="L370" t="s">
        <v>8</v>
      </c>
      <c r="M370" t="s">
        <v>8</v>
      </c>
      <c r="N370" t="s">
        <v>8</v>
      </c>
      <c r="P370">
        <f t="shared" si="969"/>
        <v>-0.47088130344038243</v>
      </c>
      <c r="Q370">
        <f t="shared" si="970"/>
        <v>-689708.84369083692</v>
      </c>
      <c r="R370">
        <f t="shared" si="971"/>
        <v>-8979239.1722141784</v>
      </c>
      <c r="S370">
        <f t="shared" si="972"/>
        <v>-89.792391722141787</v>
      </c>
      <c r="T370">
        <f t="shared" si="973"/>
        <v>-8.979239172214179E-2</v>
      </c>
    </row>
    <row r="371" spans="1:20" x14ac:dyDescent="0.25">
      <c r="A371" s="5">
        <v>44222</v>
      </c>
      <c r="B371">
        <v>8.6338000000000008</v>
      </c>
      <c r="C371">
        <v>10.89</v>
      </c>
      <c r="D371">
        <v>8.5</v>
      </c>
      <c r="E371">
        <v>9.6000999999999994</v>
      </c>
      <c r="F371">
        <v>1654189.26</v>
      </c>
      <c r="G371">
        <v>0</v>
      </c>
      <c r="L371" t="s">
        <v>8</v>
      </c>
      <c r="M371" t="s">
        <v>8</v>
      </c>
      <c r="N371" t="s">
        <v>8</v>
      </c>
      <c r="P371">
        <f t="shared" si="969"/>
        <v>-7.9414225941423305E-2</v>
      </c>
      <c r="Q371">
        <f t="shared" si="970"/>
        <v>-131366.15964351583</v>
      </c>
      <c r="R371">
        <f t="shared" si="971"/>
        <v>-8289530.3285233416</v>
      </c>
      <c r="S371">
        <f t="shared" si="972"/>
        <v>-82.89530328523341</v>
      </c>
      <c r="T371">
        <f t="shared" si="973"/>
        <v>-8.289530328523341E-2</v>
      </c>
    </row>
    <row r="372" spans="1:20" x14ac:dyDescent="0.25">
      <c r="A372" s="5">
        <v>44221</v>
      </c>
      <c r="B372">
        <v>7.6718999999999999</v>
      </c>
      <c r="C372">
        <v>9.3000000000000007</v>
      </c>
      <c r="D372">
        <v>7.48</v>
      </c>
      <c r="E372">
        <v>8.6302000000000003</v>
      </c>
      <c r="F372">
        <v>1122457.01</v>
      </c>
      <c r="G372">
        <v>0</v>
      </c>
      <c r="L372" t="s">
        <v>8</v>
      </c>
      <c r="M372" t="s">
        <v>8</v>
      </c>
      <c r="N372" t="s">
        <v>8</v>
      </c>
      <c r="P372">
        <f t="shared" si="969"/>
        <v>0.26395604395604366</v>
      </c>
      <c r="Q372">
        <f t="shared" si="970"/>
        <v>296279.31187032931</v>
      </c>
      <c r="R372">
        <f t="shared" si="971"/>
        <v>-8158164.1688798256</v>
      </c>
      <c r="S372">
        <f t="shared" si="972"/>
        <v>-81.581641688798257</v>
      </c>
      <c r="T372">
        <f t="shared" si="973"/>
        <v>-8.1581641688798251E-2</v>
      </c>
    </row>
    <row r="373" spans="1:20" x14ac:dyDescent="0.25">
      <c r="A373" s="5">
        <v>44220</v>
      </c>
      <c r="B373">
        <v>7.4455999999999998</v>
      </c>
      <c r="C373">
        <v>7.9</v>
      </c>
      <c r="D373">
        <v>7.15</v>
      </c>
      <c r="E373">
        <v>7.6999000000000004</v>
      </c>
      <c r="F373">
        <v>523994.6</v>
      </c>
      <c r="G373">
        <v>0</v>
      </c>
      <c r="L373" t="s">
        <v>8</v>
      </c>
      <c r="M373" t="s">
        <v>7</v>
      </c>
      <c r="N373" t="s">
        <v>7</v>
      </c>
      <c r="P373">
        <f t="shared" si="969"/>
        <v>0.46640000000000015</v>
      </c>
      <c r="Q373">
        <f t="shared" si="970"/>
        <v>244391.08144000007</v>
      </c>
      <c r="R373">
        <f t="shared" si="971"/>
        <v>-8454443.4807501547</v>
      </c>
      <c r="S373">
        <f t="shared" si="972"/>
        <v>-84.544434807501545</v>
      </c>
      <c r="T373">
        <f t="shared" si="973"/>
        <v>-8.4544434807501539E-2</v>
      </c>
    </row>
    <row r="374" spans="1:20" x14ac:dyDescent="0.25">
      <c r="A374" s="5">
        <v>44219</v>
      </c>
      <c r="B374">
        <v>7.1768999999999998</v>
      </c>
      <c r="C374">
        <v>7.7350000000000003</v>
      </c>
      <c r="D374">
        <v>6.93</v>
      </c>
      <c r="E374">
        <v>7.4455999999999998</v>
      </c>
      <c r="F374">
        <v>444821.07</v>
      </c>
      <c r="G374">
        <v>0</v>
      </c>
      <c r="L374" t="s">
        <v>7</v>
      </c>
      <c r="M374" t="s">
        <v>7</v>
      </c>
      <c r="N374" t="s">
        <v>7</v>
      </c>
      <c r="P374">
        <f t="shared" si="969"/>
        <v>0.28099378881987497</v>
      </c>
      <c r="Q374">
        <f t="shared" si="970"/>
        <v>124991.95780621082</v>
      </c>
      <c r="R374">
        <f t="shared" si="971"/>
        <v>-8698834.5621901546</v>
      </c>
      <c r="S374">
        <f t="shared" si="972"/>
        <v>-86.988345621901544</v>
      </c>
      <c r="T374">
        <f t="shared" si="973"/>
        <v>-8.6988345621901539E-2</v>
      </c>
    </row>
    <row r="375" spans="1:20" x14ac:dyDescent="0.25">
      <c r="A375" s="5">
        <v>44218</v>
      </c>
      <c r="B375">
        <v>6.9058000000000002</v>
      </c>
      <c r="C375">
        <v>8.2899999999999991</v>
      </c>
      <c r="D375">
        <v>6.55</v>
      </c>
      <c r="E375">
        <v>7.1801000000000004</v>
      </c>
      <c r="F375">
        <v>804398.39</v>
      </c>
      <c r="G375">
        <v>0</v>
      </c>
      <c r="L375" t="s">
        <v>8</v>
      </c>
      <c r="M375" t="s">
        <v>8</v>
      </c>
      <c r="N375" t="s">
        <v>7</v>
      </c>
      <c r="P375">
        <f t="shared" si="969"/>
        <v>-0.27574712643678068</v>
      </c>
      <c r="Q375">
        <f t="shared" si="970"/>
        <v>-221810.54455287283</v>
      </c>
      <c r="R375">
        <f t="shared" si="971"/>
        <v>-8823826.5199963655</v>
      </c>
      <c r="S375">
        <f t="shared" si="972"/>
        <v>-88.238265199963649</v>
      </c>
      <c r="T375">
        <f t="shared" si="973"/>
        <v>-8.8238265199963653E-2</v>
      </c>
    </row>
    <row r="376" spans="1:20" x14ac:dyDescent="0.25">
      <c r="A376" s="5">
        <v>44217</v>
      </c>
      <c r="B376">
        <v>7.3653000000000004</v>
      </c>
      <c r="C376">
        <v>7.8478000000000003</v>
      </c>
      <c r="D376">
        <v>6.66</v>
      </c>
      <c r="E376">
        <v>6.9363999999999999</v>
      </c>
      <c r="F376">
        <v>635591.47</v>
      </c>
      <c r="G376">
        <v>0</v>
      </c>
      <c r="L376" t="s">
        <v>8</v>
      </c>
      <c r="M376" t="s">
        <v>8</v>
      </c>
      <c r="N376" t="s">
        <v>7</v>
      </c>
      <c r="P376">
        <f t="shared" si="969"/>
        <v>-0.5346017848122584</v>
      </c>
      <c r="Q376">
        <f t="shared" si="970"/>
        <v>-339788.33427344699</v>
      </c>
      <c r="R376">
        <f t="shared" si="971"/>
        <v>-8602015.9754434936</v>
      </c>
      <c r="S376">
        <f t="shared" si="972"/>
        <v>-86.020159754434943</v>
      </c>
      <c r="T376">
        <f t="shared" si="973"/>
        <v>-8.6020159754434944E-2</v>
      </c>
    </row>
    <row r="377" spans="1:20" x14ac:dyDescent="0.25">
      <c r="A377" s="5">
        <v>44216</v>
      </c>
      <c r="B377">
        <v>7.4128999999999996</v>
      </c>
      <c r="C377">
        <v>7.6966000000000001</v>
      </c>
      <c r="D377">
        <v>6.5129999999999999</v>
      </c>
      <c r="E377">
        <v>7.3676000000000004</v>
      </c>
      <c r="F377">
        <v>644908.18999999994</v>
      </c>
      <c r="G377">
        <v>0</v>
      </c>
      <c r="L377" t="s">
        <v>7</v>
      </c>
      <c r="M377" t="s">
        <v>7</v>
      </c>
      <c r="N377" t="s">
        <v>7</v>
      </c>
      <c r="P377">
        <f t="shared" si="969"/>
        <v>0.44406894221020671</v>
      </c>
      <c r="Q377">
        <f t="shared" si="970"/>
        <v>286383.69775599899</v>
      </c>
      <c r="R377">
        <f t="shared" si="971"/>
        <v>-8262227.6411700463</v>
      </c>
      <c r="S377">
        <f t="shared" si="972"/>
        <v>-82.622276411700469</v>
      </c>
      <c r="T377">
        <f t="shared" si="973"/>
        <v>-8.2622276411700474E-2</v>
      </c>
    </row>
    <row r="378" spans="1:20" x14ac:dyDescent="0.25">
      <c r="A378" s="5">
        <v>44215</v>
      </c>
      <c r="B378">
        <v>9.2917000000000005</v>
      </c>
      <c r="C378">
        <v>9.3099000000000007</v>
      </c>
      <c r="D378">
        <v>7.35</v>
      </c>
      <c r="E378">
        <v>7.4307999999999996</v>
      </c>
      <c r="F378">
        <v>1081801.49</v>
      </c>
      <c r="G378">
        <v>0</v>
      </c>
      <c r="L378" t="s">
        <v>7</v>
      </c>
      <c r="M378" t="s">
        <v>7</v>
      </c>
      <c r="N378" t="s">
        <v>8</v>
      </c>
      <c r="P378">
        <f t="shared" si="969"/>
        <v>-0.91754681361293955</v>
      </c>
      <c r="Q378">
        <f t="shared" si="970"/>
        <v>-992603.51011123031</v>
      </c>
      <c r="R378">
        <f t="shared" si="971"/>
        <v>-8548611.3389260452</v>
      </c>
      <c r="S378">
        <f t="shared" si="972"/>
        <v>-85.486113389260453</v>
      </c>
      <c r="T378">
        <f t="shared" si="973"/>
        <v>-8.548611338926046E-2</v>
      </c>
    </row>
    <row r="379" spans="1:20" x14ac:dyDescent="0.25">
      <c r="A379" s="5">
        <v>44214</v>
      </c>
      <c r="B379">
        <v>6.7736999999999998</v>
      </c>
      <c r="C379">
        <v>9.48</v>
      </c>
      <c r="D379">
        <v>6.72</v>
      </c>
      <c r="E379">
        <v>9.2672000000000008</v>
      </c>
      <c r="F379">
        <v>1938387.35</v>
      </c>
      <c r="G379">
        <v>0</v>
      </c>
      <c r="L379" t="s">
        <v>8</v>
      </c>
      <c r="M379" t="s">
        <v>8</v>
      </c>
      <c r="N379" t="s">
        <v>8</v>
      </c>
      <c r="P379">
        <f t="shared" si="969"/>
        <v>0.84579710144927567</v>
      </c>
      <c r="Q379">
        <f t="shared" si="970"/>
        <v>1639482.4021159427</v>
      </c>
      <c r="R379">
        <f t="shared" si="971"/>
        <v>-7556007.8288148157</v>
      </c>
      <c r="S379">
        <f t="shared" si="972"/>
        <v>-75.560078288148162</v>
      </c>
      <c r="T379">
        <f t="shared" si="973"/>
        <v>-7.5560078288148161E-2</v>
      </c>
    </row>
    <row r="380" spans="1:20" x14ac:dyDescent="0.25">
      <c r="A380" s="5">
        <v>44213</v>
      </c>
      <c r="B380">
        <v>6.2175000000000002</v>
      </c>
      <c r="C380">
        <v>7.25</v>
      </c>
      <c r="D380">
        <v>5.7167000000000003</v>
      </c>
      <c r="E380">
        <v>6.7949999999999999</v>
      </c>
      <c r="F380">
        <v>835481.72</v>
      </c>
      <c r="G380">
        <v>0</v>
      </c>
      <c r="L380" t="s">
        <v>8</v>
      </c>
      <c r="M380" t="s">
        <v>8</v>
      </c>
      <c r="N380" t="s">
        <v>8</v>
      </c>
      <c r="P380">
        <f t="shared" si="969"/>
        <v>0.40650883714863345</v>
      </c>
      <c r="Q380">
        <f t="shared" si="970"/>
        <v>339630.70245614013</v>
      </c>
      <c r="R380">
        <f t="shared" si="971"/>
        <v>-9195490.2309307586</v>
      </c>
      <c r="S380">
        <f t="shared" si="972"/>
        <v>-91.954902309307585</v>
      </c>
      <c r="T380">
        <f t="shared" si="973"/>
        <v>-9.1954902309307585E-2</v>
      </c>
    </row>
    <row r="381" spans="1:20" x14ac:dyDescent="0.25">
      <c r="A381" s="5">
        <v>44212</v>
      </c>
      <c r="B381">
        <v>5.7282999999999999</v>
      </c>
      <c r="C381">
        <v>6.69</v>
      </c>
      <c r="D381">
        <v>5.5923999999999996</v>
      </c>
      <c r="E381">
        <v>6.23</v>
      </c>
      <c r="F381">
        <v>825049.28</v>
      </c>
      <c r="G381">
        <v>0</v>
      </c>
      <c r="L381" t="s">
        <v>8</v>
      </c>
      <c r="M381" t="s">
        <v>8</v>
      </c>
      <c r="N381" t="s">
        <v>7</v>
      </c>
      <c r="P381">
        <f t="shared" si="969"/>
        <v>0.1618075801749278</v>
      </c>
      <c r="Q381">
        <f t="shared" si="970"/>
        <v>133499.22752186647</v>
      </c>
      <c r="R381">
        <f t="shared" si="971"/>
        <v>-9535120.9333868995</v>
      </c>
      <c r="S381">
        <f t="shared" si="972"/>
        <v>-95.351209333868994</v>
      </c>
      <c r="T381">
        <f t="shared" si="973"/>
        <v>-9.5351209333868994E-2</v>
      </c>
    </row>
    <row r="382" spans="1:20" x14ac:dyDescent="0.25">
      <c r="A382" s="5">
        <v>44211</v>
      </c>
      <c r="B382">
        <v>5.57</v>
      </c>
      <c r="C382">
        <v>6.1734999999999998</v>
      </c>
      <c r="D382">
        <v>5.23</v>
      </c>
      <c r="E382">
        <v>5.6901000000000002</v>
      </c>
      <c r="F382">
        <v>579187.55000000005</v>
      </c>
      <c r="G382">
        <v>0</v>
      </c>
      <c r="L382" t="s">
        <v>8</v>
      </c>
      <c r="M382" t="s">
        <v>8</v>
      </c>
      <c r="N382" t="s">
        <v>7</v>
      </c>
      <c r="P382">
        <f t="shared" si="969"/>
        <v>-2.4695283518812818E-2</v>
      </c>
      <c r="Q382">
        <f t="shared" si="970"/>
        <v>-14303.200757816576</v>
      </c>
      <c r="R382">
        <f t="shared" si="971"/>
        <v>-9668620.1609087661</v>
      </c>
      <c r="S382">
        <f t="shared" si="972"/>
        <v>-96.686201609087661</v>
      </c>
      <c r="T382">
        <f t="shared" si="973"/>
        <v>-9.6686201609087655E-2</v>
      </c>
    </row>
    <row r="383" spans="1:20" x14ac:dyDescent="0.25">
      <c r="A383" s="5">
        <v>44210</v>
      </c>
      <c r="B383">
        <v>5.5956000000000001</v>
      </c>
      <c r="C383">
        <v>5.7765000000000004</v>
      </c>
      <c r="D383">
        <v>5.4249999999999998</v>
      </c>
      <c r="E383">
        <v>5.5768000000000004</v>
      </c>
      <c r="F383">
        <v>336063.57</v>
      </c>
      <c r="G383">
        <v>0</v>
      </c>
      <c r="L383" t="s">
        <v>8</v>
      </c>
      <c r="M383" t="s">
        <v>7</v>
      </c>
      <c r="N383" t="s">
        <v>7</v>
      </c>
      <c r="P383">
        <f t="shared" si="969"/>
        <v>-0.13627311522048166</v>
      </c>
      <c r="Q383">
        <f t="shared" si="970"/>
        <v>-45796.429596016402</v>
      </c>
      <c r="R383">
        <f t="shared" si="971"/>
        <v>-9654316.9601509497</v>
      </c>
      <c r="S383">
        <f t="shared" si="972"/>
        <v>-96.54316960150949</v>
      </c>
      <c r="T383">
        <f t="shared" si="973"/>
        <v>-9.6543169601509493E-2</v>
      </c>
    </row>
    <row r="384" spans="1:20" x14ac:dyDescent="0.25">
      <c r="A384" s="5">
        <v>44209</v>
      </c>
      <c r="B384">
        <v>5.1524999999999999</v>
      </c>
      <c r="C384">
        <v>5.6980000000000004</v>
      </c>
      <c r="D384">
        <v>4.9439000000000002</v>
      </c>
      <c r="E384">
        <v>5.62</v>
      </c>
      <c r="F384">
        <v>306124.53000000003</v>
      </c>
      <c r="G384">
        <v>0</v>
      </c>
      <c r="L384" t="s">
        <v>7</v>
      </c>
      <c r="M384" t="s">
        <v>7</v>
      </c>
      <c r="N384" t="s">
        <v>7</v>
      </c>
      <c r="P384">
        <f t="shared" si="969"/>
        <v>0.79313088449807645</v>
      </c>
      <c r="Q384">
        <f t="shared" si="970"/>
        <v>242796.81924545797</v>
      </c>
      <c r="R384">
        <f t="shared" si="971"/>
        <v>-9608520.5305549335</v>
      </c>
      <c r="S384">
        <f t="shared" si="972"/>
        <v>-96.085205305549337</v>
      </c>
      <c r="T384">
        <f t="shared" si="973"/>
        <v>-9.6085205305549343E-2</v>
      </c>
    </row>
    <row r="385" spans="1:20" x14ac:dyDescent="0.25">
      <c r="A385" s="5">
        <v>44208</v>
      </c>
      <c r="B385">
        <v>5.3133999999999997</v>
      </c>
      <c r="C385">
        <v>6.2</v>
      </c>
      <c r="D385">
        <v>4.9100999999999999</v>
      </c>
      <c r="E385">
        <v>5.1524999999999999</v>
      </c>
      <c r="F385">
        <v>746632.6</v>
      </c>
      <c r="G385">
        <v>0</v>
      </c>
      <c r="L385" t="s">
        <v>8</v>
      </c>
      <c r="M385" t="s">
        <v>8</v>
      </c>
      <c r="N385" t="s">
        <v>7</v>
      </c>
      <c r="P385">
        <f t="shared" si="969"/>
        <v>-0.62415691138847984</v>
      </c>
      <c r="Q385">
        <f t="shared" si="970"/>
        <v>-466015.89755795029</v>
      </c>
      <c r="R385">
        <f t="shared" si="971"/>
        <v>-9851317.3498003911</v>
      </c>
      <c r="S385">
        <f t="shared" si="972"/>
        <v>-98.513173498003908</v>
      </c>
      <c r="T385">
        <f t="shared" si="973"/>
        <v>-9.8513173498003911E-2</v>
      </c>
    </row>
    <row r="386" spans="1:20" x14ac:dyDescent="0.25">
      <c r="A386" s="5">
        <v>44207</v>
      </c>
      <c r="B386">
        <v>6.2015000000000002</v>
      </c>
      <c r="C386">
        <v>6.3799000000000001</v>
      </c>
      <c r="D386">
        <v>4.8499999999999996</v>
      </c>
      <c r="E386">
        <v>5.3133999999999997</v>
      </c>
      <c r="F386">
        <v>527402.4</v>
      </c>
      <c r="G386">
        <v>0</v>
      </c>
      <c r="L386" t="s">
        <v>7</v>
      </c>
      <c r="M386" t="s">
        <v>7</v>
      </c>
      <c r="N386" t="s">
        <v>7</v>
      </c>
      <c r="P386">
        <f t="shared" si="969"/>
        <v>-0.39420877181515146</v>
      </c>
      <c r="Q386">
        <f t="shared" si="970"/>
        <v>-207906.65235636325</v>
      </c>
      <c r="R386">
        <f t="shared" si="971"/>
        <v>-9385301.4522424415</v>
      </c>
      <c r="S386">
        <f t="shared" si="972"/>
        <v>-93.853014522424417</v>
      </c>
      <c r="T386">
        <f t="shared" si="973"/>
        <v>-9.3853014522424422E-2</v>
      </c>
    </row>
    <row r="387" spans="1:20" x14ac:dyDescent="0.25">
      <c r="A387" s="5">
        <v>44206</v>
      </c>
      <c r="B387">
        <v>6.9801000000000002</v>
      </c>
      <c r="C387">
        <v>7.4199000000000002</v>
      </c>
      <c r="D387">
        <v>5.6425999999999998</v>
      </c>
      <c r="E387">
        <v>6.22</v>
      </c>
      <c r="F387">
        <v>835624.64</v>
      </c>
      <c r="G387">
        <v>0</v>
      </c>
      <c r="L387" t="s">
        <v>8</v>
      </c>
      <c r="M387" t="s">
        <v>8</v>
      </c>
      <c r="N387" t="s">
        <v>8</v>
      </c>
      <c r="P387">
        <f t="shared" si="969"/>
        <v>-0.35025037978956869</v>
      </c>
      <c r="Q387">
        <f t="shared" si="970"/>
        <v>-292677.84752152162</v>
      </c>
      <c r="R387">
        <f t="shared" si="971"/>
        <v>-9177394.7998860776</v>
      </c>
      <c r="S387">
        <f t="shared" si="972"/>
        <v>-91.773947998860777</v>
      </c>
      <c r="T387">
        <f t="shared" si="973"/>
        <v>-9.177394799886078E-2</v>
      </c>
    </row>
    <row r="388" spans="1:20" x14ac:dyDescent="0.25">
      <c r="A388" s="5">
        <v>44205</v>
      </c>
      <c r="B388">
        <v>6.6821000000000002</v>
      </c>
      <c r="C388">
        <v>7.3071999999999999</v>
      </c>
      <c r="D388">
        <v>6.3643000000000001</v>
      </c>
      <c r="E388">
        <v>6.9801000000000002</v>
      </c>
      <c r="F388">
        <v>407387.8</v>
      </c>
      <c r="G388">
        <v>0</v>
      </c>
      <c r="L388" t="s">
        <v>8</v>
      </c>
      <c r="M388" t="s">
        <v>8</v>
      </c>
      <c r="N388" t="s">
        <v>8</v>
      </c>
      <c r="P388">
        <f t="shared" si="969"/>
        <v>0.30618305228550263</v>
      </c>
      <c r="Q388">
        <f t="shared" si="970"/>
        <v>124735.24006787589</v>
      </c>
      <c r="R388">
        <f t="shared" si="971"/>
        <v>-8884716.9523645565</v>
      </c>
      <c r="S388">
        <f t="shared" si="972"/>
        <v>-88.847169523645562</v>
      </c>
      <c r="T388">
        <f t="shared" si="973"/>
        <v>-8.8847169523645561E-2</v>
      </c>
    </row>
    <row r="389" spans="1:20" x14ac:dyDescent="0.25">
      <c r="A389" s="5">
        <v>44204</v>
      </c>
      <c r="B389">
        <v>6.8503999999999996</v>
      </c>
      <c r="C389">
        <v>7.5</v>
      </c>
      <c r="D389">
        <v>6.0201000000000002</v>
      </c>
      <c r="E389">
        <v>6.7297000000000002</v>
      </c>
      <c r="F389">
        <v>975677.4</v>
      </c>
      <c r="G389">
        <v>0</v>
      </c>
      <c r="L389" t="s">
        <v>7</v>
      </c>
      <c r="M389" t="s">
        <v>7</v>
      </c>
      <c r="N389" t="s">
        <v>8</v>
      </c>
      <c r="P389">
        <f t="shared" si="969"/>
        <v>-4.101628488411363E-2</v>
      </c>
      <c r="Q389">
        <f t="shared" si="970"/>
        <v>-40018.66219339129</v>
      </c>
      <c r="R389">
        <f t="shared" si="971"/>
        <v>-9009452.1924324315</v>
      </c>
      <c r="S389">
        <f t="shared" si="972"/>
        <v>-90.094521924324312</v>
      </c>
      <c r="T389">
        <f t="shared" si="973"/>
        <v>-9.0094521924324308E-2</v>
      </c>
    </row>
    <row r="390" spans="1:20" x14ac:dyDescent="0.25">
      <c r="A390" s="5">
        <v>44203</v>
      </c>
      <c r="B390">
        <v>6.1725000000000003</v>
      </c>
      <c r="C390">
        <v>7.77</v>
      </c>
      <c r="D390">
        <v>5.88</v>
      </c>
      <c r="E390">
        <v>6.8841999999999999</v>
      </c>
      <c r="F390">
        <v>1251931.07</v>
      </c>
      <c r="G390">
        <v>0</v>
      </c>
      <c r="L390" t="s">
        <v>8</v>
      </c>
      <c r="M390" t="s">
        <v>8</v>
      </c>
      <c r="N390" t="s">
        <v>8</v>
      </c>
      <c r="P390">
        <f t="shared" ref="P390:P453" si="974">IF(C390=D390,0,((E390-D390)-(C390-E390))/(C390-D390))</f>
        <v>6.264550264550281E-2</v>
      </c>
      <c r="Q390">
        <f t="shared" ref="Q390:Q453" si="975">F390*P390</f>
        <v>78427.851157672165</v>
      </c>
      <c r="R390">
        <f t="shared" ref="R390:R453" si="976">R391+Q390</f>
        <v>-8969433.53023904</v>
      </c>
      <c r="S390">
        <f t="shared" ref="S390:S453" si="977">R390/100000</f>
        <v>-89.6943353023904</v>
      </c>
      <c r="T390">
        <f t="shared" ref="T390:T453" si="978">S390/1000</f>
        <v>-8.9694335302390404E-2</v>
      </c>
    </row>
    <row r="391" spans="1:20" x14ac:dyDescent="0.25">
      <c r="A391" s="5">
        <v>44202</v>
      </c>
      <c r="B391">
        <v>5.6902999999999997</v>
      </c>
      <c r="C391">
        <v>6.827</v>
      </c>
      <c r="D391">
        <v>5.5019999999999998</v>
      </c>
      <c r="E391">
        <v>6.1898999999999997</v>
      </c>
      <c r="F391">
        <v>950355.05</v>
      </c>
      <c r="G391">
        <v>0</v>
      </c>
      <c r="L391" t="s">
        <v>8</v>
      </c>
      <c r="M391" t="s">
        <v>8</v>
      </c>
      <c r="N391" t="s">
        <v>7</v>
      </c>
      <c r="P391">
        <f t="shared" si="974"/>
        <v>3.8339622641509231E-2</v>
      </c>
      <c r="Q391">
        <f t="shared" si="975"/>
        <v>36436.253992452643</v>
      </c>
      <c r="R391">
        <f t="shared" si="976"/>
        <v>-9047861.3813967127</v>
      </c>
      <c r="S391">
        <f t="shared" si="977"/>
        <v>-90.478613813967129</v>
      </c>
      <c r="T391">
        <f t="shared" si="978"/>
        <v>-9.0478613813967129E-2</v>
      </c>
    </row>
    <row r="392" spans="1:20" x14ac:dyDescent="0.25">
      <c r="A392" s="5">
        <v>44201</v>
      </c>
      <c r="B392">
        <v>6.0655999999999999</v>
      </c>
      <c r="C392">
        <v>6.0922999999999998</v>
      </c>
      <c r="D392">
        <v>5.3400999999999996</v>
      </c>
      <c r="E392">
        <v>5.6901000000000002</v>
      </c>
      <c r="F392">
        <v>428237.18</v>
      </c>
      <c r="G392">
        <v>0</v>
      </c>
      <c r="L392" t="s">
        <v>8</v>
      </c>
      <c r="M392" t="s">
        <v>8</v>
      </c>
      <c r="N392" t="s">
        <v>7</v>
      </c>
      <c r="P392">
        <f t="shared" si="974"/>
        <v>-6.9396437117786661E-2</v>
      </c>
      <c r="Q392">
        <f t="shared" si="975"/>
        <v>-29718.134533368288</v>
      </c>
      <c r="R392">
        <f t="shared" si="976"/>
        <v>-9084297.635389166</v>
      </c>
      <c r="S392">
        <f t="shared" si="977"/>
        <v>-90.842976353891657</v>
      </c>
      <c r="T392">
        <f t="shared" si="978"/>
        <v>-9.0842976353891658E-2</v>
      </c>
    </row>
    <row r="393" spans="1:20" x14ac:dyDescent="0.25">
      <c r="A393" s="5">
        <v>44200</v>
      </c>
      <c r="B393">
        <v>6.1942000000000004</v>
      </c>
      <c r="C393">
        <v>6.7698999999999998</v>
      </c>
      <c r="D393">
        <v>5.15</v>
      </c>
      <c r="E393">
        <v>6.0644999999999998</v>
      </c>
      <c r="F393">
        <v>1202044.05</v>
      </c>
      <c r="G393">
        <v>0</v>
      </c>
      <c r="L393" t="s">
        <v>7</v>
      </c>
      <c r="M393" t="s">
        <v>7</v>
      </c>
      <c r="N393" t="s">
        <v>7</v>
      </c>
      <c r="P393">
        <f t="shared" si="974"/>
        <v>0.12908204210136395</v>
      </c>
      <c r="Q393">
        <f t="shared" si="975"/>
        <v>155162.30066979403</v>
      </c>
      <c r="R393">
        <f t="shared" si="976"/>
        <v>-9054579.5008557979</v>
      </c>
      <c r="S393">
        <f t="shared" si="977"/>
        <v>-90.545795008557974</v>
      </c>
      <c r="T393">
        <f t="shared" si="978"/>
        <v>-9.0545795008557972E-2</v>
      </c>
    </row>
    <row r="394" spans="1:20" x14ac:dyDescent="0.25">
      <c r="A394" s="5">
        <v>44199</v>
      </c>
      <c r="B394">
        <v>4.8474000000000004</v>
      </c>
      <c r="C394">
        <v>7.4748999999999999</v>
      </c>
      <c r="D394">
        <v>4.8177000000000003</v>
      </c>
      <c r="E394">
        <v>6.1816000000000004</v>
      </c>
      <c r="F394">
        <v>2880173.31</v>
      </c>
      <c r="G394">
        <v>0</v>
      </c>
      <c r="L394" t="s">
        <v>8</v>
      </c>
      <c r="M394" t="s">
        <v>8</v>
      </c>
      <c r="N394" t="s">
        <v>8</v>
      </c>
      <c r="P394">
        <f t="shared" si="974"/>
        <v>2.6569321089869289E-2</v>
      </c>
      <c r="Q394">
        <f t="shared" si="975"/>
        <v>76524.249467861635</v>
      </c>
      <c r="R394">
        <f t="shared" si="976"/>
        <v>-9209741.8015255928</v>
      </c>
      <c r="S394">
        <f t="shared" si="977"/>
        <v>-92.097418015255926</v>
      </c>
      <c r="T394">
        <f t="shared" si="978"/>
        <v>-9.2097418015255922E-2</v>
      </c>
    </row>
    <row r="395" spans="1:20" x14ac:dyDescent="0.25">
      <c r="A395" s="5">
        <v>44198</v>
      </c>
      <c r="B395">
        <v>5.4805999999999999</v>
      </c>
      <c r="C395">
        <v>5.4885999999999999</v>
      </c>
      <c r="D395">
        <v>4.7173999999999996</v>
      </c>
      <c r="E395">
        <v>4.8495999999999997</v>
      </c>
      <c r="F395">
        <v>597555.82999999996</v>
      </c>
      <c r="G395">
        <v>0</v>
      </c>
      <c r="L395" t="s">
        <v>7</v>
      </c>
      <c r="M395" t="s">
        <v>7</v>
      </c>
      <c r="N395" t="s">
        <v>7</v>
      </c>
      <c r="P395">
        <f t="shared" si="974"/>
        <v>-0.6571576763485476</v>
      </c>
      <c r="Q395">
        <f t="shared" si="975"/>
        <v>-392688.40073132771</v>
      </c>
      <c r="R395">
        <f t="shared" si="976"/>
        <v>-9286266.0509934537</v>
      </c>
      <c r="S395">
        <f t="shared" si="977"/>
        <v>-92.862660509934543</v>
      </c>
      <c r="T395">
        <f t="shared" si="978"/>
        <v>-9.2862660509934539E-2</v>
      </c>
    </row>
    <row r="396" spans="1:20" x14ac:dyDescent="0.25">
      <c r="A396" s="5">
        <v>44197</v>
      </c>
      <c r="B396">
        <v>5.3470000000000004</v>
      </c>
      <c r="C396">
        <v>5.91</v>
      </c>
      <c r="D396">
        <v>5.2637999999999998</v>
      </c>
      <c r="E396">
        <v>5.4470000000000001</v>
      </c>
      <c r="F396">
        <v>472612.96</v>
      </c>
      <c r="G396">
        <v>0</v>
      </c>
      <c r="L396" t="s">
        <v>7</v>
      </c>
      <c r="M396" t="s">
        <v>7</v>
      </c>
      <c r="N396" t="s">
        <v>7</v>
      </c>
      <c r="P396">
        <f t="shared" si="974"/>
        <v>-0.43299288146084752</v>
      </c>
      <c r="Q396">
        <f t="shared" si="975"/>
        <v>-204638.04736614029</v>
      </c>
      <c r="R396">
        <f t="shared" si="976"/>
        <v>-8893577.6502621267</v>
      </c>
      <c r="S396">
        <f t="shared" si="977"/>
        <v>-88.935776502621266</v>
      </c>
      <c r="T396">
        <f t="shared" si="978"/>
        <v>-8.8935776502621272E-2</v>
      </c>
    </row>
    <row r="397" spans="1:20" x14ac:dyDescent="0.25">
      <c r="A397" s="5">
        <v>44196</v>
      </c>
      <c r="B397">
        <v>6.1608000000000001</v>
      </c>
      <c r="C397">
        <v>6.1611000000000002</v>
      </c>
      <c r="D397">
        <v>5.2835999999999999</v>
      </c>
      <c r="E397">
        <v>5.3423999999999996</v>
      </c>
      <c r="F397">
        <v>686054.99</v>
      </c>
      <c r="G397">
        <v>0</v>
      </c>
      <c r="L397" t="s">
        <v>7</v>
      </c>
      <c r="M397" t="s">
        <v>7</v>
      </c>
      <c r="N397" t="s">
        <v>7</v>
      </c>
      <c r="P397">
        <f t="shared" si="974"/>
        <v>-0.86598290598290661</v>
      </c>
      <c r="Q397">
        <f t="shared" si="975"/>
        <v>-594111.89390427398</v>
      </c>
      <c r="R397">
        <f t="shared" si="976"/>
        <v>-8688939.6028959863</v>
      </c>
      <c r="S397">
        <f t="shared" si="977"/>
        <v>-86.889396028959865</v>
      </c>
      <c r="T397">
        <f t="shared" si="978"/>
        <v>-8.688939602895987E-2</v>
      </c>
    </row>
    <row r="398" spans="1:20" x14ac:dyDescent="0.25">
      <c r="A398" s="5">
        <v>44195</v>
      </c>
      <c r="B398">
        <v>6.7199</v>
      </c>
      <c r="C398">
        <v>7.0189000000000004</v>
      </c>
      <c r="D398">
        <v>5.65</v>
      </c>
      <c r="E398">
        <v>6.1611000000000002</v>
      </c>
      <c r="F398">
        <v>583265.5</v>
      </c>
      <c r="G398">
        <v>0</v>
      </c>
      <c r="L398" t="s">
        <v>7</v>
      </c>
      <c r="M398" t="s">
        <v>7</v>
      </c>
      <c r="N398" t="s">
        <v>7</v>
      </c>
      <c r="P398">
        <f t="shared" si="974"/>
        <v>-0.25326904814084317</v>
      </c>
      <c r="Q398">
        <f t="shared" si="975"/>
        <v>-147723.09799839297</v>
      </c>
      <c r="R398">
        <f t="shared" si="976"/>
        <v>-8094827.7089917129</v>
      </c>
      <c r="S398">
        <f t="shared" si="977"/>
        <v>-80.948277089917127</v>
      </c>
      <c r="T398">
        <f t="shared" si="978"/>
        <v>-8.0948277089917128E-2</v>
      </c>
    </row>
    <row r="399" spans="1:20" x14ac:dyDescent="0.25">
      <c r="A399" s="5">
        <v>44194</v>
      </c>
      <c r="B399">
        <v>7.4912000000000001</v>
      </c>
      <c r="C399">
        <v>8.8345000000000002</v>
      </c>
      <c r="D399">
        <v>6.3</v>
      </c>
      <c r="E399">
        <v>6.6970000000000001</v>
      </c>
      <c r="F399">
        <v>1870768.66</v>
      </c>
      <c r="G399">
        <v>0</v>
      </c>
      <c r="L399" t="s">
        <v>8</v>
      </c>
      <c r="M399" t="s">
        <v>8</v>
      </c>
      <c r="N399" t="s">
        <v>7</v>
      </c>
      <c r="P399">
        <f t="shared" si="974"/>
        <v>-0.68672321956993476</v>
      </c>
      <c r="Q399">
        <f t="shared" si="975"/>
        <v>-1284700.2772657326</v>
      </c>
      <c r="R399">
        <f t="shared" si="976"/>
        <v>-7947104.6109933201</v>
      </c>
      <c r="S399">
        <f t="shared" si="977"/>
        <v>-79.471046109933198</v>
      </c>
      <c r="T399">
        <f t="shared" si="978"/>
        <v>-7.9471046109933191E-2</v>
      </c>
    </row>
    <row r="400" spans="1:20" x14ac:dyDescent="0.25">
      <c r="A400" s="5">
        <v>44193</v>
      </c>
      <c r="B400">
        <v>6.6153000000000004</v>
      </c>
      <c r="C400">
        <v>7.6989000000000001</v>
      </c>
      <c r="D400">
        <v>6.5157999999999996</v>
      </c>
      <c r="E400">
        <v>7.5025000000000004</v>
      </c>
      <c r="F400">
        <v>712560.88</v>
      </c>
      <c r="G400">
        <v>0</v>
      </c>
      <c r="L400" t="s">
        <v>8</v>
      </c>
      <c r="M400" t="s">
        <v>8</v>
      </c>
      <c r="N400" t="s">
        <v>7</v>
      </c>
      <c r="P400">
        <f t="shared" si="974"/>
        <v>0.66799087143943947</v>
      </c>
      <c r="Q400">
        <f t="shared" si="975"/>
        <v>475984.16318485385</v>
      </c>
      <c r="R400">
        <f t="shared" si="976"/>
        <v>-6662404.3337275879</v>
      </c>
      <c r="S400">
        <f t="shared" si="977"/>
        <v>-66.624043337275879</v>
      </c>
      <c r="T400">
        <f t="shared" si="978"/>
        <v>-6.6624043337275882E-2</v>
      </c>
    </row>
    <row r="401" spans="1:20" x14ac:dyDescent="0.25">
      <c r="A401" s="5">
        <v>44192</v>
      </c>
      <c r="B401">
        <v>6.7907999999999999</v>
      </c>
      <c r="C401">
        <v>7.1997999999999998</v>
      </c>
      <c r="D401">
        <v>6.1908000000000003</v>
      </c>
      <c r="E401">
        <v>6.6153000000000004</v>
      </c>
      <c r="F401">
        <v>781118.96</v>
      </c>
      <c r="G401">
        <v>0</v>
      </c>
      <c r="L401" t="s">
        <v>7</v>
      </c>
      <c r="M401" t="s">
        <v>7</v>
      </c>
      <c r="N401" t="s">
        <v>7</v>
      </c>
      <c r="P401">
        <f t="shared" si="974"/>
        <v>-0.15857284440039579</v>
      </c>
      <c r="Q401">
        <f t="shared" si="975"/>
        <v>-123864.25530227898</v>
      </c>
      <c r="R401">
        <f t="shared" si="976"/>
        <v>-7138388.4969124421</v>
      </c>
      <c r="S401">
        <f t="shared" si="977"/>
        <v>-71.383884969124423</v>
      </c>
      <c r="T401">
        <f t="shared" si="978"/>
        <v>-7.1383884969124428E-2</v>
      </c>
    </row>
    <row r="402" spans="1:20" x14ac:dyDescent="0.25">
      <c r="A402" s="5">
        <v>44191</v>
      </c>
      <c r="B402">
        <v>7.1436999999999999</v>
      </c>
      <c r="C402">
        <v>7.35</v>
      </c>
      <c r="D402">
        <v>6.4375</v>
      </c>
      <c r="E402">
        <v>6.7912999999999997</v>
      </c>
      <c r="F402">
        <v>611365.06999999995</v>
      </c>
      <c r="G402">
        <v>0</v>
      </c>
      <c r="L402" t="s">
        <v>7</v>
      </c>
      <c r="M402" t="s">
        <v>7</v>
      </c>
      <c r="N402" t="s">
        <v>7</v>
      </c>
      <c r="P402">
        <f t="shared" si="974"/>
        <v>-0.22454794520547988</v>
      </c>
      <c r="Q402">
        <f t="shared" si="975"/>
        <v>-137280.77023890437</v>
      </c>
      <c r="R402">
        <f t="shared" si="976"/>
        <v>-7014524.2416101629</v>
      </c>
      <c r="S402">
        <f t="shared" si="977"/>
        <v>-70.145242416101624</v>
      </c>
      <c r="T402">
        <f t="shared" si="978"/>
        <v>-7.0145242416101622E-2</v>
      </c>
    </row>
    <row r="403" spans="1:20" x14ac:dyDescent="0.25">
      <c r="A403" s="5">
        <v>44190</v>
      </c>
      <c r="B403">
        <v>7.6413000000000002</v>
      </c>
      <c r="C403">
        <v>8.1999999999999993</v>
      </c>
      <c r="D403">
        <v>6.7446999999999999</v>
      </c>
      <c r="E403">
        <v>7.1436999999999999</v>
      </c>
      <c r="F403">
        <v>488880.38</v>
      </c>
      <c r="G403">
        <v>0</v>
      </c>
      <c r="L403" t="s">
        <v>8</v>
      </c>
      <c r="M403" t="s">
        <v>8</v>
      </c>
      <c r="N403" t="s">
        <v>7</v>
      </c>
      <c r="P403">
        <f t="shared" si="974"/>
        <v>-0.45165945165945137</v>
      </c>
      <c r="Q403">
        <f t="shared" si="975"/>
        <v>-220807.44435786421</v>
      </c>
      <c r="R403">
        <f t="shared" si="976"/>
        <v>-6877243.4713712586</v>
      </c>
      <c r="S403">
        <f t="shared" si="977"/>
        <v>-68.772434713712585</v>
      </c>
      <c r="T403">
        <f t="shared" si="978"/>
        <v>-6.8772434713712582E-2</v>
      </c>
    </row>
    <row r="404" spans="1:20" x14ac:dyDescent="0.25">
      <c r="A404" s="5">
        <v>44189</v>
      </c>
      <c r="B404">
        <v>7.1014999999999997</v>
      </c>
      <c r="C404">
        <v>7.8865999999999996</v>
      </c>
      <c r="D404">
        <v>6.55</v>
      </c>
      <c r="E404">
        <v>7.6348000000000003</v>
      </c>
      <c r="F404">
        <v>553937.24</v>
      </c>
      <c r="G404">
        <v>0</v>
      </c>
      <c r="L404" t="s">
        <v>8</v>
      </c>
      <c r="M404" t="s">
        <v>8</v>
      </c>
      <c r="N404" t="s">
        <v>7</v>
      </c>
      <c r="P404">
        <f t="shared" si="974"/>
        <v>0.62322310339667908</v>
      </c>
      <c r="Q404">
        <f t="shared" si="975"/>
        <v>345226.485799791</v>
      </c>
      <c r="R404">
        <f t="shared" si="976"/>
        <v>-6656436.0270133941</v>
      </c>
      <c r="S404">
        <f t="shared" si="977"/>
        <v>-66.564360270133946</v>
      </c>
      <c r="T404">
        <f t="shared" si="978"/>
        <v>-6.6564360270133946E-2</v>
      </c>
    </row>
    <row r="405" spans="1:20" x14ac:dyDescent="0.25">
      <c r="A405" s="5">
        <v>44188</v>
      </c>
      <c r="B405">
        <v>8.6998999999999995</v>
      </c>
      <c r="C405">
        <v>9.1790000000000003</v>
      </c>
      <c r="D405">
        <v>6.3</v>
      </c>
      <c r="E405">
        <v>7.0490000000000004</v>
      </c>
      <c r="F405">
        <v>1410063.66</v>
      </c>
      <c r="G405">
        <v>0</v>
      </c>
      <c r="L405" t="s">
        <v>7</v>
      </c>
      <c r="M405" t="s">
        <v>7</v>
      </c>
      <c r="N405" t="s">
        <v>7</v>
      </c>
      <c r="P405">
        <f t="shared" si="974"/>
        <v>-0.47968044459881876</v>
      </c>
      <c r="Q405">
        <f t="shared" si="975"/>
        <v>-676379.96334143751</v>
      </c>
      <c r="R405">
        <f t="shared" si="976"/>
        <v>-7001662.5128131853</v>
      </c>
      <c r="S405">
        <f t="shared" si="977"/>
        <v>-70.016625128131849</v>
      </c>
      <c r="T405">
        <f t="shared" si="978"/>
        <v>-7.0016625128131851E-2</v>
      </c>
    </row>
    <row r="406" spans="1:20" x14ac:dyDescent="0.25">
      <c r="A406" s="5">
        <v>44187</v>
      </c>
      <c r="B406">
        <v>9.0000999999999998</v>
      </c>
      <c r="C406">
        <v>10.9991</v>
      </c>
      <c r="D406">
        <v>8.2201000000000004</v>
      </c>
      <c r="E406">
        <v>8.6999999999999993</v>
      </c>
      <c r="F406">
        <v>2343453.81</v>
      </c>
      <c r="G406">
        <v>0</v>
      </c>
      <c r="L406" t="s">
        <v>8</v>
      </c>
      <c r="M406" t="s">
        <v>8</v>
      </c>
      <c r="N406" t="s">
        <v>8</v>
      </c>
      <c r="P406">
        <f t="shared" si="974"/>
        <v>-0.65462396545520052</v>
      </c>
      <c r="Q406">
        <f t="shared" si="975"/>
        <v>-1534081.025963298</v>
      </c>
      <c r="R406">
        <f t="shared" si="976"/>
        <v>-6325282.5494717481</v>
      </c>
      <c r="S406">
        <f t="shared" si="977"/>
        <v>-63.252825494717477</v>
      </c>
      <c r="T406">
        <f t="shared" si="978"/>
        <v>-6.3252825494717474E-2</v>
      </c>
    </row>
    <row r="407" spans="1:20" x14ac:dyDescent="0.25">
      <c r="A407" s="5">
        <v>44186</v>
      </c>
      <c r="B407">
        <v>8.0114999999999998</v>
      </c>
      <c r="C407">
        <v>9.9999000000000002</v>
      </c>
      <c r="D407">
        <v>7.7157999999999998</v>
      </c>
      <c r="E407">
        <v>9</v>
      </c>
      <c r="F407">
        <v>2546798.2200000002</v>
      </c>
      <c r="G407">
        <v>0</v>
      </c>
      <c r="L407" t="s">
        <v>8</v>
      </c>
      <c r="M407" t="s">
        <v>7</v>
      </c>
      <c r="N407" t="s">
        <v>7</v>
      </c>
      <c r="P407">
        <f t="shared" si="974"/>
        <v>0.12446915634166628</v>
      </c>
      <c r="Q407">
        <f t="shared" si="975"/>
        <v>316997.82581585739</v>
      </c>
      <c r="R407">
        <f t="shared" si="976"/>
        <v>-4791201.52350845</v>
      </c>
      <c r="S407">
        <f t="shared" si="977"/>
        <v>-47.912015235084503</v>
      </c>
      <c r="T407">
        <f t="shared" si="978"/>
        <v>-4.7912015235084503E-2</v>
      </c>
    </row>
    <row r="408" spans="1:20" x14ac:dyDescent="0.25">
      <c r="A408" s="5">
        <v>44185</v>
      </c>
      <c r="B408">
        <v>9.26</v>
      </c>
      <c r="C408">
        <v>9.4087999999999994</v>
      </c>
      <c r="D408">
        <v>7.77</v>
      </c>
      <c r="E408">
        <v>8.0114999999999998</v>
      </c>
      <c r="F408">
        <v>1473391.99</v>
      </c>
      <c r="G408">
        <v>0</v>
      </c>
      <c r="L408" t="s">
        <v>7</v>
      </c>
      <c r="M408" t="s">
        <v>7</v>
      </c>
      <c r="N408" t="s">
        <v>7</v>
      </c>
      <c r="P408">
        <f t="shared" si="974"/>
        <v>-0.7052721503539171</v>
      </c>
      <c r="Q408">
        <f t="shared" si="975"/>
        <v>-1039142.3371015372</v>
      </c>
      <c r="R408">
        <f t="shared" si="976"/>
        <v>-5108199.3493243074</v>
      </c>
      <c r="S408">
        <f t="shared" si="977"/>
        <v>-51.081993493243075</v>
      </c>
      <c r="T408">
        <f t="shared" si="978"/>
        <v>-5.1081993493243077E-2</v>
      </c>
    </row>
    <row r="409" spans="1:20" x14ac:dyDescent="0.25">
      <c r="A409" s="5">
        <v>44184</v>
      </c>
      <c r="B409">
        <v>9.92</v>
      </c>
      <c r="C409">
        <v>10.2033</v>
      </c>
      <c r="D409">
        <v>9.1423000000000005</v>
      </c>
      <c r="E409">
        <v>9.2520000000000007</v>
      </c>
      <c r="F409">
        <v>778581.26</v>
      </c>
      <c r="G409">
        <v>0</v>
      </c>
      <c r="L409" t="s">
        <v>8</v>
      </c>
      <c r="M409" t="s">
        <v>7</v>
      </c>
      <c r="N409" t="s">
        <v>7</v>
      </c>
      <c r="P409">
        <f t="shared" si="974"/>
        <v>-0.79321394910461807</v>
      </c>
      <c r="Q409">
        <f t="shared" si="975"/>
        <v>-617581.51594344946</v>
      </c>
      <c r="R409">
        <f t="shared" si="976"/>
        <v>-4069057.0122227701</v>
      </c>
      <c r="S409">
        <f t="shared" si="977"/>
        <v>-40.690570122227705</v>
      </c>
      <c r="T409">
        <f t="shared" si="978"/>
        <v>-4.0690570122227702E-2</v>
      </c>
    </row>
    <row r="410" spans="1:20" x14ac:dyDescent="0.25">
      <c r="A410" s="5">
        <v>44183</v>
      </c>
      <c r="B410">
        <v>9.5250000000000004</v>
      </c>
      <c r="C410">
        <v>10.6556</v>
      </c>
      <c r="D410">
        <v>9</v>
      </c>
      <c r="E410">
        <v>9.9022000000000006</v>
      </c>
      <c r="F410">
        <v>1179135.3899999999</v>
      </c>
      <c r="G410">
        <v>0</v>
      </c>
      <c r="L410" t="s">
        <v>7</v>
      </c>
      <c r="M410" t="s">
        <v>7</v>
      </c>
      <c r="N410" t="s">
        <v>7</v>
      </c>
      <c r="P410">
        <f t="shared" si="974"/>
        <v>8.987678183136108E-2</v>
      </c>
      <c r="Q410">
        <f t="shared" si="975"/>
        <v>105976.89419666685</v>
      </c>
      <c r="R410">
        <f t="shared" si="976"/>
        <v>-3451475.4962793207</v>
      </c>
      <c r="S410">
        <f t="shared" si="977"/>
        <v>-34.514754962793205</v>
      </c>
      <c r="T410">
        <f t="shared" si="978"/>
        <v>-3.4514754962793208E-2</v>
      </c>
    </row>
    <row r="411" spans="1:20" x14ac:dyDescent="0.25">
      <c r="A411" s="5">
        <v>44182</v>
      </c>
      <c r="B411">
        <v>10.834</v>
      </c>
      <c r="C411">
        <v>11.35</v>
      </c>
      <c r="D411">
        <v>9.2226999999999997</v>
      </c>
      <c r="E411">
        <v>9.5266000000000002</v>
      </c>
      <c r="F411">
        <v>1339421.26</v>
      </c>
      <c r="G411">
        <v>0</v>
      </c>
      <c r="L411" t="s">
        <v>7</v>
      </c>
      <c r="M411" t="s">
        <v>7</v>
      </c>
      <c r="N411" t="s">
        <v>7</v>
      </c>
      <c r="P411">
        <f t="shared" si="974"/>
        <v>-0.71428571428571386</v>
      </c>
      <c r="Q411">
        <f t="shared" si="975"/>
        <v>-956729.47142857092</v>
      </c>
      <c r="R411">
        <f t="shared" si="976"/>
        <v>-3557452.3904759875</v>
      </c>
      <c r="S411">
        <f t="shared" si="977"/>
        <v>-35.574523904759872</v>
      </c>
      <c r="T411">
        <f t="shared" si="978"/>
        <v>-3.5574523904759875E-2</v>
      </c>
    </row>
    <row r="412" spans="1:20" x14ac:dyDescent="0.25">
      <c r="A412" s="5">
        <v>44181</v>
      </c>
      <c r="B412">
        <v>11.521599999999999</v>
      </c>
      <c r="C412">
        <v>11.95</v>
      </c>
      <c r="D412">
        <v>10.125</v>
      </c>
      <c r="E412">
        <v>10.8203</v>
      </c>
      <c r="F412">
        <v>1490218.25</v>
      </c>
      <c r="G412">
        <v>0</v>
      </c>
      <c r="L412" t="s">
        <v>7</v>
      </c>
      <c r="M412" t="s">
        <v>7</v>
      </c>
      <c r="N412" t="s">
        <v>8</v>
      </c>
      <c r="P412">
        <f t="shared" si="974"/>
        <v>-0.23802739726027414</v>
      </c>
      <c r="Q412">
        <f t="shared" si="975"/>
        <v>-354712.77139726054</v>
      </c>
      <c r="R412">
        <f t="shared" si="976"/>
        <v>-2600722.9190474167</v>
      </c>
      <c r="S412">
        <f t="shared" si="977"/>
        <v>-26.007229190474167</v>
      </c>
      <c r="T412">
        <f t="shared" si="978"/>
        <v>-2.6007229190474167E-2</v>
      </c>
    </row>
    <row r="413" spans="1:20" x14ac:dyDescent="0.25">
      <c r="A413" s="5">
        <v>44180</v>
      </c>
      <c r="B413">
        <v>12.3995</v>
      </c>
      <c r="C413">
        <v>12.9</v>
      </c>
      <c r="D413">
        <v>11.4208</v>
      </c>
      <c r="E413">
        <v>11.523400000000001</v>
      </c>
      <c r="F413">
        <v>888951.07</v>
      </c>
      <c r="G413">
        <v>0</v>
      </c>
      <c r="L413" t="s">
        <v>7</v>
      </c>
      <c r="M413" t="s">
        <v>7</v>
      </c>
      <c r="N413" t="s">
        <v>8</v>
      </c>
      <c r="P413">
        <f t="shared" si="974"/>
        <v>-0.86127636560302778</v>
      </c>
      <c r="Q413">
        <f t="shared" si="975"/>
        <v>-765632.5467685227</v>
      </c>
      <c r="R413">
        <f t="shared" si="976"/>
        <v>-2246010.1476501562</v>
      </c>
      <c r="S413">
        <f t="shared" si="977"/>
        <v>-22.460101476501563</v>
      </c>
      <c r="T413">
        <f t="shared" si="978"/>
        <v>-2.2460101476501564E-2</v>
      </c>
    </row>
    <row r="414" spans="1:20" x14ac:dyDescent="0.25">
      <c r="A414" s="5">
        <v>44179</v>
      </c>
      <c r="B414">
        <v>14.0501</v>
      </c>
      <c r="C414">
        <v>14.1808</v>
      </c>
      <c r="D414">
        <v>12.04</v>
      </c>
      <c r="E414">
        <v>12.3933</v>
      </c>
      <c r="F414">
        <v>1161044.29</v>
      </c>
      <c r="G414">
        <v>0</v>
      </c>
      <c r="L414" t="s">
        <v>7</v>
      </c>
      <c r="M414" t="s">
        <v>7</v>
      </c>
      <c r="N414" t="s">
        <v>8</v>
      </c>
      <c r="P414">
        <f t="shared" si="974"/>
        <v>-0.66993647234678555</v>
      </c>
      <c r="Q414">
        <f t="shared" si="975"/>
        <v>-777825.91588097834</v>
      </c>
      <c r="R414">
        <f t="shared" si="976"/>
        <v>-1480377.6008816333</v>
      </c>
      <c r="S414">
        <f t="shared" si="977"/>
        <v>-14.803776008816333</v>
      </c>
      <c r="T414">
        <f t="shared" si="978"/>
        <v>-1.4803776008816334E-2</v>
      </c>
    </row>
    <row r="415" spans="1:20" x14ac:dyDescent="0.25">
      <c r="A415" s="5">
        <v>44178</v>
      </c>
      <c r="B415">
        <v>12.2814</v>
      </c>
      <c r="C415">
        <v>14.35</v>
      </c>
      <c r="D415">
        <v>12.261699999999999</v>
      </c>
      <c r="E415">
        <v>14.064399999999999</v>
      </c>
      <c r="F415">
        <v>2142039.11</v>
      </c>
      <c r="G415">
        <v>0</v>
      </c>
      <c r="L415" t="s">
        <v>8</v>
      </c>
      <c r="M415" t="s">
        <v>8</v>
      </c>
      <c r="N415" t="s">
        <v>8</v>
      </c>
      <c r="P415">
        <f t="shared" si="974"/>
        <v>0.72647608102284111</v>
      </c>
      <c r="Q415">
        <f t="shared" si="975"/>
        <v>1556140.1780304543</v>
      </c>
      <c r="R415">
        <f t="shared" si="976"/>
        <v>-702551.68500065501</v>
      </c>
      <c r="S415">
        <f t="shared" si="977"/>
        <v>-7.0255168500065501</v>
      </c>
      <c r="T415">
        <f t="shared" si="978"/>
        <v>-7.0255168500065503E-3</v>
      </c>
    </row>
    <row r="416" spans="1:20" x14ac:dyDescent="0.25">
      <c r="A416" s="5">
        <v>44177</v>
      </c>
      <c r="B416">
        <v>10.475300000000001</v>
      </c>
      <c r="C416">
        <v>12.5</v>
      </c>
      <c r="D416">
        <v>10.475300000000001</v>
      </c>
      <c r="E416">
        <v>12.271599999999999</v>
      </c>
      <c r="F416">
        <v>1102224.8999999999</v>
      </c>
      <c r="G416">
        <v>0</v>
      </c>
      <c r="L416" t="s">
        <v>8</v>
      </c>
      <c r="M416" t="s">
        <v>8</v>
      </c>
      <c r="N416" t="s">
        <v>8</v>
      </c>
      <c r="P416">
        <f t="shared" si="974"/>
        <v>0.77438632883883962</v>
      </c>
      <c r="Q416">
        <f t="shared" si="975"/>
        <v>853547.89386575704</v>
      </c>
      <c r="R416">
        <f t="shared" si="976"/>
        <v>-2258691.8630311093</v>
      </c>
      <c r="S416">
        <f t="shared" si="977"/>
        <v>-22.586918630311093</v>
      </c>
      <c r="T416">
        <f t="shared" si="978"/>
        <v>-2.2586918630311092E-2</v>
      </c>
    </row>
    <row r="417" spans="1:20" x14ac:dyDescent="0.25">
      <c r="A417" s="5">
        <v>44176</v>
      </c>
      <c r="B417">
        <v>12.04</v>
      </c>
      <c r="C417">
        <v>12.285</v>
      </c>
      <c r="D417">
        <v>10.0228</v>
      </c>
      <c r="E417">
        <v>10.476000000000001</v>
      </c>
      <c r="F417">
        <v>1532642.47</v>
      </c>
      <c r="G417">
        <v>0</v>
      </c>
      <c r="L417" t="s">
        <v>7</v>
      </c>
      <c r="M417" t="s">
        <v>7</v>
      </c>
      <c r="N417" t="s">
        <v>8</v>
      </c>
      <c r="P417">
        <f t="shared" si="974"/>
        <v>-0.59932808770223611</v>
      </c>
      <c r="Q417">
        <f t="shared" si="975"/>
        <v>-918555.68067633174</v>
      </c>
      <c r="R417">
        <f t="shared" si="976"/>
        <v>-3112239.7568968665</v>
      </c>
      <c r="S417">
        <f t="shared" si="977"/>
        <v>-31.122397568968665</v>
      </c>
      <c r="T417">
        <f t="shared" si="978"/>
        <v>-3.1122397568968667E-2</v>
      </c>
    </row>
    <row r="418" spans="1:20" x14ac:dyDescent="0.25">
      <c r="A418" s="5">
        <v>44175</v>
      </c>
      <c r="B418">
        <v>11.882</v>
      </c>
      <c r="C418">
        <v>13.983599999999999</v>
      </c>
      <c r="D418">
        <v>11.547499999999999</v>
      </c>
      <c r="E418">
        <v>12.0396</v>
      </c>
      <c r="F418">
        <v>2254956.13</v>
      </c>
      <c r="G418">
        <v>0</v>
      </c>
      <c r="L418" t="s">
        <v>8</v>
      </c>
      <c r="M418" t="s">
        <v>8</v>
      </c>
      <c r="N418" t="s">
        <v>8</v>
      </c>
      <c r="P418">
        <f t="shared" si="974"/>
        <v>-0.59599359632198945</v>
      </c>
      <c r="Q418">
        <f t="shared" si="975"/>
        <v>-1343939.4134670156</v>
      </c>
      <c r="R418">
        <f t="shared" si="976"/>
        <v>-2193684.0762205347</v>
      </c>
      <c r="S418">
        <f t="shared" si="977"/>
        <v>-21.936840762205346</v>
      </c>
      <c r="T418">
        <f t="shared" si="978"/>
        <v>-2.1936840762205347E-2</v>
      </c>
    </row>
    <row r="419" spans="1:20" x14ac:dyDescent="0.25">
      <c r="A419" s="5">
        <v>44174</v>
      </c>
      <c r="B419">
        <v>11.1699</v>
      </c>
      <c r="C419">
        <v>14.34</v>
      </c>
      <c r="D419">
        <v>9.5328999999999997</v>
      </c>
      <c r="E419">
        <v>11.9092</v>
      </c>
      <c r="F419">
        <v>4261443.47</v>
      </c>
      <c r="G419">
        <v>0</v>
      </c>
      <c r="L419" t="s">
        <v>7</v>
      </c>
      <c r="M419" t="s">
        <v>7</v>
      </c>
      <c r="N419" t="s">
        <v>7</v>
      </c>
      <c r="P419">
        <f t="shared" si="974"/>
        <v>-1.1337396767281542E-2</v>
      </c>
      <c r="Q419">
        <f t="shared" si="975"/>
        <v>-48313.67542073103</v>
      </c>
      <c r="R419">
        <f t="shared" si="976"/>
        <v>-849744.66275351937</v>
      </c>
      <c r="S419">
        <f t="shared" si="977"/>
        <v>-8.4974466275351936</v>
      </c>
      <c r="T419">
        <f t="shared" si="978"/>
        <v>-8.4974466275351945E-3</v>
      </c>
    </row>
    <row r="420" spans="1:20" x14ac:dyDescent="0.25">
      <c r="A420" s="5">
        <v>44173</v>
      </c>
      <c r="B420">
        <v>9.8148</v>
      </c>
      <c r="C420">
        <v>15.4</v>
      </c>
      <c r="D420">
        <v>9.8148</v>
      </c>
      <c r="E420">
        <v>11.164</v>
      </c>
      <c r="F420">
        <v>7145878.4699999997</v>
      </c>
      <c r="G420">
        <v>0</v>
      </c>
      <c r="L420" t="s">
        <v>8</v>
      </c>
      <c r="M420" t="s">
        <v>8</v>
      </c>
      <c r="N420" t="s">
        <v>8</v>
      </c>
      <c r="P420">
        <f t="shared" si="974"/>
        <v>-0.51686600300794971</v>
      </c>
      <c r="Q420">
        <f t="shared" si="975"/>
        <v>-3693461.6427694629</v>
      </c>
      <c r="R420">
        <f t="shared" si="976"/>
        <v>-801430.9873327883</v>
      </c>
      <c r="S420">
        <f t="shared" si="977"/>
        <v>-8.0143098733278837</v>
      </c>
      <c r="T420">
        <f t="shared" si="978"/>
        <v>-8.0143098733278829E-3</v>
      </c>
    </row>
    <row r="421" spans="1:20" x14ac:dyDescent="0.25">
      <c r="A421" s="5">
        <v>44172</v>
      </c>
      <c r="B421">
        <v>7.1548999999999996</v>
      </c>
      <c r="C421">
        <v>9.86</v>
      </c>
      <c r="D421">
        <v>6.9454000000000002</v>
      </c>
      <c r="E421">
        <v>9.7997999999999994</v>
      </c>
      <c r="F421">
        <v>3403837.98</v>
      </c>
      <c r="G421">
        <v>0</v>
      </c>
      <c r="L421" t="s">
        <v>8</v>
      </c>
      <c r="M421" t="s">
        <v>8</v>
      </c>
      <c r="N421" t="s">
        <v>8</v>
      </c>
      <c r="P421">
        <f t="shared" si="974"/>
        <v>0.95869072943113975</v>
      </c>
      <c r="Q421">
        <f t="shared" si="975"/>
        <v>3263227.9159116172</v>
      </c>
      <c r="R421">
        <f t="shared" si="976"/>
        <v>2892030.6554366746</v>
      </c>
      <c r="S421">
        <f t="shared" si="977"/>
        <v>28.920306554366746</v>
      </c>
      <c r="T421">
        <f t="shared" si="978"/>
        <v>2.8920306554366747E-2</v>
      </c>
    </row>
    <row r="422" spans="1:20" x14ac:dyDescent="0.25">
      <c r="A422" s="5">
        <v>44171</v>
      </c>
      <c r="B422">
        <v>5.8480999999999996</v>
      </c>
      <c r="C422">
        <v>7.7</v>
      </c>
      <c r="D422">
        <v>5.7530000000000001</v>
      </c>
      <c r="E422">
        <v>7.1224999999999996</v>
      </c>
      <c r="F422">
        <v>1978848.07</v>
      </c>
      <c r="G422">
        <v>0</v>
      </c>
      <c r="L422" t="s">
        <v>8</v>
      </c>
      <c r="M422" t="s">
        <v>8</v>
      </c>
      <c r="N422" t="s">
        <v>8</v>
      </c>
      <c r="P422">
        <f t="shared" si="974"/>
        <v>0.40677966101694857</v>
      </c>
      <c r="Q422">
        <f t="shared" si="975"/>
        <v>804955.14711864293</v>
      </c>
      <c r="R422">
        <f t="shared" si="976"/>
        <v>-371197.26047494262</v>
      </c>
      <c r="S422">
        <f t="shared" si="977"/>
        <v>-3.7119726047494264</v>
      </c>
      <c r="T422">
        <f t="shared" si="978"/>
        <v>-3.7119726047494263E-3</v>
      </c>
    </row>
    <row r="423" spans="1:20" x14ac:dyDescent="0.25">
      <c r="A423" s="5">
        <v>44170</v>
      </c>
      <c r="B423">
        <v>5.1830999999999996</v>
      </c>
      <c r="C423">
        <v>5.9852999999999996</v>
      </c>
      <c r="D423">
        <v>5.0167999999999999</v>
      </c>
      <c r="E423">
        <v>5.8487999999999998</v>
      </c>
      <c r="F423">
        <v>675078.06</v>
      </c>
      <c r="G423">
        <v>0</v>
      </c>
      <c r="L423" t="s">
        <v>7</v>
      </c>
      <c r="M423" t="s">
        <v>7</v>
      </c>
      <c r="N423" t="s">
        <v>8</v>
      </c>
      <c r="P423">
        <f t="shared" si="974"/>
        <v>0.7181208053691277</v>
      </c>
      <c r="Q423">
        <f t="shared" si="975"/>
        <v>484787.60013422836</v>
      </c>
      <c r="R423">
        <f t="shared" si="976"/>
        <v>-1176152.4075935856</v>
      </c>
      <c r="S423">
        <f t="shared" si="977"/>
        <v>-11.761524075935856</v>
      </c>
      <c r="T423">
        <f t="shared" si="978"/>
        <v>-1.1761524075935857E-2</v>
      </c>
    </row>
    <row r="424" spans="1:20" x14ac:dyDescent="0.25">
      <c r="A424" s="5">
        <v>44169</v>
      </c>
      <c r="B424">
        <v>5.1795</v>
      </c>
      <c r="C424">
        <v>6.2718999999999996</v>
      </c>
      <c r="D424">
        <v>4.9701000000000004</v>
      </c>
      <c r="E424">
        <v>5.1830999999999996</v>
      </c>
      <c r="F424">
        <v>1567937.42</v>
      </c>
      <c r="G424">
        <v>0</v>
      </c>
      <c r="L424" t="s">
        <v>8</v>
      </c>
      <c r="M424" t="s">
        <v>8</v>
      </c>
      <c r="N424" t="s">
        <v>8</v>
      </c>
      <c r="P424">
        <f t="shared" si="974"/>
        <v>-0.67276079274850309</v>
      </c>
      <c r="Q424">
        <f t="shared" si="975"/>
        <v>-1054846.8216592425</v>
      </c>
      <c r="R424">
        <f t="shared" si="976"/>
        <v>-1660940.0077278139</v>
      </c>
      <c r="S424">
        <f t="shared" si="977"/>
        <v>-16.609400077278138</v>
      </c>
      <c r="T424">
        <f t="shared" si="978"/>
        <v>-1.6609400077278139E-2</v>
      </c>
    </row>
    <row r="425" spans="1:20" x14ac:dyDescent="0.25">
      <c r="A425" s="5">
        <v>44168</v>
      </c>
      <c r="B425">
        <v>4.4958999999999998</v>
      </c>
      <c r="C425">
        <v>5.45</v>
      </c>
      <c r="D425">
        <v>4.4000000000000004</v>
      </c>
      <c r="E425">
        <v>5.1811999999999996</v>
      </c>
      <c r="F425">
        <v>1538559.12</v>
      </c>
      <c r="G425">
        <v>0</v>
      </c>
      <c r="L425" t="s">
        <v>8</v>
      </c>
      <c r="M425" t="s">
        <v>8</v>
      </c>
      <c r="N425" t="s">
        <v>8</v>
      </c>
      <c r="P425">
        <f t="shared" si="974"/>
        <v>0.48799999999999877</v>
      </c>
      <c r="Q425">
        <f t="shared" si="975"/>
        <v>750816.85055999819</v>
      </c>
      <c r="R425">
        <f t="shared" si="976"/>
        <v>-606093.18606857152</v>
      </c>
      <c r="S425">
        <f t="shared" si="977"/>
        <v>-6.0609318606857157</v>
      </c>
      <c r="T425">
        <f t="shared" si="978"/>
        <v>-6.0609318606857157E-3</v>
      </c>
    </row>
    <row r="426" spans="1:20" x14ac:dyDescent="0.25">
      <c r="A426" s="5">
        <v>44167</v>
      </c>
      <c r="B426">
        <v>4.0598999999999998</v>
      </c>
      <c r="C426">
        <v>4.4960000000000004</v>
      </c>
      <c r="D426">
        <v>3.7284000000000002</v>
      </c>
      <c r="E426">
        <v>4.4958999999999998</v>
      </c>
      <c r="F426">
        <v>908009.11</v>
      </c>
      <c r="G426">
        <v>0</v>
      </c>
      <c r="L426" t="s">
        <v>7</v>
      </c>
      <c r="M426" t="s">
        <v>7</v>
      </c>
      <c r="N426" t="s">
        <v>7</v>
      </c>
      <c r="P426">
        <f t="shared" si="974"/>
        <v>0.99973944762897171</v>
      </c>
      <c r="Q426">
        <f t="shared" si="975"/>
        <v>907772.5260734742</v>
      </c>
      <c r="R426">
        <f t="shared" si="976"/>
        <v>-1356910.0366285697</v>
      </c>
      <c r="S426">
        <f t="shared" si="977"/>
        <v>-13.569100366285697</v>
      </c>
      <c r="T426">
        <f t="shared" si="978"/>
        <v>-1.3569100366285697E-2</v>
      </c>
    </row>
    <row r="427" spans="1:20" x14ac:dyDescent="0.25">
      <c r="A427" s="5">
        <v>44166</v>
      </c>
      <c r="B427">
        <v>4.1444000000000001</v>
      </c>
      <c r="C427">
        <v>4.41</v>
      </c>
      <c r="D427">
        <v>3.8855</v>
      </c>
      <c r="E427">
        <v>4.0599999999999996</v>
      </c>
      <c r="F427">
        <v>1112666.17</v>
      </c>
      <c r="G427">
        <v>0</v>
      </c>
      <c r="L427" t="s">
        <v>7</v>
      </c>
      <c r="M427" t="s">
        <v>7</v>
      </c>
      <c r="N427" t="s">
        <v>7</v>
      </c>
      <c r="P427">
        <f t="shared" si="974"/>
        <v>-0.33460438512869556</v>
      </c>
      <c r="Q427">
        <f t="shared" si="975"/>
        <v>-372302.97966635064</v>
      </c>
      <c r="R427">
        <f t="shared" si="976"/>
        <v>-2264682.5627020439</v>
      </c>
      <c r="S427">
        <f t="shared" si="977"/>
        <v>-22.646825627020441</v>
      </c>
      <c r="T427">
        <f t="shared" si="978"/>
        <v>-2.2646825627020441E-2</v>
      </c>
    </row>
    <row r="428" spans="1:20" x14ac:dyDescent="0.25">
      <c r="A428" s="5">
        <v>44165</v>
      </c>
      <c r="B428">
        <v>4.8101000000000003</v>
      </c>
      <c r="C428">
        <v>5.14</v>
      </c>
      <c r="D428">
        <v>4.1382000000000003</v>
      </c>
      <c r="E428">
        <v>4.1456</v>
      </c>
      <c r="F428">
        <v>1105736.51</v>
      </c>
      <c r="G428">
        <v>0</v>
      </c>
      <c r="L428" t="s">
        <v>7</v>
      </c>
      <c r="M428" t="s">
        <v>7</v>
      </c>
      <c r="N428" t="s">
        <v>7</v>
      </c>
      <c r="P428">
        <f t="shared" si="974"/>
        <v>-0.9852265921341592</v>
      </c>
      <c r="Q428">
        <f t="shared" si="975"/>
        <v>-1089401.0135456186</v>
      </c>
      <c r="R428">
        <f t="shared" si="976"/>
        <v>-1892379.5830356935</v>
      </c>
      <c r="S428">
        <f t="shared" si="977"/>
        <v>-18.923795830356934</v>
      </c>
      <c r="T428">
        <f t="shared" si="978"/>
        <v>-1.8923795830356933E-2</v>
      </c>
    </row>
    <row r="429" spans="1:20" x14ac:dyDescent="0.25">
      <c r="A429" s="5">
        <v>44164</v>
      </c>
      <c r="B429">
        <v>4.9570999999999996</v>
      </c>
      <c r="C429">
        <v>5.5</v>
      </c>
      <c r="D429">
        <v>4.4211</v>
      </c>
      <c r="E429">
        <v>4.8174000000000001</v>
      </c>
      <c r="F429">
        <v>1573296.11</v>
      </c>
      <c r="G429">
        <v>0</v>
      </c>
      <c r="L429" t="s">
        <v>7</v>
      </c>
      <c r="M429" t="s">
        <v>7</v>
      </c>
      <c r="N429" t="s">
        <v>8</v>
      </c>
      <c r="P429">
        <f t="shared" si="974"/>
        <v>-0.26536286958939642</v>
      </c>
      <c r="Q429">
        <f t="shared" si="975"/>
        <v>-417494.37046343472</v>
      </c>
      <c r="R429">
        <f t="shared" si="976"/>
        <v>-802978.56949007499</v>
      </c>
      <c r="S429">
        <f t="shared" si="977"/>
        <v>-8.0297856949007507</v>
      </c>
      <c r="T429">
        <f t="shared" si="978"/>
        <v>-8.0297856949007509E-3</v>
      </c>
    </row>
    <row r="430" spans="1:20" x14ac:dyDescent="0.25">
      <c r="A430" s="5">
        <v>44163</v>
      </c>
      <c r="B430">
        <v>3.8288000000000002</v>
      </c>
      <c r="C430">
        <v>5.5799000000000003</v>
      </c>
      <c r="D430">
        <v>3.7153999999999998</v>
      </c>
      <c r="E430">
        <v>4.9570999999999996</v>
      </c>
      <c r="F430">
        <v>3744699.65</v>
      </c>
      <c r="G430">
        <v>0</v>
      </c>
      <c r="L430" t="s">
        <v>8</v>
      </c>
      <c r="M430" t="s">
        <v>8</v>
      </c>
      <c r="N430" t="s">
        <v>8</v>
      </c>
      <c r="P430">
        <f t="shared" si="974"/>
        <v>0.33193885760257386</v>
      </c>
      <c r="Q430">
        <f t="shared" si="975"/>
        <v>1243011.3238857582</v>
      </c>
      <c r="R430">
        <f t="shared" si="976"/>
        <v>-385484.19902664027</v>
      </c>
      <c r="S430">
        <f t="shared" si="977"/>
        <v>-3.8548419902664026</v>
      </c>
      <c r="T430">
        <f t="shared" si="978"/>
        <v>-3.8548419902664026E-3</v>
      </c>
    </row>
    <row r="431" spans="1:20" x14ac:dyDescent="0.25">
      <c r="A431" s="5">
        <v>44162</v>
      </c>
      <c r="B431">
        <v>2.8610000000000002</v>
      </c>
      <c r="C431">
        <v>4.16</v>
      </c>
      <c r="D431">
        <v>2.8117999999999999</v>
      </c>
      <c r="E431">
        <v>3.8098999999999998</v>
      </c>
      <c r="F431">
        <v>2059495.23</v>
      </c>
      <c r="G431">
        <v>0</v>
      </c>
      <c r="L431" t="s">
        <v>8</v>
      </c>
      <c r="M431" t="s">
        <v>8</v>
      </c>
      <c r="N431" t="s">
        <v>8</v>
      </c>
      <c r="P431">
        <f t="shared" si="974"/>
        <v>0.48064085447262983</v>
      </c>
      <c r="Q431">
        <f t="shared" si="975"/>
        <v>989877.54712950531</v>
      </c>
      <c r="R431">
        <f t="shared" si="976"/>
        <v>-1628495.5229123984</v>
      </c>
      <c r="S431">
        <f t="shared" si="977"/>
        <v>-16.284955229123984</v>
      </c>
      <c r="T431">
        <f t="shared" si="978"/>
        <v>-1.6284955229123984E-2</v>
      </c>
    </row>
    <row r="432" spans="1:20" x14ac:dyDescent="0.25">
      <c r="A432" s="5">
        <v>44161</v>
      </c>
      <c r="B432">
        <v>3.2705000000000002</v>
      </c>
      <c r="C432">
        <v>3.2816999999999998</v>
      </c>
      <c r="D432">
        <v>2.7</v>
      </c>
      <c r="E432">
        <v>2.8609</v>
      </c>
      <c r="F432">
        <v>510273.3</v>
      </c>
      <c r="G432">
        <v>0</v>
      </c>
      <c r="L432" t="s">
        <v>7</v>
      </c>
      <c r="M432" t="s">
        <v>7</v>
      </c>
      <c r="N432" t="s">
        <v>7</v>
      </c>
      <c r="P432">
        <f t="shared" si="974"/>
        <v>-0.4467938800068767</v>
      </c>
      <c r="Q432">
        <f t="shared" si="975"/>
        <v>-227986.98757091298</v>
      </c>
      <c r="R432">
        <f t="shared" si="976"/>
        <v>-2618373.0700419038</v>
      </c>
      <c r="S432">
        <f t="shared" si="977"/>
        <v>-26.183730700419037</v>
      </c>
      <c r="T432">
        <f t="shared" si="978"/>
        <v>-2.6183730700419038E-2</v>
      </c>
    </row>
    <row r="433" spans="1:20" x14ac:dyDescent="0.25">
      <c r="A433" s="5">
        <v>44160</v>
      </c>
      <c r="B433">
        <v>3.2787000000000002</v>
      </c>
      <c r="C433">
        <v>3.5678000000000001</v>
      </c>
      <c r="D433">
        <v>3.1829999999999998</v>
      </c>
      <c r="E433">
        <v>3.2780999999999998</v>
      </c>
      <c r="F433">
        <v>481830.01</v>
      </c>
      <c r="G433">
        <v>0</v>
      </c>
      <c r="L433" t="s">
        <v>7</v>
      </c>
      <c r="M433" t="s">
        <v>7</v>
      </c>
      <c r="N433" t="s">
        <v>7</v>
      </c>
      <c r="P433">
        <f t="shared" si="974"/>
        <v>-0.50571725571725623</v>
      </c>
      <c r="Q433">
        <f t="shared" si="975"/>
        <v>-243669.75037941814</v>
      </c>
      <c r="R433">
        <f t="shared" si="976"/>
        <v>-2390386.0824709907</v>
      </c>
      <c r="S433">
        <f t="shared" si="977"/>
        <v>-23.903860824709906</v>
      </c>
      <c r="T433">
        <f t="shared" si="978"/>
        <v>-2.3903860824709907E-2</v>
      </c>
    </row>
    <row r="434" spans="1:20" x14ac:dyDescent="0.25">
      <c r="A434" s="5">
        <v>44159</v>
      </c>
      <c r="B434">
        <v>3.7149999999999999</v>
      </c>
      <c r="C434">
        <v>3.9053</v>
      </c>
      <c r="D434">
        <v>3.2031999999999998</v>
      </c>
      <c r="E434">
        <v>3.2734000000000001</v>
      </c>
      <c r="F434">
        <v>1034751.05</v>
      </c>
      <c r="G434">
        <v>0</v>
      </c>
      <c r="L434" t="s">
        <v>8</v>
      </c>
      <c r="M434" t="s">
        <v>7</v>
      </c>
      <c r="N434" t="s">
        <v>7</v>
      </c>
      <c r="P434">
        <f t="shared" si="974"/>
        <v>-0.80002848597065879</v>
      </c>
      <c r="Q434">
        <f t="shared" si="975"/>
        <v>-827830.31588804943</v>
      </c>
      <c r="R434">
        <f t="shared" si="976"/>
        <v>-2146716.3320915727</v>
      </c>
      <c r="S434">
        <f t="shared" si="977"/>
        <v>-21.467163320915727</v>
      </c>
      <c r="T434">
        <f t="shared" si="978"/>
        <v>-2.1467163320915725E-2</v>
      </c>
    </row>
    <row r="435" spans="1:20" x14ac:dyDescent="0.25">
      <c r="A435" s="5">
        <v>44158</v>
      </c>
      <c r="B435">
        <v>3.2984</v>
      </c>
      <c r="C435">
        <v>3.7713000000000001</v>
      </c>
      <c r="D435">
        <v>3.15</v>
      </c>
      <c r="E435">
        <v>3.7057000000000002</v>
      </c>
      <c r="F435">
        <v>1295645.54</v>
      </c>
      <c r="G435">
        <v>0</v>
      </c>
      <c r="L435" t="s">
        <v>8</v>
      </c>
      <c r="M435" t="s">
        <v>8</v>
      </c>
      <c r="N435" t="s">
        <v>7</v>
      </c>
      <c r="P435">
        <f t="shared" si="974"/>
        <v>0.78882987284725625</v>
      </c>
      <c r="Q435">
        <f t="shared" si="975"/>
        <v>1022043.9065733147</v>
      </c>
      <c r="R435">
        <f t="shared" si="976"/>
        <v>-1318886.0162035231</v>
      </c>
      <c r="S435">
        <f t="shared" si="977"/>
        <v>-13.188860162035231</v>
      </c>
      <c r="T435">
        <f t="shared" si="978"/>
        <v>-1.3188860162035231E-2</v>
      </c>
    </row>
    <row r="436" spans="1:20" x14ac:dyDescent="0.25">
      <c r="A436" s="5">
        <v>44157</v>
      </c>
      <c r="B436">
        <v>3.286</v>
      </c>
      <c r="C436">
        <v>3.7448000000000001</v>
      </c>
      <c r="D436">
        <v>3</v>
      </c>
      <c r="E436">
        <v>3.3163999999999998</v>
      </c>
      <c r="F436">
        <v>1479420.47</v>
      </c>
      <c r="G436">
        <v>0</v>
      </c>
      <c r="L436" t="s">
        <v>7</v>
      </c>
      <c r="M436" t="s">
        <v>7</v>
      </c>
      <c r="N436" t="s">
        <v>7</v>
      </c>
      <c r="P436">
        <f t="shared" si="974"/>
        <v>-0.15037593984962477</v>
      </c>
      <c r="Q436">
        <f t="shared" si="975"/>
        <v>-222469.2436090236</v>
      </c>
      <c r="R436">
        <f t="shared" si="976"/>
        <v>-2340929.9227768378</v>
      </c>
      <c r="S436">
        <f t="shared" si="977"/>
        <v>-23.409299227768379</v>
      </c>
      <c r="T436">
        <f t="shared" si="978"/>
        <v>-2.3409299227768379E-2</v>
      </c>
    </row>
    <row r="437" spans="1:20" x14ac:dyDescent="0.25">
      <c r="A437" s="5">
        <v>44156</v>
      </c>
      <c r="B437">
        <v>3.6349999999999998</v>
      </c>
      <c r="C437">
        <v>3.7936999999999999</v>
      </c>
      <c r="D437">
        <v>3.1869000000000001</v>
      </c>
      <c r="E437">
        <v>3.2862</v>
      </c>
      <c r="F437">
        <v>1216540.19</v>
      </c>
      <c r="G437">
        <v>0</v>
      </c>
      <c r="L437" t="s">
        <v>7</v>
      </c>
      <c r="M437" t="s">
        <v>7</v>
      </c>
      <c r="N437" t="s">
        <v>8</v>
      </c>
      <c r="P437">
        <f t="shared" si="974"/>
        <v>-0.67270929466051421</v>
      </c>
      <c r="Q437">
        <f t="shared" si="975"/>
        <v>-818377.89314106794</v>
      </c>
      <c r="R437">
        <f t="shared" si="976"/>
        <v>-2118460.6791678141</v>
      </c>
      <c r="S437">
        <f t="shared" si="977"/>
        <v>-21.184606791678142</v>
      </c>
      <c r="T437">
        <f t="shared" si="978"/>
        <v>-2.1184606791678141E-2</v>
      </c>
    </row>
    <row r="438" spans="1:20" x14ac:dyDescent="0.25">
      <c r="A438" s="5">
        <v>44155</v>
      </c>
      <c r="B438">
        <v>3.9761000000000002</v>
      </c>
      <c r="C438">
        <v>4.2755000000000001</v>
      </c>
      <c r="D438">
        <v>3.4668000000000001</v>
      </c>
      <c r="E438">
        <v>3.6349999999999998</v>
      </c>
      <c r="F438">
        <v>2468955.9300000002</v>
      </c>
      <c r="G438">
        <v>0</v>
      </c>
      <c r="L438" t="s">
        <v>8</v>
      </c>
      <c r="M438" t="s">
        <v>8</v>
      </c>
      <c r="N438" t="s">
        <v>8</v>
      </c>
      <c r="P438">
        <f t="shared" si="974"/>
        <v>-0.58402374180784056</v>
      </c>
      <c r="Q438">
        <f t="shared" si="975"/>
        <v>-1441928.8805972571</v>
      </c>
      <c r="R438">
        <f t="shared" si="976"/>
        <v>-1300082.786026746</v>
      </c>
      <c r="S438">
        <f t="shared" si="977"/>
        <v>-13.00082786026746</v>
      </c>
      <c r="T438">
        <f t="shared" si="978"/>
        <v>-1.3000827860267459E-2</v>
      </c>
    </row>
    <row r="439" spans="1:20" x14ac:dyDescent="0.25">
      <c r="A439" s="5">
        <v>44154</v>
      </c>
      <c r="B439">
        <v>1.3</v>
      </c>
      <c r="C439">
        <v>6.59</v>
      </c>
      <c r="D439">
        <v>1.3</v>
      </c>
      <c r="E439">
        <v>3.9761000000000002</v>
      </c>
      <c r="F439">
        <v>12063759.49</v>
      </c>
      <c r="G439">
        <v>0</v>
      </c>
      <c r="P439">
        <f t="shared" si="974"/>
        <v>1.1758034026465077E-2</v>
      </c>
      <c r="Q439">
        <f t="shared" si="975"/>
        <v>141846.09457051099</v>
      </c>
      <c r="R439">
        <f t="shared" si="976"/>
        <v>141846.09457051099</v>
      </c>
      <c r="S439">
        <f t="shared" si="977"/>
        <v>1.4184609457051098</v>
      </c>
      <c r="T439">
        <f t="shared" si="978"/>
        <v>1.4184609457051098E-3</v>
      </c>
    </row>
    <row r="440" spans="1:20" x14ac:dyDescent="0.25">
      <c r="A440" s="5"/>
      <c r="C440"/>
      <c r="D440"/>
      <c r="P440">
        <f t="shared" si="974"/>
        <v>0</v>
      </c>
      <c r="Q440">
        <f t="shared" si="975"/>
        <v>0</v>
      </c>
      <c r="R440">
        <f t="shared" si="976"/>
        <v>0</v>
      </c>
      <c r="S440">
        <f t="shared" si="977"/>
        <v>0</v>
      </c>
      <c r="T440">
        <f t="shared" si="978"/>
        <v>0</v>
      </c>
    </row>
    <row r="441" spans="1:20" x14ac:dyDescent="0.25">
      <c r="A441" s="5"/>
      <c r="C441"/>
      <c r="D441"/>
      <c r="P441">
        <f t="shared" si="974"/>
        <v>0</v>
      </c>
      <c r="Q441">
        <f t="shared" si="975"/>
        <v>0</v>
      </c>
      <c r="R441">
        <f t="shared" si="976"/>
        <v>0</v>
      </c>
      <c r="S441">
        <f t="shared" si="977"/>
        <v>0</v>
      </c>
      <c r="T441">
        <f t="shared" si="978"/>
        <v>0</v>
      </c>
    </row>
    <row r="442" spans="1:20" x14ac:dyDescent="0.25">
      <c r="A442" s="5"/>
      <c r="C442"/>
      <c r="D442"/>
      <c r="P442">
        <f t="shared" si="974"/>
        <v>0</v>
      </c>
      <c r="Q442">
        <f t="shared" si="975"/>
        <v>0</v>
      </c>
      <c r="R442">
        <f t="shared" si="976"/>
        <v>0</v>
      </c>
      <c r="S442">
        <f t="shared" si="977"/>
        <v>0</v>
      </c>
      <c r="T442">
        <f t="shared" si="978"/>
        <v>0</v>
      </c>
    </row>
    <row r="443" spans="1:20" x14ac:dyDescent="0.25">
      <c r="A443" s="5"/>
      <c r="C443"/>
      <c r="D443"/>
      <c r="P443">
        <f t="shared" si="974"/>
        <v>0</v>
      </c>
      <c r="Q443">
        <f t="shared" si="975"/>
        <v>0</v>
      </c>
      <c r="R443">
        <f t="shared" si="976"/>
        <v>0</v>
      </c>
      <c r="S443">
        <f t="shared" si="977"/>
        <v>0</v>
      </c>
      <c r="T443">
        <f t="shared" si="978"/>
        <v>0</v>
      </c>
    </row>
    <row r="444" spans="1:20" x14ac:dyDescent="0.25">
      <c r="A444" s="5"/>
      <c r="C444"/>
      <c r="D444"/>
      <c r="P444">
        <f t="shared" si="974"/>
        <v>0</v>
      </c>
      <c r="Q444">
        <f t="shared" si="975"/>
        <v>0</v>
      </c>
      <c r="R444">
        <f t="shared" si="976"/>
        <v>0</v>
      </c>
      <c r="S444">
        <f t="shared" si="977"/>
        <v>0</v>
      </c>
      <c r="T444">
        <f t="shared" si="978"/>
        <v>0</v>
      </c>
    </row>
    <row r="445" spans="1:20" x14ac:dyDescent="0.25">
      <c r="A445" s="5"/>
      <c r="C445"/>
      <c r="D445"/>
      <c r="P445">
        <f t="shared" si="974"/>
        <v>0</v>
      </c>
      <c r="Q445">
        <f t="shared" si="975"/>
        <v>0</v>
      </c>
      <c r="R445">
        <f t="shared" si="976"/>
        <v>0</v>
      </c>
      <c r="S445">
        <f t="shared" si="977"/>
        <v>0</v>
      </c>
      <c r="T445">
        <f t="shared" si="978"/>
        <v>0</v>
      </c>
    </row>
    <row r="446" spans="1:20" x14ac:dyDescent="0.25">
      <c r="A446" s="5"/>
      <c r="C446"/>
      <c r="D446"/>
      <c r="P446">
        <f t="shared" si="974"/>
        <v>0</v>
      </c>
      <c r="Q446">
        <f t="shared" si="975"/>
        <v>0</v>
      </c>
      <c r="R446">
        <f t="shared" si="976"/>
        <v>0</v>
      </c>
      <c r="S446">
        <f t="shared" si="977"/>
        <v>0</v>
      </c>
      <c r="T446">
        <f t="shared" si="978"/>
        <v>0</v>
      </c>
    </row>
    <row r="447" spans="1:20" x14ac:dyDescent="0.25">
      <c r="A447" s="5"/>
      <c r="C447"/>
      <c r="D447"/>
      <c r="P447">
        <f t="shared" si="974"/>
        <v>0</v>
      </c>
      <c r="Q447">
        <f t="shared" si="975"/>
        <v>0</v>
      </c>
      <c r="R447">
        <f t="shared" si="976"/>
        <v>0</v>
      </c>
      <c r="S447">
        <f t="shared" si="977"/>
        <v>0</v>
      </c>
      <c r="T447">
        <f t="shared" si="978"/>
        <v>0</v>
      </c>
    </row>
    <row r="448" spans="1:20" x14ac:dyDescent="0.25">
      <c r="A448" s="5"/>
      <c r="C448"/>
      <c r="D448"/>
      <c r="P448">
        <f t="shared" si="974"/>
        <v>0</v>
      </c>
      <c r="Q448">
        <f t="shared" si="975"/>
        <v>0</v>
      </c>
      <c r="R448">
        <f t="shared" si="976"/>
        <v>0</v>
      </c>
      <c r="S448">
        <f t="shared" si="977"/>
        <v>0</v>
      </c>
      <c r="T448">
        <f t="shared" si="978"/>
        <v>0</v>
      </c>
    </row>
    <row r="449" spans="1:20" x14ac:dyDescent="0.25">
      <c r="A449" s="5"/>
      <c r="C449"/>
      <c r="D449"/>
      <c r="P449">
        <f t="shared" si="974"/>
        <v>0</v>
      </c>
      <c r="Q449">
        <f t="shared" si="975"/>
        <v>0</v>
      </c>
      <c r="R449">
        <f t="shared" si="976"/>
        <v>0</v>
      </c>
      <c r="S449">
        <f t="shared" si="977"/>
        <v>0</v>
      </c>
      <c r="T449">
        <f t="shared" si="978"/>
        <v>0</v>
      </c>
    </row>
    <row r="450" spans="1:20" x14ac:dyDescent="0.25">
      <c r="A450" s="5"/>
      <c r="C450"/>
      <c r="D450"/>
      <c r="P450">
        <f t="shared" si="974"/>
        <v>0</v>
      </c>
      <c r="Q450">
        <f t="shared" si="975"/>
        <v>0</v>
      </c>
      <c r="R450">
        <f t="shared" si="976"/>
        <v>0</v>
      </c>
      <c r="S450">
        <f t="shared" si="977"/>
        <v>0</v>
      </c>
      <c r="T450">
        <f t="shared" si="978"/>
        <v>0</v>
      </c>
    </row>
    <row r="451" spans="1:20" x14ac:dyDescent="0.25">
      <c r="A451" s="5"/>
      <c r="C451"/>
      <c r="D451"/>
      <c r="P451">
        <f t="shared" si="974"/>
        <v>0</v>
      </c>
      <c r="Q451">
        <f t="shared" si="975"/>
        <v>0</v>
      </c>
      <c r="R451">
        <f t="shared" si="976"/>
        <v>0</v>
      </c>
      <c r="S451">
        <f t="shared" si="977"/>
        <v>0</v>
      </c>
      <c r="T451">
        <f t="shared" si="978"/>
        <v>0</v>
      </c>
    </row>
    <row r="452" spans="1:20" x14ac:dyDescent="0.25">
      <c r="A452" s="5"/>
      <c r="C452"/>
      <c r="D452"/>
      <c r="P452">
        <f t="shared" si="974"/>
        <v>0</v>
      </c>
      <c r="Q452">
        <f t="shared" si="975"/>
        <v>0</v>
      </c>
      <c r="R452">
        <f t="shared" si="976"/>
        <v>0</v>
      </c>
      <c r="S452">
        <f t="shared" si="977"/>
        <v>0</v>
      </c>
      <c r="T452">
        <f t="shared" si="978"/>
        <v>0</v>
      </c>
    </row>
    <row r="453" spans="1:20" x14ac:dyDescent="0.25">
      <c r="A453" s="5"/>
      <c r="C453"/>
      <c r="D453"/>
      <c r="P453">
        <f t="shared" si="974"/>
        <v>0</v>
      </c>
      <c r="Q453">
        <f t="shared" si="975"/>
        <v>0</v>
      </c>
      <c r="R453">
        <f t="shared" si="976"/>
        <v>0</v>
      </c>
      <c r="S453">
        <f t="shared" si="977"/>
        <v>0</v>
      </c>
      <c r="T453">
        <f t="shared" si="978"/>
        <v>0</v>
      </c>
    </row>
    <row r="454" spans="1:20" x14ac:dyDescent="0.25">
      <c r="A454" s="5"/>
      <c r="C454"/>
      <c r="D454"/>
      <c r="P454">
        <f t="shared" ref="P454:P517" si="979">IF(C454=D454,0,((E454-D454)-(C454-E454))/(C454-D454))</f>
        <v>0</v>
      </c>
      <c r="Q454">
        <f t="shared" ref="Q454:Q517" si="980">F454*P454</f>
        <v>0</v>
      </c>
      <c r="R454">
        <f t="shared" ref="R454:R517" si="981">R455+Q454</f>
        <v>0</v>
      </c>
      <c r="S454">
        <f t="shared" ref="S454:S517" si="982">R454/100000</f>
        <v>0</v>
      </c>
      <c r="T454">
        <f t="shared" ref="T454:T517" si="983">S454/1000</f>
        <v>0</v>
      </c>
    </row>
    <row r="455" spans="1:20" x14ac:dyDescent="0.25">
      <c r="A455" s="5"/>
      <c r="C455"/>
      <c r="D455"/>
      <c r="P455">
        <f t="shared" si="979"/>
        <v>0</v>
      </c>
      <c r="Q455">
        <f t="shared" si="980"/>
        <v>0</v>
      </c>
      <c r="R455">
        <f t="shared" si="981"/>
        <v>0</v>
      </c>
      <c r="S455">
        <f t="shared" si="982"/>
        <v>0</v>
      </c>
      <c r="T455">
        <f t="shared" si="983"/>
        <v>0</v>
      </c>
    </row>
    <row r="456" spans="1:20" x14ac:dyDescent="0.25">
      <c r="A456" s="5"/>
      <c r="C456"/>
      <c r="D456"/>
      <c r="P456">
        <f t="shared" si="979"/>
        <v>0</v>
      </c>
      <c r="Q456">
        <f t="shared" si="980"/>
        <v>0</v>
      </c>
      <c r="R456">
        <f t="shared" si="981"/>
        <v>0</v>
      </c>
      <c r="S456">
        <f t="shared" si="982"/>
        <v>0</v>
      </c>
      <c r="T456">
        <f t="shared" si="983"/>
        <v>0</v>
      </c>
    </row>
    <row r="457" spans="1:20" x14ac:dyDescent="0.25">
      <c r="A457" s="5"/>
      <c r="C457"/>
      <c r="D457"/>
      <c r="P457">
        <f t="shared" si="979"/>
        <v>0</v>
      </c>
      <c r="Q457">
        <f t="shared" si="980"/>
        <v>0</v>
      </c>
      <c r="R457">
        <f t="shared" si="981"/>
        <v>0</v>
      </c>
      <c r="S457">
        <f t="shared" si="982"/>
        <v>0</v>
      </c>
      <c r="T457">
        <f t="shared" si="983"/>
        <v>0</v>
      </c>
    </row>
    <row r="458" spans="1:20" x14ac:dyDescent="0.25">
      <c r="A458" s="5"/>
      <c r="C458"/>
      <c r="D458"/>
      <c r="P458">
        <f t="shared" si="979"/>
        <v>0</v>
      </c>
      <c r="Q458">
        <f t="shared" si="980"/>
        <v>0</v>
      </c>
      <c r="R458">
        <f t="shared" si="981"/>
        <v>0</v>
      </c>
      <c r="S458">
        <f t="shared" si="982"/>
        <v>0</v>
      </c>
      <c r="T458">
        <f t="shared" si="983"/>
        <v>0</v>
      </c>
    </row>
    <row r="459" spans="1:20" x14ac:dyDescent="0.25">
      <c r="A459" s="5"/>
      <c r="C459"/>
      <c r="D459"/>
      <c r="P459">
        <f t="shared" si="979"/>
        <v>0</v>
      </c>
      <c r="Q459">
        <f t="shared" si="980"/>
        <v>0</v>
      </c>
      <c r="R459">
        <f t="shared" si="981"/>
        <v>0</v>
      </c>
      <c r="S459">
        <f t="shared" si="982"/>
        <v>0</v>
      </c>
      <c r="T459">
        <f t="shared" si="983"/>
        <v>0</v>
      </c>
    </row>
    <row r="460" spans="1:20" x14ac:dyDescent="0.25">
      <c r="A460" s="5"/>
      <c r="C460"/>
      <c r="D460"/>
      <c r="P460">
        <f t="shared" si="979"/>
        <v>0</v>
      </c>
      <c r="Q460">
        <f t="shared" si="980"/>
        <v>0</v>
      </c>
      <c r="R460">
        <f t="shared" si="981"/>
        <v>0</v>
      </c>
      <c r="S460">
        <f t="shared" si="982"/>
        <v>0</v>
      </c>
      <c r="T460">
        <f t="shared" si="983"/>
        <v>0</v>
      </c>
    </row>
    <row r="461" spans="1:20" x14ac:dyDescent="0.25">
      <c r="A461" s="5"/>
      <c r="C461"/>
      <c r="D461"/>
      <c r="P461">
        <f t="shared" si="979"/>
        <v>0</v>
      </c>
      <c r="Q461">
        <f t="shared" si="980"/>
        <v>0</v>
      </c>
      <c r="R461">
        <f t="shared" si="981"/>
        <v>0</v>
      </c>
      <c r="S461">
        <f t="shared" si="982"/>
        <v>0</v>
      </c>
      <c r="T461">
        <f t="shared" si="983"/>
        <v>0</v>
      </c>
    </row>
    <row r="462" spans="1:20" x14ac:dyDescent="0.25">
      <c r="A462" s="5"/>
      <c r="C462"/>
      <c r="D462"/>
      <c r="P462">
        <f t="shared" si="979"/>
        <v>0</v>
      </c>
      <c r="Q462">
        <f t="shared" si="980"/>
        <v>0</v>
      </c>
      <c r="R462">
        <f t="shared" si="981"/>
        <v>0</v>
      </c>
      <c r="S462">
        <f t="shared" si="982"/>
        <v>0</v>
      </c>
      <c r="T462">
        <f t="shared" si="983"/>
        <v>0</v>
      </c>
    </row>
    <row r="463" spans="1:20" x14ac:dyDescent="0.25">
      <c r="A463" s="5"/>
      <c r="C463"/>
      <c r="D463"/>
      <c r="P463">
        <f t="shared" si="979"/>
        <v>0</v>
      </c>
      <c r="Q463">
        <f t="shared" si="980"/>
        <v>0</v>
      </c>
      <c r="R463">
        <f t="shared" si="981"/>
        <v>0</v>
      </c>
      <c r="S463">
        <f t="shared" si="982"/>
        <v>0</v>
      </c>
      <c r="T463">
        <f t="shared" si="983"/>
        <v>0</v>
      </c>
    </row>
    <row r="464" spans="1:20" x14ac:dyDescent="0.25">
      <c r="A464" s="5"/>
      <c r="C464"/>
      <c r="D464"/>
      <c r="P464">
        <f t="shared" si="979"/>
        <v>0</v>
      </c>
      <c r="Q464">
        <f t="shared" si="980"/>
        <v>0</v>
      </c>
      <c r="R464">
        <f t="shared" si="981"/>
        <v>0</v>
      </c>
      <c r="S464">
        <f t="shared" si="982"/>
        <v>0</v>
      </c>
      <c r="T464">
        <f t="shared" si="983"/>
        <v>0</v>
      </c>
    </row>
    <row r="465" spans="1:20" x14ac:dyDescent="0.25">
      <c r="A465" s="5"/>
      <c r="C465"/>
      <c r="D465"/>
      <c r="P465">
        <f t="shared" si="979"/>
        <v>0</v>
      </c>
      <c r="Q465">
        <f t="shared" si="980"/>
        <v>0</v>
      </c>
      <c r="R465">
        <f t="shared" si="981"/>
        <v>0</v>
      </c>
      <c r="S465">
        <f t="shared" si="982"/>
        <v>0</v>
      </c>
      <c r="T465">
        <f t="shared" si="983"/>
        <v>0</v>
      </c>
    </row>
    <row r="466" spans="1:20" x14ac:dyDescent="0.25">
      <c r="A466" s="5"/>
      <c r="C466"/>
      <c r="D466"/>
      <c r="P466">
        <f t="shared" si="979"/>
        <v>0</v>
      </c>
      <c r="Q466">
        <f t="shared" si="980"/>
        <v>0</v>
      </c>
      <c r="R466">
        <f t="shared" si="981"/>
        <v>0</v>
      </c>
      <c r="S466">
        <f t="shared" si="982"/>
        <v>0</v>
      </c>
      <c r="T466">
        <f t="shared" si="983"/>
        <v>0</v>
      </c>
    </row>
    <row r="467" spans="1:20" x14ac:dyDescent="0.25">
      <c r="A467" s="5"/>
      <c r="C467"/>
      <c r="D467"/>
      <c r="P467">
        <f t="shared" si="979"/>
        <v>0</v>
      </c>
      <c r="Q467">
        <f t="shared" si="980"/>
        <v>0</v>
      </c>
      <c r="R467">
        <f t="shared" si="981"/>
        <v>0</v>
      </c>
      <c r="S467">
        <f t="shared" si="982"/>
        <v>0</v>
      </c>
      <c r="T467">
        <f t="shared" si="983"/>
        <v>0</v>
      </c>
    </row>
    <row r="468" spans="1:20" x14ac:dyDescent="0.25">
      <c r="A468" s="5"/>
      <c r="C468"/>
      <c r="D468"/>
      <c r="P468">
        <f t="shared" si="979"/>
        <v>0</v>
      </c>
      <c r="Q468">
        <f t="shared" si="980"/>
        <v>0</v>
      </c>
      <c r="R468">
        <f t="shared" si="981"/>
        <v>0</v>
      </c>
      <c r="S468">
        <f t="shared" si="982"/>
        <v>0</v>
      </c>
      <c r="T468">
        <f t="shared" si="983"/>
        <v>0</v>
      </c>
    </row>
    <row r="469" spans="1:20" x14ac:dyDescent="0.25">
      <c r="A469" s="5"/>
      <c r="C469"/>
      <c r="D469"/>
      <c r="P469">
        <f t="shared" si="979"/>
        <v>0</v>
      </c>
      <c r="Q469">
        <f t="shared" si="980"/>
        <v>0</v>
      </c>
      <c r="R469">
        <f t="shared" si="981"/>
        <v>0</v>
      </c>
      <c r="S469">
        <f t="shared" si="982"/>
        <v>0</v>
      </c>
      <c r="T469">
        <f t="shared" si="983"/>
        <v>0</v>
      </c>
    </row>
    <row r="470" spans="1:20" x14ac:dyDescent="0.25">
      <c r="A470" s="5"/>
      <c r="C470"/>
      <c r="D470"/>
      <c r="P470">
        <f t="shared" si="979"/>
        <v>0</v>
      </c>
      <c r="Q470">
        <f t="shared" si="980"/>
        <v>0</v>
      </c>
      <c r="R470">
        <f t="shared" si="981"/>
        <v>0</v>
      </c>
      <c r="S470">
        <f t="shared" si="982"/>
        <v>0</v>
      </c>
      <c r="T470">
        <f t="shared" si="983"/>
        <v>0</v>
      </c>
    </row>
    <row r="471" spans="1:20" x14ac:dyDescent="0.25">
      <c r="A471" s="5"/>
      <c r="C471"/>
      <c r="D471"/>
      <c r="P471">
        <f t="shared" si="979"/>
        <v>0</v>
      </c>
      <c r="Q471">
        <f t="shared" si="980"/>
        <v>0</v>
      </c>
      <c r="R471">
        <f t="shared" si="981"/>
        <v>0</v>
      </c>
      <c r="S471">
        <f t="shared" si="982"/>
        <v>0</v>
      </c>
      <c r="T471">
        <f t="shared" si="983"/>
        <v>0</v>
      </c>
    </row>
    <row r="472" spans="1:20" x14ac:dyDescent="0.25">
      <c r="A472" s="5"/>
      <c r="C472"/>
      <c r="D472"/>
      <c r="P472">
        <f t="shared" si="979"/>
        <v>0</v>
      </c>
      <c r="Q472">
        <f t="shared" si="980"/>
        <v>0</v>
      </c>
      <c r="R472">
        <f t="shared" si="981"/>
        <v>0</v>
      </c>
      <c r="S472">
        <f t="shared" si="982"/>
        <v>0</v>
      </c>
      <c r="T472">
        <f t="shared" si="983"/>
        <v>0</v>
      </c>
    </row>
    <row r="473" spans="1:20" x14ac:dyDescent="0.25">
      <c r="A473" s="5"/>
      <c r="C473"/>
      <c r="D473"/>
      <c r="P473">
        <f t="shared" si="979"/>
        <v>0</v>
      </c>
      <c r="Q473">
        <f t="shared" si="980"/>
        <v>0</v>
      </c>
      <c r="R473">
        <f t="shared" si="981"/>
        <v>0</v>
      </c>
      <c r="S473">
        <f t="shared" si="982"/>
        <v>0</v>
      </c>
      <c r="T473">
        <f t="shared" si="983"/>
        <v>0</v>
      </c>
    </row>
    <row r="474" spans="1:20" x14ac:dyDescent="0.25">
      <c r="A474" s="5"/>
      <c r="C474"/>
      <c r="D474"/>
      <c r="P474">
        <f t="shared" si="979"/>
        <v>0</v>
      </c>
      <c r="Q474">
        <f t="shared" si="980"/>
        <v>0</v>
      </c>
      <c r="R474">
        <f t="shared" si="981"/>
        <v>0</v>
      </c>
      <c r="S474">
        <f t="shared" si="982"/>
        <v>0</v>
      </c>
      <c r="T474">
        <f t="shared" si="983"/>
        <v>0</v>
      </c>
    </row>
    <row r="475" spans="1:20" x14ac:dyDescent="0.25">
      <c r="A475" s="5"/>
      <c r="C475"/>
      <c r="D475"/>
      <c r="P475">
        <f t="shared" si="979"/>
        <v>0</v>
      </c>
      <c r="Q475">
        <f t="shared" si="980"/>
        <v>0</v>
      </c>
      <c r="R475">
        <f t="shared" si="981"/>
        <v>0</v>
      </c>
      <c r="S475">
        <f t="shared" si="982"/>
        <v>0</v>
      </c>
      <c r="T475">
        <f t="shared" si="983"/>
        <v>0</v>
      </c>
    </row>
    <row r="476" spans="1:20" x14ac:dyDescent="0.25">
      <c r="A476" s="5"/>
      <c r="C476"/>
      <c r="D476"/>
      <c r="P476">
        <f t="shared" si="979"/>
        <v>0</v>
      </c>
      <c r="Q476">
        <f t="shared" si="980"/>
        <v>0</v>
      </c>
      <c r="R476">
        <f t="shared" si="981"/>
        <v>0</v>
      </c>
      <c r="S476">
        <f t="shared" si="982"/>
        <v>0</v>
      </c>
      <c r="T476">
        <f t="shared" si="983"/>
        <v>0</v>
      </c>
    </row>
    <row r="477" spans="1:20" x14ac:dyDescent="0.25">
      <c r="A477" s="5"/>
      <c r="C477"/>
      <c r="D477"/>
      <c r="P477">
        <f t="shared" si="979"/>
        <v>0</v>
      </c>
      <c r="Q477">
        <f t="shared" si="980"/>
        <v>0</v>
      </c>
      <c r="R477">
        <f t="shared" si="981"/>
        <v>0</v>
      </c>
      <c r="S477">
        <f t="shared" si="982"/>
        <v>0</v>
      </c>
      <c r="T477">
        <f t="shared" si="983"/>
        <v>0</v>
      </c>
    </row>
    <row r="478" spans="1:20" x14ac:dyDescent="0.25">
      <c r="A478" s="5"/>
      <c r="C478"/>
      <c r="D478"/>
      <c r="P478">
        <f t="shared" si="979"/>
        <v>0</v>
      </c>
      <c r="Q478">
        <f t="shared" si="980"/>
        <v>0</v>
      </c>
      <c r="R478">
        <f t="shared" si="981"/>
        <v>0</v>
      </c>
      <c r="S478">
        <f t="shared" si="982"/>
        <v>0</v>
      </c>
      <c r="T478">
        <f t="shared" si="983"/>
        <v>0</v>
      </c>
    </row>
    <row r="479" spans="1:20" x14ac:dyDescent="0.25">
      <c r="A479" s="5"/>
      <c r="C479"/>
      <c r="D479"/>
      <c r="P479">
        <f t="shared" si="979"/>
        <v>0</v>
      </c>
      <c r="Q479">
        <f t="shared" si="980"/>
        <v>0</v>
      </c>
      <c r="R479">
        <f t="shared" si="981"/>
        <v>0</v>
      </c>
      <c r="S479">
        <f t="shared" si="982"/>
        <v>0</v>
      </c>
      <c r="T479">
        <f t="shared" si="983"/>
        <v>0</v>
      </c>
    </row>
    <row r="480" spans="1:20" x14ac:dyDescent="0.25">
      <c r="A480" s="5"/>
      <c r="C480"/>
      <c r="D480"/>
      <c r="P480">
        <f t="shared" si="979"/>
        <v>0</v>
      </c>
      <c r="Q480">
        <f t="shared" si="980"/>
        <v>0</v>
      </c>
      <c r="R480">
        <f t="shared" si="981"/>
        <v>0</v>
      </c>
      <c r="S480">
        <f t="shared" si="982"/>
        <v>0</v>
      </c>
      <c r="T480">
        <f t="shared" si="983"/>
        <v>0</v>
      </c>
    </row>
    <row r="481" spans="1:20" x14ac:dyDescent="0.25">
      <c r="A481" s="5"/>
      <c r="C481"/>
      <c r="D481"/>
      <c r="P481">
        <f t="shared" si="979"/>
        <v>0</v>
      </c>
      <c r="Q481">
        <f t="shared" si="980"/>
        <v>0</v>
      </c>
      <c r="R481">
        <f t="shared" si="981"/>
        <v>0</v>
      </c>
      <c r="S481">
        <f t="shared" si="982"/>
        <v>0</v>
      </c>
      <c r="T481">
        <f t="shared" si="983"/>
        <v>0</v>
      </c>
    </row>
    <row r="482" spans="1:20" x14ac:dyDescent="0.25">
      <c r="A482" s="5"/>
      <c r="C482"/>
      <c r="D482"/>
      <c r="P482">
        <f t="shared" si="979"/>
        <v>0</v>
      </c>
      <c r="Q482">
        <f t="shared" si="980"/>
        <v>0</v>
      </c>
      <c r="R482">
        <f t="shared" si="981"/>
        <v>0</v>
      </c>
      <c r="S482">
        <f t="shared" si="982"/>
        <v>0</v>
      </c>
      <c r="T482">
        <f t="shared" si="983"/>
        <v>0</v>
      </c>
    </row>
    <row r="483" spans="1:20" x14ac:dyDescent="0.25">
      <c r="A483" s="5"/>
      <c r="C483"/>
      <c r="D483"/>
      <c r="P483">
        <f t="shared" si="979"/>
        <v>0</v>
      </c>
      <c r="Q483">
        <f t="shared" si="980"/>
        <v>0</v>
      </c>
      <c r="R483">
        <f t="shared" si="981"/>
        <v>0</v>
      </c>
      <c r="S483">
        <f t="shared" si="982"/>
        <v>0</v>
      </c>
      <c r="T483">
        <f t="shared" si="983"/>
        <v>0</v>
      </c>
    </row>
    <row r="484" spans="1:20" x14ac:dyDescent="0.25">
      <c r="A484" s="5"/>
      <c r="C484"/>
      <c r="D484"/>
      <c r="P484">
        <f t="shared" si="979"/>
        <v>0</v>
      </c>
      <c r="Q484">
        <f t="shared" si="980"/>
        <v>0</v>
      </c>
      <c r="R484">
        <f t="shared" si="981"/>
        <v>0</v>
      </c>
      <c r="S484">
        <f t="shared" si="982"/>
        <v>0</v>
      </c>
      <c r="T484">
        <f t="shared" si="983"/>
        <v>0</v>
      </c>
    </row>
    <row r="485" spans="1:20" x14ac:dyDescent="0.25">
      <c r="A485" s="5"/>
      <c r="C485"/>
      <c r="D485"/>
      <c r="P485">
        <f t="shared" si="979"/>
        <v>0</v>
      </c>
      <c r="Q485">
        <f t="shared" si="980"/>
        <v>0</v>
      </c>
      <c r="R485">
        <f t="shared" si="981"/>
        <v>0</v>
      </c>
      <c r="S485">
        <f t="shared" si="982"/>
        <v>0</v>
      </c>
      <c r="T485">
        <f t="shared" si="983"/>
        <v>0</v>
      </c>
    </row>
    <row r="486" spans="1:20" x14ac:dyDescent="0.25">
      <c r="A486" s="5"/>
      <c r="C486"/>
      <c r="D486"/>
      <c r="P486">
        <f t="shared" si="979"/>
        <v>0</v>
      </c>
      <c r="Q486">
        <f t="shared" si="980"/>
        <v>0</v>
      </c>
      <c r="R486">
        <f t="shared" si="981"/>
        <v>0</v>
      </c>
      <c r="S486">
        <f t="shared" si="982"/>
        <v>0</v>
      </c>
      <c r="T486">
        <f t="shared" si="983"/>
        <v>0</v>
      </c>
    </row>
    <row r="487" spans="1:20" x14ac:dyDescent="0.25">
      <c r="A487" s="5"/>
      <c r="C487"/>
      <c r="D487"/>
      <c r="P487">
        <f t="shared" si="979"/>
        <v>0</v>
      </c>
      <c r="Q487">
        <f t="shared" si="980"/>
        <v>0</v>
      </c>
      <c r="R487">
        <f t="shared" si="981"/>
        <v>0</v>
      </c>
      <c r="S487">
        <f t="shared" si="982"/>
        <v>0</v>
      </c>
      <c r="T487">
        <f t="shared" si="983"/>
        <v>0</v>
      </c>
    </row>
    <row r="488" spans="1:20" x14ac:dyDescent="0.25">
      <c r="A488" s="5"/>
      <c r="C488"/>
      <c r="D488"/>
      <c r="P488">
        <f t="shared" si="979"/>
        <v>0</v>
      </c>
      <c r="Q488">
        <f t="shared" si="980"/>
        <v>0</v>
      </c>
      <c r="R488">
        <f t="shared" si="981"/>
        <v>0</v>
      </c>
      <c r="S488">
        <f t="shared" si="982"/>
        <v>0</v>
      </c>
      <c r="T488">
        <f t="shared" si="983"/>
        <v>0</v>
      </c>
    </row>
    <row r="489" spans="1:20" x14ac:dyDescent="0.25">
      <c r="A489" s="5"/>
      <c r="C489"/>
      <c r="D489"/>
      <c r="P489">
        <f t="shared" si="979"/>
        <v>0</v>
      </c>
      <c r="Q489">
        <f t="shared" si="980"/>
        <v>0</v>
      </c>
      <c r="R489">
        <f t="shared" si="981"/>
        <v>0</v>
      </c>
      <c r="S489">
        <f t="shared" si="982"/>
        <v>0</v>
      </c>
      <c r="T489">
        <f t="shared" si="983"/>
        <v>0</v>
      </c>
    </row>
    <row r="490" spans="1:20" x14ac:dyDescent="0.25">
      <c r="A490" s="5"/>
      <c r="C490"/>
      <c r="D490"/>
      <c r="P490">
        <f t="shared" si="979"/>
        <v>0</v>
      </c>
      <c r="Q490">
        <f t="shared" si="980"/>
        <v>0</v>
      </c>
      <c r="R490">
        <f t="shared" si="981"/>
        <v>0</v>
      </c>
      <c r="S490">
        <f t="shared" si="982"/>
        <v>0</v>
      </c>
      <c r="T490">
        <f t="shared" si="983"/>
        <v>0</v>
      </c>
    </row>
    <row r="491" spans="1:20" x14ac:dyDescent="0.25">
      <c r="A491" s="5"/>
      <c r="C491"/>
      <c r="D491"/>
      <c r="P491">
        <f t="shared" si="979"/>
        <v>0</v>
      </c>
      <c r="Q491">
        <f t="shared" si="980"/>
        <v>0</v>
      </c>
      <c r="R491">
        <f t="shared" si="981"/>
        <v>0</v>
      </c>
      <c r="S491">
        <f t="shared" si="982"/>
        <v>0</v>
      </c>
      <c r="T491">
        <f t="shared" si="983"/>
        <v>0</v>
      </c>
    </row>
    <row r="492" spans="1:20" x14ac:dyDescent="0.25">
      <c r="A492" s="5"/>
      <c r="C492"/>
      <c r="D492"/>
      <c r="P492">
        <f t="shared" si="979"/>
        <v>0</v>
      </c>
      <c r="Q492">
        <f t="shared" si="980"/>
        <v>0</v>
      </c>
      <c r="R492">
        <f t="shared" si="981"/>
        <v>0</v>
      </c>
      <c r="S492">
        <f t="shared" si="982"/>
        <v>0</v>
      </c>
      <c r="T492">
        <f t="shared" si="983"/>
        <v>0</v>
      </c>
    </row>
    <row r="493" spans="1:20" x14ac:dyDescent="0.25">
      <c r="A493" s="5"/>
      <c r="C493"/>
      <c r="D493"/>
      <c r="P493">
        <f t="shared" si="979"/>
        <v>0</v>
      </c>
      <c r="Q493">
        <f t="shared" si="980"/>
        <v>0</v>
      </c>
      <c r="R493">
        <f t="shared" si="981"/>
        <v>0</v>
      </c>
      <c r="S493">
        <f t="shared" si="982"/>
        <v>0</v>
      </c>
      <c r="T493">
        <f t="shared" si="983"/>
        <v>0</v>
      </c>
    </row>
    <row r="494" spans="1:20" x14ac:dyDescent="0.25">
      <c r="A494" s="5"/>
      <c r="C494"/>
      <c r="D494"/>
      <c r="P494">
        <f t="shared" si="979"/>
        <v>0</v>
      </c>
      <c r="Q494">
        <f t="shared" si="980"/>
        <v>0</v>
      </c>
      <c r="R494">
        <f t="shared" si="981"/>
        <v>0</v>
      </c>
      <c r="S494">
        <f t="shared" si="982"/>
        <v>0</v>
      </c>
      <c r="T494">
        <f t="shared" si="983"/>
        <v>0</v>
      </c>
    </row>
    <row r="495" spans="1:20" x14ac:dyDescent="0.25">
      <c r="A495" s="5"/>
      <c r="C495"/>
      <c r="D495"/>
      <c r="P495">
        <f t="shared" si="979"/>
        <v>0</v>
      </c>
      <c r="Q495">
        <f t="shared" si="980"/>
        <v>0</v>
      </c>
      <c r="R495">
        <f t="shared" si="981"/>
        <v>0</v>
      </c>
      <c r="S495">
        <f t="shared" si="982"/>
        <v>0</v>
      </c>
      <c r="T495">
        <f t="shared" si="983"/>
        <v>0</v>
      </c>
    </row>
    <row r="496" spans="1:20" x14ac:dyDescent="0.25">
      <c r="A496" s="5"/>
      <c r="C496"/>
      <c r="D496"/>
      <c r="P496">
        <f t="shared" si="979"/>
        <v>0</v>
      </c>
      <c r="Q496">
        <f t="shared" si="980"/>
        <v>0</v>
      </c>
      <c r="R496">
        <f t="shared" si="981"/>
        <v>0</v>
      </c>
      <c r="S496">
        <f t="shared" si="982"/>
        <v>0</v>
      </c>
      <c r="T496">
        <f t="shared" si="983"/>
        <v>0</v>
      </c>
    </row>
    <row r="497" spans="1:20" x14ac:dyDescent="0.25">
      <c r="A497" s="5"/>
      <c r="C497"/>
      <c r="D497"/>
      <c r="P497">
        <f t="shared" si="979"/>
        <v>0</v>
      </c>
      <c r="Q497">
        <f t="shared" si="980"/>
        <v>0</v>
      </c>
      <c r="R497">
        <f t="shared" si="981"/>
        <v>0</v>
      </c>
      <c r="S497">
        <f t="shared" si="982"/>
        <v>0</v>
      </c>
      <c r="T497">
        <f t="shared" si="983"/>
        <v>0</v>
      </c>
    </row>
    <row r="498" spans="1:20" x14ac:dyDescent="0.25">
      <c r="A498" s="5"/>
      <c r="C498"/>
      <c r="D498"/>
      <c r="P498">
        <f t="shared" si="979"/>
        <v>0</v>
      </c>
      <c r="Q498">
        <f t="shared" si="980"/>
        <v>0</v>
      </c>
      <c r="R498">
        <f t="shared" si="981"/>
        <v>0</v>
      </c>
      <c r="S498">
        <f t="shared" si="982"/>
        <v>0</v>
      </c>
      <c r="T498">
        <f t="shared" si="983"/>
        <v>0</v>
      </c>
    </row>
    <row r="499" spans="1:20" x14ac:dyDescent="0.25">
      <c r="A499" s="5"/>
      <c r="C499"/>
      <c r="D499"/>
      <c r="P499">
        <f t="shared" si="979"/>
        <v>0</v>
      </c>
      <c r="Q499">
        <f t="shared" si="980"/>
        <v>0</v>
      </c>
      <c r="R499">
        <f t="shared" si="981"/>
        <v>0</v>
      </c>
      <c r="S499">
        <f t="shared" si="982"/>
        <v>0</v>
      </c>
      <c r="T499">
        <f t="shared" si="983"/>
        <v>0</v>
      </c>
    </row>
    <row r="500" spans="1:20" x14ac:dyDescent="0.25">
      <c r="A500" s="5"/>
      <c r="C500"/>
      <c r="D500"/>
      <c r="P500">
        <f t="shared" si="979"/>
        <v>0</v>
      </c>
      <c r="Q500">
        <f t="shared" si="980"/>
        <v>0</v>
      </c>
      <c r="R500">
        <f t="shared" si="981"/>
        <v>0</v>
      </c>
      <c r="S500">
        <f t="shared" si="982"/>
        <v>0</v>
      </c>
      <c r="T500">
        <f t="shared" si="983"/>
        <v>0</v>
      </c>
    </row>
    <row r="501" spans="1:20" x14ac:dyDescent="0.25">
      <c r="A501" s="5"/>
      <c r="C501"/>
      <c r="D501"/>
      <c r="P501">
        <f t="shared" si="979"/>
        <v>0</v>
      </c>
      <c r="Q501">
        <f t="shared" si="980"/>
        <v>0</v>
      </c>
      <c r="R501">
        <f t="shared" si="981"/>
        <v>0</v>
      </c>
      <c r="S501">
        <f t="shared" si="982"/>
        <v>0</v>
      </c>
      <c r="T501">
        <f t="shared" si="983"/>
        <v>0</v>
      </c>
    </row>
    <row r="502" spans="1:20" x14ac:dyDescent="0.25">
      <c r="A502" s="5"/>
      <c r="C502"/>
      <c r="D502"/>
      <c r="P502">
        <f t="shared" si="979"/>
        <v>0</v>
      </c>
      <c r="Q502">
        <f t="shared" si="980"/>
        <v>0</v>
      </c>
      <c r="R502">
        <f t="shared" si="981"/>
        <v>0</v>
      </c>
      <c r="S502">
        <f t="shared" si="982"/>
        <v>0</v>
      </c>
      <c r="T502">
        <f t="shared" si="983"/>
        <v>0</v>
      </c>
    </row>
    <row r="503" spans="1:20" x14ac:dyDescent="0.25">
      <c r="A503" s="5"/>
      <c r="C503"/>
      <c r="D503"/>
      <c r="P503">
        <f t="shared" si="979"/>
        <v>0</v>
      </c>
      <c r="Q503">
        <f t="shared" si="980"/>
        <v>0</v>
      </c>
      <c r="R503">
        <f t="shared" si="981"/>
        <v>0</v>
      </c>
      <c r="S503">
        <f t="shared" si="982"/>
        <v>0</v>
      </c>
      <c r="T503">
        <f t="shared" si="983"/>
        <v>0</v>
      </c>
    </row>
    <row r="504" spans="1:20" x14ac:dyDescent="0.25">
      <c r="A504" s="5"/>
      <c r="C504"/>
      <c r="D504"/>
      <c r="P504">
        <f t="shared" si="979"/>
        <v>0</v>
      </c>
      <c r="Q504">
        <f t="shared" si="980"/>
        <v>0</v>
      </c>
      <c r="R504">
        <f t="shared" si="981"/>
        <v>0</v>
      </c>
      <c r="S504">
        <f t="shared" si="982"/>
        <v>0</v>
      </c>
      <c r="T504">
        <f t="shared" si="983"/>
        <v>0</v>
      </c>
    </row>
    <row r="505" spans="1:20" x14ac:dyDescent="0.25">
      <c r="A505" s="5"/>
      <c r="C505"/>
      <c r="D505"/>
      <c r="P505">
        <f t="shared" si="979"/>
        <v>0</v>
      </c>
      <c r="Q505">
        <f t="shared" si="980"/>
        <v>0</v>
      </c>
      <c r="R505">
        <f t="shared" si="981"/>
        <v>0</v>
      </c>
      <c r="S505">
        <f t="shared" si="982"/>
        <v>0</v>
      </c>
      <c r="T505">
        <f t="shared" si="983"/>
        <v>0</v>
      </c>
    </row>
    <row r="506" spans="1:20" x14ac:dyDescent="0.25">
      <c r="A506" s="5"/>
      <c r="C506"/>
      <c r="D506"/>
      <c r="P506">
        <f t="shared" si="979"/>
        <v>0</v>
      </c>
      <c r="Q506">
        <f t="shared" si="980"/>
        <v>0</v>
      </c>
      <c r="R506">
        <f t="shared" si="981"/>
        <v>0</v>
      </c>
      <c r="S506">
        <f t="shared" si="982"/>
        <v>0</v>
      </c>
      <c r="T506">
        <f t="shared" si="983"/>
        <v>0</v>
      </c>
    </row>
    <row r="507" spans="1:20" x14ac:dyDescent="0.25">
      <c r="A507" s="5"/>
      <c r="C507"/>
      <c r="D507"/>
      <c r="P507">
        <f t="shared" si="979"/>
        <v>0</v>
      </c>
      <c r="Q507">
        <f t="shared" si="980"/>
        <v>0</v>
      </c>
      <c r="R507">
        <f t="shared" si="981"/>
        <v>0</v>
      </c>
      <c r="S507">
        <f t="shared" si="982"/>
        <v>0</v>
      </c>
      <c r="T507">
        <f t="shared" si="983"/>
        <v>0</v>
      </c>
    </row>
    <row r="508" spans="1:20" x14ac:dyDescent="0.25">
      <c r="A508" s="5"/>
      <c r="C508"/>
      <c r="D508"/>
      <c r="P508">
        <f t="shared" si="979"/>
        <v>0</v>
      </c>
      <c r="Q508">
        <f t="shared" si="980"/>
        <v>0</v>
      </c>
      <c r="R508">
        <f t="shared" si="981"/>
        <v>0</v>
      </c>
      <c r="S508">
        <f t="shared" si="982"/>
        <v>0</v>
      </c>
      <c r="T508">
        <f t="shared" si="983"/>
        <v>0</v>
      </c>
    </row>
    <row r="509" spans="1:20" x14ac:dyDescent="0.25">
      <c r="A509" s="5"/>
      <c r="C509"/>
      <c r="D509"/>
      <c r="P509">
        <f t="shared" si="979"/>
        <v>0</v>
      </c>
      <c r="Q509">
        <f t="shared" si="980"/>
        <v>0</v>
      </c>
      <c r="R509">
        <f t="shared" si="981"/>
        <v>0</v>
      </c>
      <c r="S509">
        <f t="shared" si="982"/>
        <v>0</v>
      </c>
      <c r="T509">
        <f t="shared" si="983"/>
        <v>0</v>
      </c>
    </row>
    <row r="510" spans="1:20" x14ac:dyDescent="0.25">
      <c r="A510" s="5"/>
      <c r="C510"/>
      <c r="D510"/>
      <c r="P510">
        <f t="shared" si="979"/>
        <v>0</v>
      </c>
      <c r="Q510">
        <f t="shared" si="980"/>
        <v>0</v>
      </c>
      <c r="R510">
        <f t="shared" si="981"/>
        <v>0</v>
      </c>
      <c r="S510">
        <f t="shared" si="982"/>
        <v>0</v>
      </c>
      <c r="T510">
        <f t="shared" si="983"/>
        <v>0</v>
      </c>
    </row>
    <row r="511" spans="1:20" x14ac:dyDescent="0.25">
      <c r="A511" s="5"/>
      <c r="C511"/>
      <c r="D511"/>
      <c r="P511">
        <f t="shared" si="979"/>
        <v>0</v>
      </c>
      <c r="Q511">
        <f t="shared" si="980"/>
        <v>0</v>
      </c>
      <c r="R511">
        <f t="shared" si="981"/>
        <v>0</v>
      </c>
      <c r="S511">
        <f t="shared" si="982"/>
        <v>0</v>
      </c>
      <c r="T511">
        <f t="shared" si="983"/>
        <v>0</v>
      </c>
    </row>
    <row r="512" spans="1:20" x14ac:dyDescent="0.25">
      <c r="A512" s="5"/>
      <c r="C512"/>
      <c r="D512"/>
      <c r="P512">
        <f t="shared" si="979"/>
        <v>0</v>
      </c>
      <c r="Q512">
        <f t="shared" si="980"/>
        <v>0</v>
      </c>
      <c r="R512">
        <f t="shared" si="981"/>
        <v>0</v>
      </c>
      <c r="S512">
        <f t="shared" si="982"/>
        <v>0</v>
      </c>
      <c r="T512">
        <f t="shared" si="983"/>
        <v>0</v>
      </c>
    </row>
    <row r="513" spans="1:20" x14ac:dyDescent="0.25">
      <c r="A513" s="5"/>
      <c r="C513"/>
      <c r="D513"/>
      <c r="P513">
        <f t="shared" si="979"/>
        <v>0</v>
      </c>
      <c r="Q513">
        <f t="shared" si="980"/>
        <v>0</v>
      </c>
      <c r="R513">
        <f t="shared" si="981"/>
        <v>0</v>
      </c>
      <c r="S513">
        <f t="shared" si="982"/>
        <v>0</v>
      </c>
      <c r="T513">
        <f t="shared" si="983"/>
        <v>0</v>
      </c>
    </row>
    <row r="514" spans="1:20" x14ac:dyDescent="0.25">
      <c r="A514" s="5"/>
      <c r="C514"/>
      <c r="D514"/>
      <c r="P514">
        <f t="shared" si="979"/>
        <v>0</v>
      </c>
      <c r="Q514">
        <f t="shared" si="980"/>
        <v>0</v>
      </c>
      <c r="R514">
        <f t="shared" si="981"/>
        <v>0</v>
      </c>
      <c r="S514">
        <f t="shared" si="982"/>
        <v>0</v>
      </c>
      <c r="T514">
        <f t="shared" si="983"/>
        <v>0</v>
      </c>
    </row>
    <row r="515" spans="1:20" x14ac:dyDescent="0.25">
      <c r="A515" s="5"/>
      <c r="C515"/>
      <c r="D515"/>
      <c r="P515">
        <f t="shared" si="979"/>
        <v>0</v>
      </c>
      <c r="Q515">
        <f t="shared" si="980"/>
        <v>0</v>
      </c>
      <c r="R515">
        <f t="shared" si="981"/>
        <v>0</v>
      </c>
      <c r="S515">
        <f t="shared" si="982"/>
        <v>0</v>
      </c>
      <c r="T515">
        <f t="shared" si="983"/>
        <v>0</v>
      </c>
    </row>
    <row r="516" spans="1:20" x14ac:dyDescent="0.25">
      <c r="A516" s="5"/>
      <c r="C516"/>
      <c r="D516"/>
      <c r="P516">
        <f t="shared" si="979"/>
        <v>0</v>
      </c>
      <c r="Q516">
        <f t="shared" si="980"/>
        <v>0</v>
      </c>
      <c r="R516">
        <f t="shared" si="981"/>
        <v>0</v>
      </c>
      <c r="S516">
        <f t="shared" si="982"/>
        <v>0</v>
      </c>
      <c r="T516">
        <f t="shared" si="983"/>
        <v>0</v>
      </c>
    </row>
    <row r="517" spans="1:20" x14ac:dyDescent="0.25">
      <c r="A517" s="5"/>
      <c r="C517"/>
      <c r="D517"/>
      <c r="P517">
        <f t="shared" si="979"/>
        <v>0</v>
      </c>
      <c r="Q517">
        <f t="shared" si="980"/>
        <v>0</v>
      </c>
      <c r="R517">
        <f t="shared" si="981"/>
        <v>0</v>
      </c>
      <c r="S517">
        <f t="shared" si="982"/>
        <v>0</v>
      </c>
      <c r="T517">
        <f t="shared" si="983"/>
        <v>0</v>
      </c>
    </row>
    <row r="518" spans="1:20" x14ac:dyDescent="0.25">
      <c r="A518" s="5"/>
      <c r="C518"/>
      <c r="D518"/>
      <c r="P518">
        <f t="shared" ref="P518:P581" si="984">IF(C518=D518,0,((E518-D518)-(C518-E518))/(C518-D518))</f>
        <v>0</v>
      </c>
      <c r="Q518">
        <f t="shared" ref="Q518:Q581" si="985">F518*P518</f>
        <v>0</v>
      </c>
      <c r="R518">
        <f t="shared" ref="R518:R581" si="986">R519+Q518</f>
        <v>0</v>
      </c>
      <c r="S518">
        <f t="shared" ref="S518:S581" si="987">R518/100000</f>
        <v>0</v>
      </c>
      <c r="T518">
        <f t="shared" ref="T518:T581" si="988">S518/1000</f>
        <v>0</v>
      </c>
    </row>
    <row r="519" spans="1:20" x14ac:dyDescent="0.25">
      <c r="A519" s="5"/>
      <c r="C519"/>
      <c r="D519"/>
      <c r="P519">
        <f t="shared" si="984"/>
        <v>0</v>
      </c>
      <c r="Q519">
        <f t="shared" si="985"/>
        <v>0</v>
      </c>
      <c r="R519">
        <f t="shared" si="986"/>
        <v>0</v>
      </c>
      <c r="S519">
        <f t="shared" si="987"/>
        <v>0</v>
      </c>
      <c r="T519">
        <f t="shared" si="988"/>
        <v>0</v>
      </c>
    </row>
    <row r="520" spans="1:20" x14ac:dyDescent="0.25">
      <c r="A520" s="5"/>
      <c r="C520"/>
      <c r="D520"/>
      <c r="P520">
        <f t="shared" si="984"/>
        <v>0</v>
      </c>
      <c r="Q520">
        <f t="shared" si="985"/>
        <v>0</v>
      </c>
      <c r="R520">
        <f t="shared" si="986"/>
        <v>0</v>
      </c>
      <c r="S520">
        <f t="shared" si="987"/>
        <v>0</v>
      </c>
      <c r="T520">
        <f t="shared" si="988"/>
        <v>0</v>
      </c>
    </row>
    <row r="521" spans="1:20" x14ac:dyDescent="0.25">
      <c r="A521" s="5"/>
      <c r="C521"/>
      <c r="D521"/>
      <c r="P521">
        <f t="shared" si="984"/>
        <v>0</v>
      </c>
      <c r="Q521">
        <f t="shared" si="985"/>
        <v>0</v>
      </c>
      <c r="R521">
        <f t="shared" si="986"/>
        <v>0</v>
      </c>
      <c r="S521">
        <f t="shared" si="987"/>
        <v>0</v>
      </c>
      <c r="T521">
        <f t="shared" si="988"/>
        <v>0</v>
      </c>
    </row>
    <row r="522" spans="1:20" x14ac:dyDescent="0.25">
      <c r="A522" s="5"/>
      <c r="C522"/>
      <c r="D522"/>
      <c r="P522">
        <f t="shared" si="984"/>
        <v>0</v>
      </c>
      <c r="Q522">
        <f t="shared" si="985"/>
        <v>0</v>
      </c>
      <c r="R522">
        <f t="shared" si="986"/>
        <v>0</v>
      </c>
      <c r="S522">
        <f t="shared" si="987"/>
        <v>0</v>
      </c>
      <c r="T522">
        <f t="shared" si="988"/>
        <v>0</v>
      </c>
    </row>
    <row r="523" spans="1:20" x14ac:dyDescent="0.25">
      <c r="A523" s="5"/>
      <c r="C523"/>
      <c r="D523"/>
      <c r="P523">
        <f t="shared" si="984"/>
        <v>0</v>
      </c>
      <c r="Q523">
        <f t="shared" si="985"/>
        <v>0</v>
      </c>
      <c r="R523">
        <f t="shared" si="986"/>
        <v>0</v>
      </c>
      <c r="S523">
        <f t="shared" si="987"/>
        <v>0</v>
      </c>
      <c r="T523">
        <f t="shared" si="988"/>
        <v>0</v>
      </c>
    </row>
    <row r="524" spans="1:20" x14ac:dyDescent="0.25">
      <c r="A524" s="5"/>
      <c r="C524"/>
      <c r="D524"/>
      <c r="P524">
        <f t="shared" si="984"/>
        <v>0</v>
      </c>
      <c r="Q524">
        <f t="shared" si="985"/>
        <v>0</v>
      </c>
      <c r="R524">
        <f t="shared" si="986"/>
        <v>0</v>
      </c>
      <c r="S524">
        <f t="shared" si="987"/>
        <v>0</v>
      </c>
      <c r="T524">
        <f t="shared" si="988"/>
        <v>0</v>
      </c>
    </row>
    <row r="525" spans="1:20" x14ac:dyDescent="0.25">
      <c r="A525" s="5"/>
      <c r="C525"/>
      <c r="D525"/>
      <c r="P525">
        <f t="shared" si="984"/>
        <v>0</v>
      </c>
      <c r="Q525">
        <f t="shared" si="985"/>
        <v>0</v>
      </c>
      <c r="R525">
        <f t="shared" si="986"/>
        <v>0</v>
      </c>
      <c r="S525">
        <f t="shared" si="987"/>
        <v>0</v>
      </c>
      <c r="T525">
        <f t="shared" si="988"/>
        <v>0</v>
      </c>
    </row>
    <row r="526" spans="1:20" x14ac:dyDescent="0.25">
      <c r="A526" s="5"/>
      <c r="C526"/>
      <c r="D526"/>
      <c r="P526">
        <f t="shared" si="984"/>
        <v>0</v>
      </c>
      <c r="Q526">
        <f t="shared" si="985"/>
        <v>0</v>
      </c>
      <c r="R526">
        <f t="shared" si="986"/>
        <v>0</v>
      </c>
      <c r="S526">
        <f t="shared" si="987"/>
        <v>0</v>
      </c>
      <c r="T526">
        <f t="shared" si="988"/>
        <v>0</v>
      </c>
    </row>
    <row r="527" spans="1:20" x14ac:dyDescent="0.25">
      <c r="A527" s="5"/>
      <c r="C527"/>
      <c r="D527"/>
      <c r="P527">
        <f t="shared" si="984"/>
        <v>0</v>
      </c>
      <c r="Q527">
        <f t="shared" si="985"/>
        <v>0</v>
      </c>
      <c r="R527">
        <f t="shared" si="986"/>
        <v>0</v>
      </c>
      <c r="S527">
        <f t="shared" si="987"/>
        <v>0</v>
      </c>
      <c r="T527">
        <f t="shared" si="988"/>
        <v>0</v>
      </c>
    </row>
    <row r="528" spans="1:20" x14ac:dyDescent="0.25">
      <c r="A528" s="5"/>
      <c r="C528"/>
      <c r="D528"/>
      <c r="P528">
        <f t="shared" si="984"/>
        <v>0</v>
      </c>
      <c r="Q528">
        <f t="shared" si="985"/>
        <v>0</v>
      </c>
      <c r="R528">
        <f t="shared" si="986"/>
        <v>0</v>
      </c>
      <c r="S528">
        <f t="shared" si="987"/>
        <v>0</v>
      </c>
      <c r="T528">
        <f t="shared" si="988"/>
        <v>0</v>
      </c>
    </row>
    <row r="529" spans="1:20" x14ac:dyDescent="0.25">
      <c r="A529" s="5"/>
      <c r="C529"/>
      <c r="D529"/>
      <c r="P529">
        <f t="shared" si="984"/>
        <v>0</v>
      </c>
      <c r="Q529">
        <f t="shared" si="985"/>
        <v>0</v>
      </c>
      <c r="R529">
        <f t="shared" si="986"/>
        <v>0</v>
      </c>
      <c r="S529">
        <f t="shared" si="987"/>
        <v>0</v>
      </c>
      <c r="T529">
        <f t="shared" si="988"/>
        <v>0</v>
      </c>
    </row>
    <row r="530" spans="1:20" x14ac:dyDescent="0.25">
      <c r="A530" s="5"/>
      <c r="C530"/>
      <c r="D530"/>
      <c r="P530">
        <f t="shared" si="984"/>
        <v>0</v>
      </c>
      <c r="Q530">
        <f t="shared" si="985"/>
        <v>0</v>
      </c>
      <c r="R530">
        <f t="shared" si="986"/>
        <v>0</v>
      </c>
      <c r="S530">
        <f t="shared" si="987"/>
        <v>0</v>
      </c>
      <c r="T530">
        <f t="shared" si="988"/>
        <v>0</v>
      </c>
    </row>
    <row r="531" spans="1:20" x14ac:dyDescent="0.25">
      <c r="A531" s="5"/>
      <c r="C531"/>
      <c r="D531"/>
      <c r="P531">
        <f t="shared" si="984"/>
        <v>0</v>
      </c>
      <c r="Q531">
        <f t="shared" si="985"/>
        <v>0</v>
      </c>
      <c r="R531">
        <f t="shared" si="986"/>
        <v>0</v>
      </c>
      <c r="S531">
        <f t="shared" si="987"/>
        <v>0</v>
      </c>
      <c r="T531">
        <f t="shared" si="988"/>
        <v>0</v>
      </c>
    </row>
    <row r="532" spans="1:20" x14ac:dyDescent="0.25">
      <c r="A532" s="5"/>
      <c r="C532"/>
      <c r="D532"/>
      <c r="P532">
        <f t="shared" si="984"/>
        <v>0</v>
      </c>
      <c r="Q532">
        <f t="shared" si="985"/>
        <v>0</v>
      </c>
      <c r="R532">
        <f t="shared" si="986"/>
        <v>0</v>
      </c>
      <c r="S532">
        <f t="shared" si="987"/>
        <v>0</v>
      </c>
      <c r="T532">
        <f t="shared" si="988"/>
        <v>0</v>
      </c>
    </row>
    <row r="533" spans="1:20" x14ac:dyDescent="0.25">
      <c r="A533" s="5"/>
      <c r="C533"/>
      <c r="D533"/>
      <c r="P533">
        <f t="shared" si="984"/>
        <v>0</v>
      </c>
      <c r="Q533">
        <f t="shared" si="985"/>
        <v>0</v>
      </c>
      <c r="R533">
        <f t="shared" si="986"/>
        <v>0</v>
      </c>
      <c r="S533">
        <f t="shared" si="987"/>
        <v>0</v>
      </c>
      <c r="T533">
        <f t="shared" si="988"/>
        <v>0</v>
      </c>
    </row>
    <row r="534" spans="1:20" x14ac:dyDescent="0.25">
      <c r="A534" s="5"/>
      <c r="C534"/>
      <c r="D534"/>
      <c r="P534">
        <f t="shared" si="984"/>
        <v>0</v>
      </c>
      <c r="Q534">
        <f t="shared" si="985"/>
        <v>0</v>
      </c>
      <c r="R534">
        <f t="shared" si="986"/>
        <v>0</v>
      </c>
      <c r="S534">
        <f t="shared" si="987"/>
        <v>0</v>
      </c>
      <c r="T534">
        <f t="shared" si="988"/>
        <v>0</v>
      </c>
    </row>
    <row r="535" spans="1:20" x14ac:dyDescent="0.25">
      <c r="A535" s="5"/>
      <c r="C535"/>
      <c r="D535"/>
      <c r="P535">
        <f t="shared" si="984"/>
        <v>0</v>
      </c>
      <c r="Q535">
        <f t="shared" si="985"/>
        <v>0</v>
      </c>
      <c r="R535">
        <f t="shared" si="986"/>
        <v>0</v>
      </c>
      <c r="S535">
        <f t="shared" si="987"/>
        <v>0</v>
      </c>
      <c r="T535">
        <f t="shared" si="988"/>
        <v>0</v>
      </c>
    </row>
    <row r="536" spans="1:20" x14ac:dyDescent="0.25">
      <c r="A536" s="5"/>
      <c r="C536"/>
      <c r="D536"/>
      <c r="P536">
        <f t="shared" si="984"/>
        <v>0</v>
      </c>
      <c r="Q536">
        <f t="shared" si="985"/>
        <v>0</v>
      </c>
      <c r="R536">
        <f t="shared" si="986"/>
        <v>0</v>
      </c>
      <c r="S536">
        <f t="shared" si="987"/>
        <v>0</v>
      </c>
      <c r="T536">
        <f t="shared" si="988"/>
        <v>0</v>
      </c>
    </row>
    <row r="537" spans="1:20" x14ac:dyDescent="0.25">
      <c r="A537" s="5"/>
      <c r="C537"/>
      <c r="D537"/>
      <c r="P537">
        <f t="shared" si="984"/>
        <v>0</v>
      </c>
      <c r="Q537">
        <f t="shared" si="985"/>
        <v>0</v>
      </c>
      <c r="R537">
        <f t="shared" si="986"/>
        <v>0</v>
      </c>
      <c r="S537">
        <f t="shared" si="987"/>
        <v>0</v>
      </c>
      <c r="T537">
        <f t="shared" si="988"/>
        <v>0</v>
      </c>
    </row>
    <row r="538" spans="1:20" x14ac:dyDescent="0.25">
      <c r="A538" s="5"/>
      <c r="C538"/>
      <c r="D538"/>
      <c r="P538">
        <f t="shared" si="984"/>
        <v>0</v>
      </c>
      <c r="Q538">
        <f t="shared" si="985"/>
        <v>0</v>
      </c>
      <c r="R538">
        <f t="shared" si="986"/>
        <v>0</v>
      </c>
      <c r="S538">
        <f t="shared" si="987"/>
        <v>0</v>
      </c>
      <c r="T538">
        <f t="shared" si="988"/>
        <v>0</v>
      </c>
    </row>
    <row r="539" spans="1:20" x14ac:dyDescent="0.25">
      <c r="A539" s="5"/>
      <c r="C539"/>
      <c r="D539"/>
      <c r="P539">
        <f t="shared" si="984"/>
        <v>0</v>
      </c>
      <c r="Q539">
        <f t="shared" si="985"/>
        <v>0</v>
      </c>
      <c r="R539">
        <f t="shared" si="986"/>
        <v>0</v>
      </c>
      <c r="S539">
        <f t="shared" si="987"/>
        <v>0</v>
      </c>
      <c r="T539">
        <f t="shared" si="988"/>
        <v>0</v>
      </c>
    </row>
    <row r="540" spans="1:20" x14ac:dyDescent="0.25">
      <c r="A540" s="5"/>
      <c r="C540"/>
      <c r="D540"/>
      <c r="P540">
        <f t="shared" si="984"/>
        <v>0</v>
      </c>
      <c r="Q540">
        <f t="shared" si="985"/>
        <v>0</v>
      </c>
      <c r="R540">
        <f t="shared" si="986"/>
        <v>0</v>
      </c>
      <c r="S540">
        <f t="shared" si="987"/>
        <v>0</v>
      </c>
      <c r="T540">
        <f t="shared" si="988"/>
        <v>0</v>
      </c>
    </row>
    <row r="541" spans="1:20" x14ac:dyDescent="0.25">
      <c r="A541" s="5"/>
      <c r="C541"/>
      <c r="D541"/>
      <c r="P541">
        <f t="shared" si="984"/>
        <v>0</v>
      </c>
      <c r="Q541">
        <f t="shared" si="985"/>
        <v>0</v>
      </c>
      <c r="R541">
        <f t="shared" si="986"/>
        <v>0</v>
      </c>
      <c r="S541">
        <f t="shared" si="987"/>
        <v>0</v>
      </c>
      <c r="T541">
        <f t="shared" si="988"/>
        <v>0</v>
      </c>
    </row>
    <row r="542" spans="1:20" x14ac:dyDescent="0.25">
      <c r="A542" s="5"/>
      <c r="C542"/>
      <c r="D542"/>
      <c r="P542">
        <f t="shared" si="984"/>
        <v>0</v>
      </c>
      <c r="Q542">
        <f t="shared" si="985"/>
        <v>0</v>
      </c>
      <c r="R542">
        <f t="shared" si="986"/>
        <v>0</v>
      </c>
      <c r="S542">
        <f t="shared" si="987"/>
        <v>0</v>
      </c>
      <c r="T542">
        <f t="shared" si="988"/>
        <v>0</v>
      </c>
    </row>
    <row r="543" spans="1:20" x14ac:dyDescent="0.25">
      <c r="A543" s="5"/>
      <c r="C543"/>
      <c r="D543"/>
      <c r="P543">
        <f t="shared" si="984"/>
        <v>0</v>
      </c>
      <c r="Q543">
        <f t="shared" si="985"/>
        <v>0</v>
      </c>
      <c r="R543">
        <f t="shared" si="986"/>
        <v>0</v>
      </c>
      <c r="S543">
        <f t="shared" si="987"/>
        <v>0</v>
      </c>
      <c r="T543">
        <f t="shared" si="988"/>
        <v>0</v>
      </c>
    </row>
    <row r="544" spans="1:20" x14ac:dyDescent="0.25">
      <c r="A544" s="5"/>
      <c r="C544"/>
      <c r="D544"/>
      <c r="P544">
        <f t="shared" si="984"/>
        <v>0</v>
      </c>
      <c r="Q544">
        <f t="shared" si="985"/>
        <v>0</v>
      </c>
      <c r="R544">
        <f t="shared" si="986"/>
        <v>0</v>
      </c>
      <c r="S544">
        <f t="shared" si="987"/>
        <v>0</v>
      </c>
      <c r="T544">
        <f t="shared" si="988"/>
        <v>0</v>
      </c>
    </row>
    <row r="545" spans="1:20" x14ac:dyDescent="0.25">
      <c r="A545" s="5"/>
      <c r="C545"/>
      <c r="D545"/>
      <c r="P545">
        <f t="shared" si="984"/>
        <v>0</v>
      </c>
      <c r="Q545">
        <f t="shared" si="985"/>
        <v>0</v>
      </c>
      <c r="R545">
        <f t="shared" si="986"/>
        <v>0</v>
      </c>
      <c r="S545">
        <f t="shared" si="987"/>
        <v>0</v>
      </c>
      <c r="T545">
        <f t="shared" si="988"/>
        <v>0</v>
      </c>
    </row>
    <row r="546" spans="1:20" x14ac:dyDescent="0.25">
      <c r="A546" s="5"/>
      <c r="C546"/>
      <c r="D546"/>
      <c r="P546">
        <f t="shared" si="984"/>
        <v>0</v>
      </c>
      <c r="Q546">
        <f t="shared" si="985"/>
        <v>0</v>
      </c>
      <c r="R546">
        <f t="shared" si="986"/>
        <v>0</v>
      </c>
      <c r="S546">
        <f t="shared" si="987"/>
        <v>0</v>
      </c>
      <c r="T546">
        <f t="shared" si="988"/>
        <v>0</v>
      </c>
    </row>
    <row r="547" spans="1:20" x14ac:dyDescent="0.25">
      <c r="A547" s="5"/>
      <c r="C547"/>
      <c r="D547"/>
      <c r="P547">
        <f t="shared" si="984"/>
        <v>0</v>
      </c>
      <c r="Q547">
        <f t="shared" si="985"/>
        <v>0</v>
      </c>
      <c r="R547">
        <f t="shared" si="986"/>
        <v>0</v>
      </c>
      <c r="S547">
        <f t="shared" si="987"/>
        <v>0</v>
      </c>
      <c r="T547">
        <f t="shared" si="988"/>
        <v>0</v>
      </c>
    </row>
    <row r="548" spans="1:20" x14ac:dyDescent="0.25">
      <c r="A548" s="5"/>
      <c r="C548"/>
      <c r="D548"/>
      <c r="P548">
        <f t="shared" si="984"/>
        <v>0</v>
      </c>
      <c r="Q548">
        <f t="shared" si="985"/>
        <v>0</v>
      </c>
      <c r="R548">
        <f t="shared" si="986"/>
        <v>0</v>
      </c>
      <c r="S548">
        <f t="shared" si="987"/>
        <v>0</v>
      </c>
      <c r="T548">
        <f t="shared" si="988"/>
        <v>0</v>
      </c>
    </row>
    <row r="549" spans="1:20" x14ac:dyDescent="0.25">
      <c r="A549" s="5"/>
      <c r="P549">
        <f t="shared" si="984"/>
        <v>0</v>
      </c>
      <c r="Q549">
        <f t="shared" si="985"/>
        <v>0</v>
      </c>
      <c r="R549">
        <f t="shared" si="986"/>
        <v>0</v>
      </c>
      <c r="S549">
        <f t="shared" si="987"/>
        <v>0</v>
      </c>
      <c r="T549">
        <f t="shared" si="988"/>
        <v>0</v>
      </c>
    </row>
    <row r="550" spans="1:20" x14ac:dyDescent="0.25">
      <c r="A550" s="5"/>
      <c r="P550">
        <f t="shared" si="984"/>
        <v>0</v>
      </c>
      <c r="Q550">
        <f t="shared" si="985"/>
        <v>0</v>
      </c>
      <c r="R550">
        <f t="shared" si="986"/>
        <v>0</v>
      </c>
      <c r="S550">
        <f t="shared" si="987"/>
        <v>0</v>
      </c>
      <c r="T550">
        <f t="shared" si="988"/>
        <v>0</v>
      </c>
    </row>
    <row r="551" spans="1:20" x14ac:dyDescent="0.25">
      <c r="A551" s="5"/>
      <c r="P551">
        <f t="shared" si="984"/>
        <v>0</v>
      </c>
      <c r="Q551">
        <f t="shared" si="985"/>
        <v>0</v>
      </c>
      <c r="R551">
        <f t="shared" si="986"/>
        <v>0</v>
      </c>
      <c r="S551">
        <f t="shared" si="987"/>
        <v>0</v>
      </c>
      <c r="T551">
        <f t="shared" si="988"/>
        <v>0</v>
      </c>
    </row>
    <row r="552" spans="1:20" x14ac:dyDescent="0.25">
      <c r="A552" s="5"/>
      <c r="P552">
        <f t="shared" si="984"/>
        <v>0</v>
      </c>
      <c r="Q552">
        <f t="shared" si="985"/>
        <v>0</v>
      </c>
      <c r="R552">
        <f t="shared" si="986"/>
        <v>0</v>
      </c>
      <c r="S552">
        <f t="shared" si="987"/>
        <v>0</v>
      </c>
      <c r="T552">
        <f t="shared" si="988"/>
        <v>0</v>
      </c>
    </row>
    <row r="553" spans="1:20" x14ac:dyDescent="0.25">
      <c r="A553" s="5"/>
      <c r="P553">
        <f t="shared" si="984"/>
        <v>0</v>
      </c>
      <c r="Q553">
        <f t="shared" si="985"/>
        <v>0</v>
      </c>
      <c r="R553">
        <f t="shared" si="986"/>
        <v>0</v>
      </c>
      <c r="S553">
        <f t="shared" si="987"/>
        <v>0</v>
      </c>
      <c r="T553">
        <f t="shared" si="988"/>
        <v>0</v>
      </c>
    </row>
    <row r="554" spans="1:20" x14ac:dyDescent="0.25">
      <c r="A554" s="5"/>
      <c r="P554">
        <f t="shared" si="984"/>
        <v>0</v>
      </c>
      <c r="Q554">
        <f t="shared" si="985"/>
        <v>0</v>
      </c>
      <c r="R554">
        <f t="shared" si="986"/>
        <v>0</v>
      </c>
      <c r="S554">
        <f t="shared" si="987"/>
        <v>0</v>
      </c>
      <c r="T554">
        <f t="shared" si="988"/>
        <v>0</v>
      </c>
    </row>
    <row r="555" spans="1:20" x14ac:dyDescent="0.25">
      <c r="A555" s="5"/>
      <c r="P555">
        <f t="shared" si="984"/>
        <v>0</v>
      </c>
      <c r="Q555">
        <f t="shared" si="985"/>
        <v>0</v>
      </c>
      <c r="R555">
        <f t="shared" si="986"/>
        <v>0</v>
      </c>
      <c r="S555">
        <f t="shared" si="987"/>
        <v>0</v>
      </c>
      <c r="T555">
        <f t="shared" si="988"/>
        <v>0</v>
      </c>
    </row>
    <row r="556" spans="1:20" x14ac:dyDescent="0.25">
      <c r="A556" s="5"/>
      <c r="P556">
        <f t="shared" si="984"/>
        <v>0</v>
      </c>
      <c r="Q556">
        <f t="shared" si="985"/>
        <v>0</v>
      </c>
      <c r="R556">
        <f t="shared" si="986"/>
        <v>0</v>
      </c>
      <c r="S556">
        <f t="shared" si="987"/>
        <v>0</v>
      </c>
      <c r="T556">
        <f t="shared" si="988"/>
        <v>0</v>
      </c>
    </row>
    <row r="557" spans="1:20" x14ac:dyDescent="0.25">
      <c r="A557" s="5"/>
      <c r="P557">
        <f t="shared" si="984"/>
        <v>0</v>
      </c>
      <c r="Q557">
        <f t="shared" si="985"/>
        <v>0</v>
      </c>
      <c r="R557">
        <f t="shared" si="986"/>
        <v>0</v>
      </c>
      <c r="S557">
        <f t="shared" si="987"/>
        <v>0</v>
      </c>
      <c r="T557">
        <f t="shared" si="988"/>
        <v>0</v>
      </c>
    </row>
    <row r="558" spans="1:20" x14ac:dyDescent="0.25">
      <c r="A558" s="5"/>
      <c r="P558">
        <f t="shared" si="984"/>
        <v>0</v>
      </c>
      <c r="Q558">
        <f t="shared" si="985"/>
        <v>0</v>
      </c>
      <c r="R558">
        <f t="shared" si="986"/>
        <v>0</v>
      </c>
      <c r="S558">
        <f t="shared" si="987"/>
        <v>0</v>
      </c>
      <c r="T558">
        <f t="shared" si="988"/>
        <v>0</v>
      </c>
    </row>
    <row r="559" spans="1:20" x14ac:dyDescent="0.25">
      <c r="A559" s="5"/>
      <c r="P559">
        <f t="shared" si="984"/>
        <v>0</v>
      </c>
      <c r="Q559">
        <f t="shared" si="985"/>
        <v>0</v>
      </c>
      <c r="R559">
        <f t="shared" si="986"/>
        <v>0</v>
      </c>
      <c r="S559">
        <f t="shared" si="987"/>
        <v>0</v>
      </c>
      <c r="T559">
        <f t="shared" si="988"/>
        <v>0</v>
      </c>
    </row>
    <row r="560" spans="1:20" x14ac:dyDescent="0.25">
      <c r="A560" s="5"/>
      <c r="P560">
        <f t="shared" si="984"/>
        <v>0</v>
      </c>
      <c r="Q560">
        <f t="shared" si="985"/>
        <v>0</v>
      </c>
      <c r="R560">
        <f t="shared" si="986"/>
        <v>0</v>
      </c>
      <c r="S560">
        <f t="shared" si="987"/>
        <v>0</v>
      </c>
      <c r="T560">
        <f t="shared" si="988"/>
        <v>0</v>
      </c>
    </row>
    <row r="561" spans="1:104" x14ac:dyDescent="0.25">
      <c r="A561" s="5"/>
      <c r="P561">
        <f t="shared" si="984"/>
        <v>0</v>
      </c>
      <c r="Q561">
        <f t="shared" si="985"/>
        <v>0</v>
      </c>
      <c r="R561">
        <f t="shared" si="986"/>
        <v>0</v>
      </c>
      <c r="S561">
        <f t="shared" si="987"/>
        <v>0</v>
      </c>
      <c r="T561">
        <f t="shared" si="988"/>
        <v>0</v>
      </c>
      <c r="CZ561" t="s">
        <v>7</v>
      </c>
    </row>
    <row r="562" spans="1:104" x14ac:dyDescent="0.25">
      <c r="A562" s="5"/>
      <c r="P562">
        <f t="shared" si="984"/>
        <v>0</v>
      </c>
      <c r="Q562">
        <f t="shared" si="985"/>
        <v>0</v>
      </c>
      <c r="R562">
        <f t="shared" si="986"/>
        <v>0</v>
      </c>
      <c r="S562">
        <f t="shared" si="987"/>
        <v>0</v>
      </c>
      <c r="T562">
        <f t="shared" si="988"/>
        <v>0</v>
      </c>
      <c r="CZ562" t="s">
        <v>7</v>
      </c>
    </row>
    <row r="563" spans="1:104" x14ac:dyDescent="0.25">
      <c r="A563" s="5"/>
      <c r="P563">
        <f t="shared" si="984"/>
        <v>0</v>
      </c>
      <c r="Q563">
        <f t="shared" si="985"/>
        <v>0</v>
      </c>
      <c r="R563">
        <f t="shared" si="986"/>
        <v>0</v>
      </c>
      <c r="S563">
        <f t="shared" si="987"/>
        <v>0</v>
      </c>
      <c r="T563">
        <f t="shared" si="988"/>
        <v>0</v>
      </c>
      <c r="CZ563" t="s">
        <v>7</v>
      </c>
    </row>
    <row r="564" spans="1:104" x14ac:dyDescent="0.25">
      <c r="A564" s="5"/>
      <c r="P564">
        <f t="shared" si="984"/>
        <v>0</v>
      </c>
      <c r="Q564">
        <f t="shared" si="985"/>
        <v>0</v>
      </c>
      <c r="R564">
        <f t="shared" si="986"/>
        <v>0</v>
      </c>
      <c r="S564">
        <f t="shared" si="987"/>
        <v>0</v>
      </c>
      <c r="T564">
        <f t="shared" si="988"/>
        <v>0</v>
      </c>
    </row>
    <row r="565" spans="1:104" x14ac:dyDescent="0.25">
      <c r="A565" s="5"/>
      <c r="C565"/>
      <c r="D565"/>
      <c r="P565">
        <f t="shared" si="984"/>
        <v>0</v>
      </c>
      <c r="Q565">
        <f t="shared" si="985"/>
        <v>0</v>
      </c>
      <c r="R565">
        <f t="shared" si="986"/>
        <v>0</v>
      </c>
      <c r="S565">
        <f t="shared" si="987"/>
        <v>0</v>
      </c>
      <c r="T565">
        <f t="shared" si="988"/>
        <v>0</v>
      </c>
    </row>
    <row r="566" spans="1:104" x14ac:dyDescent="0.25">
      <c r="A566" s="5"/>
      <c r="C566"/>
      <c r="D566"/>
      <c r="P566">
        <f t="shared" si="984"/>
        <v>0</v>
      </c>
      <c r="Q566">
        <f t="shared" si="985"/>
        <v>0</v>
      </c>
      <c r="R566">
        <f t="shared" si="986"/>
        <v>0</v>
      </c>
      <c r="S566">
        <f t="shared" si="987"/>
        <v>0</v>
      </c>
      <c r="T566">
        <f t="shared" si="988"/>
        <v>0</v>
      </c>
    </row>
    <row r="567" spans="1:104" x14ac:dyDescent="0.25">
      <c r="A567" s="5"/>
      <c r="C567"/>
      <c r="D567"/>
      <c r="P567">
        <f t="shared" si="984"/>
        <v>0</v>
      </c>
      <c r="Q567">
        <f t="shared" si="985"/>
        <v>0</v>
      </c>
      <c r="R567">
        <f t="shared" si="986"/>
        <v>0</v>
      </c>
      <c r="S567">
        <f t="shared" si="987"/>
        <v>0</v>
      </c>
      <c r="T567">
        <f t="shared" si="988"/>
        <v>0</v>
      </c>
    </row>
    <row r="568" spans="1:104" x14ac:dyDescent="0.25">
      <c r="A568" s="5"/>
      <c r="C568"/>
      <c r="D568"/>
      <c r="P568">
        <f t="shared" si="984"/>
        <v>0</v>
      </c>
      <c r="Q568">
        <f t="shared" si="985"/>
        <v>0</v>
      </c>
      <c r="R568">
        <f t="shared" si="986"/>
        <v>0</v>
      </c>
      <c r="S568">
        <f t="shared" si="987"/>
        <v>0</v>
      </c>
      <c r="T568">
        <f t="shared" si="988"/>
        <v>0</v>
      </c>
    </row>
    <row r="569" spans="1:104" x14ac:dyDescent="0.25">
      <c r="A569" s="5"/>
      <c r="C569"/>
      <c r="D569"/>
      <c r="P569">
        <f t="shared" si="984"/>
        <v>0</v>
      </c>
      <c r="Q569">
        <f t="shared" si="985"/>
        <v>0</v>
      </c>
      <c r="R569">
        <f t="shared" si="986"/>
        <v>0</v>
      </c>
      <c r="S569">
        <f t="shared" si="987"/>
        <v>0</v>
      </c>
      <c r="T569">
        <f t="shared" si="988"/>
        <v>0</v>
      </c>
    </row>
    <row r="570" spans="1:104" x14ac:dyDescent="0.25">
      <c r="A570" s="5"/>
      <c r="C570"/>
      <c r="D570"/>
      <c r="P570">
        <f t="shared" si="984"/>
        <v>0</v>
      </c>
      <c r="Q570">
        <f t="shared" si="985"/>
        <v>0</v>
      </c>
      <c r="R570">
        <f t="shared" si="986"/>
        <v>0</v>
      </c>
      <c r="S570">
        <f t="shared" si="987"/>
        <v>0</v>
      </c>
      <c r="T570">
        <f t="shared" si="988"/>
        <v>0</v>
      </c>
    </row>
    <row r="571" spans="1:104" x14ac:dyDescent="0.25">
      <c r="A571" s="5"/>
      <c r="C571"/>
      <c r="D571"/>
      <c r="P571">
        <f t="shared" si="984"/>
        <v>0</v>
      </c>
      <c r="Q571">
        <f t="shared" si="985"/>
        <v>0</v>
      </c>
      <c r="R571">
        <f t="shared" si="986"/>
        <v>0</v>
      </c>
      <c r="S571">
        <f t="shared" si="987"/>
        <v>0</v>
      </c>
      <c r="T571">
        <f t="shared" si="988"/>
        <v>0</v>
      </c>
    </row>
    <row r="572" spans="1:104" x14ac:dyDescent="0.25">
      <c r="A572" s="5"/>
      <c r="C572"/>
      <c r="D572"/>
      <c r="P572">
        <f t="shared" si="984"/>
        <v>0</v>
      </c>
      <c r="Q572">
        <f t="shared" si="985"/>
        <v>0</v>
      </c>
      <c r="R572">
        <f t="shared" si="986"/>
        <v>0</v>
      </c>
      <c r="S572">
        <f t="shared" si="987"/>
        <v>0</v>
      </c>
      <c r="T572">
        <f t="shared" si="988"/>
        <v>0</v>
      </c>
    </row>
    <row r="573" spans="1:104" x14ac:dyDescent="0.25">
      <c r="A573" s="5"/>
      <c r="C573"/>
      <c r="D573"/>
      <c r="P573">
        <f t="shared" si="984"/>
        <v>0</v>
      </c>
      <c r="Q573">
        <f t="shared" si="985"/>
        <v>0</v>
      </c>
      <c r="R573">
        <f t="shared" si="986"/>
        <v>0</v>
      </c>
      <c r="S573">
        <f t="shared" si="987"/>
        <v>0</v>
      </c>
      <c r="T573">
        <f t="shared" si="988"/>
        <v>0</v>
      </c>
    </row>
    <row r="574" spans="1:104" x14ac:dyDescent="0.25">
      <c r="A574" s="5"/>
      <c r="C574"/>
      <c r="D574"/>
      <c r="P574">
        <f t="shared" si="984"/>
        <v>0</v>
      </c>
      <c r="Q574">
        <f t="shared" si="985"/>
        <v>0</v>
      </c>
      <c r="R574">
        <f t="shared" si="986"/>
        <v>0</v>
      </c>
      <c r="S574">
        <f t="shared" si="987"/>
        <v>0</v>
      </c>
      <c r="T574">
        <f t="shared" si="988"/>
        <v>0</v>
      </c>
    </row>
    <row r="575" spans="1:104" x14ac:dyDescent="0.25">
      <c r="A575" s="5"/>
      <c r="C575"/>
      <c r="D575"/>
      <c r="P575">
        <f t="shared" si="984"/>
        <v>0</v>
      </c>
      <c r="Q575">
        <f t="shared" si="985"/>
        <v>0</v>
      </c>
      <c r="R575">
        <f t="shared" si="986"/>
        <v>0</v>
      </c>
      <c r="S575">
        <f t="shared" si="987"/>
        <v>0</v>
      </c>
      <c r="T575">
        <f t="shared" si="988"/>
        <v>0</v>
      </c>
    </row>
    <row r="576" spans="1:104" x14ac:dyDescent="0.25">
      <c r="A576" s="5"/>
      <c r="C576"/>
      <c r="D576"/>
      <c r="P576">
        <f t="shared" si="984"/>
        <v>0</v>
      </c>
      <c r="Q576">
        <f t="shared" si="985"/>
        <v>0</v>
      </c>
      <c r="R576">
        <f t="shared" si="986"/>
        <v>0</v>
      </c>
      <c r="S576">
        <f t="shared" si="987"/>
        <v>0</v>
      </c>
      <c r="T576">
        <f t="shared" si="988"/>
        <v>0</v>
      </c>
    </row>
    <row r="577" spans="1:20" x14ac:dyDescent="0.25">
      <c r="A577" s="5"/>
      <c r="C577"/>
      <c r="D577"/>
      <c r="P577">
        <f t="shared" si="984"/>
        <v>0</v>
      </c>
      <c r="Q577">
        <f t="shared" si="985"/>
        <v>0</v>
      </c>
      <c r="R577">
        <f t="shared" si="986"/>
        <v>0</v>
      </c>
      <c r="S577">
        <f t="shared" si="987"/>
        <v>0</v>
      </c>
      <c r="T577">
        <f t="shared" si="988"/>
        <v>0</v>
      </c>
    </row>
    <row r="578" spans="1:20" x14ac:dyDescent="0.25">
      <c r="A578" s="5"/>
      <c r="C578"/>
      <c r="D578"/>
      <c r="P578">
        <f t="shared" si="984"/>
        <v>0</v>
      </c>
      <c r="Q578">
        <f t="shared" si="985"/>
        <v>0</v>
      </c>
      <c r="R578">
        <f t="shared" si="986"/>
        <v>0</v>
      </c>
      <c r="S578">
        <f t="shared" si="987"/>
        <v>0</v>
      </c>
      <c r="T578">
        <f t="shared" si="988"/>
        <v>0</v>
      </c>
    </row>
    <row r="579" spans="1:20" x14ac:dyDescent="0.25">
      <c r="A579" s="5"/>
      <c r="C579"/>
      <c r="D579"/>
      <c r="P579">
        <f t="shared" si="984"/>
        <v>0</v>
      </c>
      <c r="Q579">
        <f t="shared" si="985"/>
        <v>0</v>
      </c>
      <c r="R579">
        <f t="shared" si="986"/>
        <v>0</v>
      </c>
      <c r="S579">
        <f t="shared" si="987"/>
        <v>0</v>
      </c>
      <c r="T579">
        <f t="shared" si="988"/>
        <v>0</v>
      </c>
    </row>
    <row r="580" spans="1:20" x14ac:dyDescent="0.25">
      <c r="A580" s="5"/>
      <c r="C580"/>
      <c r="D580"/>
      <c r="P580">
        <f t="shared" si="984"/>
        <v>0</v>
      </c>
      <c r="Q580">
        <f t="shared" si="985"/>
        <v>0</v>
      </c>
      <c r="R580">
        <f t="shared" si="986"/>
        <v>0</v>
      </c>
      <c r="S580">
        <f t="shared" si="987"/>
        <v>0</v>
      </c>
      <c r="T580">
        <f t="shared" si="988"/>
        <v>0</v>
      </c>
    </row>
    <row r="581" spans="1:20" x14ac:dyDescent="0.25">
      <c r="A581" s="5"/>
      <c r="C581"/>
      <c r="D581"/>
      <c r="P581">
        <f t="shared" si="984"/>
        <v>0</v>
      </c>
      <c r="Q581">
        <f t="shared" si="985"/>
        <v>0</v>
      </c>
      <c r="R581">
        <f t="shared" si="986"/>
        <v>0</v>
      </c>
      <c r="S581">
        <f t="shared" si="987"/>
        <v>0</v>
      </c>
      <c r="T581">
        <f t="shared" si="988"/>
        <v>0</v>
      </c>
    </row>
    <row r="582" spans="1:20" x14ac:dyDescent="0.25">
      <c r="A582" s="5"/>
      <c r="C582"/>
      <c r="D582"/>
      <c r="P582">
        <f t="shared" ref="P582:P645" si="989">IF(C582=D582,0,((E582-D582)-(C582-E582))/(C582-D582))</f>
        <v>0</v>
      </c>
      <c r="Q582">
        <f t="shared" ref="Q582:Q645" si="990">F582*P582</f>
        <v>0</v>
      </c>
      <c r="R582">
        <f t="shared" ref="R582:R645" si="991">R583+Q582</f>
        <v>0</v>
      </c>
      <c r="S582">
        <f t="shared" ref="S582:S645" si="992">R582/100000</f>
        <v>0</v>
      </c>
      <c r="T582">
        <f t="shared" ref="T582:T645" si="993">S582/1000</f>
        <v>0</v>
      </c>
    </row>
    <row r="583" spans="1:20" x14ac:dyDescent="0.25">
      <c r="A583" s="5"/>
      <c r="C583"/>
      <c r="D583"/>
      <c r="P583">
        <f t="shared" si="989"/>
        <v>0</v>
      </c>
      <c r="Q583">
        <f t="shared" si="990"/>
        <v>0</v>
      </c>
      <c r="R583">
        <f t="shared" si="991"/>
        <v>0</v>
      </c>
      <c r="S583">
        <f t="shared" si="992"/>
        <v>0</v>
      </c>
      <c r="T583">
        <f t="shared" si="993"/>
        <v>0</v>
      </c>
    </row>
    <row r="584" spans="1:20" x14ac:dyDescent="0.25">
      <c r="A584" s="5"/>
      <c r="C584"/>
      <c r="D584"/>
      <c r="P584">
        <f t="shared" si="989"/>
        <v>0</v>
      </c>
      <c r="Q584">
        <f t="shared" si="990"/>
        <v>0</v>
      </c>
      <c r="R584">
        <f t="shared" si="991"/>
        <v>0</v>
      </c>
      <c r="S584">
        <f t="shared" si="992"/>
        <v>0</v>
      </c>
      <c r="T584">
        <f t="shared" si="993"/>
        <v>0</v>
      </c>
    </row>
    <row r="585" spans="1:20" x14ac:dyDescent="0.25">
      <c r="A585" s="5"/>
      <c r="C585"/>
      <c r="D585"/>
      <c r="P585">
        <f t="shared" si="989"/>
        <v>0</v>
      </c>
      <c r="Q585">
        <f t="shared" si="990"/>
        <v>0</v>
      </c>
      <c r="R585">
        <f t="shared" si="991"/>
        <v>0</v>
      </c>
      <c r="S585">
        <f t="shared" si="992"/>
        <v>0</v>
      </c>
      <c r="T585">
        <f t="shared" si="993"/>
        <v>0</v>
      </c>
    </row>
    <row r="586" spans="1:20" x14ac:dyDescent="0.25">
      <c r="A586" s="5"/>
      <c r="C586"/>
      <c r="D586"/>
      <c r="P586">
        <f t="shared" si="989"/>
        <v>0</v>
      </c>
      <c r="Q586">
        <f t="shared" si="990"/>
        <v>0</v>
      </c>
      <c r="R586">
        <f t="shared" si="991"/>
        <v>0</v>
      </c>
      <c r="S586">
        <f t="shared" si="992"/>
        <v>0</v>
      </c>
      <c r="T586">
        <f t="shared" si="993"/>
        <v>0</v>
      </c>
    </row>
    <row r="587" spans="1:20" x14ac:dyDescent="0.25">
      <c r="A587" s="5"/>
      <c r="C587"/>
      <c r="D587"/>
      <c r="P587">
        <f t="shared" si="989"/>
        <v>0</v>
      </c>
      <c r="Q587">
        <f t="shared" si="990"/>
        <v>0</v>
      </c>
      <c r="R587">
        <f t="shared" si="991"/>
        <v>0</v>
      </c>
      <c r="S587">
        <f t="shared" si="992"/>
        <v>0</v>
      </c>
      <c r="T587">
        <f t="shared" si="993"/>
        <v>0</v>
      </c>
    </row>
    <row r="588" spans="1:20" x14ac:dyDescent="0.25">
      <c r="A588" s="5"/>
      <c r="C588"/>
      <c r="D588"/>
      <c r="P588">
        <f t="shared" si="989"/>
        <v>0</v>
      </c>
      <c r="Q588">
        <f t="shared" si="990"/>
        <v>0</v>
      </c>
      <c r="R588">
        <f t="shared" si="991"/>
        <v>0</v>
      </c>
      <c r="S588">
        <f t="shared" si="992"/>
        <v>0</v>
      </c>
      <c r="T588">
        <f t="shared" si="993"/>
        <v>0</v>
      </c>
    </row>
    <row r="589" spans="1:20" x14ac:dyDescent="0.25">
      <c r="A589" s="5"/>
      <c r="C589"/>
      <c r="D589"/>
      <c r="P589">
        <f t="shared" si="989"/>
        <v>0</v>
      </c>
      <c r="Q589">
        <f t="shared" si="990"/>
        <v>0</v>
      </c>
      <c r="R589">
        <f t="shared" si="991"/>
        <v>0</v>
      </c>
      <c r="S589">
        <f t="shared" si="992"/>
        <v>0</v>
      </c>
      <c r="T589">
        <f t="shared" si="993"/>
        <v>0</v>
      </c>
    </row>
    <row r="590" spans="1:20" x14ac:dyDescent="0.25">
      <c r="A590" s="5"/>
      <c r="C590"/>
      <c r="D590"/>
      <c r="P590">
        <f t="shared" si="989"/>
        <v>0</v>
      </c>
      <c r="Q590">
        <f t="shared" si="990"/>
        <v>0</v>
      </c>
      <c r="R590">
        <f t="shared" si="991"/>
        <v>0</v>
      </c>
      <c r="S590">
        <f t="shared" si="992"/>
        <v>0</v>
      </c>
      <c r="T590">
        <f t="shared" si="993"/>
        <v>0</v>
      </c>
    </row>
    <row r="591" spans="1:20" x14ac:dyDescent="0.25">
      <c r="A591" s="5"/>
      <c r="C591"/>
      <c r="D591"/>
      <c r="P591">
        <f t="shared" si="989"/>
        <v>0</v>
      </c>
      <c r="Q591">
        <f t="shared" si="990"/>
        <v>0</v>
      </c>
      <c r="R591">
        <f t="shared" si="991"/>
        <v>0</v>
      </c>
      <c r="S591">
        <f t="shared" si="992"/>
        <v>0</v>
      </c>
      <c r="T591">
        <f t="shared" si="993"/>
        <v>0</v>
      </c>
    </row>
    <row r="592" spans="1:20" x14ac:dyDescent="0.25">
      <c r="A592" s="5"/>
      <c r="C592"/>
      <c r="D592"/>
      <c r="P592">
        <f t="shared" si="989"/>
        <v>0</v>
      </c>
      <c r="Q592">
        <f t="shared" si="990"/>
        <v>0</v>
      </c>
      <c r="R592">
        <f t="shared" si="991"/>
        <v>0</v>
      </c>
      <c r="S592">
        <f t="shared" si="992"/>
        <v>0</v>
      </c>
      <c r="T592">
        <f t="shared" si="993"/>
        <v>0</v>
      </c>
    </row>
    <row r="593" spans="1:20" x14ac:dyDescent="0.25">
      <c r="A593" s="5"/>
      <c r="C593"/>
      <c r="D593"/>
      <c r="P593">
        <f t="shared" si="989"/>
        <v>0</v>
      </c>
      <c r="Q593">
        <f t="shared" si="990"/>
        <v>0</v>
      </c>
      <c r="R593">
        <f t="shared" si="991"/>
        <v>0</v>
      </c>
      <c r="S593">
        <f t="shared" si="992"/>
        <v>0</v>
      </c>
      <c r="T593">
        <f t="shared" si="993"/>
        <v>0</v>
      </c>
    </row>
    <row r="594" spans="1:20" x14ac:dyDescent="0.25">
      <c r="A594" s="5"/>
      <c r="C594"/>
      <c r="D594"/>
      <c r="P594">
        <f t="shared" si="989"/>
        <v>0</v>
      </c>
      <c r="Q594">
        <f t="shared" si="990"/>
        <v>0</v>
      </c>
      <c r="R594">
        <f t="shared" si="991"/>
        <v>0</v>
      </c>
      <c r="S594">
        <f t="shared" si="992"/>
        <v>0</v>
      </c>
      <c r="T594">
        <f t="shared" si="993"/>
        <v>0</v>
      </c>
    </row>
    <row r="595" spans="1:20" x14ac:dyDescent="0.25">
      <c r="A595" s="5"/>
      <c r="C595"/>
      <c r="D595"/>
      <c r="P595">
        <f t="shared" si="989"/>
        <v>0</v>
      </c>
      <c r="Q595">
        <f t="shared" si="990"/>
        <v>0</v>
      </c>
      <c r="R595">
        <f t="shared" si="991"/>
        <v>0</v>
      </c>
      <c r="S595">
        <f t="shared" si="992"/>
        <v>0</v>
      </c>
      <c r="T595">
        <f t="shared" si="993"/>
        <v>0</v>
      </c>
    </row>
    <row r="596" spans="1:20" x14ac:dyDescent="0.25">
      <c r="A596" s="5"/>
      <c r="C596"/>
      <c r="D596"/>
      <c r="P596">
        <f t="shared" si="989"/>
        <v>0</v>
      </c>
      <c r="Q596">
        <f t="shared" si="990"/>
        <v>0</v>
      </c>
      <c r="R596">
        <f t="shared" si="991"/>
        <v>0</v>
      </c>
      <c r="S596">
        <f t="shared" si="992"/>
        <v>0</v>
      </c>
      <c r="T596">
        <f t="shared" si="993"/>
        <v>0</v>
      </c>
    </row>
    <row r="597" spans="1:20" x14ac:dyDescent="0.25">
      <c r="A597" s="5"/>
      <c r="C597"/>
      <c r="D597"/>
      <c r="P597">
        <f t="shared" si="989"/>
        <v>0</v>
      </c>
      <c r="Q597">
        <f t="shared" si="990"/>
        <v>0</v>
      </c>
      <c r="R597">
        <f t="shared" si="991"/>
        <v>0</v>
      </c>
      <c r="S597">
        <f t="shared" si="992"/>
        <v>0</v>
      </c>
      <c r="T597">
        <f t="shared" si="993"/>
        <v>0</v>
      </c>
    </row>
    <row r="598" spans="1:20" x14ac:dyDescent="0.25">
      <c r="A598" s="5"/>
      <c r="C598"/>
      <c r="D598"/>
      <c r="P598">
        <f t="shared" si="989"/>
        <v>0</v>
      </c>
      <c r="Q598">
        <f t="shared" si="990"/>
        <v>0</v>
      </c>
      <c r="R598">
        <f t="shared" si="991"/>
        <v>0</v>
      </c>
      <c r="S598">
        <f t="shared" si="992"/>
        <v>0</v>
      </c>
      <c r="T598">
        <f t="shared" si="993"/>
        <v>0</v>
      </c>
    </row>
    <row r="599" spans="1:20" x14ac:dyDescent="0.25">
      <c r="A599" s="5"/>
      <c r="C599"/>
      <c r="D599"/>
      <c r="P599">
        <f t="shared" si="989"/>
        <v>0</v>
      </c>
      <c r="Q599">
        <f t="shared" si="990"/>
        <v>0</v>
      </c>
      <c r="R599">
        <f t="shared" si="991"/>
        <v>0</v>
      </c>
      <c r="S599">
        <f t="shared" si="992"/>
        <v>0</v>
      </c>
      <c r="T599">
        <f t="shared" si="993"/>
        <v>0</v>
      </c>
    </row>
    <row r="600" spans="1:20" x14ac:dyDescent="0.25">
      <c r="A600" s="5"/>
      <c r="C600"/>
      <c r="D600"/>
      <c r="P600">
        <f t="shared" si="989"/>
        <v>0</v>
      </c>
      <c r="Q600">
        <f t="shared" si="990"/>
        <v>0</v>
      </c>
      <c r="R600">
        <f t="shared" si="991"/>
        <v>0</v>
      </c>
      <c r="S600">
        <f t="shared" si="992"/>
        <v>0</v>
      </c>
      <c r="T600">
        <f t="shared" si="993"/>
        <v>0</v>
      </c>
    </row>
    <row r="601" spans="1:20" x14ac:dyDescent="0.25">
      <c r="A601" s="5"/>
      <c r="C601"/>
      <c r="D601"/>
      <c r="P601">
        <f t="shared" si="989"/>
        <v>0</v>
      </c>
      <c r="Q601">
        <f t="shared" si="990"/>
        <v>0</v>
      </c>
      <c r="R601">
        <f t="shared" si="991"/>
        <v>0</v>
      </c>
      <c r="S601">
        <f t="shared" si="992"/>
        <v>0</v>
      </c>
      <c r="T601">
        <f t="shared" si="993"/>
        <v>0</v>
      </c>
    </row>
    <row r="602" spans="1:20" x14ac:dyDescent="0.25">
      <c r="A602" s="5"/>
      <c r="C602"/>
      <c r="D602"/>
      <c r="P602">
        <f t="shared" si="989"/>
        <v>0</v>
      </c>
      <c r="Q602">
        <f t="shared" si="990"/>
        <v>0</v>
      </c>
      <c r="R602">
        <f t="shared" si="991"/>
        <v>0</v>
      </c>
      <c r="S602">
        <f t="shared" si="992"/>
        <v>0</v>
      </c>
      <c r="T602">
        <f t="shared" si="993"/>
        <v>0</v>
      </c>
    </row>
    <row r="603" spans="1:20" x14ac:dyDescent="0.25">
      <c r="A603" s="5"/>
      <c r="C603"/>
      <c r="D603"/>
      <c r="P603">
        <f t="shared" si="989"/>
        <v>0</v>
      </c>
      <c r="Q603">
        <f t="shared" si="990"/>
        <v>0</v>
      </c>
      <c r="R603">
        <f t="shared" si="991"/>
        <v>0</v>
      </c>
      <c r="S603">
        <f t="shared" si="992"/>
        <v>0</v>
      </c>
      <c r="T603">
        <f t="shared" si="993"/>
        <v>0</v>
      </c>
    </row>
    <row r="604" spans="1:20" x14ac:dyDescent="0.25">
      <c r="A604" s="5"/>
      <c r="C604"/>
      <c r="D604"/>
      <c r="P604">
        <f t="shared" si="989"/>
        <v>0</v>
      </c>
      <c r="Q604">
        <f t="shared" si="990"/>
        <v>0</v>
      </c>
      <c r="R604">
        <f t="shared" si="991"/>
        <v>0</v>
      </c>
      <c r="S604">
        <f t="shared" si="992"/>
        <v>0</v>
      </c>
      <c r="T604">
        <f t="shared" si="993"/>
        <v>0</v>
      </c>
    </row>
    <row r="605" spans="1:20" x14ac:dyDescent="0.25">
      <c r="A605" s="5"/>
      <c r="C605"/>
      <c r="D605"/>
      <c r="P605">
        <f t="shared" si="989"/>
        <v>0</v>
      </c>
      <c r="Q605">
        <f t="shared" si="990"/>
        <v>0</v>
      </c>
      <c r="R605">
        <f t="shared" si="991"/>
        <v>0</v>
      </c>
      <c r="S605">
        <f t="shared" si="992"/>
        <v>0</v>
      </c>
      <c r="T605">
        <f t="shared" si="993"/>
        <v>0</v>
      </c>
    </row>
    <row r="606" spans="1:20" x14ac:dyDescent="0.25">
      <c r="A606" s="5"/>
      <c r="C606"/>
      <c r="D606"/>
      <c r="P606">
        <f t="shared" si="989"/>
        <v>0</v>
      </c>
      <c r="Q606">
        <f t="shared" si="990"/>
        <v>0</v>
      </c>
      <c r="R606">
        <f t="shared" si="991"/>
        <v>0</v>
      </c>
      <c r="S606">
        <f t="shared" si="992"/>
        <v>0</v>
      </c>
      <c r="T606">
        <f t="shared" si="993"/>
        <v>0</v>
      </c>
    </row>
    <row r="607" spans="1:20" x14ac:dyDescent="0.25">
      <c r="A607" s="5"/>
      <c r="C607"/>
      <c r="D607"/>
      <c r="P607">
        <f t="shared" si="989"/>
        <v>0</v>
      </c>
      <c r="Q607">
        <f t="shared" si="990"/>
        <v>0</v>
      </c>
      <c r="R607">
        <f t="shared" si="991"/>
        <v>0</v>
      </c>
      <c r="S607">
        <f t="shared" si="992"/>
        <v>0</v>
      </c>
      <c r="T607">
        <f t="shared" si="993"/>
        <v>0</v>
      </c>
    </row>
    <row r="608" spans="1:20" x14ac:dyDescent="0.25">
      <c r="A608" s="5"/>
      <c r="C608"/>
      <c r="D608"/>
      <c r="P608">
        <f t="shared" si="989"/>
        <v>0</v>
      </c>
      <c r="Q608">
        <f t="shared" si="990"/>
        <v>0</v>
      </c>
      <c r="R608">
        <f t="shared" si="991"/>
        <v>0</v>
      </c>
      <c r="S608">
        <f t="shared" si="992"/>
        <v>0</v>
      </c>
      <c r="T608">
        <f t="shared" si="993"/>
        <v>0</v>
      </c>
    </row>
    <row r="609" spans="1:20" x14ac:dyDescent="0.25">
      <c r="A609" s="5"/>
      <c r="C609"/>
      <c r="D609"/>
      <c r="P609">
        <f t="shared" si="989"/>
        <v>0</v>
      </c>
      <c r="Q609">
        <f t="shared" si="990"/>
        <v>0</v>
      </c>
      <c r="R609">
        <f t="shared" si="991"/>
        <v>0</v>
      </c>
      <c r="S609">
        <f t="shared" si="992"/>
        <v>0</v>
      </c>
      <c r="T609">
        <f t="shared" si="993"/>
        <v>0</v>
      </c>
    </row>
    <row r="610" spans="1:20" x14ac:dyDescent="0.25">
      <c r="A610" s="5"/>
      <c r="C610"/>
      <c r="D610"/>
      <c r="P610">
        <f t="shared" si="989"/>
        <v>0</v>
      </c>
      <c r="Q610">
        <f t="shared" si="990"/>
        <v>0</v>
      </c>
      <c r="R610">
        <f t="shared" si="991"/>
        <v>0</v>
      </c>
      <c r="S610">
        <f t="shared" si="992"/>
        <v>0</v>
      </c>
      <c r="T610">
        <f t="shared" si="993"/>
        <v>0</v>
      </c>
    </row>
    <row r="611" spans="1:20" x14ac:dyDescent="0.25">
      <c r="A611" s="5"/>
      <c r="C611"/>
      <c r="D611"/>
      <c r="P611">
        <f t="shared" si="989"/>
        <v>0</v>
      </c>
      <c r="Q611">
        <f t="shared" si="990"/>
        <v>0</v>
      </c>
      <c r="R611">
        <f t="shared" si="991"/>
        <v>0</v>
      </c>
      <c r="S611">
        <f t="shared" si="992"/>
        <v>0</v>
      </c>
      <c r="T611">
        <f t="shared" si="993"/>
        <v>0</v>
      </c>
    </row>
    <row r="612" spans="1:20" x14ac:dyDescent="0.25">
      <c r="A612" s="5"/>
      <c r="C612"/>
      <c r="D612"/>
      <c r="P612">
        <f t="shared" si="989"/>
        <v>0</v>
      </c>
      <c r="Q612">
        <f t="shared" si="990"/>
        <v>0</v>
      </c>
      <c r="R612">
        <f t="shared" si="991"/>
        <v>0</v>
      </c>
      <c r="S612">
        <f t="shared" si="992"/>
        <v>0</v>
      </c>
      <c r="T612">
        <f t="shared" si="993"/>
        <v>0</v>
      </c>
    </row>
    <row r="613" spans="1:20" x14ac:dyDescent="0.25">
      <c r="A613" s="5"/>
      <c r="C613"/>
      <c r="D613"/>
      <c r="P613">
        <f t="shared" si="989"/>
        <v>0</v>
      </c>
      <c r="Q613">
        <f t="shared" si="990"/>
        <v>0</v>
      </c>
      <c r="R613">
        <f t="shared" si="991"/>
        <v>0</v>
      </c>
      <c r="S613">
        <f t="shared" si="992"/>
        <v>0</v>
      </c>
      <c r="T613">
        <f t="shared" si="993"/>
        <v>0</v>
      </c>
    </row>
    <row r="614" spans="1:20" x14ac:dyDescent="0.25">
      <c r="A614" s="5"/>
      <c r="C614"/>
      <c r="D614"/>
      <c r="P614">
        <f t="shared" si="989"/>
        <v>0</v>
      </c>
      <c r="Q614">
        <f t="shared" si="990"/>
        <v>0</v>
      </c>
      <c r="R614">
        <f t="shared" si="991"/>
        <v>0</v>
      </c>
      <c r="S614">
        <f t="shared" si="992"/>
        <v>0</v>
      </c>
      <c r="T614">
        <f t="shared" si="993"/>
        <v>0</v>
      </c>
    </row>
    <row r="615" spans="1:20" x14ac:dyDescent="0.25">
      <c r="A615" s="5"/>
      <c r="C615"/>
      <c r="D615"/>
      <c r="P615">
        <f t="shared" si="989"/>
        <v>0</v>
      </c>
      <c r="Q615">
        <f t="shared" si="990"/>
        <v>0</v>
      </c>
      <c r="R615">
        <f t="shared" si="991"/>
        <v>0</v>
      </c>
      <c r="S615">
        <f t="shared" si="992"/>
        <v>0</v>
      </c>
      <c r="T615">
        <f t="shared" si="993"/>
        <v>0</v>
      </c>
    </row>
    <row r="616" spans="1:20" x14ac:dyDescent="0.25">
      <c r="A616" s="5"/>
      <c r="C616"/>
      <c r="D616"/>
      <c r="P616">
        <f t="shared" si="989"/>
        <v>0</v>
      </c>
      <c r="Q616">
        <f t="shared" si="990"/>
        <v>0</v>
      </c>
      <c r="R616">
        <f t="shared" si="991"/>
        <v>0</v>
      </c>
      <c r="S616">
        <f t="shared" si="992"/>
        <v>0</v>
      </c>
      <c r="T616">
        <f t="shared" si="993"/>
        <v>0</v>
      </c>
    </row>
    <row r="617" spans="1:20" x14ac:dyDescent="0.25">
      <c r="A617" s="5"/>
      <c r="C617"/>
      <c r="D617"/>
      <c r="P617">
        <f t="shared" si="989"/>
        <v>0</v>
      </c>
      <c r="Q617">
        <f t="shared" si="990"/>
        <v>0</v>
      </c>
      <c r="R617">
        <f t="shared" si="991"/>
        <v>0</v>
      </c>
      <c r="S617">
        <f t="shared" si="992"/>
        <v>0</v>
      </c>
      <c r="T617">
        <f t="shared" si="993"/>
        <v>0</v>
      </c>
    </row>
    <row r="618" spans="1:20" x14ac:dyDescent="0.25">
      <c r="A618" s="5"/>
      <c r="C618"/>
      <c r="D618"/>
      <c r="P618">
        <f t="shared" si="989"/>
        <v>0</v>
      </c>
      <c r="Q618">
        <f t="shared" si="990"/>
        <v>0</v>
      </c>
      <c r="R618">
        <f t="shared" si="991"/>
        <v>0</v>
      </c>
      <c r="S618">
        <f t="shared" si="992"/>
        <v>0</v>
      </c>
      <c r="T618">
        <f t="shared" si="993"/>
        <v>0</v>
      </c>
    </row>
    <row r="619" spans="1:20" x14ac:dyDescent="0.25">
      <c r="A619" s="5"/>
      <c r="C619"/>
      <c r="D619"/>
      <c r="P619">
        <f t="shared" si="989"/>
        <v>0</v>
      </c>
      <c r="Q619">
        <f t="shared" si="990"/>
        <v>0</v>
      </c>
      <c r="R619">
        <f t="shared" si="991"/>
        <v>0</v>
      </c>
      <c r="S619">
        <f t="shared" si="992"/>
        <v>0</v>
      </c>
      <c r="T619">
        <f t="shared" si="993"/>
        <v>0</v>
      </c>
    </row>
    <row r="620" spans="1:20" x14ac:dyDescent="0.25">
      <c r="A620" s="5"/>
      <c r="C620"/>
      <c r="D620"/>
      <c r="P620">
        <f t="shared" si="989"/>
        <v>0</v>
      </c>
      <c r="Q620">
        <f t="shared" si="990"/>
        <v>0</v>
      </c>
      <c r="R620">
        <f t="shared" si="991"/>
        <v>0</v>
      </c>
      <c r="S620">
        <f t="shared" si="992"/>
        <v>0</v>
      </c>
      <c r="T620">
        <f t="shared" si="993"/>
        <v>0</v>
      </c>
    </row>
    <row r="621" spans="1:20" x14ac:dyDescent="0.25">
      <c r="A621" s="5"/>
      <c r="C621"/>
      <c r="D621"/>
      <c r="P621">
        <f t="shared" si="989"/>
        <v>0</v>
      </c>
      <c r="Q621">
        <f t="shared" si="990"/>
        <v>0</v>
      </c>
      <c r="R621">
        <f t="shared" si="991"/>
        <v>0</v>
      </c>
      <c r="S621">
        <f t="shared" si="992"/>
        <v>0</v>
      </c>
      <c r="T621">
        <f t="shared" si="993"/>
        <v>0</v>
      </c>
    </row>
    <row r="622" spans="1:20" x14ac:dyDescent="0.25">
      <c r="A622" s="5"/>
      <c r="C622"/>
      <c r="D622"/>
      <c r="P622">
        <f t="shared" si="989"/>
        <v>0</v>
      </c>
      <c r="Q622">
        <f t="shared" si="990"/>
        <v>0</v>
      </c>
      <c r="R622">
        <f t="shared" si="991"/>
        <v>0</v>
      </c>
      <c r="S622">
        <f t="shared" si="992"/>
        <v>0</v>
      </c>
      <c r="T622">
        <f t="shared" si="993"/>
        <v>0</v>
      </c>
    </row>
    <row r="623" spans="1:20" x14ac:dyDescent="0.25">
      <c r="A623" s="5"/>
      <c r="C623"/>
      <c r="D623"/>
      <c r="P623">
        <f t="shared" si="989"/>
        <v>0</v>
      </c>
      <c r="Q623">
        <f t="shared" si="990"/>
        <v>0</v>
      </c>
      <c r="R623">
        <f t="shared" si="991"/>
        <v>0</v>
      </c>
      <c r="S623">
        <f t="shared" si="992"/>
        <v>0</v>
      </c>
      <c r="T623">
        <f t="shared" si="993"/>
        <v>0</v>
      </c>
    </row>
    <row r="624" spans="1:20" x14ac:dyDescent="0.25">
      <c r="A624" s="5"/>
      <c r="C624"/>
      <c r="D624"/>
      <c r="P624">
        <f t="shared" si="989"/>
        <v>0</v>
      </c>
      <c r="Q624">
        <f t="shared" si="990"/>
        <v>0</v>
      </c>
      <c r="R624">
        <f t="shared" si="991"/>
        <v>0</v>
      </c>
      <c r="S624">
        <f t="shared" si="992"/>
        <v>0</v>
      </c>
      <c r="T624">
        <f t="shared" si="993"/>
        <v>0</v>
      </c>
    </row>
    <row r="625" spans="1:20" x14ac:dyDescent="0.25">
      <c r="A625" s="5"/>
      <c r="C625"/>
      <c r="D625"/>
      <c r="P625">
        <f t="shared" si="989"/>
        <v>0</v>
      </c>
      <c r="Q625">
        <f t="shared" si="990"/>
        <v>0</v>
      </c>
      <c r="R625">
        <f t="shared" si="991"/>
        <v>0</v>
      </c>
      <c r="S625">
        <f t="shared" si="992"/>
        <v>0</v>
      </c>
      <c r="T625">
        <f t="shared" si="993"/>
        <v>0</v>
      </c>
    </row>
    <row r="626" spans="1:20" x14ac:dyDescent="0.25">
      <c r="A626" s="5"/>
      <c r="C626"/>
      <c r="D626"/>
      <c r="P626">
        <f t="shared" si="989"/>
        <v>0</v>
      </c>
      <c r="Q626">
        <f t="shared" si="990"/>
        <v>0</v>
      </c>
      <c r="R626">
        <f t="shared" si="991"/>
        <v>0</v>
      </c>
      <c r="S626">
        <f t="shared" si="992"/>
        <v>0</v>
      </c>
      <c r="T626">
        <f t="shared" si="993"/>
        <v>0</v>
      </c>
    </row>
    <row r="627" spans="1:20" x14ac:dyDescent="0.25">
      <c r="A627" s="5"/>
      <c r="C627"/>
      <c r="D627"/>
      <c r="P627">
        <f t="shared" si="989"/>
        <v>0</v>
      </c>
      <c r="Q627">
        <f t="shared" si="990"/>
        <v>0</v>
      </c>
      <c r="R627">
        <f t="shared" si="991"/>
        <v>0</v>
      </c>
      <c r="S627">
        <f t="shared" si="992"/>
        <v>0</v>
      </c>
      <c r="T627">
        <f t="shared" si="993"/>
        <v>0</v>
      </c>
    </row>
    <row r="628" spans="1:20" x14ac:dyDescent="0.25">
      <c r="A628" s="5"/>
      <c r="C628"/>
      <c r="D628"/>
      <c r="P628">
        <f t="shared" si="989"/>
        <v>0</v>
      </c>
      <c r="Q628">
        <f t="shared" si="990"/>
        <v>0</v>
      </c>
      <c r="R628">
        <f t="shared" si="991"/>
        <v>0</v>
      </c>
      <c r="S628">
        <f t="shared" si="992"/>
        <v>0</v>
      </c>
      <c r="T628">
        <f t="shared" si="993"/>
        <v>0</v>
      </c>
    </row>
    <row r="629" spans="1:20" x14ac:dyDescent="0.25">
      <c r="A629" s="5"/>
      <c r="C629"/>
      <c r="D629"/>
      <c r="P629">
        <f t="shared" si="989"/>
        <v>0</v>
      </c>
      <c r="Q629">
        <f t="shared" si="990"/>
        <v>0</v>
      </c>
      <c r="R629">
        <f t="shared" si="991"/>
        <v>0</v>
      </c>
      <c r="S629">
        <f t="shared" si="992"/>
        <v>0</v>
      </c>
      <c r="T629">
        <f t="shared" si="993"/>
        <v>0</v>
      </c>
    </row>
    <row r="630" spans="1:20" x14ac:dyDescent="0.25">
      <c r="A630" s="5"/>
      <c r="C630"/>
      <c r="D630"/>
      <c r="P630">
        <f t="shared" si="989"/>
        <v>0</v>
      </c>
      <c r="Q630">
        <f t="shared" si="990"/>
        <v>0</v>
      </c>
      <c r="R630">
        <f t="shared" si="991"/>
        <v>0</v>
      </c>
      <c r="S630">
        <f t="shared" si="992"/>
        <v>0</v>
      </c>
      <c r="T630">
        <f t="shared" si="993"/>
        <v>0</v>
      </c>
    </row>
    <row r="631" spans="1:20" x14ac:dyDescent="0.25">
      <c r="A631" s="5"/>
      <c r="C631"/>
      <c r="D631"/>
      <c r="P631">
        <f t="shared" si="989"/>
        <v>0</v>
      </c>
      <c r="Q631">
        <f t="shared" si="990"/>
        <v>0</v>
      </c>
      <c r="R631">
        <f t="shared" si="991"/>
        <v>0</v>
      </c>
      <c r="S631">
        <f t="shared" si="992"/>
        <v>0</v>
      </c>
      <c r="T631">
        <f t="shared" si="993"/>
        <v>0</v>
      </c>
    </row>
    <row r="632" spans="1:20" x14ac:dyDescent="0.25">
      <c r="A632" s="5"/>
      <c r="C632"/>
      <c r="D632"/>
      <c r="P632">
        <f t="shared" si="989"/>
        <v>0</v>
      </c>
      <c r="Q632">
        <f t="shared" si="990"/>
        <v>0</v>
      </c>
      <c r="R632">
        <f t="shared" si="991"/>
        <v>0</v>
      </c>
      <c r="S632">
        <f t="shared" si="992"/>
        <v>0</v>
      </c>
      <c r="T632">
        <f t="shared" si="993"/>
        <v>0</v>
      </c>
    </row>
    <row r="633" spans="1:20" x14ac:dyDescent="0.25">
      <c r="A633" s="5"/>
      <c r="C633"/>
      <c r="D633"/>
      <c r="P633">
        <f t="shared" si="989"/>
        <v>0</v>
      </c>
      <c r="Q633">
        <f t="shared" si="990"/>
        <v>0</v>
      </c>
      <c r="R633">
        <f t="shared" si="991"/>
        <v>0</v>
      </c>
      <c r="S633">
        <f t="shared" si="992"/>
        <v>0</v>
      </c>
      <c r="T633">
        <f t="shared" si="993"/>
        <v>0</v>
      </c>
    </row>
    <row r="634" spans="1:20" x14ac:dyDescent="0.25">
      <c r="A634" s="5"/>
      <c r="C634"/>
      <c r="D634"/>
      <c r="P634">
        <f t="shared" si="989"/>
        <v>0</v>
      </c>
      <c r="Q634">
        <f t="shared" si="990"/>
        <v>0</v>
      </c>
      <c r="R634">
        <f t="shared" si="991"/>
        <v>0</v>
      </c>
      <c r="S634">
        <f t="shared" si="992"/>
        <v>0</v>
      </c>
      <c r="T634">
        <f t="shared" si="993"/>
        <v>0</v>
      </c>
    </row>
    <row r="635" spans="1:20" x14ac:dyDescent="0.25">
      <c r="A635" s="5"/>
      <c r="C635"/>
      <c r="D635"/>
      <c r="P635">
        <f t="shared" si="989"/>
        <v>0</v>
      </c>
      <c r="Q635">
        <f t="shared" si="990"/>
        <v>0</v>
      </c>
      <c r="R635">
        <f t="shared" si="991"/>
        <v>0</v>
      </c>
      <c r="S635">
        <f t="shared" si="992"/>
        <v>0</v>
      </c>
      <c r="T635">
        <f t="shared" si="993"/>
        <v>0</v>
      </c>
    </row>
    <row r="636" spans="1:20" x14ac:dyDescent="0.25">
      <c r="A636" s="5"/>
      <c r="C636"/>
      <c r="D636"/>
      <c r="P636">
        <f t="shared" si="989"/>
        <v>0</v>
      </c>
      <c r="Q636">
        <f t="shared" si="990"/>
        <v>0</v>
      </c>
      <c r="R636">
        <f t="shared" si="991"/>
        <v>0</v>
      </c>
      <c r="S636">
        <f t="shared" si="992"/>
        <v>0</v>
      </c>
      <c r="T636">
        <f t="shared" si="993"/>
        <v>0</v>
      </c>
    </row>
    <row r="637" spans="1:20" x14ac:dyDescent="0.25">
      <c r="A637" s="5"/>
      <c r="C637"/>
      <c r="D637"/>
      <c r="P637">
        <f t="shared" si="989"/>
        <v>0</v>
      </c>
      <c r="Q637">
        <f t="shared" si="990"/>
        <v>0</v>
      </c>
      <c r="R637">
        <f t="shared" si="991"/>
        <v>0</v>
      </c>
      <c r="S637">
        <f t="shared" si="992"/>
        <v>0</v>
      </c>
      <c r="T637">
        <f t="shared" si="993"/>
        <v>0</v>
      </c>
    </row>
    <row r="638" spans="1:20" x14ac:dyDescent="0.25">
      <c r="A638" s="5"/>
      <c r="C638"/>
      <c r="D638"/>
      <c r="P638">
        <f t="shared" si="989"/>
        <v>0</v>
      </c>
      <c r="Q638">
        <f t="shared" si="990"/>
        <v>0</v>
      </c>
      <c r="R638">
        <f t="shared" si="991"/>
        <v>0</v>
      </c>
      <c r="S638">
        <f t="shared" si="992"/>
        <v>0</v>
      </c>
      <c r="T638">
        <f t="shared" si="993"/>
        <v>0</v>
      </c>
    </row>
    <row r="639" spans="1:20" x14ac:dyDescent="0.25">
      <c r="A639" s="5"/>
      <c r="C639"/>
      <c r="D639"/>
      <c r="P639">
        <f t="shared" si="989"/>
        <v>0</v>
      </c>
      <c r="Q639">
        <f t="shared" si="990"/>
        <v>0</v>
      </c>
      <c r="R639">
        <f t="shared" si="991"/>
        <v>0</v>
      </c>
      <c r="S639">
        <f t="shared" si="992"/>
        <v>0</v>
      </c>
      <c r="T639">
        <f t="shared" si="993"/>
        <v>0</v>
      </c>
    </row>
    <row r="640" spans="1:20" x14ac:dyDescent="0.25">
      <c r="A640" s="5"/>
      <c r="C640"/>
      <c r="D640"/>
      <c r="P640">
        <f t="shared" si="989"/>
        <v>0</v>
      </c>
      <c r="Q640">
        <f t="shared" si="990"/>
        <v>0</v>
      </c>
      <c r="R640">
        <f t="shared" si="991"/>
        <v>0</v>
      </c>
      <c r="S640">
        <f t="shared" si="992"/>
        <v>0</v>
      </c>
      <c r="T640">
        <f t="shared" si="993"/>
        <v>0</v>
      </c>
    </row>
    <row r="641" spans="1:20" x14ac:dyDescent="0.25">
      <c r="A641" s="5"/>
      <c r="C641"/>
      <c r="D641"/>
      <c r="P641">
        <f t="shared" si="989"/>
        <v>0</v>
      </c>
      <c r="Q641">
        <f t="shared" si="990"/>
        <v>0</v>
      </c>
      <c r="R641">
        <f t="shared" si="991"/>
        <v>0</v>
      </c>
      <c r="S641">
        <f t="shared" si="992"/>
        <v>0</v>
      </c>
      <c r="T641">
        <f t="shared" si="993"/>
        <v>0</v>
      </c>
    </row>
    <row r="642" spans="1:20" x14ac:dyDescent="0.25">
      <c r="A642" s="5"/>
      <c r="C642"/>
      <c r="D642"/>
      <c r="P642">
        <f t="shared" si="989"/>
        <v>0</v>
      </c>
      <c r="Q642">
        <f t="shared" si="990"/>
        <v>0</v>
      </c>
      <c r="R642">
        <f t="shared" si="991"/>
        <v>0</v>
      </c>
      <c r="S642">
        <f t="shared" si="992"/>
        <v>0</v>
      </c>
      <c r="T642">
        <f t="shared" si="993"/>
        <v>0</v>
      </c>
    </row>
    <row r="643" spans="1:20" x14ac:dyDescent="0.25">
      <c r="A643" s="5"/>
      <c r="C643"/>
      <c r="D643"/>
      <c r="P643">
        <f t="shared" si="989"/>
        <v>0</v>
      </c>
      <c r="Q643">
        <f t="shared" si="990"/>
        <v>0</v>
      </c>
      <c r="R643">
        <f t="shared" si="991"/>
        <v>0</v>
      </c>
      <c r="S643">
        <f t="shared" si="992"/>
        <v>0</v>
      </c>
      <c r="T643">
        <f t="shared" si="993"/>
        <v>0</v>
      </c>
    </row>
    <row r="644" spans="1:20" x14ac:dyDescent="0.25">
      <c r="A644" s="5"/>
      <c r="C644"/>
      <c r="D644"/>
      <c r="P644">
        <f t="shared" si="989"/>
        <v>0</v>
      </c>
      <c r="Q644">
        <f t="shared" si="990"/>
        <v>0</v>
      </c>
      <c r="R644">
        <f t="shared" si="991"/>
        <v>0</v>
      </c>
      <c r="S644">
        <f t="shared" si="992"/>
        <v>0</v>
      </c>
      <c r="T644">
        <f t="shared" si="993"/>
        <v>0</v>
      </c>
    </row>
    <row r="645" spans="1:20" x14ac:dyDescent="0.25">
      <c r="A645" s="5"/>
      <c r="C645"/>
      <c r="D645"/>
      <c r="P645">
        <f t="shared" si="989"/>
        <v>0</v>
      </c>
      <c r="Q645">
        <f t="shared" si="990"/>
        <v>0</v>
      </c>
      <c r="R645">
        <f t="shared" si="991"/>
        <v>0</v>
      </c>
      <c r="S645">
        <f t="shared" si="992"/>
        <v>0</v>
      </c>
      <c r="T645">
        <f t="shared" si="993"/>
        <v>0</v>
      </c>
    </row>
    <row r="646" spans="1:20" x14ac:dyDescent="0.25">
      <c r="A646" s="5"/>
      <c r="C646"/>
      <c r="D646"/>
      <c r="P646">
        <f t="shared" ref="P646:P709" si="994">IF(C646=D646,0,((E646-D646)-(C646-E646))/(C646-D646))</f>
        <v>0</v>
      </c>
      <c r="Q646">
        <f t="shared" ref="Q646:Q709" si="995">F646*P646</f>
        <v>0</v>
      </c>
      <c r="R646">
        <f t="shared" ref="R646:R709" si="996">R647+Q646</f>
        <v>0</v>
      </c>
      <c r="S646">
        <f t="shared" ref="S646:S709" si="997">R646/100000</f>
        <v>0</v>
      </c>
      <c r="T646">
        <f t="shared" ref="T646:T709" si="998">S646/1000</f>
        <v>0</v>
      </c>
    </row>
    <row r="647" spans="1:20" x14ac:dyDescent="0.25">
      <c r="A647" s="5"/>
      <c r="C647"/>
      <c r="D647"/>
      <c r="P647">
        <f t="shared" si="994"/>
        <v>0</v>
      </c>
      <c r="Q647">
        <f t="shared" si="995"/>
        <v>0</v>
      </c>
      <c r="R647">
        <f t="shared" si="996"/>
        <v>0</v>
      </c>
      <c r="S647">
        <f t="shared" si="997"/>
        <v>0</v>
      </c>
      <c r="T647">
        <f t="shared" si="998"/>
        <v>0</v>
      </c>
    </row>
    <row r="648" spans="1:20" x14ac:dyDescent="0.25">
      <c r="A648" s="5"/>
      <c r="C648"/>
      <c r="D648"/>
      <c r="P648">
        <f t="shared" si="994"/>
        <v>0</v>
      </c>
      <c r="Q648">
        <f t="shared" si="995"/>
        <v>0</v>
      </c>
      <c r="R648">
        <f t="shared" si="996"/>
        <v>0</v>
      </c>
      <c r="S648">
        <f t="shared" si="997"/>
        <v>0</v>
      </c>
      <c r="T648">
        <f t="shared" si="998"/>
        <v>0</v>
      </c>
    </row>
    <row r="649" spans="1:20" x14ac:dyDescent="0.25">
      <c r="A649" s="5"/>
      <c r="C649"/>
      <c r="D649"/>
      <c r="P649">
        <f t="shared" si="994"/>
        <v>0</v>
      </c>
      <c r="Q649">
        <f t="shared" si="995"/>
        <v>0</v>
      </c>
      <c r="R649">
        <f t="shared" si="996"/>
        <v>0</v>
      </c>
      <c r="S649">
        <f t="shared" si="997"/>
        <v>0</v>
      </c>
      <c r="T649">
        <f t="shared" si="998"/>
        <v>0</v>
      </c>
    </row>
    <row r="650" spans="1:20" x14ac:dyDescent="0.25">
      <c r="A650" s="5"/>
      <c r="C650"/>
      <c r="D650"/>
      <c r="P650">
        <f t="shared" si="994"/>
        <v>0</v>
      </c>
      <c r="Q650">
        <f t="shared" si="995"/>
        <v>0</v>
      </c>
      <c r="R650">
        <f t="shared" si="996"/>
        <v>0</v>
      </c>
      <c r="S650">
        <f t="shared" si="997"/>
        <v>0</v>
      </c>
      <c r="T650">
        <f t="shared" si="998"/>
        <v>0</v>
      </c>
    </row>
    <row r="651" spans="1:20" x14ac:dyDescent="0.25">
      <c r="A651" s="5"/>
      <c r="C651"/>
      <c r="D651"/>
      <c r="P651">
        <f t="shared" si="994"/>
        <v>0</v>
      </c>
      <c r="Q651">
        <f t="shared" si="995"/>
        <v>0</v>
      </c>
      <c r="R651">
        <f t="shared" si="996"/>
        <v>0</v>
      </c>
      <c r="S651">
        <f t="shared" si="997"/>
        <v>0</v>
      </c>
      <c r="T651">
        <f t="shared" si="998"/>
        <v>0</v>
      </c>
    </row>
    <row r="652" spans="1:20" x14ac:dyDescent="0.25">
      <c r="A652" s="5"/>
      <c r="C652"/>
      <c r="D652"/>
      <c r="P652">
        <f t="shared" si="994"/>
        <v>0</v>
      </c>
      <c r="Q652">
        <f t="shared" si="995"/>
        <v>0</v>
      </c>
      <c r="R652">
        <f t="shared" si="996"/>
        <v>0</v>
      </c>
      <c r="S652">
        <f t="shared" si="997"/>
        <v>0</v>
      </c>
      <c r="T652">
        <f t="shared" si="998"/>
        <v>0</v>
      </c>
    </row>
    <row r="653" spans="1:20" x14ac:dyDescent="0.25">
      <c r="A653" s="5"/>
      <c r="C653"/>
      <c r="D653"/>
      <c r="P653">
        <f t="shared" si="994"/>
        <v>0</v>
      </c>
      <c r="Q653">
        <f t="shared" si="995"/>
        <v>0</v>
      </c>
      <c r="R653">
        <f t="shared" si="996"/>
        <v>0</v>
      </c>
      <c r="S653">
        <f t="shared" si="997"/>
        <v>0</v>
      </c>
      <c r="T653">
        <f t="shared" si="998"/>
        <v>0</v>
      </c>
    </row>
    <row r="654" spans="1:20" x14ac:dyDescent="0.25">
      <c r="A654" s="5"/>
      <c r="C654"/>
      <c r="D654"/>
      <c r="P654">
        <f t="shared" si="994"/>
        <v>0</v>
      </c>
      <c r="Q654">
        <f t="shared" si="995"/>
        <v>0</v>
      </c>
      <c r="R654">
        <f t="shared" si="996"/>
        <v>0</v>
      </c>
      <c r="S654">
        <f t="shared" si="997"/>
        <v>0</v>
      </c>
      <c r="T654">
        <f t="shared" si="998"/>
        <v>0</v>
      </c>
    </row>
    <row r="655" spans="1:20" x14ac:dyDescent="0.25">
      <c r="A655" s="5"/>
      <c r="C655"/>
      <c r="D655"/>
      <c r="P655">
        <f t="shared" si="994"/>
        <v>0</v>
      </c>
      <c r="Q655">
        <f t="shared" si="995"/>
        <v>0</v>
      </c>
      <c r="R655">
        <f t="shared" si="996"/>
        <v>0</v>
      </c>
      <c r="S655">
        <f t="shared" si="997"/>
        <v>0</v>
      </c>
      <c r="T655">
        <f t="shared" si="998"/>
        <v>0</v>
      </c>
    </row>
    <row r="656" spans="1:20" x14ac:dyDescent="0.25">
      <c r="A656" s="5"/>
      <c r="C656"/>
      <c r="D656"/>
      <c r="P656">
        <f t="shared" si="994"/>
        <v>0</v>
      </c>
      <c r="Q656">
        <f t="shared" si="995"/>
        <v>0</v>
      </c>
      <c r="R656">
        <f t="shared" si="996"/>
        <v>0</v>
      </c>
      <c r="S656">
        <f t="shared" si="997"/>
        <v>0</v>
      </c>
      <c r="T656">
        <f t="shared" si="998"/>
        <v>0</v>
      </c>
    </row>
    <row r="657" spans="1:20" x14ac:dyDescent="0.25">
      <c r="A657" s="5"/>
      <c r="C657"/>
      <c r="D657"/>
      <c r="P657">
        <f t="shared" si="994"/>
        <v>0</v>
      </c>
      <c r="Q657">
        <f t="shared" si="995"/>
        <v>0</v>
      </c>
      <c r="R657">
        <f t="shared" si="996"/>
        <v>0</v>
      </c>
      <c r="S657">
        <f t="shared" si="997"/>
        <v>0</v>
      </c>
      <c r="T657">
        <f t="shared" si="998"/>
        <v>0</v>
      </c>
    </row>
    <row r="658" spans="1:20" x14ac:dyDescent="0.25">
      <c r="A658" s="5"/>
      <c r="C658"/>
      <c r="D658"/>
      <c r="P658">
        <f t="shared" si="994"/>
        <v>0</v>
      </c>
      <c r="Q658">
        <f t="shared" si="995"/>
        <v>0</v>
      </c>
      <c r="R658">
        <f t="shared" si="996"/>
        <v>0</v>
      </c>
      <c r="S658">
        <f t="shared" si="997"/>
        <v>0</v>
      </c>
      <c r="T658">
        <f t="shared" si="998"/>
        <v>0</v>
      </c>
    </row>
    <row r="659" spans="1:20" x14ac:dyDescent="0.25">
      <c r="A659" s="5"/>
      <c r="C659"/>
      <c r="D659"/>
      <c r="P659">
        <f t="shared" si="994"/>
        <v>0</v>
      </c>
      <c r="Q659">
        <f t="shared" si="995"/>
        <v>0</v>
      </c>
      <c r="R659">
        <f t="shared" si="996"/>
        <v>0</v>
      </c>
      <c r="S659">
        <f t="shared" si="997"/>
        <v>0</v>
      </c>
      <c r="T659">
        <f t="shared" si="998"/>
        <v>0</v>
      </c>
    </row>
    <row r="660" spans="1:20" x14ac:dyDescent="0.25">
      <c r="A660" s="5"/>
      <c r="C660"/>
      <c r="D660"/>
      <c r="P660">
        <f t="shared" si="994"/>
        <v>0</v>
      </c>
      <c r="Q660">
        <f t="shared" si="995"/>
        <v>0</v>
      </c>
      <c r="R660">
        <f t="shared" si="996"/>
        <v>0</v>
      </c>
      <c r="S660">
        <f t="shared" si="997"/>
        <v>0</v>
      </c>
      <c r="T660">
        <f t="shared" si="998"/>
        <v>0</v>
      </c>
    </row>
    <row r="661" spans="1:20" x14ac:dyDescent="0.25">
      <c r="A661" s="5"/>
      <c r="P661">
        <f t="shared" si="994"/>
        <v>0</v>
      </c>
      <c r="Q661">
        <f t="shared" si="995"/>
        <v>0</v>
      </c>
      <c r="R661">
        <f t="shared" si="996"/>
        <v>0</v>
      </c>
      <c r="S661">
        <f t="shared" si="997"/>
        <v>0</v>
      </c>
      <c r="T661">
        <f t="shared" si="998"/>
        <v>0</v>
      </c>
    </row>
    <row r="662" spans="1:20" x14ac:dyDescent="0.25">
      <c r="A662" s="5"/>
      <c r="P662">
        <f t="shared" si="994"/>
        <v>0</v>
      </c>
      <c r="Q662">
        <f t="shared" si="995"/>
        <v>0</v>
      </c>
      <c r="R662">
        <f t="shared" si="996"/>
        <v>0</v>
      </c>
      <c r="S662">
        <f t="shared" si="997"/>
        <v>0</v>
      </c>
      <c r="T662">
        <f t="shared" si="998"/>
        <v>0</v>
      </c>
    </row>
    <row r="663" spans="1:20" x14ac:dyDescent="0.25">
      <c r="A663" s="5"/>
      <c r="P663">
        <f t="shared" si="994"/>
        <v>0</v>
      </c>
      <c r="Q663">
        <f t="shared" si="995"/>
        <v>0</v>
      </c>
      <c r="R663">
        <f t="shared" si="996"/>
        <v>0</v>
      </c>
      <c r="S663">
        <f t="shared" si="997"/>
        <v>0</v>
      </c>
      <c r="T663">
        <f t="shared" si="998"/>
        <v>0</v>
      </c>
    </row>
    <row r="664" spans="1:20" x14ac:dyDescent="0.25">
      <c r="A664" s="5"/>
      <c r="C664" s="4"/>
      <c r="D664" s="4"/>
      <c r="P664">
        <f t="shared" si="994"/>
        <v>0</v>
      </c>
      <c r="Q664">
        <f t="shared" si="995"/>
        <v>0</v>
      </c>
      <c r="R664">
        <f t="shared" si="996"/>
        <v>0</v>
      </c>
      <c r="S664">
        <f t="shared" si="997"/>
        <v>0</v>
      </c>
      <c r="T664">
        <f t="shared" si="998"/>
        <v>0</v>
      </c>
    </row>
    <row r="665" spans="1:20" x14ac:dyDescent="0.25">
      <c r="A665" s="5"/>
      <c r="C665" s="4"/>
      <c r="D665" s="4"/>
      <c r="P665">
        <f t="shared" si="994"/>
        <v>0</v>
      </c>
      <c r="Q665">
        <f t="shared" si="995"/>
        <v>0</v>
      </c>
      <c r="R665">
        <f t="shared" si="996"/>
        <v>0</v>
      </c>
      <c r="S665">
        <f t="shared" si="997"/>
        <v>0</v>
      </c>
      <c r="T665">
        <f t="shared" si="998"/>
        <v>0</v>
      </c>
    </row>
    <row r="666" spans="1:20" x14ac:dyDescent="0.25">
      <c r="A666" s="5"/>
      <c r="C666" s="4"/>
      <c r="D666" s="4"/>
      <c r="P666">
        <f t="shared" si="994"/>
        <v>0</v>
      </c>
      <c r="Q666">
        <f t="shared" si="995"/>
        <v>0</v>
      </c>
      <c r="R666">
        <f t="shared" si="996"/>
        <v>0</v>
      </c>
      <c r="S666">
        <f t="shared" si="997"/>
        <v>0</v>
      </c>
      <c r="T666">
        <f t="shared" si="998"/>
        <v>0</v>
      </c>
    </row>
    <row r="667" spans="1:20" x14ac:dyDescent="0.25">
      <c r="A667" s="5"/>
      <c r="C667" s="4"/>
      <c r="D667" s="4"/>
      <c r="P667">
        <f t="shared" si="994"/>
        <v>0</v>
      </c>
      <c r="Q667">
        <f t="shared" si="995"/>
        <v>0</v>
      </c>
      <c r="R667">
        <f t="shared" si="996"/>
        <v>0</v>
      </c>
      <c r="S667">
        <f t="shared" si="997"/>
        <v>0</v>
      </c>
      <c r="T667">
        <f t="shared" si="998"/>
        <v>0</v>
      </c>
    </row>
    <row r="668" spans="1:20" x14ac:dyDescent="0.25">
      <c r="A668" s="5"/>
      <c r="C668" s="4"/>
      <c r="D668" s="4"/>
      <c r="P668">
        <f t="shared" si="994"/>
        <v>0</v>
      </c>
      <c r="Q668">
        <f t="shared" si="995"/>
        <v>0</v>
      </c>
      <c r="R668">
        <f t="shared" si="996"/>
        <v>0</v>
      </c>
      <c r="S668">
        <f t="shared" si="997"/>
        <v>0</v>
      </c>
      <c r="T668">
        <f t="shared" si="998"/>
        <v>0</v>
      </c>
    </row>
    <row r="669" spans="1:20" x14ac:dyDescent="0.25">
      <c r="A669" s="5"/>
      <c r="C669" s="4"/>
      <c r="D669" s="4"/>
      <c r="P669">
        <f t="shared" si="994"/>
        <v>0</v>
      </c>
      <c r="Q669">
        <f t="shared" si="995"/>
        <v>0</v>
      </c>
      <c r="R669">
        <f t="shared" si="996"/>
        <v>0</v>
      </c>
      <c r="S669">
        <f t="shared" si="997"/>
        <v>0</v>
      </c>
      <c r="T669">
        <f t="shared" si="998"/>
        <v>0</v>
      </c>
    </row>
    <row r="670" spans="1:20" x14ac:dyDescent="0.25">
      <c r="A670" s="5"/>
      <c r="C670" s="4"/>
      <c r="D670" s="4"/>
      <c r="P670">
        <f t="shared" si="994"/>
        <v>0</v>
      </c>
      <c r="Q670">
        <f t="shared" si="995"/>
        <v>0</v>
      </c>
      <c r="R670">
        <f t="shared" si="996"/>
        <v>0</v>
      </c>
      <c r="S670">
        <f t="shared" si="997"/>
        <v>0</v>
      </c>
      <c r="T670">
        <f t="shared" si="998"/>
        <v>0</v>
      </c>
    </row>
    <row r="671" spans="1:20" x14ac:dyDescent="0.25">
      <c r="A671" s="5"/>
      <c r="C671" s="4"/>
      <c r="D671" s="4"/>
      <c r="P671">
        <f t="shared" si="994"/>
        <v>0</v>
      </c>
      <c r="Q671">
        <f t="shared" si="995"/>
        <v>0</v>
      </c>
      <c r="R671">
        <f t="shared" si="996"/>
        <v>0</v>
      </c>
      <c r="S671">
        <f t="shared" si="997"/>
        <v>0</v>
      </c>
      <c r="T671">
        <f t="shared" si="998"/>
        <v>0</v>
      </c>
    </row>
    <row r="672" spans="1:20" x14ac:dyDescent="0.25">
      <c r="A672" s="5"/>
      <c r="C672" s="4"/>
      <c r="D672" s="4"/>
      <c r="P672">
        <f t="shared" si="994"/>
        <v>0</v>
      </c>
      <c r="Q672">
        <f t="shared" si="995"/>
        <v>0</v>
      </c>
      <c r="R672">
        <f t="shared" si="996"/>
        <v>0</v>
      </c>
      <c r="S672">
        <f t="shared" si="997"/>
        <v>0</v>
      </c>
      <c r="T672">
        <f t="shared" si="998"/>
        <v>0</v>
      </c>
    </row>
    <row r="673" spans="1:20" x14ac:dyDescent="0.25">
      <c r="A673" s="5"/>
      <c r="C673" s="4"/>
      <c r="D673" s="4"/>
      <c r="P673">
        <f t="shared" si="994"/>
        <v>0</v>
      </c>
      <c r="Q673">
        <f t="shared" si="995"/>
        <v>0</v>
      </c>
      <c r="R673">
        <f t="shared" si="996"/>
        <v>0</v>
      </c>
      <c r="S673">
        <f t="shared" si="997"/>
        <v>0</v>
      </c>
      <c r="T673">
        <f t="shared" si="998"/>
        <v>0</v>
      </c>
    </row>
    <row r="674" spans="1:20" x14ac:dyDescent="0.25">
      <c r="A674" s="5"/>
      <c r="C674" s="4"/>
      <c r="D674" s="4"/>
      <c r="P674">
        <f t="shared" si="994"/>
        <v>0</v>
      </c>
      <c r="Q674">
        <f t="shared" si="995"/>
        <v>0</v>
      </c>
      <c r="R674">
        <f t="shared" si="996"/>
        <v>0</v>
      </c>
      <c r="S674">
        <f t="shared" si="997"/>
        <v>0</v>
      </c>
      <c r="T674">
        <f t="shared" si="998"/>
        <v>0</v>
      </c>
    </row>
    <row r="675" spans="1:20" x14ac:dyDescent="0.25">
      <c r="A675" s="5"/>
      <c r="C675" s="4"/>
      <c r="D675" s="4"/>
      <c r="P675">
        <f t="shared" si="994"/>
        <v>0</v>
      </c>
      <c r="Q675">
        <f t="shared" si="995"/>
        <v>0</v>
      </c>
      <c r="R675">
        <f t="shared" si="996"/>
        <v>0</v>
      </c>
      <c r="S675">
        <f t="shared" si="997"/>
        <v>0</v>
      </c>
      <c r="T675">
        <f t="shared" si="998"/>
        <v>0</v>
      </c>
    </row>
    <row r="676" spans="1:20" x14ac:dyDescent="0.25">
      <c r="A676" s="5"/>
      <c r="C676" s="4"/>
      <c r="D676" s="4"/>
      <c r="P676">
        <f t="shared" si="994"/>
        <v>0</v>
      </c>
      <c r="Q676">
        <f t="shared" si="995"/>
        <v>0</v>
      </c>
      <c r="R676">
        <f t="shared" si="996"/>
        <v>0</v>
      </c>
      <c r="S676">
        <f t="shared" si="997"/>
        <v>0</v>
      </c>
      <c r="T676">
        <f t="shared" si="998"/>
        <v>0</v>
      </c>
    </row>
    <row r="677" spans="1:20" x14ac:dyDescent="0.25">
      <c r="A677" s="5"/>
      <c r="C677" s="4"/>
      <c r="D677" s="4"/>
      <c r="P677">
        <f t="shared" si="994"/>
        <v>0</v>
      </c>
      <c r="Q677">
        <f t="shared" si="995"/>
        <v>0</v>
      </c>
      <c r="R677">
        <f t="shared" si="996"/>
        <v>0</v>
      </c>
      <c r="S677">
        <f t="shared" si="997"/>
        <v>0</v>
      </c>
      <c r="T677">
        <f t="shared" si="998"/>
        <v>0</v>
      </c>
    </row>
    <row r="678" spans="1:20" x14ac:dyDescent="0.25">
      <c r="A678" s="5"/>
      <c r="C678" s="4"/>
      <c r="D678" s="4"/>
      <c r="P678">
        <f t="shared" si="994"/>
        <v>0</v>
      </c>
      <c r="Q678">
        <f t="shared" si="995"/>
        <v>0</v>
      </c>
      <c r="R678">
        <f t="shared" si="996"/>
        <v>0</v>
      </c>
      <c r="S678">
        <f t="shared" si="997"/>
        <v>0</v>
      </c>
      <c r="T678">
        <f t="shared" si="998"/>
        <v>0</v>
      </c>
    </row>
    <row r="679" spans="1:20" x14ac:dyDescent="0.25">
      <c r="A679" s="5"/>
      <c r="C679" s="4"/>
      <c r="D679" s="4"/>
      <c r="P679">
        <f t="shared" si="994"/>
        <v>0</v>
      </c>
      <c r="Q679">
        <f t="shared" si="995"/>
        <v>0</v>
      </c>
      <c r="R679">
        <f t="shared" si="996"/>
        <v>0</v>
      </c>
      <c r="S679">
        <f t="shared" si="997"/>
        <v>0</v>
      </c>
      <c r="T679">
        <f t="shared" si="998"/>
        <v>0</v>
      </c>
    </row>
    <row r="680" spans="1:20" x14ac:dyDescent="0.25">
      <c r="A680" s="5"/>
      <c r="C680" s="4"/>
      <c r="D680" s="4"/>
      <c r="P680">
        <f t="shared" si="994"/>
        <v>0</v>
      </c>
      <c r="Q680">
        <f t="shared" si="995"/>
        <v>0</v>
      </c>
      <c r="R680">
        <f t="shared" si="996"/>
        <v>0</v>
      </c>
      <c r="S680">
        <f t="shared" si="997"/>
        <v>0</v>
      </c>
      <c r="T680">
        <f t="shared" si="998"/>
        <v>0</v>
      </c>
    </row>
    <row r="681" spans="1:20" x14ac:dyDescent="0.25">
      <c r="A681" s="5"/>
      <c r="C681" s="4"/>
      <c r="D681" s="4"/>
      <c r="P681">
        <f t="shared" si="994"/>
        <v>0</v>
      </c>
      <c r="Q681">
        <f t="shared" si="995"/>
        <v>0</v>
      </c>
      <c r="R681">
        <f t="shared" si="996"/>
        <v>0</v>
      </c>
      <c r="S681">
        <f t="shared" si="997"/>
        <v>0</v>
      </c>
      <c r="T681">
        <f t="shared" si="998"/>
        <v>0</v>
      </c>
    </row>
    <row r="682" spans="1:20" x14ac:dyDescent="0.25">
      <c r="A682" s="5"/>
      <c r="C682" s="4"/>
      <c r="D682" s="4"/>
      <c r="P682">
        <f t="shared" si="994"/>
        <v>0</v>
      </c>
      <c r="Q682">
        <f t="shared" si="995"/>
        <v>0</v>
      </c>
      <c r="R682">
        <f t="shared" si="996"/>
        <v>0</v>
      </c>
      <c r="S682">
        <f t="shared" si="997"/>
        <v>0</v>
      </c>
      <c r="T682">
        <f t="shared" si="998"/>
        <v>0</v>
      </c>
    </row>
    <row r="683" spans="1:20" x14ac:dyDescent="0.25">
      <c r="A683" s="5"/>
      <c r="C683" s="4"/>
      <c r="D683" s="4"/>
      <c r="P683">
        <f t="shared" si="994"/>
        <v>0</v>
      </c>
      <c r="Q683">
        <f t="shared" si="995"/>
        <v>0</v>
      </c>
      <c r="R683">
        <f t="shared" si="996"/>
        <v>0</v>
      </c>
      <c r="S683">
        <f t="shared" si="997"/>
        <v>0</v>
      </c>
      <c r="T683">
        <f t="shared" si="998"/>
        <v>0</v>
      </c>
    </row>
    <row r="684" spans="1:20" x14ac:dyDescent="0.25">
      <c r="A684" s="5"/>
      <c r="C684" s="4"/>
      <c r="D684" s="4"/>
      <c r="P684">
        <f t="shared" si="994"/>
        <v>0</v>
      </c>
      <c r="Q684">
        <f t="shared" si="995"/>
        <v>0</v>
      </c>
      <c r="R684">
        <f t="shared" si="996"/>
        <v>0</v>
      </c>
      <c r="S684">
        <f t="shared" si="997"/>
        <v>0</v>
      </c>
      <c r="T684">
        <f t="shared" si="998"/>
        <v>0</v>
      </c>
    </row>
    <row r="685" spans="1:20" x14ac:dyDescent="0.25">
      <c r="A685" s="5"/>
      <c r="C685" s="4"/>
      <c r="D685" s="4"/>
      <c r="P685">
        <f t="shared" si="994"/>
        <v>0</v>
      </c>
      <c r="Q685">
        <f t="shared" si="995"/>
        <v>0</v>
      </c>
      <c r="R685">
        <f t="shared" si="996"/>
        <v>0</v>
      </c>
      <c r="S685">
        <f t="shared" si="997"/>
        <v>0</v>
      </c>
      <c r="T685">
        <f t="shared" si="998"/>
        <v>0</v>
      </c>
    </row>
    <row r="686" spans="1:20" x14ac:dyDescent="0.25">
      <c r="A686" s="5"/>
      <c r="C686" s="4"/>
      <c r="D686" s="4"/>
      <c r="P686">
        <f t="shared" si="994"/>
        <v>0</v>
      </c>
      <c r="Q686">
        <f t="shared" si="995"/>
        <v>0</v>
      </c>
      <c r="R686">
        <f t="shared" si="996"/>
        <v>0</v>
      </c>
      <c r="S686">
        <f t="shared" si="997"/>
        <v>0</v>
      </c>
      <c r="T686">
        <f t="shared" si="998"/>
        <v>0</v>
      </c>
    </row>
    <row r="687" spans="1:20" x14ac:dyDescent="0.25">
      <c r="A687" s="5"/>
      <c r="C687" s="4"/>
      <c r="D687" s="4"/>
      <c r="P687">
        <f t="shared" si="994"/>
        <v>0</v>
      </c>
      <c r="Q687">
        <f t="shared" si="995"/>
        <v>0</v>
      </c>
      <c r="R687">
        <f t="shared" si="996"/>
        <v>0</v>
      </c>
      <c r="S687">
        <f t="shared" si="997"/>
        <v>0</v>
      </c>
      <c r="T687">
        <f t="shared" si="998"/>
        <v>0</v>
      </c>
    </row>
    <row r="688" spans="1:20" x14ac:dyDescent="0.25">
      <c r="A688" s="5"/>
      <c r="C688" s="4"/>
      <c r="D688" s="4"/>
      <c r="P688">
        <f t="shared" si="994"/>
        <v>0</v>
      </c>
      <c r="Q688">
        <f t="shared" si="995"/>
        <v>0</v>
      </c>
      <c r="R688">
        <f t="shared" si="996"/>
        <v>0</v>
      </c>
      <c r="S688">
        <f t="shared" si="997"/>
        <v>0</v>
      </c>
      <c r="T688">
        <f t="shared" si="998"/>
        <v>0</v>
      </c>
    </row>
    <row r="689" spans="1:20" x14ac:dyDescent="0.25">
      <c r="A689" s="5"/>
      <c r="C689" s="4"/>
      <c r="D689" s="4"/>
      <c r="P689">
        <f t="shared" si="994"/>
        <v>0</v>
      </c>
      <c r="Q689">
        <f t="shared" si="995"/>
        <v>0</v>
      </c>
      <c r="R689">
        <f t="shared" si="996"/>
        <v>0</v>
      </c>
      <c r="S689">
        <f t="shared" si="997"/>
        <v>0</v>
      </c>
      <c r="T689">
        <f t="shared" si="998"/>
        <v>0</v>
      </c>
    </row>
    <row r="690" spans="1:20" x14ac:dyDescent="0.25">
      <c r="A690" s="5"/>
      <c r="C690" s="4"/>
      <c r="D690" s="4"/>
      <c r="P690">
        <f t="shared" si="994"/>
        <v>0</v>
      </c>
      <c r="Q690">
        <f t="shared" si="995"/>
        <v>0</v>
      </c>
      <c r="R690">
        <f t="shared" si="996"/>
        <v>0</v>
      </c>
      <c r="S690">
        <f t="shared" si="997"/>
        <v>0</v>
      </c>
      <c r="T690">
        <f t="shared" si="998"/>
        <v>0</v>
      </c>
    </row>
    <row r="691" spans="1:20" x14ac:dyDescent="0.25">
      <c r="A691" s="5"/>
      <c r="C691" s="4"/>
      <c r="D691" s="4"/>
      <c r="P691">
        <f t="shared" si="994"/>
        <v>0</v>
      </c>
      <c r="Q691">
        <f t="shared" si="995"/>
        <v>0</v>
      </c>
      <c r="R691">
        <f t="shared" si="996"/>
        <v>0</v>
      </c>
      <c r="S691">
        <f t="shared" si="997"/>
        <v>0</v>
      </c>
      <c r="T691">
        <f t="shared" si="998"/>
        <v>0</v>
      </c>
    </row>
    <row r="692" spans="1:20" x14ac:dyDescent="0.25">
      <c r="A692" s="5"/>
      <c r="C692" s="4"/>
      <c r="D692" s="4"/>
      <c r="P692">
        <f t="shared" si="994"/>
        <v>0</v>
      </c>
      <c r="Q692">
        <f t="shared" si="995"/>
        <v>0</v>
      </c>
      <c r="R692">
        <f t="shared" si="996"/>
        <v>0</v>
      </c>
      <c r="S692">
        <f t="shared" si="997"/>
        <v>0</v>
      </c>
      <c r="T692">
        <f t="shared" si="998"/>
        <v>0</v>
      </c>
    </row>
    <row r="693" spans="1:20" x14ac:dyDescent="0.25">
      <c r="A693" s="5"/>
      <c r="C693" s="4"/>
      <c r="D693" s="4"/>
      <c r="P693">
        <f t="shared" si="994"/>
        <v>0</v>
      </c>
      <c r="Q693">
        <f t="shared" si="995"/>
        <v>0</v>
      </c>
      <c r="R693">
        <f t="shared" si="996"/>
        <v>0</v>
      </c>
      <c r="S693">
        <f t="shared" si="997"/>
        <v>0</v>
      </c>
      <c r="T693">
        <f t="shared" si="998"/>
        <v>0</v>
      </c>
    </row>
    <row r="694" spans="1:20" x14ac:dyDescent="0.25">
      <c r="A694" s="5"/>
      <c r="C694" s="4"/>
      <c r="D694" s="4"/>
      <c r="P694">
        <f t="shared" si="994"/>
        <v>0</v>
      </c>
      <c r="Q694">
        <f t="shared" si="995"/>
        <v>0</v>
      </c>
      <c r="R694">
        <f t="shared" si="996"/>
        <v>0</v>
      </c>
      <c r="S694">
        <f t="shared" si="997"/>
        <v>0</v>
      </c>
      <c r="T694">
        <f t="shared" si="998"/>
        <v>0</v>
      </c>
    </row>
    <row r="695" spans="1:20" x14ac:dyDescent="0.25">
      <c r="A695" s="5"/>
      <c r="C695" s="4"/>
      <c r="D695" s="4"/>
      <c r="P695">
        <f t="shared" si="994"/>
        <v>0</v>
      </c>
      <c r="Q695">
        <f t="shared" si="995"/>
        <v>0</v>
      </c>
      <c r="R695">
        <f t="shared" si="996"/>
        <v>0</v>
      </c>
      <c r="S695">
        <f t="shared" si="997"/>
        <v>0</v>
      </c>
      <c r="T695">
        <f t="shared" si="998"/>
        <v>0</v>
      </c>
    </row>
    <row r="696" spans="1:20" x14ac:dyDescent="0.25">
      <c r="A696" s="5"/>
      <c r="C696" s="4"/>
      <c r="D696" s="4"/>
      <c r="P696">
        <f t="shared" si="994"/>
        <v>0</v>
      </c>
      <c r="Q696">
        <f t="shared" si="995"/>
        <v>0</v>
      </c>
      <c r="R696">
        <f t="shared" si="996"/>
        <v>0</v>
      </c>
      <c r="S696">
        <f t="shared" si="997"/>
        <v>0</v>
      </c>
      <c r="T696">
        <f t="shared" si="998"/>
        <v>0</v>
      </c>
    </row>
    <row r="697" spans="1:20" x14ac:dyDescent="0.25">
      <c r="A697" s="5"/>
      <c r="C697" s="4"/>
      <c r="D697" s="4"/>
      <c r="P697">
        <f t="shared" si="994"/>
        <v>0</v>
      </c>
      <c r="Q697">
        <f t="shared" si="995"/>
        <v>0</v>
      </c>
      <c r="R697">
        <f t="shared" si="996"/>
        <v>0</v>
      </c>
      <c r="S697">
        <f t="shared" si="997"/>
        <v>0</v>
      </c>
      <c r="T697">
        <f t="shared" si="998"/>
        <v>0</v>
      </c>
    </row>
    <row r="698" spans="1:20" x14ac:dyDescent="0.25">
      <c r="A698" s="5"/>
      <c r="C698" s="4"/>
      <c r="D698" s="4"/>
      <c r="P698">
        <f t="shared" si="994"/>
        <v>0</v>
      </c>
      <c r="Q698">
        <f t="shared" si="995"/>
        <v>0</v>
      </c>
      <c r="R698">
        <f t="shared" si="996"/>
        <v>0</v>
      </c>
      <c r="S698">
        <f t="shared" si="997"/>
        <v>0</v>
      </c>
      <c r="T698">
        <f t="shared" si="998"/>
        <v>0</v>
      </c>
    </row>
    <row r="699" spans="1:20" x14ac:dyDescent="0.25">
      <c r="A699" s="5"/>
      <c r="C699" s="4"/>
      <c r="D699" s="4"/>
      <c r="P699">
        <f t="shared" si="994"/>
        <v>0</v>
      </c>
      <c r="Q699">
        <f t="shared" si="995"/>
        <v>0</v>
      </c>
      <c r="R699">
        <f t="shared" si="996"/>
        <v>0</v>
      </c>
      <c r="S699">
        <f t="shared" si="997"/>
        <v>0</v>
      </c>
      <c r="T699">
        <f t="shared" si="998"/>
        <v>0</v>
      </c>
    </row>
    <row r="700" spans="1:20" x14ac:dyDescent="0.25">
      <c r="A700" s="5"/>
      <c r="C700" s="4"/>
      <c r="D700" s="4"/>
      <c r="P700">
        <f t="shared" si="994"/>
        <v>0</v>
      </c>
      <c r="Q700">
        <f t="shared" si="995"/>
        <v>0</v>
      </c>
      <c r="R700">
        <f t="shared" si="996"/>
        <v>0</v>
      </c>
      <c r="S700">
        <f t="shared" si="997"/>
        <v>0</v>
      </c>
      <c r="T700">
        <f t="shared" si="998"/>
        <v>0</v>
      </c>
    </row>
    <row r="701" spans="1:20" x14ac:dyDescent="0.25">
      <c r="A701" s="5"/>
      <c r="C701" s="4"/>
      <c r="D701" s="4"/>
      <c r="P701">
        <f t="shared" si="994"/>
        <v>0</v>
      </c>
      <c r="Q701">
        <f t="shared" si="995"/>
        <v>0</v>
      </c>
      <c r="R701">
        <f t="shared" si="996"/>
        <v>0</v>
      </c>
      <c r="S701">
        <f t="shared" si="997"/>
        <v>0</v>
      </c>
      <c r="T701">
        <f t="shared" si="998"/>
        <v>0</v>
      </c>
    </row>
    <row r="702" spans="1:20" x14ac:dyDescent="0.25">
      <c r="A702" s="5"/>
      <c r="C702" s="4"/>
      <c r="D702" s="4"/>
      <c r="P702">
        <f t="shared" si="994"/>
        <v>0</v>
      </c>
      <c r="Q702">
        <f t="shared" si="995"/>
        <v>0</v>
      </c>
      <c r="R702">
        <f t="shared" si="996"/>
        <v>0</v>
      </c>
      <c r="S702">
        <f t="shared" si="997"/>
        <v>0</v>
      </c>
      <c r="T702">
        <f t="shared" si="998"/>
        <v>0</v>
      </c>
    </row>
    <row r="703" spans="1:20" x14ac:dyDescent="0.25">
      <c r="A703" s="5"/>
      <c r="C703" s="4"/>
      <c r="D703" s="4"/>
      <c r="P703">
        <f t="shared" si="994"/>
        <v>0</v>
      </c>
      <c r="Q703">
        <f t="shared" si="995"/>
        <v>0</v>
      </c>
      <c r="R703">
        <f t="shared" si="996"/>
        <v>0</v>
      </c>
      <c r="S703">
        <f t="shared" si="997"/>
        <v>0</v>
      </c>
      <c r="T703">
        <f t="shared" si="998"/>
        <v>0</v>
      </c>
    </row>
    <row r="704" spans="1:20" x14ac:dyDescent="0.25">
      <c r="A704" s="5"/>
      <c r="C704" s="4"/>
      <c r="D704" s="4"/>
      <c r="P704">
        <f t="shared" si="994"/>
        <v>0</v>
      </c>
      <c r="Q704">
        <f t="shared" si="995"/>
        <v>0</v>
      </c>
      <c r="R704">
        <f t="shared" si="996"/>
        <v>0</v>
      </c>
      <c r="S704">
        <f t="shared" si="997"/>
        <v>0</v>
      </c>
      <c r="T704">
        <f t="shared" si="998"/>
        <v>0</v>
      </c>
    </row>
    <row r="705" spans="1:20" x14ac:dyDescent="0.25">
      <c r="A705" s="5"/>
      <c r="C705" s="4"/>
      <c r="D705" s="4"/>
      <c r="P705">
        <f t="shared" si="994"/>
        <v>0</v>
      </c>
      <c r="Q705">
        <f t="shared" si="995"/>
        <v>0</v>
      </c>
      <c r="R705">
        <f t="shared" si="996"/>
        <v>0</v>
      </c>
      <c r="S705">
        <f t="shared" si="997"/>
        <v>0</v>
      </c>
      <c r="T705">
        <f t="shared" si="998"/>
        <v>0</v>
      </c>
    </row>
    <row r="706" spans="1:20" x14ac:dyDescent="0.25">
      <c r="A706" s="5"/>
      <c r="C706" s="4"/>
      <c r="D706" s="4"/>
      <c r="P706">
        <f t="shared" si="994"/>
        <v>0</v>
      </c>
      <c r="Q706">
        <f t="shared" si="995"/>
        <v>0</v>
      </c>
      <c r="R706">
        <f t="shared" si="996"/>
        <v>0</v>
      </c>
      <c r="S706">
        <f t="shared" si="997"/>
        <v>0</v>
      </c>
      <c r="T706">
        <f t="shared" si="998"/>
        <v>0</v>
      </c>
    </row>
    <row r="707" spans="1:20" x14ac:dyDescent="0.25">
      <c r="A707" s="5"/>
      <c r="C707" s="4"/>
      <c r="D707" s="4"/>
      <c r="P707">
        <f t="shared" si="994"/>
        <v>0</v>
      </c>
      <c r="Q707">
        <f t="shared" si="995"/>
        <v>0</v>
      </c>
      <c r="R707">
        <f t="shared" si="996"/>
        <v>0</v>
      </c>
      <c r="S707">
        <f t="shared" si="997"/>
        <v>0</v>
      </c>
      <c r="T707">
        <f t="shared" si="998"/>
        <v>0</v>
      </c>
    </row>
    <row r="708" spans="1:20" x14ac:dyDescent="0.25">
      <c r="A708" s="5"/>
      <c r="C708" s="4"/>
      <c r="D708" s="4"/>
      <c r="P708">
        <f t="shared" si="994"/>
        <v>0</v>
      </c>
      <c r="Q708">
        <f t="shared" si="995"/>
        <v>0</v>
      </c>
      <c r="R708">
        <f t="shared" si="996"/>
        <v>0</v>
      </c>
      <c r="S708">
        <f t="shared" si="997"/>
        <v>0</v>
      </c>
      <c r="T708">
        <f t="shared" si="998"/>
        <v>0</v>
      </c>
    </row>
    <row r="709" spans="1:20" x14ac:dyDescent="0.25">
      <c r="A709" s="5"/>
      <c r="C709" s="4"/>
      <c r="D709" s="4"/>
      <c r="P709">
        <f t="shared" si="994"/>
        <v>0</v>
      </c>
      <c r="Q709">
        <f t="shared" si="995"/>
        <v>0</v>
      </c>
      <c r="R709">
        <f t="shared" si="996"/>
        <v>0</v>
      </c>
      <c r="S709">
        <f t="shared" si="997"/>
        <v>0</v>
      </c>
      <c r="T709">
        <f t="shared" si="998"/>
        <v>0</v>
      </c>
    </row>
    <row r="710" spans="1:20" x14ac:dyDescent="0.25">
      <c r="A710" s="5"/>
      <c r="C710" s="4"/>
      <c r="D710" s="4"/>
      <c r="P710">
        <f t="shared" ref="P710:P766" si="999">IF(C710=D710,0,((E710-D710)-(C710-E710))/(C710-D710))</f>
        <v>0</v>
      </c>
      <c r="Q710">
        <f t="shared" ref="Q710:Q766" si="1000">F710*P710</f>
        <v>0</v>
      </c>
      <c r="R710">
        <f t="shared" ref="R710:R766" si="1001">R711+Q710</f>
        <v>0</v>
      </c>
      <c r="S710">
        <f t="shared" ref="S710:S766" si="1002">R710/100000</f>
        <v>0</v>
      </c>
      <c r="T710">
        <f t="shared" ref="T710:T766" si="1003">S710/1000</f>
        <v>0</v>
      </c>
    </row>
    <row r="711" spans="1:20" x14ac:dyDescent="0.25">
      <c r="A711" s="5"/>
      <c r="C711" s="4"/>
      <c r="D711" s="4"/>
      <c r="P711">
        <f t="shared" si="999"/>
        <v>0</v>
      </c>
      <c r="Q711">
        <f t="shared" si="1000"/>
        <v>0</v>
      </c>
      <c r="R711">
        <f t="shared" si="1001"/>
        <v>0</v>
      </c>
      <c r="S711">
        <f t="shared" si="1002"/>
        <v>0</v>
      </c>
      <c r="T711">
        <f t="shared" si="1003"/>
        <v>0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ID506" sqref="ID506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$A$505</v>
      </c>
      <c r="D111" s="1" t="str">
        <f>ADDRESS(C121-1,D121,1,1)</f>
        <v>$ID$505</v>
      </c>
      <c r="E111"/>
    </row>
    <row r="112" spans="1:5" x14ac:dyDescent="0.25">
      <c r="A112" s="7">
        <v>12164.144957890772</v>
      </c>
      <c r="C112" s="1" t="str">
        <f>ADDRESS(C121,1,1,1)</f>
        <v>$A$506</v>
      </c>
      <c r="D112" s="1" t="str">
        <f>ADDRESS(C121,D121-1,1,1)</f>
        <v>$IC$506</v>
      </c>
      <c r="E112"/>
    </row>
    <row r="113" spans="1:5" x14ac:dyDescent="0.25">
      <c r="A113" s="7">
        <v>11925.63231165762</v>
      </c>
      <c r="C113" s="1" t="str">
        <f>ADDRESS(C121+1,1,1,1)</f>
        <v>$A$507</v>
      </c>
      <c r="D113" s="1" t="str">
        <f>ADDRESS(C121-1,D121+1,1,1)</f>
        <v>$IE$505</v>
      </c>
    </row>
    <row r="114" spans="1:5" x14ac:dyDescent="0.25">
      <c r="A114" s="7">
        <v>11691.796383978059</v>
      </c>
      <c r="C114" s="1" t="str">
        <f>ADDRESS(C121,D121,1,1)</f>
        <v>$ID$506</v>
      </c>
      <c r="D114" s="1" t="str">
        <f>ADDRESS(C121+1,D121+1,1,1)</f>
        <v>$IE$507</v>
      </c>
    </row>
    <row r="115" spans="1:5" x14ac:dyDescent="0.25">
      <c r="A115" s="7">
        <v>11462.545474488292</v>
      </c>
      <c r="C115" s="1" t="str">
        <f>ADDRESS(C121+1,D121,1,1)</f>
        <v>$ID$507</v>
      </c>
    </row>
    <row r="116" spans="1:5" x14ac:dyDescent="0.25">
      <c r="A116" s="7">
        <v>11237.789680870874</v>
      </c>
      <c r="C116" s="1">
        <f>C117-1</f>
        <v>505</v>
      </c>
    </row>
    <row r="117" spans="1:5" x14ac:dyDescent="0.25">
      <c r="A117" s="7">
        <v>11017.440863598895</v>
      </c>
      <c r="C117" s="1">
        <f>C121</f>
        <v>506</v>
      </c>
      <c r="D117" s="1">
        <f>D121</f>
        <v>238</v>
      </c>
    </row>
    <row r="118" spans="1:5" x14ac:dyDescent="0.25">
      <c r="A118" s="7">
        <v>10801.412611371465</v>
      </c>
      <c r="C118" s="1">
        <f>C117+1</f>
        <v>507</v>
      </c>
      <c r="D118" s="1">
        <f>D117+1</f>
        <v>239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506</v>
      </c>
      <c r="D121" s="19">
        <v>238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R506</v>
      </c>
      <c r="D123" s="1" t="str">
        <f>"C"&amp;D121</f>
        <v>C238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4.9729479392183231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8" x14ac:dyDescent="0.25">
      <c r="A385" s="7">
        <v>54.605287232808607</v>
      </c>
      <c r="B385"/>
      <c r="C385"/>
      <c r="D385"/>
      <c r="E385"/>
    </row>
    <row r="386" spans="1:58" x14ac:dyDescent="0.25">
      <c r="A386" s="7">
        <v>53.534595326282947</v>
      </c>
      <c r="B386"/>
      <c r="C386"/>
      <c r="D386"/>
      <c r="E386"/>
    </row>
    <row r="387" spans="1:58" x14ac:dyDescent="0.25">
      <c r="A387" s="7">
        <v>52.484897378708773</v>
      </c>
      <c r="B387"/>
      <c r="C387"/>
      <c r="D387"/>
      <c r="E387"/>
    </row>
    <row r="388" spans="1:58" x14ac:dyDescent="0.25">
      <c r="A388" s="7">
        <v>51.455781743832127</v>
      </c>
      <c r="B388"/>
      <c r="C388"/>
      <c r="D388"/>
      <c r="E388"/>
    </row>
    <row r="389" spans="1:58" x14ac:dyDescent="0.25">
      <c r="A389" s="7">
        <v>50.446844846894244</v>
      </c>
      <c r="B389"/>
      <c r="C389"/>
      <c r="D389"/>
      <c r="E389"/>
    </row>
    <row r="390" spans="1:58" x14ac:dyDescent="0.25">
      <c r="A390" s="7">
        <v>49.457691026366902</v>
      </c>
      <c r="B390"/>
      <c r="C390"/>
      <c r="D390"/>
      <c r="E390"/>
    </row>
    <row r="391" spans="1:58" x14ac:dyDescent="0.25">
      <c r="A391" s="7">
        <v>48.487932378791079</v>
      </c>
      <c r="B391"/>
      <c r="C391"/>
      <c r="D391"/>
      <c r="E391"/>
    </row>
    <row r="392" spans="1:58" x14ac:dyDescent="0.25">
      <c r="A392" s="7">
        <v>47.537188606657921</v>
      </c>
      <c r="B392"/>
      <c r="C392"/>
      <c r="D392"/>
      <c r="E392"/>
    </row>
    <row r="393" spans="1:58" x14ac:dyDescent="0.25">
      <c r="A393" s="7">
        <v>46.605086869272469</v>
      </c>
      <c r="B393"/>
      <c r="C393"/>
      <c r="D393"/>
      <c r="E393"/>
    </row>
    <row r="394" spans="1:58" x14ac:dyDescent="0.25">
      <c r="A394" s="7">
        <v>45.691261636541633</v>
      </c>
      <c r="B394"/>
      <c r="C394"/>
      <c r="D394"/>
      <c r="E394"/>
    </row>
    <row r="395" spans="1:58" x14ac:dyDescent="0.25">
      <c r="A395" s="7">
        <v>44.795354545629053</v>
      </c>
      <c r="B395"/>
      <c r="C395"/>
      <c r="D395"/>
      <c r="E395"/>
    </row>
    <row r="396" spans="1:58" x14ac:dyDescent="0.25">
      <c r="A396" s="7">
        <v>43.917014260420636</v>
      </c>
      <c r="B396"/>
      <c r="C396"/>
      <c r="D396"/>
      <c r="E396"/>
      <c r="BE396" s="27" t="s">
        <v>8</v>
      </c>
    </row>
    <row r="397" spans="1:58" x14ac:dyDescent="0.25">
      <c r="A397" s="7">
        <v>43.055896333745721</v>
      </c>
      <c r="B397"/>
      <c r="C397"/>
      <c r="D397"/>
      <c r="E397"/>
      <c r="BE397" s="27" t="s">
        <v>8</v>
      </c>
      <c r="BF397" s="27" t="s">
        <v>7</v>
      </c>
    </row>
    <row r="398" spans="1:58" x14ac:dyDescent="0.25">
      <c r="A398" s="7">
        <v>42.211663072299729</v>
      </c>
      <c r="B398"/>
      <c r="C398"/>
      <c r="D398"/>
      <c r="E398"/>
      <c r="BE398" s="27" t="s">
        <v>8</v>
      </c>
      <c r="BF398" s="27" t="s">
        <v>7</v>
      </c>
    </row>
    <row r="399" spans="1:58" x14ac:dyDescent="0.25">
      <c r="A399" s="7">
        <v>41.383983404215421</v>
      </c>
      <c r="B399"/>
      <c r="C399"/>
      <c r="D399"/>
      <c r="E399"/>
      <c r="BE399" s="27" t="s">
        <v>8</v>
      </c>
      <c r="BF399" s="27" t="s">
        <v>7</v>
      </c>
    </row>
    <row r="400" spans="1:58" x14ac:dyDescent="0.25">
      <c r="A400" s="7">
        <v>40.572532749230803</v>
      </c>
      <c r="B400"/>
      <c r="C400"/>
      <c r="D400"/>
      <c r="E400"/>
      <c r="BE400" s="27" t="s">
        <v>8</v>
      </c>
      <c r="BF400" s="27" t="s">
        <v>7</v>
      </c>
    </row>
    <row r="401" spans="1:88" x14ac:dyDescent="0.25">
      <c r="A401" s="7">
        <v>39.776992891402749</v>
      </c>
      <c r="B401"/>
      <c r="C401"/>
      <c r="D401"/>
      <c r="E401"/>
      <c r="BE401" s="27" t="s">
        <v>8</v>
      </c>
      <c r="BF401" s="27" t="s">
        <v>7</v>
      </c>
    </row>
    <row r="402" spans="1:88" x14ac:dyDescent="0.25">
      <c r="A402" s="7">
        <v>38.997051854316418</v>
      </c>
      <c r="B402"/>
      <c r="C402"/>
      <c r="D402"/>
      <c r="E402"/>
      <c r="BA402" s="27" t="s">
        <v>8</v>
      </c>
      <c r="BE402" s="27" t="s">
        <v>8</v>
      </c>
      <c r="BF402" s="27" t="s">
        <v>7</v>
      </c>
      <c r="BK402" s="27" t="s">
        <v>8</v>
      </c>
    </row>
    <row r="403" spans="1:88" x14ac:dyDescent="0.25">
      <c r="A403" s="7">
        <v>38.232403778741585</v>
      </c>
      <c r="B403"/>
      <c r="C403"/>
      <c r="D403"/>
      <c r="E403"/>
      <c r="BA403" s="27" t="s">
        <v>8</v>
      </c>
      <c r="BB403" s="27" t="s">
        <v>7</v>
      </c>
      <c r="BC403" s="27" t="s">
        <v>8</v>
      </c>
      <c r="BE403" s="27" t="s">
        <v>8</v>
      </c>
      <c r="BF403" s="27" t="s">
        <v>7</v>
      </c>
      <c r="BK403" s="27" t="s">
        <v>8</v>
      </c>
      <c r="BL403" s="27" t="s">
        <v>7</v>
      </c>
    </row>
    <row r="404" spans="1:88" x14ac:dyDescent="0.25">
      <c r="A404" s="7">
        <v>37.48274880268783</v>
      </c>
      <c r="B404"/>
      <c r="C404"/>
      <c r="D404"/>
      <c r="E404"/>
      <c r="BA404" s="27" t="s">
        <v>8</v>
      </c>
      <c r="BB404" s="27" t="s">
        <v>7</v>
      </c>
      <c r="BC404" s="27" t="s">
        <v>8</v>
      </c>
      <c r="BD404" s="27" t="s">
        <v>7</v>
      </c>
      <c r="BE404" s="27" t="s">
        <v>8</v>
      </c>
      <c r="BF404" s="27" t="s">
        <v>7</v>
      </c>
      <c r="BG404" s="27" t="s">
        <v>8</v>
      </c>
      <c r="BI404" s="27" t="s">
        <v>8</v>
      </c>
      <c r="BK404" s="27" t="s">
        <v>8</v>
      </c>
      <c r="BL404" s="27" t="s">
        <v>7</v>
      </c>
    </row>
    <row r="405" spans="1:88" x14ac:dyDescent="0.25">
      <c r="A405" s="7">
        <v>36.747792943811596</v>
      </c>
      <c r="B405"/>
      <c r="C405"/>
      <c r="D405"/>
      <c r="E405"/>
      <c r="BA405" s="27" t="s">
        <v>8</v>
      </c>
      <c r="BB405" s="27" t="s">
        <v>7</v>
      </c>
      <c r="BC405" s="27" t="s">
        <v>8</v>
      </c>
      <c r="BD405" s="27" t="s">
        <v>7</v>
      </c>
      <c r="BE405" s="27" t="s">
        <v>8</v>
      </c>
      <c r="BF405" s="27" t="s">
        <v>7</v>
      </c>
      <c r="BG405" s="27" t="s">
        <v>8</v>
      </c>
      <c r="BH405" s="27" t="s">
        <v>7</v>
      </c>
      <c r="BI405" s="27" t="s">
        <v>8</v>
      </c>
      <c r="BJ405" s="27" t="s">
        <v>7</v>
      </c>
      <c r="BK405" s="27" t="s">
        <v>8</v>
      </c>
      <c r="BL405" s="27" t="s">
        <v>7</v>
      </c>
      <c r="BM405" s="27" t="s">
        <v>8</v>
      </c>
    </row>
    <row r="406" spans="1:88" x14ac:dyDescent="0.25">
      <c r="A406" s="7">
        <v>36.027247984129012</v>
      </c>
      <c r="B406"/>
      <c r="C406"/>
      <c r="D406"/>
      <c r="E406"/>
      <c r="BA406" s="27" t="s">
        <v>8</v>
      </c>
      <c r="BB406" s="27" t="s">
        <v>7</v>
      </c>
      <c r="BC406" s="27" t="s">
        <v>8</v>
      </c>
      <c r="BD406" s="27" t="s">
        <v>7</v>
      </c>
      <c r="BE406" s="27" t="s">
        <v>8</v>
      </c>
      <c r="BF406" s="27" t="s">
        <v>7</v>
      </c>
      <c r="BG406" s="27" t="s">
        <v>8</v>
      </c>
      <c r="BH406" s="27" t="s">
        <v>7</v>
      </c>
      <c r="BI406" s="27" t="s">
        <v>8</v>
      </c>
      <c r="BJ406" s="27" t="s">
        <v>7</v>
      </c>
      <c r="BK406" s="27" t="s">
        <v>8</v>
      </c>
      <c r="BL406" s="27" t="s">
        <v>7</v>
      </c>
      <c r="BM406" s="27" t="s">
        <v>8</v>
      </c>
      <c r="BN406" s="27" t="s">
        <v>7</v>
      </c>
      <c r="BY406" s="27" t="s">
        <v>8</v>
      </c>
    </row>
    <row r="407" spans="1:88" x14ac:dyDescent="0.25">
      <c r="A407" s="7">
        <v>35.320831356989224</v>
      </c>
      <c r="B407"/>
      <c r="C407"/>
      <c r="D407"/>
      <c r="E407"/>
      <c r="BA407" s="27" t="s">
        <v>8</v>
      </c>
      <c r="BB407" s="27" t="s">
        <v>7</v>
      </c>
      <c r="BC407" s="27" t="s">
        <v>8</v>
      </c>
      <c r="BD407" s="27" t="s">
        <v>7</v>
      </c>
      <c r="BE407" s="27" t="s">
        <v>8</v>
      </c>
      <c r="BF407" s="27" t="s">
        <v>7</v>
      </c>
      <c r="BG407" s="27" t="s">
        <v>8</v>
      </c>
      <c r="BH407" s="27" t="s">
        <v>7</v>
      </c>
      <c r="BI407" s="27" t="s">
        <v>8</v>
      </c>
      <c r="BJ407" s="27" t="s">
        <v>7</v>
      </c>
      <c r="BK407" s="27" t="s">
        <v>8</v>
      </c>
      <c r="BL407" s="27" t="s">
        <v>7</v>
      </c>
      <c r="BM407" s="27" t="s">
        <v>8</v>
      </c>
      <c r="BN407" s="27" t="s">
        <v>7</v>
      </c>
      <c r="BY407" s="27" t="s">
        <v>8</v>
      </c>
      <c r="BZ407" s="27" t="s">
        <v>7</v>
      </c>
    </row>
    <row r="408" spans="1:88" x14ac:dyDescent="0.25">
      <c r="A408" s="7">
        <v>34.628266036263945</v>
      </c>
      <c r="B408"/>
      <c r="C408"/>
      <c r="D408"/>
      <c r="E408"/>
      <c r="BA408" s="27" t="s">
        <v>8</v>
      </c>
      <c r="BB408" s="27" t="s">
        <v>7</v>
      </c>
      <c r="BC408" s="27" t="s">
        <v>8</v>
      </c>
      <c r="BD408" s="27" t="s">
        <v>7</v>
      </c>
      <c r="BE408" s="27" t="s">
        <v>8</v>
      </c>
      <c r="BF408" s="27" t="s">
        <v>7</v>
      </c>
      <c r="BH408" s="27" t="s">
        <v>7</v>
      </c>
      <c r="BI408" s="27" t="s">
        <v>8</v>
      </c>
      <c r="BJ408" s="27" t="s">
        <v>7</v>
      </c>
      <c r="BK408" s="27" t="s">
        <v>8</v>
      </c>
      <c r="BL408" s="27" t="s">
        <v>7</v>
      </c>
      <c r="BM408" s="27" t="s">
        <v>8</v>
      </c>
      <c r="BN408" s="27" t="s">
        <v>7</v>
      </c>
      <c r="BY408" s="27" t="s">
        <v>8</v>
      </c>
      <c r="BZ408" s="27" t="s">
        <v>7</v>
      </c>
    </row>
    <row r="409" spans="1:88" x14ac:dyDescent="0.25">
      <c r="A409" s="7">
        <v>33.949280427709752</v>
      </c>
      <c r="B409"/>
      <c r="C409"/>
      <c r="D409"/>
      <c r="E409"/>
      <c r="BA409" s="27" t="s">
        <v>8</v>
      </c>
      <c r="BB409" s="27" t="s">
        <v>7</v>
      </c>
      <c r="BC409" s="27" t="s">
        <v>8</v>
      </c>
      <c r="BD409" s="27" t="s">
        <v>7</v>
      </c>
      <c r="BE409" s="27" t="s">
        <v>8</v>
      </c>
      <c r="BH409" s="27" t="s">
        <v>7</v>
      </c>
      <c r="BI409" s="27" t="s">
        <v>8</v>
      </c>
      <c r="BJ409" s="27" t="s">
        <v>7</v>
      </c>
      <c r="BK409" s="27" t="s">
        <v>8</v>
      </c>
      <c r="BL409" s="27" t="s">
        <v>7</v>
      </c>
      <c r="BM409" s="27" t="s">
        <v>8</v>
      </c>
      <c r="BN409" s="27" t="s">
        <v>7</v>
      </c>
      <c r="BY409" s="27" t="s">
        <v>8</v>
      </c>
      <c r="BZ409" s="27" t="s">
        <v>7</v>
      </c>
    </row>
    <row r="410" spans="1:88" x14ac:dyDescent="0.25">
      <c r="A410" s="7">
        <v>33.28360826246054</v>
      </c>
      <c r="B410"/>
      <c r="C410"/>
      <c r="D410"/>
      <c r="E410"/>
      <c r="AS410" s="27" t="s">
        <v>8</v>
      </c>
      <c r="BA410" s="27" t="s">
        <v>8</v>
      </c>
      <c r="BB410" s="27" t="s">
        <v>7</v>
      </c>
      <c r="BC410" s="27" t="s">
        <v>8</v>
      </c>
      <c r="BD410" s="27" t="s">
        <v>7</v>
      </c>
      <c r="BE410" s="27" t="s">
        <v>8</v>
      </c>
      <c r="BH410" s="27" t="s">
        <v>7</v>
      </c>
      <c r="BI410" s="27" t="s">
        <v>8</v>
      </c>
      <c r="BJ410" s="27" t="s">
        <v>7</v>
      </c>
      <c r="BK410" s="27" t="s">
        <v>8</v>
      </c>
      <c r="BL410" s="27" t="s">
        <v>7</v>
      </c>
      <c r="BM410" s="27" t="s">
        <v>8</v>
      </c>
      <c r="BN410" s="27" t="s">
        <v>7</v>
      </c>
      <c r="BY410" s="27" t="s">
        <v>8</v>
      </c>
      <c r="BZ410" s="27" t="s">
        <v>7</v>
      </c>
    </row>
    <row r="411" spans="1:88" x14ac:dyDescent="0.25">
      <c r="A411" s="7">
        <v>32.630988492608374</v>
      </c>
      <c r="B411"/>
      <c r="C411"/>
      <c r="D411"/>
      <c r="E411"/>
      <c r="AS411" s="27" t="s">
        <v>8</v>
      </c>
      <c r="AT411" s="27" t="s">
        <v>7</v>
      </c>
      <c r="BA411" s="27" t="s">
        <v>8</v>
      </c>
      <c r="BB411" s="27" t="s">
        <v>7</v>
      </c>
      <c r="BC411" s="27" t="s">
        <v>8</v>
      </c>
      <c r="BD411" s="27" t="s">
        <v>7</v>
      </c>
      <c r="BE411" s="27" t="s">
        <v>8</v>
      </c>
      <c r="BH411" s="27" t="s">
        <v>7</v>
      </c>
      <c r="BI411" s="27" t="s">
        <v>8</v>
      </c>
      <c r="BJ411" s="27" t="s">
        <v>7</v>
      </c>
      <c r="BL411" s="27" t="s">
        <v>7</v>
      </c>
      <c r="BM411" s="27" t="s">
        <v>8</v>
      </c>
      <c r="BN411" s="27" t="s">
        <v>7</v>
      </c>
      <c r="BO411" s="27" t="s">
        <v>8</v>
      </c>
      <c r="BS411" s="27" t="s">
        <v>8</v>
      </c>
      <c r="BY411" s="27" t="s">
        <v>8</v>
      </c>
      <c r="BZ411" s="27" t="s">
        <v>7</v>
      </c>
    </row>
    <row r="412" spans="1:88" x14ac:dyDescent="0.25">
      <c r="A412" s="7">
        <v>31.99116518883174</v>
      </c>
      <c r="B412"/>
      <c r="C412"/>
      <c r="D412"/>
      <c r="E412"/>
      <c r="AS412" s="27" t="s">
        <v>8</v>
      </c>
      <c r="AT412" s="27" t="s">
        <v>7</v>
      </c>
      <c r="AW412" s="27" t="s">
        <v>8</v>
      </c>
      <c r="BA412" s="27" t="s">
        <v>8</v>
      </c>
      <c r="BB412" s="27" t="s">
        <v>7</v>
      </c>
      <c r="BC412" s="27" t="s">
        <v>8</v>
      </c>
      <c r="BD412" s="27" t="s">
        <v>7</v>
      </c>
      <c r="BE412" s="27" t="s">
        <v>8</v>
      </c>
      <c r="BH412" s="27" t="s">
        <v>7</v>
      </c>
      <c r="BI412" s="27" t="s">
        <v>8</v>
      </c>
      <c r="BL412" s="27" t="s">
        <v>7</v>
      </c>
      <c r="BN412" s="27" t="s">
        <v>7</v>
      </c>
      <c r="BO412" s="27" t="s">
        <v>8</v>
      </c>
      <c r="BP412" s="27" t="s">
        <v>7</v>
      </c>
      <c r="BS412" s="27" t="s">
        <v>8</v>
      </c>
      <c r="BT412" s="27" t="s">
        <v>7</v>
      </c>
      <c r="BY412" s="27" t="s">
        <v>8</v>
      </c>
      <c r="BZ412" s="27" t="s">
        <v>7</v>
      </c>
    </row>
    <row r="413" spans="1:88" x14ac:dyDescent="0.25">
      <c r="A413" s="7">
        <v>31.363887440031117</v>
      </c>
      <c r="B413"/>
      <c r="C413"/>
      <c r="D413"/>
      <c r="E413"/>
      <c r="AS413" s="27" t="s">
        <v>8</v>
      </c>
      <c r="AT413" s="27" t="s">
        <v>7</v>
      </c>
      <c r="AW413" s="27" t="s">
        <v>8</v>
      </c>
      <c r="AX413" s="27" t="s">
        <v>7</v>
      </c>
      <c r="BA413" s="27" t="s">
        <v>8</v>
      </c>
      <c r="BB413" s="27" t="s">
        <v>7</v>
      </c>
      <c r="BC413" s="27" t="s">
        <v>8</v>
      </c>
      <c r="BD413" s="27" t="s">
        <v>7</v>
      </c>
      <c r="BE413" s="27" t="s">
        <v>8</v>
      </c>
      <c r="BH413" s="27" t="s">
        <v>7</v>
      </c>
      <c r="BI413" s="27" t="s">
        <v>8</v>
      </c>
      <c r="BN413" s="27" t="s">
        <v>7</v>
      </c>
      <c r="BO413" s="27" t="s">
        <v>8</v>
      </c>
      <c r="BP413" s="27" t="s">
        <v>7</v>
      </c>
      <c r="BS413" s="27" t="s">
        <v>8</v>
      </c>
      <c r="BT413" s="27" t="s">
        <v>7</v>
      </c>
      <c r="BU413" s="27" t="s">
        <v>8</v>
      </c>
      <c r="BY413" s="27" t="s">
        <v>8</v>
      </c>
      <c r="BZ413" s="27" t="s">
        <v>7</v>
      </c>
      <c r="CI413" s="27" t="s">
        <v>8</v>
      </c>
    </row>
    <row r="414" spans="1:88" x14ac:dyDescent="0.25">
      <c r="A414" s="7">
        <v>30.748909254932467</v>
      </c>
      <c r="B414"/>
      <c r="C414"/>
      <c r="D414"/>
      <c r="E414"/>
      <c r="AS414" s="27" t="s">
        <v>8</v>
      </c>
      <c r="AT414" s="27" t="s">
        <v>7</v>
      </c>
      <c r="AU414" s="27" t="s">
        <v>8</v>
      </c>
      <c r="AW414" s="27" t="s">
        <v>8</v>
      </c>
      <c r="AX414" s="27" t="s">
        <v>7</v>
      </c>
      <c r="BA414" s="27" t="s">
        <v>8</v>
      </c>
      <c r="BB414" s="27" t="s">
        <v>7</v>
      </c>
      <c r="BC414" s="27" t="s">
        <v>8</v>
      </c>
      <c r="BD414" s="27" t="s">
        <v>7</v>
      </c>
      <c r="BE414" s="27" t="s">
        <v>8</v>
      </c>
      <c r="BH414" s="27" t="s">
        <v>7</v>
      </c>
      <c r="BI414" s="27" t="s">
        <v>8</v>
      </c>
      <c r="BN414" s="27" t="s">
        <v>7</v>
      </c>
      <c r="BO414" s="27" t="s">
        <v>8</v>
      </c>
      <c r="BP414" s="27" t="s">
        <v>7</v>
      </c>
      <c r="BS414" s="27" t="s">
        <v>8</v>
      </c>
      <c r="BT414" s="27" t="s">
        <v>7</v>
      </c>
      <c r="BU414" s="27" t="s">
        <v>8</v>
      </c>
      <c r="BV414" s="27" t="s">
        <v>7</v>
      </c>
      <c r="BY414" s="27" t="s">
        <v>8</v>
      </c>
      <c r="BZ414" s="27" t="s">
        <v>7</v>
      </c>
      <c r="CI414" s="27" t="s">
        <v>8</v>
      </c>
      <c r="CJ414" s="27" t="s">
        <v>7</v>
      </c>
    </row>
    <row r="415" spans="1:88" x14ac:dyDescent="0.25">
      <c r="A415" s="7">
        <v>30.145989465620065</v>
      </c>
      <c r="B415"/>
      <c r="C415"/>
      <c r="D415"/>
      <c r="E415"/>
      <c r="AS415" s="27" t="s">
        <v>8</v>
      </c>
      <c r="AT415" s="27" t="s">
        <v>7</v>
      </c>
      <c r="AU415" s="27" t="s">
        <v>8</v>
      </c>
      <c r="AV415" s="27" t="s">
        <v>7</v>
      </c>
      <c r="AW415" s="27" t="s">
        <v>8</v>
      </c>
      <c r="AX415" s="27" t="s">
        <v>7</v>
      </c>
      <c r="BA415" s="27" t="s">
        <v>8</v>
      </c>
      <c r="BB415" s="27" t="s">
        <v>7</v>
      </c>
      <c r="BC415" s="27" t="s">
        <v>8</v>
      </c>
      <c r="BD415" s="27" t="s">
        <v>7</v>
      </c>
      <c r="BH415" s="27" t="s">
        <v>7</v>
      </c>
      <c r="BI415" s="27" t="s">
        <v>8</v>
      </c>
      <c r="BN415" s="27" t="s">
        <v>7</v>
      </c>
      <c r="BO415" s="27" t="s">
        <v>8</v>
      </c>
      <c r="BP415" s="27" t="s">
        <v>7</v>
      </c>
      <c r="BS415" s="27" t="s">
        <v>8</v>
      </c>
      <c r="BT415" s="27" t="s">
        <v>7</v>
      </c>
      <c r="BU415" s="27" t="s">
        <v>8</v>
      </c>
      <c r="BV415" s="27" t="s">
        <v>7</v>
      </c>
      <c r="BY415" s="27" t="s">
        <v>8</v>
      </c>
      <c r="BZ415" s="27" t="s">
        <v>7</v>
      </c>
      <c r="CI415" s="27" t="s">
        <v>8</v>
      </c>
      <c r="CJ415" s="27" t="s">
        <v>7</v>
      </c>
    </row>
    <row r="416" spans="1:88" x14ac:dyDescent="0.25">
      <c r="A416" s="7">
        <v>29.55489163296085</v>
      </c>
      <c r="B416"/>
      <c r="C416"/>
      <c r="D416"/>
      <c r="E416"/>
      <c r="AS416" s="27" t="s">
        <v>8</v>
      </c>
      <c r="AT416" s="27" t="s">
        <v>7</v>
      </c>
      <c r="AU416" s="27" t="s">
        <v>8</v>
      </c>
      <c r="AV416" s="27" t="s">
        <v>7</v>
      </c>
      <c r="AW416" s="27" t="s">
        <v>8</v>
      </c>
      <c r="AX416" s="27" t="s">
        <v>7</v>
      </c>
      <c r="BA416" s="27" t="s">
        <v>8</v>
      </c>
      <c r="BB416" s="27" t="s">
        <v>7</v>
      </c>
      <c r="BC416" s="27" t="s">
        <v>8</v>
      </c>
      <c r="BH416" s="27" t="s">
        <v>7</v>
      </c>
      <c r="BI416" s="27" t="s">
        <v>8</v>
      </c>
      <c r="BN416" s="27" t="s">
        <v>7</v>
      </c>
      <c r="BP416" s="27" t="s">
        <v>7</v>
      </c>
      <c r="BQ416" s="27" t="s">
        <v>8</v>
      </c>
      <c r="BS416" s="27" t="s">
        <v>8</v>
      </c>
      <c r="BT416" s="27" t="s">
        <v>7</v>
      </c>
      <c r="BU416" s="27" t="s">
        <v>8</v>
      </c>
      <c r="BV416" s="27" t="s">
        <v>7</v>
      </c>
      <c r="BY416" s="27" t="s">
        <v>8</v>
      </c>
      <c r="BZ416" s="27" t="s">
        <v>7</v>
      </c>
      <c r="CI416" s="27" t="s">
        <v>8</v>
      </c>
      <c r="CJ416" s="27" t="s">
        <v>7</v>
      </c>
    </row>
    <row r="417" spans="1:96" x14ac:dyDescent="0.25">
      <c r="A417" s="7">
        <v>28.975383953883185</v>
      </c>
      <c r="B417"/>
      <c r="C417"/>
      <c r="D417"/>
      <c r="E417"/>
      <c r="AS417" s="27" t="s">
        <v>8</v>
      </c>
      <c r="AT417" s="27" t="s">
        <v>7</v>
      </c>
      <c r="AU417" s="27" t="s">
        <v>8</v>
      </c>
      <c r="AV417" s="27" t="s">
        <v>7</v>
      </c>
      <c r="AW417" s="27" t="s">
        <v>8</v>
      </c>
      <c r="AX417" s="27" t="s">
        <v>7</v>
      </c>
      <c r="BA417" s="27" t="s">
        <v>8</v>
      </c>
      <c r="BB417" s="27" t="s">
        <v>7</v>
      </c>
      <c r="BC417" s="27" t="s">
        <v>8</v>
      </c>
      <c r="BH417" s="27" t="s">
        <v>7</v>
      </c>
      <c r="BI417" s="27" t="s">
        <v>8</v>
      </c>
      <c r="BP417" s="27" t="s">
        <v>7</v>
      </c>
      <c r="BQ417" s="27" t="s">
        <v>8</v>
      </c>
      <c r="BR417" s="27" t="s">
        <v>7</v>
      </c>
      <c r="BS417" s="27" t="s">
        <v>8</v>
      </c>
      <c r="BT417" s="27" t="s">
        <v>7</v>
      </c>
      <c r="BU417" s="27" t="s">
        <v>8</v>
      </c>
      <c r="BV417" s="27" t="s">
        <v>7</v>
      </c>
      <c r="BY417" s="27" t="s">
        <v>8</v>
      </c>
      <c r="BZ417" s="27" t="s">
        <v>7</v>
      </c>
      <c r="CI417" s="27" t="s">
        <v>8</v>
      </c>
      <c r="CJ417" s="27" t="s">
        <v>7</v>
      </c>
    </row>
    <row r="418" spans="1:96" x14ac:dyDescent="0.25">
      <c r="A418" s="7">
        <v>28.407239170473709</v>
      </c>
      <c r="B418"/>
      <c r="C418"/>
      <c r="D418"/>
      <c r="E418"/>
      <c r="AS418" s="27" t="s">
        <v>8</v>
      </c>
      <c r="AT418" s="27" t="s">
        <v>7</v>
      </c>
      <c r="AU418" s="27" t="s">
        <v>8</v>
      </c>
      <c r="AV418" s="27" t="s">
        <v>7</v>
      </c>
      <c r="AW418" s="27" t="s">
        <v>8</v>
      </c>
      <c r="AX418" s="27" t="s">
        <v>7</v>
      </c>
      <c r="BA418" s="27" t="s">
        <v>8</v>
      </c>
      <c r="BB418" s="27" t="s">
        <v>7</v>
      </c>
      <c r="BC418" s="27" t="s">
        <v>8</v>
      </c>
      <c r="BH418" s="27" t="s">
        <v>7</v>
      </c>
      <c r="BP418" s="27" t="s">
        <v>7</v>
      </c>
      <c r="BQ418" s="27" t="s">
        <v>8</v>
      </c>
      <c r="BR418" s="27" t="s">
        <v>7</v>
      </c>
      <c r="BS418" s="27" t="s">
        <v>8</v>
      </c>
      <c r="BT418" s="27" t="s">
        <v>7</v>
      </c>
      <c r="BU418" s="27" t="s">
        <v>8</v>
      </c>
      <c r="BV418" s="27" t="s">
        <v>7</v>
      </c>
      <c r="BW418" s="27" t="s">
        <v>8</v>
      </c>
      <c r="BY418" s="27" t="s">
        <v>8</v>
      </c>
      <c r="BZ418" s="27" t="s">
        <v>7</v>
      </c>
      <c r="CI418" s="27" t="s">
        <v>8</v>
      </c>
      <c r="CJ418" s="27" t="s">
        <v>7</v>
      </c>
    </row>
    <row r="419" spans="1:96" x14ac:dyDescent="0.25">
      <c r="A419" s="7">
        <v>27.850234480856578</v>
      </c>
      <c r="B419"/>
      <c r="C419"/>
      <c r="D419"/>
      <c r="E419"/>
      <c r="AS419" s="27" t="s">
        <v>8</v>
      </c>
      <c r="AT419" s="27" t="s">
        <v>7</v>
      </c>
      <c r="AU419" s="27" t="s">
        <v>8</v>
      </c>
      <c r="AV419" s="27" t="s">
        <v>7</v>
      </c>
      <c r="AW419" s="27" t="s">
        <v>8</v>
      </c>
      <c r="AX419" s="27" t="s">
        <v>7</v>
      </c>
      <c r="BA419" s="27" t="s">
        <v>8</v>
      </c>
      <c r="BB419" s="27" t="s">
        <v>7</v>
      </c>
      <c r="BC419" s="27" t="s">
        <v>8</v>
      </c>
      <c r="BP419" s="27" t="s">
        <v>7</v>
      </c>
      <c r="BQ419" s="27" t="s">
        <v>8</v>
      </c>
      <c r="BR419" s="27" t="s">
        <v>7</v>
      </c>
      <c r="BS419" s="27" t="s">
        <v>8</v>
      </c>
      <c r="BT419" s="27" t="s">
        <v>7</v>
      </c>
      <c r="BU419" s="27" t="s">
        <v>8</v>
      </c>
      <c r="BV419" s="27" t="s">
        <v>7</v>
      </c>
      <c r="BW419" s="27" t="s">
        <v>8</v>
      </c>
      <c r="BX419" s="27" t="s">
        <v>7</v>
      </c>
      <c r="BY419" s="27" t="s">
        <v>8</v>
      </c>
      <c r="BZ419" s="27" t="s">
        <v>7</v>
      </c>
      <c r="CI419" s="27" t="s">
        <v>8</v>
      </c>
      <c r="CJ419" s="27" t="s">
        <v>7</v>
      </c>
    </row>
    <row r="420" spans="1:96" x14ac:dyDescent="0.25">
      <c r="A420" s="7">
        <v>27.304151451820175</v>
      </c>
      <c r="B420"/>
      <c r="C420"/>
      <c r="D420"/>
      <c r="E420"/>
      <c r="AS420" s="27" t="s">
        <v>8</v>
      </c>
      <c r="AT420" s="27" t="s">
        <v>7</v>
      </c>
      <c r="AU420" s="27" t="s">
        <v>8</v>
      </c>
      <c r="AV420" s="27" t="s">
        <v>7</v>
      </c>
      <c r="AW420" s="27" t="s">
        <v>8</v>
      </c>
      <c r="AX420" s="27" t="s">
        <v>7</v>
      </c>
      <c r="BA420" s="27" t="s">
        <v>8</v>
      </c>
      <c r="BB420" s="27" t="s">
        <v>7</v>
      </c>
      <c r="BC420" s="27" t="s">
        <v>8</v>
      </c>
      <c r="BP420" s="27" t="s">
        <v>7</v>
      </c>
      <c r="BQ420" s="27" t="s">
        <v>8</v>
      </c>
      <c r="BR420" s="27" t="s">
        <v>7</v>
      </c>
      <c r="BT420" s="27" t="s">
        <v>7</v>
      </c>
      <c r="BU420" s="27" t="s">
        <v>8</v>
      </c>
      <c r="BV420" s="27" t="s">
        <v>7</v>
      </c>
      <c r="BW420" s="27" t="s">
        <v>8</v>
      </c>
      <c r="BX420" s="27" t="s">
        <v>7</v>
      </c>
      <c r="BY420" s="27" t="s">
        <v>8</v>
      </c>
      <c r="BZ420" s="27" t="s">
        <v>7</v>
      </c>
      <c r="CG420" s="27" t="s">
        <v>8</v>
      </c>
      <c r="CI420" s="27" t="s">
        <v>8</v>
      </c>
      <c r="CJ420" s="27" t="s">
        <v>7</v>
      </c>
      <c r="CK420" s="27" t="s">
        <v>8</v>
      </c>
    </row>
    <row r="421" spans="1:96" x14ac:dyDescent="0.25">
      <c r="A421" s="7">
        <v>26.768775933157034</v>
      </c>
      <c r="B421"/>
      <c r="C421"/>
      <c r="D421"/>
      <c r="E421"/>
      <c r="AS421" s="27" t="s">
        <v>8</v>
      </c>
      <c r="AT421" s="27" t="s">
        <v>7</v>
      </c>
      <c r="AU421" s="27" t="s">
        <v>8</v>
      </c>
      <c r="AV421" s="27" t="s">
        <v>7</v>
      </c>
      <c r="AW421" s="27" t="s">
        <v>8</v>
      </c>
      <c r="AX421" s="27" t="s">
        <v>7</v>
      </c>
      <c r="BA421" s="27" t="s">
        <v>8</v>
      </c>
      <c r="BB421" s="27" t="s">
        <v>7</v>
      </c>
      <c r="BC421" s="27" t="s">
        <v>8</v>
      </c>
      <c r="BP421" s="27" t="s">
        <v>7</v>
      </c>
      <c r="BQ421" s="27" t="s">
        <v>8</v>
      </c>
      <c r="BT421" s="27" t="s">
        <v>7</v>
      </c>
      <c r="BU421" s="27" t="s">
        <v>8</v>
      </c>
      <c r="BV421" s="27" t="s">
        <v>7</v>
      </c>
      <c r="BW421" s="27" t="s">
        <v>8</v>
      </c>
      <c r="BX421" s="27" t="s">
        <v>7</v>
      </c>
      <c r="BY421" s="27" t="s">
        <v>8</v>
      </c>
      <c r="BZ421" s="27" t="s">
        <v>7</v>
      </c>
      <c r="CA421" s="27" t="s">
        <v>8</v>
      </c>
      <c r="CG421" s="27" t="s">
        <v>8</v>
      </c>
      <c r="CH421" s="27" t="s">
        <v>7</v>
      </c>
      <c r="CI421" s="27" t="s">
        <v>8</v>
      </c>
      <c r="CJ421" s="27" t="s">
        <v>7</v>
      </c>
      <c r="CK421" s="27" t="s">
        <v>8</v>
      </c>
      <c r="CL421" s="27" t="s">
        <v>7</v>
      </c>
    </row>
    <row r="422" spans="1:96" x14ac:dyDescent="0.25">
      <c r="A422" s="7">
        <v>26.243897973683367</v>
      </c>
      <c r="B422"/>
      <c r="C422"/>
      <c r="D422"/>
      <c r="E422"/>
      <c r="AS422" s="27" t="s">
        <v>8</v>
      </c>
      <c r="AT422" s="27" t="s">
        <v>7</v>
      </c>
      <c r="AU422" s="27" t="s">
        <v>8</v>
      </c>
      <c r="AV422" s="27" t="s">
        <v>7</v>
      </c>
      <c r="AW422" s="27" t="s">
        <v>8</v>
      </c>
      <c r="AX422" s="27" t="s">
        <v>7</v>
      </c>
      <c r="AY422" s="27" t="s">
        <v>8</v>
      </c>
      <c r="BA422" s="27" t="s">
        <v>8</v>
      </c>
      <c r="BB422" s="27" t="s">
        <v>7</v>
      </c>
      <c r="BC422" s="27" t="s">
        <v>8</v>
      </c>
      <c r="BP422" s="27" t="s">
        <v>7</v>
      </c>
      <c r="BQ422" s="27" t="s">
        <v>8</v>
      </c>
      <c r="BT422" s="27" t="s">
        <v>7</v>
      </c>
      <c r="BU422" s="27" t="s">
        <v>8</v>
      </c>
      <c r="BV422" s="27" t="s">
        <v>7</v>
      </c>
      <c r="BW422" s="27" t="s">
        <v>8</v>
      </c>
      <c r="BX422" s="27" t="s">
        <v>7</v>
      </c>
      <c r="BY422" s="27" t="s">
        <v>8</v>
      </c>
      <c r="BZ422" s="27" t="s">
        <v>7</v>
      </c>
      <c r="CA422" s="27" t="s">
        <v>8</v>
      </c>
      <c r="CB422" s="27" t="s">
        <v>7</v>
      </c>
      <c r="CG422" s="27" t="s">
        <v>8</v>
      </c>
      <c r="CH422" s="27" t="s">
        <v>7</v>
      </c>
      <c r="CI422" s="27" t="s">
        <v>8</v>
      </c>
      <c r="CJ422" s="27" t="s">
        <v>7</v>
      </c>
      <c r="CK422" s="27" t="s">
        <v>8</v>
      </c>
      <c r="CL422" s="27" t="s">
        <v>7</v>
      </c>
    </row>
    <row r="423" spans="1:96" x14ac:dyDescent="0.25">
      <c r="A423" s="7">
        <v>25.729311738905263</v>
      </c>
      <c r="B423"/>
      <c r="C423"/>
      <c r="D423"/>
      <c r="E423"/>
      <c r="AS423" s="27" t="s">
        <v>8</v>
      </c>
      <c r="AT423" s="27" t="s">
        <v>7</v>
      </c>
      <c r="AU423" s="27" t="s">
        <v>8</v>
      </c>
      <c r="AV423" s="27" t="s">
        <v>7</v>
      </c>
      <c r="AW423" s="27" t="s">
        <v>8</v>
      </c>
      <c r="AX423" s="27" t="s">
        <v>7</v>
      </c>
      <c r="AY423" s="27" t="s">
        <v>8</v>
      </c>
      <c r="AZ423" s="27" t="s">
        <v>7</v>
      </c>
      <c r="BA423" s="27" t="s">
        <v>8</v>
      </c>
      <c r="BB423" s="27" t="s">
        <v>7</v>
      </c>
      <c r="BC423" s="27" t="s">
        <v>8</v>
      </c>
      <c r="BP423" s="27" t="s">
        <v>7</v>
      </c>
      <c r="BQ423" s="27" t="s">
        <v>8</v>
      </c>
      <c r="BT423" s="27" t="s">
        <v>7</v>
      </c>
      <c r="BU423" s="27" t="s">
        <v>8</v>
      </c>
      <c r="BV423" s="27" t="s">
        <v>7</v>
      </c>
      <c r="BW423" s="27" t="s">
        <v>8</v>
      </c>
      <c r="BX423" s="27" t="s">
        <v>7</v>
      </c>
      <c r="BY423" s="27" t="s">
        <v>8</v>
      </c>
      <c r="BZ423" s="27" t="s">
        <v>7</v>
      </c>
      <c r="CA423" s="27" t="s">
        <v>8</v>
      </c>
      <c r="CB423" s="27" t="s">
        <v>7</v>
      </c>
      <c r="CG423" s="27" t="s">
        <v>8</v>
      </c>
      <c r="CH423" s="27" t="s">
        <v>7</v>
      </c>
      <c r="CI423" s="27" t="s">
        <v>8</v>
      </c>
      <c r="CJ423" s="27" t="s">
        <v>7</v>
      </c>
      <c r="CK423" s="27" t="s">
        <v>8</v>
      </c>
      <c r="CL423" s="27" t="s">
        <v>7</v>
      </c>
    </row>
    <row r="424" spans="1:96" x14ac:dyDescent="0.25">
      <c r="A424" s="7">
        <v>25.224815430299277</v>
      </c>
      <c r="B424"/>
      <c r="C424"/>
      <c r="D424"/>
      <c r="E424"/>
      <c r="AS424" s="27" t="s">
        <v>8</v>
      </c>
      <c r="AT424" s="27" t="s">
        <v>7</v>
      </c>
      <c r="AU424" s="27" t="s">
        <v>8</v>
      </c>
      <c r="AV424" s="27" t="s">
        <v>7</v>
      </c>
      <c r="AW424" s="27" t="s">
        <v>8</v>
      </c>
      <c r="AX424" s="27" t="s">
        <v>7</v>
      </c>
      <c r="AY424" s="27" t="s">
        <v>8</v>
      </c>
      <c r="AZ424" s="27" t="s">
        <v>7</v>
      </c>
      <c r="BA424" s="27" t="s">
        <v>8</v>
      </c>
      <c r="BB424" s="27" t="s">
        <v>7</v>
      </c>
      <c r="BP424" s="27" t="s">
        <v>7</v>
      </c>
      <c r="BQ424" s="27" t="s">
        <v>8</v>
      </c>
      <c r="BT424" s="27" t="s">
        <v>7</v>
      </c>
      <c r="BU424" s="27" t="s">
        <v>8</v>
      </c>
      <c r="BV424" s="27" t="s">
        <v>7</v>
      </c>
      <c r="BW424" s="27" t="s">
        <v>8</v>
      </c>
      <c r="BX424" s="27" t="s">
        <v>7</v>
      </c>
      <c r="BY424" s="27" t="s">
        <v>8</v>
      </c>
      <c r="BZ424" s="27" t="s">
        <v>7</v>
      </c>
      <c r="CA424" s="27" t="s">
        <v>8</v>
      </c>
      <c r="CB424" s="27" t="s">
        <v>7</v>
      </c>
      <c r="CG424" s="27" t="s">
        <v>8</v>
      </c>
      <c r="CH424" s="27" t="s">
        <v>7</v>
      </c>
      <c r="CI424" s="27" t="s">
        <v>8</v>
      </c>
      <c r="CJ424" s="27" t="s">
        <v>7</v>
      </c>
      <c r="CK424" s="27" t="s">
        <v>8</v>
      </c>
      <c r="CL424" s="27" t="s">
        <v>7</v>
      </c>
      <c r="CM424" s="27" t="s">
        <v>8</v>
      </c>
    </row>
    <row r="425" spans="1:96" x14ac:dyDescent="0.25">
      <c r="A425" s="7">
        <v>24.73021120617576</v>
      </c>
      <c r="B425"/>
      <c r="C425"/>
      <c r="D425"/>
      <c r="E425"/>
      <c r="AS425" s="27" t="s">
        <v>8</v>
      </c>
      <c r="AT425" s="27" t="s">
        <v>7</v>
      </c>
      <c r="AV425" s="27" t="s">
        <v>7</v>
      </c>
      <c r="AW425" s="27" t="s">
        <v>8</v>
      </c>
      <c r="AX425" s="27" t="s">
        <v>7</v>
      </c>
      <c r="AY425" s="27" t="s">
        <v>8</v>
      </c>
      <c r="AZ425" s="27" t="s">
        <v>7</v>
      </c>
      <c r="BA425" s="27" t="s">
        <v>8</v>
      </c>
      <c r="BP425" s="27" t="s">
        <v>7</v>
      </c>
      <c r="BQ425" s="27" t="s">
        <v>8</v>
      </c>
      <c r="BT425" s="27" t="s">
        <v>7</v>
      </c>
      <c r="BU425" s="27" t="s">
        <v>8</v>
      </c>
      <c r="BV425" s="27" t="s">
        <v>7</v>
      </c>
      <c r="BW425" s="27" t="s">
        <v>8</v>
      </c>
      <c r="BX425" s="27" t="s">
        <v>7</v>
      </c>
      <c r="BY425" s="27" t="s">
        <v>8</v>
      </c>
      <c r="BZ425" s="27" t="s">
        <v>7</v>
      </c>
      <c r="CA425" s="27" t="s">
        <v>8</v>
      </c>
      <c r="CB425" s="27" t="s">
        <v>7</v>
      </c>
      <c r="CC425" s="27" t="s">
        <v>8</v>
      </c>
      <c r="CG425" s="27" t="s">
        <v>8</v>
      </c>
      <c r="CH425" s="27" t="s">
        <v>7</v>
      </c>
      <c r="CI425" s="27" t="s">
        <v>8</v>
      </c>
      <c r="CJ425" s="27" t="s">
        <v>7</v>
      </c>
      <c r="CL425" s="27" t="s">
        <v>7</v>
      </c>
      <c r="CM425" s="27" t="s">
        <v>8</v>
      </c>
      <c r="CN425" s="27" t="s">
        <v>7</v>
      </c>
      <c r="CO425" s="27" t="s">
        <v>8</v>
      </c>
    </row>
    <row r="426" spans="1:96" x14ac:dyDescent="0.25">
      <c r="A426" s="7">
        <v>24.24530510409388</v>
      </c>
      <c r="B426"/>
      <c r="C426"/>
      <c r="D426"/>
      <c r="E426"/>
      <c r="AS426" s="27" t="s">
        <v>8</v>
      </c>
      <c r="AV426" s="27" t="s">
        <v>7</v>
      </c>
      <c r="AW426" s="27" t="s">
        <v>8</v>
      </c>
      <c r="AX426" s="27" t="s">
        <v>7</v>
      </c>
      <c r="AY426" s="27" t="s">
        <v>8</v>
      </c>
      <c r="AZ426" s="27" t="s">
        <v>7</v>
      </c>
      <c r="BA426" s="27" t="s">
        <v>8</v>
      </c>
      <c r="BP426" s="27" t="s">
        <v>7</v>
      </c>
      <c r="BQ426" s="27" t="s">
        <v>8</v>
      </c>
      <c r="BT426" s="27" t="s">
        <v>7</v>
      </c>
      <c r="BU426" s="27" t="s">
        <v>8</v>
      </c>
      <c r="BV426" s="27" t="s">
        <v>7</v>
      </c>
      <c r="BX426" s="27" t="s">
        <v>7</v>
      </c>
      <c r="BY426" s="27" t="s">
        <v>8</v>
      </c>
      <c r="BZ426" s="27" t="s">
        <v>7</v>
      </c>
      <c r="CA426" s="27" t="s">
        <v>8</v>
      </c>
      <c r="CB426" s="27" t="s">
        <v>7</v>
      </c>
      <c r="CC426" s="27" t="s">
        <v>8</v>
      </c>
      <c r="CD426" s="27" t="s">
        <v>7</v>
      </c>
      <c r="CG426" s="27" t="s">
        <v>8</v>
      </c>
      <c r="CH426" s="27" t="s">
        <v>7</v>
      </c>
      <c r="CI426" s="27" t="s">
        <v>8</v>
      </c>
      <c r="CL426" s="27" t="s">
        <v>7</v>
      </c>
      <c r="CM426" s="27" t="s">
        <v>8</v>
      </c>
      <c r="CN426" s="27" t="s">
        <v>7</v>
      </c>
      <c r="CO426" s="27" t="s">
        <v>8</v>
      </c>
      <c r="CP426" s="27" t="s">
        <v>7</v>
      </c>
    </row>
    <row r="427" spans="1:96" x14ac:dyDescent="0.25">
      <c r="A427" s="7">
        <v>23.769906964797922</v>
      </c>
      <c r="B427"/>
      <c r="C427"/>
      <c r="D427"/>
      <c r="E427"/>
      <c r="AS427" s="27" t="s">
        <v>8</v>
      </c>
      <c r="AV427" s="27" t="s">
        <v>7</v>
      </c>
      <c r="AW427" s="27" t="s">
        <v>8</v>
      </c>
      <c r="AX427" s="27" t="s">
        <v>7</v>
      </c>
      <c r="AY427" s="27" t="s">
        <v>8</v>
      </c>
      <c r="AZ427" s="27" t="s">
        <v>7</v>
      </c>
      <c r="BA427" s="27" t="s">
        <v>8</v>
      </c>
      <c r="BP427" s="27" t="s">
        <v>7</v>
      </c>
      <c r="BQ427" s="27" t="s">
        <v>8</v>
      </c>
      <c r="BT427" s="27" t="s">
        <v>7</v>
      </c>
      <c r="BX427" s="27" t="s">
        <v>7</v>
      </c>
      <c r="BZ427" s="27" t="s">
        <v>7</v>
      </c>
      <c r="CA427" s="27" t="s">
        <v>8</v>
      </c>
      <c r="CB427" s="27" t="s">
        <v>7</v>
      </c>
      <c r="CC427" s="27" t="s">
        <v>8</v>
      </c>
      <c r="CD427" s="27" t="s">
        <v>7</v>
      </c>
      <c r="CG427" s="27" t="s">
        <v>8</v>
      </c>
      <c r="CH427" s="27" t="s">
        <v>7</v>
      </c>
      <c r="CL427" s="27" t="s">
        <v>7</v>
      </c>
      <c r="CN427" s="27" t="s">
        <v>7</v>
      </c>
      <c r="CO427" s="27" t="s">
        <v>8</v>
      </c>
      <c r="CP427" s="27" t="s">
        <v>7</v>
      </c>
      <c r="CQ427" s="27" t="s">
        <v>8</v>
      </c>
    </row>
    <row r="428" spans="1:96" x14ac:dyDescent="0.25">
      <c r="A428" s="7">
        <v>23.303830357645023</v>
      </c>
      <c r="B428"/>
      <c r="C428"/>
      <c r="D428"/>
      <c r="E428"/>
      <c r="AS428" s="27" t="s">
        <v>8</v>
      </c>
      <c r="AV428" s="27" t="s">
        <v>7</v>
      </c>
      <c r="AW428" s="27" t="s">
        <v>8</v>
      </c>
      <c r="AX428" s="27" t="s">
        <v>7</v>
      </c>
      <c r="AY428" s="27" t="s">
        <v>8</v>
      </c>
      <c r="AZ428" s="27" t="s">
        <v>7</v>
      </c>
      <c r="BA428" s="27" t="s">
        <v>8</v>
      </c>
      <c r="BP428" s="27" t="s">
        <v>7</v>
      </c>
      <c r="BQ428" s="27" t="s">
        <v>8</v>
      </c>
      <c r="BZ428" s="27" t="s">
        <v>7</v>
      </c>
      <c r="CA428" s="27" t="s">
        <v>8</v>
      </c>
      <c r="CB428" s="27" t="s">
        <v>7</v>
      </c>
      <c r="CC428" s="27" t="s">
        <v>8</v>
      </c>
      <c r="CD428" s="27" t="s">
        <v>7</v>
      </c>
      <c r="CG428" s="27" t="s">
        <v>8</v>
      </c>
      <c r="CN428" s="27" t="s">
        <v>7</v>
      </c>
      <c r="CO428" s="27" t="s">
        <v>8</v>
      </c>
      <c r="CP428" s="27" t="s">
        <v>7</v>
      </c>
      <c r="CQ428" s="27" t="s">
        <v>8</v>
      </c>
      <c r="CR428" s="27" t="s">
        <v>7</v>
      </c>
    </row>
    <row r="429" spans="1:96" x14ac:dyDescent="0.25">
      <c r="A429" s="7">
        <v>22.84689250749512</v>
      </c>
      <c r="B429"/>
      <c r="C429"/>
      <c r="D429"/>
      <c r="E429"/>
      <c r="AS429" s="27" t="s">
        <v>8</v>
      </c>
      <c r="AV429" s="27" t="s">
        <v>7</v>
      </c>
      <c r="AW429" s="27" t="s">
        <v>8</v>
      </c>
      <c r="AX429" s="27" t="s">
        <v>7</v>
      </c>
      <c r="AY429" s="27" t="s">
        <v>8</v>
      </c>
      <c r="AZ429" s="27" t="s">
        <v>7</v>
      </c>
      <c r="BA429" s="27" t="s">
        <v>8</v>
      </c>
      <c r="BP429" s="27" t="s">
        <v>7</v>
      </c>
      <c r="BQ429" s="27" t="s">
        <v>8</v>
      </c>
      <c r="BZ429" s="27" t="s">
        <v>7</v>
      </c>
      <c r="CA429" s="27" t="s">
        <v>8</v>
      </c>
      <c r="CB429" s="27" t="s">
        <v>7</v>
      </c>
      <c r="CC429" s="27" t="s">
        <v>8</v>
      </c>
      <c r="CD429" s="27" t="s">
        <v>7</v>
      </c>
      <c r="CG429" s="27" t="s">
        <v>8</v>
      </c>
      <c r="CN429" s="27" t="s">
        <v>7</v>
      </c>
      <c r="CO429" s="27" t="s">
        <v>8</v>
      </c>
      <c r="CP429" s="27" t="s">
        <v>7</v>
      </c>
      <c r="CQ429" s="27" t="s">
        <v>8</v>
      </c>
      <c r="CR429" s="27" t="s">
        <v>7</v>
      </c>
    </row>
    <row r="430" spans="1:96" x14ac:dyDescent="0.25">
      <c r="A430" s="7">
        <v>22.398914223034431</v>
      </c>
      <c r="B430"/>
      <c r="C430"/>
      <c r="D430"/>
      <c r="E430"/>
      <c r="AS430" s="27" t="s">
        <v>8</v>
      </c>
      <c r="AV430" s="27" t="s">
        <v>7</v>
      </c>
      <c r="AW430" s="27" t="s">
        <v>8</v>
      </c>
      <c r="AX430" s="27" t="s">
        <v>7</v>
      </c>
      <c r="AY430" s="27" t="s">
        <v>8</v>
      </c>
      <c r="AZ430" s="27" t="s">
        <v>7</v>
      </c>
      <c r="BA430" s="27" t="s">
        <v>8</v>
      </c>
      <c r="BP430" s="27" t="s">
        <v>7</v>
      </c>
      <c r="BQ430" s="27" t="s">
        <v>8</v>
      </c>
      <c r="BZ430" s="27" t="s">
        <v>7</v>
      </c>
      <c r="CA430" s="27" t="s">
        <v>8</v>
      </c>
      <c r="CB430" s="27" t="s">
        <v>7</v>
      </c>
      <c r="CC430" s="27" t="s">
        <v>8</v>
      </c>
      <c r="CD430" s="27" t="s">
        <v>7</v>
      </c>
      <c r="CG430" s="27" t="s">
        <v>8</v>
      </c>
      <c r="CN430" s="27" t="s">
        <v>7</v>
      </c>
      <c r="CO430" s="27" t="s">
        <v>8</v>
      </c>
      <c r="CP430" s="27" t="s">
        <v>7</v>
      </c>
      <c r="CQ430" s="27" t="s">
        <v>8</v>
      </c>
      <c r="CR430" s="27" t="s">
        <v>7</v>
      </c>
    </row>
    <row r="431" spans="1:96" x14ac:dyDescent="0.25">
      <c r="A431" s="7">
        <v>21.959719826504344</v>
      </c>
      <c r="B431"/>
      <c r="C431"/>
      <c r="D431"/>
      <c r="E431"/>
      <c r="AQ431" s="27" t="s">
        <v>8</v>
      </c>
      <c r="AS431" s="27" t="s">
        <v>8</v>
      </c>
      <c r="AV431" s="27" t="s">
        <v>7</v>
      </c>
      <c r="AW431" s="27" t="s">
        <v>8</v>
      </c>
      <c r="AX431" s="27" t="s">
        <v>7</v>
      </c>
      <c r="AY431" s="27" t="s">
        <v>8</v>
      </c>
      <c r="AZ431" s="27" t="s">
        <v>7</v>
      </c>
      <c r="BA431" s="27" t="s">
        <v>8</v>
      </c>
      <c r="BP431" s="27" t="s">
        <v>7</v>
      </c>
      <c r="BQ431" s="27" t="s">
        <v>8</v>
      </c>
      <c r="BZ431" s="27" t="s">
        <v>7</v>
      </c>
      <c r="CA431" s="27" t="s">
        <v>8</v>
      </c>
      <c r="CB431" s="27" t="s">
        <v>7</v>
      </c>
      <c r="CC431" s="27" t="s">
        <v>8</v>
      </c>
      <c r="CD431" s="27" t="s">
        <v>7</v>
      </c>
      <c r="CG431" s="27" t="s">
        <v>8</v>
      </c>
      <c r="CN431" s="27" t="s">
        <v>7</v>
      </c>
      <c r="CO431" s="27" t="s">
        <v>8</v>
      </c>
      <c r="CP431" s="27" t="s">
        <v>7</v>
      </c>
      <c r="CQ431" s="27" t="s">
        <v>8</v>
      </c>
      <c r="CR431" s="27" t="s">
        <v>7</v>
      </c>
    </row>
    <row r="432" spans="1:96" x14ac:dyDescent="0.25">
      <c r="A432" s="7">
        <v>21.52913708480818</v>
      </c>
      <c r="B432"/>
      <c r="C432"/>
      <c r="D432"/>
      <c r="E432"/>
      <c r="AQ432" s="27" t="s">
        <v>8</v>
      </c>
      <c r="AR432" s="27" t="s">
        <v>7</v>
      </c>
      <c r="AS432" s="27" t="s">
        <v>8</v>
      </c>
      <c r="AV432" s="27" t="s">
        <v>7</v>
      </c>
      <c r="AW432" s="27" t="s">
        <v>8</v>
      </c>
      <c r="AX432" s="27" t="s">
        <v>7</v>
      </c>
      <c r="AY432" s="27" t="s">
        <v>8</v>
      </c>
      <c r="AZ432" s="27" t="s">
        <v>7</v>
      </c>
      <c r="BA432" s="27" t="s">
        <v>8</v>
      </c>
      <c r="BP432" s="27" t="s">
        <v>7</v>
      </c>
      <c r="BQ432" s="27" t="s">
        <v>8</v>
      </c>
      <c r="BZ432" s="27" t="s">
        <v>7</v>
      </c>
      <c r="CA432" s="27" t="s">
        <v>8</v>
      </c>
      <c r="CB432" s="27" t="s">
        <v>7</v>
      </c>
      <c r="CD432" s="27" t="s">
        <v>7</v>
      </c>
      <c r="CE432" s="27" t="s">
        <v>8</v>
      </c>
      <c r="CG432" s="27" t="s">
        <v>8</v>
      </c>
      <c r="CN432" s="27" t="s">
        <v>7</v>
      </c>
      <c r="CO432" s="27" t="s">
        <v>8</v>
      </c>
      <c r="CP432" s="27" t="s">
        <v>7</v>
      </c>
      <c r="CQ432" s="27" t="s">
        <v>8</v>
      </c>
      <c r="CR432" s="27" t="s">
        <v>7</v>
      </c>
    </row>
    <row r="433" spans="1:98" x14ac:dyDescent="0.25">
      <c r="A433" s="7">
        <v>21.106997141968804</v>
      </c>
      <c r="B433"/>
      <c r="C433"/>
      <c r="D433"/>
      <c r="E433"/>
      <c r="AQ433" s="27" t="s">
        <v>8</v>
      </c>
      <c r="AR433" s="27" t="s">
        <v>7</v>
      </c>
      <c r="AS433" s="27" t="s">
        <v>8</v>
      </c>
      <c r="AV433" s="27" t="s">
        <v>7</v>
      </c>
      <c r="AW433" s="27" t="s">
        <v>8</v>
      </c>
      <c r="AX433" s="27" t="s">
        <v>7</v>
      </c>
      <c r="AZ433" s="27" t="s">
        <v>7</v>
      </c>
      <c r="BA433" s="27" t="s">
        <v>8</v>
      </c>
      <c r="BP433" s="27" t="s">
        <v>7</v>
      </c>
      <c r="BZ433" s="27" t="s">
        <v>7</v>
      </c>
      <c r="CA433" s="27" t="s">
        <v>8</v>
      </c>
      <c r="CD433" s="27" t="s">
        <v>7</v>
      </c>
      <c r="CE433" s="27" t="s">
        <v>8</v>
      </c>
      <c r="CF433" s="27" t="s">
        <v>7</v>
      </c>
      <c r="CG433" s="27" t="s">
        <v>8</v>
      </c>
      <c r="CN433" s="27" t="s">
        <v>7</v>
      </c>
      <c r="CO433" s="27" t="s">
        <v>8</v>
      </c>
      <c r="CP433" s="27" t="s">
        <v>7</v>
      </c>
      <c r="CQ433" s="27" t="s">
        <v>8</v>
      </c>
      <c r="CR433" s="27" t="s">
        <v>7</v>
      </c>
    </row>
    <row r="434" spans="1:98" x14ac:dyDescent="0.25">
      <c r="A434" s="7">
        <v>20.693134452910591</v>
      </c>
      <c r="B434"/>
      <c r="C434"/>
      <c r="D434"/>
      <c r="E434"/>
      <c r="AQ434" s="27" t="s">
        <v>8</v>
      </c>
      <c r="AR434" s="27" t="s">
        <v>7</v>
      </c>
      <c r="AS434" s="27" t="s">
        <v>8</v>
      </c>
      <c r="AV434" s="27" t="s">
        <v>7</v>
      </c>
      <c r="AW434" s="27" t="s">
        <v>8</v>
      </c>
      <c r="AZ434" s="27" t="s">
        <v>7</v>
      </c>
      <c r="BA434" s="27" t="s">
        <v>8</v>
      </c>
      <c r="BZ434" s="27" t="s">
        <v>7</v>
      </c>
      <c r="CA434" s="27" t="s">
        <v>8</v>
      </c>
      <c r="CD434" s="27" t="s">
        <v>7</v>
      </c>
      <c r="CE434" s="27" t="s">
        <v>8</v>
      </c>
      <c r="CF434" s="27" t="s">
        <v>7</v>
      </c>
      <c r="CG434" s="27" t="s">
        <v>8</v>
      </c>
      <c r="CN434" s="27" t="s">
        <v>7</v>
      </c>
      <c r="CO434" s="27" t="s">
        <v>8</v>
      </c>
      <c r="CP434" s="27" t="s">
        <v>7</v>
      </c>
      <c r="CQ434" s="27" t="s">
        <v>8</v>
      </c>
      <c r="CR434" s="27" t="s">
        <v>7</v>
      </c>
    </row>
    <row r="435" spans="1:98" x14ac:dyDescent="0.25">
      <c r="A435" s="7">
        <v>20.287386718539796</v>
      </c>
      <c r="B435"/>
      <c r="C435"/>
      <c r="D435"/>
      <c r="E435"/>
      <c r="AQ435" s="27" t="s">
        <v>8</v>
      </c>
      <c r="AR435" s="27" t="s">
        <v>7</v>
      </c>
      <c r="AS435" s="27" t="s">
        <v>8</v>
      </c>
      <c r="AV435" s="27" t="s">
        <v>7</v>
      </c>
      <c r="AW435" s="27" t="s">
        <v>8</v>
      </c>
      <c r="AZ435" s="27" t="s">
        <v>7</v>
      </c>
      <c r="BA435" s="27" t="s">
        <v>8</v>
      </c>
      <c r="BZ435" s="27" t="s">
        <v>7</v>
      </c>
      <c r="CA435" s="27" t="s">
        <v>8</v>
      </c>
      <c r="CD435" s="27" t="s">
        <v>7</v>
      </c>
      <c r="CE435" s="27" t="s">
        <v>8</v>
      </c>
      <c r="CF435" s="27" t="s">
        <v>7</v>
      </c>
      <c r="CG435" s="27" t="s">
        <v>8</v>
      </c>
      <c r="CN435" s="27" t="s">
        <v>7</v>
      </c>
      <c r="CP435" s="27" t="s">
        <v>7</v>
      </c>
      <c r="CQ435" s="27" t="s">
        <v>8</v>
      </c>
      <c r="CR435" s="27" t="s">
        <v>7</v>
      </c>
    </row>
    <row r="436" spans="1:98" x14ac:dyDescent="0.25">
      <c r="A436" s="7">
        <v>19.889594822097838</v>
      </c>
      <c r="B436"/>
      <c r="C436"/>
      <c r="D436"/>
      <c r="E436"/>
      <c r="AQ436" s="27" t="s">
        <v>8</v>
      </c>
      <c r="AR436" s="27" t="s">
        <v>7</v>
      </c>
      <c r="AS436" s="27" t="s">
        <v>8</v>
      </c>
      <c r="AV436" s="27" t="s">
        <v>7</v>
      </c>
      <c r="AW436" s="27" t="s">
        <v>8</v>
      </c>
      <c r="AZ436" s="27" t="s">
        <v>7</v>
      </c>
      <c r="BA436" s="27" t="s">
        <v>8</v>
      </c>
      <c r="BZ436" s="27" t="s">
        <v>7</v>
      </c>
      <c r="CA436" s="27" t="s">
        <v>8</v>
      </c>
      <c r="CD436" s="27" t="s">
        <v>7</v>
      </c>
      <c r="CE436" s="27" t="s">
        <v>8</v>
      </c>
      <c r="CF436" s="27" t="s">
        <v>7</v>
      </c>
      <c r="CG436" s="27" t="s">
        <v>8</v>
      </c>
      <c r="CP436" s="27" t="s">
        <v>7</v>
      </c>
      <c r="CQ436" s="27" t="s">
        <v>8</v>
      </c>
      <c r="CR436" s="27" t="s">
        <v>7</v>
      </c>
    </row>
    <row r="437" spans="1:98" x14ac:dyDescent="0.25">
      <c r="A437" s="7">
        <v>19.499602766762585</v>
      </c>
      <c r="B437"/>
      <c r="C437"/>
      <c r="D437"/>
      <c r="E437"/>
      <c r="AQ437" s="27" t="s">
        <v>8</v>
      </c>
      <c r="AR437" s="27" t="s">
        <v>7</v>
      </c>
      <c r="AS437" s="27" t="s">
        <v>8</v>
      </c>
      <c r="AV437" s="27" t="s">
        <v>7</v>
      </c>
      <c r="AW437" s="27" t="s">
        <v>8</v>
      </c>
      <c r="AZ437" s="27" t="s">
        <v>7</v>
      </c>
      <c r="BA437" s="27" t="s">
        <v>8</v>
      </c>
      <c r="BZ437" s="27" t="s">
        <v>7</v>
      </c>
      <c r="CA437" s="27" t="s">
        <v>8</v>
      </c>
      <c r="CD437" s="27" t="s">
        <v>7</v>
      </c>
      <c r="CE437" s="27" t="s">
        <v>8</v>
      </c>
      <c r="CF437" s="27" t="s">
        <v>7</v>
      </c>
      <c r="CG437" s="27" t="s">
        <v>8</v>
      </c>
      <c r="CP437" s="27" t="s">
        <v>7</v>
      </c>
      <c r="CQ437" s="27" t="s">
        <v>8</v>
      </c>
      <c r="CR437" s="27" t="s">
        <v>7</v>
      </c>
    </row>
    <row r="438" spans="1:98" x14ac:dyDescent="0.25">
      <c r="A438" s="7">
        <v>19.117257614473122</v>
      </c>
      <c r="B438"/>
      <c r="C438"/>
      <c r="D438"/>
      <c r="E438"/>
      <c r="AQ438" s="27" t="s">
        <v>8</v>
      </c>
      <c r="AR438" s="27" t="s">
        <v>7</v>
      </c>
      <c r="AS438" s="27" t="s">
        <v>8</v>
      </c>
      <c r="AV438" s="27" t="s">
        <v>7</v>
      </c>
      <c r="AW438" s="27" t="s">
        <v>8</v>
      </c>
      <c r="AZ438" s="27" t="s">
        <v>7</v>
      </c>
      <c r="BA438" s="27" t="s">
        <v>8</v>
      </c>
      <c r="BZ438" s="27" t="s">
        <v>7</v>
      </c>
      <c r="CA438" s="27" t="s">
        <v>8</v>
      </c>
      <c r="CD438" s="27" t="s">
        <v>7</v>
      </c>
      <c r="CE438" s="27" t="s">
        <v>8</v>
      </c>
      <c r="CF438" s="27" t="s">
        <v>7</v>
      </c>
      <c r="CG438" s="27" t="s">
        <v>8</v>
      </c>
      <c r="CP438" s="27" t="s">
        <v>7</v>
      </c>
      <c r="CR438" s="27" t="s">
        <v>7</v>
      </c>
    </row>
    <row r="439" spans="1:98" x14ac:dyDescent="0.25">
      <c r="A439" s="7">
        <v>18.74240942595404</v>
      </c>
      <c r="B439"/>
      <c r="C439"/>
      <c r="D439"/>
      <c r="E439"/>
      <c r="AQ439" s="27" t="s">
        <v>8</v>
      </c>
      <c r="AR439" s="27" t="s">
        <v>7</v>
      </c>
      <c r="AS439" s="27" t="s">
        <v>8</v>
      </c>
      <c r="AV439" s="27" t="s">
        <v>7</v>
      </c>
      <c r="AZ439" s="27" t="s">
        <v>7</v>
      </c>
      <c r="BA439" s="27" t="s">
        <v>8</v>
      </c>
      <c r="BZ439" s="27" t="s">
        <v>7</v>
      </c>
      <c r="CA439" s="27" t="s">
        <v>8</v>
      </c>
      <c r="CD439" s="27" t="s">
        <v>7</v>
      </c>
      <c r="CE439" s="27" t="s">
        <v>8</v>
      </c>
      <c r="CF439" s="27" t="s">
        <v>7</v>
      </c>
      <c r="CG439" s="27" t="s">
        <v>8</v>
      </c>
      <c r="CR439" s="27" t="s">
        <v>7</v>
      </c>
      <c r="CS439" s="27" t="s">
        <v>8</v>
      </c>
    </row>
    <row r="440" spans="1:98" x14ac:dyDescent="0.25">
      <c r="A440" s="7">
        <v>18.374911201915726</v>
      </c>
      <c r="B440"/>
      <c r="C440"/>
      <c r="D440"/>
      <c r="E440"/>
      <c r="AQ440" s="27" t="s">
        <v>8</v>
      </c>
      <c r="AR440" s="27" t="s">
        <v>7</v>
      </c>
      <c r="AS440" s="27" t="s">
        <v>8</v>
      </c>
      <c r="AZ440" s="27" t="s">
        <v>7</v>
      </c>
      <c r="BA440" s="27" t="s">
        <v>8</v>
      </c>
      <c r="BZ440" s="27" t="s">
        <v>7</v>
      </c>
      <c r="CA440" s="27" t="s">
        <v>8</v>
      </c>
      <c r="CD440" s="27" t="s">
        <v>7</v>
      </c>
      <c r="CE440" s="27" t="s">
        <v>8</v>
      </c>
      <c r="CF440" s="27" t="s">
        <v>7</v>
      </c>
      <c r="CG440" s="27" t="s">
        <v>8</v>
      </c>
      <c r="CR440" s="27" t="s">
        <v>7</v>
      </c>
      <c r="CS440" s="27" t="s">
        <v>8</v>
      </c>
      <c r="CT440" s="27" t="s">
        <v>7</v>
      </c>
    </row>
    <row r="441" spans="1:98" x14ac:dyDescent="0.25">
      <c r="A441" s="7">
        <v>18.014618825407574</v>
      </c>
      <c r="B441"/>
      <c r="C441"/>
      <c r="D441"/>
      <c r="E441"/>
      <c r="AQ441" s="27" t="s">
        <v>8</v>
      </c>
      <c r="AR441" s="27" t="s">
        <v>7</v>
      </c>
      <c r="AS441" s="27" t="s">
        <v>8</v>
      </c>
      <c r="AZ441" s="27" t="s">
        <v>7</v>
      </c>
      <c r="BA441" s="27" t="s">
        <v>8</v>
      </c>
      <c r="BZ441" s="27" t="s">
        <v>7</v>
      </c>
      <c r="CD441" s="27" t="s">
        <v>7</v>
      </c>
      <c r="CF441" s="27" t="s">
        <v>7</v>
      </c>
      <c r="CR441" s="27" t="s">
        <v>7</v>
      </c>
      <c r="CS441" s="27" t="s">
        <v>8</v>
      </c>
      <c r="CT441" s="27" t="s">
        <v>7</v>
      </c>
    </row>
    <row r="442" spans="1:98" x14ac:dyDescent="0.25">
      <c r="A442" s="7">
        <v>17.661391005301542</v>
      </c>
      <c r="B442"/>
      <c r="C442"/>
      <c r="D442"/>
      <c r="E442"/>
      <c r="AQ442" s="27" t="s">
        <v>8</v>
      </c>
      <c r="AR442" s="27" t="s">
        <v>7</v>
      </c>
      <c r="AS442" s="27" t="s">
        <v>8</v>
      </c>
      <c r="AZ442" s="27" t="s">
        <v>7</v>
      </c>
      <c r="BA442" s="27" t="s">
        <v>8</v>
      </c>
      <c r="CR442" s="27" t="s">
        <v>7</v>
      </c>
      <c r="CS442" s="27" t="s">
        <v>8</v>
      </c>
      <c r="CT442" s="27" t="s">
        <v>7</v>
      </c>
    </row>
    <row r="443" spans="1:98" x14ac:dyDescent="0.25">
      <c r="A443" s="7">
        <v>17.315089220883866</v>
      </c>
      <c r="B443"/>
      <c r="C443"/>
      <c r="D443"/>
      <c r="E443"/>
      <c r="AQ443" s="27" t="s">
        <v>8</v>
      </c>
      <c r="AR443" s="27" t="s">
        <v>7</v>
      </c>
      <c r="AS443" s="27" t="s">
        <v>8</v>
      </c>
      <c r="AZ443" s="27" t="s">
        <v>7</v>
      </c>
      <c r="BA443" s="27" t="s">
        <v>8</v>
      </c>
      <c r="CR443" s="27" t="s">
        <v>7</v>
      </c>
      <c r="CS443" s="27" t="s">
        <v>8</v>
      </c>
      <c r="CT443" s="27" t="s">
        <v>7</v>
      </c>
    </row>
    <row r="444" spans="1:98" x14ac:dyDescent="0.25">
      <c r="A444" s="7">
        <v>16.975577667533202</v>
      </c>
      <c r="B444"/>
      <c r="C444"/>
      <c r="D444"/>
      <c r="E444"/>
      <c r="AQ444" s="27" t="s">
        <v>8</v>
      </c>
      <c r="AR444" s="27" t="s">
        <v>7</v>
      </c>
      <c r="AZ444" s="27" t="s">
        <v>7</v>
      </c>
      <c r="BA444" s="27" t="s">
        <v>8</v>
      </c>
      <c r="CR444" s="27" t="s">
        <v>7</v>
      </c>
      <c r="CT444" s="27" t="s">
        <v>7</v>
      </c>
    </row>
    <row r="445" spans="1:98" x14ac:dyDescent="0.25">
      <c r="A445" s="7">
        <v>16.642723203463923</v>
      </c>
      <c r="B445"/>
      <c r="C445"/>
      <c r="D445"/>
      <c r="E445"/>
      <c r="AQ445" s="27" t="s">
        <v>8</v>
      </c>
      <c r="AZ445" s="27" t="s">
        <v>7</v>
      </c>
      <c r="CT445" s="27" t="s">
        <v>7</v>
      </c>
    </row>
    <row r="446" spans="1:98" x14ac:dyDescent="0.25">
      <c r="A446" s="7">
        <v>16.316395297513651</v>
      </c>
      <c r="B446"/>
      <c r="C446"/>
      <c r="D446"/>
      <c r="E446"/>
      <c r="AQ446" s="27" t="s">
        <v>8</v>
      </c>
      <c r="CT446" s="27" t="s">
        <v>7</v>
      </c>
    </row>
    <row r="447" spans="1:98" x14ac:dyDescent="0.25">
      <c r="A447" s="7">
        <v>15.996465977954561</v>
      </c>
      <c r="B447"/>
      <c r="C447"/>
      <c r="D447"/>
      <c r="E447"/>
      <c r="AQ447" s="27" t="s">
        <v>8</v>
      </c>
      <c r="CT447" s="27" t="s">
        <v>7</v>
      </c>
    </row>
    <row r="448" spans="1:98" x14ac:dyDescent="0.25">
      <c r="A448" s="7">
        <v>15.682809782308393</v>
      </c>
      <c r="B448"/>
      <c r="C448"/>
      <c r="D448"/>
      <c r="E448"/>
      <c r="AQ448" s="27" t="s">
        <v>8</v>
      </c>
      <c r="CT448" s="27" t="s">
        <v>7</v>
      </c>
    </row>
    <row r="449" spans="1:210" x14ac:dyDescent="0.25">
      <c r="A449" s="7">
        <v>15.375303708145482</v>
      </c>
      <c r="B449"/>
      <c r="C449"/>
      <c r="D449"/>
      <c r="E449"/>
      <c r="M449" s="27" t="s">
        <v>8</v>
      </c>
      <c r="AQ449" s="27" t="s">
        <v>8</v>
      </c>
      <c r="CT449" s="27" t="s">
        <v>7</v>
      </c>
      <c r="ES449" s="27" t="s">
        <v>8</v>
      </c>
    </row>
    <row r="450" spans="1:210" x14ac:dyDescent="0.25">
      <c r="A450" s="7">
        <v>15.073827164848511</v>
      </c>
      <c r="B450"/>
      <c r="C450"/>
      <c r="D450"/>
      <c r="E450"/>
      <c r="M450" s="27" t="s">
        <v>8</v>
      </c>
      <c r="N450" s="27" t="s">
        <v>7</v>
      </c>
      <c r="AQ450" s="27" t="s">
        <v>8</v>
      </c>
      <c r="CT450" s="27" t="s">
        <v>7</v>
      </c>
      <c r="ES450" s="27" t="s">
        <v>8</v>
      </c>
      <c r="ET450" s="27" t="s">
        <v>7</v>
      </c>
      <c r="FA450" s="27" t="s">
        <v>8</v>
      </c>
    </row>
    <row r="451" spans="1:210" x14ac:dyDescent="0.25">
      <c r="A451" s="7">
        <v>14.77826192632207</v>
      </c>
      <c r="B451"/>
      <c r="C451"/>
      <c r="D451"/>
      <c r="E451"/>
      <c r="M451" s="27" t="s">
        <v>8</v>
      </c>
      <c r="N451" s="27" t="s">
        <v>7</v>
      </c>
      <c r="AQ451" s="27" t="s">
        <v>8</v>
      </c>
      <c r="CT451" s="27" t="s">
        <v>7</v>
      </c>
      <c r="ES451" s="27" t="s">
        <v>8</v>
      </c>
      <c r="ET451" s="27" t="s">
        <v>7</v>
      </c>
      <c r="FA451" s="27" t="s">
        <v>8</v>
      </c>
      <c r="FB451" s="27" t="s">
        <v>7</v>
      </c>
    </row>
    <row r="452" spans="1:210" x14ac:dyDescent="0.25">
      <c r="A452" s="7">
        <v>14.488492084629481</v>
      </c>
      <c r="B452"/>
      <c r="C452"/>
      <c r="D452"/>
      <c r="E452"/>
      <c r="M452" s="27" t="s">
        <v>8</v>
      </c>
      <c r="N452" s="27" t="s">
        <v>7</v>
      </c>
      <c r="AQ452" s="27" t="s">
        <v>8</v>
      </c>
      <c r="CT452" s="27" t="s">
        <v>7</v>
      </c>
      <c r="EO452" s="27" t="s">
        <v>8</v>
      </c>
      <c r="ES452" s="27" t="s">
        <v>8</v>
      </c>
      <c r="ET452" s="27" t="s">
        <v>7</v>
      </c>
      <c r="FA452" s="27" t="s">
        <v>8</v>
      </c>
      <c r="FB452" s="27" t="s">
        <v>7</v>
      </c>
    </row>
    <row r="453" spans="1:210" x14ac:dyDescent="0.25">
      <c r="A453" s="7">
        <v>14.204404004538707</v>
      </c>
      <c r="B453"/>
      <c r="C453"/>
      <c r="D453"/>
      <c r="E453"/>
      <c r="M453" s="27" t="s">
        <v>8</v>
      </c>
      <c r="N453" s="27" t="s">
        <v>7</v>
      </c>
      <c r="Q453" s="27" t="s">
        <v>8</v>
      </c>
      <c r="AQ453" s="27" t="s">
        <v>8</v>
      </c>
      <c r="CT453" s="27" t="s">
        <v>7</v>
      </c>
      <c r="CY453" s="27" t="s">
        <v>8</v>
      </c>
      <c r="EO453" s="27" t="s">
        <v>8</v>
      </c>
      <c r="EP453" s="27" t="s">
        <v>7</v>
      </c>
      <c r="EQ453" s="27" t="s">
        <v>8</v>
      </c>
      <c r="ES453" s="27" t="s">
        <v>8</v>
      </c>
      <c r="ET453" s="27" t="s">
        <v>7</v>
      </c>
      <c r="FA453" s="27" t="s">
        <v>8</v>
      </c>
      <c r="FB453" s="27" t="s">
        <v>7</v>
      </c>
    </row>
    <row r="454" spans="1:210" x14ac:dyDescent="0.25">
      <c r="A454" s="7">
        <v>13.925886278959517</v>
      </c>
      <c r="B454"/>
      <c r="C454"/>
      <c r="D454"/>
      <c r="E454"/>
      <c r="M454" s="27" t="s">
        <v>8</v>
      </c>
      <c r="N454" s="27" t="s">
        <v>7</v>
      </c>
      <c r="O454" s="27" t="s">
        <v>8</v>
      </c>
      <c r="Q454" s="27" t="s">
        <v>8</v>
      </c>
      <c r="R454" s="27" t="s">
        <v>7</v>
      </c>
      <c r="AQ454" s="27" t="s">
        <v>8</v>
      </c>
      <c r="CT454" s="27" t="s">
        <v>7</v>
      </c>
      <c r="CY454" s="27" t="s">
        <v>8</v>
      </c>
      <c r="CZ454" s="27" t="s">
        <v>7</v>
      </c>
      <c r="EM454" s="27" t="s">
        <v>8</v>
      </c>
      <c r="EO454" s="27" t="s">
        <v>8</v>
      </c>
      <c r="EP454" s="27" t="s">
        <v>7</v>
      </c>
      <c r="EQ454" s="27" t="s">
        <v>8</v>
      </c>
      <c r="ER454" s="27" t="s">
        <v>7</v>
      </c>
      <c r="ES454" s="27" t="s">
        <v>8</v>
      </c>
      <c r="ET454" s="27" t="s">
        <v>7</v>
      </c>
      <c r="FA454" s="27" t="s">
        <v>8</v>
      </c>
      <c r="FB454" s="27" t="s">
        <v>7</v>
      </c>
    </row>
    <row r="455" spans="1:210" x14ac:dyDescent="0.25">
      <c r="A455" s="7">
        <v>13.652829685254428</v>
      </c>
      <c r="B455"/>
      <c r="C455"/>
      <c r="D455"/>
      <c r="E455"/>
      <c r="M455" s="27" t="s">
        <v>8</v>
      </c>
      <c r="N455" s="27" t="s">
        <v>7</v>
      </c>
      <c r="O455" s="27" t="s">
        <v>8</v>
      </c>
      <c r="P455" s="27" t="s">
        <v>7</v>
      </c>
      <c r="Q455" s="27" t="s">
        <v>8</v>
      </c>
      <c r="R455" s="27" t="s">
        <v>7</v>
      </c>
      <c r="AQ455" s="27" t="s">
        <v>8</v>
      </c>
      <c r="CT455" s="27" t="s">
        <v>7</v>
      </c>
      <c r="CW455" s="27" t="s">
        <v>8</v>
      </c>
      <c r="CY455" s="27" t="s">
        <v>8</v>
      </c>
      <c r="CZ455" s="27" t="s">
        <v>7</v>
      </c>
      <c r="EK455" s="27" t="s">
        <v>8</v>
      </c>
      <c r="EM455" s="27" t="s">
        <v>8</v>
      </c>
      <c r="EN455" s="27" t="s">
        <v>7</v>
      </c>
      <c r="EO455" s="27" t="s">
        <v>8</v>
      </c>
      <c r="EP455" s="27" t="s">
        <v>7</v>
      </c>
      <c r="EQ455" s="27" t="s">
        <v>8</v>
      </c>
      <c r="ER455" s="27" t="s">
        <v>7</v>
      </c>
      <c r="ES455" s="27" t="s">
        <v>8</v>
      </c>
      <c r="ET455" s="27" t="s">
        <v>7</v>
      </c>
      <c r="EU455" s="27" t="s">
        <v>8</v>
      </c>
      <c r="EW455" s="27" t="s">
        <v>8</v>
      </c>
      <c r="EY455" s="27" t="s">
        <v>8</v>
      </c>
      <c r="FA455" s="27" t="s">
        <v>8</v>
      </c>
      <c r="FB455" s="27" t="s">
        <v>7</v>
      </c>
      <c r="GK455" s="27" t="s">
        <v>8</v>
      </c>
    </row>
    <row r="456" spans="1:210" x14ac:dyDescent="0.25">
      <c r="A456" s="7">
        <v>13.385127142406303</v>
      </c>
      <c r="B456"/>
      <c r="C456"/>
      <c r="D456"/>
      <c r="E456"/>
      <c r="M456" s="27" t="s">
        <v>8</v>
      </c>
      <c r="N456" s="27" t="s">
        <v>7</v>
      </c>
      <c r="O456" s="27" t="s">
        <v>8</v>
      </c>
      <c r="P456" s="27" t="s">
        <v>7</v>
      </c>
      <c r="Q456" s="27" t="s">
        <v>8</v>
      </c>
      <c r="R456" s="27" t="s">
        <v>7</v>
      </c>
      <c r="AQ456" s="27" t="s">
        <v>8</v>
      </c>
      <c r="CT456" s="27" t="s">
        <v>7</v>
      </c>
      <c r="CW456" s="27" t="s">
        <v>8</v>
      </c>
      <c r="CX456" s="27" t="s">
        <v>7</v>
      </c>
      <c r="CY456" s="27" t="s">
        <v>8</v>
      </c>
      <c r="CZ456" s="27" t="s">
        <v>7</v>
      </c>
      <c r="EK456" s="27" t="s">
        <v>8</v>
      </c>
      <c r="EL456" s="27" t="s">
        <v>7</v>
      </c>
      <c r="EM456" s="27" t="s">
        <v>8</v>
      </c>
      <c r="EN456" s="27" t="s">
        <v>7</v>
      </c>
      <c r="EO456" s="27" t="s">
        <v>8</v>
      </c>
      <c r="EP456" s="27" t="s">
        <v>7</v>
      </c>
      <c r="EQ456" s="27" t="s">
        <v>8</v>
      </c>
      <c r="ER456" s="27" t="s">
        <v>7</v>
      </c>
      <c r="ET456" s="27" t="s">
        <v>7</v>
      </c>
      <c r="EU456" s="27" t="s">
        <v>8</v>
      </c>
      <c r="EV456" s="27" t="s">
        <v>7</v>
      </c>
      <c r="EW456" s="27" t="s">
        <v>8</v>
      </c>
      <c r="EX456" s="27" t="s">
        <v>7</v>
      </c>
      <c r="EY456" s="27" t="s">
        <v>8</v>
      </c>
      <c r="EZ456" s="27" t="s">
        <v>7</v>
      </c>
      <c r="FA456" s="27" t="s">
        <v>8</v>
      </c>
      <c r="FB456" s="27" t="s">
        <v>7</v>
      </c>
      <c r="GK456" s="27" t="s">
        <v>8</v>
      </c>
      <c r="GL456" s="27" t="s">
        <v>7</v>
      </c>
      <c r="GM456" s="27" t="s">
        <v>8</v>
      </c>
      <c r="HA456" s="27" t="s">
        <v>8</v>
      </c>
    </row>
    <row r="457" spans="1:210" x14ac:dyDescent="0.25">
      <c r="A457" s="7">
        <v>13.122673669025787</v>
      </c>
      <c r="B457"/>
      <c r="C457"/>
      <c r="D457"/>
      <c r="E457"/>
      <c r="M457" s="27" t="s">
        <v>8</v>
      </c>
      <c r="N457" s="27" t="s">
        <v>7</v>
      </c>
      <c r="O457" s="27" t="s">
        <v>8</v>
      </c>
      <c r="P457" s="27" t="s">
        <v>7</v>
      </c>
      <c r="Q457" s="27" t="s">
        <v>8</v>
      </c>
      <c r="R457" s="27" t="s">
        <v>7</v>
      </c>
      <c r="AQ457" s="27" t="s">
        <v>8</v>
      </c>
      <c r="CT457" s="27" t="s">
        <v>7</v>
      </c>
      <c r="CW457" s="27" t="s">
        <v>8</v>
      </c>
      <c r="CX457" s="27" t="s">
        <v>7</v>
      </c>
      <c r="CY457" s="27" t="s">
        <v>8</v>
      </c>
      <c r="CZ457" s="27" t="s">
        <v>7</v>
      </c>
      <c r="EK457" s="27" t="s">
        <v>8</v>
      </c>
      <c r="EL457" s="27" t="s">
        <v>7</v>
      </c>
      <c r="EM457" s="27" t="s">
        <v>8</v>
      </c>
      <c r="EN457" s="27" t="s">
        <v>7</v>
      </c>
      <c r="EP457" s="27" t="s">
        <v>7</v>
      </c>
      <c r="EQ457" s="27" t="s">
        <v>8</v>
      </c>
      <c r="ET457" s="27" t="s">
        <v>7</v>
      </c>
      <c r="EU457" s="27" t="s">
        <v>8</v>
      </c>
      <c r="EV457" s="27" t="s">
        <v>7</v>
      </c>
      <c r="EW457" s="27" t="s">
        <v>8</v>
      </c>
      <c r="EX457" s="27" t="s">
        <v>7</v>
      </c>
      <c r="EY457" s="27" t="s">
        <v>8</v>
      </c>
      <c r="EZ457" s="27" t="s">
        <v>7</v>
      </c>
      <c r="FA457" s="27" t="s">
        <v>8</v>
      </c>
      <c r="FB457" s="27" t="s">
        <v>7</v>
      </c>
      <c r="GG457" s="27" t="s">
        <v>8</v>
      </c>
      <c r="GK457" s="27" t="s">
        <v>8</v>
      </c>
      <c r="GL457" s="27" t="s">
        <v>7</v>
      </c>
      <c r="GM457" s="27" t="s">
        <v>8</v>
      </c>
      <c r="GN457" s="27" t="s">
        <v>7</v>
      </c>
      <c r="GQ457" s="27" t="s">
        <v>8</v>
      </c>
      <c r="HA457" s="27" t="s">
        <v>8</v>
      </c>
      <c r="HB457" s="27" t="s">
        <v>7</v>
      </c>
    </row>
    <row r="458" spans="1:210" x14ac:dyDescent="0.25">
      <c r="A458" s="7">
        <v>12.865366342182144</v>
      </c>
      <c r="B458"/>
      <c r="C458"/>
      <c r="D458"/>
      <c r="E458"/>
      <c r="M458" s="27" t="s">
        <v>8</v>
      </c>
      <c r="N458" s="27" t="s">
        <v>7</v>
      </c>
      <c r="O458" s="27" t="s">
        <v>8</v>
      </c>
      <c r="P458" s="27" t="s">
        <v>7</v>
      </c>
      <c r="Q458" s="27" t="s">
        <v>8</v>
      </c>
      <c r="R458" s="27" t="s">
        <v>7</v>
      </c>
      <c r="AQ458" s="27" t="s">
        <v>8</v>
      </c>
      <c r="CT458" s="27" t="s">
        <v>7</v>
      </c>
      <c r="CW458" s="27" t="s">
        <v>8</v>
      </c>
      <c r="CX458" s="27" t="s">
        <v>7</v>
      </c>
      <c r="CY458" s="27" t="s">
        <v>8</v>
      </c>
      <c r="CZ458" s="27" t="s">
        <v>7</v>
      </c>
      <c r="EK458" s="27" t="s">
        <v>8</v>
      </c>
      <c r="EL458" s="27" t="s">
        <v>7</v>
      </c>
      <c r="EM458" s="27" t="s">
        <v>8</v>
      </c>
      <c r="EP458" s="27" t="s">
        <v>7</v>
      </c>
      <c r="EQ458" s="27" t="s">
        <v>8</v>
      </c>
      <c r="ET458" s="27" t="s">
        <v>7</v>
      </c>
      <c r="EU458" s="27" t="s">
        <v>8</v>
      </c>
      <c r="EV458" s="27" t="s">
        <v>7</v>
      </c>
      <c r="EW458" s="27" t="s">
        <v>8</v>
      </c>
      <c r="EX458" s="27" t="s">
        <v>7</v>
      </c>
      <c r="EY458" s="27" t="s">
        <v>8</v>
      </c>
      <c r="EZ458" s="27" t="s">
        <v>7</v>
      </c>
      <c r="FB458" s="27" t="s">
        <v>7</v>
      </c>
      <c r="GG458" s="27" t="s">
        <v>8</v>
      </c>
      <c r="GH458" s="27" t="s">
        <v>7</v>
      </c>
      <c r="GK458" s="27" t="s">
        <v>8</v>
      </c>
      <c r="GL458" s="27" t="s">
        <v>7</v>
      </c>
      <c r="GM458" s="27" t="s">
        <v>8</v>
      </c>
      <c r="GN458" s="27" t="s">
        <v>7</v>
      </c>
      <c r="GQ458" s="27" t="s">
        <v>8</v>
      </c>
      <c r="GR458" s="27" t="s">
        <v>7</v>
      </c>
      <c r="HA458" s="27" t="s">
        <v>8</v>
      </c>
      <c r="HB458" s="27" t="s">
        <v>7</v>
      </c>
    </row>
    <row r="459" spans="1:210" x14ac:dyDescent="0.25">
      <c r="A459" s="7">
        <v>12.613104257041318</v>
      </c>
      <c r="B459"/>
      <c r="C459"/>
      <c r="D459"/>
      <c r="E459"/>
      <c r="M459" s="27" t="s">
        <v>8</v>
      </c>
      <c r="N459" s="27" t="s">
        <v>7</v>
      </c>
      <c r="O459" s="27" t="s">
        <v>8</v>
      </c>
      <c r="P459" s="27" t="s">
        <v>7</v>
      </c>
      <c r="Q459" s="27" t="s">
        <v>8</v>
      </c>
      <c r="R459" s="27" t="s">
        <v>7</v>
      </c>
      <c r="AQ459" s="27" t="s">
        <v>8</v>
      </c>
      <c r="CT459" s="27" t="s">
        <v>7</v>
      </c>
      <c r="CW459" s="27" t="s">
        <v>8</v>
      </c>
      <c r="CX459" s="27" t="s">
        <v>7</v>
      </c>
      <c r="CY459" s="27" t="s">
        <v>8</v>
      </c>
      <c r="CZ459" s="27" t="s">
        <v>7</v>
      </c>
      <c r="EK459" s="27" t="s">
        <v>8</v>
      </c>
      <c r="EL459" s="27" t="s">
        <v>7</v>
      </c>
      <c r="EM459" s="27" t="s">
        <v>8</v>
      </c>
      <c r="EP459" s="27" t="s">
        <v>7</v>
      </c>
      <c r="EQ459" s="27" t="s">
        <v>8</v>
      </c>
      <c r="ET459" s="27" t="s">
        <v>7</v>
      </c>
      <c r="EU459" s="27" t="s">
        <v>8</v>
      </c>
      <c r="EV459" s="27" t="s">
        <v>7</v>
      </c>
      <c r="EW459" s="27" t="s">
        <v>8</v>
      </c>
      <c r="EX459" s="27" t="s">
        <v>7</v>
      </c>
      <c r="EY459" s="27" t="s">
        <v>8</v>
      </c>
      <c r="FB459" s="27" t="s">
        <v>7</v>
      </c>
      <c r="GG459" s="27" t="s">
        <v>8</v>
      </c>
      <c r="GH459" s="27" t="s">
        <v>7</v>
      </c>
      <c r="GK459" s="27" t="s">
        <v>8</v>
      </c>
      <c r="GL459" s="27" t="s">
        <v>7</v>
      </c>
      <c r="GM459" s="27" t="s">
        <v>8</v>
      </c>
      <c r="GN459" s="27" t="s">
        <v>7</v>
      </c>
      <c r="GO459" s="27" t="s">
        <v>8</v>
      </c>
      <c r="GQ459" s="27" t="s">
        <v>8</v>
      </c>
      <c r="GR459" s="27" t="s">
        <v>7</v>
      </c>
      <c r="HA459" s="27" t="s">
        <v>8</v>
      </c>
      <c r="HB459" s="27" t="s">
        <v>7</v>
      </c>
    </row>
    <row r="460" spans="1:210" x14ac:dyDescent="0.25">
      <c r="A460" s="7">
        <v>12.36578848729541</v>
      </c>
      <c r="B460"/>
      <c r="C460"/>
      <c r="D460"/>
      <c r="E460"/>
      <c r="M460" s="27" t="s">
        <v>8</v>
      </c>
      <c r="N460" s="27" t="s">
        <v>7</v>
      </c>
      <c r="O460" s="27" t="s">
        <v>8</v>
      </c>
      <c r="P460" s="27" t="s">
        <v>7</v>
      </c>
      <c r="Q460" s="27" t="s">
        <v>8</v>
      </c>
      <c r="R460" s="27" t="s">
        <v>7</v>
      </c>
      <c r="AQ460" s="27" t="s">
        <v>8</v>
      </c>
      <c r="CT460" s="27" t="s">
        <v>7</v>
      </c>
      <c r="CW460" s="27" t="s">
        <v>8</v>
      </c>
      <c r="CX460" s="27" t="s">
        <v>7</v>
      </c>
      <c r="CY460" s="27" t="s">
        <v>8</v>
      </c>
      <c r="CZ460" s="27" t="s">
        <v>7</v>
      </c>
      <c r="EK460" s="27" t="s">
        <v>8</v>
      </c>
      <c r="EL460" s="27" t="s">
        <v>7</v>
      </c>
      <c r="EM460" s="27" t="s">
        <v>8</v>
      </c>
      <c r="EP460" s="27" t="s">
        <v>7</v>
      </c>
      <c r="EQ460" s="27" t="s">
        <v>8</v>
      </c>
      <c r="ET460" s="27" t="s">
        <v>7</v>
      </c>
      <c r="EU460" s="27" t="s">
        <v>8</v>
      </c>
      <c r="EV460" s="27" t="s">
        <v>7</v>
      </c>
      <c r="EW460" s="27" t="s">
        <v>8</v>
      </c>
      <c r="EX460" s="27" t="s">
        <v>7</v>
      </c>
      <c r="EY460" s="27" t="s">
        <v>8</v>
      </c>
      <c r="FB460" s="27" t="s">
        <v>7</v>
      </c>
      <c r="GG460" s="27" t="s">
        <v>8</v>
      </c>
      <c r="GH460" s="27" t="s">
        <v>7</v>
      </c>
      <c r="GK460" s="27" t="s">
        <v>8</v>
      </c>
      <c r="GL460" s="27" t="s">
        <v>7</v>
      </c>
      <c r="GM460" s="27" t="s">
        <v>8</v>
      </c>
      <c r="GN460" s="27" t="s">
        <v>7</v>
      </c>
      <c r="GO460" s="27" t="s">
        <v>8</v>
      </c>
      <c r="GP460" s="27" t="s">
        <v>7</v>
      </c>
      <c r="GQ460" s="27" t="s">
        <v>8</v>
      </c>
      <c r="GR460" s="27" t="s">
        <v>7</v>
      </c>
      <c r="GS460" s="27" t="s">
        <v>8</v>
      </c>
      <c r="HA460" s="27" t="s">
        <v>8</v>
      </c>
      <c r="HB460" s="27" t="s">
        <v>7</v>
      </c>
    </row>
    <row r="461" spans="1:210" x14ac:dyDescent="0.25">
      <c r="A461" s="7">
        <v>12.123322046368049</v>
      </c>
      <c r="B461"/>
      <c r="C461"/>
      <c r="D461"/>
      <c r="E461"/>
      <c r="M461" s="27" t="s">
        <v>8</v>
      </c>
      <c r="N461" s="27" t="s">
        <v>7</v>
      </c>
      <c r="O461" s="27" t="s">
        <v>8</v>
      </c>
      <c r="P461" s="27" t="s">
        <v>7</v>
      </c>
      <c r="Q461" s="27" t="s">
        <v>8</v>
      </c>
      <c r="R461" s="27" t="s">
        <v>7</v>
      </c>
      <c r="AQ461" s="27" t="s">
        <v>8</v>
      </c>
      <c r="CT461" s="27" t="s">
        <v>7</v>
      </c>
      <c r="CW461" s="27" t="s">
        <v>8</v>
      </c>
      <c r="CX461" s="27" t="s">
        <v>7</v>
      </c>
      <c r="CY461" s="27" t="s">
        <v>8</v>
      </c>
      <c r="CZ461" s="27" t="s">
        <v>7</v>
      </c>
      <c r="EK461" s="27" t="s">
        <v>8</v>
      </c>
      <c r="EL461" s="27" t="s">
        <v>7</v>
      </c>
      <c r="EM461" s="27" t="s">
        <v>8</v>
      </c>
      <c r="EP461" s="27" t="s">
        <v>7</v>
      </c>
      <c r="EQ461" s="27" t="s">
        <v>8</v>
      </c>
      <c r="ET461" s="27" t="s">
        <v>7</v>
      </c>
      <c r="EV461" s="27" t="s">
        <v>7</v>
      </c>
      <c r="EW461" s="27" t="s">
        <v>8</v>
      </c>
      <c r="EX461" s="27" t="s">
        <v>7</v>
      </c>
      <c r="FB461" s="27" t="s">
        <v>7</v>
      </c>
      <c r="FE461" s="27" t="s">
        <v>8</v>
      </c>
      <c r="FY461" s="27" t="s">
        <v>8</v>
      </c>
      <c r="GG461" s="27" t="s">
        <v>8</v>
      </c>
      <c r="GH461" s="27" t="s">
        <v>7</v>
      </c>
      <c r="GK461" s="27" t="s">
        <v>8</v>
      </c>
      <c r="GL461" s="27" t="s">
        <v>7</v>
      </c>
      <c r="GN461" s="27" t="s">
        <v>7</v>
      </c>
      <c r="GO461" s="27" t="s">
        <v>8</v>
      </c>
      <c r="GP461" s="27" t="s">
        <v>7</v>
      </c>
      <c r="GQ461" s="27" t="s">
        <v>8</v>
      </c>
      <c r="GR461" s="27" t="s">
        <v>7</v>
      </c>
      <c r="GS461" s="27" t="s">
        <v>8</v>
      </c>
      <c r="GT461" s="27" t="s">
        <v>7</v>
      </c>
      <c r="HA461" s="27" t="s">
        <v>8</v>
      </c>
      <c r="HB461" s="27" t="s">
        <v>7</v>
      </c>
    </row>
    <row r="462" spans="1:210" x14ac:dyDescent="0.25">
      <c r="A462" s="7">
        <v>11.88560984938044</v>
      </c>
      <c r="B462"/>
      <c r="C462"/>
      <c r="D462"/>
      <c r="E462"/>
      <c r="M462" s="27" t="s">
        <v>8</v>
      </c>
      <c r="N462" s="27" t="s">
        <v>7</v>
      </c>
      <c r="O462" s="27" t="s">
        <v>8</v>
      </c>
      <c r="P462" s="27" t="s">
        <v>7</v>
      </c>
      <c r="Q462" s="27" t="s">
        <v>8</v>
      </c>
      <c r="R462" s="27" t="s">
        <v>7</v>
      </c>
      <c r="AQ462" s="27" t="s">
        <v>8</v>
      </c>
      <c r="CT462" s="27" t="s">
        <v>7</v>
      </c>
      <c r="CU462" s="27" t="s">
        <v>8</v>
      </c>
      <c r="CW462" s="27" t="s">
        <v>8</v>
      </c>
      <c r="CX462" s="27" t="s">
        <v>7</v>
      </c>
      <c r="CY462" s="27" t="s">
        <v>8</v>
      </c>
      <c r="CZ462" s="27" t="s">
        <v>7</v>
      </c>
      <c r="EI462" s="27" t="s">
        <v>8</v>
      </c>
      <c r="EK462" s="27" t="s">
        <v>8</v>
      </c>
      <c r="EL462" s="27" t="s">
        <v>7</v>
      </c>
      <c r="EM462" s="27" t="s">
        <v>8</v>
      </c>
      <c r="EP462" s="27" t="s">
        <v>7</v>
      </c>
      <c r="EQ462" s="27" t="s">
        <v>8</v>
      </c>
      <c r="EV462" s="27" t="s">
        <v>7</v>
      </c>
      <c r="EW462" s="27" t="s">
        <v>8</v>
      </c>
      <c r="FB462" s="27" t="s">
        <v>7</v>
      </c>
      <c r="FE462" s="27" t="s">
        <v>8</v>
      </c>
      <c r="FF462" s="27" t="s">
        <v>7</v>
      </c>
      <c r="FG462" s="27" t="s">
        <v>8</v>
      </c>
      <c r="FY462" s="27" t="s">
        <v>8</v>
      </c>
      <c r="FZ462" s="27" t="s">
        <v>7</v>
      </c>
      <c r="GA462" s="27" t="s">
        <v>8</v>
      </c>
      <c r="GG462" s="27" t="s">
        <v>8</v>
      </c>
      <c r="GH462" s="27" t="s">
        <v>7</v>
      </c>
      <c r="GK462" s="27" t="s">
        <v>8</v>
      </c>
      <c r="GN462" s="27" t="s">
        <v>7</v>
      </c>
      <c r="GO462" s="27" t="s">
        <v>8</v>
      </c>
      <c r="GP462" s="27" t="s">
        <v>7</v>
      </c>
      <c r="GQ462" s="27" t="s">
        <v>8</v>
      </c>
      <c r="GR462" s="27" t="s">
        <v>7</v>
      </c>
      <c r="GS462" s="27" t="s">
        <v>8</v>
      </c>
      <c r="GT462" s="27" t="s">
        <v>7</v>
      </c>
      <c r="HA462" s="27" t="s">
        <v>8</v>
      </c>
      <c r="HB462" s="27" t="s">
        <v>7</v>
      </c>
    </row>
    <row r="463" spans="1:210" x14ac:dyDescent="0.25">
      <c r="A463" s="7">
        <v>11.652558675863176</v>
      </c>
      <c r="B463"/>
      <c r="C463"/>
      <c r="D463"/>
      <c r="E463"/>
      <c r="M463" s="27" t="s">
        <v>8</v>
      </c>
      <c r="N463" s="27" t="s">
        <v>7</v>
      </c>
      <c r="O463" s="27" t="s">
        <v>8</v>
      </c>
      <c r="P463" s="27" t="s">
        <v>7</v>
      </c>
      <c r="Q463" s="27" t="s">
        <v>8</v>
      </c>
      <c r="R463" s="27" t="s">
        <v>7</v>
      </c>
      <c r="AO463" s="27" t="s">
        <v>8</v>
      </c>
      <c r="AQ463" s="27" t="s">
        <v>8</v>
      </c>
      <c r="CT463" s="27" t="s">
        <v>7</v>
      </c>
      <c r="CU463" s="27" t="s">
        <v>8</v>
      </c>
      <c r="CV463" s="27" t="s">
        <v>7</v>
      </c>
      <c r="CW463" s="27" t="s">
        <v>8</v>
      </c>
      <c r="CX463" s="27" t="s">
        <v>7</v>
      </c>
      <c r="CY463" s="27" t="s">
        <v>8</v>
      </c>
      <c r="CZ463" s="27" t="s">
        <v>7</v>
      </c>
      <c r="DC463" s="27" t="s">
        <v>8</v>
      </c>
      <c r="EI463" s="27" t="s">
        <v>8</v>
      </c>
      <c r="EJ463" s="27" t="s">
        <v>7</v>
      </c>
      <c r="EK463" s="27" t="s">
        <v>8</v>
      </c>
      <c r="EL463" s="27" t="s">
        <v>7</v>
      </c>
      <c r="EP463" s="27" t="s">
        <v>7</v>
      </c>
      <c r="EV463" s="27" t="s">
        <v>7</v>
      </c>
      <c r="FB463" s="27" t="s">
        <v>7</v>
      </c>
      <c r="FE463" s="27" t="s">
        <v>8</v>
      </c>
      <c r="FF463" s="27" t="s">
        <v>7</v>
      </c>
      <c r="FG463" s="27" t="s">
        <v>8</v>
      </c>
      <c r="FH463" s="27" t="s">
        <v>7</v>
      </c>
      <c r="FY463" s="27" t="s">
        <v>8</v>
      </c>
      <c r="FZ463" s="27" t="s">
        <v>7</v>
      </c>
      <c r="GA463" s="27" t="s">
        <v>8</v>
      </c>
      <c r="GB463" s="27" t="s">
        <v>7</v>
      </c>
      <c r="GC463" s="27" t="s">
        <v>8</v>
      </c>
      <c r="GE463" s="27" t="s">
        <v>8</v>
      </c>
      <c r="GG463" s="27" t="s">
        <v>8</v>
      </c>
      <c r="GH463" s="27" t="s">
        <v>7</v>
      </c>
      <c r="GI463" s="27" t="s">
        <v>8</v>
      </c>
      <c r="GK463" s="27" t="s">
        <v>8</v>
      </c>
      <c r="GN463" s="27" t="s">
        <v>7</v>
      </c>
      <c r="GP463" s="27" t="s">
        <v>7</v>
      </c>
      <c r="GQ463" s="27" t="s">
        <v>8</v>
      </c>
      <c r="GR463" s="27" t="s">
        <v>7</v>
      </c>
      <c r="GT463" s="27" t="s">
        <v>7</v>
      </c>
      <c r="HA463" s="27" t="s">
        <v>8</v>
      </c>
      <c r="HB463" s="27" t="s">
        <v>7</v>
      </c>
    </row>
    <row r="464" spans="1:210" x14ac:dyDescent="0.25">
      <c r="A464" s="7">
        <v>11.424077133199193</v>
      </c>
      <c r="B464"/>
      <c r="C464"/>
      <c r="D464"/>
      <c r="E464"/>
      <c r="M464" s="27" t="s">
        <v>8</v>
      </c>
      <c r="N464" s="27" t="s">
        <v>7</v>
      </c>
      <c r="O464" s="27" t="s">
        <v>8</v>
      </c>
      <c r="P464" s="27" t="s">
        <v>7</v>
      </c>
      <c r="Q464" s="27" t="s">
        <v>8</v>
      </c>
      <c r="R464" s="27" t="s">
        <v>7</v>
      </c>
      <c r="AO464" s="27" t="s">
        <v>8</v>
      </c>
      <c r="AP464" s="27" t="s">
        <v>7</v>
      </c>
      <c r="AQ464" s="27" t="s">
        <v>8</v>
      </c>
      <c r="CT464" s="27" t="s">
        <v>7</v>
      </c>
      <c r="CU464" s="27" t="s">
        <v>8</v>
      </c>
      <c r="CV464" s="27" t="s">
        <v>7</v>
      </c>
      <c r="CW464" s="27" t="s">
        <v>8</v>
      </c>
      <c r="CX464" s="27" t="s">
        <v>7</v>
      </c>
      <c r="CY464" s="27" t="s">
        <v>8</v>
      </c>
      <c r="CZ464" s="27" t="s">
        <v>7</v>
      </c>
      <c r="DA464" s="27" t="s">
        <v>8</v>
      </c>
      <c r="DC464" s="27" t="s">
        <v>8</v>
      </c>
      <c r="DD464" s="27" t="s">
        <v>7</v>
      </c>
      <c r="EI464" s="27" t="s">
        <v>8</v>
      </c>
      <c r="EJ464" s="27" t="s">
        <v>7</v>
      </c>
      <c r="EK464" s="27" t="s">
        <v>8</v>
      </c>
      <c r="FB464" s="27" t="s">
        <v>7</v>
      </c>
      <c r="FE464" s="27" t="s">
        <v>8</v>
      </c>
      <c r="FF464" s="27" t="s">
        <v>7</v>
      </c>
      <c r="FG464" s="27" t="s">
        <v>8</v>
      </c>
      <c r="FH464" s="27" t="s">
        <v>7</v>
      </c>
      <c r="FI464" s="27" t="s">
        <v>8</v>
      </c>
      <c r="FY464" s="27" t="s">
        <v>8</v>
      </c>
      <c r="FZ464" s="27" t="s">
        <v>7</v>
      </c>
      <c r="GA464" s="27" t="s">
        <v>8</v>
      </c>
      <c r="GB464" s="27" t="s">
        <v>7</v>
      </c>
      <c r="GC464" s="27" t="s">
        <v>8</v>
      </c>
      <c r="GD464" s="27" t="s">
        <v>7</v>
      </c>
      <c r="GE464" s="27" t="s">
        <v>8</v>
      </c>
      <c r="GF464" s="27" t="s">
        <v>7</v>
      </c>
      <c r="GG464" s="27" t="s">
        <v>8</v>
      </c>
      <c r="GH464" s="27" t="s">
        <v>7</v>
      </c>
      <c r="GI464" s="27" t="s">
        <v>8</v>
      </c>
      <c r="GJ464" s="27" t="s">
        <v>7</v>
      </c>
      <c r="GK464" s="27" t="s">
        <v>8</v>
      </c>
      <c r="GP464" s="27" t="s">
        <v>7</v>
      </c>
      <c r="GQ464" s="27" t="s">
        <v>8</v>
      </c>
      <c r="GT464" s="27" t="s">
        <v>7</v>
      </c>
      <c r="GY464" s="27" t="s">
        <v>8</v>
      </c>
      <c r="HA464" s="27" t="s">
        <v>8</v>
      </c>
      <c r="HB464" s="27" t="s">
        <v>7</v>
      </c>
    </row>
    <row r="465" spans="1:228" x14ac:dyDescent="0.25">
      <c r="A465" s="7">
        <v>11.200075620783522</v>
      </c>
      <c r="B465"/>
      <c r="C465"/>
      <c r="D465"/>
      <c r="E465"/>
      <c r="M465" s="27" t="s">
        <v>8</v>
      </c>
      <c r="N465" s="27" t="s">
        <v>7</v>
      </c>
      <c r="O465" s="27" t="s">
        <v>8</v>
      </c>
      <c r="P465" s="27" t="s">
        <v>7</v>
      </c>
      <c r="Q465" s="27" t="s">
        <v>8</v>
      </c>
      <c r="R465" s="27" t="s">
        <v>7</v>
      </c>
      <c r="AO465" s="27" t="s">
        <v>8</v>
      </c>
      <c r="AP465" s="27" t="s">
        <v>7</v>
      </c>
      <c r="AQ465" s="27" t="s">
        <v>8</v>
      </c>
      <c r="CT465" s="27" t="s">
        <v>7</v>
      </c>
      <c r="CU465" s="27" t="s">
        <v>8</v>
      </c>
      <c r="CV465" s="27" t="s">
        <v>7</v>
      </c>
      <c r="CW465" s="27" t="s">
        <v>8</v>
      </c>
      <c r="CX465" s="27" t="s">
        <v>7</v>
      </c>
      <c r="CY465" s="27" t="s">
        <v>8</v>
      </c>
      <c r="CZ465" s="27" t="s">
        <v>7</v>
      </c>
      <c r="DA465" s="27" t="s">
        <v>8</v>
      </c>
      <c r="DB465" s="27" t="s">
        <v>7</v>
      </c>
      <c r="DC465" s="27" t="s">
        <v>8</v>
      </c>
      <c r="DD465" s="27" t="s">
        <v>7</v>
      </c>
      <c r="EI465" s="27" t="s">
        <v>8</v>
      </c>
      <c r="EJ465" s="27" t="s">
        <v>7</v>
      </c>
      <c r="EK465" s="27" t="s">
        <v>8</v>
      </c>
      <c r="FB465" s="27" t="s">
        <v>7</v>
      </c>
      <c r="FE465" s="27" t="s">
        <v>8</v>
      </c>
      <c r="FF465" s="27" t="s">
        <v>7</v>
      </c>
      <c r="FG465" s="27" t="s">
        <v>8</v>
      </c>
      <c r="FH465" s="27" t="s">
        <v>7</v>
      </c>
      <c r="FI465" s="27" t="s">
        <v>8</v>
      </c>
      <c r="FJ465" s="27" t="s">
        <v>7</v>
      </c>
      <c r="FY465" s="27" t="s">
        <v>8</v>
      </c>
      <c r="FZ465" s="27" t="s">
        <v>7</v>
      </c>
      <c r="GA465" s="27" t="s">
        <v>8</v>
      </c>
      <c r="GB465" s="27" t="s">
        <v>7</v>
      </c>
      <c r="GC465" s="27" t="s">
        <v>8</v>
      </c>
      <c r="GD465" s="27" t="s">
        <v>7</v>
      </c>
      <c r="GE465" s="27" t="s">
        <v>8</v>
      </c>
      <c r="GF465" s="27" t="s">
        <v>7</v>
      </c>
      <c r="GG465" s="27" t="s">
        <v>8</v>
      </c>
      <c r="GH465" s="27" t="s">
        <v>7</v>
      </c>
      <c r="GI465" s="27" t="s">
        <v>8</v>
      </c>
      <c r="GJ465" s="27" t="s">
        <v>7</v>
      </c>
      <c r="GK465" s="27" t="s">
        <v>8</v>
      </c>
      <c r="GP465" s="27" t="s">
        <v>7</v>
      </c>
      <c r="GQ465" s="27" t="s">
        <v>8</v>
      </c>
      <c r="GT465" s="27" t="s">
        <v>7</v>
      </c>
      <c r="GW465" s="27" t="s">
        <v>8</v>
      </c>
      <c r="GY465" s="27" t="s">
        <v>8</v>
      </c>
      <c r="GZ465" s="27" t="s">
        <v>7</v>
      </c>
      <c r="HA465" s="27" t="s">
        <v>8</v>
      </c>
      <c r="HB465" s="27" t="s">
        <v>7</v>
      </c>
    </row>
    <row r="466" spans="1:228" x14ac:dyDescent="0.25">
      <c r="A466" s="7">
        <v>10.980466294885806</v>
      </c>
      <c r="B466"/>
      <c r="C466"/>
      <c r="D466"/>
      <c r="E466"/>
      <c r="M466" s="27" t="s">
        <v>8</v>
      </c>
      <c r="N466" s="27" t="s">
        <v>7</v>
      </c>
      <c r="O466" s="27" t="s">
        <v>8</v>
      </c>
      <c r="P466" s="27" t="s">
        <v>7</v>
      </c>
      <c r="Q466" s="27" t="s">
        <v>8</v>
      </c>
      <c r="R466" s="27" t="s">
        <v>7</v>
      </c>
      <c r="U466" s="27" t="s">
        <v>8</v>
      </c>
      <c r="AM466" s="27" t="s">
        <v>8</v>
      </c>
      <c r="AO466" s="27" t="s">
        <v>8</v>
      </c>
      <c r="AP466" s="27" t="s">
        <v>7</v>
      </c>
      <c r="AQ466" s="27" t="s">
        <v>8</v>
      </c>
      <c r="CT466" s="27" t="s">
        <v>7</v>
      </c>
      <c r="CU466" s="27" t="s">
        <v>8</v>
      </c>
      <c r="CV466" s="27" t="s">
        <v>7</v>
      </c>
      <c r="CW466" s="27" t="s">
        <v>8</v>
      </c>
      <c r="CX466" s="27" t="s">
        <v>7</v>
      </c>
      <c r="CY466" s="27" t="s">
        <v>8</v>
      </c>
      <c r="CZ466" s="27" t="s">
        <v>7</v>
      </c>
      <c r="DA466" s="27" t="s">
        <v>8</v>
      </c>
      <c r="DB466" s="27" t="s">
        <v>7</v>
      </c>
      <c r="DC466" s="27" t="s">
        <v>8</v>
      </c>
      <c r="DD466" s="27" t="s">
        <v>7</v>
      </c>
      <c r="EC466" s="27" t="s">
        <v>8</v>
      </c>
      <c r="EI466" s="27" t="s">
        <v>8</v>
      </c>
      <c r="EJ466" s="27" t="s">
        <v>7</v>
      </c>
      <c r="EK466" s="27" t="s">
        <v>8</v>
      </c>
      <c r="FB466" s="27" t="s">
        <v>7</v>
      </c>
      <c r="FE466" s="27" t="s">
        <v>8</v>
      </c>
      <c r="FF466" s="27" t="s">
        <v>7</v>
      </c>
      <c r="FG466" s="27" t="s">
        <v>8</v>
      </c>
      <c r="FH466" s="27" t="s">
        <v>7</v>
      </c>
      <c r="FI466" s="27" t="s">
        <v>8</v>
      </c>
      <c r="FJ466" s="27" t="s">
        <v>7</v>
      </c>
      <c r="FU466" s="27" t="s">
        <v>8</v>
      </c>
      <c r="FY466" s="27" t="s">
        <v>8</v>
      </c>
      <c r="FZ466" s="27" t="s">
        <v>7</v>
      </c>
      <c r="GB466" s="27" t="s">
        <v>7</v>
      </c>
      <c r="GC466" s="27" t="s">
        <v>8</v>
      </c>
      <c r="GD466" s="27" t="s">
        <v>7</v>
      </c>
      <c r="GE466" s="27" t="s">
        <v>8</v>
      </c>
      <c r="GF466" s="27" t="s">
        <v>7</v>
      </c>
      <c r="GH466" s="27" t="s">
        <v>7</v>
      </c>
      <c r="GI466" s="27" t="s">
        <v>8</v>
      </c>
      <c r="GJ466" s="27" t="s">
        <v>7</v>
      </c>
      <c r="GK466" s="27" t="s">
        <v>8</v>
      </c>
      <c r="GP466" s="27" t="s">
        <v>7</v>
      </c>
      <c r="GQ466" s="27" t="s">
        <v>8</v>
      </c>
      <c r="GT466" s="27" t="s">
        <v>7</v>
      </c>
      <c r="GW466" s="27" t="s">
        <v>8</v>
      </c>
      <c r="GX466" s="27" t="s">
        <v>7</v>
      </c>
      <c r="GY466" s="27" t="s">
        <v>8</v>
      </c>
      <c r="GZ466" s="27" t="s">
        <v>7</v>
      </c>
      <c r="HA466" s="27" t="s">
        <v>8</v>
      </c>
      <c r="HB466" s="27" t="s">
        <v>7</v>
      </c>
    </row>
    <row r="467" spans="1:228" x14ac:dyDescent="0.25">
      <c r="A467" s="7">
        <v>10.765163034201771</v>
      </c>
      <c r="B467"/>
      <c r="C467"/>
      <c r="D467"/>
      <c r="E467"/>
      <c r="M467" s="27" t="s">
        <v>8</v>
      </c>
      <c r="N467" s="27" t="s">
        <v>7</v>
      </c>
      <c r="O467" s="27" t="s">
        <v>8</v>
      </c>
      <c r="P467" s="27" t="s">
        <v>7</v>
      </c>
      <c r="Q467" s="27" t="s">
        <v>8</v>
      </c>
      <c r="R467" s="27" t="s">
        <v>7</v>
      </c>
      <c r="U467" s="27" t="s">
        <v>8</v>
      </c>
      <c r="V467" s="27" t="s">
        <v>7</v>
      </c>
      <c r="AM467" s="27" t="s">
        <v>8</v>
      </c>
      <c r="AN467" s="27" t="s">
        <v>7</v>
      </c>
      <c r="AO467" s="27" t="s">
        <v>8</v>
      </c>
      <c r="AP467" s="27" t="s">
        <v>7</v>
      </c>
      <c r="AQ467" s="27" t="s">
        <v>8</v>
      </c>
      <c r="CT467" s="27" t="s">
        <v>7</v>
      </c>
      <c r="CU467" s="27" t="s">
        <v>8</v>
      </c>
      <c r="CV467" s="27" t="s">
        <v>7</v>
      </c>
      <c r="CW467" s="27" t="s">
        <v>8</v>
      </c>
      <c r="CX467" s="27" t="s">
        <v>7</v>
      </c>
      <c r="CY467" s="27" t="s">
        <v>8</v>
      </c>
      <c r="CZ467" s="27" t="s">
        <v>7</v>
      </c>
      <c r="DA467" s="27" t="s">
        <v>8</v>
      </c>
      <c r="DB467" s="27" t="s">
        <v>7</v>
      </c>
      <c r="DC467" s="27" t="s">
        <v>8</v>
      </c>
      <c r="DD467" s="27" t="s">
        <v>7</v>
      </c>
      <c r="DI467" s="27" t="s">
        <v>8</v>
      </c>
      <c r="EC467" s="27" t="s">
        <v>8</v>
      </c>
      <c r="ED467" s="27" t="s">
        <v>7</v>
      </c>
      <c r="EI467" s="27" t="s">
        <v>8</v>
      </c>
      <c r="EJ467" s="27" t="s">
        <v>7</v>
      </c>
      <c r="EK467" s="27" t="s">
        <v>8</v>
      </c>
      <c r="FB467" s="27" t="s">
        <v>7</v>
      </c>
      <c r="FE467" s="27" t="s">
        <v>8</v>
      </c>
      <c r="FF467" s="27" t="s">
        <v>7</v>
      </c>
      <c r="FG467" s="27" t="s">
        <v>8</v>
      </c>
      <c r="FH467" s="27" t="s">
        <v>7</v>
      </c>
      <c r="FI467" s="27" t="s">
        <v>8</v>
      </c>
      <c r="FJ467" s="27" t="s">
        <v>7</v>
      </c>
      <c r="FU467" s="27" t="s">
        <v>8</v>
      </c>
      <c r="FV467" s="27" t="s">
        <v>7</v>
      </c>
      <c r="FY467" s="27" t="s">
        <v>8</v>
      </c>
      <c r="GB467" s="27" t="s">
        <v>7</v>
      </c>
      <c r="GD467" s="27" t="s">
        <v>7</v>
      </c>
      <c r="GH467" s="27" t="s">
        <v>7</v>
      </c>
      <c r="GI467" s="27" t="s">
        <v>8</v>
      </c>
      <c r="GJ467" s="27" t="s">
        <v>7</v>
      </c>
      <c r="GP467" s="27" t="s">
        <v>7</v>
      </c>
      <c r="GQ467" s="27" t="s">
        <v>8</v>
      </c>
      <c r="GT467" s="27" t="s">
        <v>7</v>
      </c>
      <c r="GW467" s="27" t="s">
        <v>8</v>
      </c>
      <c r="GX467" s="27" t="s">
        <v>7</v>
      </c>
      <c r="GY467" s="27" t="s">
        <v>8</v>
      </c>
      <c r="GZ467" s="27" t="s">
        <v>7</v>
      </c>
      <c r="HA467" s="27" t="s">
        <v>8</v>
      </c>
      <c r="HB467" s="27" t="s">
        <v>7</v>
      </c>
    </row>
    <row r="468" spans="1:228" x14ac:dyDescent="0.25">
      <c r="A468" s="7">
        <v>10.554081406080169</v>
      </c>
      <c r="B468"/>
      <c r="C468"/>
      <c r="D468"/>
      <c r="E468"/>
      <c r="M468" s="27" t="s">
        <v>8</v>
      </c>
      <c r="N468" s="27" t="s">
        <v>7</v>
      </c>
      <c r="O468" s="27" t="s">
        <v>8</v>
      </c>
      <c r="P468" s="27" t="s">
        <v>7</v>
      </c>
      <c r="Q468" s="27" t="s">
        <v>8</v>
      </c>
      <c r="R468" s="27" t="s">
        <v>7</v>
      </c>
      <c r="U468" s="27" t="s">
        <v>8</v>
      </c>
      <c r="V468" s="27" t="s">
        <v>7</v>
      </c>
      <c r="AM468" s="27" t="s">
        <v>8</v>
      </c>
      <c r="AN468" s="27" t="s">
        <v>7</v>
      </c>
      <c r="AO468" s="27" t="s">
        <v>8</v>
      </c>
      <c r="AP468" s="27" t="s">
        <v>7</v>
      </c>
      <c r="AQ468" s="27" t="s">
        <v>8</v>
      </c>
      <c r="CT468" s="27" t="s">
        <v>7</v>
      </c>
      <c r="CU468" s="27" t="s">
        <v>8</v>
      </c>
      <c r="CV468" s="27" t="s">
        <v>7</v>
      </c>
      <c r="CW468" s="27" t="s">
        <v>8</v>
      </c>
      <c r="CX468" s="27" t="s">
        <v>7</v>
      </c>
      <c r="CY468" s="27" t="s">
        <v>8</v>
      </c>
      <c r="CZ468" s="27" t="s">
        <v>7</v>
      </c>
      <c r="DA468" s="27" t="s">
        <v>8</v>
      </c>
      <c r="DB468" s="27" t="s">
        <v>7</v>
      </c>
      <c r="DC468" s="27" t="s">
        <v>8</v>
      </c>
      <c r="DD468" s="27" t="s">
        <v>7</v>
      </c>
      <c r="DI468" s="27" t="s">
        <v>8</v>
      </c>
      <c r="DJ468" s="27" t="s">
        <v>7</v>
      </c>
      <c r="EC468" s="27" t="s">
        <v>8</v>
      </c>
      <c r="ED468" s="27" t="s">
        <v>7</v>
      </c>
      <c r="EI468" s="27" t="s">
        <v>8</v>
      </c>
      <c r="EJ468" s="27" t="s">
        <v>7</v>
      </c>
      <c r="EK468" s="27" t="s">
        <v>8</v>
      </c>
      <c r="FB468" s="27" t="s">
        <v>7</v>
      </c>
      <c r="FC468" s="27" t="s">
        <v>8</v>
      </c>
      <c r="FE468" s="27" t="s">
        <v>8</v>
      </c>
      <c r="FF468" s="27" t="s">
        <v>7</v>
      </c>
      <c r="FG468" s="27" t="s">
        <v>8</v>
      </c>
      <c r="FH468" s="27" t="s">
        <v>7</v>
      </c>
      <c r="FJ468" s="27" t="s">
        <v>7</v>
      </c>
      <c r="FU468" s="27" t="s">
        <v>8</v>
      </c>
      <c r="FV468" s="27" t="s">
        <v>7</v>
      </c>
      <c r="FY468" s="27" t="s">
        <v>8</v>
      </c>
      <c r="GH468" s="27" t="s">
        <v>7</v>
      </c>
      <c r="GP468" s="27" t="s">
        <v>7</v>
      </c>
      <c r="GQ468" s="27" t="s">
        <v>8</v>
      </c>
      <c r="GT468" s="27" t="s">
        <v>7</v>
      </c>
      <c r="GW468" s="27" t="s">
        <v>8</v>
      </c>
      <c r="GX468" s="27" t="s">
        <v>7</v>
      </c>
      <c r="GY468" s="27" t="s">
        <v>8</v>
      </c>
      <c r="GZ468" s="27" t="s">
        <v>7</v>
      </c>
      <c r="HA468" s="27" t="s">
        <v>8</v>
      </c>
      <c r="HB468" s="27" t="s">
        <v>7</v>
      </c>
    </row>
    <row r="469" spans="1:228" x14ac:dyDescent="0.25">
      <c r="A469" s="7">
        <v>10.34713863341193</v>
      </c>
      <c r="B469"/>
      <c r="C469"/>
      <c r="D469"/>
      <c r="E469"/>
      <c r="M469" s="27" t="s">
        <v>8</v>
      </c>
      <c r="N469" s="27" t="s">
        <v>7</v>
      </c>
      <c r="O469" s="27" t="s">
        <v>8</v>
      </c>
      <c r="P469" s="27" t="s">
        <v>7</v>
      </c>
      <c r="Q469" s="27" t="s">
        <v>8</v>
      </c>
      <c r="R469" s="27" t="s">
        <v>7</v>
      </c>
      <c r="U469" s="27" t="s">
        <v>8</v>
      </c>
      <c r="V469" s="27" t="s">
        <v>7</v>
      </c>
      <c r="AM469" s="27" t="s">
        <v>8</v>
      </c>
      <c r="AN469" s="27" t="s">
        <v>7</v>
      </c>
      <c r="AO469" s="27" t="s">
        <v>8</v>
      </c>
      <c r="AP469" s="27" t="s">
        <v>7</v>
      </c>
      <c r="AQ469" s="27" t="s">
        <v>8</v>
      </c>
      <c r="CT469" s="27" t="s">
        <v>7</v>
      </c>
      <c r="CU469" s="27" t="s">
        <v>8</v>
      </c>
      <c r="CV469" s="27" t="s">
        <v>7</v>
      </c>
      <c r="CW469" s="27" t="s">
        <v>8</v>
      </c>
      <c r="CX469" s="27" t="s">
        <v>7</v>
      </c>
      <c r="CY469" s="27" t="s">
        <v>8</v>
      </c>
      <c r="CZ469" s="27" t="s">
        <v>7</v>
      </c>
      <c r="DA469" s="27" t="s">
        <v>8</v>
      </c>
      <c r="DB469" s="27" t="s">
        <v>7</v>
      </c>
      <c r="DC469" s="27" t="s">
        <v>8</v>
      </c>
      <c r="DD469" s="27" t="s">
        <v>7</v>
      </c>
      <c r="DI469" s="27" t="s">
        <v>8</v>
      </c>
      <c r="DJ469" s="27" t="s">
        <v>7</v>
      </c>
      <c r="EC469" s="27" t="s">
        <v>8</v>
      </c>
      <c r="ED469" s="27" t="s">
        <v>7</v>
      </c>
      <c r="EI469" s="27" t="s">
        <v>8</v>
      </c>
      <c r="EJ469" s="27" t="s">
        <v>7</v>
      </c>
      <c r="EK469" s="27" t="s">
        <v>8</v>
      </c>
      <c r="FB469" s="27" t="s">
        <v>7</v>
      </c>
      <c r="FC469" s="27" t="s">
        <v>8</v>
      </c>
      <c r="FD469" s="27" t="s">
        <v>7</v>
      </c>
      <c r="FE469" s="27" t="s">
        <v>8</v>
      </c>
      <c r="FF469" s="27" t="s">
        <v>7</v>
      </c>
      <c r="FG469" s="27" t="s">
        <v>8</v>
      </c>
      <c r="FJ469" s="27" t="s">
        <v>7</v>
      </c>
      <c r="FU469" s="27" t="s">
        <v>8</v>
      </c>
      <c r="FV469" s="27" t="s">
        <v>7</v>
      </c>
      <c r="FW469" s="27" t="s">
        <v>8</v>
      </c>
      <c r="FY469" s="27" t="s">
        <v>8</v>
      </c>
      <c r="GP469" s="27" t="s">
        <v>7</v>
      </c>
      <c r="GQ469" s="27" t="s">
        <v>8</v>
      </c>
      <c r="GT469" s="27" t="s">
        <v>7</v>
      </c>
      <c r="GU469" s="27" t="s">
        <v>8</v>
      </c>
      <c r="GW469" s="27" t="s">
        <v>8</v>
      </c>
      <c r="GX469" s="27" t="s">
        <v>7</v>
      </c>
      <c r="GZ469" s="27" t="s">
        <v>7</v>
      </c>
      <c r="HA469" s="27" t="s">
        <v>8</v>
      </c>
      <c r="HB469" s="27" t="s">
        <v>7</v>
      </c>
      <c r="HG469" s="27" t="s">
        <v>8</v>
      </c>
    </row>
    <row r="470" spans="1:228" x14ac:dyDescent="0.25">
      <c r="A470" s="7">
        <v>10.14425356216856</v>
      </c>
      <c r="B470"/>
      <c r="C470"/>
      <c r="D470"/>
      <c r="E470"/>
      <c r="M470" s="27" t="s">
        <v>8</v>
      </c>
      <c r="N470" s="27" t="s">
        <v>7</v>
      </c>
      <c r="O470" s="27" t="s">
        <v>8</v>
      </c>
      <c r="P470" s="27" t="s">
        <v>7</v>
      </c>
      <c r="R470" s="27" t="s">
        <v>7</v>
      </c>
      <c r="S470" s="27" t="s">
        <v>8</v>
      </c>
      <c r="U470" s="27" t="s">
        <v>8</v>
      </c>
      <c r="V470" s="27" t="s">
        <v>7</v>
      </c>
      <c r="AM470" s="27" t="s">
        <v>8</v>
      </c>
      <c r="AN470" s="27" t="s">
        <v>7</v>
      </c>
      <c r="AO470" s="27" t="s">
        <v>8</v>
      </c>
      <c r="AP470" s="27" t="s">
        <v>7</v>
      </c>
      <c r="AQ470" s="27" t="s">
        <v>8</v>
      </c>
      <c r="CT470" s="27" t="s">
        <v>7</v>
      </c>
      <c r="CU470" s="27" t="s">
        <v>8</v>
      </c>
      <c r="CV470" s="27" t="s">
        <v>7</v>
      </c>
      <c r="CW470" s="27" t="s">
        <v>8</v>
      </c>
      <c r="CX470" s="27" t="s">
        <v>7</v>
      </c>
      <c r="CY470" s="27" t="s">
        <v>8</v>
      </c>
      <c r="CZ470" s="27" t="s">
        <v>7</v>
      </c>
      <c r="DA470" s="27" t="s">
        <v>8</v>
      </c>
      <c r="DB470" s="27" t="s">
        <v>7</v>
      </c>
      <c r="DC470" s="27" t="s">
        <v>8</v>
      </c>
      <c r="DD470" s="27" t="s">
        <v>7</v>
      </c>
      <c r="DE470" s="27" t="s">
        <v>8</v>
      </c>
      <c r="DI470" s="27" t="s">
        <v>8</v>
      </c>
      <c r="DJ470" s="27" t="s">
        <v>7</v>
      </c>
      <c r="EC470" s="27" t="s">
        <v>8</v>
      </c>
      <c r="ED470" s="27" t="s">
        <v>7</v>
      </c>
      <c r="EI470" s="27" t="s">
        <v>8</v>
      </c>
      <c r="EJ470" s="27" t="s">
        <v>7</v>
      </c>
      <c r="FB470" s="27" t="s">
        <v>7</v>
      </c>
      <c r="FC470" s="27" t="s">
        <v>8</v>
      </c>
      <c r="FD470" s="27" t="s">
        <v>7</v>
      </c>
      <c r="FE470" s="27" t="s">
        <v>8</v>
      </c>
      <c r="FF470" s="27" t="s">
        <v>7</v>
      </c>
      <c r="FG470" s="27" t="s">
        <v>8</v>
      </c>
      <c r="FJ470" s="27" t="s">
        <v>7</v>
      </c>
      <c r="FU470" s="27" t="s">
        <v>8</v>
      </c>
      <c r="FV470" s="27" t="s">
        <v>7</v>
      </c>
      <c r="FW470" s="27" t="s">
        <v>8</v>
      </c>
      <c r="FX470" s="27" t="s">
        <v>7</v>
      </c>
      <c r="FY470" s="27" t="s">
        <v>8</v>
      </c>
      <c r="GP470" s="27" t="s">
        <v>7</v>
      </c>
      <c r="GT470" s="27" t="s">
        <v>7</v>
      </c>
      <c r="GU470" s="27" t="s">
        <v>8</v>
      </c>
      <c r="GV470" s="27" t="s">
        <v>7</v>
      </c>
      <c r="GW470" s="27" t="s">
        <v>8</v>
      </c>
      <c r="GZ470" s="27" t="s">
        <v>7</v>
      </c>
      <c r="HA470" s="27" t="s">
        <v>8</v>
      </c>
      <c r="HB470" s="27" t="s">
        <v>7</v>
      </c>
      <c r="HG470" s="27" t="s">
        <v>8</v>
      </c>
      <c r="HH470" s="27" t="s">
        <v>7</v>
      </c>
      <c r="HO470" s="27" t="s">
        <v>8</v>
      </c>
    </row>
    <row r="471" spans="1:228" x14ac:dyDescent="0.25">
      <c r="A471" s="7">
        <v>9.9453466295770188</v>
      </c>
      <c r="B471"/>
      <c r="C471"/>
      <c r="D471"/>
      <c r="E471"/>
      <c r="M471" s="27" t="s">
        <v>8</v>
      </c>
      <c r="N471" s="27" t="s">
        <v>7</v>
      </c>
      <c r="O471" s="27" t="s">
        <v>8</v>
      </c>
      <c r="R471" s="27" t="s">
        <v>7</v>
      </c>
      <c r="S471" s="27" t="s">
        <v>8</v>
      </c>
      <c r="T471" s="27" t="s">
        <v>7</v>
      </c>
      <c r="U471" s="27" t="s">
        <v>8</v>
      </c>
      <c r="V471" s="27" t="s">
        <v>7</v>
      </c>
      <c r="AM471" s="27" t="s">
        <v>8</v>
      </c>
      <c r="AN471" s="27" t="s">
        <v>7</v>
      </c>
      <c r="AO471" s="27" t="s">
        <v>8</v>
      </c>
      <c r="AP471" s="27" t="s">
        <v>7</v>
      </c>
      <c r="CT471" s="27" t="s">
        <v>7</v>
      </c>
      <c r="CU471" s="27" t="s">
        <v>8</v>
      </c>
      <c r="CV471" s="27" t="s">
        <v>7</v>
      </c>
      <c r="CW471" s="27" t="s">
        <v>8</v>
      </c>
      <c r="CX471" s="27" t="s">
        <v>7</v>
      </c>
      <c r="CY471" s="27" t="s">
        <v>8</v>
      </c>
      <c r="CZ471" s="27" t="s">
        <v>7</v>
      </c>
      <c r="DA471" s="27" t="s">
        <v>8</v>
      </c>
      <c r="DB471" s="27" t="s">
        <v>7</v>
      </c>
      <c r="DD471" s="27" t="s">
        <v>7</v>
      </c>
      <c r="DE471" s="27" t="s">
        <v>8</v>
      </c>
      <c r="DF471" s="27" t="s">
        <v>7</v>
      </c>
      <c r="DI471" s="27" t="s">
        <v>8</v>
      </c>
      <c r="DJ471" s="27" t="s">
        <v>7</v>
      </c>
      <c r="EC471" s="27" t="s">
        <v>8</v>
      </c>
      <c r="ED471" s="27" t="s">
        <v>7</v>
      </c>
      <c r="EI471" s="27" t="s">
        <v>8</v>
      </c>
      <c r="FB471" s="27" t="s">
        <v>7</v>
      </c>
      <c r="FC471" s="27" t="s">
        <v>8</v>
      </c>
      <c r="FD471" s="27" t="s">
        <v>7</v>
      </c>
      <c r="FE471" s="27" t="s">
        <v>8</v>
      </c>
      <c r="FF471" s="27" t="s">
        <v>7</v>
      </c>
      <c r="FG471" s="27" t="s">
        <v>8</v>
      </c>
      <c r="FJ471" s="27" t="s">
        <v>7</v>
      </c>
      <c r="FS471" s="27" t="s">
        <v>8</v>
      </c>
      <c r="FU471" s="27" t="s">
        <v>8</v>
      </c>
      <c r="FV471" s="27" t="s">
        <v>7</v>
      </c>
      <c r="FW471" s="27" t="s">
        <v>8</v>
      </c>
      <c r="FX471" s="27" t="s">
        <v>7</v>
      </c>
      <c r="FY471" s="27" t="s">
        <v>8</v>
      </c>
      <c r="GT471" s="27" t="s">
        <v>7</v>
      </c>
      <c r="GU471" s="27" t="s">
        <v>8</v>
      </c>
      <c r="GV471" s="27" t="s">
        <v>7</v>
      </c>
      <c r="GW471" s="27" t="s">
        <v>8</v>
      </c>
      <c r="GZ471" s="27" t="s">
        <v>7</v>
      </c>
      <c r="HA471" s="27" t="s">
        <v>8</v>
      </c>
      <c r="HB471" s="27" t="s">
        <v>7</v>
      </c>
      <c r="HG471" s="27" t="s">
        <v>8</v>
      </c>
      <c r="HH471" s="27" t="s">
        <v>7</v>
      </c>
      <c r="HO471" s="27" t="s">
        <v>8</v>
      </c>
      <c r="HP471" s="27" t="s">
        <v>7</v>
      </c>
    </row>
    <row r="472" spans="1:228" x14ac:dyDescent="0.25">
      <c r="A472" s="7">
        <v>9.7503398329186464</v>
      </c>
      <c r="B472"/>
      <c r="C472"/>
      <c r="D472"/>
      <c r="E472"/>
      <c r="M472" s="27" t="s">
        <v>8</v>
      </c>
      <c r="N472" s="27" t="s">
        <v>7</v>
      </c>
      <c r="O472" s="27" t="s">
        <v>8</v>
      </c>
      <c r="R472" s="27" t="s">
        <v>7</v>
      </c>
      <c r="S472" s="27" t="s">
        <v>8</v>
      </c>
      <c r="T472" s="27" t="s">
        <v>7</v>
      </c>
      <c r="U472" s="27" t="s">
        <v>8</v>
      </c>
      <c r="V472" s="27" t="s">
        <v>7</v>
      </c>
      <c r="AM472" s="27" t="s">
        <v>8</v>
      </c>
      <c r="AN472" s="27" t="s">
        <v>7</v>
      </c>
      <c r="AO472" s="27" t="s">
        <v>8</v>
      </c>
      <c r="CT472" s="27" t="s">
        <v>7</v>
      </c>
      <c r="CU472" s="27" t="s">
        <v>8</v>
      </c>
      <c r="CV472" s="27" t="s">
        <v>7</v>
      </c>
      <c r="CW472" s="27" t="s">
        <v>8</v>
      </c>
      <c r="CX472" s="27" t="s">
        <v>7</v>
      </c>
      <c r="CY472" s="27" t="s">
        <v>8</v>
      </c>
      <c r="CZ472" s="27" t="s">
        <v>7</v>
      </c>
      <c r="DA472" s="27" t="s">
        <v>8</v>
      </c>
      <c r="DD472" s="27" t="s">
        <v>7</v>
      </c>
      <c r="DE472" s="27" t="s">
        <v>8</v>
      </c>
      <c r="DF472" s="27" t="s">
        <v>7</v>
      </c>
      <c r="DI472" s="27" t="s">
        <v>8</v>
      </c>
      <c r="DJ472" s="27" t="s">
        <v>7</v>
      </c>
      <c r="DK472" s="27" t="s">
        <v>8</v>
      </c>
      <c r="EC472" s="27" t="s">
        <v>8</v>
      </c>
      <c r="ED472" s="27" t="s">
        <v>7</v>
      </c>
      <c r="EI472" s="27" t="s">
        <v>8</v>
      </c>
      <c r="FB472" s="27" t="s">
        <v>7</v>
      </c>
      <c r="FC472" s="27" t="s">
        <v>8</v>
      </c>
      <c r="FD472" s="27" t="s">
        <v>7</v>
      </c>
      <c r="FE472" s="27" t="s">
        <v>8</v>
      </c>
      <c r="FF472" s="27" t="s">
        <v>7</v>
      </c>
      <c r="FJ472" s="27" t="s">
        <v>7</v>
      </c>
      <c r="FK472" s="27" t="s">
        <v>8</v>
      </c>
      <c r="FS472" s="27" t="s">
        <v>8</v>
      </c>
      <c r="FT472" s="27" t="s">
        <v>7</v>
      </c>
      <c r="FU472" s="27" t="s">
        <v>8</v>
      </c>
      <c r="FV472" s="27" t="s">
        <v>7</v>
      </c>
      <c r="FX472" s="27" t="s">
        <v>7</v>
      </c>
      <c r="FY472" s="27" t="s">
        <v>8</v>
      </c>
      <c r="GT472" s="27" t="s">
        <v>7</v>
      </c>
      <c r="GV472" s="27" t="s">
        <v>7</v>
      </c>
      <c r="GW472" s="27" t="s">
        <v>8</v>
      </c>
      <c r="GZ472" s="27" t="s">
        <v>7</v>
      </c>
      <c r="HA472" s="27" t="s">
        <v>8</v>
      </c>
      <c r="HB472" s="27" t="s">
        <v>7</v>
      </c>
      <c r="HG472" s="27" t="s">
        <v>8</v>
      </c>
      <c r="HH472" s="27" t="s">
        <v>7</v>
      </c>
      <c r="HI472" s="27" t="s">
        <v>8</v>
      </c>
      <c r="HO472" s="27" t="s">
        <v>8</v>
      </c>
      <c r="HP472" s="27" t="s">
        <v>7</v>
      </c>
    </row>
    <row r="473" spans="1:228" x14ac:dyDescent="0.25">
      <c r="A473" s="7">
        <v>9.5591566989398498</v>
      </c>
      <c r="B473"/>
      <c r="C473"/>
      <c r="D473"/>
      <c r="E473"/>
      <c r="M473" s="27" t="s">
        <v>8</v>
      </c>
      <c r="N473" s="27" t="s">
        <v>7</v>
      </c>
      <c r="R473" s="27" t="s">
        <v>7</v>
      </c>
      <c r="S473" s="27" t="s">
        <v>8</v>
      </c>
      <c r="T473" s="27" t="s">
        <v>7</v>
      </c>
      <c r="U473" s="27" t="s">
        <v>8</v>
      </c>
      <c r="V473" s="27" t="s">
        <v>7</v>
      </c>
      <c r="AM473" s="27" t="s">
        <v>8</v>
      </c>
      <c r="AN473" s="27" t="s">
        <v>7</v>
      </c>
      <c r="AO473" s="27" t="s">
        <v>8</v>
      </c>
      <c r="CT473" s="27" t="s">
        <v>7</v>
      </c>
      <c r="CU473" s="27" t="s">
        <v>8</v>
      </c>
      <c r="CV473" s="27" t="s">
        <v>7</v>
      </c>
      <c r="CW473" s="27" t="s">
        <v>8</v>
      </c>
      <c r="CX473" s="27" t="s">
        <v>7</v>
      </c>
      <c r="CY473" s="27" t="s">
        <v>8</v>
      </c>
      <c r="CZ473" s="27" t="s">
        <v>7</v>
      </c>
      <c r="DA473" s="27" t="s">
        <v>8</v>
      </c>
      <c r="DD473" s="27" t="s">
        <v>7</v>
      </c>
      <c r="DE473" s="27" t="s">
        <v>8</v>
      </c>
      <c r="DF473" s="27" t="s">
        <v>7</v>
      </c>
      <c r="DG473" s="27" t="s">
        <v>8</v>
      </c>
      <c r="DI473" s="27" t="s">
        <v>8</v>
      </c>
      <c r="DJ473" s="27" t="s">
        <v>7</v>
      </c>
      <c r="DK473" s="27" t="s">
        <v>8</v>
      </c>
      <c r="DL473" s="27" t="s">
        <v>7</v>
      </c>
      <c r="DY473" s="27" t="s">
        <v>8</v>
      </c>
      <c r="EC473" s="27" t="s">
        <v>8</v>
      </c>
      <c r="ED473" s="27" t="s">
        <v>7</v>
      </c>
      <c r="EI473" s="27" t="s">
        <v>8</v>
      </c>
      <c r="FB473" s="27" t="s">
        <v>7</v>
      </c>
      <c r="FC473" s="27" t="s">
        <v>8</v>
      </c>
      <c r="FD473" s="27" t="s">
        <v>7</v>
      </c>
      <c r="FE473" s="27" t="s">
        <v>8</v>
      </c>
      <c r="FJ473" s="27" t="s">
        <v>7</v>
      </c>
      <c r="FK473" s="27" t="s">
        <v>8</v>
      </c>
      <c r="FL473" s="27" t="s">
        <v>7</v>
      </c>
      <c r="FQ473" s="27" t="s">
        <v>8</v>
      </c>
      <c r="FS473" s="27" t="s">
        <v>8</v>
      </c>
      <c r="FT473" s="27" t="s">
        <v>7</v>
      </c>
      <c r="FU473" s="27" t="s">
        <v>8</v>
      </c>
      <c r="FX473" s="27" t="s">
        <v>7</v>
      </c>
      <c r="FY473" s="27" t="s">
        <v>8</v>
      </c>
      <c r="GV473" s="27" t="s">
        <v>7</v>
      </c>
      <c r="GW473" s="27" t="s">
        <v>8</v>
      </c>
      <c r="GZ473" s="27" t="s">
        <v>7</v>
      </c>
      <c r="HB473" s="27" t="s">
        <v>7</v>
      </c>
      <c r="HG473" s="27" t="s">
        <v>8</v>
      </c>
      <c r="HH473" s="27" t="s">
        <v>7</v>
      </c>
      <c r="HI473" s="27" t="s">
        <v>8</v>
      </c>
      <c r="HJ473" s="27" t="s">
        <v>7</v>
      </c>
      <c r="HO473" s="27" t="s">
        <v>8</v>
      </c>
      <c r="HP473" s="27" t="s">
        <v>7</v>
      </c>
    </row>
    <row r="474" spans="1:228" x14ac:dyDescent="0.25">
      <c r="A474" s="7">
        <v>9.3717222538625968</v>
      </c>
      <c r="B474"/>
      <c r="C474"/>
      <c r="D474"/>
      <c r="E474"/>
      <c r="M474" s="27" t="s">
        <v>8</v>
      </c>
      <c r="R474" s="27" t="s">
        <v>7</v>
      </c>
      <c r="S474" s="27" t="s">
        <v>8</v>
      </c>
      <c r="T474" s="27" t="s">
        <v>7</v>
      </c>
      <c r="U474" s="27" t="s">
        <v>8</v>
      </c>
      <c r="V474" s="27" t="s">
        <v>7</v>
      </c>
      <c r="AI474" s="27" t="s">
        <v>8</v>
      </c>
      <c r="AM474" s="27" t="s">
        <v>8</v>
      </c>
      <c r="AN474" s="27" t="s">
        <v>7</v>
      </c>
      <c r="AO474" s="27" t="s">
        <v>8</v>
      </c>
      <c r="CT474" s="27" t="s">
        <v>7</v>
      </c>
      <c r="CU474" s="27" t="s">
        <v>8</v>
      </c>
      <c r="CV474" s="27" t="s">
        <v>7</v>
      </c>
      <c r="CW474" s="27" t="s">
        <v>8</v>
      </c>
      <c r="CX474" s="27" t="s">
        <v>7</v>
      </c>
      <c r="CY474" s="27" t="s">
        <v>8</v>
      </c>
      <c r="CZ474" s="27" t="s">
        <v>7</v>
      </c>
      <c r="DA474" s="27" t="s">
        <v>8</v>
      </c>
      <c r="DD474" s="27" t="s">
        <v>7</v>
      </c>
      <c r="DE474" s="27" t="s">
        <v>8</v>
      </c>
      <c r="DF474" s="27" t="s">
        <v>7</v>
      </c>
      <c r="DG474" s="27" t="s">
        <v>8</v>
      </c>
      <c r="DH474" s="27" t="s">
        <v>7</v>
      </c>
      <c r="DI474" s="27" t="s">
        <v>8</v>
      </c>
      <c r="DJ474" s="27" t="s">
        <v>7</v>
      </c>
      <c r="DK474" s="27" t="s">
        <v>8</v>
      </c>
      <c r="DL474" s="27" t="s">
        <v>7</v>
      </c>
      <c r="DY474" s="27" t="s">
        <v>8</v>
      </c>
      <c r="DZ474" s="27" t="s">
        <v>7</v>
      </c>
      <c r="EC474" s="27" t="s">
        <v>8</v>
      </c>
      <c r="ED474" s="27" t="s">
        <v>7</v>
      </c>
      <c r="EG474" s="27" t="s">
        <v>8</v>
      </c>
      <c r="EI474" s="27" t="s">
        <v>8</v>
      </c>
      <c r="FB474" s="27" t="s">
        <v>7</v>
      </c>
      <c r="FC474" s="27" t="s">
        <v>8</v>
      </c>
      <c r="FD474" s="27" t="s">
        <v>7</v>
      </c>
      <c r="FJ474" s="27" t="s">
        <v>7</v>
      </c>
      <c r="FK474" s="27" t="s">
        <v>8</v>
      </c>
      <c r="FL474" s="27" t="s">
        <v>7</v>
      </c>
      <c r="FQ474" s="27" t="s">
        <v>8</v>
      </c>
      <c r="FR474" s="27" t="s">
        <v>7</v>
      </c>
      <c r="FS474" s="27" t="s">
        <v>8</v>
      </c>
      <c r="FT474" s="27" t="s">
        <v>7</v>
      </c>
      <c r="FU474" s="27" t="s">
        <v>8</v>
      </c>
      <c r="FX474" s="27" t="s">
        <v>7</v>
      </c>
      <c r="FY474" s="27" t="s">
        <v>8</v>
      </c>
      <c r="GV474" s="27" t="s">
        <v>7</v>
      </c>
      <c r="GW474" s="27" t="s">
        <v>8</v>
      </c>
      <c r="HB474" s="27" t="s">
        <v>7</v>
      </c>
      <c r="HG474" s="27" t="s">
        <v>8</v>
      </c>
      <c r="HH474" s="27" t="s">
        <v>7</v>
      </c>
      <c r="HI474" s="27" t="s">
        <v>8</v>
      </c>
      <c r="HJ474" s="27" t="s">
        <v>7</v>
      </c>
      <c r="HK474" s="27" t="s">
        <v>8</v>
      </c>
      <c r="HO474" s="27" t="s">
        <v>8</v>
      </c>
      <c r="HP474" s="27" t="s">
        <v>7</v>
      </c>
    </row>
    <row r="475" spans="1:228" x14ac:dyDescent="0.25">
      <c r="A475" s="7">
        <v>9.1879629939829375</v>
      </c>
      <c r="B475"/>
      <c r="C475"/>
      <c r="D475"/>
      <c r="E475"/>
      <c r="M475" s="27" t="s">
        <v>8</v>
      </c>
      <c r="R475" s="27" t="s">
        <v>7</v>
      </c>
      <c r="S475" s="27" t="s">
        <v>8</v>
      </c>
      <c r="T475" s="27" t="s">
        <v>7</v>
      </c>
      <c r="U475" s="27" t="s">
        <v>8</v>
      </c>
      <c r="V475" s="27" t="s">
        <v>7</v>
      </c>
      <c r="AI475" s="27" t="s">
        <v>8</v>
      </c>
      <c r="AJ475" s="27" t="s">
        <v>7</v>
      </c>
      <c r="AM475" s="27" t="s">
        <v>8</v>
      </c>
      <c r="AN475" s="27" t="s">
        <v>7</v>
      </c>
      <c r="AO475" s="27" t="s">
        <v>8</v>
      </c>
      <c r="CT475" s="27" t="s">
        <v>7</v>
      </c>
      <c r="CU475" s="27" t="s">
        <v>8</v>
      </c>
      <c r="CV475" s="27" t="s">
        <v>7</v>
      </c>
      <c r="CW475" s="27" t="s">
        <v>8</v>
      </c>
      <c r="CX475" s="27" t="s">
        <v>7</v>
      </c>
      <c r="CZ475" s="27" t="s">
        <v>7</v>
      </c>
      <c r="DA475" s="27" t="s">
        <v>8</v>
      </c>
      <c r="DD475" s="27" t="s">
        <v>7</v>
      </c>
      <c r="DE475" s="27" t="s">
        <v>8</v>
      </c>
      <c r="DF475" s="27" t="s">
        <v>7</v>
      </c>
      <c r="DG475" s="27" t="s">
        <v>8</v>
      </c>
      <c r="DH475" s="27" t="s">
        <v>7</v>
      </c>
      <c r="DI475" s="27" t="s">
        <v>8</v>
      </c>
      <c r="DJ475" s="27" t="s">
        <v>7</v>
      </c>
      <c r="DL475" s="27" t="s">
        <v>7</v>
      </c>
      <c r="DY475" s="27" t="s">
        <v>8</v>
      </c>
      <c r="DZ475" s="27" t="s">
        <v>7</v>
      </c>
      <c r="EC475" s="27" t="s">
        <v>8</v>
      </c>
      <c r="ED475" s="27" t="s">
        <v>7</v>
      </c>
      <c r="EG475" s="27" t="s">
        <v>8</v>
      </c>
      <c r="EH475" s="27" t="s">
        <v>7</v>
      </c>
      <c r="EI475" s="27" t="s">
        <v>8</v>
      </c>
      <c r="FB475" s="27" t="s">
        <v>7</v>
      </c>
      <c r="FJ475" s="27" t="s">
        <v>7</v>
      </c>
      <c r="FK475" s="27" t="s">
        <v>8</v>
      </c>
      <c r="FL475" s="27" t="s">
        <v>7</v>
      </c>
      <c r="FQ475" s="27" t="s">
        <v>8</v>
      </c>
      <c r="FR475" s="27" t="s">
        <v>7</v>
      </c>
      <c r="FS475" s="27" t="s">
        <v>8</v>
      </c>
      <c r="FT475" s="27" t="s">
        <v>7</v>
      </c>
      <c r="FU475" s="27" t="s">
        <v>8</v>
      </c>
      <c r="FX475" s="27" t="s">
        <v>7</v>
      </c>
      <c r="FY475" s="27" t="s">
        <v>8</v>
      </c>
      <c r="GV475" s="27" t="s">
        <v>7</v>
      </c>
      <c r="GW475" s="27" t="s">
        <v>8</v>
      </c>
      <c r="HB475" s="27" t="s">
        <v>7</v>
      </c>
      <c r="HG475" s="27" t="s">
        <v>8</v>
      </c>
      <c r="HH475" s="27" t="s">
        <v>7</v>
      </c>
      <c r="HI475" s="27" t="s">
        <v>8</v>
      </c>
      <c r="HJ475" s="27" t="s">
        <v>7</v>
      </c>
      <c r="HK475" s="27" t="s">
        <v>8</v>
      </c>
      <c r="HL475" s="27" t="s">
        <v>7</v>
      </c>
      <c r="HO475" s="27" t="s">
        <v>8</v>
      </c>
      <c r="HP475" s="27" t="s">
        <v>7</v>
      </c>
      <c r="HQ475" s="27" t="s">
        <v>8</v>
      </c>
      <c r="HS475" s="27" t="s">
        <v>8</v>
      </c>
    </row>
    <row r="476" spans="1:228" x14ac:dyDescent="0.25">
      <c r="A476" s="7">
        <v>9.0078068568460168</v>
      </c>
      <c r="B476"/>
      <c r="C476"/>
      <c r="D476"/>
      <c r="E476"/>
      <c r="M476" s="27" t="s">
        <v>8</v>
      </c>
      <c r="R476" s="27" t="s">
        <v>7</v>
      </c>
      <c r="T476" s="27" t="s">
        <v>7</v>
      </c>
      <c r="U476" s="27" t="s">
        <v>8</v>
      </c>
      <c r="V476" s="27" t="s">
        <v>7</v>
      </c>
      <c r="AI476" s="27" t="s">
        <v>8</v>
      </c>
      <c r="AJ476" s="27" t="s">
        <v>7</v>
      </c>
      <c r="AM476" s="27" t="s">
        <v>8</v>
      </c>
      <c r="AN476" s="27" t="s">
        <v>7</v>
      </c>
      <c r="AO476" s="27" t="s">
        <v>8</v>
      </c>
      <c r="CT476" s="27" t="s">
        <v>7</v>
      </c>
      <c r="CU476" s="27" t="s">
        <v>8</v>
      </c>
      <c r="CV476" s="27" t="s">
        <v>7</v>
      </c>
      <c r="CW476" s="27" t="s">
        <v>8</v>
      </c>
      <c r="CZ476" s="27" t="s">
        <v>7</v>
      </c>
      <c r="DA476" s="27" t="s">
        <v>8</v>
      </c>
      <c r="DD476" s="27" t="s">
        <v>7</v>
      </c>
      <c r="DF476" s="27" t="s">
        <v>7</v>
      </c>
      <c r="DG476" s="27" t="s">
        <v>8</v>
      </c>
      <c r="DH476" s="27" t="s">
        <v>7</v>
      </c>
      <c r="DI476" s="27" t="s">
        <v>8</v>
      </c>
      <c r="DL476" s="27" t="s">
        <v>7</v>
      </c>
      <c r="DY476" s="27" t="s">
        <v>8</v>
      </c>
      <c r="DZ476" s="27" t="s">
        <v>7</v>
      </c>
      <c r="EC476" s="27" t="s">
        <v>8</v>
      </c>
      <c r="ED476" s="27" t="s">
        <v>7</v>
      </c>
      <c r="EE476" s="27" t="s">
        <v>8</v>
      </c>
      <c r="EG476" s="27" t="s">
        <v>8</v>
      </c>
      <c r="EH476" s="27" t="s">
        <v>7</v>
      </c>
      <c r="EI476" s="27" t="s">
        <v>8</v>
      </c>
      <c r="FJ476" s="27" t="s">
        <v>7</v>
      </c>
      <c r="FK476" s="27" t="s">
        <v>8</v>
      </c>
      <c r="FL476" s="27" t="s">
        <v>7</v>
      </c>
      <c r="FQ476" s="27" t="s">
        <v>8</v>
      </c>
      <c r="FR476" s="27" t="s">
        <v>7</v>
      </c>
      <c r="FS476" s="27" t="s">
        <v>8</v>
      </c>
      <c r="FT476" s="27" t="s">
        <v>7</v>
      </c>
      <c r="FX476" s="27" t="s">
        <v>7</v>
      </c>
      <c r="FY476" s="27" t="s">
        <v>8</v>
      </c>
      <c r="GV476" s="27" t="s">
        <v>7</v>
      </c>
      <c r="GW476" s="27" t="s">
        <v>8</v>
      </c>
      <c r="HB476" s="27" t="s">
        <v>7</v>
      </c>
      <c r="HG476" s="27" t="s">
        <v>8</v>
      </c>
      <c r="HH476" s="27" t="s">
        <v>7</v>
      </c>
      <c r="HI476" s="27" t="s">
        <v>8</v>
      </c>
      <c r="HJ476" s="27" t="s">
        <v>7</v>
      </c>
      <c r="HK476" s="27" t="s">
        <v>8</v>
      </c>
      <c r="HL476" s="27" t="s">
        <v>7</v>
      </c>
      <c r="HO476" s="27" t="s">
        <v>8</v>
      </c>
      <c r="HP476" s="27" t="s">
        <v>7</v>
      </c>
      <c r="HQ476" s="27" t="s">
        <v>8</v>
      </c>
      <c r="HR476" s="27" t="s">
        <v>7</v>
      </c>
      <c r="HS476" s="27" t="s">
        <v>8</v>
      </c>
      <c r="HT476" s="27" t="s">
        <v>7</v>
      </c>
    </row>
    <row r="477" spans="1:228" x14ac:dyDescent="0.25">
      <c r="A477" s="7">
        <v>8.8311831929862912</v>
      </c>
      <c r="B477"/>
      <c r="C477"/>
      <c r="D477"/>
      <c r="E477"/>
      <c r="M477" s="27" t="s">
        <v>8</v>
      </c>
      <c r="T477" s="27" t="s">
        <v>7</v>
      </c>
      <c r="U477" s="27" t="s">
        <v>8</v>
      </c>
      <c r="V477" s="27" t="s">
        <v>7</v>
      </c>
      <c r="Y477" s="27" t="s">
        <v>8</v>
      </c>
      <c r="AI477" s="27" t="s">
        <v>8</v>
      </c>
      <c r="AJ477" s="27" t="s">
        <v>7</v>
      </c>
      <c r="AM477" s="27" t="s">
        <v>8</v>
      </c>
      <c r="AN477" s="27" t="s">
        <v>7</v>
      </c>
      <c r="AO477" s="27" t="s">
        <v>8</v>
      </c>
      <c r="CT477" s="27" t="s">
        <v>7</v>
      </c>
      <c r="CU477" s="27" t="s">
        <v>8</v>
      </c>
      <c r="CV477" s="27" t="s">
        <v>7</v>
      </c>
      <c r="CW477" s="27" t="s">
        <v>8</v>
      </c>
      <c r="CZ477" s="27" t="s">
        <v>7</v>
      </c>
      <c r="DA477" s="27" t="s">
        <v>8</v>
      </c>
      <c r="DF477" s="27" t="s">
        <v>7</v>
      </c>
      <c r="DG477" s="27" t="s">
        <v>8</v>
      </c>
      <c r="DH477" s="27" t="s">
        <v>7</v>
      </c>
      <c r="DI477" s="27" t="s">
        <v>8</v>
      </c>
      <c r="DL477" s="27" t="s">
        <v>7</v>
      </c>
      <c r="DY477" s="27" t="s">
        <v>8</v>
      </c>
      <c r="DZ477" s="27" t="s">
        <v>7</v>
      </c>
      <c r="EC477" s="27" t="s">
        <v>8</v>
      </c>
      <c r="ED477" s="27" t="s">
        <v>7</v>
      </c>
      <c r="EE477" s="27" t="s">
        <v>8</v>
      </c>
      <c r="EF477" s="27" t="s">
        <v>7</v>
      </c>
      <c r="EG477" s="27" t="s">
        <v>8</v>
      </c>
      <c r="EH477" s="27" t="s">
        <v>7</v>
      </c>
      <c r="EI477" s="27" t="s">
        <v>8</v>
      </c>
      <c r="FJ477" s="27" t="s">
        <v>7</v>
      </c>
      <c r="FK477" s="27" t="s">
        <v>8</v>
      </c>
      <c r="FL477" s="27" t="s">
        <v>7</v>
      </c>
      <c r="FQ477" s="27" t="s">
        <v>8</v>
      </c>
      <c r="FR477" s="27" t="s">
        <v>7</v>
      </c>
      <c r="FX477" s="27" t="s">
        <v>7</v>
      </c>
      <c r="FY477" s="27" t="s">
        <v>8</v>
      </c>
      <c r="GV477" s="27" t="s">
        <v>7</v>
      </c>
      <c r="HB477" s="27" t="s">
        <v>7</v>
      </c>
      <c r="HE477" s="27" t="s">
        <v>8</v>
      </c>
      <c r="HG477" s="27" t="s">
        <v>8</v>
      </c>
      <c r="HH477" s="27" t="s">
        <v>7</v>
      </c>
      <c r="HI477" s="27" t="s">
        <v>8</v>
      </c>
      <c r="HJ477" s="27" t="s">
        <v>7</v>
      </c>
      <c r="HK477" s="27" t="s">
        <v>8</v>
      </c>
      <c r="HL477" s="27" t="s">
        <v>7</v>
      </c>
      <c r="HM477" s="27" t="s">
        <v>8</v>
      </c>
      <c r="HO477" s="27" t="s">
        <v>8</v>
      </c>
      <c r="HP477" s="27" t="s">
        <v>7</v>
      </c>
      <c r="HQ477" s="27" t="s">
        <v>8</v>
      </c>
      <c r="HR477" s="27" t="s">
        <v>7</v>
      </c>
      <c r="HS477" s="27" t="s">
        <v>8</v>
      </c>
      <c r="HT477" s="27" t="s">
        <v>7</v>
      </c>
    </row>
    <row r="478" spans="1:228" x14ac:dyDescent="0.25">
      <c r="A478" s="7">
        <v>8.6580227382218542</v>
      </c>
      <c r="B478"/>
      <c r="C478"/>
      <c r="D478"/>
      <c r="E478"/>
      <c r="M478" s="27" t="s">
        <v>8</v>
      </c>
      <c r="T478" s="27" t="s">
        <v>7</v>
      </c>
      <c r="U478" s="27" t="s">
        <v>8</v>
      </c>
      <c r="V478" s="27" t="s">
        <v>7</v>
      </c>
      <c r="Y478" s="27" t="s">
        <v>8</v>
      </c>
      <c r="Z478" s="27" t="s">
        <v>7</v>
      </c>
      <c r="AI478" s="27" t="s">
        <v>8</v>
      </c>
      <c r="AJ478" s="27" t="s">
        <v>7</v>
      </c>
      <c r="AM478" s="27" t="s">
        <v>8</v>
      </c>
      <c r="AN478" s="27" t="s">
        <v>7</v>
      </c>
      <c r="AO478" s="27" t="s">
        <v>8</v>
      </c>
      <c r="CT478" s="27" t="s">
        <v>7</v>
      </c>
      <c r="CU478" s="27" t="s">
        <v>8</v>
      </c>
      <c r="CV478" s="27" t="s">
        <v>7</v>
      </c>
      <c r="CW478" s="27" t="s">
        <v>8</v>
      </c>
      <c r="CZ478" s="27" t="s">
        <v>7</v>
      </c>
      <c r="DA478" s="27" t="s">
        <v>8</v>
      </c>
      <c r="DF478" s="27" t="s">
        <v>7</v>
      </c>
      <c r="DG478" s="27" t="s">
        <v>8</v>
      </c>
      <c r="DH478" s="27" t="s">
        <v>7</v>
      </c>
      <c r="DI478" s="27" t="s">
        <v>8</v>
      </c>
      <c r="DL478" s="27" t="s">
        <v>7</v>
      </c>
      <c r="DY478" s="27" t="s">
        <v>8</v>
      </c>
      <c r="DZ478" s="27" t="s">
        <v>7</v>
      </c>
      <c r="EC478" s="27" t="s">
        <v>8</v>
      </c>
      <c r="ED478" s="27" t="s">
        <v>7</v>
      </c>
      <c r="EE478" s="27" t="s">
        <v>8</v>
      </c>
      <c r="EF478" s="27" t="s">
        <v>7</v>
      </c>
      <c r="EG478" s="27" t="s">
        <v>8</v>
      </c>
      <c r="EH478" s="27" t="s">
        <v>7</v>
      </c>
      <c r="EI478" s="27" t="s">
        <v>8</v>
      </c>
      <c r="FJ478" s="27" t="s">
        <v>7</v>
      </c>
      <c r="FK478" s="27" t="s">
        <v>8</v>
      </c>
      <c r="FL478" s="27" t="s">
        <v>7</v>
      </c>
      <c r="FM478" s="27" t="s">
        <v>8</v>
      </c>
      <c r="FQ478" s="27" t="s">
        <v>8</v>
      </c>
      <c r="FX478" s="27" t="s">
        <v>7</v>
      </c>
      <c r="HB478" s="27" t="s">
        <v>7</v>
      </c>
      <c r="HE478" s="27" t="s">
        <v>8</v>
      </c>
      <c r="HF478" s="27" t="s">
        <v>7</v>
      </c>
      <c r="HG478" s="27" t="s">
        <v>8</v>
      </c>
      <c r="HH478" s="27" t="s">
        <v>7</v>
      </c>
      <c r="HI478" s="27" t="s">
        <v>8</v>
      </c>
      <c r="HJ478" s="27" t="s">
        <v>7</v>
      </c>
      <c r="HL478" s="27" t="s">
        <v>7</v>
      </c>
      <c r="HM478" s="27" t="s">
        <v>8</v>
      </c>
      <c r="HN478" s="27" t="s">
        <v>7</v>
      </c>
      <c r="HO478" s="27" t="s">
        <v>8</v>
      </c>
      <c r="HP478" s="27" t="s">
        <v>7</v>
      </c>
      <c r="HR478" s="27" t="s">
        <v>7</v>
      </c>
      <c r="HS478" s="27" t="s">
        <v>8</v>
      </c>
      <c r="HT478" s="27" t="s">
        <v>7</v>
      </c>
    </row>
    <row r="479" spans="1:228" x14ac:dyDescent="0.25">
      <c r="A479" s="7">
        <v>8.4882575864920131</v>
      </c>
      <c r="B479"/>
      <c r="C479"/>
      <c r="D479"/>
      <c r="E479"/>
      <c r="M479" s="27" t="s">
        <v>8</v>
      </c>
      <c r="T479" s="27" t="s">
        <v>7</v>
      </c>
      <c r="U479" s="27" t="s">
        <v>8</v>
      </c>
      <c r="V479" s="27" t="s">
        <v>7</v>
      </c>
      <c r="Y479" s="27" t="s">
        <v>8</v>
      </c>
      <c r="Z479" s="27" t="s">
        <v>7</v>
      </c>
      <c r="AI479" s="27" t="s">
        <v>8</v>
      </c>
      <c r="AJ479" s="27" t="s">
        <v>7</v>
      </c>
      <c r="AM479" s="27" t="s">
        <v>8</v>
      </c>
      <c r="AN479" s="27" t="s">
        <v>7</v>
      </c>
      <c r="AO479" s="27" t="s">
        <v>8</v>
      </c>
      <c r="CT479" s="27" t="s">
        <v>7</v>
      </c>
      <c r="CU479" s="27" t="s">
        <v>8</v>
      </c>
      <c r="CV479" s="27" t="s">
        <v>7</v>
      </c>
      <c r="CW479" s="27" t="s">
        <v>8</v>
      </c>
      <c r="CZ479" s="27" t="s">
        <v>7</v>
      </c>
      <c r="DA479" s="27" t="s">
        <v>8</v>
      </c>
      <c r="DF479" s="27" t="s">
        <v>7</v>
      </c>
      <c r="DG479" s="27" t="s">
        <v>8</v>
      </c>
      <c r="DH479" s="27" t="s">
        <v>7</v>
      </c>
      <c r="DI479" s="27" t="s">
        <v>8</v>
      </c>
      <c r="DL479" s="27" t="s">
        <v>7</v>
      </c>
      <c r="DM479" s="27" t="s">
        <v>8</v>
      </c>
      <c r="DY479" s="27" t="s">
        <v>8</v>
      </c>
      <c r="DZ479" s="27" t="s">
        <v>7</v>
      </c>
      <c r="EC479" s="27" t="s">
        <v>8</v>
      </c>
      <c r="ED479" s="27" t="s">
        <v>7</v>
      </c>
      <c r="EE479" s="27" t="s">
        <v>8</v>
      </c>
      <c r="EF479" s="27" t="s">
        <v>7</v>
      </c>
      <c r="EG479" s="27" t="s">
        <v>8</v>
      </c>
      <c r="EH479" s="27" t="s">
        <v>7</v>
      </c>
      <c r="EI479" s="27" t="s">
        <v>8</v>
      </c>
      <c r="FJ479" s="27" t="s">
        <v>7</v>
      </c>
      <c r="FK479" s="27" t="s">
        <v>8</v>
      </c>
      <c r="FL479" s="27" t="s">
        <v>7</v>
      </c>
      <c r="FM479" s="27" t="s">
        <v>8</v>
      </c>
      <c r="FN479" s="27" t="s">
        <v>7</v>
      </c>
      <c r="FO479" s="27" t="s">
        <v>8</v>
      </c>
      <c r="FQ479" s="27" t="s">
        <v>8</v>
      </c>
      <c r="HB479" s="27" t="s">
        <v>7</v>
      </c>
      <c r="HE479" s="27" t="s">
        <v>8</v>
      </c>
      <c r="HF479" s="27" t="s">
        <v>7</v>
      </c>
      <c r="HG479" s="27" t="s">
        <v>8</v>
      </c>
      <c r="HH479" s="27" t="s">
        <v>7</v>
      </c>
      <c r="HI479" s="27" t="s">
        <v>8</v>
      </c>
      <c r="HL479" s="27" t="s">
        <v>7</v>
      </c>
      <c r="HM479" s="27" t="s">
        <v>8</v>
      </c>
      <c r="HN479" s="27" t="s">
        <v>7</v>
      </c>
      <c r="HO479" s="27" t="s">
        <v>8</v>
      </c>
      <c r="HR479" s="27" t="s">
        <v>7</v>
      </c>
      <c r="HS479" s="27" t="s">
        <v>8</v>
      </c>
      <c r="HT479" s="27" t="s">
        <v>7</v>
      </c>
    </row>
    <row r="480" spans="1:228" x14ac:dyDescent="0.25">
      <c r="A480" s="7">
        <v>8.3218211632274635</v>
      </c>
      <c r="B480"/>
      <c r="C480"/>
      <c r="D480"/>
      <c r="E480"/>
      <c r="M480" s="27" t="s">
        <v>8</v>
      </c>
      <c r="T480" s="27" t="s">
        <v>7</v>
      </c>
      <c r="U480" s="27" t="s">
        <v>8</v>
      </c>
      <c r="V480" s="27" t="s">
        <v>7</v>
      </c>
      <c r="Y480" s="27" t="s">
        <v>8</v>
      </c>
      <c r="Z480" s="27" t="s">
        <v>7</v>
      </c>
      <c r="AI480" s="27" t="s">
        <v>8</v>
      </c>
      <c r="AJ480" s="27" t="s">
        <v>7</v>
      </c>
      <c r="AM480" s="27" t="s">
        <v>8</v>
      </c>
      <c r="AN480" s="27" t="s">
        <v>7</v>
      </c>
      <c r="AO480" s="27" t="s">
        <v>8</v>
      </c>
      <c r="CT480" s="27" t="s">
        <v>7</v>
      </c>
      <c r="CU480" s="27" t="s">
        <v>8</v>
      </c>
      <c r="CV480" s="27" t="s">
        <v>7</v>
      </c>
      <c r="CW480" s="27" t="s">
        <v>8</v>
      </c>
      <c r="CZ480" s="27" t="s">
        <v>7</v>
      </c>
      <c r="DF480" s="27" t="s">
        <v>7</v>
      </c>
      <c r="DG480" s="27" t="s">
        <v>8</v>
      </c>
      <c r="DH480" s="27" t="s">
        <v>7</v>
      </c>
      <c r="DI480" s="27" t="s">
        <v>8</v>
      </c>
      <c r="DL480" s="27" t="s">
        <v>7</v>
      </c>
      <c r="DM480" s="27" t="s">
        <v>8</v>
      </c>
      <c r="DN480" s="27" t="s">
        <v>7</v>
      </c>
      <c r="DY480" s="27" t="s">
        <v>8</v>
      </c>
      <c r="DZ480" s="27" t="s">
        <v>7</v>
      </c>
      <c r="EC480" s="27" t="s">
        <v>8</v>
      </c>
      <c r="ED480" s="27" t="s">
        <v>7</v>
      </c>
      <c r="EE480" s="27" t="s">
        <v>8</v>
      </c>
      <c r="EF480" s="27" t="s">
        <v>7</v>
      </c>
      <c r="EH480" s="27" t="s">
        <v>7</v>
      </c>
      <c r="EI480" s="27" t="s">
        <v>8</v>
      </c>
      <c r="FJ480" s="27" t="s">
        <v>7</v>
      </c>
      <c r="FK480" s="27" t="s">
        <v>8</v>
      </c>
      <c r="FL480" s="27" t="s">
        <v>7</v>
      </c>
      <c r="FM480" s="27" t="s">
        <v>8</v>
      </c>
      <c r="FN480" s="27" t="s">
        <v>7</v>
      </c>
      <c r="FO480" s="27" t="s">
        <v>8</v>
      </c>
      <c r="FP480" s="27" t="s">
        <v>7</v>
      </c>
      <c r="FQ480" s="27" t="s">
        <v>8</v>
      </c>
      <c r="HB480" s="27" t="s">
        <v>7</v>
      </c>
      <c r="HC480" s="27" t="s">
        <v>8</v>
      </c>
      <c r="HE480" s="27" t="s">
        <v>8</v>
      </c>
      <c r="HF480" s="27" t="s">
        <v>7</v>
      </c>
      <c r="HG480" s="27" t="s">
        <v>8</v>
      </c>
      <c r="HH480" s="27" t="s">
        <v>7</v>
      </c>
      <c r="HL480" s="27" t="s">
        <v>7</v>
      </c>
      <c r="HM480" s="27" t="s">
        <v>8</v>
      </c>
      <c r="HN480" s="27" t="s">
        <v>7</v>
      </c>
      <c r="HO480" s="27" t="s">
        <v>8</v>
      </c>
      <c r="HR480" s="27" t="s">
        <v>7</v>
      </c>
      <c r="HS480" s="27" t="s">
        <v>8</v>
      </c>
      <c r="HT480" s="27" t="s">
        <v>7</v>
      </c>
    </row>
    <row r="481" spans="1:238" x14ac:dyDescent="0.25">
      <c r="A481" s="7">
        <v>8.1586481992426112</v>
      </c>
      <c r="B481"/>
      <c r="C481"/>
      <c r="D481"/>
      <c r="E481"/>
      <c r="M481" s="27" t="s">
        <v>8</v>
      </c>
      <c r="T481" s="27" t="s">
        <v>7</v>
      </c>
      <c r="U481" s="27" t="s">
        <v>8</v>
      </c>
      <c r="V481" s="27" t="s">
        <v>7</v>
      </c>
      <c r="W481" s="27" t="s">
        <v>8</v>
      </c>
      <c r="Y481" s="27" t="s">
        <v>8</v>
      </c>
      <c r="Z481" s="27" t="s">
        <v>7</v>
      </c>
      <c r="AI481" s="27" t="s">
        <v>8</v>
      </c>
      <c r="AJ481" s="27" t="s">
        <v>7</v>
      </c>
      <c r="AK481" s="27" t="s">
        <v>8</v>
      </c>
      <c r="AM481" s="27" t="s">
        <v>8</v>
      </c>
      <c r="AN481" s="27" t="s">
        <v>7</v>
      </c>
      <c r="AO481" s="27" t="s">
        <v>8</v>
      </c>
      <c r="CT481" s="27" t="s">
        <v>7</v>
      </c>
      <c r="CU481" s="27" t="s">
        <v>8</v>
      </c>
      <c r="CV481" s="27" t="s">
        <v>7</v>
      </c>
      <c r="CW481" s="27" t="s">
        <v>8</v>
      </c>
      <c r="DF481" s="27" t="s">
        <v>7</v>
      </c>
      <c r="DG481" s="27" t="s">
        <v>8</v>
      </c>
      <c r="DH481" s="27" t="s">
        <v>7</v>
      </c>
      <c r="DI481" s="27" t="s">
        <v>8</v>
      </c>
      <c r="DL481" s="27" t="s">
        <v>7</v>
      </c>
      <c r="DM481" s="27" t="s">
        <v>8</v>
      </c>
      <c r="DN481" s="27" t="s">
        <v>7</v>
      </c>
      <c r="DY481" s="27" t="s">
        <v>8</v>
      </c>
      <c r="DZ481" s="27" t="s">
        <v>7</v>
      </c>
      <c r="EC481" s="27" t="s">
        <v>8</v>
      </c>
      <c r="ED481" s="27" t="s">
        <v>7</v>
      </c>
      <c r="EE481" s="27" t="s">
        <v>8</v>
      </c>
      <c r="EH481" s="27" t="s">
        <v>7</v>
      </c>
      <c r="FJ481" s="27" t="s">
        <v>7</v>
      </c>
      <c r="FK481" s="27" t="s">
        <v>8</v>
      </c>
      <c r="FL481" s="27" t="s">
        <v>7</v>
      </c>
      <c r="FM481" s="27" t="s">
        <v>8</v>
      </c>
      <c r="FN481" s="27" t="s">
        <v>7</v>
      </c>
      <c r="FO481" s="27" t="s">
        <v>8</v>
      </c>
      <c r="FP481" s="27" t="s">
        <v>7</v>
      </c>
      <c r="FQ481" s="27" t="s">
        <v>8</v>
      </c>
      <c r="HB481" s="27" t="s">
        <v>7</v>
      </c>
      <c r="HC481" s="27" t="s">
        <v>8</v>
      </c>
      <c r="HD481" s="27" t="s">
        <v>7</v>
      </c>
      <c r="HE481" s="27" t="s">
        <v>8</v>
      </c>
      <c r="HF481" s="27" t="s">
        <v>7</v>
      </c>
      <c r="HG481" s="27" t="s">
        <v>8</v>
      </c>
      <c r="HL481" s="27" t="s">
        <v>7</v>
      </c>
      <c r="HN481" s="27" t="s">
        <v>7</v>
      </c>
      <c r="HR481" s="27" t="s">
        <v>7</v>
      </c>
      <c r="HS481" s="27" t="s">
        <v>8</v>
      </c>
      <c r="HT481" s="27" t="s">
        <v>7</v>
      </c>
      <c r="HW481" s="27" t="s">
        <v>8</v>
      </c>
    </row>
    <row r="482" spans="1:238" x14ac:dyDescent="0.25">
      <c r="A482" s="7">
        <v>7.9986747051398144</v>
      </c>
      <c r="B482"/>
      <c r="C482"/>
      <c r="D482"/>
      <c r="E482"/>
      <c r="M482" s="27" t="s">
        <v>8</v>
      </c>
      <c r="T482" s="27" t="s">
        <v>7</v>
      </c>
      <c r="U482" s="27" t="s">
        <v>8</v>
      </c>
      <c r="V482" s="27" t="s">
        <v>7</v>
      </c>
      <c r="W482" s="27" t="s">
        <v>8</v>
      </c>
      <c r="X482" s="27" t="s">
        <v>7</v>
      </c>
      <c r="Y482" s="27" t="s">
        <v>8</v>
      </c>
      <c r="Z482" s="27" t="s">
        <v>7</v>
      </c>
      <c r="AI482" s="27" t="s">
        <v>8</v>
      </c>
      <c r="AJ482" s="27" t="s">
        <v>7</v>
      </c>
      <c r="AK482" s="27" t="s">
        <v>8</v>
      </c>
      <c r="AL482" s="27" t="s">
        <v>7</v>
      </c>
      <c r="AM482" s="27" t="s">
        <v>8</v>
      </c>
      <c r="AN482" s="27" t="s">
        <v>7</v>
      </c>
      <c r="CT482" s="27" t="s">
        <v>7</v>
      </c>
      <c r="CU482" s="27" t="s">
        <v>8</v>
      </c>
      <c r="CV482" s="27" t="s">
        <v>7</v>
      </c>
      <c r="CW482" s="27" t="s">
        <v>8</v>
      </c>
      <c r="DF482" s="27" t="s">
        <v>7</v>
      </c>
      <c r="DG482" s="27" t="s">
        <v>8</v>
      </c>
      <c r="DH482" s="27" t="s">
        <v>7</v>
      </c>
      <c r="DI482" s="27" t="s">
        <v>8</v>
      </c>
      <c r="DL482" s="27" t="s">
        <v>7</v>
      </c>
      <c r="DN482" s="27" t="s">
        <v>7</v>
      </c>
      <c r="DY482" s="27" t="s">
        <v>8</v>
      </c>
      <c r="DZ482" s="27" t="s">
        <v>7</v>
      </c>
      <c r="EC482" s="27" t="s">
        <v>8</v>
      </c>
      <c r="ED482" s="27" t="s">
        <v>7</v>
      </c>
      <c r="FJ482" s="27" t="s">
        <v>7</v>
      </c>
      <c r="FK482" s="27" t="s">
        <v>8</v>
      </c>
      <c r="FL482" s="27" t="s">
        <v>7</v>
      </c>
      <c r="FM482" s="27" t="s">
        <v>8</v>
      </c>
      <c r="FN482" s="27" t="s">
        <v>7</v>
      </c>
      <c r="FO482" s="27" t="s">
        <v>8</v>
      </c>
      <c r="FP482" s="27" t="s">
        <v>7</v>
      </c>
      <c r="FQ482" s="27" t="s">
        <v>8</v>
      </c>
      <c r="HB482" s="27" t="s">
        <v>7</v>
      </c>
      <c r="HC482" s="27" t="s">
        <v>8</v>
      </c>
      <c r="HD482" s="27" t="s">
        <v>7</v>
      </c>
      <c r="HE482" s="27" t="s">
        <v>8</v>
      </c>
      <c r="HF482" s="27" t="s">
        <v>7</v>
      </c>
      <c r="HG482" s="27" t="s">
        <v>8</v>
      </c>
      <c r="HR482" s="27" t="s">
        <v>7</v>
      </c>
      <c r="HS482" s="27" t="s">
        <v>8</v>
      </c>
      <c r="HT482" s="27" t="s">
        <v>7</v>
      </c>
      <c r="HW482" s="27" t="s">
        <v>8</v>
      </c>
      <c r="HX482" s="27" t="s">
        <v>7</v>
      </c>
    </row>
    <row r="483" spans="1:238" x14ac:dyDescent="0.25">
      <c r="A483" s="7">
        <v>7.8418379462155041</v>
      </c>
      <c r="B483"/>
      <c r="C483"/>
      <c r="D483"/>
      <c r="E483"/>
      <c r="M483" s="27" t="s">
        <v>8</v>
      </c>
      <c r="T483" s="27" t="s">
        <v>7</v>
      </c>
      <c r="V483" s="27" t="s">
        <v>7</v>
      </c>
      <c r="W483" s="27" t="s">
        <v>8</v>
      </c>
      <c r="X483" s="27" t="s">
        <v>7</v>
      </c>
      <c r="Y483" s="27" t="s">
        <v>8</v>
      </c>
      <c r="Z483" s="27" t="s">
        <v>7</v>
      </c>
      <c r="AI483" s="27" t="s">
        <v>8</v>
      </c>
      <c r="AJ483" s="27" t="s">
        <v>7</v>
      </c>
      <c r="AK483" s="27" t="s">
        <v>8</v>
      </c>
      <c r="AL483" s="27" t="s">
        <v>7</v>
      </c>
      <c r="AM483" s="27" t="s">
        <v>8</v>
      </c>
      <c r="CT483" s="27" t="s">
        <v>7</v>
      </c>
      <c r="CU483" s="27" t="s">
        <v>8</v>
      </c>
      <c r="CV483" s="27" t="s">
        <v>7</v>
      </c>
      <c r="CW483" s="27" t="s">
        <v>8</v>
      </c>
      <c r="DF483" s="27" t="s">
        <v>7</v>
      </c>
      <c r="DG483" s="27" t="s">
        <v>8</v>
      </c>
      <c r="DH483" s="27" t="s">
        <v>7</v>
      </c>
      <c r="DI483" s="27" t="s">
        <v>8</v>
      </c>
      <c r="DN483" s="27" t="s">
        <v>7</v>
      </c>
      <c r="DY483" s="27" t="s">
        <v>8</v>
      </c>
      <c r="DZ483" s="27" t="s">
        <v>7</v>
      </c>
      <c r="EC483" s="27" t="s">
        <v>8</v>
      </c>
      <c r="FJ483" s="27" t="s">
        <v>7</v>
      </c>
      <c r="FK483" s="27" t="s">
        <v>8</v>
      </c>
      <c r="FL483" s="27" t="s">
        <v>7</v>
      </c>
      <c r="FN483" s="27" t="s">
        <v>7</v>
      </c>
      <c r="FO483" s="27" t="s">
        <v>8</v>
      </c>
      <c r="FP483" s="27" t="s">
        <v>7</v>
      </c>
      <c r="HB483" s="27" t="s">
        <v>7</v>
      </c>
      <c r="HC483" s="27" t="s">
        <v>8</v>
      </c>
      <c r="HD483" s="27" t="s">
        <v>7</v>
      </c>
      <c r="HE483" s="27" t="s">
        <v>8</v>
      </c>
      <c r="HF483" s="27" t="s">
        <v>7</v>
      </c>
      <c r="HG483" s="27" t="s">
        <v>8</v>
      </c>
      <c r="HR483" s="27" t="s">
        <v>7</v>
      </c>
      <c r="HS483" s="27" t="s">
        <v>8</v>
      </c>
      <c r="HT483" s="27" t="s">
        <v>7</v>
      </c>
      <c r="HW483" s="27" t="s">
        <v>8</v>
      </c>
      <c r="HX483" s="27" t="s">
        <v>7</v>
      </c>
    </row>
    <row r="484" spans="1:238" x14ac:dyDescent="0.25">
      <c r="A484" s="7">
        <v>7.688076417858337</v>
      </c>
      <c r="B484"/>
      <c r="C484"/>
      <c r="D484"/>
      <c r="E484"/>
      <c r="M484" s="27" t="s">
        <v>8</v>
      </c>
      <c r="V484" s="27" t="s">
        <v>7</v>
      </c>
      <c r="W484" s="27" t="s">
        <v>8</v>
      </c>
      <c r="X484" s="27" t="s">
        <v>7</v>
      </c>
      <c r="Y484" s="27" t="s">
        <v>8</v>
      </c>
      <c r="Z484" s="27" t="s">
        <v>7</v>
      </c>
      <c r="AC484" s="27" t="s">
        <v>8</v>
      </c>
      <c r="AI484" s="27" t="s">
        <v>8</v>
      </c>
      <c r="AJ484" s="27" t="s">
        <v>7</v>
      </c>
      <c r="AK484" s="27" t="s">
        <v>8</v>
      </c>
      <c r="AL484" s="27" t="s">
        <v>7</v>
      </c>
      <c r="AM484" s="27" t="s">
        <v>8</v>
      </c>
      <c r="CT484" s="27" t="s">
        <v>7</v>
      </c>
      <c r="CV484" s="27" t="s">
        <v>7</v>
      </c>
      <c r="CW484" s="27" t="s">
        <v>8</v>
      </c>
      <c r="DF484" s="27" t="s">
        <v>7</v>
      </c>
      <c r="DG484" s="27" t="s">
        <v>8</v>
      </c>
      <c r="DH484" s="27" t="s">
        <v>7</v>
      </c>
      <c r="DI484" s="27" t="s">
        <v>8</v>
      </c>
      <c r="DN484" s="27" t="s">
        <v>7</v>
      </c>
      <c r="DY484" s="27" t="s">
        <v>8</v>
      </c>
      <c r="DZ484" s="27" t="s">
        <v>7</v>
      </c>
      <c r="EC484" s="27" t="s">
        <v>8</v>
      </c>
      <c r="FJ484" s="27" t="s">
        <v>7</v>
      </c>
      <c r="FN484" s="27" t="s">
        <v>7</v>
      </c>
      <c r="HB484" s="27" t="s">
        <v>7</v>
      </c>
      <c r="HC484" s="27" t="s">
        <v>8</v>
      </c>
      <c r="HD484" s="27" t="s">
        <v>7</v>
      </c>
      <c r="HE484" s="27" t="s">
        <v>8</v>
      </c>
      <c r="HF484" s="27" t="s">
        <v>7</v>
      </c>
      <c r="HG484" s="27" t="s">
        <v>8</v>
      </c>
      <c r="HR484" s="27" t="s">
        <v>7</v>
      </c>
      <c r="HT484" s="27" t="s">
        <v>7</v>
      </c>
      <c r="HW484" s="27" t="s">
        <v>8</v>
      </c>
      <c r="HX484" s="27" t="s">
        <v>7</v>
      </c>
      <c r="HY484" s="27" t="s">
        <v>8</v>
      </c>
      <c r="IA484" s="27" t="s">
        <v>8</v>
      </c>
    </row>
    <row r="485" spans="1:238" x14ac:dyDescent="0.25">
      <c r="A485" s="7">
        <v>7.5373298214297417</v>
      </c>
      <c r="B485"/>
      <c r="C485"/>
      <c r="D485"/>
      <c r="E485"/>
      <c r="M485" s="27" t="s">
        <v>8</v>
      </c>
      <c r="V485" s="27" t="s">
        <v>7</v>
      </c>
      <c r="W485" s="27" t="s">
        <v>8</v>
      </c>
      <c r="X485" s="27" t="s">
        <v>7</v>
      </c>
      <c r="Y485" s="27" t="s">
        <v>8</v>
      </c>
      <c r="Z485" s="27" t="s">
        <v>7</v>
      </c>
      <c r="AC485" s="27" t="s">
        <v>8</v>
      </c>
      <c r="AD485" s="27" t="s">
        <v>7</v>
      </c>
      <c r="AI485" s="27" t="s">
        <v>8</v>
      </c>
      <c r="AJ485" s="27" t="s">
        <v>7</v>
      </c>
      <c r="AK485" s="27" t="s">
        <v>8</v>
      </c>
      <c r="AL485" s="27" t="s">
        <v>7</v>
      </c>
      <c r="AM485" s="27" t="s">
        <v>8</v>
      </c>
      <c r="CV485" s="27" t="s">
        <v>7</v>
      </c>
      <c r="CW485" s="27" t="s">
        <v>8</v>
      </c>
      <c r="DF485" s="27" t="s">
        <v>7</v>
      </c>
      <c r="DH485" s="27" t="s">
        <v>7</v>
      </c>
      <c r="DN485" s="27" t="s">
        <v>7</v>
      </c>
      <c r="DU485" s="27" t="s">
        <v>8</v>
      </c>
      <c r="DY485" s="27" t="s">
        <v>8</v>
      </c>
      <c r="DZ485" s="27" t="s">
        <v>7</v>
      </c>
      <c r="EC485" s="27" t="s">
        <v>8</v>
      </c>
      <c r="HB485" s="27" t="s">
        <v>7</v>
      </c>
      <c r="HC485" s="27" t="s">
        <v>8</v>
      </c>
      <c r="HD485" s="27" t="s">
        <v>7</v>
      </c>
      <c r="HE485" s="27" t="s">
        <v>8</v>
      </c>
      <c r="HF485" s="27" t="s">
        <v>7</v>
      </c>
      <c r="HT485" s="27" t="s">
        <v>7</v>
      </c>
      <c r="HW485" s="27" t="s">
        <v>8</v>
      </c>
      <c r="HX485" s="27" t="s">
        <v>7</v>
      </c>
      <c r="HY485" s="27" t="s">
        <v>8</v>
      </c>
      <c r="HZ485" s="27" t="s">
        <v>7</v>
      </c>
      <c r="IA485" s="27" t="s">
        <v>8</v>
      </c>
      <c r="IB485" s="27" t="s">
        <v>7</v>
      </c>
    </row>
    <row r="486" spans="1:238" x14ac:dyDescent="0.25">
      <c r="A486" s="7">
        <v>7.389539040617394</v>
      </c>
      <c r="B486"/>
      <c r="C486"/>
      <c r="D486"/>
      <c r="E486"/>
      <c r="M486" s="27" t="s">
        <v>8</v>
      </c>
      <c r="V486" s="27" t="s">
        <v>7</v>
      </c>
      <c r="W486" s="27" t="s">
        <v>8</v>
      </c>
      <c r="X486" s="27" t="s">
        <v>7</v>
      </c>
      <c r="Y486" s="27" t="s">
        <v>8</v>
      </c>
      <c r="Z486" s="27" t="s">
        <v>7</v>
      </c>
      <c r="AA486" s="27" t="s">
        <v>8</v>
      </c>
      <c r="AC486" s="27" t="s">
        <v>8</v>
      </c>
      <c r="AD486" s="27" t="s">
        <v>7</v>
      </c>
      <c r="AE486" s="27" t="s">
        <v>8</v>
      </c>
      <c r="AI486" s="27" t="s">
        <v>8</v>
      </c>
      <c r="AJ486" s="27" t="s">
        <v>7</v>
      </c>
      <c r="AK486" s="27" t="s">
        <v>8</v>
      </c>
      <c r="AL486" s="27" t="s">
        <v>7</v>
      </c>
      <c r="AM486" s="27" t="s">
        <v>8</v>
      </c>
      <c r="CV486" s="27" t="s">
        <v>7</v>
      </c>
      <c r="DN486" s="27" t="s">
        <v>7</v>
      </c>
      <c r="DU486" s="27" t="s">
        <v>8</v>
      </c>
      <c r="DV486" s="27" t="s">
        <v>7</v>
      </c>
      <c r="DY486" s="27" t="s">
        <v>8</v>
      </c>
      <c r="DZ486" s="27" t="s">
        <v>7</v>
      </c>
      <c r="EA486" s="27" t="s">
        <v>8</v>
      </c>
      <c r="EC486" s="27" t="s">
        <v>8</v>
      </c>
      <c r="HB486" s="27" t="s">
        <v>7</v>
      </c>
      <c r="HC486" s="27" t="s">
        <v>8</v>
      </c>
      <c r="HD486" s="27" t="s">
        <v>7</v>
      </c>
      <c r="HE486" s="27" t="s">
        <v>8</v>
      </c>
      <c r="HT486" s="27" t="s">
        <v>7</v>
      </c>
      <c r="HU486" s="27" t="s">
        <v>8</v>
      </c>
      <c r="HW486" s="27" t="s">
        <v>8</v>
      </c>
      <c r="HX486" s="27" t="s">
        <v>7</v>
      </c>
      <c r="HY486" s="27" t="s">
        <v>8</v>
      </c>
      <c r="HZ486" s="27" t="s">
        <v>7</v>
      </c>
      <c r="IA486" s="27" t="s">
        <v>8</v>
      </c>
      <c r="IB486" s="27" t="s">
        <v>7</v>
      </c>
    </row>
    <row r="487" spans="1:238" x14ac:dyDescent="0.25">
      <c r="A487" s="7">
        <v>7.2446461182523469</v>
      </c>
      <c r="B487"/>
      <c r="C487"/>
      <c r="D487"/>
      <c r="E487"/>
      <c r="M487" s="27" t="s">
        <v>8</v>
      </c>
      <c r="V487" s="27" t="s">
        <v>7</v>
      </c>
      <c r="W487" s="27" t="s">
        <v>8</v>
      </c>
      <c r="X487" s="27" t="s">
        <v>7</v>
      </c>
      <c r="Y487" s="27" t="s">
        <v>8</v>
      </c>
      <c r="Z487" s="27" t="s">
        <v>7</v>
      </c>
      <c r="AA487" s="27" t="s">
        <v>8</v>
      </c>
      <c r="AB487" s="27" t="s">
        <v>7</v>
      </c>
      <c r="AC487" s="27" t="s">
        <v>8</v>
      </c>
      <c r="AD487" s="27" t="s">
        <v>7</v>
      </c>
      <c r="AE487" s="27" t="s">
        <v>8</v>
      </c>
      <c r="AF487" s="27" t="s">
        <v>7</v>
      </c>
      <c r="AI487" s="27" t="s">
        <v>8</v>
      </c>
      <c r="AJ487" s="27" t="s">
        <v>7</v>
      </c>
      <c r="AK487" s="27" t="s">
        <v>8</v>
      </c>
      <c r="AL487" s="27" t="s">
        <v>7</v>
      </c>
      <c r="AM487" s="27" t="s">
        <v>8</v>
      </c>
      <c r="DN487" s="27" t="s">
        <v>7</v>
      </c>
      <c r="DQ487" s="27" t="s">
        <v>8</v>
      </c>
      <c r="DU487" s="27" t="s">
        <v>8</v>
      </c>
      <c r="DV487" s="27" t="s">
        <v>7</v>
      </c>
      <c r="DY487" s="27" t="s">
        <v>8</v>
      </c>
      <c r="DZ487" s="27" t="s">
        <v>7</v>
      </c>
      <c r="EA487" s="27" t="s">
        <v>8</v>
      </c>
      <c r="EB487" s="27" t="s">
        <v>7</v>
      </c>
      <c r="EC487" s="27" t="s">
        <v>8</v>
      </c>
      <c r="HB487" s="27" t="s">
        <v>7</v>
      </c>
      <c r="HC487" s="27" t="s">
        <v>8</v>
      </c>
      <c r="HD487" s="27" t="s">
        <v>7</v>
      </c>
      <c r="HE487" s="27" t="s">
        <v>8</v>
      </c>
      <c r="HT487" s="27" t="s">
        <v>7</v>
      </c>
      <c r="HU487" s="27" t="s">
        <v>8</v>
      </c>
      <c r="HV487" s="27" t="s">
        <v>7</v>
      </c>
      <c r="HW487" s="27" t="s">
        <v>8</v>
      </c>
      <c r="HX487" s="27" t="s">
        <v>7</v>
      </c>
      <c r="HZ487" s="27" t="s">
        <v>7</v>
      </c>
      <c r="IB487" s="27" t="s">
        <v>7</v>
      </c>
    </row>
    <row r="488" spans="1:238" x14ac:dyDescent="0.25">
      <c r="A488" s="7">
        <v>7.1025942335807324</v>
      </c>
      <c r="B488"/>
      <c r="C488"/>
      <c r="D488"/>
      <c r="E488"/>
      <c r="M488" s="27" t="s">
        <v>8</v>
      </c>
      <c r="V488" s="27" t="s">
        <v>7</v>
      </c>
      <c r="W488" s="27" t="s">
        <v>8</v>
      </c>
      <c r="X488" s="27" t="s">
        <v>7</v>
      </c>
      <c r="Y488" s="27" t="s">
        <v>8</v>
      </c>
      <c r="Z488" s="27" t="s">
        <v>7</v>
      </c>
      <c r="AA488" s="27" t="s">
        <v>8</v>
      </c>
      <c r="AB488" s="27" t="s">
        <v>7</v>
      </c>
      <c r="AC488" s="27" t="s">
        <v>8</v>
      </c>
      <c r="AD488" s="27" t="s">
        <v>7</v>
      </c>
      <c r="AE488" s="27" t="s">
        <v>8</v>
      </c>
      <c r="AF488" s="27" t="s">
        <v>7</v>
      </c>
      <c r="AI488" s="27" t="s">
        <v>8</v>
      </c>
      <c r="AJ488" s="27" t="s">
        <v>7</v>
      </c>
      <c r="AK488" s="27" t="s">
        <v>8</v>
      </c>
      <c r="AL488" s="27" t="s">
        <v>7</v>
      </c>
      <c r="AM488" s="27" t="s">
        <v>8</v>
      </c>
      <c r="DN488" s="27" t="s">
        <v>7</v>
      </c>
      <c r="DQ488" s="27" t="s">
        <v>8</v>
      </c>
      <c r="DR488" s="27" t="s">
        <v>7</v>
      </c>
      <c r="DU488" s="27" t="s">
        <v>8</v>
      </c>
      <c r="DV488" s="27" t="s">
        <v>7</v>
      </c>
      <c r="DW488" s="27" t="s">
        <v>8</v>
      </c>
      <c r="DY488" s="27" t="s">
        <v>8</v>
      </c>
      <c r="DZ488" s="27" t="s">
        <v>7</v>
      </c>
      <c r="EA488" s="27" t="s">
        <v>8</v>
      </c>
      <c r="EB488" s="27" t="s">
        <v>7</v>
      </c>
      <c r="EC488" s="27" t="s">
        <v>8</v>
      </c>
      <c r="HB488" s="27" t="s">
        <v>7</v>
      </c>
      <c r="HC488" s="27" t="s">
        <v>8</v>
      </c>
      <c r="HD488" s="27" t="s">
        <v>7</v>
      </c>
      <c r="HE488" s="27" t="s">
        <v>8</v>
      </c>
      <c r="HT488" s="27" t="s">
        <v>7</v>
      </c>
      <c r="HU488" s="27" t="s">
        <v>8</v>
      </c>
      <c r="HV488" s="27" t="s">
        <v>7</v>
      </c>
      <c r="HW488" s="27" t="s">
        <v>8</v>
      </c>
      <c r="IB488" s="27" t="s">
        <v>7</v>
      </c>
    </row>
    <row r="489" spans="1:238" x14ac:dyDescent="0.25">
      <c r="A489" s="7">
        <v>6.9633276799811101</v>
      </c>
      <c r="B489"/>
      <c r="C489"/>
      <c r="D489"/>
      <c r="E489"/>
      <c r="M489" s="27" t="s">
        <v>8</v>
      </c>
      <c r="V489" s="27" t="s">
        <v>7</v>
      </c>
      <c r="W489" s="27" t="s">
        <v>8</v>
      </c>
      <c r="X489" s="27" t="s">
        <v>7</v>
      </c>
      <c r="Y489" s="27" t="s">
        <v>8</v>
      </c>
      <c r="Z489" s="27" t="s">
        <v>7</v>
      </c>
      <c r="AA489" s="27" t="s">
        <v>8</v>
      </c>
      <c r="AB489" s="27" t="s">
        <v>7</v>
      </c>
      <c r="AC489" s="27" t="s">
        <v>8</v>
      </c>
      <c r="AD489" s="27" t="s">
        <v>7</v>
      </c>
      <c r="AE489" s="27" t="s">
        <v>8</v>
      </c>
      <c r="AF489" s="27" t="s">
        <v>7</v>
      </c>
      <c r="AI489" s="27" t="s">
        <v>8</v>
      </c>
      <c r="AJ489" s="27" t="s">
        <v>7</v>
      </c>
      <c r="AK489" s="27" t="s">
        <v>8</v>
      </c>
      <c r="AL489" s="27" t="s">
        <v>7</v>
      </c>
      <c r="DN489" s="27" t="s">
        <v>7</v>
      </c>
      <c r="DQ489" s="27" t="s">
        <v>8</v>
      </c>
      <c r="DR489" s="27" t="s">
        <v>7</v>
      </c>
      <c r="DU489" s="27" t="s">
        <v>8</v>
      </c>
      <c r="DV489" s="27" t="s">
        <v>7</v>
      </c>
      <c r="DW489" s="27" t="s">
        <v>8</v>
      </c>
      <c r="DX489" s="27" t="s">
        <v>7</v>
      </c>
      <c r="DY489" s="27" t="s">
        <v>8</v>
      </c>
      <c r="DZ489" s="27" t="s">
        <v>7</v>
      </c>
      <c r="EA489" s="27" t="s">
        <v>8</v>
      </c>
      <c r="EB489" s="27" t="s">
        <v>7</v>
      </c>
      <c r="EC489" s="27" t="s">
        <v>8</v>
      </c>
      <c r="HB489" s="27" t="s">
        <v>7</v>
      </c>
      <c r="HC489" s="27" t="s">
        <v>8</v>
      </c>
      <c r="HD489" s="27" t="s">
        <v>7</v>
      </c>
      <c r="HE489" s="27" t="s">
        <v>8</v>
      </c>
      <c r="HT489" s="27" t="s">
        <v>7</v>
      </c>
      <c r="HU489" s="27" t="s">
        <v>8</v>
      </c>
      <c r="HV489" s="27" t="s">
        <v>7</v>
      </c>
      <c r="HW489" s="27" t="s">
        <v>8</v>
      </c>
      <c r="IB489" s="27" t="s">
        <v>7</v>
      </c>
    </row>
    <row r="490" spans="1:238" x14ac:dyDescent="0.25">
      <c r="A490" s="7">
        <v>6.8267918431187349</v>
      </c>
      <c r="B490"/>
      <c r="C490"/>
      <c r="D490"/>
      <c r="E490"/>
      <c r="M490" s="27" t="s">
        <v>8</v>
      </c>
      <c r="V490" s="27" t="s">
        <v>7</v>
      </c>
      <c r="W490" s="27" t="s">
        <v>8</v>
      </c>
      <c r="X490" s="27" t="s">
        <v>7</v>
      </c>
      <c r="Y490" s="27" t="s">
        <v>8</v>
      </c>
      <c r="Z490" s="27" t="s">
        <v>7</v>
      </c>
      <c r="AA490" s="27" t="s">
        <v>8</v>
      </c>
      <c r="AB490" s="27" t="s">
        <v>7</v>
      </c>
      <c r="AC490" s="27" t="s">
        <v>8</v>
      </c>
      <c r="AD490" s="27" t="s">
        <v>7</v>
      </c>
      <c r="AE490" s="27" t="s">
        <v>8</v>
      </c>
      <c r="AF490" s="27" t="s">
        <v>7</v>
      </c>
      <c r="AI490" s="27" t="s">
        <v>8</v>
      </c>
      <c r="AJ490" s="27" t="s">
        <v>7</v>
      </c>
      <c r="AK490" s="27" t="s">
        <v>8</v>
      </c>
      <c r="DN490" s="27" t="s">
        <v>7</v>
      </c>
      <c r="DO490" s="27" t="s">
        <v>8</v>
      </c>
      <c r="DQ490" s="27" t="s">
        <v>8</v>
      </c>
      <c r="DR490" s="27" t="s">
        <v>7</v>
      </c>
      <c r="DU490" s="27" t="s">
        <v>8</v>
      </c>
      <c r="DV490" s="27" t="s">
        <v>7</v>
      </c>
      <c r="DW490" s="27" t="s">
        <v>8</v>
      </c>
      <c r="DX490" s="27" t="s">
        <v>7</v>
      </c>
      <c r="DY490" s="27" t="s">
        <v>8</v>
      </c>
      <c r="DZ490" s="27" t="s">
        <v>7</v>
      </c>
      <c r="EA490" s="27" t="s">
        <v>8</v>
      </c>
      <c r="EB490" s="27" t="s">
        <v>7</v>
      </c>
      <c r="EC490" s="27" t="s">
        <v>8</v>
      </c>
      <c r="HB490" s="27" t="s">
        <v>7</v>
      </c>
      <c r="HC490" s="27" t="s">
        <v>8</v>
      </c>
      <c r="HD490" s="27" t="s">
        <v>7</v>
      </c>
      <c r="HT490" s="27" t="s">
        <v>7</v>
      </c>
      <c r="HV490" s="27" t="s">
        <v>7</v>
      </c>
      <c r="HW490" s="27" t="s">
        <v>8</v>
      </c>
      <c r="IB490" s="27" t="s">
        <v>7</v>
      </c>
      <c r="IC490" s="27" t="s">
        <v>8</v>
      </c>
    </row>
    <row r="491" spans="1:238" x14ac:dyDescent="0.25">
      <c r="A491" s="7">
        <v>6.692933179528171</v>
      </c>
      <c r="B491"/>
      <c r="C491"/>
      <c r="D491"/>
      <c r="E491"/>
      <c r="M491" s="27" t="s">
        <v>8</v>
      </c>
      <c r="V491" s="27" t="s">
        <v>7</v>
      </c>
      <c r="W491" s="27" t="s">
        <v>8</v>
      </c>
      <c r="X491" s="27" t="s">
        <v>7</v>
      </c>
      <c r="Y491" s="27" t="s">
        <v>8</v>
      </c>
      <c r="Z491" s="27" t="s">
        <v>7</v>
      </c>
      <c r="AA491" s="27" t="s">
        <v>8</v>
      </c>
      <c r="AB491" s="27" t="s">
        <v>7</v>
      </c>
      <c r="AC491" s="27" t="s">
        <v>8</v>
      </c>
      <c r="AD491" s="27" t="s">
        <v>7</v>
      </c>
      <c r="AE491" s="27" t="s">
        <v>8</v>
      </c>
      <c r="AF491" s="27" t="s">
        <v>7</v>
      </c>
      <c r="AI491" s="27" t="s">
        <v>8</v>
      </c>
      <c r="AJ491" s="27" t="s">
        <v>7</v>
      </c>
      <c r="AK491" s="27" t="s">
        <v>8</v>
      </c>
      <c r="DN491" s="27" t="s">
        <v>7</v>
      </c>
      <c r="DO491" s="27" t="s">
        <v>8</v>
      </c>
      <c r="DP491" s="27" t="s">
        <v>7</v>
      </c>
      <c r="DQ491" s="27" t="s">
        <v>8</v>
      </c>
      <c r="DR491" s="27" t="s">
        <v>7</v>
      </c>
      <c r="DS491" s="27" t="s">
        <v>8</v>
      </c>
      <c r="DU491" s="27" t="s">
        <v>8</v>
      </c>
      <c r="DV491" s="27" t="s">
        <v>7</v>
      </c>
      <c r="DW491" s="27" t="s">
        <v>8</v>
      </c>
      <c r="DX491" s="27" t="s">
        <v>7</v>
      </c>
      <c r="DY491" s="27" t="s">
        <v>8</v>
      </c>
      <c r="DZ491" s="27" t="s">
        <v>7</v>
      </c>
      <c r="EA491" s="27" t="s">
        <v>8</v>
      </c>
      <c r="EB491" s="27" t="s">
        <v>7</v>
      </c>
      <c r="EC491" s="27" t="s">
        <v>8</v>
      </c>
      <c r="HB491" s="27" t="s">
        <v>7</v>
      </c>
      <c r="HC491" s="27" t="s">
        <v>8</v>
      </c>
      <c r="HV491" s="27" t="s">
        <v>7</v>
      </c>
      <c r="HW491" s="27" t="s">
        <v>8</v>
      </c>
      <c r="IB491" s="27" t="s">
        <v>7</v>
      </c>
      <c r="IC491" s="27" t="s">
        <v>8</v>
      </c>
      <c r="ID491" s="27" t="s">
        <v>7</v>
      </c>
    </row>
    <row r="492" spans="1:238" x14ac:dyDescent="0.25">
      <c r="A492" s="7">
        <v>6.5616991956158541</v>
      </c>
      <c r="B492"/>
      <c r="C492"/>
      <c r="D492"/>
      <c r="E492"/>
      <c r="M492" s="27" t="s">
        <v>8</v>
      </c>
      <c r="V492" s="27" t="s">
        <v>7</v>
      </c>
      <c r="W492" s="27" t="s">
        <v>8</v>
      </c>
      <c r="X492" s="27" t="s">
        <v>7</v>
      </c>
      <c r="Y492" s="27" t="s">
        <v>8</v>
      </c>
      <c r="Z492" s="27" t="s">
        <v>7</v>
      </c>
      <c r="AA492" s="27" t="s">
        <v>8</v>
      </c>
      <c r="AB492" s="27" t="s">
        <v>7</v>
      </c>
      <c r="AC492" s="27" t="s">
        <v>8</v>
      </c>
      <c r="AD492" s="27" t="s">
        <v>7</v>
      </c>
      <c r="AE492" s="27" t="s">
        <v>8</v>
      </c>
      <c r="AF492" s="27" t="s">
        <v>7</v>
      </c>
      <c r="AI492" s="27" t="s">
        <v>8</v>
      </c>
      <c r="AJ492" s="27" t="s">
        <v>7</v>
      </c>
      <c r="DN492" s="27" t="s">
        <v>7</v>
      </c>
      <c r="DO492" s="27" t="s">
        <v>8</v>
      </c>
      <c r="DP492" s="27" t="s">
        <v>7</v>
      </c>
      <c r="DQ492" s="27" t="s">
        <v>8</v>
      </c>
      <c r="DR492" s="27" t="s">
        <v>7</v>
      </c>
      <c r="DS492" s="27" t="s">
        <v>8</v>
      </c>
      <c r="DT492" s="27" t="s">
        <v>7</v>
      </c>
      <c r="DU492" s="27" t="s">
        <v>8</v>
      </c>
      <c r="DV492" s="27" t="s">
        <v>7</v>
      </c>
      <c r="DW492" s="27" t="s">
        <v>8</v>
      </c>
      <c r="DX492" s="27" t="s">
        <v>7</v>
      </c>
      <c r="DY492" s="27" t="s">
        <v>8</v>
      </c>
      <c r="DZ492" s="27" t="s">
        <v>7</v>
      </c>
      <c r="EA492" s="27" t="s">
        <v>8</v>
      </c>
      <c r="EB492" s="27" t="s">
        <v>7</v>
      </c>
      <c r="HB492" s="27" t="s">
        <v>7</v>
      </c>
      <c r="HV492" s="27" t="s">
        <v>7</v>
      </c>
      <c r="IB492" s="27" t="s">
        <v>7</v>
      </c>
      <c r="IC492" s="27" t="s">
        <v>8</v>
      </c>
      <c r="ID492" s="27" t="s">
        <v>7</v>
      </c>
    </row>
    <row r="493" spans="1:238" x14ac:dyDescent="0.25">
      <c r="A493" s="7">
        <v>6.4330384270743668</v>
      </c>
      <c r="B493"/>
      <c r="C493"/>
      <c r="D493"/>
      <c r="E493"/>
      <c r="M493" s="27" t="s">
        <v>8</v>
      </c>
      <c r="V493" s="27" t="s">
        <v>7</v>
      </c>
      <c r="W493" s="27" t="s">
        <v>8</v>
      </c>
      <c r="X493" s="27" t="s">
        <v>7</v>
      </c>
      <c r="Y493" s="27" t="s">
        <v>8</v>
      </c>
      <c r="Z493" s="27" t="s">
        <v>7</v>
      </c>
      <c r="AA493" s="27" t="s">
        <v>8</v>
      </c>
      <c r="AB493" s="27" t="s">
        <v>7</v>
      </c>
      <c r="AC493" s="27" t="s">
        <v>8</v>
      </c>
      <c r="AD493" s="27" t="s">
        <v>7</v>
      </c>
      <c r="AE493" s="27" t="s">
        <v>8</v>
      </c>
      <c r="AF493" s="27" t="s">
        <v>7</v>
      </c>
      <c r="AI493" s="27" t="s">
        <v>8</v>
      </c>
      <c r="DN493" s="27" t="s">
        <v>7</v>
      </c>
      <c r="DO493" s="27" t="s">
        <v>8</v>
      </c>
      <c r="DP493" s="27" t="s">
        <v>7</v>
      </c>
      <c r="DQ493" s="27" t="s">
        <v>8</v>
      </c>
      <c r="DR493" s="27" t="s">
        <v>7</v>
      </c>
      <c r="DS493" s="27" t="s">
        <v>8</v>
      </c>
      <c r="DT493" s="27" t="s">
        <v>7</v>
      </c>
      <c r="DU493" s="27" t="s">
        <v>8</v>
      </c>
      <c r="DV493" s="27" t="s">
        <v>7</v>
      </c>
      <c r="DW493" s="27" t="s">
        <v>8</v>
      </c>
      <c r="DX493" s="27" t="s">
        <v>7</v>
      </c>
      <c r="DY493" s="27" t="s">
        <v>8</v>
      </c>
      <c r="DZ493" s="27" t="s">
        <v>7</v>
      </c>
      <c r="EA493" s="27" t="s">
        <v>8</v>
      </c>
      <c r="IB493" s="27" t="s">
        <v>7</v>
      </c>
      <c r="IC493" s="27" t="s">
        <v>8</v>
      </c>
      <c r="ID493" s="27" t="s">
        <v>7</v>
      </c>
    </row>
    <row r="494" spans="1:238" x14ac:dyDescent="0.25">
      <c r="A494" s="7">
        <v>6.3069004187003594</v>
      </c>
      <c r="B494"/>
      <c r="C494"/>
      <c r="D494"/>
      <c r="E494"/>
      <c r="M494" s="27" t="s">
        <v>8</v>
      </c>
      <c r="V494" s="27" t="s">
        <v>7</v>
      </c>
      <c r="X494" s="27" t="s">
        <v>7</v>
      </c>
      <c r="Z494" s="27" t="s">
        <v>7</v>
      </c>
      <c r="AA494" s="27" t="s">
        <v>8</v>
      </c>
      <c r="AB494" s="27" t="s">
        <v>7</v>
      </c>
      <c r="AC494" s="27" t="s">
        <v>8</v>
      </c>
      <c r="AD494" s="27" t="s">
        <v>7</v>
      </c>
      <c r="AE494" s="27" t="s">
        <v>8</v>
      </c>
      <c r="AF494" s="27" t="s">
        <v>7</v>
      </c>
      <c r="AI494" s="27" t="s">
        <v>8</v>
      </c>
      <c r="DN494" s="27" t="s">
        <v>7</v>
      </c>
      <c r="DO494" s="27" t="s">
        <v>8</v>
      </c>
      <c r="DP494" s="27" t="s">
        <v>7</v>
      </c>
      <c r="DQ494" s="27" t="s">
        <v>8</v>
      </c>
      <c r="DR494" s="27" t="s">
        <v>7</v>
      </c>
      <c r="DS494" s="27" t="s">
        <v>8</v>
      </c>
      <c r="DT494" s="27" t="s">
        <v>7</v>
      </c>
      <c r="DU494" s="27" t="s">
        <v>8</v>
      </c>
      <c r="DV494" s="27" t="s">
        <v>7</v>
      </c>
      <c r="DW494" s="27" t="s">
        <v>8</v>
      </c>
      <c r="DX494" s="27" t="s">
        <v>7</v>
      </c>
      <c r="DZ494" s="27" t="s">
        <v>7</v>
      </c>
      <c r="EA494" s="27" t="s">
        <v>8</v>
      </c>
      <c r="IB494" s="27" t="s">
        <v>7</v>
      </c>
      <c r="IC494" s="27" t="s">
        <v>8</v>
      </c>
      <c r="ID494" s="27" t="s">
        <v>7</v>
      </c>
    </row>
    <row r="495" spans="1:238" x14ac:dyDescent="0.25">
      <c r="A495" s="7">
        <v>6.1832357046081956</v>
      </c>
      <c r="B495"/>
      <c r="C495"/>
      <c r="D495"/>
      <c r="E495"/>
      <c r="K495" s="27" t="s">
        <v>8</v>
      </c>
      <c r="M495" s="27" t="s">
        <v>8</v>
      </c>
      <c r="Z495" s="27" t="s">
        <v>7</v>
      </c>
      <c r="AA495" s="27" t="s">
        <v>8</v>
      </c>
      <c r="AB495" s="27" t="s">
        <v>7</v>
      </c>
      <c r="AC495" s="27" t="s">
        <v>8</v>
      </c>
      <c r="AD495" s="27" t="s">
        <v>7</v>
      </c>
      <c r="AE495" s="27" t="s">
        <v>8</v>
      </c>
      <c r="AF495" s="27" t="s">
        <v>7</v>
      </c>
      <c r="AG495" s="27" t="s">
        <v>8</v>
      </c>
      <c r="AI495" s="27" t="s">
        <v>8</v>
      </c>
      <c r="DN495" s="27" t="s">
        <v>7</v>
      </c>
      <c r="DO495" s="27" t="s">
        <v>8</v>
      </c>
      <c r="DP495" s="27" t="s">
        <v>7</v>
      </c>
      <c r="DQ495" s="27" t="s">
        <v>8</v>
      </c>
      <c r="DR495" s="27" t="s">
        <v>7</v>
      </c>
      <c r="DS495" s="27" t="s">
        <v>8</v>
      </c>
      <c r="DT495" s="27" t="s">
        <v>7</v>
      </c>
      <c r="DU495" s="27" t="s">
        <v>8</v>
      </c>
      <c r="DV495" s="27" t="s">
        <v>7</v>
      </c>
      <c r="DW495" s="27" t="s">
        <v>8</v>
      </c>
      <c r="DZ495" s="27" t="s">
        <v>7</v>
      </c>
      <c r="EA495" s="27" t="s">
        <v>8</v>
      </c>
      <c r="IB495" s="27" t="s">
        <v>7</v>
      </c>
      <c r="IC495" s="27" t="s">
        <v>8</v>
      </c>
      <c r="ID495" s="27" t="s">
        <v>7</v>
      </c>
    </row>
    <row r="496" spans="1:238" x14ac:dyDescent="0.25">
      <c r="A496" s="7">
        <v>6.0619957888315641</v>
      </c>
      <c r="B496"/>
      <c r="C496"/>
      <c r="D496"/>
      <c r="E496"/>
      <c r="K496" s="27" t="s">
        <v>8</v>
      </c>
      <c r="L496" s="27" t="s">
        <v>7</v>
      </c>
      <c r="M496" s="27" t="s">
        <v>8</v>
      </c>
      <c r="Z496" s="27" t="s">
        <v>7</v>
      </c>
      <c r="AA496" s="27" t="s">
        <v>8</v>
      </c>
      <c r="AB496" s="27" t="s">
        <v>7</v>
      </c>
      <c r="AC496" s="27" t="s">
        <v>8</v>
      </c>
      <c r="AD496" s="27" t="s">
        <v>7</v>
      </c>
      <c r="AF496" s="27" t="s">
        <v>7</v>
      </c>
      <c r="AG496" s="27" t="s">
        <v>8</v>
      </c>
      <c r="AH496" s="27" t="s">
        <v>7</v>
      </c>
      <c r="AI496" s="27" t="s">
        <v>8</v>
      </c>
      <c r="DN496" s="27" t="s">
        <v>7</v>
      </c>
      <c r="DO496" s="27" t="s">
        <v>8</v>
      </c>
      <c r="DP496" s="27" t="s">
        <v>7</v>
      </c>
      <c r="DQ496" s="27" t="s">
        <v>8</v>
      </c>
      <c r="DR496" s="27" t="s">
        <v>7</v>
      </c>
      <c r="DS496" s="27" t="s">
        <v>8</v>
      </c>
      <c r="DT496" s="27" t="s">
        <v>7</v>
      </c>
      <c r="DU496" s="27" t="s">
        <v>8</v>
      </c>
      <c r="DV496" s="27" t="s">
        <v>7</v>
      </c>
      <c r="DW496" s="27" t="s">
        <v>8</v>
      </c>
      <c r="DZ496" s="27" t="s">
        <v>7</v>
      </c>
      <c r="EA496" s="27" t="s">
        <v>8</v>
      </c>
      <c r="IB496" s="27" t="s">
        <v>7</v>
      </c>
      <c r="IC496" s="27" t="s">
        <v>8</v>
      </c>
      <c r="ID496" s="27" t="s">
        <v>7</v>
      </c>
    </row>
    <row r="497" spans="1:238" x14ac:dyDescent="0.25">
      <c r="A497" s="7">
        <v>5.9431331263054545</v>
      </c>
      <c r="B497"/>
      <c r="C497"/>
      <c r="D497"/>
      <c r="E497"/>
      <c r="K497" s="27" t="s">
        <v>8</v>
      </c>
      <c r="L497" s="27" t="s">
        <v>7</v>
      </c>
      <c r="M497" s="27" t="s">
        <v>8</v>
      </c>
      <c r="Z497" s="27" t="s">
        <v>7</v>
      </c>
      <c r="AA497" s="27" t="s">
        <v>8</v>
      </c>
      <c r="AB497" s="27" t="s">
        <v>7</v>
      </c>
      <c r="AC497" s="27" t="s">
        <v>8</v>
      </c>
      <c r="AF497" s="27" t="s">
        <v>7</v>
      </c>
      <c r="AG497" s="27" t="s">
        <v>8</v>
      </c>
      <c r="AH497" s="27" t="s">
        <v>7</v>
      </c>
      <c r="AI497" s="27" t="s">
        <v>8</v>
      </c>
      <c r="DN497" s="27" t="s">
        <v>7</v>
      </c>
      <c r="DO497" s="27" t="s">
        <v>8</v>
      </c>
      <c r="DP497" s="27" t="s">
        <v>7</v>
      </c>
      <c r="DQ497" s="27" t="s">
        <v>8</v>
      </c>
      <c r="DR497" s="27" t="s">
        <v>7</v>
      </c>
      <c r="DS497" s="27" t="s">
        <v>8</v>
      </c>
      <c r="DT497" s="27" t="s">
        <v>7</v>
      </c>
      <c r="DU497" s="27" t="s">
        <v>8</v>
      </c>
      <c r="DV497" s="27" t="s">
        <v>7</v>
      </c>
      <c r="DZ497" s="27" t="s">
        <v>7</v>
      </c>
      <c r="EA497" s="27" t="s">
        <v>8</v>
      </c>
      <c r="IB497" s="27" t="s">
        <v>7</v>
      </c>
      <c r="IC497" s="27" t="s">
        <v>8</v>
      </c>
      <c r="ID497" s="27" t="s">
        <v>7</v>
      </c>
    </row>
    <row r="498" spans="1:238" x14ac:dyDescent="0.25">
      <c r="A498" s="7">
        <v>5.8266011042210337</v>
      </c>
      <c r="B498"/>
      <c r="C498"/>
      <c r="D498"/>
      <c r="E498"/>
      <c r="K498" s="27" t="s">
        <v>8</v>
      </c>
      <c r="L498" s="27" t="s">
        <v>7</v>
      </c>
      <c r="M498" s="27" t="s">
        <v>8</v>
      </c>
      <c r="Z498" s="27" t="s">
        <v>7</v>
      </c>
      <c r="AA498" s="27" t="s">
        <v>8</v>
      </c>
      <c r="AB498" s="27" t="s">
        <v>7</v>
      </c>
      <c r="AC498" s="27" t="s">
        <v>8</v>
      </c>
      <c r="AF498" s="27" t="s">
        <v>7</v>
      </c>
      <c r="AG498" s="27" t="s">
        <v>8</v>
      </c>
      <c r="AH498" s="27" t="s">
        <v>7</v>
      </c>
      <c r="AI498" s="27" t="s">
        <v>8</v>
      </c>
      <c r="DN498" s="27" t="s">
        <v>7</v>
      </c>
      <c r="DO498" s="27" t="s">
        <v>8</v>
      </c>
      <c r="DP498" s="27" t="s">
        <v>7</v>
      </c>
      <c r="DQ498" s="27" t="s">
        <v>8</v>
      </c>
      <c r="DR498" s="27" t="s">
        <v>7</v>
      </c>
      <c r="DS498" s="27" t="s">
        <v>8</v>
      </c>
      <c r="DT498" s="27" t="s">
        <v>7</v>
      </c>
      <c r="DU498" s="27" t="s">
        <v>8</v>
      </c>
      <c r="DZ498" s="27" t="s">
        <v>7</v>
      </c>
      <c r="EA498" s="27" t="s">
        <v>8</v>
      </c>
      <c r="IB498" s="27" t="s">
        <v>7</v>
      </c>
      <c r="IC498" s="27" t="s">
        <v>8</v>
      </c>
      <c r="ID498" s="27" t="s">
        <v>7</v>
      </c>
    </row>
    <row r="499" spans="1:238" x14ac:dyDescent="0.25">
      <c r="A499" s="7">
        <v>5.7123540237461112</v>
      </c>
      <c r="B499"/>
      <c r="C499"/>
      <c r="D499"/>
      <c r="E499"/>
      <c r="K499" s="27" t="s">
        <v>8</v>
      </c>
      <c r="L499" s="27" t="s">
        <v>7</v>
      </c>
      <c r="M499" s="27" t="s">
        <v>8</v>
      </c>
      <c r="Z499" s="27" t="s">
        <v>7</v>
      </c>
      <c r="AA499" s="27" t="s">
        <v>8</v>
      </c>
      <c r="AB499" s="27" t="s">
        <v>7</v>
      </c>
      <c r="AC499" s="27" t="s">
        <v>8</v>
      </c>
      <c r="AF499" s="27" t="s">
        <v>7</v>
      </c>
      <c r="AG499" s="27" t="s">
        <v>8</v>
      </c>
      <c r="AH499" s="27" t="s">
        <v>7</v>
      </c>
      <c r="AI499" s="27" t="s">
        <v>8</v>
      </c>
      <c r="DN499" s="27" t="s">
        <v>7</v>
      </c>
      <c r="DO499" s="27" t="s">
        <v>8</v>
      </c>
      <c r="DP499" s="27" t="s">
        <v>7</v>
      </c>
      <c r="DQ499" s="27" t="s">
        <v>8</v>
      </c>
      <c r="DR499" s="27" t="s">
        <v>7</v>
      </c>
      <c r="DT499" s="27" t="s">
        <v>7</v>
      </c>
      <c r="DU499" s="27" t="s">
        <v>8</v>
      </c>
      <c r="DZ499" s="18" t="s">
        <v>7</v>
      </c>
      <c r="EA499" s="27" t="s">
        <v>8</v>
      </c>
      <c r="IB499" s="27" t="s">
        <v>7</v>
      </c>
      <c r="IC499" s="27" t="s">
        <v>8</v>
      </c>
      <c r="ID499" s="27" t="s">
        <v>7</v>
      </c>
    </row>
    <row r="500" spans="1:238" x14ac:dyDescent="0.25">
      <c r="A500" s="7">
        <v>5.6003470821040304</v>
      </c>
      <c r="B500"/>
      <c r="C500"/>
      <c r="D500"/>
      <c r="E500"/>
      <c r="K500" s="27" t="s">
        <v>8</v>
      </c>
      <c r="L500" s="27" t="s">
        <v>7</v>
      </c>
      <c r="M500" s="27" t="s">
        <v>8</v>
      </c>
      <c r="Z500" s="27" t="s">
        <v>7</v>
      </c>
      <c r="AA500" s="27" t="s">
        <v>8</v>
      </c>
      <c r="AB500" s="27" t="s">
        <v>7</v>
      </c>
      <c r="AC500" s="27" t="s">
        <v>8</v>
      </c>
      <c r="AF500" s="27" t="s">
        <v>7</v>
      </c>
      <c r="AG500" s="27" t="s">
        <v>8</v>
      </c>
      <c r="AH500" s="27" t="s">
        <v>7</v>
      </c>
      <c r="AI500" s="27" t="s">
        <v>8</v>
      </c>
      <c r="DN500" s="27" t="s">
        <v>7</v>
      </c>
      <c r="DO500" s="27" t="s">
        <v>8</v>
      </c>
      <c r="DP500" s="27" t="s">
        <v>7</v>
      </c>
      <c r="DT500" s="27" t="s">
        <v>7</v>
      </c>
      <c r="DZ500" s="27" t="s">
        <v>7</v>
      </c>
      <c r="EA500" s="27" t="s">
        <v>8</v>
      </c>
      <c r="IB500" s="27" t="s">
        <v>7</v>
      </c>
      <c r="IC500" s="27" t="s">
        <v>8</v>
      </c>
      <c r="ID500" s="27" t="s">
        <v>7</v>
      </c>
    </row>
    <row r="501" spans="1:238" x14ac:dyDescent="0.25">
      <c r="A501" s="7">
        <v>5.4905363550039512</v>
      </c>
      <c r="B501"/>
      <c r="C501"/>
      <c r="D501"/>
      <c r="E501"/>
      <c r="I501" s="27" t="s">
        <v>8</v>
      </c>
      <c r="K501" s="27" t="s">
        <v>8</v>
      </c>
      <c r="L501" s="27" t="s">
        <v>7</v>
      </c>
      <c r="M501" s="27" t="s">
        <v>8</v>
      </c>
      <c r="Z501" s="27" t="s">
        <v>7</v>
      </c>
      <c r="AA501" s="27" t="s">
        <v>8</v>
      </c>
      <c r="AB501" s="27" t="s">
        <v>7</v>
      </c>
      <c r="AC501" s="27" t="s">
        <v>8</v>
      </c>
      <c r="AF501" s="27" t="s">
        <v>7</v>
      </c>
      <c r="AG501" s="27" t="s">
        <v>8</v>
      </c>
      <c r="AH501" s="27" t="s">
        <v>7</v>
      </c>
      <c r="AI501" s="27" t="s">
        <v>8</v>
      </c>
      <c r="DN501" s="27" t="s">
        <v>7</v>
      </c>
      <c r="DO501" s="27" t="s">
        <v>8</v>
      </c>
      <c r="DZ501" s="27" t="s">
        <v>7</v>
      </c>
      <c r="EA501" s="27" t="s">
        <v>8</v>
      </c>
      <c r="IB501" s="27" t="s">
        <v>7</v>
      </c>
      <c r="IC501" s="27" t="s">
        <v>8</v>
      </c>
      <c r="ID501" s="27" t="s">
        <v>7</v>
      </c>
    </row>
    <row r="502" spans="1:238" x14ac:dyDescent="0.25">
      <c r="A502" s="7">
        <v>5.3828787794156385</v>
      </c>
      <c r="B502"/>
      <c r="C502"/>
      <c r="D502"/>
      <c r="E502"/>
      <c r="I502" s="27" t="s">
        <v>8</v>
      </c>
      <c r="J502" s="27" t="s">
        <v>7</v>
      </c>
      <c r="K502" s="27" t="s">
        <v>8</v>
      </c>
      <c r="L502" s="27" t="s">
        <v>7</v>
      </c>
      <c r="M502" s="27" t="s">
        <v>8</v>
      </c>
      <c r="Z502" s="27" t="s">
        <v>7</v>
      </c>
      <c r="AA502" s="27" t="s">
        <v>8</v>
      </c>
      <c r="AB502" s="27" t="s">
        <v>7</v>
      </c>
      <c r="AC502" s="27" t="s">
        <v>8</v>
      </c>
      <c r="AF502" s="27" t="s">
        <v>7</v>
      </c>
      <c r="AG502" s="27" t="s">
        <v>8</v>
      </c>
      <c r="AH502" s="27" t="s">
        <v>7</v>
      </c>
      <c r="AI502" s="27" t="s">
        <v>8</v>
      </c>
      <c r="DN502" s="27" t="s">
        <v>7</v>
      </c>
      <c r="DZ502" s="27" t="s">
        <v>7</v>
      </c>
      <c r="EA502" s="27" t="s">
        <v>8</v>
      </c>
      <c r="IB502" s="27" t="s">
        <v>7</v>
      </c>
      <c r="IC502" s="27" t="s">
        <v>8</v>
      </c>
      <c r="ID502" s="27" t="s">
        <v>7</v>
      </c>
    </row>
    <row r="503" spans="1:238" x14ac:dyDescent="0.25">
      <c r="A503" s="7">
        <v>5.2773321366819985</v>
      </c>
      <c r="B503"/>
      <c r="C503"/>
      <c r="D503"/>
      <c r="E503"/>
      <c r="I503" s="27" t="s">
        <v>8</v>
      </c>
      <c r="J503" s="27" t="s">
        <v>7</v>
      </c>
      <c r="K503" s="27" t="s">
        <v>8</v>
      </c>
      <c r="L503" s="27" t="s">
        <v>7</v>
      </c>
      <c r="M503" s="27" t="s">
        <v>8</v>
      </c>
      <c r="Z503" s="27" t="s">
        <v>7</v>
      </c>
      <c r="AA503" s="27" t="s">
        <v>8</v>
      </c>
      <c r="AB503" s="27" t="s">
        <v>7</v>
      </c>
      <c r="AC503" s="27" t="s">
        <v>8</v>
      </c>
      <c r="AF503" s="27" t="s">
        <v>7</v>
      </c>
      <c r="AG503" s="27" t="s">
        <v>8</v>
      </c>
      <c r="AH503" s="27" t="s">
        <v>7</v>
      </c>
      <c r="AI503" s="27" t="s">
        <v>8</v>
      </c>
      <c r="DZ503" s="27" t="s">
        <v>7</v>
      </c>
      <c r="EA503" s="27" t="s">
        <v>8</v>
      </c>
      <c r="IB503" s="27" t="s">
        <v>7</v>
      </c>
      <c r="IC503" s="27" t="s">
        <v>8</v>
      </c>
      <c r="ID503" s="27" t="s">
        <v>7</v>
      </c>
    </row>
    <row r="504" spans="1:238" x14ac:dyDescent="0.25">
      <c r="A504" s="7">
        <v>5.1738550359627435</v>
      </c>
      <c r="B504"/>
      <c r="C504"/>
      <c r="D504"/>
      <c r="E504"/>
      <c r="I504" s="27" t="s">
        <v>8</v>
      </c>
      <c r="J504" s="27" t="s">
        <v>7</v>
      </c>
      <c r="K504" s="27" t="s">
        <v>8</v>
      </c>
      <c r="L504" s="27" t="s">
        <v>7</v>
      </c>
      <c r="M504" s="27" t="s">
        <v>8</v>
      </c>
      <c r="Z504" s="27" t="s">
        <v>7</v>
      </c>
      <c r="AA504" s="27" t="s">
        <v>8</v>
      </c>
      <c r="AB504" s="27" t="s">
        <v>7</v>
      </c>
      <c r="AF504" s="27" t="s">
        <v>7</v>
      </c>
      <c r="AG504" s="27" t="s">
        <v>8</v>
      </c>
      <c r="AH504" s="27" t="s">
        <v>7</v>
      </c>
      <c r="AI504" s="27" t="s">
        <v>8</v>
      </c>
      <c r="DZ504" s="27" t="s">
        <v>7</v>
      </c>
      <c r="EA504" s="27" t="s">
        <v>8</v>
      </c>
      <c r="IB504" s="27" t="s">
        <v>7</v>
      </c>
      <c r="IC504" s="27" t="s">
        <v>8</v>
      </c>
      <c r="ID504" s="27" t="s">
        <v>7</v>
      </c>
    </row>
    <row r="505" spans="1:238" x14ac:dyDescent="0.25">
      <c r="A505" s="7">
        <v>5.07240689800269</v>
      </c>
      <c r="B505"/>
      <c r="C505"/>
      <c r="D505"/>
      <c r="E505"/>
      <c r="I505" s="27" t="s">
        <v>8</v>
      </c>
      <c r="J505" s="27" t="s">
        <v>7</v>
      </c>
      <c r="K505" s="27" t="s">
        <v>8</v>
      </c>
      <c r="L505" s="27" t="s">
        <v>7</v>
      </c>
      <c r="Z505" s="27" t="s">
        <v>7</v>
      </c>
      <c r="AA505" s="27" t="s">
        <v>8</v>
      </c>
      <c r="AF505" s="27" t="s">
        <v>7</v>
      </c>
      <c r="AG505" s="27" t="s">
        <v>8</v>
      </c>
      <c r="AH505" s="27" t="s">
        <v>7</v>
      </c>
      <c r="AI505" s="27" t="s">
        <v>8</v>
      </c>
      <c r="DZ505" s="27" t="s">
        <v>7</v>
      </c>
      <c r="EA505" s="27" t="s">
        <v>8</v>
      </c>
      <c r="IB505" s="27" t="s">
        <v>7</v>
      </c>
      <c r="IC505" s="27" t="s">
        <v>8</v>
      </c>
      <c r="ID505" s="27" t="s">
        <v>7</v>
      </c>
    </row>
    <row r="506" spans="1:238" x14ac:dyDescent="0.25">
      <c r="A506" s="7">
        <v>4.9729479392183231</v>
      </c>
      <c r="B506"/>
      <c r="C506"/>
      <c r="D506"/>
      <c r="E506"/>
      <c r="I506" s="27" t="s">
        <v>8</v>
      </c>
      <c r="J506" s="27" t="s">
        <v>7</v>
      </c>
      <c r="K506" s="27" t="s">
        <v>8</v>
      </c>
      <c r="Z506" s="27" t="s">
        <v>7</v>
      </c>
      <c r="AA506" s="27" t="s">
        <v>8</v>
      </c>
      <c r="AF506" s="27" t="s">
        <v>7</v>
      </c>
      <c r="AG506" s="27" t="s">
        <v>8</v>
      </c>
      <c r="AH506" s="27" t="s">
        <v>7</v>
      </c>
      <c r="DZ506" s="27" t="s">
        <v>7</v>
      </c>
      <c r="EA506" s="27" t="s">
        <v>8</v>
      </c>
      <c r="IB506" s="27" t="s">
        <v>7</v>
      </c>
      <c r="IC506" s="27" t="s">
        <v>8</v>
      </c>
      <c r="ID506" s="27" t="s">
        <v>7</v>
      </c>
    </row>
    <row r="507" spans="1:238" x14ac:dyDescent="0.25">
      <c r="A507" s="7">
        <v>4.8754391560963954</v>
      </c>
      <c r="B507"/>
      <c r="C507"/>
      <c r="D507"/>
      <c r="E507"/>
      <c r="I507" s="27" t="s">
        <v>8</v>
      </c>
      <c r="J507" s="27" t="s">
        <v>7</v>
      </c>
      <c r="K507" s="27" t="s">
        <v>8</v>
      </c>
      <c r="Z507" s="27" t="s">
        <v>7</v>
      </c>
      <c r="AA507" s="27" t="s">
        <v>8</v>
      </c>
      <c r="AF507" s="27" t="s">
        <v>7</v>
      </c>
      <c r="DZ507" s="27" t="s">
        <v>7</v>
      </c>
      <c r="IB507" s="27" t="s">
        <v>7</v>
      </c>
      <c r="IC507" s="27" t="s">
        <v>8</v>
      </c>
    </row>
    <row r="508" spans="1:238" x14ac:dyDescent="0.25">
      <c r="A508" s="7">
        <v>4.7798423098984264</v>
      </c>
      <c r="B508"/>
      <c r="C508"/>
      <c r="D508"/>
      <c r="E508"/>
      <c r="I508" s="27" t="s">
        <v>8</v>
      </c>
      <c r="J508" s="27" t="s">
        <v>7</v>
      </c>
      <c r="K508" s="27" t="s">
        <v>8</v>
      </c>
      <c r="Z508" s="27" t="s">
        <v>7</v>
      </c>
      <c r="IB508" s="27" t="s">
        <v>7</v>
      </c>
      <c r="IC508" s="27" t="s">
        <v>8</v>
      </c>
    </row>
    <row r="509" spans="1:238" x14ac:dyDescent="0.25">
      <c r="A509" s="7">
        <v>4.6861199116651235</v>
      </c>
      <c r="B509"/>
      <c r="C509"/>
      <c r="D509"/>
      <c r="E509"/>
      <c r="I509" s="27" t="s">
        <v>8</v>
      </c>
      <c r="J509" s="27" t="s">
        <v>7</v>
      </c>
      <c r="K509" s="27" t="s">
        <v>8</v>
      </c>
      <c r="IB509" s="27" t="s">
        <v>7</v>
      </c>
      <c r="IC509" s="27" t="s">
        <v>8</v>
      </c>
    </row>
    <row r="510" spans="1:238" x14ac:dyDescent="0.25">
      <c r="A510" s="7">
        <v>4.5942352075148269</v>
      </c>
      <c r="B510"/>
      <c r="C510"/>
      <c r="D510"/>
      <c r="E510"/>
      <c r="I510" s="27" t="s">
        <v>8</v>
      </c>
      <c r="J510" s="27" t="s">
        <v>7</v>
      </c>
      <c r="K510" s="27" t="s">
        <v>8</v>
      </c>
      <c r="IB510" s="27" t="s">
        <v>7</v>
      </c>
    </row>
    <row r="511" spans="1:238" x14ac:dyDescent="0.25">
      <c r="A511" s="7">
        <v>4.5041521642302227</v>
      </c>
      <c r="B511"/>
      <c r="C511"/>
      <c r="D511"/>
      <c r="E511"/>
      <c r="I511" s="27" t="s">
        <v>8</v>
      </c>
      <c r="J511" s="27" t="s">
        <v>7</v>
      </c>
      <c r="K511" s="27" t="s">
        <v>8</v>
      </c>
    </row>
    <row r="512" spans="1:238" x14ac:dyDescent="0.25">
      <c r="A512" s="7">
        <v>4.4158354551276693</v>
      </c>
      <c r="B512"/>
      <c r="C512"/>
      <c r="D512"/>
      <c r="E512"/>
      <c r="I512" s="27" t="s">
        <v>8</v>
      </c>
      <c r="J512" s="27" t="s">
        <v>7</v>
      </c>
      <c r="K512" s="27" t="s">
        <v>8</v>
      </c>
    </row>
    <row r="513" spans="1:11" x14ac:dyDescent="0.25">
      <c r="A513" s="7">
        <v>4.3292504462035977</v>
      </c>
      <c r="B513"/>
      <c r="C513"/>
      <c r="D513"/>
      <c r="E513"/>
      <c r="I513" s="27" t="s">
        <v>8</v>
      </c>
      <c r="J513" s="27" t="s">
        <v>7</v>
      </c>
      <c r="K513" s="27" t="s">
        <v>8</v>
      </c>
    </row>
    <row r="514" spans="1:11" x14ac:dyDescent="0.25">
      <c r="A514" s="7">
        <v>4.2443631825525463</v>
      </c>
      <c r="B514"/>
      <c r="C514"/>
      <c r="D514"/>
      <c r="E514" t="s">
        <v>8</v>
      </c>
      <c r="I514" s="27" t="s">
        <v>8</v>
      </c>
      <c r="J514" s="27" t="s">
        <v>7</v>
      </c>
      <c r="K514" s="27" t="s">
        <v>8</v>
      </c>
    </row>
    <row r="515" spans="1:11" x14ac:dyDescent="0.25">
      <c r="A515" s="7">
        <v>4.1611403750515157</v>
      </c>
      <c r="B515"/>
      <c r="C515"/>
      <c r="D515"/>
      <c r="E515" t="s">
        <v>8</v>
      </c>
      <c r="F515" s="27" t="s">
        <v>7</v>
      </c>
      <c r="I515" s="27" t="s">
        <v>8</v>
      </c>
      <c r="J515" s="27" t="s">
        <v>7</v>
      </c>
      <c r="K515" s="27" t="s">
        <v>8</v>
      </c>
    </row>
    <row r="516" spans="1:11" x14ac:dyDescent="0.25">
      <c r="A516" s="7">
        <v>4.0795493873054074</v>
      </c>
      <c r="B516"/>
      <c r="C516"/>
      <c r="D516"/>
      <c r="E516" t="s">
        <v>8</v>
      </c>
      <c r="F516" s="27" t="s">
        <v>7</v>
      </c>
      <c r="I516" s="27" t="s">
        <v>8</v>
      </c>
      <c r="J516" s="27" t="s">
        <v>7</v>
      </c>
      <c r="K516" s="27" t="s">
        <v>8</v>
      </c>
    </row>
    <row r="517" spans="1:11" x14ac:dyDescent="0.25">
      <c r="A517" s="7">
        <v>3.9995582228484383</v>
      </c>
      <c r="B517"/>
      <c r="C517"/>
      <c r="D517"/>
      <c r="E517" t="s">
        <v>8</v>
      </c>
      <c r="F517" s="27" t="s">
        <v>7</v>
      </c>
      <c r="I517" s="27" t="s">
        <v>8</v>
      </c>
      <c r="J517" s="27" t="s">
        <v>7</v>
      </c>
      <c r="K517" s="27" t="s">
        <v>8</v>
      </c>
    </row>
    <row r="518" spans="1:11" x14ac:dyDescent="0.25">
      <c r="A518" s="7">
        <v>3.9211355125965079</v>
      </c>
      <c r="B518"/>
      <c r="C518"/>
      <c r="D518"/>
      <c r="E518" t="s">
        <v>8</v>
      </c>
      <c r="F518" s="27" t="s">
        <v>7</v>
      </c>
      <c r="I518" s="27" t="s">
        <v>8</v>
      </c>
      <c r="J518" s="27" t="s">
        <v>7</v>
      </c>
      <c r="K518" s="27" t="s">
        <v>8</v>
      </c>
    </row>
    <row r="519" spans="1:11" x14ac:dyDescent="0.25">
      <c r="A519" s="7">
        <v>3.844250502545596</v>
      </c>
      <c r="B519"/>
      <c r="C519"/>
      <c r="D519"/>
      <c r="E519" t="s">
        <v>8</v>
      </c>
      <c r="F519" s="27" t="s">
        <v>7</v>
      </c>
      <c r="G519" s="27" t="s">
        <v>8</v>
      </c>
      <c r="I519" s="27" t="s">
        <v>8</v>
      </c>
      <c r="J519" s="27" t="s">
        <v>7</v>
      </c>
      <c r="K519" s="27" t="s">
        <v>8</v>
      </c>
    </row>
    <row r="520" spans="1:11" x14ac:dyDescent="0.25">
      <c r="A520" s="7">
        <v>3.7688730417113687</v>
      </c>
      <c r="B520"/>
      <c r="C520"/>
      <c r="D520"/>
      <c r="E520" t="s">
        <v>8</v>
      </c>
      <c r="F520" s="27" t="s">
        <v>7</v>
      </c>
      <c r="G520" s="27" t="s">
        <v>8</v>
      </c>
      <c r="H520" s="27" t="s">
        <v>7</v>
      </c>
      <c r="I520" s="27" t="s">
        <v>8</v>
      </c>
      <c r="J520" s="27" t="s">
        <v>7</v>
      </c>
    </row>
    <row r="521" spans="1:11" x14ac:dyDescent="0.25">
      <c r="A521" s="7">
        <v>3.6949735703052635</v>
      </c>
      <c r="B521"/>
      <c r="C521"/>
      <c r="D521"/>
      <c r="E521" t="s">
        <v>8</v>
      </c>
      <c r="F521" s="27" t="s">
        <v>7</v>
      </c>
      <c r="G521" s="27" t="s">
        <v>8</v>
      </c>
      <c r="H521" s="27" t="s">
        <v>7</v>
      </c>
      <c r="I521" s="27" t="s">
        <v>8</v>
      </c>
    </row>
    <row r="522" spans="1:11" x14ac:dyDescent="0.25">
      <c r="A522" s="7">
        <v>3.6225231081424152</v>
      </c>
      <c r="B522"/>
      <c r="C522"/>
      <c r="D522"/>
      <c r="E522" t="s">
        <v>8</v>
      </c>
      <c r="F522" s="27" t="s">
        <v>7</v>
      </c>
      <c r="G522" s="27" t="s">
        <v>8</v>
      </c>
      <c r="H522" s="27" t="s">
        <v>7</v>
      </c>
      <c r="I522" s="27" t="s">
        <v>8</v>
      </c>
    </row>
    <row r="523" spans="1:11" x14ac:dyDescent="0.25">
      <c r="A523" s="7">
        <v>3.5514932432768775</v>
      </c>
      <c r="B523"/>
      <c r="C523"/>
      <c r="D523"/>
      <c r="E523" t="s">
        <v>8</v>
      </c>
      <c r="F523" s="27" t="s">
        <v>7</v>
      </c>
      <c r="G523" s="27" t="s">
        <v>8</v>
      </c>
      <c r="H523" s="27" t="s">
        <v>7</v>
      </c>
      <c r="I523" s="27" t="s">
        <v>8</v>
      </c>
    </row>
    <row r="524" spans="1:11" x14ac:dyDescent="0.25">
      <c r="A524" s="7">
        <v>3.4818561208596837</v>
      </c>
      <c r="B524"/>
      <c r="C524"/>
      <c r="D524"/>
      <c r="E524" t="s">
        <v>8</v>
      </c>
      <c r="F524" s="27" t="s">
        <v>7</v>
      </c>
      <c r="G524" s="27" t="s">
        <v>8</v>
      </c>
      <c r="H524" s="27" t="s">
        <v>7</v>
      </c>
      <c r="I524" s="27" t="s">
        <v>8</v>
      </c>
    </row>
    <row r="525" spans="1:11" x14ac:dyDescent="0.25">
      <c r="A525" s="7">
        <v>3.4135844322153761</v>
      </c>
      <c r="B525"/>
      <c r="C525"/>
      <c r="D525"/>
      <c r="E525" t="s">
        <v>8</v>
      </c>
      <c r="F525" s="27" t="s">
        <v>7</v>
      </c>
      <c r="G525" s="27" t="s">
        <v>8</v>
      </c>
      <c r="H525" s="27" t="s">
        <v>7</v>
      </c>
      <c r="I525" s="27" t="s">
        <v>8</v>
      </c>
    </row>
    <row r="526" spans="1:11" x14ac:dyDescent="0.25">
      <c r="A526" s="7">
        <v>3.3466514041327216</v>
      </c>
      <c r="B526"/>
      <c r="C526"/>
      <c r="D526"/>
      <c r="E526" t="s">
        <v>8</v>
      </c>
      <c r="F526" s="27" t="s">
        <v>7</v>
      </c>
      <c r="G526" s="27" t="s">
        <v>8</v>
      </c>
      <c r="H526" s="27" t="s">
        <v>7</v>
      </c>
      <c r="I526" s="27" t="s">
        <v>8</v>
      </c>
    </row>
    <row r="527" spans="1:11" x14ac:dyDescent="0.25">
      <c r="A527" s="7">
        <v>3.2810307883654133</v>
      </c>
      <c r="B527"/>
      <c r="C527"/>
      <c r="D527"/>
      <c r="E527" t="s">
        <v>8</v>
      </c>
      <c r="F527" s="27" t="s">
        <v>7</v>
      </c>
      <c r="G527" s="27" t="s">
        <v>8</v>
      </c>
      <c r="H527" s="27" t="s">
        <v>7</v>
      </c>
      <c r="I527" s="27" t="s">
        <v>8</v>
      </c>
    </row>
    <row r="528" spans="1:11" x14ac:dyDescent="0.25">
      <c r="A528" s="7">
        <v>3.2166968513386403</v>
      </c>
      <c r="B528"/>
      <c r="C528"/>
      <c r="D528"/>
      <c r="E528" t="s">
        <v>8</v>
      </c>
      <c r="F528" s="27" t="s">
        <v>7</v>
      </c>
      <c r="G528" s="27" t="s">
        <v>8</v>
      </c>
      <c r="H528" s="27" t="s">
        <v>7</v>
      </c>
      <c r="I528" s="27" t="s">
        <v>8</v>
      </c>
    </row>
    <row r="529" spans="1:9" x14ac:dyDescent="0.25">
      <c r="A529" s="7">
        <v>3.1536243640574906</v>
      </c>
      <c r="B529"/>
      <c r="C529"/>
      <c r="D529"/>
      <c r="E529" t="s">
        <v>8</v>
      </c>
      <c r="F529" s="27" t="s">
        <v>7</v>
      </c>
      <c r="G529" s="27" t="s">
        <v>8</v>
      </c>
      <c r="H529" s="27" t="s">
        <v>7</v>
      </c>
      <c r="I529" s="27" t="s">
        <v>8</v>
      </c>
    </row>
    <row r="530" spans="1:9" x14ac:dyDescent="0.25">
      <c r="A530" s="7">
        <v>3.0917885922132262</v>
      </c>
      <c r="B530"/>
      <c r="C530"/>
      <c r="D530"/>
      <c r="E530" t="s">
        <v>8</v>
      </c>
      <c r="F530" s="27" t="s">
        <v>7</v>
      </c>
      <c r="G530" s="27" t="s">
        <v>8</v>
      </c>
      <c r="H530" s="27" t="s">
        <v>7</v>
      </c>
      <c r="I530" s="27" t="s">
        <v>8</v>
      </c>
    </row>
    <row r="531" spans="1:9" x14ac:dyDescent="0.25">
      <c r="A531" s="7">
        <v>3.0311652864835552</v>
      </c>
      <c r="B531"/>
      <c r="C531"/>
      <c r="D531"/>
      <c r="E531" t="s">
        <v>8</v>
      </c>
      <c r="F531" s="27" t="s">
        <v>7</v>
      </c>
      <c r="H531" s="27" t="s">
        <v>7</v>
      </c>
      <c r="I531" s="27" t="s">
        <v>8</v>
      </c>
    </row>
    <row r="532" spans="1:9" x14ac:dyDescent="0.25">
      <c r="A532" s="7">
        <v>2.9717306730230932</v>
      </c>
      <c r="B532"/>
      <c r="C532"/>
      <c r="D532"/>
      <c r="E532" t="s">
        <v>8</v>
      </c>
      <c r="H532" s="27" t="s">
        <v>7</v>
      </c>
      <c r="I532" s="27" t="s">
        <v>8</v>
      </c>
    </row>
    <row r="533" spans="1:9" x14ac:dyDescent="0.25">
      <c r="A533" s="7">
        <v>2.9134614441402875</v>
      </c>
      <c r="B533"/>
      <c r="C533"/>
      <c r="D533"/>
      <c r="E533" t="s">
        <v>8</v>
      </c>
      <c r="H533" s="27" t="s">
        <v>7</v>
      </c>
      <c r="I533" s="27" t="s">
        <v>8</v>
      </c>
    </row>
    <row r="534" spans="1:9" x14ac:dyDescent="0.25">
      <c r="A534" s="7">
        <v>2.8563347491571447</v>
      </c>
      <c r="B534"/>
      <c r="C534"/>
      <c r="D534"/>
      <c r="E534" t="s">
        <v>8</v>
      </c>
      <c r="H534" s="27" t="s">
        <v>7</v>
      </c>
      <c r="I534" s="27" t="s">
        <v>8</v>
      </c>
    </row>
    <row r="535" spans="1:9" x14ac:dyDescent="0.25">
      <c r="A535" s="7">
        <v>2.8003281854481812</v>
      </c>
      <c r="B535"/>
      <c r="C535"/>
      <c r="D535"/>
      <c r="E535" t="s">
        <v>8</v>
      </c>
      <c r="H535" s="27" t="s">
        <v>7</v>
      </c>
      <c r="I535" s="27" t="s">
        <v>8</v>
      </c>
    </row>
    <row r="536" spans="1:9" x14ac:dyDescent="0.25">
      <c r="A536" s="7">
        <v>2.7454197896550796</v>
      </c>
      <c r="B536"/>
      <c r="C536"/>
      <c r="D536"/>
      <c r="E536" t="s">
        <v>8</v>
      </c>
      <c r="H536" s="27" t="s">
        <v>7</v>
      </c>
    </row>
    <row r="537" spans="1:9" x14ac:dyDescent="0.25">
      <c r="A537" s="7">
        <v>2.6915880290736074</v>
      </c>
      <c r="B537"/>
      <c r="C537"/>
      <c r="D537"/>
      <c r="E537" t="s">
        <v>8</v>
      </c>
    </row>
    <row r="538" spans="1:9" x14ac:dyDescent="0.25">
      <c r="A538" s="7">
        <v>2.6388117932094191</v>
      </c>
      <c r="B538"/>
      <c r="C538"/>
      <c r="D538"/>
      <c r="E538" t="s">
        <v>8</v>
      </c>
    </row>
    <row r="539" spans="1:9" x14ac:dyDescent="0.25">
      <c r="A539" s="7">
        <v>2.5870703854994304</v>
      </c>
      <c r="B539"/>
      <c r="C539"/>
      <c r="D539"/>
      <c r="E539" t="s">
        <v>8</v>
      </c>
    </row>
    <row r="540" spans="1:9" x14ac:dyDescent="0.25">
      <c r="A540" s="7">
        <v>2.53634351519552</v>
      </c>
      <c r="B540"/>
      <c r="C540"/>
      <c r="D540"/>
      <c r="E540" t="s">
        <v>8</v>
      </c>
    </row>
    <row r="541" spans="1:9" x14ac:dyDescent="0.25">
      <c r="A541" s="7">
        <v>2.4866112894073726</v>
      </c>
      <c r="B541"/>
      <c r="C541"/>
      <c r="D541"/>
      <c r="E541" t="s">
        <v>8</v>
      </c>
    </row>
    <row r="542" spans="1:9" x14ac:dyDescent="0.25">
      <c r="A542" s="7">
        <v>2.4378542053013459</v>
      </c>
      <c r="B542"/>
      <c r="C542"/>
      <c r="D542"/>
      <c r="E542" t="s">
        <v>8</v>
      </c>
    </row>
    <row r="543" spans="1:9" x14ac:dyDescent="0.25">
      <c r="A543" s="7">
        <v>2.3900531424522997</v>
      </c>
      <c r="B543"/>
      <c r="C543"/>
      <c r="D543"/>
      <c r="E543" t="s">
        <v>8</v>
      </c>
    </row>
    <row r="544" spans="1:9" x14ac:dyDescent="0.25">
      <c r="A544" s="7">
        <v>2.343189355345392</v>
      </c>
      <c r="B544"/>
      <c r="C544"/>
      <c r="D544"/>
      <c r="E544" t="s">
        <v>8</v>
      </c>
    </row>
    <row r="545" spans="1:5" x14ac:dyDescent="0.25">
      <c r="A545" s="7">
        <v>2.2972444660248938</v>
      </c>
      <c r="B545"/>
      <c r="C545"/>
      <c r="D545"/>
      <c r="E545" t="s">
        <v>8</v>
      </c>
    </row>
    <row r="546" spans="1:5" x14ac:dyDescent="0.25">
      <c r="A546" s="7">
        <v>2.252200456887151</v>
      </c>
      <c r="B546"/>
      <c r="C546"/>
      <c r="D546"/>
      <c r="E546" t="s">
        <v>8</v>
      </c>
    </row>
    <row r="547" spans="1:5" x14ac:dyDescent="0.25">
      <c r="A547" s="7">
        <v>2.208039663614854</v>
      </c>
      <c r="B547"/>
      <c r="C547"/>
      <c r="D547"/>
      <c r="E547" t="s">
        <v>8</v>
      </c>
    </row>
    <row r="548" spans="1:5" x14ac:dyDescent="0.25">
      <c r="A548" s="7">
        <v>2.1647447682498568</v>
      </c>
      <c r="B548"/>
      <c r="C548"/>
      <c r="D548"/>
      <c r="E548" t="s">
        <v>8</v>
      </c>
    </row>
    <row r="549" spans="1:5" x14ac:dyDescent="0.25">
      <c r="A549" s="7">
        <v>2.1222987924018204</v>
      </c>
      <c r="B549"/>
      <c r="C549"/>
      <c r="D549"/>
      <c r="E549" t="s">
        <v>8</v>
      </c>
    </row>
    <row r="550" spans="1:5" x14ac:dyDescent="0.25">
      <c r="A550" s="7">
        <v>2.0806850905900198</v>
      </c>
      <c r="B550"/>
      <c r="C550"/>
      <c r="D550"/>
      <c r="E550" t="s">
        <v>8</v>
      </c>
    </row>
    <row r="551" spans="1:5" x14ac:dyDescent="0.25">
      <c r="A551" s="7">
        <v>2.0398873437157055</v>
      </c>
      <c r="B551"/>
      <c r="C551"/>
      <c r="D551"/>
      <c r="E551" t="s">
        <v>8</v>
      </c>
    </row>
    <row r="552" spans="1:5" x14ac:dyDescent="0.25">
      <c r="A552" s="7">
        <v>1.9998895526624565</v>
      </c>
      <c r="B552"/>
      <c r="C552"/>
      <c r="D552"/>
      <c r="E552" t="s">
        <v>8</v>
      </c>
    </row>
    <row r="553" spans="1:5" x14ac:dyDescent="0.25">
      <c r="A553" s="7">
        <v>1.9606760320220162</v>
      </c>
      <c r="B553"/>
      <c r="C553"/>
      <c r="D553"/>
      <c r="E553" t="s">
        <v>8</v>
      </c>
    </row>
    <row r="554" spans="1:5" x14ac:dyDescent="0.25">
      <c r="A554" s="7">
        <v>1.9222314039431532</v>
      </c>
      <c r="B554"/>
      <c r="C554"/>
      <c r="D554"/>
      <c r="E554" t="s">
        <v>8</v>
      </c>
    </row>
    <row r="555" spans="1:5" x14ac:dyDescent="0.25">
      <c r="A555" s="7">
        <v>1.8845405921011305</v>
      </c>
      <c r="B555"/>
      <c r="C555"/>
      <c r="D555"/>
      <c r="E555" t="s">
        <v>8</v>
      </c>
    </row>
    <row r="556" spans="1:5" x14ac:dyDescent="0.25">
      <c r="A556" s="7">
        <v>1.8475888157854219</v>
      </c>
      <c r="B556"/>
      <c r="C556"/>
      <c r="D556"/>
      <c r="E556" t="s">
        <v>8</v>
      </c>
    </row>
    <row r="557" spans="1:5" x14ac:dyDescent="0.25">
      <c r="A557" s="7">
        <v>1.8113615841033548</v>
      </c>
      <c r="B557"/>
      <c r="C557"/>
      <c r="D557"/>
      <c r="E557" t="s">
        <v>8</v>
      </c>
    </row>
    <row r="558" spans="1:5" x14ac:dyDescent="0.25">
      <c r="A558" s="7">
        <v>1.7758446902974065</v>
      </c>
      <c r="B558"/>
      <c r="C558"/>
      <c r="D558"/>
      <c r="E558" t="s">
        <v>8</v>
      </c>
    </row>
    <row r="559" spans="1:5" x14ac:dyDescent="0.25">
      <c r="A559" s="7">
        <v>1.7410242061739281</v>
      </c>
      <c r="B559"/>
      <c r="C559"/>
      <c r="D559"/>
      <c r="E559" t="s">
        <v>8</v>
      </c>
    </row>
    <row r="560" spans="1:5" x14ac:dyDescent="0.25">
      <c r="A560" s="7">
        <v>1.7068864766411058</v>
      </c>
      <c r="B560"/>
      <c r="C560"/>
      <c r="D560"/>
      <c r="E560" t="s">
        <v>8</v>
      </c>
    </row>
    <row r="561" spans="1:5" x14ac:dyDescent="0.25">
      <c r="A561" s="7">
        <v>1.6734181143540252</v>
      </c>
      <c r="B561"/>
      <c r="C561"/>
      <c r="D561"/>
      <c r="E561" t="s">
        <v>8</v>
      </c>
    </row>
    <row r="562" spans="1:5" x14ac:dyDescent="0.25">
      <c r="A562" s="7">
        <v>1.6406059944647307</v>
      </c>
      <c r="B562"/>
      <c r="C562"/>
      <c r="D562"/>
      <c r="E562" t="s">
        <v>8</v>
      </c>
    </row>
    <row r="563" spans="1:5" x14ac:dyDescent="0.25">
      <c r="A563" s="7">
        <v>1.6084372494752261</v>
      </c>
      <c r="B563"/>
      <c r="C563"/>
      <c r="D563"/>
      <c r="E563" t="s">
        <v>8</v>
      </c>
    </row>
    <row r="564" spans="1:5" x14ac:dyDescent="0.25">
      <c r="A564" s="7">
        <v>1.5768992641913981</v>
      </c>
      <c r="B564"/>
      <c r="C564"/>
      <c r="D564"/>
      <c r="E564" t="s">
        <v>8</v>
      </c>
    </row>
    <row r="565" spans="1:5" x14ac:dyDescent="0.25">
      <c r="A565" s="7">
        <v>1.5459796707758806</v>
      </c>
      <c r="B565"/>
      <c r="C565"/>
      <c r="D565"/>
      <c r="E565" t="s">
        <v>8</v>
      </c>
    </row>
    <row r="566" spans="1:5" x14ac:dyDescent="0.25">
      <c r="A566" s="7">
        <v>1.5156663438979221</v>
      </c>
      <c r="B566"/>
      <c r="C566"/>
      <c r="D566"/>
      <c r="E566" t="s">
        <v>8</v>
      </c>
    </row>
    <row r="567" spans="1:5" x14ac:dyDescent="0.25">
      <c r="A567" s="7">
        <v>1.4859473959783549</v>
      </c>
      <c r="B567"/>
      <c r="C567"/>
      <c r="D567"/>
      <c r="E567" t="s">
        <v>8</v>
      </c>
    </row>
    <row r="568" spans="1:5" x14ac:dyDescent="0.25">
      <c r="A568" s="7">
        <v>1.4568111725277988</v>
      </c>
      <c r="B568"/>
      <c r="C568"/>
      <c r="D568"/>
      <c r="E568" t="s">
        <v>8</v>
      </c>
    </row>
    <row r="569" spans="1:5" x14ac:dyDescent="0.25">
      <c r="A569" s="7">
        <v>1.4282462475762734</v>
      </c>
      <c r="B569"/>
      <c r="C569"/>
      <c r="D569"/>
      <c r="E569" t="s">
        <v>8</v>
      </c>
    </row>
    <row r="570" spans="1:5" x14ac:dyDescent="0.25">
      <c r="A570" s="7">
        <v>1.4002414191924248</v>
      </c>
      <c r="B570"/>
      <c r="C570"/>
      <c r="D570"/>
      <c r="E570" t="s">
        <v>8</v>
      </c>
    </row>
    <row r="571" spans="1:5" x14ac:dyDescent="0.25">
      <c r="A571" s="7">
        <v>1.3727857050906125</v>
      </c>
      <c r="B571"/>
      <c r="C571"/>
      <c r="D571"/>
      <c r="E571" t="s">
        <v>8</v>
      </c>
    </row>
    <row r="572" spans="1:5" x14ac:dyDescent="0.25">
      <c r="A572" s="7">
        <v>1.3458683383241299</v>
      </c>
      <c r="B572"/>
      <c r="C572"/>
      <c r="D572"/>
      <c r="E572" t="s">
        <v>8</v>
      </c>
    </row>
    <row r="573" spans="1:5" x14ac:dyDescent="0.25">
      <c r="A573" s="7">
        <v>1.3194787630628724</v>
      </c>
      <c r="B573"/>
      <c r="C573"/>
      <c r="D573"/>
      <c r="E573" t="s">
        <v>8</v>
      </c>
    </row>
    <row r="574" spans="1:5" x14ac:dyDescent="0.25">
      <c r="A574" s="7">
        <v>1.2936066304537963</v>
      </c>
      <c r="B574"/>
      <c r="C574"/>
      <c r="D574"/>
      <c r="E574" t="s">
        <v>8</v>
      </c>
    </row>
    <row r="575" spans="1:5" x14ac:dyDescent="0.25">
      <c r="A575" s="7">
        <v>1.2682417945625455</v>
      </c>
      <c r="B575"/>
      <c r="C575"/>
      <c r="D575"/>
      <c r="E575" t="s">
        <v>8</v>
      </c>
    </row>
    <row r="576" spans="1:5" x14ac:dyDescent="0.25">
      <c r="A576" s="7">
        <v>1.2433743083946525</v>
      </c>
      <c r="B576"/>
      <c r="C576"/>
      <c r="D576"/>
      <c r="E576" t="s">
        <v>8</v>
      </c>
    </row>
    <row r="577" spans="1:5" x14ac:dyDescent="0.25">
      <c r="A577" s="7">
        <v>1.2189944199947573</v>
      </c>
      <c r="B577"/>
      <c r="C577"/>
      <c r="D577"/>
      <c r="E577" t="s">
        <v>8</v>
      </c>
    </row>
    <row r="578" spans="1:5" x14ac:dyDescent="0.25">
      <c r="A578" s="7">
        <v>1.1950925686223111</v>
      </c>
      <c r="B578"/>
      <c r="C578"/>
      <c r="D578"/>
      <c r="E578" t="s">
        <v>8</v>
      </c>
    </row>
    <row r="579" spans="1:5" x14ac:dyDescent="0.25">
      <c r="A579" s="7">
        <v>1.1716593810022657</v>
      </c>
      <c r="B579"/>
      <c r="C579"/>
      <c r="D579"/>
      <c r="E579" t="s">
        <v>8</v>
      </c>
    </row>
    <row r="580" spans="1:5" x14ac:dyDescent="0.25">
      <c r="A580" s="7">
        <v>1.14868566764928</v>
      </c>
      <c r="B580"/>
      <c r="C580"/>
      <c r="D580"/>
      <c r="E580" t="s">
        <v>8</v>
      </c>
    </row>
    <row r="581" spans="1:5" x14ac:dyDescent="0.25">
      <c r="A581" s="7">
        <v>1.1261624192640001</v>
      </c>
      <c r="B581"/>
      <c r="C581"/>
      <c r="D581"/>
      <c r="E581" t="s">
        <v>8</v>
      </c>
    </row>
    <row r="582" spans="1:5" x14ac:dyDescent="0.25">
      <c r="A582" s="7">
        <v>1.1040808032</v>
      </c>
      <c r="B582"/>
      <c r="C582"/>
      <c r="D582"/>
      <c r="E582" t="s">
        <v>8</v>
      </c>
    </row>
    <row r="583" spans="1:5" x14ac:dyDescent="0.25">
      <c r="A583" s="7">
        <v>1.08243216</v>
      </c>
      <c r="B583"/>
      <c r="C583"/>
      <c r="D583"/>
      <c r="E583" t="s">
        <v>8</v>
      </c>
    </row>
    <row r="584" spans="1:5" x14ac:dyDescent="0.25">
      <c r="A584" s="7">
        <v>1.0612079999999999</v>
      </c>
      <c r="B584"/>
      <c r="C584"/>
      <c r="D584"/>
      <c r="E584" t="s">
        <v>8</v>
      </c>
    </row>
    <row r="585" spans="1:5" x14ac:dyDescent="0.25">
      <c r="A585" s="7">
        <v>1.0404</v>
      </c>
      <c r="B585"/>
      <c r="C585"/>
      <c r="D585"/>
      <c r="E585" t="s">
        <v>8</v>
      </c>
    </row>
    <row r="586" spans="1:5" x14ac:dyDescent="0.25">
      <c r="A586" s="7">
        <v>1.02</v>
      </c>
      <c r="B586"/>
      <c r="C586"/>
      <c r="D586"/>
      <c r="E586" t="s">
        <v>8</v>
      </c>
    </row>
    <row r="587" spans="1:5" x14ac:dyDescent="0.25">
      <c r="A587" s="7">
        <v>1</v>
      </c>
      <c r="B587"/>
      <c r="C587"/>
      <c r="D587"/>
      <c r="E587" s="29" t="s">
        <v>8</v>
      </c>
    </row>
    <row r="588" spans="1:5" x14ac:dyDescent="0.25">
      <c r="A588" s="7">
        <v>0.98039215686274506</v>
      </c>
      <c r="B588"/>
      <c r="C588"/>
      <c r="D588"/>
      <c r="E588"/>
    </row>
    <row r="589" spans="1:5" x14ac:dyDescent="0.25">
      <c r="A589" s="7">
        <v>0.96116878123798544</v>
      </c>
      <c r="B589"/>
      <c r="C589"/>
      <c r="D589"/>
      <c r="E589"/>
    </row>
    <row r="590" spans="1:5" x14ac:dyDescent="0.25">
      <c r="A590" s="7">
        <v>0.94232233454704462</v>
      </c>
      <c r="B590"/>
      <c r="C590"/>
      <c r="D590"/>
      <c r="E590"/>
    </row>
    <row r="591" spans="1:5" x14ac:dyDescent="0.25">
      <c r="A591" s="7">
        <v>0.92384542602651432</v>
      </c>
      <c r="B591"/>
      <c r="C591"/>
      <c r="D591"/>
      <c r="E591"/>
    </row>
    <row r="592" spans="1:5" x14ac:dyDescent="0.25">
      <c r="A592" s="7">
        <v>0.90573080982991594</v>
      </c>
      <c r="B592"/>
      <c r="C592"/>
      <c r="D592"/>
      <c r="E592"/>
    </row>
    <row r="593" spans="1:5" x14ac:dyDescent="0.25">
      <c r="A593" s="7">
        <v>0.8879713821861922</v>
      </c>
      <c r="B593"/>
      <c r="C593"/>
      <c r="D593"/>
      <c r="E593"/>
    </row>
    <row r="594" spans="1:5" x14ac:dyDescent="0.25">
      <c r="A594" s="7">
        <v>0.87056017861391399</v>
      </c>
      <c r="B594"/>
      <c r="C594"/>
      <c r="D594"/>
      <c r="E594"/>
    </row>
    <row r="595" spans="1:5" x14ac:dyDescent="0.25">
      <c r="A595" s="7">
        <v>0.85349037119011173</v>
      </c>
      <c r="B595"/>
      <c r="C595"/>
      <c r="D595"/>
      <c r="E595"/>
    </row>
    <row r="596" spans="1:5" x14ac:dyDescent="0.25">
      <c r="A596" s="7">
        <v>0.83675526587265858</v>
      </c>
      <c r="B596"/>
      <c r="C596"/>
      <c r="D596"/>
      <c r="E596"/>
    </row>
    <row r="597" spans="1:5" x14ac:dyDescent="0.25">
      <c r="A597" s="7">
        <v>0.82034829987515545</v>
      </c>
      <c r="B597"/>
      <c r="C597"/>
      <c r="D597"/>
      <c r="E597"/>
    </row>
    <row r="598" spans="1:5" x14ac:dyDescent="0.25">
      <c r="A598" s="7">
        <v>0.80426303909328967</v>
      </c>
      <c r="B598"/>
      <c r="C598"/>
      <c r="D598"/>
      <c r="E598"/>
    </row>
    <row r="599" spans="1:5" x14ac:dyDescent="0.25">
      <c r="A599" s="7">
        <v>0.78849317558165644</v>
      </c>
      <c r="B599"/>
      <c r="C599"/>
      <c r="D599"/>
      <c r="E599"/>
    </row>
    <row r="600" spans="1:5" x14ac:dyDescent="0.25">
      <c r="A600" s="7">
        <v>0.77303252508005538</v>
      </c>
      <c r="B600"/>
      <c r="C600"/>
      <c r="D600"/>
      <c r="E600"/>
    </row>
    <row r="601" spans="1:5" x14ac:dyDescent="0.25">
      <c r="A601" s="7">
        <v>0.75787502458828959</v>
      </c>
      <c r="B601"/>
      <c r="C601"/>
      <c r="D601"/>
      <c r="E601"/>
    </row>
    <row r="602" spans="1:5" x14ac:dyDescent="0.25">
      <c r="A602" s="7">
        <v>0.74301472998851925</v>
      </c>
      <c r="B602"/>
      <c r="C602"/>
      <c r="D602"/>
      <c r="E602"/>
    </row>
    <row r="603" spans="1:5" x14ac:dyDescent="0.25">
      <c r="A603" s="7">
        <v>0.72844581371423456</v>
      </c>
      <c r="B603"/>
      <c r="C603"/>
      <c r="D603"/>
      <c r="E603"/>
    </row>
    <row r="604" spans="1:5" x14ac:dyDescent="0.25">
      <c r="A604" s="7">
        <v>0.71416256246493581</v>
      </c>
      <c r="B604"/>
      <c r="C604"/>
      <c r="D604"/>
      <c r="E604"/>
    </row>
    <row r="605" spans="1:5" x14ac:dyDescent="0.25">
      <c r="A605" s="7">
        <v>0.7001593749656233</v>
      </c>
      <c r="B605"/>
      <c r="C605"/>
      <c r="D605"/>
      <c r="E605"/>
    </row>
    <row r="606" spans="1:5" x14ac:dyDescent="0.25">
      <c r="A606" s="7">
        <v>0.68643075977021883</v>
      </c>
      <c r="B606"/>
      <c r="C606"/>
      <c r="D606"/>
      <c r="E606"/>
    </row>
    <row r="607" spans="1:5" x14ac:dyDescent="0.25">
      <c r="A607" s="7">
        <v>0.67297133310805768</v>
      </c>
      <c r="B607"/>
      <c r="C607"/>
      <c r="D607"/>
      <c r="E607"/>
    </row>
    <row r="608" spans="1:5" x14ac:dyDescent="0.25">
      <c r="A608" s="7">
        <v>0.65977581677260566</v>
      </c>
      <c r="B608"/>
      <c r="C608"/>
      <c r="D608"/>
      <c r="E608"/>
    </row>
    <row r="609" spans="1:5" x14ac:dyDescent="0.25">
      <c r="A609" s="7">
        <v>0.64683903605157422</v>
      </c>
      <c r="B609"/>
      <c r="C609"/>
      <c r="D609"/>
      <c r="E609"/>
    </row>
    <row r="610" spans="1:5" x14ac:dyDescent="0.25">
      <c r="A610" s="7">
        <v>0.63415591769762181</v>
      </c>
      <c r="B610"/>
      <c r="C610"/>
      <c r="D610"/>
      <c r="E610"/>
    </row>
    <row r="611" spans="1:5" x14ac:dyDescent="0.25">
      <c r="A611" s="7">
        <v>0.62172148793884496</v>
      </c>
      <c r="B611"/>
      <c r="C611"/>
      <c r="D611"/>
      <c r="E611"/>
    </row>
    <row r="612" spans="1:5" x14ac:dyDescent="0.25">
      <c r="A612" s="7">
        <v>0.60953087052827937</v>
      </c>
      <c r="B612"/>
      <c r="C612"/>
      <c r="D612"/>
      <c r="E612"/>
    </row>
    <row r="613" spans="1:5" x14ac:dyDescent="0.25">
      <c r="A613" s="7">
        <v>0.59757928483164646</v>
      </c>
      <c r="B613"/>
      <c r="C613"/>
      <c r="D613"/>
      <c r="E613"/>
    </row>
    <row r="614" spans="1:5" x14ac:dyDescent="0.25">
      <c r="A614" s="7">
        <v>0.58586204395259456</v>
      </c>
      <c r="B614"/>
      <c r="C614"/>
      <c r="D614"/>
      <c r="E614"/>
    </row>
    <row r="615" spans="1:5" x14ac:dyDescent="0.25">
      <c r="A615" s="7">
        <v>0.57437455289470052</v>
      </c>
      <c r="B615"/>
      <c r="C615"/>
      <c r="D615"/>
      <c r="E615"/>
    </row>
    <row r="616" spans="1:5" x14ac:dyDescent="0.25">
      <c r="A616" s="7">
        <v>0.56311230675951029</v>
      </c>
      <c r="B616"/>
      <c r="C616"/>
      <c r="D616"/>
      <c r="E616"/>
    </row>
    <row r="617" spans="1:5" x14ac:dyDescent="0.25">
      <c r="A617" s="7">
        <v>0.55207088897991208</v>
      </c>
      <c r="B617"/>
      <c r="C617"/>
      <c r="D617"/>
      <c r="E617"/>
    </row>
    <row r="618" spans="1:5" x14ac:dyDescent="0.25">
      <c r="A618" s="7">
        <v>0.54124596958814908</v>
      </c>
      <c r="B618"/>
      <c r="C618"/>
      <c r="D618"/>
      <c r="E618"/>
    </row>
    <row r="619" spans="1:5" x14ac:dyDescent="0.25">
      <c r="A619" s="7">
        <v>0.53063330351779314</v>
      </c>
      <c r="B619"/>
      <c r="C619"/>
      <c r="D619"/>
      <c r="E619"/>
    </row>
    <row r="620" spans="1:5" x14ac:dyDescent="0.25">
      <c r="A620" s="7">
        <v>0.52022872893901284</v>
      </c>
      <c r="B620"/>
      <c r="C620"/>
      <c r="D620"/>
      <c r="E620"/>
    </row>
    <row r="621" spans="1:5" x14ac:dyDescent="0.25">
      <c r="A621" s="7">
        <v>0.51002816562648323</v>
      </c>
      <c r="B621"/>
      <c r="C621"/>
      <c r="D621"/>
      <c r="E621"/>
    </row>
    <row r="622" spans="1:5" x14ac:dyDescent="0.25">
      <c r="A622" s="7">
        <v>0.50002761335929735</v>
      </c>
      <c r="B622"/>
      <c r="C622"/>
      <c r="D622"/>
      <c r="E622"/>
    </row>
    <row r="623" spans="1:5" x14ac:dyDescent="0.25">
      <c r="A623" s="7">
        <v>0.49022315035225228</v>
      </c>
      <c r="B623"/>
      <c r="C623"/>
      <c r="D623"/>
      <c r="E623"/>
    </row>
    <row r="624" spans="1:5" x14ac:dyDescent="0.25">
      <c r="A624" s="7">
        <v>0.48061093171789437</v>
      </c>
      <c r="B624"/>
      <c r="C624"/>
      <c r="D624"/>
      <c r="E624"/>
    </row>
    <row r="625" spans="1:5" x14ac:dyDescent="0.25">
      <c r="A625" s="7">
        <v>0.47118718795871994</v>
      </c>
      <c r="B625"/>
      <c r="C625"/>
      <c r="D625"/>
      <c r="E625"/>
    </row>
    <row r="626" spans="1:5" x14ac:dyDescent="0.25">
      <c r="A626" s="7">
        <v>0.46194822348894116</v>
      </c>
      <c r="B626"/>
      <c r="C626"/>
      <c r="D626"/>
      <c r="E626"/>
    </row>
    <row r="627" spans="1:5" x14ac:dyDescent="0.25">
      <c r="A627" s="7">
        <v>0.45289041518523643</v>
      </c>
      <c r="B627"/>
      <c r="C627"/>
      <c r="D627"/>
      <c r="E627"/>
    </row>
    <row r="628" spans="1:5" x14ac:dyDescent="0.25">
      <c r="A628" s="7">
        <v>0.44401021096591808</v>
      </c>
      <c r="B628"/>
      <c r="C628"/>
      <c r="D628"/>
      <c r="E628"/>
    </row>
    <row r="629" spans="1:5" x14ac:dyDescent="0.25">
      <c r="A629" s="7">
        <v>0.4353041283979589</v>
      </c>
      <c r="B629"/>
      <c r="C629"/>
      <c r="D629"/>
      <c r="E629"/>
    </row>
    <row r="630" spans="1:5" x14ac:dyDescent="0.25">
      <c r="A630" s="7">
        <v>0.4267687533313323</v>
      </c>
      <c r="B630"/>
      <c r="C630"/>
      <c r="D630"/>
      <c r="E630"/>
    </row>
    <row r="631" spans="1:5" x14ac:dyDescent="0.25">
      <c r="A631" s="7">
        <v>0.41840073856012971</v>
      </c>
      <c r="B631"/>
      <c r="C631"/>
      <c r="D631"/>
      <c r="E631"/>
    </row>
    <row r="632" spans="1:5" x14ac:dyDescent="0.25">
      <c r="A632" s="7">
        <v>0.41019680250993112</v>
      </c>
      <c r="B632"/>
      <c r="C632"/>
      <c r="D632"/>
      <c r="E632"/>
    </row>
    <row r="633" spans="1:5" x14ac:dyDescent="0.25">
      <c r="A633" s="7">
        <v>0.40215372795091286</v>
      </c>
      <c r="B633"/>
      <c r="C633"/>
      <c r="D633"/>
      <c r="E633"/>
    </row>
    <row r="634" spans="1:5" x14ac:dyDescent="0.25">
      <c r="A634" s="7">
        <v>0.39426836073618904</v>
      </c>
      <c r="B634"/>
      <c r="C634"/>
      <c r="D634"/>
      <c r="E634"/>
    </row>
    <row r="635" spans="1:5" x14ac:dyDescent="0.25">
      <c r="A635" s="7">
        <v>0.38653760856489122</v>
      </c>
      <c r="B635"/>
      <c r="C635"/>
      <c r="D635"/>
      <c r="E635"/>
    </row>
    <row r="636" spans="1:5" x14ac:dyDescent="0.25">
      <c r="A636" s="7">
        <v>0.37895843976950117</v>
      </c>
      <c r="B636"/>
      <c r="C636"/>
      <c r="D636"/>
      <c r="E636"/>
    </row>
    <row r="637" spans="1:5" x14ac:dyDescent="0.25">
      <c r="A637" s="7">
        <v>0.37152788212696197</v>
      </c>
      <c r="B637"/>
      <c r="C637"/>
      <c r="D637"/>
      <c r="E637"/>
    </row>
    <row r="638" spans="1:5" x14ac:dyDescent="0.25">
      <c r="A638" s="7">
        <v>0.36424302169310002</v>
      </c>
      <c r="B638"/>
      <c r="C638"/>
      <c r="D638"/>
      <c r="E638"/>
    </row>
    <row r="639" spans="1:5" x14ac:dyDescent="0.25">
      <c r="A639" s="7">
        <v>0.35710100165990194</v>
      </c>
      <c r="B639"/>
      <c r="C639"/>
      <c r="D639"/>
      <c r="E639"/>
    </row>
    <row r="640" spans="1:5" x14ac:dyDescent="0.25">
      <c r="A640" s="7">
        <v>0.35009902123519804</v>
      </c>
      <c r="B640"/>
      <c r="C640"/>
      <c r="D640"/>
      <c r="E640"/>
    </row>
    <row r="641" spans="1:5" x14ac:dyDescent="0.25">
      <c r="A641" s="7">
        <v>0.34323433454431179</v>
      </c>
      <c r="B641"/>
      <c r="C641"/>
      <c r="D641"/>
      <c r="E641"/>
    </row>
    <row r="642" spans="1:5" x14ac:dyDescent="0.25">
      <c r="A642" s="7">
        <v>0.33650424955324681</v>
      </c>
      <c r="B642"/>
      <c r="C642"/>
      <c r="D642"/>
      <c r="E642"/>
    </row>
    <row r="643" spans="1:5" x14ac:dyDescent="0.25">
      <c r="A643" s="7">
        <v>0.3299061270129871</v>
      </c>
      <c r="B643"/>
      <c r="C643"/>
      <c r="D643"/>
      <c r="E643"/>
    </row>
    <row r="644" spans="1:5" x14ac:dyDescent="0.25">
      <c r="A644" s="7">
        <v>0.32343737942449713</v>
      </c>
      <c r="B644"/>
      <c r="C644"/>
      <c r="D644"/>
      <c r="E644"/>
    </row>
    <row r="645" spans="1:5" x14ac:dyDescent="0.25">
      <c r="A645" s="7">
        <v>0.31709547002401678</v>
      </c>
      <c r="B645"/>
      <c r="C645"/>
      <c r="D645"/>
      <c r="E645"/>
    </row>
    <row r="646" spans="1:5" x14ac:dyDescent="0.25">
      <c r="A646" s="7">
        <v>0.31087791178825175</v>
      </c>
      <c r="B646"/>
      <c r="C646"/>
      <c r="D646"/>
      <c r="E646"/>
    </row>
    <row r="647" spans="1:5" x14ac:dyDescent="0.25">
      <c r="A647" s="7">
        <v>0.30478226645907036</v>
      </c>
      <c r="B647"/>
      <c r="C647"/>
      <c r="D647"/>
      <c r="E647"/>
    </row>
    <row r="648" spans="1:5" x14ac:dyDescent="0.25">
      <c r="A648" s="7">
        <v>0.29880614358732388</v>
      </c>
      <c r="B648"/>
      <c r="C648"/>
      <c r="D648"/>
      <c r="E648"/>
    </row>
    <row r="649" spans="1:5" x14ac:dyDescent="0.25">
      <c r="A649" s="7">
        <v>0.2929471995954156</v>
      </c>
      <c r="B649"/>
      <c r="C649"/>
      <c r="D649"/>
      <c r="E649"/>
    </row>
    <row r="650" spans="1:5" x14ac:dyDescent="0.25">
      <c r="A650" s="7">
        <v>0.28720313685825055</v>
      </c>
      <c r="B650"/>
      <c r="C650"/>
      <c r="D650"/>
      <c r="E650"/>
    </row>
    <row r="651" spans="1:5" x14ac:dyDescent="0.25">
      <c r="A651" s="7">
        <v>0.28157170280220645</v>
      </c>
      <c r="B651"/>
      <c r="C651"/>
      <c r="D651"/>
      <c r="E651"/>
    </row>
    <row r="652" spans="1:5" x14ac:dyDescent="0.25">
      <c r="A652" s="7">
        <v>0.27605068902177105</v>
      </c>
      <c r="B652"/>
      <c r="C652"/>
      <c r="D652"/>
      <c r="E652"/>
    </row>
    <row r="653" spans="1:5" x14ac:dyDescent="0.25">
      <c r="A653" s="7">
        <v>0.27063793041350104</v>
      </c>
      <c r="B653"/>
      <c r="C653"/>
      <c r="D653"/>
      <c r="E653"/>
    </row>
    <row r="654" spans="1:5" x14ac:dyDescent="0.25">
      <c r="A654" s="7">
        <v>0.26533130432696184</v>
      </c>
      <c r="B654"/>
      <c r="C654"/>
      <c r="D654"/>
      <c r="E654"/>
    </row>
    <row r="655" spans="1:5" x14ac:dyDescent="0.25">
      <c r="A655" s="7">
        <v>0.26012872973231554</v>
      </c>
      <c r="B655"/>
      <c r="C655"/>
      <c r="D655"/>
      <c r="E655"/>
    </row>
    <row r="656" spans="1:5" x14ac:dyDescent="0.25">
      <c r="A656" s="7">
        <v>0.25502816640423093</v>
      </c>
      <c r="B656"/>
      <c r="C656"/>
      <c r="D656"/>
      <c r="E656"/>
    </row>
    <row r="657" spans="1:5" x14ac:dyDescent="0.25">
      <c r="A657" s="7">
        <v>0.25002761412179503</v>
      </c>
      <c r="B657"/>
      <c r="C657"/>
      <c r="D657"/>
      <c r="E657"/>
    </row>
    <row r="658" spans="1:5" x14ac:dyDescent="0.25">
      <c r="A658" s="7">
        <v>0.24512511188411276</v>
      </c>
      <c r="B658"/>
      <c r="C658"/>
      <c r="D658"/>
      <c r="E658"/>
    </row>
    <row r="659" spans="1:5" x14ac:dyDescent="0.25">
      <c r="A659" s="7">
        <v>0.24031873714128701</v>
      </c>
      <c r="B659"/>
      <c r="C659"/>
      <c r="D659"/>
      <c r="E659"/>
    </row>
    <row r="660" spans="1:5" x14ac:dyDescent="0.25">
      <c r="A660" s="7">
        <v>0.23560660504047748</v>
      </c>
      <c r="B660"/>
      <c r="C660"/>
      <c r="D660"/>
      <c r="E660"/>
    </row>
    <row r="661" spans="1:5" x14ac:dyDescent="0.25">
      <c r="A661" s="7">
        <v>0.23098686768674265</v>
      </c>
      <c r="B661"/>
      <c r="C661"/>
      <c r="D661"/>
      <c r="E661"/>
    </row>
    <row r="662" spans="1:5" x14ac:dyDescent="0.25">
      <c r="A662" s="7">
        <v>0.22645771341837515</v>
      </c>
      <c r="B662"/>
      <c r="C662"/>
      <c r="D662"/>
      <c r="E662"/>
    </row>
    <row r="663" spans="1:5" x14ac:dyDescent="0.25">
      <c r="A663" s="7">
        <v>0.22201736609644623</v>
      </c>
      <c r="B663"/>
      <c r="C663"/>
      <c r="D663"/>
      <c r="E663"/>
    </row>
    <row r="664" spans="1:5" x14ac:dyDescent="0.25">
      <c r="A664" s="7">
        <v>0.21766408440828061</v>
      </c>
      <c r="B664"/>
      <c r="C664"/>
      <c r="D664"/>
      <c r="E664"/>
    </row>
    <row r="665" spans="1:5" x14ac:dyDescent="0.25">
      <c r="A665" s="7">
        <v>0.21339616118458882</v>
      </c>
      <c r="B665"/>
      <c r="C665"/>
      <c r="D665"/>
      <c r="E665"/>
    </row>
    <row r="666" spans="1:5" x14ac:dyDescent="0.25">
      <c r="A666" s="7">
        <v>0.20921192272998904</v>
      </c>
      <c r="B666"/>
      <c r="C666"/>
      <c r="D666"/>
      <c r="E666"/>
    </row>
    <row r="667" spans="1:5" x14ac:dyDescent="0.25">
      <c r="A667" s="7">
        <v>0.20510972816665593</v>
      </c>
      <c r="B667"/>
      <c r="C667"/>
      <c r="D667"/>
      <c r="E667"/>
    </row>
    <row r="668" spans="1:5" x14ac:dyDescent="0.25">
      <c r="A668" s="7">
        <v>0.20108796879083912</v>
      </c>
      <c r="B668"/>
      <c r="C668"/>
      <c r="D668"/>
      <c r="E668"/>
    </row>
    <row r="669" spans="1:5" x14ac:dyDescent="0.25">
      <c r="A669" s="7">
        <v>0.19714506744199917</v>
      </c>
      <c r="B669"/>
      <c r="C669"/>
      <c r="D669"/>
      <c r="E669"/>
    </row>
    <row r="670" spans="1:5" x14ac:dyDescent="0.25">
      <c r="A670" s="7">
        <v>0.19327947788431293</v>
      </c>
      <c r="B670"/>
      <c r="C670"/>
      <c r="D670"/>
      <c r="E670"/>
    </row>
    <row r="671" spans="1:5" x14ac:dyDescent="0.25">
      <c r="A671" s="7">
        <v>0.18948968420030682</v>
      </c>
      <c r="B671"/>
      <c r="C671"/>
      <c r="D671"/>
      <c r="E671"/>
    </row>
    <row r="672" spans="1:5" x14ac:dyDescent="0.25">
      <c r="A672" s="7">
        <v>0.18577420019637925</v>
      </c>
      <c r="B672"/>
      <c r="C672"/>
      <c r="D672"/>
      <c r="E672"/>
    </row>
    <row r="673" spans="1:5" x14ac:dyDescent="0.25">
      <c r="A673" s="7">
        <v>0.18213156881997963</v>
      </c>
      <c r="B673"/>
      <c r="C673"/>
      <c r="D673"/>
      <c r="E673"/>
    </row>
    <row r="674" spans="1:5" x14ac:dyDescent="0.25">
      <c r="A674" s="7">
        <v>0.17856036158821534</v>
      </c>
      <c r="B674"/>
      <c r="C674"/>
      <c r="D674"/>
      <c r="E674"/>
    </row>
    <row r="675" spans="1:5" x14ac:dyDescent="0.25">
      <c r="A675" s="7">
        <v>0.17505917802766208</v>
      </c>
      <c r="B675"/>
      <c r="C675"/>
      <c r="D675"/>
      <c r="E675"/>
    </row>
    <row r="676" spans="1:5" x14ac:dyDescent="0.25">
      <c r="A676" s="7">
        <v>0.17162664512515888</v>
      </c>
      <c r="B676"/>
      <c r="C676"/>
      <c r="D676"/>
      <c r="E676"/>
    </row>
    <row r="677" spans="1:5" x14ac:dyDescent="0.25">
      <c r="A677" s="7">
        <v>0.16826141678937145</v>
      </c>
      <c r="B677"/>
      <c r="C677"/>
      <c r="D677"/>
      <c r="E677"/>
    </row>
    <row r="678" spans="1:5" x14ac:dyDescent="0.25">
      <c r="A678" s="7">
        <v>0.16496217332291319</v>
      </c>
      <c r="B678"/>
      <c r="C678"/>
      <c r="D678"/>
      <c r="E678"/>
    </row>
    <row r="679" spans="1:5" x14ac:dyDescent="0.25">
      <c r="A679" s="7">
        <v>0.16172762090481685</v>
      </c>
      <c r="B679"/>
      <c r="C679"/>
      <c r="D679"/>
      <c r="E679"/>
    </row>
    <row r="680" spans="1:5" x14ac:dyDescent="0.25">
      <c r="A680" s="7">
        <v>0.15855649108315376</v>
      </c>
      <c r="B680"/>
      <c r="C680"/>
      <c r="D680"/>
      <c r="E680"/>
    </row>
    <row r="681" spans="1:5" x14ac:dyDescent="0.25">
      <c r="A681" s="7">
        <v>0.15544754027760171</v>
      </c>
      <c r="B681"/>
      <c r="C681"/>
      <c r="D681"/>
      <c r="E681"/>
    </row>
    <row r="682" spans="1:5" x14ac:dyDescent="0.25">
      <c r="A682" s="7">
        <v>0.15239954929176638</v>
      </c>
      <c r="B682"/>
      <c r="C682"/>
      <c r="D682"/>
      <c r="E682"/>
    </row>
    <row r="683" spans="1:5" x14ac:dyDescent="0.25">
      <c r="A683" s="7">
        <v>0.14941132283506509</v>
      </c>
      <c r="B683"/>
      <c r="C683"/>
      <c r="D683"/>
      <c r="E683"/>
    </row>
    <row r="684" spans="1:5" x14ac:dyDescent="0.25">
      <c r="A684" s="7">
        <v>0.14648168905398537</v>
      </c>
      <c r="B684"/>
      <c r="C684"/>
      <c r="D684"/>
      <c r="E684"/>
    </row>
    <row r="685" spans="1:5" x14ac:dyDescent="0.25">
      <c r="A685" s="7">
        <v>0.14360949907253467</v>
      </c>
      <c r="B685"/>
      <c r="C685"/>
      <c r="D685"/>
      <c r="E685"/>
    </row>
    <row r="686" spans="1:5" x14ac:dyDescent="0.25">
      <c r="A686" s="7">
        <v>0.14079362654170066</v>
      </c>
      <c r="B686"/>
      <c r="C686"/>
      <c r="D686"/>
      <c r="E686"/>
    </row>
    <row r="687" spans="1:5" x14ac:dyDescent="0.25">
      <c r="A687" s="7">
        <v>0.13803296719774574</v>
      </c>
      <c r="B687"/>
      <c r="C687"/>
      <c r="D687"/>
      <c r="E687"/>
    </row>
    <row r="688" spans="1:5" x14ac:dyDescent="0.25">
      <c r="A688" s="7">
        <v>0.1353264384291625</v>
      </c>
      <c r="B688"/>
      <c r="C688"/>
      <c r="D688"/>
      <c r="E688"/>
    </row>
    <row r="689" spans="1:5" x14ac:dyDescent="0.25">
      <c r="A689" s="7">
        <v>0.13267297885212009</v>
      </c>
      <c r="B689"/>
      <c r="C689"/>
      <c r="D689"/>
      <c r="E689"/>
    </row>
    <row r="690" spans="1:5" x14ac:dyDescent="0.25">
      <c r="A690" s="7">
        <v>0.13007154789423539</v>
      </c>
      <c r="B690"/>
      <c r="C690"/>
      <c r="D690"/>
      <c r="E690"/>
    </row>
    <row r="691" spans="1:5" x14ac:dyDescent="0.25">
      <c r="A691" s="7">
        <v>0.12752112538650529</v>
      </c>
      <c r="B691"/>
      <c r="C691"/>
      <c r="D691"/>
      <c r="E691"/>
    </row>
    <row r="692" spans="1:5" x14ac:dyDescent="0.25">
      <c r="A692" s="7">
        <v>0.12502071116324048</v>
      </c>
      <c r="B692"/>
      <c r="C692"/>
      <c r="D692"/>
      <c r="E692"/>
    </row>
    <row r="693" spans="1:5" x14ac:dyDescent="0.25">
      <c r="A693" s="7">
        <v>0.1225693246698436</v>
      </c>
      <c r="B693"/>
      <c r="C693"/>
      <c r="D693"/>
      <c r="E693"/>
    </row>
    <row r="694" spans="1:5" x14ac:dyDescent="0.25">
      <c r="A694" s="7">
        <v>0.12016600457827803</v>
      </c>
      <c r="B694"/>
      <c r="C694"/>
      <c r="D694"/>
      <c r="E694"/>
    </row>
    <row r="695" spans="1:5" x14ac:dyDescent="0.25">
      <c r="A695" s="7">
        <v>0.1178098084100765</v>
      </c>
      <c r="B695"/>
      <c r="C695"/>
      <c r="D695"/>
      <c r="E695"/>
    </row>
    <row r="696" spans="1:5" x14ac:dyDescent="0.25">
      <c r="A696" s="7">
        <v>0.11549981216674166</v>
      </c>
      <c r="B696"/>
      <c r="C696"/>
      <c r="D696"/>
      <c r="E696"/>
    </row>
    <row r="697" spans="1:5" x14ac:dyDescent="0.25">
      <c r="A697" s="7">
        <v>0.11323510996739378</v>
      </c>
      <c r="B697"/>
      <c r="C697"/>
      <c r="D697"/>
      <c r="E697"/>
    </row>
    <row r="698" spans="1:5" x14ac:dyDescent="0.25">
      <c r="A698" s="7">
        <v>0.11101481369352331</v>
      </c>
      <c r="B698"/>
      <c r="C698"/>
      <c r="D698"/>
      <c r="E698"/>
    </row>
    <row r="699" spans="1:5" x14ac:dyDescent="0.25">
      <c r="A699" s="7">
        <v>0.10883805264070913</v>
      </c>
      <c r="B699"/>
      <c r="C699"/>
      <c r="D699"/>
      <c r="E699"/>
    </row>
    <row r="700" spans="1:5" x14ac:dyDescent="0.25">
      <c r="A700" s="7">
        <v>0.10670397317716582</v>
      </c>
      <c r="B700"/>
      <c r="C700"/>
      <c r="D700"/>
      <c r="E700"/>
    </row>
    <row r="701" spans="1:5" x14ac:dyDescent="0.25">
      <c r="A701" s="7">
        <v>0.1046117384089861</v>
      </c>
      <c r="B701"/>
      <c r="C701"/>
      <c r="D701"/>
      <c r="E701"/>
    </row>
    <row r="702" spans="1:5" x14ac:dyDescent="0.25">
      <c r="A702" s="7">
        <v>0.10256052785194716</v>
      </c>
      <c r="B702"/>
      <c r="C702"/>
      <c r="D702"/>
      <c r="E702"/>
    </row>
    <row r="703" spans="1:5" x14ac:dyDescent="0.25">
      <c r="A703" s="7">
        <v>0.10054953710975212</v>
      </c>
      <c r="B703"/>
      <c r="C703"/>
      <c r="D703"/>
      <c r="E703"/>
    </row>
    <row r="704" spans="1:5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840" operator="equal">
      <formula>$U$1</formula>
    </cfRule>
    <cfRule type="cellIs" dxfId="89" priority="841" operator="equal">
      <formula>$S$1</formula>
    </cfRule>
  </conditionalFormatting>
  <conditionalFormatting sqref="D27">
    <cfRule type="cellIs" dxfId="88" priority="838" operator="equal">
      <formula>$S$1</formula>
    </cfRule>
    <cfRule type="cellIs" dxfId="87" priority="839" operator="equal">
      <formula>$U$1</formula>
    </cfRule>
  </conditionalFormatting>
  <conditionalFormatting sqref="C164">
    <cfRule type="cellIs" dxfId="86" priority="836" operator="equal">
      <formula>$U$1</formula>
    </cfRule>
    <cfRule type="cellIs" dxfId="85" priority="837" operator="equal">
      <formula>$S$1</formula>
    </cfRule>
  </conditionalFormatting>
  <conditionalFormatting sqref="D164">
    <cfRule type="cellIs" dxfId="84" priority="834" operator="equal">
      <formula>$S$1</formula>
    </cfRule>
    <cfRule type="cellIs" dxfId="83" priority="835" operator="equal">
      <formula>$U$1</formula>
    </cfRule>
  </conditionalFormatting>
  <conditionalFormatting sqref="C55">
    <cfRule type="cellIs" dxfId="82" priority="832" operator="equal">
      <formula>$U$1</formula>
    </cfRule>
    <cfRule type="cellIs" dxfId="81" priority="833" operator="equal">
      <formula>$S$1</formula>
    </cfRule>
  </conditionalFormatting>
  <conditionalFormatting sqref="D55">
    <cfRule type="cellIs" dxfId="80" priority="830" operator="equal">
      <formula>$S$1</formula>
    </cfRule>
    <cfRule type="cellIs" dxfId="79" priority="831" operator="equal">
      <formula>$U$1</formula>
    </cfRule>
  </conditionalFormatting>
  <conditionalFormatting sqref="C89">
    <cfRule type="cellIs" dxfId="78" priority="828" operator="equal">
      <formula>$U$1</formula>
    </cfRule>
    <cfRule type="cellIs" dxfId="77" priority="829" operator="equal">
      <formula>$S$1</formula>
    </cfRule>
  </conditionalFormatting>
  <conditionalFormatting sqref="D89">
    <cfRule type="cellIs" dxfId="76" priority="826" operator="equal">
      <formula>$S$1</formula>
    </cfRule>
    <cfRule type="cellIs" dxfId="75" priority="827" operator="equal">
      <formula>$U$1</formula>
    </cfRule>
  </conditionalFormatting>
  <conditionalFormatting sqref="C136">
    <cfRule type="cellIs" dxfId="74" priority="824" operator="equal">
      <formula>$U$1</formula>
    </cfRule>
    <cfRule type="cellIs" dxfId="73" priority="825" operator="equal">
      <formula>$S$1</formula>
    </cfRule>
  </conditionalFormatting>
  <conditionalFormatting sqref="D136">
    <cfRule type="cellIs" dxfId="72" priority="822" operator="equal">
      <formula>$S$1</formula>
    </cfRule>
    <cfRule type="cellIs" dxfId="71" priority="823" operator="equal">
      <formula>$U$1</formula>
    </cfRule>
  </conditionalFormatting>
  <conditionalFormatting sqref="C1">
    <cfRule type="cellIs" dxfId="70" priority="821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174" zoomScale="90" zoomScaleNormal="90" workbookViewId="0">
      <pane xSplit="4" topLeftCell="BR1" activePane="topRight" state="frozen"/>
      <selection activeCell="A109" sqref="A109"/>
      <selection pane="topRight" activeCell="EJ207" sqref="EJ207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$A$206</v>
      </c>
      <c r="D111" s="1" t="str">
        <f>ADDRESS(C121-1,D121,1,1)</f>
        <v>$EJ$206</v>
      </c>
      <c r="E111"/>
    </row>
    <row r="112" spans="1:5" x14ac:dyDescent="0.25">
      <c r="A112" s="30">
        <v>515.50191262726139</v>
      </c>
      <c r="C112" s="1" t="str">
        <f>ADDRESS(C121,1,1,1)</f>
        <v>$A$207</v>
      </c>
      <c r="D112" s="1" t="str">
        <f>ADDRESS(C121,D121-1,1,1)</f>
        <v>$EI$207</v>
      </c>
      <c r="E112"/>
    </row>
    <row r="113" spans="1:5" x14ac:dyDescent="0.25">
      <c r="A113" s="30">
        <v>490.95420250215363</v>
      </c>
      <c r="C113" s="1" t="str">
        <f>ADDRESS(C121+1,1,1,1)</f>
        <v>$A$208</v>
      </c>
      <c r="D113" s="1" t="str">
        <f>ADDRESS(C121-1,D121+1,1,1)</f>
        <v>$EK$206</v>
      </c>
    </row>
    <row r="114" spans="1:5" x14ac:dyDescent="0.25">
      <c r="A114" s="30">
        <v>467.57543095443202</v>
      </c>
      <c r="C114" s="1" t="str">
        <f>ADDRESS(C121,D121,1,1)</f>
        <v>$EJ$207</v>
      </c>
      <c r="D114" s="1" t="str">
        <f>ADDRESS(C121+1,D121+1,1,1)</f>
        <v>$EK$208</v>
      </c>
    </row>
    <row r="115" spans="1:5" x14ac:dyDescent="0.25">
      <c r="A115" s="30">
        <v>445.30993424231622</v>
      </c>
      <c r="C115" s="1" t="str">
        <f>ADDRESS(C121+1,D121,1,1)</f>
        <v>$EJ$208</v>
      </c>
    </row>
    <row r="116" spans="1:5" x14ac:dyDescent="0.25">
      <c r="A116" s="30">
        <v>424.10469927839637</v>
      </c>
      <c r="C116" s="1">
        <f>C117-1</f>
        <v>206</v>
      </c>
    </row>
    <row r="117" spans="1:5" x14ac:dyDescent="0.25">
      <c r="A117" s="30">
        <v>403.9092374079965</v>
      </c>
      <c r="C117" s="1">
        <f>C121</f>
        <v>207</v>
      </c>
      <c r="D117" s="1">
        <f>D121</f>
        <v>140</v>
      </c>
    </row>
    <row r="118" spans="1:5" x14ac:dyDescent="0.25">
      <c r="A118" s="30">
        <v>384.6754641980919</v>
      </c>
      <c r="C118" s="1">
        <f>C117+1</f>
        <v>208</v>
      </c>
      <c r="D118" s="1">
        <f>D117+1</f>
        <v>141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207</v>
      </c>
      <c r="D121" s="19">
        <v>140</v>
      </c>
      <c r="E121" s="19"/>
    </row>
    <row r="122" spans="1:5" x14ac:dyDescent="0.25">
      <c r="A122" s="30">
        <v>316.47345638748612</v>
      </c>
      <c r="C122" s="1" t="str">
        <f>INDEX(1:1048576,C117,D117)</f>
        <v>O</v>
      </c>
    </row>
    <row r="123" spans="1:5" x14ac:dyDescent="0.25">
      <c r="A123" s="30">
        <v>301.40329179760585</v>
      </c>
      <c r="C123" s="1" t="str">
        <f>"R"&amp;C121</f>
        <v>R207</v>
      </c>
      <c r="D123" s="1" t="str">
        <f>"C"&amp;D121</f>
        <v>C140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5.0031885420337927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O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>O</v>
      </c>
      <c r="D136" s="1" t="str">
        <f>IF(C133=$U$1,IF(C130&gt;(C127*1.05),$U$1,IF(D130&lt;(C127*0.863837598531476),$S$1,"")),"")</f>
        <v/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77" x14ac:dyDescent="0.25">
      <c r="A161" s="30">
        <v>47.201372444612005</v>
      </c>
      <c r="E161"/>
    </row>
    <row r="162" spans="1:77" x14ac:dyDescent="0.25">
      <c r="A162" s="30">
        <v>44.95368804248762</v>
      </c>
      <c r="E162"/>
    </row>
    <row r="163" spans="1:77" x14ac:dyDescent="0.25">
      <c r="A163" s="30">
        <v>42.81303623094059</v>
      </c>
      <c r="E163"/>
      <c r="BC163" s="27" t="s">
        <v>8</v>
      </c>
    </row>
    <row r="164" spans="1:77" x14ac:dyDescent="0.25">
      <c r="A164" s="30">
        <v>40.774320219943419</v>
      </c>
      <c r="E164"/>
      <c r="BC164" s="27" t="s">
        <v>8</v>
      </c>
      <c r="BD164" s="27" t="s">
        <v>7</v>
      </c>
    </row>
    <row r="165" spans="1:77" x14ac:dyDescent="0.25">
      <c r="A165" s="30">
        <v>38.832685923755633</v>
      </c>
      <c r="E165"/>
      <c r="AY165" s="27" t="s">
        <v>8</v>
      </c>
      <c r="BA165" s="27" t="s">
        <v>8</v>
      </c>
      <c r="BC165" s="27" t="s">
        <v>8</v>
      </c>
      <c r="BD165" s="27" t="s">
        <v>7</v>
      </c>
      <c r="BE165" s="27" t="s">
        <v>8</v>
      </c>
    </row>
    <row r="166" spans="1:77" x14ac:dyDescent="0.25">
      <c r="A166" s="30">
        <v>36.983510403576794</v>
      </c>
      <c r="E166"/>
      <c r="AY166" s="27" t="s">
        <v>8</v>
      </c>
      <c r="AZ166" s="27" t="s">
        <v>7</v>
      </c>
      <c r="BA166" s="27" t="s">
        <v>8</v>
      </c>
      <c r="BB166" s="27" t="s">
        <v>7</v>
      </c>
      <c r="BC166" s="27" t="s">
        <v>8</v>
      </c>
      <c r="BD166" s="27" t="s">
        <v>7</v>
      </c>
      <c r="BE166" s="27" t="s">
        <v>8</v>
      </c>
      <c r="BF166" s="27" t="s">
        <v>7</v>
      </c>
      <c r="BG166" s="27" t="s">
        <v>8</v>
      </c>
    </row>
    <row r="167" spans="1:77" x14ac:dyDescent="0.25">
      <c r="A167" s="30">
        <v>35.222390860549325</v>
      </c>
      <c r="E167"/>
      <c r="AY167" s="27" t="s">
        <v>8</v>
      </c>
      <c r="AZ167" s="27" t="s">
        <v>7</v>
      </c>
      <c r="BA167" s="27" t="s">
        <v>8</v>
      </c>
      <c r="BB167" s="27" t="s">
        <v>7</v>
      </c>
      <c r="BC167" s="27" t="s">
        <v>8</v>
      </c>
      <c r="BD167" s="27" t="s">
        <v>7</v>
      </c>
      <c r="BE167" s="27" t="s">
        <v>8</v>
      </c>
      <c r="BF167" s="27" t="s">
        <v>7</v>
      </c>
      <c r="BG167" s="27" t="s">
        <v>8</v>
      </c>
      <c r="BH167" s="27" t="s">
        <v>7</v>
      </c>
      <c r="BM167" s="27" t="s">
        <v>8</v>
      </c>
    </row>
    <row r="168" spans="1:77" x14ac:dyDescent="0.25">
      <c r="A168" s="30">
        <v>33.545134152904119</v>
      </c>
      <c r="E168"/>
      <c r="AQ168" s="27" t="s">
        <v>8</v>
      </c>
      <c r="AY168" s="27" t="s">
        <v>8</v>
      </c>
      <c r="AZ168" s="27" t="s">
        <v>7</v>
      </c>
      <c r="BA168" s="27" t="s">
        <v>8</v>
      </c>
      <c r="BB168" s="27" t="s">
        <v>7</v>
      </c>
      <c r="BC168" s="27" t="s">
        <v>8</v>
      </c>
      <c r="BD168" s="27" t="s">
        <v>7</v>
      </c>
      <c r="BE168" s="27" t="s">
        <v>8</v>
      </c>
      <c r="BF168" s="27" t="s">
        <v>7</v>
      </c>
      <c r="BG168" s="27" t="s">
        <v>8</v>
      </c>
      <c r="BH168" s="27" t="s">
        <v>7</v>
      </c>
      <c r="BM168" s="27" t="s">
        <v>8</v>
      </c>
      <c r="BN168" s="27" t="s">
        <v>7</v>
      </c>
    </row>
    <row r="169" spans="1:77" x14ac:dyDescent="0.25">
      <c r="A169" s="30">
        <v>31.947746812289637</v>
      </c>
      <c r="E169"/>
      <c r="AQ169" s="27" t="s">
        <v>8</v>
      </c>
      <c r="AR169" s="27" t="s">
        <v>7</v>
      </c>
      <c r="AU169" s="27" t="s">
        <v>8</v>
      </c>
      <c r="AY169" s="27" t="s">
        <v>8</v>
      </c>
      <c r="AZ169" s="27" t="s">
        <v>7</v>
      </c>
      <c r="BA169" s="27" t="s">
        <v>8</v>
      </c>
      <c r="BB169" s="27" t="s">
        <v>7</v>
      </c>
      <c r="BC169" s="27" t="s">
        <v>8</v>
      </c>
      <c r="BD169" s="27" t="s">
        <v>7</v>
      </c>
      <c r="BE169" s="27" t="s">
        <v>8</v>
      </c>
      <c r="BF169" s="27" t="s">
        <v>7</v>
      </c>
      <c r="BH169" s="27" t="s">
        <v>7</v>
      </c>
      <c r="BI169" s="27" t="s">
        <v>8</v>
      </c>
      <c r="BM169" s="27" t="s">
        <v>8</v>
      </c>
      <c r="BN169" s="27" t="s">
        <v>7</v>
      </c>
    </row>
    <row r="170" spans="1:77" x14ac:dyDescent="0.25">
      <c r="A170" s="30">
        <v>30.426425535513939</v>
      </c>
      <c r="E170"/>
      <c r="AQ170" s="27" t="s">
        <v>8</v>
      </c>
      <c r="AR170" s="27" t="s">
        <v>7</v>
      </c>
      <c r="AS170" s="27" t="s">
        <v>8</v>
      </c>
      <c r="AU170" s="27" t="s">
        <v>8</v>
      </c>
      <c r="AV170" s="27" t="s">
        <v>7</v>
      </c>
      <c r="AY170" s="27" t="s">
        <v>8</v>
      </c>
      <c r="AZ170" s="27" t="s">
        <v>7</v>
      </c>
      <c r="BA170" s="27" t="s">
        <v>8</v>
      </c>
      <c r="BB170" s="27" t="s">
        <v>7</v>
      </c>
      <c r="BD170" s="27" t="s">
        <v>7</v>
      </c>
      <c r="BE170" s="27" t="s">
        <v>8</v>
      </c>
      <c r="BH170" s="27" t="s">
        <v>7</v>
      </c>
      <c r="BI170" s="27" t="s">
        <v>8</v>
      </c>
      <c r="BJ170" s="27" t="s">
        <v>7</v>
      </c>
      <c r="BK170" s="27" t="s">
        <v>8</v>
      </c>
      <c r="BM170" s="27" t="s">
        <v>8</v>
      </c>
      <c r="BN170" s="27" t="s">
        <v>7</v>
      </c>
      <c r="BS170" s="31" t="s">
        <v>8</v>
      </c>
    </row>
    <row r="171" spans="1:77" x14ac:dyDescent="0.25">
      <c r="A171" s="30">
        <v>28.977548129060892</v>
      </c>
      <c r="E171"/>
      <c r="AQ171" s="27" t="s">
        <v>8</v>
      </c>
      <c r="AR171" s="27" t="s">
        <v>7</v>
      </c>
      <c r="AS171" s="27" t="s">
        <v>8</v>
      </c>
      <c r="AT171" s="27" t="s">
        <v>7</v>
      </c>
      <c r="AU171" s="27" t="s">
        <v>8</v>
      </c>
      <c r="AV171" s="27" t="s">
        <v>7</v>
      </c>
      <c r="AY171" s="27" t="s">
        <v>8</v>
      </c>
      <c r="AZ171" s="27" t="s">
        <v>7</v>
      </c>
      <c r="BA171" s="27" t="s">
        <v>8</v>
      </c>
      <c r="BD171" s="27" t="s">
        <v>7</v>
      </c>
      <c r="BH171" s="27" t="s">
        <v>7</v>
      </c>
      <c r="BI171" s="27" t="s">
        <v>8</v>
      </c>
      <c r="BJ171" s="27" t="s">
        <v>7</v>
      </c>
      <c r="BK171" s="27" t="s">
        <v>8</v>
      </c>
      <c r="BL171" s="27" t="s">
        <v>7</v>
      </c>
      <c r="BM171" s="27" t="s">
        <v>8</v>
      </c>
      <c r="BN171" s="27" t="s">
        <v>7</v>
      </c>
      <c r="BS171" s="27" t="s">
        <v>8</v>
      </c>
      <c r="BT171" s="31" t="s">
        <v>7</v>
      </c>
    </row>
    <row r="172" spans="1:77" x14ac:dyDescent="0.25">
      <c r="A172" s="30">
        <v>27.597664884819896</v>
      </c>
      <c r="E172"/>
      <c r="AQ172" s="27" t="s">
        <v>8</v>
      </c>
      <c r="AR172" s="27" t="s">
        <v>7</v>
      </c>
      <c r="AS172" s="27" t="s">
        <v>8</v>
      </c>
      <c r="AT172" s="27" t="s">
        <v>7</v>
      </c>
      <c r="AU172" s="27" t="s">
        <v>8</v>
      </c>
      <c r="AV172" s="27" t="s">
        <v>7</v>
      </c>
      <c r="AY172" s="27" t="s">
        <v>8</v>
      </c>
      <c r="AZ172" s="27" t="s">
        <v>7</v>
      </c>
      <c r="BA172" s="27" t="s">
        <v>8</v>
      </c>
      <c r="BH172" s="27" t="s">
        <v>7</v>
      </c>
      <c r="BI172" s="27" t="s">
        <v>8</v>
      </c>
      <c r="BJ172" s="27" t="s">
        <v>7</v>
      </c>
      <c r="BK172" s="27" t="s">
        <v>8</v>
      </c>
      <c r="BL172" s="27" t="s">
        <v>7</v>
      </c>
      <c r="BM172" s="27" t="s">
        <v>8</v>
      </c>
      <c r="BN172" s="27" t="s">
        <v>7</v>
      </c>
      <c r="BQ172" s="27" t="s">
        <v>8</v>
      </c>
      <c r="BS172" s="27" t="s">
        <v>8</v>
      </c>
      <c r="BT172" s="27" t="s">
        <v>7</v>
      </c>
      <c r="BU172" s="31"/>
    </row>
    <row r="173" spans="1:77" x14ac:dyDescent="0.25">
      <c r="A173" s="30">
        <v>26.283490366495137</v>
      </c>
      <c r="E173"/>
      <c r="AQ173" s="27" t="s">
        <v>8</v>
      </c>
      <c r="AR173" s="27" t="s">
        <v>7</v>
      </c>
      <c r="AS173" s="27" t="s">
        <v>8</v>
      </c>
      <c r="AT173" s="27" t="s">
        <v>7</v>
      </c>
      <c r="AU173" s="27" t="s">
        <v>8</v>
      </c>
      <c r="AV173" s="27" t="s">
        <v>7</v>
      </c>
      <c r="AW173" s="27" t="s">
        <v>8</v>
      </c>
      <c r="AY173" s="27" t="s">
        <v>8</v>
      </c>
      <c r="AZ173" s="27" t="s">
        <v>7</v>
      </c>
      <c r="BH173" s="27" t="s">
        <v>7</v>
      </c>
      <c r="BI173" s="27" t="s">
        <v>8</v>
      </c>
      <c r="BJ173" s="27" t="s">
        <v>7</v>
      </c>
      <c r="BK173" s="27" t="s">
        <v>8</v>
      </c>
      <c r="BL173" s="27" t="s">
        <v>7</v>
      </c>
      <c r="BM173" s="27" t="s">
        <v>8</v>
      </c>
      <c r="BN173" s="27" t="s">
        <v>7</v>
      </c>
      <c r="BO173" s="27" t="s">
        <v>8</v>
      </c>
      <c r="BQ173" s="27" t="s">
        <v>8</v>
      </c>
      <c r="BR173" s="27" t="s">
        <v>7</v>
      </c>
      <c r="BS173" s="27" t="s">
        <v>8</v>
      </c>
      <c r="BT173" s="27" t="s">
        <v>7</v>
      </c>
      <c r="BV173" s="31"/>
    </row>
    <row r="174" spans="1:77" x14ac:dyDescent="0.25">
      <c r="A174" s="30">
        <v>25.031895587138223</v>
      </c>
      <c r="E174"/>
      <c r="AQ174" s="27" t="s">
        <v>8</v>
      </c>
      <c r="AR174" s="27" t="s">
        <v>7</v>
      </c>
      <c r="AT174" s="27" t="s">
        <v>7</v>
      </c>
      <c r="AU174" s="27" t="s">
        <v>8</v>
      </c>
      <c r="AV174" s="27" t="s">
        <v>7</v>
      </c>
      <c r="AW174" s="27" t="s">
        <v>8</v>
      </c>
      <c r="AX174" s="27" t="s">
        <v>7</v>
      </c>
      <c r="AY174" s="27" t="s">
        <v>8</v>
      </c>
      <c r="BH174" s="27" t="s">
        <v>7</v>
      </c>
      <c r="BI174" s="27" t="s">
        <v>8</v>
      </c>
      <c r="BJ174" s="27" t="s">
        <v>7</v>
      </c>
      <c r="BK174" s="27" t="s">
        <v>8</v>
      </c>
      <c r="BL174" s="27" t="s">
        <v>7</v>
      </c>
      <c r="BM174" s="27" t="s">
        <v>8</v>
      </c>
      <c r="BN174" s="27" t="s">
        <v>7</v>
      </c>
      <c r="BO174" s="27" t="s">
        <v>8</v>
      </c>
      <c r="BP174" s="27" t="s">
        <v>7</v>
      </c>
      <c r="BQ174" s="27" t="s">
        <v>8</v>
      </c>
      <c r="BR174" s="27" t="s">
        <v>7</v>
      </c>
      <c r="BS174" s="27" t="s">
        <v>8</v>
      </c>
      <c r="BT174" s="27" t="s">
        <v>7</v>
      </c>
      <c r="BU174" s="27" t="s">
        <v>8</v>
      </c>
      <c r="BW174" s="31"/>
    </row>
    <row r="175" spans="1:77" x14ac:dyDescent="0.25">
      <c r="A175" s="30">
        <v>23.839900559179259</v>
      </c>
      <c r="E175"/>
      <c r="AQ175" s="27" t="s">
        <v>8</v>
      </c>
      <c r="AT175" s="27" t="s">
        <v>7</v>
      </c>
      <c r="AU175" s="27" t="s">
        <v>8</v>
      </c>
      <c r="AV175" s="27" t="s">
        <v>7</v>
      </c>
      <c r="AW175" s="27" t="s">
        <v>8</v>
      </c>
      <c r="AX175" s="27" t="s">
        <v>7</v>
      </c>
      <c r="AY175" s="27" t="s">
        <v>8</v>
      </c>
      <c r="BH175" s="27" t="s">
        <v>7</v>
      </c>
      <c r="BI175" s="27" t="s">
        <v>8</v>
      </c>
      <c r="BJ175" s="27" t="s">
        <v>7</v>
      </c>
      <c r="BL175" s="27" t="s">
        <v>7</v>
      </c>
      <c r="BN175" s="27" t="s">
        <v>7</v>
      </c>
      <c r="BO175" s="27" t="s">
        <v>8</v>
      </c>
      <c r="BP175" s="27" t="s">
        <v>7</v>
      </c>
      <c r="BQ175" s="27" t="s">
        <v>8</v>
      </c>
      <c r="BR175" s="27" t="s">
        <v>7</v>
      </c>
      <c r="BT175" s="27" t="s">
        <v>7</v>
      </c>
      <c r="BU175" s="27" t="s">
        <v>8</v>
      </c>
      <c r="BV175" s="27" t="s">
        <v>7</v>
      </c>
      <c r="BX175" s="31"/>
    </row>
    <row r="176" spans="1:77" x14ac:dyDescent="0.25">
      <c r="A176" s="30">
        <v>22.704667199218342</v>
      </c>
      <c r="E176"/>
      <c r="AQ176" s="27" t="s">
        <v>8</v>
      </c>
      <c r="AT176" s="27" t="s">
        <v>7</v>
      </c>
      <c r="AU176" s="27" t="s">
        <v>8</v>
      </c>
      <c r="AV176" s="27" t="s">
        <v>7</v>
      </c>
      <c r="AW176" s="27" t="s">
        <v>8</v>
      </c>
      <c r="AX176" s="27" t="s">
        <v>7</v>
      </c>
      <c r="AY176" s="27" t="s">
        <v>8</v>
      </c>
      <c r="BH176" s="27" t="s">
        <v>7</v>
      </c>
      <c r="BI176" s="27" t="s">
        <v>8</v>
      </c>
      <c r="BN176" s="27" t="s">
        <v>7</v>
      </c>
      <c r="BO176" s="27" t="s">
        <v>8</v>
      </c>
      <c r="BP176" s="27" t="s">
        <v>7</v>
      </c>
      <c r="BQ176" s="27" t="s">
        <v>8</v>
      </c>
      <c r="BT176" s="32" t="s">
        <v>7</v>
      </c>
      <c r="BU176" s="27" t="s">
        <v>8</v>
      </c>
      <c r="BV176" s="27" t="s">
        <v>7</v>
      </c>
      <c r="BW176" s="27" t="s">
        <v>8</v>
      </c>
      <c r="BY176" s="31"/>
    </row>
    <row r="177" spans="1:131" x14ac:dyDescent="0.25">
      <c r="A177" s="30">
        <v>21.623492570684135</v>
      </c>
      <c r="E177"/>
      <c r="AO177" s="27" t="s">
        <v>8</v>
      </c>
      <c r="AQ177" s="27" t="s">
        <v>8</v>
      </c>
      <c r="AT177" s="27" t="s">
        <v>7</v>
      </c>
      <c r="AU177" s="27" t="s">
        <v>8</v>
      </c>
      <c r="AV177" s="27" t="s">
        <v>7</v>
      </c>
      <c r="AX177" s="27" t="s">
        <v>7</v>
      </c>
      <c r="AY177" s="27" t="s">
        <v>8</v>
      </c>
      <c r="BH177" s="27" t="s">
        <v>7</v>
      </c>
      <c r="BN177" s="27" t="s">
        <v>7</v>
      </c>
      <c r="BO177" s="27" t="s">
        <v>8</v>
      </c>
      <c r="BP177" s="27" t="s">
        <v>7</v>
      </c>
      <c r="BQ177" s="27" t="s">
        <v>8</v>
      </c>
      <c r="BT177" s="27" t="s">
        <v>7</v>
      </c>
      <c r="BU177" s="27" t="s">
        <v>8</v>
      </c>
      <c r="BV177" s="27" t="s">
        <v>7</v>
      </c>
      <c r="BW177" s="27" t="s">
        <v>8</v>
      </c>
      <c r="BX177" s="27" t="s">
        <v>7</v>
      </c>
      <c r="BZ177" s="31"/>
    </row>
    <row r="178" spans="1:131" x14ac:dyDescent="0.25">
      <c r="A178" s="30">
        <v>20.593802448270605</v>
      </c>
      <c r="C178" s="7"/>
      <c r="D178"/>
      <c r="E178"/>
      <c r="AO178" s="27" t="s">
        <v>8</v>
      </c>
      <c r="AP178" s="27" t="s">
        <v>7</v>
      </c>
      <c r="AQ178" s="27" t="s">
        <v>8</v>
      </c>
      <c r="AT178" s="27" t="s">
        <v>7</v>
      </c>
      <c r="AU178" s="27" t="s">
        <v>8</v>
      </c>
      <c r="AX178" s="27" t="s">
        <v>7</v>
      </c>
      <c r="AY178" s="27" t="s">
        <v>8</v>
      </c>
      <c r="BN178" s="27" t="s">
        <v>7</v>
      </c>
      <c r="BO178" s="27" t="s">
        <v>8</v>
      </c>
      <c r="BP178" s="27" t="s">
        <v>7</v>
      </c>
      <c r="BQ178" s="27" t="s">
        <v>8</v>
      </c>
      <c r="BT178" s="27" t="s">
        <v>7</v>
      </c>
      <c r="BV178" s="27" t="s">
        <v>7</v>
      </c>
      <c r="BW178" s="27" t="s">
        <v>8</v>
      </c>
      <c r="BX178" s="27" t="s">
        <v>7</v>
      </c>
      <c r="CA178" s="31"/>
    </row>
    <row r="179" spans="1:131" x14ac:dyDescent="0.25">
      <c r="A179" s="30">
        <v>19.613145188829147</v>
      </c>
      <c r="E179"/>
      <c r="AO179" s="27" t="s">
        <v>8</v>
      </c>
      <c r="AP179" s="27" t="s">
        <v>7</v>
      </c>
      <c r="AQ179" s="27" t="s">
        <v>8</v>
      </c>
      <c r="AT179" s="27" t="s">
        <v>7</v>
      </c>
      <c r="AU179" s="27" t="s">
        <v>8</v>
      </c>
      <c r="AX179" s="27" t="s">
        <v>7</v>
      </c>
      <c r="AY179" s="27" t="s">
        <v>8</v>
      </c>
      <c r="BN179" s="27" t="s">
        <v>7</v>
      </c>
      <c r="BO179" s="27" t="s">
        <v>8</v>
      </c>
      <c r="BP179" s="27" t="s">
        <v>7</v>
      </c>
      <c r="BQ179" s="27" t="s">
        <v>8</v>
      </c>
      <c r="BV179" s="27" t="s">
        <v>7</v>
      </c>
      <c r="BX179" s="27" t="s">
        <v>7</v>
      </c>
      <c r="CB179" s="31"/>
    </row>
    <row r="180" spans="1:131" x14ac:dyDescent="0.25">
      <c r="A180" s="30">
        <v>18.679185894122998</v>
      </c>
      <c r="E180"/>
      <c r="AO180" s="27" t="s">
        <v>8</v>
      </c>
      <c r="AP180" s="27" t="s">
        <v>7</v>
      </c>
      <c r="AQ180" s="27" t="s">
        <v>8</v>
      </c>
      <c r="AT180" s="27" t="s">
        <v>7</v>
      </c>
      <c r="AX180" s="27" t="s">
        <v>7</v>
      </c>
      <c r="AY180" s="27" t="s">
        <v>8</v>
      </c>
      <c r="BN180" s="27" t="s">
        <v>7</v>
      </c>
      <c r="BO180" s="27" t="s">
        <v>8</v>
      </c>
      <c r="BP180" s="27" t="s">
        <v>7</v>
      </c>
      <c r="BX180" s="27" t="s">
        <v>7</v>
      </c>
      <c r="CC180" s="31"/>
    </row>
    <row r="181" spans="1:131" x14ac:dyDescent="0.25">
      <c r="A181" s="30">
        <v>17.78970085154571</v>
      </c>
      <c r="C181"/>
      <c r="D181"/>
      <c r="E181"/>
      <c r="AO181" s="27" t="s">
        <v>8</v>
      </c>
      <c r="AP181" s="27" t="s">
        <v>7</v>
      </c>
      <c r="AQ181" s="27" t="s">
        <v>8</v>
      </c>
      <c r="AX181" s="27" t="s">
        <v>7</v>
      </c>
      <c r="AY181" s="27" t="s">
        <v>8</v>
      </c>
      <c r="BN181" s="27" t="s">
        <v>7</v>
      </c>
      <c r="BX181" s="27" t="s">
        <v>7</v>
      </c>
      <c r="CD181" s="31"/>
    </row>
    <row r="182" spans="1:131" x14ac:dyDescent="0.25">
      <c r="A182" s="30">
        <v>16.942572239567344</v>
      </c>
      <c r="E182"/>
      <c r="AO182" s="27" t="s">
        <v>8</v>
      </c>
      <c r="AP182" s="27" t="s">
        <v>7</v>
      </c>
      <c r="AX182" s="27" t="s">
        <v>7</v>
      </c>
      <c r="BX182" s="27" t="s">
        <v>7</v>
      </c>
      <c r="CE182" s="31"/>
    </row>
    <row r="183" spans="1:131" x14ac:dyDescent="0.25">
      <c r="A183" s="30">
        <v>16.135783085302233</v>
      </c>
      <c r="E183"/>
      <c r="AO183" s="27" t="s">
        <v>8</v>
      </c>
      <c r="BX183" s="27" t="s">
        <v>7</v>
      </c>
      <c r="CF183" s="31"/>
    </row>
    <row r="184" spans="1:131" x14ac:dyDescent="0.25">
      <c r="A184" s="30">
        <v>15.367412462192602</v>
      </c>
      <c r="E184"/>
      <c r="M184" s="27" t="s">
        <v>8</v>
      </c>
      <c r="AO184" s="27" t="s">
        <v>8</v>
      </c>
      <c r="BX184" s="27" t="s">
        <v>7</v>
      </c>
      <c r="CG184" s="31"/>
      <c r="DA184" s="27" t="s">
        <v>8</v>
      </c>
    </row>
    <row r="185" spans="1:131" x14ac:dyDescent="0.25">
      <c r="A185" s="30">
        <v>14.635630916373906</v>
      </c>
      <c r="C185"/>
      <c r="E185"/>
      <c r="M185" s="27" t="s">
        <v>8</v>
      </c>
      <c r="N185" s="27" t="s">
        <v>7</v>
      </c>
      <c r="AO185" s="27" t="s">
        <v>8</v>
      </c>
      <c r="BX185" s="27" t="s">
        <v>7</v>
      </c>
      <c r="CH185" s="31"/>
      <c r="DA185" s="27" t="s">
        <v>8</v>
      </c>
      <c r="DB185" s="27" t="s">
        <v>7</v>
      </c>
      <c r="DC185" s="27" t="s">
        <v>8</v>
      </c>
    </row>
    <row r="186" spans="1:131" x14ac:dyDescent="0.25">
      <c r="A186" s="30">
        <v>13.938696110832291</v>
      </c>
      <c r="E186"/>
      <c r="M186" s="27" t="s">
        <v>8</v>
      </c>
      <c r="N186" s="27" t="s">
        <v>7</v>
      </c>
      <c r="O186" s="27" t="s">
        <v>8</v>
      </c>
      <c r="Q186" s="27" t="s">
        <v>8</v>
      </c>
      <c r="AO186" s="27" t="s">
        <v>8</v>
      </c>
      <c r="BX186" s="27" t="s">
        <v>7</v>
      </c>
      <c r="CC186" s="27" t="s">
        <v>8</v>
      </c>
      <c r="CI186" s="31"/>
      <c r="CY186" s="27" t="s">
        <v>8</v>
      </c>
      <c r="DA186" s="27" t="s">
        <v>8</v>
      </c>
      <c r="DB186" s="27" t="s">
        <v>7</v>
      </c>
      <c r="DC186" s="27" t="s">
        <v>8</v>
      </c>
      <c r="DD186" s="27" t="s">
        <v>7</v>
      </c>
    </row>
    <row r="187" spans="1:131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  <c r="M187" s="27" t="s">
        <v>8</v>
      </c>
      <c r="N187" s="27" t="s">
        <v>7</v>
      </c>
      <c r="O187" s="27" t="s">
        <v>8</v>
      </c>
      <c r="P187" s="27" t="s">
        <v>7</v>
      </c>
      <c r="Q187" s="27" t="s">
        <v>8</v>
      </c>
      <c r="R187" s="27" t="s">
        <v>7</v>
      </c>
      <c r="AO187" s="27" t="s">
        <v>8</v>
      </c>
      <c r="BX187" s="27" t="s">
        <v>7</v>
      </c>
      <c r="CA187" s="27" t="s">
        <v>8</v>
      </c>
      <c r="CC187" s="27" t="s">
        <v>8</v>
      </c>
      <c r="CD187" s="27" t="s">
        <v>7</v>
      </c>
      <c r="CJ187" s="31"/>
      <c r="CY187" s="27" t="s">
        <v>8</v>
      </c>
      <c r="CZ187" s="27" t="s">
        <v>7</v>
      </c>
      <c r="DA187" s="27" t="s">
        <v>8</v>
      </c>
      <c r="DB187" s="27" t="s">
        <v>7</v>
      </c>
      <c r="DC187" s="27" t="s">
        <v>8</v>
      </c>
      <c r="DD187" s="27" t="s">
        <v>7</v>
      </c>
      <c r="DO187" s="27" t="s">
        <v>8</v>
      </c>
      <c r="DU187" s="27" t="s">
        <v>8</v>
      </c>
    </row>
    <row r="188" spans="1:131" x14ac:dyDescent="0.25">
      <c r="A188" s="30">
        <v>12.64280826379346</v>
      </c>
      <c r="E188"/>
      <c r="M188" s="27" t="s">
        <v>8</v>
      </c>
      <c r="N188" s="27" t="s">
        <v>7</v>
      </c>
      <c r="O188" s="27" t="s">
        <v>8</v>
      </c>
      <c r="P188" s="27" t="s">
        <v>7</v>
      </c>
      <c r="Q188" s="27" t="s">
        <v>8</v>
      </c>
      <c r="R188" s="27" t="s">
        <v>7</v>
      </c>
      <c r="AO188" s="27" t="s">
        <v>8</v>
      </c>
      <c r="BX188" s="27" t="s">
        <v>7</v>
      </c>
      <c r="CA188" s="27" t="s">
        <v>8</v>
      </c>
      <c r="CB188" s="27" t="s">
        <v>7</v>
      </c>
      <c r="CC188" s="27" t="s">
        <v>8</v>
      </c>
      <c r="CD188" s="27" t="s">
        <v>7</v>
      </c>
      <c r="CK188" s="31"/>
      <c r="CY188" s="27" t="s">
        <v>8</v>
      </c>
      <c r="CZ188" s="27" t="s">
        <v>7</v>
      </c>
      <c r="DA188" s="27" t="s">
        <v>8</v>
      </c>
      <c r="DB188" s="27" t="s">
        <v>7</v>
      </c>
      <c r="DC188" s="27" t="s">
        <v>8</v>
      </c>
      <c r="DD188" s="27" t="s">
        <v>7</v>
      </c>
      <c r="DM188" s="27" t="s">
        <v>8</v>
      </c>
      <c r="DO188" s="27" t="s">
        <v>8</v>
      </c>
      <c r="DP188" s="27" t="s">
        <v>7</v>
      </c>
      <c r="DQ188" s="27" t="s">
        <v>8</v>
      </c>
      <c r="DU188" s="27" t="s">
        <v>8</v>
      </c>
      <c r="DV188" s="27" t="s">
        <v>7</v>
      </c>
    </row>
    <row r="189" spans="1:131" x14ac:dyDescent="0.25">
      <c r="A189" s="30">
        <v>12.04076977504139</v>
      </c>
      <c r="E189"/>
      <c r="M189" s="27" t="s">
        <v>8</v>
      </c>
      <c r="N189" s="27" t="s">
        <v>7</v>
      </c>
      <c r="O189" s="27" t="s">
        <v>8</v>
      </c>
      <c r="P189" s="27" t="s">
        <v>7</v>
      </c>
      <c r="Q189" s="27" t="s">
        <v>8</v>
      </c>
      <c r="R189" s="27" t="s">
        <v>7</v>
      </c>
      <c r="AO189" s="27" t="s">
        <v>8</v>
      </c>
      <c r="BX189" s="27" t="s">
        <v>7</v>
      </c>
      <c r="CA189" s="33" t="s">
        <v>8</v>
      </c>
      <c r="CB189" s="27" t="s">
        <v>7</v>
      </c>
      <c r="CC189" s="27" t="s">
        <v>8</v>
      </c>
      <c r="CD189" s="27" t="s">
        <v>7</v>
      </c>
      <c r="CL189" s="31"/>
      <c r="CY189" s="27" t="s">
        <v>8</v>
      </c>
      <c r="CZ189" s="27" t="s">
        <v>7</v>
      </c>
      <c r="DB189" s="27" t="s">
        <v>7</v>
      </c>
      <c r="DD189" s="27" t="s">
        <v>7</v>
      </c>
      <c r="DE189" s="27" t="s">
        <v>8</v>
      </c>
      <c r="DM189" s="27" t="s">
        <v>8</v>
      </c>
      <c r="DN189" s="27" t="s">
        <v>7</v>
      </c>
      <c r="DO189" s="27" t="s">
        <v>8</v>
      </c>
      <c r="DP189" s="27" t="s">
        <v>7</v>
      </c>
      <c r="DQ189" s="27" t="s">
        <v>8</v>
      </c>
      <c r="DR189" s="27" t="s">
        <v>7</v>
      </c>
      <c r="DU189" s="27" t="s">
        <v>8</v>
      </c>
      <c r="DV189" s="27" t="s">
        <v>7</v>
      </c>
    </row>
    <row r="190" spans="1:131" x14ac:dyDescent="0.25">
      <c r="A190" s="30">
        <v>11.467399785753704</v>
      </c>
      <c r="E190"/>
      <c r="M190" s="27" t="s">
        <v>8</v>
      </c>
      <c r="N190" s="27" t="s">
        <v>7</v>
      </c>
      <c r="O190" s="27" t="s">
        <v>8</v>
      </c>
      <c r="P190" s="27" t="s">
        <v>7</v>
      </c>
      <c r="Q190" s="27" t="s">
        <v>8</v>
      </c>
      <c r="R190" s="27" t="s">
        <v>7</v>
      </c>
      <c r="AM190" s="27" t="s">
        <v>8</v>
      </c>
      <c r="AO190" s="27" t="s">
        <v>8</v>
      </c>
      <c r="BX190" s="27" t="s">
        <v>7</v>
      </c>
      <c r="BY190" s="27" t="s">
        <v>8</v>
      </c>
      <c r="CA190" s="27" t="s">
        <v>8</v>
      </c>
      <c r="CB190" s="27" t="s">
        <v>7</v>
      </c>
      <c r="CC190" s="27" t="s">
        <v>8</v>
      </c>
      <c r="CD190" s="27" t="s">
        <v>7</v>
      </c>
      <c r="CE190" s="27" t="s">
        <v>8</v>
      </c>
      <c r="CG190" s="27" t="s">
        <v>8</v>
      </c>
      <c r="CM190" s="31"/>
      <c r="CY190" s="27" t="s">
        <v>8</v>
      </c>
      <c r="DD190" s="27" t="s">
        <v>7</v>
      </c>
      <c r="DE190" s="31" t="s">
        <v>8</v>
      </c>
      <c r="DF190" s="27" t="s">
        <v>7</v>
      </c>
      <c r="DG190" s="27" t="s">
        <v>8</v>
      </c>
      <c r="DM190" s="27" t="s">
        <v>8</v>
      </c>
      <c r="DN190" s="27" t="s">
        <v>7</v>
      </c>
      <c r="DO190" s="27" t="s">
        <v>8</v>
      </c>
      <c r="DP190" s="27" t="s">
        <v>7</v>
      </c>
      <c r="DQ190" s="27" t="s">
        <v>8</v>
      </c>
      <c r="DR190" s="27" t="s">
        <v>7</v>
      </c>
      <c r="DU190" s="27" t="s">
        <v>8</v>
      </c>
      <c r="DV190" s="27" t="s">
        <v>7</v>
      </c>
    </row>
    <row r="191" spans="1:131" x14ac:dyDescent="0.25">
      <c r="A191" s="30">
        <v>10.921333129289241</v>
      </c>
      <c r="E191"/>
      <c r="M191" s="27" t="s">
        <v>8</v>
      </c>
      <c r="N191" s="27" t="s">
        <v>7</v>
      </c>
      <c r="O191" s="27" t="s">
        <v>8</v>
      </c>
      <c r="P191" s="27" t="s">
        <v>7</v>
      </c>
      <c r="Q191" s="27" t="s">
        <v>8</v>
      </c>
      <c r="R191" s="27" t="s">
        <v>7</v>
      </c>
      <c r="S191" s="27" t="s">
        <v>8</v>
      </c>
      <c r="AK191" s="27" t="s">
        <v>8</v>
      </c>
      <c r="AM191" s="27" t="s">
        <v>8</v>
      </c>
      <c r="AN191" s="27" t="s">
        <v>7</v>
      </c>
      <c r="AO191" s="27" t="s">
        <v>8</v>
      </c>
      <c r="BX191" s="27" t="s">
        <v>7</v>
      </c>
      <c r="BY191" s="27" t="s">
        <v>8</v>
      </c>
      <c r="BZ191" s="27" t="s">
        <v>7</v>
      </c>
      <c r="CA191" s="27" t="s">
        <v>8</v>
      </c>
      <c r="CB191" s="27" t="s">
        <v>7</v>
      </c>
      <c r="CC191" s="27" t="s">
        <v>8</v>
      </c>
      <c r="CD191" s="27" t="s">
        <v>7</v>
      </c>
      <c r="CE191" s="27" t="s">
        <v>8</v>
      </c>
      <c r="CF191" s="27" t="s">
        <v>7</v>
      </c>
      <c r="CG191" s="27" t="s">
        <v>8</v>
      </c>
      <c r="CH191" s="27" t="s">
        <v>7</v>
      </c>
      <c r="CN191" s="31"/>
      <c r="CU191" s="27" t="s">
        <v>8</v>
      </c>
      <c r="CY191" s="27" t="s">
        <v>8</v>
      </c>
      <c r="DD191" s="31" t="s">
        <v>7</v>
      </c>
      <c r="DE191" s="27" t="s">
        <v>8</v>
      </c>
      <c r="DF191" s="27" t="s">
        <v>7</v>
      </c>
      <c r="DG191" s="27" t="s">
        <v>8</v>
      </c>
      <c r="DH191" s="27" t="s">
        <v>7</v>
      </c>
      <c r="DK191" s="27" t="s">
        <v>8</v>
      </c>
      <c r="DM191" s="27" t="s">
        <v>8</v>
      </c>
      <c r="DN191" s="27" t="s">
        <v>7</v>
      </c>
      <c r="DO191" s="27" t="s">
        <v>8</v>
      </c>
      <c r="DP191" s="27" t="s">
        <v>7</v>
      </c>
      <c r="DQ191" s="27" t="s">
        <v>8</v>
      </c>
      <c r="DR191" s="27" t="s">
        <v>7</v>
      </c>
      <c r="DS191" s="27" t="s">
        <v>8</v>
      </c>
      <c r="DU191" s="27" t="s">
        <v>8</v>
      </c>
      <c r="DV191" s="27" t="s">
        <v>7</v>
      </c>
    </row>
    <row r="192" spans="1:131" x14ac:dyDescent="0.25">
      <c r="A192" s="30">
        <v>10.401269646942135</v>
      </c>
      <c r="E192"/>
      <c r="M192" s="27" t="s">
        <v>8</v>
      </c>
      <c r="N192" s="27" t="s">
        <v>7</v>
      </c>
      <c r="O192" s="27" t="s">
        <v>8</v>
      </c>
      <c r="P192" s="27" t="s">
        <v>7</v>
      </c>
      <c r="R192" s="27" t="s">
        <v>7</v>
      </c>
      <c r="S192" s="27" t="s">
        <v>8</v>
      </c>
      <c r="T192" s="27" t="s">
        <v>7</v>
      </c>
      <c r="AK192" s="27" t="s">
        <v>8</v>
      </c>
      <c r="AL192" s="27" t="s">
        <v>7</v>
      </c>
      <c r="AM192" s="27" t="s">
        <v>8</v>
      </c>
      <c r="AN192" s="27" t="s">
        <v>7</v>
      </c>
      <c r="AO192" s="27" t="s">
        <v>8</v>
      </c>
      <c r="BX192" s="27" t="s">
        <v>7</v>
      </c>
      <c r="BY192" s="27" t="s">
        <v>8</v>
      </c>
      <c r="BZ192" s="27" t="s">
        <v>7</v>
      </c>
      <c r="CA192" s="27" t="s">
        <v>8</v>
      </c>
      <c r="CB192" s="27" t="s">
        <v>7</v>
      </c>
      <c r="CC192" s="27" t="s">
        <v>8</v>
      </c>
      <c r="CD192" s="27" t="s">
        <v>7</v>
      </c>
      <c r="CE192" s="27" t="s">
        <v>8</v>
      </c>
      <c r="CF192" s="27" t="s">
        <v>7</v>
      </c>
      <c r="CG192" s="27" t="s">
        <v>8</v>
      </c>
      <c r="CH192" s="27" t="s">
        <v>7</v>
      </c>
      <c r="CK192" s="27" t="s">
        <v>8</v>
      </c>
      <c r="CO192" s="31"/>
      <c r="CU192" s="27" t="s">
        <v>8</v>
      </c>
      <c r="CV192" s="27" t="s">
        <v>7</v>
      </c>
      <c r="CY192" s="27" t="s">
        <v>8</v>
      </c>
      <c r="DC192" s="31"/>
      <c r="DD192" s="27" t="s">
        <v>7</v>
      </c>
      <c r="DE192" s="27" t="s">
        <v>8</v>
      </c>
      <c r="DF192" s="27" t="s">
        <v>7</v>
      </c>
      <c r="DG192" s="27" t="s">
        <v>8</v>
      </c>
      <c r="DH192" s="27" t="s">
        <v>7</v>
      </c>
      <c r="DK192" s="27" t="s">
        <v>8</v>
      </c>
      <c r="DL192" s="27" t="s">
        <v>7</v>
      </c>
      <c r="DM192" s="27" t="s">
        <v>8</v>
      </c>
      <c r="DN192" s="27" t="s">
        <v>7</v>
      </c>
      <c r="DP192" s="31" t="s">
        <v>7</v>
      </c>
      <c r="DR192" s="27" t="s">
        <v>7</v>
      </c>
      <c r="DS192" s="27" t="s">
        <v>8</v>
      </c>
      <c r="DT192" s="27" t="s">
        <v>7</v>
      </c>
      <c r="DU192" s="27" t="s">
        <v>8</v>
      </c>
      <c r="DV192" s="27" t="s">
        <v>7</v>
      </c>
      <c r="EA192" s="27" t="s">
        <v>8</v>
      </c>
    </row>
    <row r="193" spans="1:140" x14ac:dyDescent="0.25">
      <c r="A193" s="30">
        <v>9.9059710923258422</v>
      </c>
      <c r="E193"/>
      <c r="M193" s="27" t="s">
        <v>8</v>
      </c>
      <c r="N193" s="27" t="s">
        <v>7</v>
      </c>
      <c r="R193" s="27" t="s">
        <v>7</v>
      </c>
      <c r="S193" s="27" t="s">
        <v>8</v>
      </c>
      <c r="T193" s="27" t="s">
        <v>7</v>
      </c>
      <c r="AK193" s="27" t="s">
        <v>8</v>
      </c>
      <c r="AL193" s="27" t="s">
        <v>7</v>
      </c>
      <c r="AM193" s="27" t="s">
        <v>8</v>
      </c>
      <c r="AN193" s="27" t="s">
        <v>7</v>
      </c>
      <c r="BX193" s="27" t="s">
        <v>7</v>
      </c>
      <c r="BY193" s="27" t="s">
        <v>8</v>
      </c>
      <c r="BZ193" s="27" t="s">
        <v>7</v>
      </c>
      <c r="CA193" s="27" t="s">
        <v>8</v>
      </c>
      <c r="CB193" s="27" t="s">
        <v>7</v>
      </c>
      <c r="CC193" s="27" t="s">
        <v>8</v>
      </c>
      <c r="CD193" s="27" t="s">
        <v>7</v>
      </c>
      <c r="CE193" s="27" t="s">
        <v>8</v>
      </c>
      <c r="CF193" s="27" t="s">
        <v>7</v>
      </c>
      <c r="CH193" s="27" t="s">
        <v>7</v>
      </c>
      <c r="CK193" s="27" t="s">
        <v>8</v>
      </c>
      <c r="CL193" s="27" t="s">
        <v>7</v>
      </c>
      <c r="CP193" s="31"/>
      <c r="CU193" s="33" t="s">
        <v>8</v>
      </c>
      <c r="CV193" s="27" t="s">
        <v>7</v>
      </c>
      <c r="CW193" s="27" t="s">
        <v>8</v>
      </c>
      <c r="CY193" s="27" t="s">
        <v>8</v>
      </c>
      <c r="DB193" s="31"/>
      <c r="DD193" s="27" t="s">
        <v>7</v>
      </c>
      <c r="DE193" s="27" t="s">
        <v>8</v>
      </c>
      <c r="DF193" s="27" t="s">
        <v>7</v>
      </c>
      <c r="DH193" s="27" t="s">
        <v>7</v>
      </c>
      <c r="DK193" s="27" t="s">
        <v>8</v>
      </c>
      <c r="DL193" s="27" t="s">
        <v>7</v>
      </c>
      <c r="DM193" s="27" t="s">
        <v>8</v>
      </c>
      <c r="DO193" s="31"/>
      <c r="DR193" s="27" t="s">
        <v>7</v>
      </c>
      <c r="DS193" s="27" t="s">
        <v>8</v>
      </c>
      <c r="DT193" s="27" t="s">
        <v>7</v>
      </c>
      <c r="DU193" s="27" t="s">
        <v>8</v>
      </c>
      <c r="DV193" s="27" t="s">
        <v>7</v>
      </c>
      <c r="EA193" s="27" t="s">
        <v>8</v>
      </c>
      <c r="EB193" s="27" t="s">
        <v>7</v>
      </c>
      <c r="EC193" s="27" t="s">
        <v>8</v>
      </c>
    </row>
    <row r="194" spans="1:140" x14ac:dyDescent="0.25">
      <c r="A194" s="30">
        <v>9.4342581831674686</v>
      </c>
      <c r="E194"/>
      <c r="M194" s="27" t="s">
        <v>8</v>
      </c>
      <c r="R194" s="27" t="s">
        <v>7</v>
      </c>
      <c r="S194" s="27" t="s">
        <v>8</v>
      </c>
      <c r="T194" s="27" t="s">
        <v>7</v>
      </c>
      <c r="AG194" s="27" t="s">
        <v>8</v>
      </c>
      <c r="AK194" s="27" t="s">
        <v>8</v>
      </c>
      <c r="AL194" s="27" t="s">
        <v>7</v>
      </c>
      <c r="AM194" s="27" t="s">
        <v>8</v>
      </c>
      <c r="BX194" s="27" t="s">
        <v>7</v>
      </c>
      <c r="BY194" s="27" t="s">
        <v>8</v>
      </c>
      <c r="BZ194" s="27" t="s">
        <v>7</v>
      </c>
      <c r="CA194" s="27" t="s">
        <v>8</v>
      </c>
      <c r="CB194" s="27" t="s">
        <v>7</v>
      </c>
      <c r="CD194" s="27" t="s">
        <v>7</v>
      </c>
      <c r="CE194" s="27" t="s">
        <v>8</v>
      </c>
      <c r="CH194" s="27" t="s">
        <v>7</v>
      </c>
      <c r="CI194" s="27" t="s">
        <v>8</v>
      </c>
      <c r="CK194" s="27" t="s">
        <v>8</v>
      </c>
      <c r="CL194" s="27" t="s">
        <v>7</v>
      </c>
      <c r="CQ194" s="31"/>
      <c r="CS194" s="27" t="s">
        <v>8</v>
      </c>
      <c r="CU194" s="27" t="s">
        <v>8</v>
      </c>
      <c r="CV194" s="27" t="s">
        <v>7</v>
      </c>
      <c r="CW194" s="27" t="s">
        <v>8</v>
      </c>
      <c r="CX194" s="27" t="s">
        <v>7</v>
      </c>
      <c r="CY194" s="27" t="s">
        <v>8</v>
      </c>
      <c r="DA194" s="31"/>
      <c r="DD194" s="27" t="s">
        <v>7</v>
      </c>
      <c r="DH194" s="27" t="s">
        <v>7</v>
      </c>
      <c r="DI194" s="27" t="s">
        <v>8</v>
      </c>
      <c r="DK194" s="27" t="s">
        <v>8</v>
      </c>
      <c r="DL194" s="27" t="s">
        <v>7</v>
      </c>
      <c r="DM194" s="27" t="s">
        <v>8</v>
      </c>
      <c r="DN194" s="31"/>
      <c r="DR194" s="27" t="s">
        <v>7</v>
      </c>
      <c r="DS194" s="27" t="s">
        <v>8</v>
      </c>
      <c r="DT194" s="27" t="s">
        <v>7</v>
      </c>
      <c r="DV194" s="27" t="s">
        <v>7</v>
      </c>
      <c r="EA194" s="27" t="s">
        <v>8</v>
      </c>
      <c r="EB194" s="27" t="s">
        <v>7</v>
      </c>
      <c r="EC194" s="27" t="s">
        <v>8</v>
      </c>
      <c r="ED194" s="27" t="s">
        <v>7</v>
      </c>
    </row>
    <row r="195" spans="1:140" x14ac:dyDescent="0.25">
      <c r="A195" s="30">
        <v>8.9850077934928265</v>
      </c>
      <c r="E195"/>
      <c r="M195" s="27" t="s">
        <v>8</v>
      </c>
      <c r="R195" s="27" t="s">
        <v>7</v>
      </c>
      <c r="S195" s="27" t="s">
        <v>8</v>
      </c>
      <c r="T195" s="27" t="s">
        <v>7</v>
      </c>
      <c r="AG195" s="27" t="s">
        <v>8</v>
      </c>
      <c r="AH195" s="27" t="s">
        <v>7</v>
      </c>
      <c r="AK195" s="27" t="s">
        <v>8</v>
      </c>
      <c r="AL195" s="27" t="s">
        <v>7</v>
      </c>
      <c r="AM195" s="27" t="s">
        <v>8</v>
      </c>
      <c r="BX195" s="27" t="s">
        <v>7</v>
      </c>
      <c r="BY195" s="27" t="s">
        <v>8</v>
      </c>
      <c r="BZ195" s="27" t="s">
        <v>7</v>
      </c>
      <c r="CA195" s="27" t="s">
        <v>8</v>
      </c>
      <c r="CD195" s="27" t="s">
        <v>7</v>
      </c>
      <c r="CE195" s="27" t="s">
        <v>8</v>
      </c>
      <c r="CH195" s="27" t="s">
        <v>7</v>
      </c>
      <c r="CI195" s="27" t="s">
        <v>8</v>
      </c>
      <c r="CJ195" s="27" t="s">
        <v>7</v>
      </c>
      <c r="CK195" s="27" t="s">
        <v>8</v>
      </c>
      <c r="CL195" s="27" t="s">
        <v>7</v>
      </c>
      <c r="CR195" s="31"/>
      <c r="CS195" s="27" t="s">
        <v>8</v>
      </c>
      <c r="CT195" s="27" t="s">
        <v>7</v>
      </c>
      <c r="CU195" s="27" t="s">
        <v>8</v>
      </c>
      <c r="CV195" s="27" t="s">
        <v>7</v>
      </c>
      <c r="CW195" s="27" t="s">
        <v>8</v>
      </c>
      <c r="CX195" s="27" t="s">
        <v>7</v>
      </c>
      <c r="CY195" s="27" t="s">
        <v>8</v>
      </c>
      <c r="CZ195" s="31"/>
      <c r="DH195" s="27" t="s">
        <v>7</v>
      </c>
      <c r="DI195" s="27" t="s">
        <v>8</v>
      </c>
      <c r="DJ195" s="27" t="s">
        <v>7</v>
      </c>
      <c r="DK195" s="27" t="s">
        <v>8</v>
      </c>
      <c r="DL195" s="27" t="s">
        <v>7</v>
      </c>
      <c r="DM195" s="31"/>
      <c r="DR195" s="27" t="s">
        <v>7</v>
      </c>
      <c r="DV195" s="27" t="s">
        <v>7</v>
      </c>
      <c r="DY195" s="27" t="s">
        <v>8</v>
      </c>
      <c r="EA195" s="27" t="s">
        <v>8</v>
      </c>
      <c r="EB195" s="27" t="s">
        <v>7</v>
      </c>
      <c r="EC195" s="27" t="s">
        <v>8</v>
      </c>
      <c r="ED195" s="27" t="s">
        <v>7</v>
      </c>
      <c r="EE195" s="27" t="s">
        <v>8</v>
      </c>
    </row>
    <row r="196" spans="1:140" x14ac:dyDescent="0.25">
      <c r="A196" s="30">
        <v>8.5571502795169767</v>
      </c>
      <c r="E196"/>
      <c r="M196" s="27" t="s">
        <v>8</v>
      </c>
      <c r="R196" s="27" t="s">
        <v>7</v>
      </c>
      <c r="S196" s="27" t="s">
        <v>8</v>
      </c>
      <c r="T196" s="27" t="s">
        <v>7</v>
      </c>
      <c r="W196" s="27" t="s">
        <v>8</v>
      </c>
      <c r="AG196" s="27" t="s">
        <v>8</v>
      </c>
      <c r="AH196" s="27" t="s">
        <v>7</v>
      </c>
      <c r="AK196" s="27" t="s">
        <v>8</v>
      </c>
      <c r="AL196" s="27" t="s">
        <v>7</v>
      </c>
      <c r="AM196" s="27" t="s">
        <v>8</v>
      </c>
      <c r="BX196" s="27" t="s">
        <v>7</v>
      </c>
      <c r="BY196" s="27" t="s">
        <v>8</v>
      </c>
      <c r="BZ196" s="27" t="s">
        <v>7</v>
      </c>
      <c r="CA196" s="27" t="s">
        <v>8</v>
      </c>
      <c r="CD196" s="27" t="s">
        <v>7</v>
      </c>
      <c r="CH196" s="27" t="s">
        <v>7</v>
      </c>
      <c r="CI196" s="27" t="s">
        <v>8</v>
      </c>
      <c r="CJ196" s="27" t="s">
        <v>7</v>
      </c>
      <c r="CK196" s="27" t="s">
        <v>8</v>
      </c>
      <c r="CL196" s="27" t="s">
        <v>7</v>
      </c>
      <c r="CS196" s="31" t="s">
        <v>8</v>
      </c>
      <c r="CT196" s="27" t="s">
        <v>7</v>
      </c>
      <c r="CU196" s="27" t="s">
        <v>8</v>
      </c>
      <c r="CV196" s="27" t="s">
        <v>7</v>
      </c>
      <c r="CW196" s="27" t="s">
        <v>8</v>
      </c>
      <c r="CX196" s="27" t="s">
        <v>7</v>
      </c>
      <c r="CY196" s="31" t="s">
        <v>8</v>
      </c>
      <c r="DH196" s="27" t="s">
        <v>7</v>
      </c>
      <c r="DI196" s="27" t="s">
        <v>8</v>
      </c>
      <c r="DJ196" s="27" t="s">
        <v>7</v>
      </c>
      <c r="DK196" s="27" t="s">
        <v>8</v>
      </c>
      <c r="DL196" s="31"/>
      <c r="DV196" s="27" t="s">
        <v>7</v>
      </c>
      <c r="DY196" s="27" t="s">
        <v>8</v>
      </c>
      <c r="DZ196" s="27" t="s">
        <v>7</v>
      </c>
      <c r="EA196" s="27" t="s">
        <v>8</v>
      </c>
      <c r="EB196" s="27" t="s">
        <v>7</v>
      </c>
      <c r="EC196" s="27" t="s">
        <v>8</v>
      </c>
      <c r="ED196" s="27" t="s">
        <v>7</v>
      </c>
      <c r="EE196" s="27" t="s">
        <v>8</v>
      </c>
      <c r="EF196" s="27" t="s">
        <v>7</v>
      </c>
    </row>
    <row r="197" spans="1:140" x14ac:dyDescent="0.25">
      <c r="A197" s="30">
        <v>8.1496669328733109</v>
      </c>
      <c r="E197"/>
      <c r="M197" s="27" t="s">
        <v>8</v>
      </c>
      <c r="R197" s="27" t="s">
        <v>7</v>
      </c>
      <c r="S197" s="27" t="s">
        <v>8</v>
      </c>
      <c r="T197" s="27" t="s">
        <v>7</v>
      </c>
      <c r="U197" s="27" t="s">
        <v>8</v>
      </c>
      <c r="W197" s="27" t="s">
        <v>8</v>
      </c>
      <c r="X197" s="27" t="s">
        <v>7</v>
      </c>
      <c r="AG197" s="27" t="s">
        <v>8</v>
      </c>
      <c r="AH197" s="27" t="s">
        <v>7</v>
      </c>
      <c r="AI197" s="27" t="s">
        <v>8</v>
      </c>
      <c r="AK197" s="27" t="s">
        <v>8</v>
      </c>
      <c r="AL197" s="27" t="s">
        <v>7</v>
      </c>
      <c r="BX197" s="27" t="s">
        <v>7</v>
      </c>
      <c r="BY197" s="27" t="s">
        <v>8</v>
      </c>
      <c r="BZ197" s="27" t="s">
        <v>7</v>
      </c>
      <c r="CA197" s="27" t="s">
        <v>8</v>
      </c>
      <c r="CH197" s="27" t="s">
        <v>7</v>
      </c>
      <c r="CI197" s="27" t="s">
        <v>8</v>
      </c>
      <c r="CJ197" s="27" t="s">
        <v>7</v>
      </c>
      <c r="CK197" s="27" t="s">
        <v>8</v>
      </c>
      <c r="CL197" s="27" t="s">
        <v>7</v>
      </c>
      <c r="CS197" s="27" t="s">
        <v>8</v>
      </c>
      <c r="CT197" s="27" t="s">
        <v>7</v>
      </c>
      <c r="CU197" s="27" t="s">
        <v>8</v>
      </c>
      <c r="CV197" s="27" t="s">
        <v>7</v>
      </c>
      <c r="CX197" s="31" t="s">
        <v>7</v>
      </c>
      <c r="DD197" s="31"/>
      <c r="DH197" s="27" t="s">
        <v>7</v>
      </c>
      <c r="DI197" s="27" t="s">
        <v>8</v>
      </c>
      <c r="DJ197" s="27" t="s">
        <v>7</v>
      </c>
      <c r="DK197" s="31" t="s">
        <v>8</v>
      </c>
      <c r="DV197" s="27" t="s">
        <v>7</v>
      </c>
      <c r="DW197" s="27" t="s">
        <v>8</v>
      </c>
      <c r="DY197" s="27" t="s">
        <v>8</v>
      </c>
      <c r="DZ197" s="27" t="s">
        <v>7</v>
      </c>
      <c r="EA197" s="27" t="s">
        <v>8</v>
      </c>
      <c r="EB197" s="27" t="s">
        <v>7</v>
      </c>
      <c r="ED197" s="27" t="s">
        <v>7</v>
      </c>
      <c r="EE197" s="27" t="s">
        <v>8</v>
      </c>
      <c r="EF197" s="27" t="s">
        <v>7</v>
      </c>
      <c r="EG197" s="27" t="s">
        <v>8</v>
      </c>
    </row>
    <row r="198" spans="1:140" x14ac:dyDescent="0.25">
      <c r="A198" s="30">
        <v>7.7615875551174378</v>
      </c>
      <c r="E198"/>
      <c r="M198" s="27" t="s">
        <v>8</v>
      </c>
      <c r="R198" s="27" t="s">
        <v>7</v>
      </c>
      <c r="T198" s="27" t="s">
        <v>7</v>
      </c>
      <c r="U198" s="27" t="s">
        <v>8</v>
      </c>
      <c r="V198" s="27" t="s">
        <v>7</v>
      </c>
      <c r="W198" s="27" t="s">
        <v>8</v>
      </c>
      <c r="X198" s="27" t="s">
        <v>7</v>
      </c>
      <c r="AA198" s="27" t="s">
        <v>8</v>
      </c>
      <c r="AG198" s="27" t="s">
        <v>8</v>
      </c>
      <c r="AH198" s="27" t="s">
        <v>7</v>
      </c>
      <c r="AI198" s="27" t="s">
        <v>8</v>
      </c>
      <c r="AJ198" s="27" t="s">
        <v>7</v>
      </c>
      <c r="AK198" s="27" t="s">
        <v>8</v>
      </c>
      <c r="BX198" s="27" t="s">
        <v>7</v>
      </c>
      <c r="BZ198" s="27" t="s">
        <v>7</v>
      </c>
      <c r="CA198" s="27" t="s">
        <v>8</v>
      </c>
      <c r="CH198" s="27" t="s">
        <v>7</v>
      </c>
      <c r="CJ198" s="27" t="s">
        <v>7</v>
      </c>
      <c r="CL198" s="27" t="s">
        <v>7</v>
      </c>
      <c r="CS198" s="27" t="s">
        <v>8</v>
      </c>
      <c r="CT198" s="27" t="s">
        <v>7</v>
      </c>
      <c r="CU198" s="27" t="s">
        <v>8</v>
      </c>
      <c r="DC198" s="31"/>
      <c r="DH198" s="27" t="s">
        <v>7</v>
      </c>
      <c r="DJ198" s="31" t="s">
        <v>7</v>
      </c>
      <c r="DV198" s="27" t="s">
        <v>7</v>
      </c>
      <c r="DW198" s="27" t="s">
        <v>8</v>
      </c>
      <c r="DX198" s="27" t="s">
        <v>7</v>
      </c>
      <c r="DY198" s="27" t="s">
        <v>8</v>
      </c>
      <c r="DZ198" s="27" t="s">
        <v>7</v>
      </c>
      <c r="ED198" s="27" t="s">
        <v>7</v>
      </c>
      <c r="EF198" s="27" t="s">
        <v>7</v>
      </c>
      <c r="EG198" s="27" t="s">
        <v>8</v>
      </c>
      <c r="EH198" s="27" t="s">
        <v>7</v>
      </c>
    </row>
    <row r="199" spans="1:140" x14ac:dyDescent="0.25">
      <c r="A199" s="30">
        <v>7.3919881477308929</v>
      </c>
      <c r="E199"/>
      <c r="M199" s="27" t="s">
        <v>8</v>
      </c>
      <c r="T199" s="27" t="s">
        <v>7</v>
      </c>
      <c r="U199" s="27" t="s">
        <v>8</v>
      </c>
      <c r="V199" s="27" t="s">
        <v>7</v>
      </c>
      <c r="W199" s="27" t="s">
        <v>8</v>
      </c>
      <c r="X199" s="27" t="s">
        <v>7</v>
      </c>
      <c r="Y199" s="27" t="s">
        <v>8</v>
      </c>
      <c r="AA199" s="27" t="s">
        <v>8</v>
      </c>
      <c r="AB199" s="27" t="s">
        <v>7</v>
      </c>
      <c r="AC199" s="27" t="s">
        <v>8</v>
      </c>
      <c r="AG199" s="27" t="s">
        <v>8</v>
      </c>
      <c r="AH199" s="27" t="s">
        <v>7</v>
      </c>
      <c r="AI199" s="27" t="s">
        <v>8</v>
      </c>
      <c r="AJ199" s="27" t="s">
        <v>7</v>
      </c>
      <c r="AK199" s="27" t="s">
        <v>8</v>
      </c>
      <c r="BZ199" s="27" t="s">
        <v>7</v>
      </c>
      <c r="CL199" s="32" t="s">
        <v>7</v>
      </c>
      <c r="CQ199" s="33" t="s">
        <v>8</v>
      </c>
      <c r="CS199" s="27" t="s">
        <v>8</v>
      </c>
      <c r="CT199" s="27" t="s">
        <v>7</v>
      </c>
      <c r="CU199" s="27" t="s">
        <v>8</v>
      </c>
      <c r="DB199" s="31"/>
      <c r="DV199" s="27" t="s">
        <v>7</v>
      </c>
      <c r="DW199" s="27" t="s">
        <v>8</v>
      </c>
      <c r="DX199" s="27" t="s">
        <v>7</v>
      </c>
      <c r="DY199" s="27" t="s">
        <v>8</v>
      </c>
      <c r="EF199" s="27" t="s">
        <v>7</v>
      </c>
      <c r="EG199" s="27" t="s">
        <v>8</v>
      </c>
      <c r="EH199" s="27" t="s">
        <v>7</v>
      </c>
    </row>
    <row r="200" spans="1:140" x14ac:dyDescent="0.25">
      <c r="A200" s="30">
        <v>7.0399887121246598</v>
      </c>
      <c r="E200"/>
      <c r="M200" s="27" t="s">
        <v>8</v>
      </c>
      <c r="T200" s="27" t="s">
        <v>7</v>
      </c>
      <c r="U200" s="27" t="s">
        <v>8</v>
      </c>
      <c r="V200" s="27" t="s">
        <v>7</v>
      </c>
      <c r="W200" s="27" t="s">
        <v>8</v>
      </c>
      <c r="X200" s="27" t="s">
        <v>7</v>
      </c>
      <c r="Y200" s="27" t="s">
        <v>8</v>
      </c>
      <c r="Z200" s="27" t="s">
        <v>7</v>
      </c>
      <c r="AA200" s="27" t="s">
        <v>8</v>
      </c>
      <c r="AB200" s="27" t="s">
        <v>7</v>
      </c>
      <c r="AC200" s="27" t="s">
        <v>8</v>
      </c>
      <c r="AD200" s="27" t="s">
        <v>7</v>
      </c>
      <c r="AG200" s="27" t="s">
        <v>8</v>
      </c>
      <c r="AH200" s="27" t="s">
        <v>7</v>
      </c>
      <c r="AI200" s="27" t="s">
        <v>8</v>
      </c>
      <c r="AJ200" s="27" t="s">
        <v>7</v>
      </c>
      <c r="CL200" s="27" t="s">
        <v>7</v>
      </c>
      <c r="CM200" s="27" t="s">
        <v>8</v>
      </c>
      <c r="CO200" s="27" t="s">
        <v>8</v>
      </c>
      <c r="CQ200" s="27" t="s">
        <v>8</v>
      </c>
      <c r="CR200" s="27" t="s">
        <v>7</v>
      </c>
      <c r="CS200" s="27" t="s">
        <v>8</v>
      </c>
      <c r="CT200" s="27" t="s">
        <v>7</v>
      </c>
      <c r="CU200" s="27" t="s">
        <v>8</v>
      </c>
      <c r="DA200" s="31"/>
      <c r="DV200" s="27" t="s">
        <v>7</v>
      </c>
      <c r="DW200" s="27" t="s">
        <v>8</v>
      </c>
      <c r="DX200" s="27" t="s">
        <v>7</v>
      </c>
      <c r="EF200" s="27" t="s">
        <v>7</v>
      </c>
      <c r="EG200" s="27" t="s">
        <v>8</v>
      </c>
      <c r="EH200" s="27" t="s">
        <v>7</v>
      </c>
    </row>
    <row r="201" spans="1:140" x14ac:dyDescent="0.25">
      <c r="A201" s="30">
        <v>6.7047511544044376</v>
      </c>
      <c r="E201"/>
      <c r="M201" s="27" t="s">
        <v>8</v>
      </c>
      <c r="T201" s="27" t="s">
        <v>7</v>
      </c>
      <c r="U201" s="27" t="s">
        <v>8</v>
      </c>
      <c r="V201" s="27" t="s">
        <v>7</v>
      </c>
      <c r="W201" s="27" t="s">
        <v>8</v>
      </c>
      <c r="X201" s="27" t="s">
        <v>7</v>
      </c>
      <c r="Y201" s="27" t="s">
        <v>8</v>
      </c>
      <c r="Z201" s="27" t="s">
        <v>7</v>
      </c>
      <c r="AA201" s="27" t="s">
        <v>8</v>
      </c>
      <c r="AB201" s="27" t="s">
        <v>7</v>
      </c>
      <c r="AC201" s="27" t="s">
        <v>8</v>
      </c>
      <c r="AD201" s="27" t="s">
        <v>7</v>
      </c>
      <c r="AG201" s="27" t="s">
        <v>8</v>
      </c>
      <c r="AH201" s="27" t="s">
        <v>7</v>
      </c>
      <c r="CL201" s="27" t="s">
        <v>7</v>
      </c>
      <c r="CM201" s="27" t="s">
        <v>8</v>
      </c>
      <c r="CN201" s="27" t="s">
        <v>7</v>
      </c>
      <c r="CO201" s="27" t="s">
        <v>8</v>
      </c>
      <c r="CP201" s="27" t="s">
        <v>7</v>
      </c>
      <c r="CQ201" s="27" t="s">
        <v>8</v>
      </c>
      <c r="CR201" s="27" t="s">
        <v>7</v>
      </c>
      <c r="CS201" s="27" t="s">
        <v>8</v>
      </c>
      <c r="CT201" s="27" t="s">
        <v>7</v>
      </c>
      <c r="CU201" s="27" t="s">
        <v>8</v>
      </c>
      <c r="CZ201" s="31"/>
      <c r="DV201" s="27" t="s">
        <v>7</v>
      </c>
      <c r="EF201" s="27" t="s">
        <v>7</v>
      </c>
      <c r="EH201" s="27" t="s">
        <v>7</v>
      </c>
      <c r="EI201" s="27" t="s">
        <v>8</v>
      </c>
    </row>
    <row r="202" spans="1:140" x14ac:dyDescent="0.25">
      <c r="A202" s="30">
        <v>6.3854772899089882</v>
      </c>
      <c r="E202"/>
      <c r="M202" s="27" t="s">
        <v>8</v>
      </c>
      <c r="T202" s="27" t="s">
        <v>7</v>
      </c>
      <c r="V202" s="27" t="s">
        <v>7</v>
      </c>
      <c r="X202" s="27" t="s">
        <v>7</v>
      </c>
      <c r="Y202" s="27" t="s">
        <v>8</v>
      </c>
      <c r="Z202" s="27" t="s">
        <v>7</v>
      </c>
      <c r="AA202" s="27" t="s">
        <v>8</v>
      </c>
      <c r="AB202" s="27" t="s">
        <v>7</v>
      </c>
      <c r="AC202" s="27" t="s">
        <v>8</v>
      </c>
      <c r="AD202" s="27" t="s">
        <v>7</v>
      </c>
      <c r="AG202" s="27" t="s">
        <v>8</v>
      </c>
      <c r="CL202" s="27" t="s">
        <v>7</v>
      </c>
      <c r="CM202" s="27" t="s">
        <v>8</v>
      </c>
      <c r="CN202" s="27" t="s">
        <v>7</v>
      </c>
      <c r="CO202" s="27" t="s">
        <v>8</v>
      </c>
      <c r="CP202" s="27" t="s">
        <v>7</v>
      </c>
      <c r="CQ202" s="27" t="s">
        <v>8</v>
      </c>
      <c r="CR202" s="27" t="s">
        <v>7</v>
      </c>
      <c r="CS202" s="27" t="s">
        <v>8</v>
      </c>
      <c r="CT202" s="27" t="s">
        <v>7</v>
      </c>
      <c r="CU202" s="27" t="s">
        <v>8</v>
      </c>
      <c r="CY202" s="31"/>
      <c r="EH202" s="27" t="s">
        <v>7</v>
      </c>
      <c r="EI202" s="27" t="s">
        <v>8</v>
      </c>
      <c r="EJ202" s="27" t="s">
        <v>7</v>
      </c>
    </row>
    <row r="203" spans="1:140" x14ac:dyDescent="0.25">
      <c r="A203" s="30">
        <v>6.0814069427704647</v>
      </c>
      <c r="C203" s="7"/>
      <c r="D203"/>
      <c r="E203"/>
      <c r="K203" s="27" t="s">
        <v>8</v>
      </c>
      <c r="M203" s="27" t="s">
        <v>8</v>
      </c>
      <c r="X203" s="27" t="s">
        <v>7</v>
      </c>
      <c r="Y203" s="27" t="s">
        <v>8</v>
      </c>
      <c r="Z203" s="27" t="s">
        <v>7</v>
      </c>
      <c r="AA203" s="27" t="s">
        <v>8</v>
      </c>
      <c r="AB203" s="27" t="s">
        <v>7</v>
      </c>
      <c r="AD203" s="27" t="s">
        <v>7</v>
      </c>
      <c r="AE203" s="27" t="s">
        <v>8</v>
      </c>
      <c r="AG203" s="27" t="s">
        <v>8</v>
      </c>
      <c r="CL203" s="27" t="s">
        <v>7</v>
      </c>
      <c r="CM203" s="27" t="s">
        <v>8</v>
      </c>
      <c r="CN203" s="27" t="s">
        <v>7</v>
      </c>
      <c r="CO203" s="27" t="s">
        <v>8</v>
      </c>
      <c r="CP203" s="27" t="s">
        <v>7</v>
      </c>
      <c r="CQ203" s="27" t="s">
        <v>8</v>
      </c>
      <c r="CR203" s="27" t="s">
        <v>7</v>
      </c>
      <c r="CT203" s="27" t="s">
        <v>7</v>
      </c>
      <c r="CU203" s="27" t="s">
        <v>8</v>
      </c>
      <c r="CX203" s="31"/>
      <c r="EH203" s="27" t="s">
        <v>7</v>
      </c>
      <c r="EI203" s="27" t="s">
        <v>8</v>
      </c>
      <c r="EJ203" s="27" t="s">
        <v>7</v>
      </c>
    </row>
    <row r="204" spans="1:140" x14ac:dyDescent="0.25">
      <c r="A204" s="30">
        <v>5.7918161359718709</v>
      </c>
      <c r="E204"/>
      <c r="K204" s="27" t="s">
        <v>8</v>
      </c>
      <c r="L204" s="27" t="s">
        <v>7</v>
      </c>
      <c r="M204" s="27" t="s">
        <v>8</v>
      </c>
      <c r="X204" s="27" t="s">
        <v>7</v>
      </c>
      <c r="Y204" s="27" t="s">
        <v>8</v>
      </c>
      <c r="Z204" s="27" t="s">
        <v>7</v>
      </c>
      <c r="AA204" s="27" t="s">
        <v>8</v>
      </c>
      <c r="AD204" s="27" t="s">
        <v>7</v>
      </c>
      <c r="AE204" s="27" t="s">
        <v>8</v>
      </c>
      <c r="AF204" s="27" t="s">
        <v>7</v>
      </c>
      <c r="AG204" s="27" t="s">
        <v>8</v>
      </c>
      <c r="CL204" s="27" t="s">
        <v>7</v>
      </c>
      <c r="CM204" s="27" t="s">
        <v>8</v>
      </c>
      <c r="CN204" s="27" t="s">
        <v>7</v>
      </c>
      <c r="CO204" s="27" t="s">
        <v>8</v>
      </c>
      <c r="CP204" s="27" t="s">
        <v>7</v>
      </c>
      <c r="CT204" s="32" t="s">
        <v>7</v>
      </c>
      <c r="CU204" s="27" t="s">
        <v>8</v>
      </c>
      <c r="CW204" s="31"/>
      <c r="EH204" s="27" t="s">
        <v>7</v>
      </c>
      <c r="EI204" s="27" t="s">
        <v>8</v>
      </c>
      <c r="EJ204" s="27" t="s">
        <v>7</v>
      </c>
    </row>
    <row r="205" spans="1:140" x14ac:dyDescent="0.25">
      <c r="A205" s="30">
        <v>5.5160153675922574</v>
      </c>
      <c r="E205"/>
      <c r="I205" s="27" t="s">
        <v>8</v>
      </c>
      <c r="K205" s="27" t="s">
        <v>8</v>
      </c>
      <c r="L205" s="27" t="s">
        <v>7</v>
      </c>
      <c r="M205" s="27" t="s">
        <v>8</v>
      </c>
      <c r="X205" s="27" t="s">
        <v>7</v>
      </c>
      <c r="Y205" s="27" t="s">
        <v>8</v>
      </c>
      <c r="Z205" s="27" t="s">
        <v>7</v>
      </c>
      <c r="AA205" s="27" t="s">
        <v>8</v>
      </c>
      <c r="AD205" s="27" t="s">
        <v>7</v>
      </c>
      <c r="AE205" s="27" t="s">
        <v>8</v>
      </c>
      <c r="AF205" s="27" t="s">
        <v>7</v>
      </c>
      <c r="AG205" s="27" t="s">
        <v>8</v>
      </c>
      <c r="CL205" s="27" t="s">
        <v>7</v>
      </c>
      <c r="CN205" s="27" t="s">
        <v>7</v>
      </c>
      <c r="CT205" s="27" t="s">
        <v>7</v>
      </c>
      <c r="CU205" s="27" t="s">
        <v>8</v>
      </c>
      <c r="CV205" s="31"/>
      <c r="EH205" s="27" t="s">
        <v>7</v>
      </c>
      <c r="EI205" s="27" t="s">
        <v>8</v>
      </c>
      <c r="EJ205" s="27" t="s">
        <v>7</v>
      </c>
    </row>
    <row r="206" spans="1:140" x14ac:dyDescent="0.25">
      <c r="A206" s="30">
        <v>5.2533479691354827</v>
      </c>
      <c r="C206"/>
      <c r="D206"/>
      <c r="E206"/>
      <c r="I206" s="27" t="s">
        <v>8</v>
      </c>
      <c r="J206" s="27" t="s">
        <v>7</v>
      </c>
      <c r="K206" s="27" t="s">
        <v>8</v>
      </c>
      <c r="L206" s="27" t="s">
        <v>7</v>
      </c>
      <c r="X206" s="27" t="s">
        <v>7</v>
      </c>
      <c r="Y206" s="27" t="s">
        <v>8</v>
      </c>
      <c r="Z206" s="27" t="s">
        <v>7</v>
      </c>
      <c r="AD206" s="27" t="s">
        <v>7</v>
      </c>
      <c r="AE206" s="27" t="s">
        <v>8</v>
      </c>
      <c r="AF206" s="27" t="s">
        <v>7</v>
      </c>
      <c r="AG206" s="27" t="s">
        <v>8</v>
      </c>
      <c r="CT206" s="27" t="s">
        <v>7</v>
      </c>
      <c r="CU206" s="31" t="s">
        <v>8</v>
      </c>
      <c r="EH206" s="27" t="s">
        <v>7</v>
      </c>
      <c r="EI206" s="27" t="s">
        <v>8</v>
      </c>
      <c r="EJ206" s="27" t="s">
        <v>7</v>
      </c>
    </row>
    <row r="207" spans="1:140" x14ac:dyDescent="0.25">
      <c r="A207" s="30">
        <v>5.0031885420337927</v>
      </c>
      <c r="E207"/>
      <c r="I207" s="27" t="s">
        <v>8</v>
      </c>
      <c r="J207" s="27" t="s">
        <v>7</v>
      </c>
      <c r="K207" s="27" t="s">
        <v>8</v>
      </c>
      <c r="X207" s="27" t="s">
        <v>7</v>
      </c>
      <c r="Y207" s="27" t="s">
        <v>8</v>
      </c>
      <c r="AD207" s="27" t="s">
        <v>7</v>
      </c>
      <c r="AF207" s="27" t="s">
        <v>7</v>
      </c>
      <c r="CT207" s="31" t="s">
        <v>7</v>
      </c>
      <c r="EH207" s="27" t="s">
        <v>7</v>
      </c>
      <c r="EI207" s="27" t="s">
        <v>8</v>
      </c>
      <c r="EJ207" s="27" t="s">
        <v>7</v>
      </c>
    </row>
    <row r="208" spans="1:140" x14ac:dyDescent="0.25">
      <c r="A208" s="30">
        <v>4.7649414686036122</v>
      </c>
      <c r="E208"/>
      <c r="I208" s="27" t="s">
        <v>8</v>
      </c>
      <c r="J208" s="27" t="s">
        <v>7</v>
      </c>
      <c r="K208" s="27" t="s">
        <v>8</v>
      </c>
      <c r="X208" s="27" t="s">
        <v>7</v>
      </c>
      <c r="EH208" s="27" t="s">
        <v>7</v>
      </c>
      <c r="EI208" s="27" t="s">
        <v>8</v>
      </c>
    </row>
    <row r="209" spans="1:138" x14ac:dyDescent="0.25">
      <c r="A209" s="30">
        <v>4.5380394939082018</v>
      </c>
      <c r="E209"/>
      <c r="I209" s="27" t="s">
        <v>8</v>
      </c>
      <c r="J209" s="27" t="s">
        <v>7</v>
      </c>
      <c r="K209" s="27" t="s">
        <v>8</v>
      </c>
      <c r="EH209" s="27" t="s">
        <v>7</v>
      </c>
    </row>
    <row r="210" spans="1:138" x14ac:dyDescent="0.25">
      <c r="A210" s="30">
        <v>4.3219423751506678</v>
      </c>
      <c r="C210"/>
      <c r="E210"/>
      <c r="I210" s="27" t="s">
        <v>8</v>
      </c>
      <c r="J210" s="27" t="s">
        <v>7</v>
      </c>
      <c r="K210" s="27" t="s">
        <v>8</v>
      </c>
    </row>
    <row r="211" spans="1:138" x14ac:dyDescent="0.25">
      <c r="A211" s="30">
        <v>4.1161355953815884</v>
      </c>
      <c r="E211" t="s">
        <v>8</v>
      </c>
      <c r="I211" s="27" t="s">
        <v>8</v>
      </c>
      <c r="J211" s="27" t="s">
        <v>7</v>
      </c>
      <c r="K211" s="27" t="s">
        <v>8</v>
      </c>
    </row>
    <row r="212" spans="1:138" x14ac:dyDescent="0.25">
      <c r="A212" s="30">
        <v>3.9201291384586554</v>
      </c>
      <c r="E212" t="s">
        <v>8</v>
      </c>
      <c r="F212" s="27" t="s">
        <v>7</v>
      </c>
      <c r="I212" s="27" t="s">
        <v>8</v>
      </c>
      <c r="J212" s="27" t="s">
        <v>7</v>
      </c>
      <c r="K212" s="27" t="s">
        <v>8</v>
      </c>
    </row>
    <row r="213" spans="1:138" x14ac:dyDescent="0.25">
      <c r="A213" s="30">
        <v>3.7334563223415764</v>
      </c>
      <c r="E213" t="s">
        <v>8</v>
      </c>
      <c r="F213" s="27" t="s">
        <v>7</v>
      </c>
      <c r="G213" s="27" t="s">
        <v>8</v>
      </c>
      <c r="I213" s="27" t="s">
        <v>8</v>
      </c>
      <c r="J213" s="27" t="s">
        <v>7</v>
      </c>
    </row>
    <row r="214" spans="1:138" x14ac:dyDescent="0.25">
      <c r="A214" s="30">
        <v>3.5556726879443583</v>
      </c>
      <c r="E214" t="s">
        <v>8</v>
      </c>
      <c r="F214" s="27" t="s">
        <v>7</v>
      </c>
      <c r="G214" s="27" t="s">
        <v>8</v>
      </c>
      <c r="H214" s="27" t="s">
        <v>7</v>
      </c>
      <c r="I214" s="27" t="s">
        <v>8</v>
      </c>
    </row>
    <row r="215" spans="1:138" x14ac:dyDescent="0.25">
      <c r="A215" s="30">
        <v>3.3863549408993889</v>
      </c>
      <c r="E215" t="s">
        <v>8</v>
      </c>
      <c r="F215" s="27" t="s">
        <v>7</v>
      </c>
      <c r="G215" s="27" t="s">
        <v>8</v>
      </c>
      <c r="H215" s="27" t="s">
        <v>7</v>
      </c>
      <c r="I215" s="27" t="s">
        <v>8</v>
      </c>
    </row>
    <row r="216" spans="1:138" x14ac:dyDescent="0.25">
      <c r="A216" s="30">
        <v>3.2250999437137038</v>
      </c>
      <c r="E216" t="s">
        <v>8</v>
      </c>
      <c r="F216" s="27" t="s">
        <v>7</v>
      </c>
      <c r="G216" s="27" t="s">
        <v>8</v>
      </c>
      <c r="H216" s="27" t="s">
        <v>7</v>
      </c>
      <c r="I216" s="27" t="s">
        <v>8</v>
      </c>
    </row>
    <row r="217" spans="1:138" x14ac:dyDescent="0.25">
      <c r="A217" s="30">
        <v>3.0715237559178128</v>
      </c>
      <c r="E217" t="s">
        <v>8</v>
      </c>
      <c r="F217" s="27" t="s">
        <v>7</v>
      </c>
      <c r="H217" s="27" t="s">
        <v>7</v>
      </c>
      <c r="I217" s="27" t="s">
        <v>8</v>
      </c>
    </row>
    <row r="218" spans="1:138" x14ac:dyDescent="0.25">
      <c r="A218" s="30">
        <v>2.9252607199217264</v>
      </c>
      <c r="E218" t="s">
        <v>8</v>
      </c>
      <c r="H218" s="27" t="s">
        <v>7</v>
      </c>
      <c r="I218" s="27" t="s">
        <v>8</v>
      </c>
    </row>
    <row r="219" spans="1:138" x14ac:dyDescent="0.25">
      <c r="A219" s="30">
        <v>2.7859625904016441</v>
      </c>
      <c r="E219" t="s">
        <v>8</v>
      </c>
      <c r="H219" s="27" t="s">
        <v>7</v>
      </c>
    </row>
    <row r="220" spans="1:138" x14ac:dyDescent="0.25">
      <c r="A220" s="30">
        <v>2.6532977051444226</v>
      </c>
      <c r="E220" t="s">
        <v>8</v>
      </c>
    </row>
    <row r="221" spans="1:138" x14ac:dyDescent="0.25">
      <c r="A221" s="30">
        <v>2.5269501953756404</v>
      </c>
      <c r="E221" t="s">
        <v>8</v>
      </c>
    </row>
    <row r="222" spans="1:138" x14ac:dyDescent="0.25">
      <c r="A222" s="30">
        <v>2.4066192336910861</v>
      </c>
      <c r="E222" t="s">
        <v>8</v>
      </c>
    </row>
    <row r="223" spans="1:138" x14ac:dyDescent="0.25">
      <c r="A223" s="30">
        <v>2.2920183178010345</v>
      </c>
      <c r="E223" t="s">
        <v>8</v>
      </c>
    </row>
    <row r="224" spans="1:138" x14ac:dyDescent="0.25">
      <c r="A224" s="30">
        <v>2.1828745883819374</v>
      </c>
      <c r="E224" t="s">
        <v>8</v>
      </c>
    </row>
    <row r="225" spans="1:5" x14ac:dyDescent="0.25">
      <c r="A225" s="30">
        <v>2.0789281794113688</v>
      </c>
      <c r="E225" t="s">
        <v>8</v>
      </c>
    </row>
    <row r="226" spans="1:5" x14ac:dyDescent="0.25">
      <c r="A226" s="30">
        <v>1.9799315994393987</v>
      </c>
      <c r="E226" t="s">
        <v>8</v>
      </c>
    </row>
    <row r="227" spans="1:5" x14ac:dyDescent="0.25">
      <c r="A227" s="30">
        <v>1.8856491423232367</v>
      </c>
      <c r="E227" t="s">
        <v>8</v>
      </c>
    </row>
    <row r="228" spans="1:5" x14ac:dyDescent="0.25">
      <c r="A228" s="30">
        <v>1.7958563260221301</v>
      </c>
      <c r="C228" s="7"/>
      <c r="D228"/>
      <c r="E228" t="s">
        <v>8</v>
      </c>
    </row>
    <row r="229" spans="1:5" x14ac:dyDescent="0.25">
      <c r="A229" s="30">
        <v>1.7103393581163142</v>
      </c>
      <c r="E229" t="s">
        <v>8</v>
      </c>
    </row>
    <row r="230" spans="1:5" x14ac:dyDescent="0.25">
      <c r="A230" s="30">
        <v>1.628894626777442</v>
      </c>
      <c r="E230" t="s">
        <v>8</v>
      </c>
    </row>
    <row r="231" spans="1:5" x14ac:dyDescent="0.25">
      <c r="A231" s="30">
        <v>1.5513282159785162</v>
      </c>
      <c r="C231"/>
      <c r="D231"/>
      <c r="E231" t="s">
        <v>8</v>
      </c>
    </row>
    <row r="232" spans="1:5" x14ac:dyDescent="0.25">
      <c r="A232" s="30">
        <v>1.477455443789063</v>
      </c>
      <c r="E232" t="s">
        <v>8</v>
      </c>
    </row>
    <row r="233" spans="1:5" x14ac:dyDescent="0.25">
      <c r="A233" s="30">
        <v>1.4071004226562505</v>
      </c>
      <c r="E233" t="s">
        <v>8</v>
      </c>
    </row>
    <row r="234" spans="1:5" x14ac:dyDescent="0.25">
      <c r="A234" s="30">
        <v>1.3400956406250004</v>
      </c>
      <c r="E234" t="s">
        <v>8</v>
      </c>
    </row>
    <row r="235" spans="1:5" x14ac:dyDescent="0.25">
      <c r="A235" s="30">
        <v>1.2762815625000004</v>
      </c>
      <c r="C235"/>
      <c r="E235" t="s">
        <v>8</v>
      </c>
    </row>
    <row r="236" spans="1:5" x14ac:dyDescent="0.25">
      <c r="A236" s="30">
        <v>1.2155062500000002</v>
      </c>
      <c r="E236" t="s">
        <v>8</v>
      </c>
    </row>
    <row r="237" spans="1:5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 t="s">
        <v>8</v>
      </c>
    </row>
    <row r="238" spans="1:5" x14ac:dyDescent="0.25">
      <c r="A238" s="30">
        <v>1.1025</v>
      </c>
      <c r="E238" t="s">
        <v>8</v>
      </c>
    </row>
    <row r="239" spans="1:5" x14ac:dyDescent="0.25">
      <c r="A239" s="30">
        <v>1.05</v>
      </c>
      <c r="E239" t="s">
        <v>8</v>
      </c>
    </row>
    <row r="240" spans="1:5" x14ac:dyDescent="0.25">
      <c r="A240" s="30">
        <v>1</v>
      </c>
      <c r="E240" s="29" t="s">
        <v>8</v>
      </c>
    </row>
    <row r="241" spans="1:5" x14ac:dyDescent="0.25">
      <c r="A241" s="30">
        <v>0.952380952380952</v>
      </c>
      <c r="B241"/>
      <c r="C241"/>
      <c r="D241"/>
      <c r="E241"/>
    </row>
    <row r="242" spans="1:5" x14ac:dyDescent="0.25">
      <c r="A242" s="30">
        <v>0.90702947845804915</v>
      </c>
      <c r="B242"/>
      <c r="C242"/>
      <c r="D242"/>
      <c r="E242"/>
    </row>
    <row r="243" spans="1:5" x14ac:dyDescent="0.25">
      <c r="A243" s="30">
        <v>0.86383759853147501</v>
      </c>
      <c r="B243"/>
      <c r="C243"/>
      <c r="D243"/>
      <c r="E243"/>
    </row>
    <row r="244" spans="1:5" x14ac:dyDescent="0.25">
      <c r="A244" s="30">
        <v>0.82270247479188063</v>
      </c>
      <c r="B244"/>
      <c r="C244"/>
      <c r="D244"/>
      <c r="E244"/>
    </row>
    <row r="245" spans="1:5" x14ac:dyDescent="0.25">
      <c r="A245" s="30">
        <v>0.78352616646845741</v>
      </c>
      <c r="B245"/>
      <c r="C245"/>
      <c r="D245"/>
      <c r="E245"/>
    </row>
    <row r="246" spans="1:5" x14ac:dyDescent="0.25">
      <c r="A246" s="30">
        <v>0.74621539663662584</v>
      </c>
      <c r="B246"/>
      <c r="C246"/>
      <c r="D246"/>
      <c r="E246"/>
    </row>
    <row r="247" spans="1:5" x14ac:dyDescent="0.25">
      <c r="A247" s="30">
        <v>0.71068133013011958</v>
      </c>
      <c r="B247"/>
      <c r="C247"/>
      <c r="D247"/>
      <c r="E247"/>
    </row>
    <row r="248" spans="1:5" x14ac:dyDescent="0.25">
      <c r="A248" s="30">
        <v>0.676839362028685</v>
      </c>
      <c r="B248"/>
      <c r="C248"/>
      <c r="D248"/>
      <c r="E248"/>
    </row>
    <row r="249" spans="1:5" x14ac:dyDescent="0.25">
      <c r="A249" s="30">
        <v>0.64460891621779492</v>
      </c>
      <c r="B249"/>
      <c r="C249"/>
      <c r="D249"/>
      <c r="E249"/>
    </row>
    <row r="250" spans="1:5" x14ac:dyDescent="0.25">
      <c r="A250" s="30">
        <v>0.61391325354075688</v>
      </c>
      <c r="B250"/>
      <c r="C250"/>
      <c r="D250"/>
      <c r="E250"/>
    </row>
    <row r="251" spans="1:5" x14ac:dyDescent="0.25">
      <c r="A251" s="30">
        <v>0.58467928908643485</v>
      </c>
      <c r="B251"/>
      <c r="C251"/>
      <c r="D251"/>
      <c r="E251"/>
    </row>
    <row r="252" spans="1:5" x14ac:dyDescent="0.25">
      <c r="A252" s="30">
        <v>0.55683741817755672</v>
      </c>
      <c r="B252"/>
      <c r="C252"/>
      <c r="D252"/>
      <c r="E252"/>
    </row>
    <row r="253" spans="1:5" x14ac:dyDescent="0.25">
      <c r="A253" s="30">
        <v>0.53032135064529184</v>
      </c>
      <c r="B253"/>
      <c r="C253"/>
      <c r="D253"/>
      <c r="E253"/>
    </row>
    <row r="254" spans="1:5" x14ac:dyDescent="0.25">
      <c r="A254" s="30">
        <v>0.50506795299551588</v>
      </c>
      <c r="B254"/>
      <c r="C254"/>
      <c r="D254"/>
      <c r="E254"/>
    </row>
    <row r="255" spans="1:5" x14ac:dyDescent="0.25">
      <c r="A255" s="30">
        <v>0.48101709809096732</v>
      </c>
      <c r="E255"/>
    </row>
    <row r="256" spans="1:5" x14ac:dyDescent="0.25">
      <c r="A256" s="30">
        <v>0.45811152199139726</v>
      </c>
      <c r="E256"/>
    </row>
    <row r="257" spans="1:5" x14ac:dyDescent="0.25">
      <c r="A257" s="30">
        <v>0.43629668761085438</v>
      </c>
      <c r="B257"/>
      <c r="C257"/>
      <c r="D257"/>
      <c r="E257"/>
    </row>
    <row r="258" spans="1:5" x14ac:dyDescent="0.25">
      <c r="A258" s="30">
        <v>0.41552065486748019</v>
      </c>
      <c r="B258"/>
      <c r="C258"/>
      <c r="D258"/>
      <c r="E258"/>
    </row>
    <row r="259" spans="1:5" x14ac:dyDescent="0.25">
      <c r="A259" s="30">
        <v>0.39573395701664765</v>
      </c>
      <c r="B259"/>
      <c r="C259"/>
      <c r="D259"/>
      <c r="E259"/>
    </row>
    <row r="260" spans="1:5" x14ac:dyDescent="0.25">
      <c r="A260" s="30">
        <v>0.37688948287299762</v>
      </c>
      <c r="B260"/>
      <c r="C260"/>
      <c r="D260"/>
      <c r="E260"/>
    </row>
    <row r="261" spans="1:5" x14ac:dyDescent="0.25">
      <c r="A261" s="30">
        <v>0.35894236464094997</v>
      </c>
      <c r="B261"/>
      <c r="C261"/>
      <c r="D261"/>
      <c r="E261"/>
    </row>
    <row r="262" spans="1:5" x14ac:dyDescent="0.25">
      <c r="A262" s="30">
        <v>0.34184987108661891</v>
      </c>
      <c r="B262"/>
      <c r="C262"/>
      <c r="D262"/>
      <c r="E262"/>
    </row>
    <row r="263" spans="1:5" x14ac:dyDescent="0.25">
      <c r="A263" s="30">
        <v>0.32557130579677979</v>
      </c>
      <c r="B263"/>
      <c r="C263"/>
      <c r="D263"/>
      <c r="E263"/>
    </row>
    <row r="264" spans="1:5" x14ac:dyDescent="0.25">
      <c r="A264" s="30">
        <v>0.3100679102826473</v>
      </c>
      <c r="B264"/>
      <c r="C264"/>
      <c r="D264"/>
      <c r="E264"/>
    </row>
    <row r="265" spans="1:5" x14ac:dyDescent="0.25">
      <c r="A265" s="30">
        <v>0.2953027716977592</v>
      </c>
      <c r="B265"/>
      <c r="C265"/>
      <c r="D265"/>
      <c r="E265"/>
    </row>
    <row r="266" spans="1:5" x14ac:dyDescent="0.25">
      <c r="A266" s="30">
        <v>0.28124073495024676</v>
      </c>
      <c r="B266"/>
      <c r="C266"/>
      <c r="D266"/>
      <c r="E266"/>
    </row>
    <row r="267" spans="1:5" x14ac:dyDescent="0.25">
      <c r="A267" s="30">
        <v>0.26784831900023492</v>
      </c>
      <c r="B267"/>
      <c r="C267"/>
      <c r="D267"/>
      <c r="E267"/>
    </row>
    <row r="268" spans="1:5" x14ac:dyDescent="0.25">
      <c r="A268" s="30">
        <v>0.25509363714308075</v>
      </c>
      <c r="B268"/>
      <c r="C268"/>
      <c r="D268"/>
      <c r="E268"/>
    </row>
    <row r="269" spans="1:5" x14ac:dyDescent="0.25">
      <c r="A269" s="30">
        <v>0.24294632108864825</v>
      </c>
      <c r="B269"/>
      <c r="C269"/>
      <c r="D269"/>
      <c r="E269"/>
    </row>
    <row r="270" spans="1:5" x14ac:dyDescent="0.25">
      <c r="A270" s="30">
        <v>0.23137744865585538</v>
      </c>
      <c r="B270"/>
      <c r="C270"/>
      <c r="D270"/>
      <c r="E270"/>
    </row>
    <row r="271" spans="1:5" x14ac:dyDescent="0.25">
      <c r="A271" s="30">
        <v>0.22035947491033836</v>
      </c>
      <c r="B271"/>
      <c r="C271"/>
      <c r="D271"/>
      <c r="E271"/>
    </row>
    <row r="272" spans="1:5" x14ac:dyDescent="0.25">
      <c r="A272" s="30">
        <v>0.20986616658127455</v>
      </c>
      <c r="B272"/>
      <c r="C272"/>
      <c r="D272"/>
      <c r="E272"/>
    </row>
    <row r="273" spans="1:5" x14ac:dyDescent="0.25">
      <c r="A273" s="30">
        <v>0.19987253960121379</v>
      </c>
      <c r="B273"/>
      <c r="C273"/>
      <c r="D273"/>
      <c r="E273"/>
    </row>
    <row r="274" spans="1:5" x14ac:dyDescent="0.25">
      <c r="A274" s="30">
        <v>0.19035479962020352</v>
      </c>
      <c r="B274"/>
      <c r="C274"/>
      <c r="D274"/>
      <c r="E274"/>
    </row>
    <row r="275" spans="1:5" x14ac:dyDescent="0.25">
      <c r="A275" s="30">
        <v>0.18129028535257471</v>
      </c>
      <c r="B275"/>
      <c r="C275"/>
      <c r="D275"/>
      <c r="E275"/>
    </row>
    <row r="276" spans="1:5" x14ac:dyDescent="0.25">
      <c r="A276" s="30">
        <v>0.17265741462149967</v>
      </c>
      <c r="B276"/>
      <c r="C276"/>
      <c r="D276"/>
      <c r="E276"/>
    </row>
    <row r="277" spans="1:5" x14ac:dyDescent="0.25">
      <c r="A277" s="30">
        <v>0.16443563297285677</v>
      </c>
      <c r="B277"/>
      <c r="C277"/>
      <c r="D277"/>
      <c r="E277"/>
    </row>
    <row r="278" spans="1:5" x14ac:dyDescent="0.25">
      <c r="A278" s="30">
        <v>0.15660536473605399</v>
      </c>
      <c r="B278"/>
      <c r="C278"/>
      <c r="D278"/>
      <c r="E278"/>
    </row>
    <row r="279" spans="1:5" x14ac:dyDescent="0.25">
      <c r="A279" s="30">
        <v>0.14914796641528946</v>
      </c>
      <c r="B279"/>
      <c r="C279"/>
      <c r="D279"/>
      <c r="E279"/>
    </row>
    <row r="280" spans="1:5" x14ac:dyDescent="0.25">
      <c r="A280" s="30">
        <v>0.14204568230027562</v>
      </c>
      <c r="B280"/>
      <c r="C280"/>
      <c r="D280"/>
      <c r="E280"/>
    </row>
    <row r="281" spans="1:5" x14ac:dyDescent="0.25">
      <c r="A281" s="30">
        <v>0.13528160219073862</v>
      </c>
      <c r="B281"/>
      <c r="C281"/>
      <c r="D281"/>
      <c r="E281"/>
    </row>
    <row r="282" spans="1:5" x14ac:dyDescent="0.25">
      <c r="A282" s="30">
        <v>0.12883962113403674</v>
      </c>
      <c r="B282"/>
      <c r="C282"/>
      <c r="D282"/>
      <c r="E282"/>
    </row>
    <row r="283" spans="1:5" x14ac:dyDescent="0.25">
      <c r="A283" s="30">
        <v>0.12270440108003494</v>
      </c>
      <c r="B283"/>
      <c r="C283"/>
      <c r="D283"/>
      <c r="E283"/>
    </row>
    <row r="284" spans="1:5" x14ac:dyDescent="0.25">
      <c r="A284" s="30">
        <v>0.11686133436193799</v>
      </c>
      <c r="B284"/>
      <c r="C284"/>
      <c r="D284"/>
      <c r="E284"/>
    </row>
    <row r="285" spans="1:5" x14ac:dyDescent="0.25">
      <c r="A285" s="30">
        <v>0.11129650891613138</v>
      </c>
      <c r="B285"/>
      <c r="C285"/>
      <c r="D285"/>
      <c r="E285"/>
    </row>
    <row r="286" spans="1:5" x14ac:dyDescent="0.25">
      <c r="A286" s="30">
        <v>0.10599667515822032</v>
      </c>
      <c r="B286"/>
      <c r="C286"/>
      <c r="D286"/>
      <c r="E286"/>
    </row>
    <row r="287" spans="1:5" x14ac:dyDescent="0.25">
      <c r="A287" s="30">
        <v>0.10094921443640027</v>
      </c>
      <c r="B287"/>
      <c r="C287"/>
      <c r="D287"/>
      <c r="E287"/>
    </row>
    <row r="288" spans="1:5" x14ac:dyDescent="0.25">
      <c r="A288" s="30">
        <v>9.6142108987047836E-2</v>
      </c>
      <c r="B288"/>
      <c r="C288"/>
      <c r="D288"/>
      <c r="E288"/>
    </row>
    <row r="289" spans="1:5" x14ac:dyDescent="0.25">
      <c r="A289" s="30">
        <v>9.1563913320997906E-2</v>
      </c>
      <c r="B289"/>
      <c r="C289"/>
      <c r="D289"/>
      <c r="E289"/>
    </row>
    <row r="290" spans="1:5" x14ac:dyDescent="0.25">
      <c r="A290" s="30">
        <v>8.7203726972378923E-2</v>
      </c>
      <c r="B290"/>
      <c r="C290"/>
      <c r="D290"/>
      <c r="E290"/>
    </row>
    <row r="291" spans="1:5" x14ac:dyDescent="0.25">
      <c r="A291" s="30">
        <v>8.3051168545122747E-2</v>
      </c>
      <c r="B291"/>
      <c r="C291"/>
      <c r="D291"/>
      <c r="E291"/>
    </row>
    <row r="292" spans="1:5" x14ac:dyDescent="0.25">
      <c r="A292" s="30">
        <v>7.9096350995354961E-2</v>
      </c>
      <c r="B292"/>
      <c r="C292"/>
      <c r="D292"/>
      <c r="E292"/>
    </row>
    <row r="293" spans="1:5" x14ac:dyDescent="0.25">
      <c r="A293" s="30">
        <v>7.5329858090814217E-2</v>
      </c>
      <c r="B293"/>
      <c r="C293"/>
      <c r="D293"/>
      <c r="E293"/>
    </row>
    <row r="294" spans="1:5" x14ac:dyDescent="0.25">
      <c r="A294" s="30">
        <v>7.1742721991251604E-2</v>
      </c>
      <c r="B294"/>
      <c r="C294"/>
      <c r="D294"/>
      <c r="E294"/>
    </row>
    <row r="295" spans="1:5" x14ac:dyDescent="0.25">
      <c r="A295" s="30">
        <v>6.8326401896430078E-2</v>
      </c>
      <c r="B295"/>
      <c r="C295"/>
      <c r="D295"/>
      <c r="E295"/>
    </row>
    <row r="296" spans="1:5" x14ac:dyDescent="0.25">
      <c r="A296" s="30">
        <v>6.5072763710885759E-2</v>
      </c>
      <c r="B296"/>
      <c r="C296"/>
      <c r="D296"/>
      <c r="E296"/>
    </row>
    <row r="297" spans="1:5" x14ac:dyDescent="0.25">
      <c r="A297" s="30">
        <v>6.197406067703403E-2</v>
      </c>
      <c r="B297"/>
      <c r="C297"/>
      <c r="D297"/>
      <c r="E297"/>
    </row>
    <row r="298" spans="1:5" x14ac:dyDescent="0.25">
      <c r="A298" s="30">
        <v>5.9022914930508576E-2</v>
      </c>
      <c r="B298"/>
      <c r="C298"/>
      <c r="D298"/>
      <c r="E298"/>
    </row>
    <row r="299" spans="1:5" x14ac:dyDescent="0.25">
      <c r="A299" s="30">
        <v>5.6212299933817669E-2</v>
      </c>
      <c r="B299"/>
      <c r="C299"/>
      <c r="D299"/>
      <c r="E299"/>
    </row>
    <row r="300" spans="1:5" x14ac:dyDescent="0.25">
      <c r="A300" s="30">
        <v>5.3535523746492994E-2</v>
      </c>
      <c r="B300"/>
      <c r="C300"/>
      <c r="D300"/>
      <c r="E300"/>
    </row>
    <row r="301" spans="1:5" x14ac:dyDescent="0.25">
      <c r="A301" s="30">
        <v>5.0986213091898068E-2</v>
      </c>
      <c r="B301"/>
      <c r="C301"/>
      <c r="D301"/>
      <c r="E301"/>
    </row>
    <row r="302" spans="1:5" x14ac:dyDescent="0.25">
      <c r="A302" s="30">
        <v>4.8558298182760043E-2</v>
      </c>
      <c r="B302"/>
      <c r="C302"/>
      <c r="D302"/>
      <c r="E302"/>
    </row>
    <row r="303" spans="1:5" x14ac:dyDescent="0.25">
      <c r="A303" s="30">
        <v>4.6245998269295263E-2</v>
      </c>
      <c r="B303"/>
      <c r="C303"/>
      <c r="D303"/>
      <c r="E303"/>
    </row>
    <row r="304" spans="1:5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855" operator="equal">
      <formula>$U$1</formula>
    </cfRule>
    <cfRule type="cellIs" dxfId="67" priority="856" operator="equal">
      <formula>$S$1</formula>
    </cfRule>
  </conditionalFormatting>
  <conditionalFormatting sqref="D136">
    <cfRule type="cellIs" dxfId="66" priority="853" operator="equal">
      <formula>$S$1</formula>
    </cfRule>
    <cfRule type="cellIs" dxfId="65" priority="854" operator="equal">
      <formula>$U$1</formula>
    </cfRule>
  </conditionalFormatting>
  <conditionalFormatting sqref="C162">
    <cfRule type="cellIs" dxfId="64" priority="851" operator="equal">
      <formula>$U$1</formula>
    </cfRule>
    <cfRule type="cellIs" dxfId="63" priority="852" operator="equal">
      <formula>$S$1</formula>
    </cfRule>
  </conditionalFormatting>
  <conditionalFormatting sqref="D162">
    <cfRule type="cellIs" dxfId="62" priority="849" operator="equal">
      <formula>$S$1</formula>
    </cfRule>
    <cfRule type="cellIs" dxfId="61" priority="850" operator="equal">
      <formula>$U$1</formula>
    </cfRule>
  </conditionalFormatting>
  <conditionalFormatting sqref="C187">
    <cfRule type="cellIs" dxfId="60" priority="847" operator="equal">
      <formula>$U$1</formula>
    </cfRule>
    <cfRule type="cellIs" dxfId="59" priority="848" operator="equal">
      <formula>$S$1</formula>
    </cfRule>
  </conditionalFormatting>
  <conditionalFormatting sqref="D187">
    <cfRule type="cellIs" dxfId="58" priority="845" operator="equal">
      <formula>$S$1</formula>
    </cfRule>
    <cfRule type="cellIs" dxfId="57" priority="846" operator="equal">
      <formula>$U$1</formula>
    </cfRule>
  </conditionalFormatting>
  <conditionalFormatting sqref="C212">
    <cfRule type="cellIs" dxfId="56" priority="843" operator="equal">
      <formula>$U$1</formula>
    </cfRule>
    <cfRule type="cellIs" dxfId="55" priority="844" operator="equal">
      <formula>$S$1</formula>
    </cfRule>
  </conditionalFormatting>
  <conditionalFormatting sqref="D212">
    <cfRule type="cellIs" dxfId="54" priority="841" operator="equal">
      <formula>$S$1</formula>
    </cfRule>
    <cfRule type="cellIs" dxfId="53" priority="842" operator="equal">
      <formula>$U$1</formula>
    </cfRule>
  </conditionalFormatting>
  <conditionalFormatting sqref="C237">
    <cfRule type="cellIs" dxfId="52" priority="839" operator="equal">
      <formula>$U$1</formula>
    </cfRule>
    <cfRule type="cellIs" dxfId="51" priority="840" operator="equal">
      <formula>$S$1</formula>
    </cfRule>
  </conditionalFormatting>
  <conditionalFormatting sqref="D237">
    <cfRule type="cellIs" dxfId="50" priority="837" operator="equal">
      <formula>$S$1</formula>
    </cfRule>
    <cfRule type="cellIs" dxfId="49" priority="838" operator="equal">
      <formula>$U$1</formula>
    </cfRule>
  </conditionalFormatting>
  <conditionalFormatting sqref="C106">
    <cfRule type="cellIs" dxfId="48" priority="835" operator="equal">
      <formula>$U$1</formula>
    </cfRule>
    <cfRule type="cellIs" dxfId="47" priority="836" operator="equal">
      <formula>$S$1</formula>
    </cfRule>
  </conditionalFormatting>
  <conditionalFormatting sqref="D106">
    <cfRule type="cellIs" dxfId="46" priority="833" operator="equal">
      <formula>$S$1</formula>
    </cfRule>
    <cfRule type="cellIs" dxfId="45" priority="834" operator="equal">
      <formula>$U$1</formula>
    </cfRule>
  </conditionalFormatting>
  <conditionalFormatting sqref="C81">
    <cfRule type="cellIs" dxfId="44" priority="831" operator="equal">
      <formula>$U$1</formula>
    </cfRule>
    <cfRule type="cellIs" dxfId="43" priority="832" operator="equal">
      <formula>$S$1</formula>
    </cfRule>
  </conditionalFormatting>
  <conditionalFormatting sqref="D81">
    <cfRule type="cellIs" dxfId="42" priority="829" operator="equal">
      <formula>$S$1</formula>
    </cfRule>
    <cfRule type="cellIs" dxfId="41" priority="830" operator="equal">
      <formula>$U$1</formula>
    </cfRule>
  </conditionalFormatting>
  <conditionalFormatting sqref="C56">
    <cfRule type="cellIs" dxfId="40" priority="827" operator="equal">
      <formula>$U$1</formula>
    </cfRule>
    <cfRule type="cellIs" dxfId="39" priority="828" operator="equal">
      <formula>$S$1</formula>
    </cfRule>
  </conditionalFormatting>
  <conditionalFormatting sqref="D56">
    <cfRule type="cellIs" dxfId="38" priority="825" operator="equal">
      <formula>$S$1</formula>
    </cfRule>
    <cfRule type="cellIs" dxfId="37" priority="826" operator="equal">
      <formula>$U$1</formula>
    </cfRule>
  </conditionalFormatting>
  <conditionalFormatting sqref="C31">
    <cfRule type="cellIs" dxfId="36" priority="823" operator="equal">
      <formula>$U$1</formula>
    </cfRule>
    <cfRule type="cellIs" dxfId="35" priority="824" operator="equal">
      <formula>$S$1</formula>
    </cfRule>
  </conditionalFormatting>
  <conditionalFormatting sqref="D31">
    <cfRule type="cellIs" dxfId="34" priority="821" operator="equal">
      <formula>$S$1</formula>
    </cfRule>
    <cfRule type="cellIs" dxfId="33" priority="822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92" zoomScale="90" zoomScaleNormal="90" workbookViewId="0">
      <pane xSplit="4" topLeftCell="G1" activePane="topRight" state="frozen"/>
      <selection activeCell="A109" sqref="A109"/>
      <selection pane="topRight" activeCell="BF104" sqref="BF104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4" x14ac:dyDescent="0.25">
      <c r="A81" s="30">
        <v>45.259255568176073</v>
      </c>
      <c r="E81"/>
    </row>
    <row r="82" spans="1:54" x14ac:dyDescent="0.25">
      <c r="A82" s="30">
        <v>41.144777789250973</v>
      </c>
      <c r="E82"/>
      <c r="AC82" s="27" t="s">
        <v>8</v>
      </c>
    </row>
    <row r="83" spans="1:54" x14ac:dyDescent="0.25">
      <c r="A83" s="30">
        <v>37.404343444773609</v>
      </c>
      <c r="E83"/>
      <c r="AA83" s="27" t="s">
        <v>8</v>
      </c>
      <c r="AC83" s="27" t="s">
        <v>8</v>
      </c>
      <c r="AD83" s="27" t="s">
        <v>7</v>
      </c>
      <c r="AE83" s="27" t="s">
        <v>8</v>
      </c>
    </row>
    <row r="84" spans="1:54" x14ac:dyDescent="0.25">
      <c r="A84" s="30">
        <v>34.003948586157826</v>
      </c>
      <c r="E84"/>
      <c r="AA84" s="27" t="s">
        <v>8</v>
      </c>
      <c r="AB84" s="27" t="s">
        <v>7</v>
      </c>
      <c r="AC84" s="27" t="s">
        <v>8</v>
      </c>
      <c r="AD84" s="27" t="s">
        <v>7</v>
      </c>
      <c r="AE84" s="27" t="s">
        <v>8</v>
      </c>
      <c r="AF84" s="27" t="s">
        <v>7</v>
      </c>
      <c r="AG84" s="27" t="s">
        <v>8</v>
      </c>
    </row>
    <row r="85" spans="1:54" x14ac:dyDescent="0.25">
      <c r="A85" s="30">
        <v>30.912680532870748</v>
      </c>
      <c r="E85"/>
      <c r="W85" s="27" t="s">
        <v>8</v>
      </c>
      <c r="Y85" s="27" t="s">
        <v>8</v>
      </c>
      <c r="AA85" s="27" t="s">
        <v>8</v>
      </c>
      <c r="AB85" s="27" t="s">
        <v>7</v>
      </c>
      <c r="AC85" s="27" t="s">
        <v>8</v>
      </c>
      <c r="AD85" s="27" t="s">
        <v>7</v>
      </c>
      <c r="AE85" s="27" t="s">
        <v>8</v>
      </c>
      <c r="AF85" s="27" t="s">
        <v>7</v>
      </c>
      <c r="AG85" s="27" t="s">
        <v>8</v>
      </c>
      <c r="AH85" s="27" t="s">
        <v>7</v>
      </c>
      <c r="AK85" s="27" t="s">
        <v>8</v>
      </c>
    </row>
    <row r="86" spans="1:54" x14ac:dyDescent="0.25">
      <c r="A86" s="30">
        <v>28.102436848064315</v>
      </c>
      <c r="E86"/>
      <c r="W86" s="27" t="s">
        <v>8</v>
      </c>
      <c r="X86" s="27" t="s">
        <v>7</v>
      </c>
      <c r="Y86" s="27" t="s">
        <v>8</v>
      </c>
      <c r="Z86" s="27" t="s">
        <v>7</v>
      </c>
      <c r="AA86" s="27" t="s">
        <v>8</v>
      </c>
      <c r="AB86" s="27" t="s">
        <v>7</v>
      </c>
      <c r="AC86" s="27" t="s">
        <v>8</v>
      </c>
      <c r="AD86" s="27" t="s">
        <v>7</v>
      </c>
      <c r="AF86" s="27" t="s">
        <v>7</v>
      </c>
      <c r="AG86" s="27" t="s">
        <v>8</v>
      </c>
      <c r="AH86" s="27" t="s">
        <v>7</v>
      </c>
      <c r="AK86" s="27" t="s">
        <v>8</v>
      </c>
      <c r="AL86" s="27" t="s">
        <v>7</v>
      </c>
    </row>
    <row r="87" spans="1:54" x14ac:dyDescent="0.25">
      <c r="A87" s="30">
        <v>25.547669861876649</v>
      </c>
      <c r="E87"/>
      <c r="W87" s="27" t="s">
        <v>8</v>
      </c>
      <c r="X87" s="27" t="s">
        <v>7</v>
      </c>
      <c r="Y87" s="27" t="s">
        <v>8</v>
      </c>
      <c r="Z87" s="27" t="s">
        <v>7</v>
      </c>
      <c r="AA87" s="27" t="s">
        <v>8</v>
      </c>
      <c r="AB87" s="27" t="s">
        <v>7</v>
      </c>
      <c r="AF87" s="27" t="s">
        <v>7</v>
      </c>
      <c r="AG87" s="27" t="s">
        <v>8</v>
      </c>
      <c r="AH87" s="27" t="s">
        <v>7</v>
      </c>
      <c r="AI87" s="27" t="s">
        <v>8</v>
      </c>
      <c r="AK87" s="27" t="s">
        <v>8</v>
      </c>
      <c r="AL87" s="27" t="s">
        <v>7</v>
      </c>
    </row>
    <row r="88" spans="1:54" x14ac:dyDescent="0.25">
      <c r="A88" s="30">
        <v>23.225154419887861</v>
      </c>
      <c r="E88"/>
      <c r="W88" s="27" t="s">
        <v>8</v>
      </c>
      <c r="X88" s="27" t="s">
        <v>7</v>
      </c>
      <c r="Y88" s="27" t="s">
        <v>8</v>
      </c>
      <c r="Z88" s="27" t="s">
        <v>7</v>
      </c>
      <c r="AA88" s="27" t="s">
        <v>8</v>
      </c>
      <c r="AF88" s="27" t="s">
        <v>7</v>
      </c>
      <c r="AG88" s="27" t="s">
        <v>8</v>
      </c>
      <c r="AH88" s="27" t="s">
        <v>7</v>
      </c>
      <c r="AI88" s="27" t="s">
        <v>8</v>
      </c>
      <c r="AJ88" s="27" t="s">
        <v>7</v>
      </c>
      <c r="AK88" s="27" t="s">
        <v>8</v>
      </c>
      <c r="AL88" s="27" t="s">
        <v>7</v>
      </c>
    </row>
    <row r="89" spans="1:54" x14ac:dyDescent="0.25">
      <c r="A89" s="30">
        <v>21.113776745352599</v>
      </c>
      <c r="E89"/>
      <c r="W89" s="27" t="s">
        <v>8</v>
      </c>
      <c r="X89" s="27" t="s">
        <v>7</v>
      </c>
      <c r="Y89" s="27" t="s">
        <v>8</v>
      </c>
      <c r="Z89" s="27" t="s">
        <v>7</v>
      </c>
      <c r="AA89" s="27" t="s">
        <v>8</v>
      </c>
      <c r="AF89" s="27" t="s">
        <v>7</v>
      </c>
      <c r="AH89" s="27" t="s">
        <v>7</v>
      </c>
      <c r="AI89" s="27" t="s">
        <v>8</v>
      </c>
      <c r="AJ89" s="27" t="s">
        <v>7</v>
      </c>
      <c r="AK89" s="27" t="s">
        <v>8</v>
      </c>
      <c r="AL89" s="27" t="s">
        <v>7</v>
      </c>
    </row>
    <row r="90" spans="1:54" x14ac:dyDescent="0.25">
      <c r="A90" s="30">
        <v>19.194342495775089</v>
      </c>
      <c r="E90"/>
      <c r="W90" s="27" t="s">
        <v>8</v>
      </c>
      <c r="X90" s="27" t="s">
        <v>7</v>
      </c>
      <c r="Z90" s="27" t="s">
        <v>7</v>
      </c>
      <c r="AA90" s="27" t="s">
        <v>8</v>
      </c>
      <c r="AH90" s="27" t="s">
        <v>7</v>
      </c>
      <c r="AJ90" s="27" t="s">
        <v>7</v>
      </c>
      <c r="AL90" s="27" t="s">
        <v>7</v>
      </c>
    </row>
    <row r="91" spans="1:54" x14ac:dyDescent="0.25">
      <c r="A91" s="30">
        <v>17.449402268886445</v>
      </c>
      <c r="E91"/>
      <c r="W91" s="27" t="s">
        <v>8</v>
      </c>
      <c r="Z91" s="27" t="s">
        <v>7</v>
      </c>
      <c r="AL91" s="27" t="s">
        <v>7</v>
      </c>
    </row>
    <row r="92" spans="1:54" x14ac:dyDescent="0.25">
      <c r="A92" s="30">
        <v>15.863092971714948</v>
      </c>
      <c r="C92" s="1" t="s">
        <v>15</v>
      </c>
      <c r="E92"/>
      <c r="W92" s="27" t="s">
        <v>8</v>
      </c>
      <c r="AL92" s="27" t="s">
        <v>7</v>
      </c>
    </row>
    <row r="93" spans="1:54" x14ac:dyDescent="0.25">
      <c r="A93" s="30">
        <v>14.420993610649951</v>
      </c>
      <c r="C93" s="7">
        <v>0.11167815779424731</v>
      </c>
      <c r="D93"/>
      <c r="E93"/>
      <c r="I93" s="27" t="s">
        <v>8</v>
      </c>
      <c r="W93" s="27" t="s">
        <v>8</v>
      </c>
      <c r="AL93" s="27" t="s">
        <v>7</v>
      </c>
      <c r="AO93" s="27" t="s">
        <v>8</v>
      </c>
      <c r="AW93" s="27" t="s">
        <v>8</v>
      </c>
    </row>
    <row r="94" spans="1:54" x14ac:dyDescent="0.25">
      <c r="A94" s="30">
        <v>13.109994191499954</v>
      </c>
      <c r="E94"/>
      <c r="I94" s="27" t="s">
        <v>8</v>
      </c>
      <c r="J94" s="27" t="s">
        <v>7</v>
      </c>
      <c r="K94" s="27" t="s">
        <v>8</v>
      </c>
      <c r="W94" s="27" t="s">
        <v>8</v>
      </c>
      <c r="AL94" s="27" t="s">
        <v>7</v>
      </c>
      <c r="AO94" s="27" t="s">
        <v>8</v>
      </c>
      <c r="AP94" s="27" t="s">
        <v>7</v>
      </c>
      <c r="AW94" s="27" t="s">
        <v>8</v>
      </c>
      <c r="AX94" s="27" t="s">
        <v>7</v>
      </c>
      <c r="AY94" s="27" t="s">
        <v>8</v>
      </c>
      <c r="BA94" s="27" t="s">
        <v>8</v>
      </c>
    </row>
    <row r="95" spans="1:54" x14ac:dyDescent="0.25">
      <c r="A95" s="30">
        <v>11.918176537727231</v>
      </c>
      <c r="C95" s="1" t="s">
        <v>11</v>
      </c>
      <c r="D95" s="1" t="s">
        <v>12</v>
      </c>
      <c r="E95"/>
      <c r="I95" s="27" t="s">
        <v>8</v>
      </c>
      <c r="J95" s="27" t="s">
        <v>7</v>
      </c>
      <c r="K95" s="27" t="s">
        <v>8</v>
      </c>
      <c r="L95" s="27" t="s">
        <v>7</v>
      </c>
      <c r="W95" s="27" t="s">
        <v>8</v>
      </c>
      <c r="AL95" s="27" t="s">
        <v>7</v>
      </c>
      <c r="AO95" s="27" t="s">
        <v>8</v>
      </c>
      <c r="AP95" s="27" t="s">
        <v>7</v>
      </c>
      <c r="AW95" s="27" t="s">
        <v>8</v>
      </c>
      <c r="AX95" s="27" t="s">
        <v>7</v>
      </c>
      <c r="AY95" s="27" t="s">
        <v>8</v>
      </c>
      <c r="AZ95" s="27" t="s">
        <v>7</v>
      </c>
      <c r="BA95" s="27" t="s">
        <v>8</v>
      </c>
      <c r="BB95" s="27" t="s">
        <v>7</v>
      </c>
    </row>
    <row r="96" spans="1:54" x14ac:dyDescent="0.25">
      <c r="A96" s="30">
        <v>10.834705943388391</v>
      </c>
      <c r="C96"/>
      <c r="D96"/>
      <c r="E96"/>
      <c r="I96" s="27" t="s">
        <v>8</v>
      </c>
      <c r="J96" s="27" t="s">
        <v>7</v>
      </c>
      <c r="K96" s="27" t="s">
        <v>8</v>
      </c>
      <c r="L96" s="27" t="s">
        <v>7</v>
      </c>
      <c r="M96" s="27" t="s">
        <v>8</v>
      </c>
      <c r="U96" s="27" t="s">
        <v>8</v>
      </c>
      <c r="W96" s="27" t="s">
        <v>8</v>
      </c>
      <c r="AL96" s="27" t="s">
        <v>7</v>
      </c>
      <c r="AM96" s="27" t="s">
        <v>8</v>
      </c>
      <c r="AO96" s="27" t="s">
        <v>8</v>
      </c>
      <c r="AP96" s="27" t="s">
        <v>7</v>
      </c>
      <c r="AQ96" s="27" t="s">
        <v>8</v>
      </c>
      <c r="AU96" s="27" t="s">
        <v>8</v>
      </c>
      <c r="AW96" s="27" t="s">
        <v>8</v>
      </c>
      <c r="AX96" s="27" t="s">
        <v>7</v>
      </c>
      <c r="AY96" s="27" t="s">
        <v>8</v>
      </c>
      <c r="AZ96" s="27" t="s">
        <v>7</v>
      </c>
      <c r="BA96" s="27" t="s">
        <v>8</v>
      </c>
      <c r="BB96" s="27" t="s">
        <v>7</v>
      </c>
    </row>
    <row r="97" spans="1:58" x14ac:dyDescent="0.25">
      <c r="A97" s="30">
        <v>9.849732675807628</v>
      </c>
      <c r="E97"/>
      <c r="I97" s="27" t="s">
        <v>8</v>
      </c>
      <c r="J97" s="27" t="s">
        <v>7</v>
      </c>
      <c r="L97" s="27" t="s">
        <v>7</v>
      </c>
      <c r="M97" s="27" t="s">
        <v>8</v>
      </c>
      <c r="N97" s="27" t="s">
        <v>7</v>
      </c>
      <c r="U97" s="27" t="s">
        <v>8</v>
      </c>
      <c r="V97" s="27" t="s">
        <v>7</v>
      </c>
      <c r="W97" s="27" t="s">
        <v>8</v>
      </c>
      <c r="AL97" s="27" t="s">
        <v>7</v>
      </c>
      <c r="AM97" s="27" t="s">
        <v>8</v>
      </c>
      <c r="AN97" s="27" t="s">
        <v>7</v>
      </c>
      <c r="AO97" s="27" t="s">
        <v>8</v>
      </c>
      <c r="AP97" s="27" t="s">
        <v>7</v>
      </c>
      <c r="AQ97" s="27" t="s">
        <v>8</v>
      </c>
      <c r="AR97" s="27" t="s">
        <v>7</v>
      </c>
      <c r="AU97" s="27" t="s">
        <v>8</v>
      </c>
      <c r="AV97" s="27" t="s">
        <v>7</v>
      </c>
      <c r="AW97" s="27" t="s">
        <v>8</v>
      </c>
      <c r="AX97" s="27" t="s">
        <v>7</v>
      </c>
      <c r="AY97" s="27" t="s">
        <v>8</v>
      </c>
      <c r="AZ97" s="27" t="s">
        <v>7</v>
      </c>
      <c r="BA97" s="27" t="s">
        <v>8</v>
      </c>
      <c r="BB97" s="27" t="s">
        <v>7</v>
      </c>
      <c r="BC97" s="27" t="s">
        <v>8</v>
      </c>
    </row>
    <row r="98" spans="1:58" x14ac:dyDescent="0.25">
      <c r="A98" s="30">
        <v>8.9543024325523888</v>
      </c>
      <c r="C98" s="1" t="s">
        <v>13</v>
      </c>
      <c r="E98"/>
      <c r="I98" s="27" t="s">
        <v>8</v>
      </c>
      <c r="L98" s="27" t="s">
        <v>7</v>
      </c>
      <c r="M98" s="27" t="s">
        <v>8</v>
      </c>
      <c r="N98" s="27" t="s">
        <v>7</v>
      </c>
      <c r="S98" s="27" t="s">
        <v>8</v>
      </c>
      <c r="U98" s="27" t="s">
        <v>8</v>
      </c>
      <c r="V98" s="27" t="s">
        <v>7</v>
      </c>
      <c r="W98" s="27" t="s">
        <v>8</v>
      </c>
      <c r="AL98" s="27" t="s">
        <v>7</v>
      </c>
      <c r="AM98" s="27" t="s">
        <v>8</v>
      </c>
      <c r="AN98" s="27" t="s">
        <v>7</v>
      </c>
      <c r="AO98" s="27" t="s">
        <v>8</v>
      </c>
      <c r="AP98" s="27" t="s">
        <v>7</v>
      </c>
      <c r="AQ98" s="27" t="s">
        <v>8</v>
      </c>
      <c r="AR98" s="27" t="s">
        <v>7</v>
      </c>
      <c r="AS98" s="27" t="s">
        <v>8</v>
      </c>
      <c r="AU98" s="27" t="s">
        <v>8</v>
      </c>
      <c r="AV98" s="27" t="s">
        <v>7</v>
      </c>
      <c r="AW98" s="27" t="s">
        <v>8</v>
      </c>
      <c r="AX98" s="27" t="s">
        <v>7</v>
      </c>
      <c r="AY98" s="27" t="s">
        <v>8</v>
      </c>
      <c r="AZ98" s="27" t="s">
        <v>7</v>
      </c>
      <c r="BB98" s="27" t="s">
        <v>7</v>
      </c>
      <c r="BC98" s="27" t="s">
        <v>8</v>
      </c>
      <c r="BD98" s="27" t="s">
        <v>7</v>
      </c>
    </row>
    <row r="99" spans="1:58" x14ac:dyDescent="0.25">
      <c r="A99" s="30">
        <v>8.140274938683989</v>
      </c>
      <c r="C99" s="1">
        <f>C88</f>
        <v>0</v>
      </c>
      <c r="E99"/>
      <c r="I99" s="27" t="s">
        <v>8</v>
      </c>
      <c r="L99" s="27" t="s">
        <v>7</v>
      </c>
      <c r="N99" s="27" t="s">
        <v>7</v>
      </c>
      <c r="S99" s="27" t="s">
        <v>8</v>
      </c>
      <c r="T99" s="27" t="s">
        <v>7</v>
      </c>
      <c r="U99" s="27" t="s">
        <v>8</v>
      </c>
      <c r="V99" s="27" t="s">
        <v>7</v>
      </c>
      <c r="AL99" s="27" t="s">
        <v>7</v>
      </c>
      <c r="AN99" s="27" t="s">
        <v>7</v>
      </c>
      <c r="AO99" s="27" t="s">
        <v>8</v>
      </c>
      <c r="AP99" s="27" t="s">
        <v>7</v>
      </c>
      <c r="AR99" s="27" t="s">
        <v>7</v>
      </c>
      <c r="AS99" s="27" t="s">
        <v>8</v>
      </c>
      <c r="AT99" s="27" t="s">
        <v>7</v>
      </c>
      <c r="AU99" s="27" t="s">
        <v>8</v>
      </c>
      <c r="AV99" s="27" t="s">
        <v>7</v>
      </c>
      <c r="AX99" s="27" t="s">
        <v>7</v>
      </c>
      <c r="BB99" s="27" t="s">
        <v>7</v>
      </c>
      <c r="BC99" s="27" t="s">
        <v>8</v>
      </c>
      <c r="BD99" s="27" t="s">
        <v>7</v>
      </c>
    </row>
    <row r="100" spans="1:58" x14ac:dyDescent="0.25">
      <c r="A100" s="30">
        <v>7.4002499442581717</v>
      </c>
      <c r="C100"/>
      <c r="D100"/>
      <c r="E100"/>
      <c r="I100" s="27" t="s">
        <v>8</v>
      </c>
      <c r="N100" s="27" t="s">
        <v>7</v>
      </c>
      <c r="O100" s="27" t="s">
        <v>8</v>
      </c>
      <c r="Q100" s="27" t="s">
        <v>8</v>
      </c>
      <c r="S100" s="27" t="s">
        <v>8</v>
      </c>
      <c r="T100" s="27" t="s">
        <v>7</v>
      </c>
      <c r="U100" s="27" t="s">
        <v>8</v>
      </c>
      <c r="AN100" s="27" t="s">
        <v>7</v>
      </c>
      <c r="AO100" s="27" t="s">
        <v>8</v>
      </c>
      <c r="AR100" s="27" t="s">
        <v>7</v>
      </c>
      <c r="AS100" s="27" t="s">
        <v>8</v>
      </c>
      <c r="AT100" s="27" t="s">
        <v>7</v>
      </c>
      <c r="AU100" s="27" t="s">
        <v>8</v>
      </c>
      <c r="BB100" s="27" t="s">
        <v>7</v>
      </c>
      <c r="BC100" s="27" t="s">
        <v>8</v>
      </c>
      <c r="BD100" s="27" t="s">
        <v>7</v>
      </c>
    </row>
    <row r="101" spans="1:58" x14ac:dyDescent="0.25">
      <c r="A101" s="30">
        <v>6.72749994932561</v>
      </c>
      <c r="C101" s="1" t="s">
        <v>14</v>
      </c>
      <c r="E101"/>
      <c r="I101" s="27" t="s">
        <v>8</v>
      </c>
      <c r="N101" s="27" t="s">
        <v>7</v>
      </c>
      <c r="O101" s="27" t="s">
        <v>8</v>
      </c>
      <c r="P101" s="27" t="s">
        <v>7</v>
      </c>
      <c r="Q101" s="27" t="s">
        <v>8</v>
      </c>
      <c r="R101" s="27" t="s">
        <v>7</v>
      </c>
      <c r="S101" s="27" t="s">
        <v>8</v>
      </c>
      <c r="T101" s="27" t="s">
        <v>7</v>
      </c>
      <c r="AN101" s="27" t="s">
        <v>7</v>
      </c>
      <c r="AO101" s="27" t="s">
        <v>8</v>
      </c>
      <c r="AR101" s="27" t="s">
        <v>7</v>
      </c>
      <c r="AS101" s="27" t="s">
        <v>8</v>
      </c>
      <c r="AT101" s="27" t="s">
        <v>7</v>
      </c>
      <c r="AU101" s="27" t="s">
        <v>8</v>
      </c>
      <c r="BB101" s="27" t="s">
        <v>7</v>
      </c>
      <c r="BD101" s="27" t="s">
        <v>7</v>
      </c>
      <c r="BE101" s="27" t="s">
        <v>8</v>
      </c>
    </row>
    <row r="102" spans="1:58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  <c r="I102" s="27" t="s">
        <v>8</v>
      </c>
      <c r="N102" s="27" t="s">
        <v>7</v>
      </c>
      <c r="O102" s="27" t="s">
        <v>8</v>
      </c>
      <c r="P102" s="27" t="s">
        <v>7</v>
      </c>
      <c r="Q102" s="27" t="s">
        <v>8</v>
      </c>
      <c r="R102" s="27" t="s">
        <v>7</v>
      </c>
      <c r="S102" s="27" t="s">
        <v>8</v>
      </c>
      <c r="AN102" s="27" t="s">
        <v>7</v>
      </c>
      <c r="AR102" s="27" t="s">
        <v>7</v>
      </c>
      <c r="AS102" s="27" t="s">
        <v>8</v>
      </c>
      <c r="AT102" s="18" t="s">
        <v>7</v>
      </c>
      <c r="AU102" s="27" t="s">
        <v>8</v>
      </c>
      <c r="BD102" s="27" t="s">
        <v>7</v>
      </c>
      <c r="BE102" s="27" t="s">
        <v>8</v>
      </c>
      <c r="BF102" s="27" t="s">
        <v>7</v>
      </c>
    </row>
    <row r="103" spans="1:58" x14ac:dyDescent="0.25">
      <c r="A103" s="30">
        <v>5.5599173134922388</v>
      </c>
      <c r="E103"/>
      <c r="G103" s="27" t="s">
        <v>8</v>
      </c>
      <c r="I103" s="27" t="s">
        <v>8</v>
      </c>
      <c r="N103" s="27" t="s">
        <v>7</v>
      </c>
      <c r="O103" s="27" t="s">
        <v>8</v>
      </c>
      <c r="P103" s="27" t="s">
        <v>7</v>
      </c>
      <c r="R103" s="27" t="s">
        <v>7</v>
      </c>
      <c r="S103" s="27" t="s">
        <v>8</v>
      </c>
      <c r="AR103" s="27" t="s">
        <v>7</v>
      </c>
      <c r="AT103" s="27" t="s">
        <v>7</v>
      </c>
      <c r="AU103" s="27" t="s">
        <v>8</v>
      </c>
      <c r="BD103" s="27" t="s">
        <v>7</v>
      </c>
      <c r="BE103" s="27" t="s">
        <v>8</v>
      </c>
      <c r="BF103" s="27" t="s">
        <v>7</v>
      </c>
    </row>
    <row r="104" spans="1:58" x14ac:dyDescent="0.25">
      <c r="A104" s="30">
        <v>5.0544702849929442</v>
      </c>
      <c r="E104"/>
      <c r="G104" s="27" t="s">
        <v>8</v>
      </c>
      <c r="H104" s="27" t="s">
        <v>7</v>
      </c>
      <c r="I104" s="27" t="s">
        <v>8</v>
      </c>
      <c r="N104" s="27" t="s">
        <v>7</v>
      </c>
      <c r="R104" s="27" t="s">
        <v>7</v>
      </c>
      <c r="AT104" s="27" t="s">
        <v>7</v>
      </c>
      <c r="BD104" s="27" t="s">
        <v>7</v>
      </c>
      <c r="BE104" s="27" t="s">
        <v>8</v>
      </c>
      <c r="BF104" s="27" t="s">
        <v>7</v>
      </c>
    </row>
    <row r="105" spans="1:58" x14ac:dyDescent="0.25">
      <c r="A105" s="30">
        <v>4.594972986357222</v>
      </c>
      <c r="E105"/>
      <c r="G105" s="27" t="s">
        <v>8</v>
      </c>
      <c r="H105" s="27" t="s">
        <v>7</v>
      </c>
      <c r="I105" s="27" t="s">
        <v>8</v>
      </c>
      <c r="BD105" s="27" t="s">
        <v>7</v>
      </c>
    </row>
    <row r="106" spans="1:58" x14ac:dyDescent="0.25">
      <c r="A106" s="30">
        <v>4.1772481694156562</v>
      </c>
      <c r="E106" t="s">
        <v>8</v>
      </c>
      <c r="G106" s="27" t="s">
        <v>8</v>
      </c>
      <c r="H106" s="27" t="s">
        <v>7</v>
      </c>
      <c r="I106" s="27" t="s">
        <v>8</v>
      </c>
    </row>
    <row r="107" spans="1:58" x14ac:dyDescent="0.25">
      <c r="A107" s="30">
        <v>3.7974983358324148</v>
      </c>
      <c r="E107" t="s">
        <v>8</v>
      </c>
      <c r="F107" s="27" t="s">
        <v>7</v>
      </c>
      <c r="G107" s="27" t="s">
        <v>8</v>
      </c>
      <c r="H107" s="27" t="s">
        <v>7</v>
      </c>
    </row>
    <row r="108" spans="1:58" x14ac:dyDescent="0.25">
      <c r="A108" s="30">
        <v>3.4522712143931042</v>
      </c>
      <c r="E108" t="s">
        <v>8</v>
      </c>
      <c r="F108" s="27" t="s">
        <v>7</v>
      </c>
      <c r="G108" s="27" t="s">
        <v>8</v>
      </c>
    </row>
    <row r="109" spans="1:58" x14ac:dyDescent="0.25">
      <c r="A109" s="30">
        <v>3.1384283767210035</v>
      </c>
      <c r="E109" t="s">
        <v>8</v>
      </c>
      <c r="F109" s="27" t="s">
        <v>7</v>
      </c>
      <c r="G109" s="27" t="s">
        <v>8</v>
      </c>
    </row>
    <row r="110" spans="1:58" x14ac:dyDescent="0.25">
      <c r="A110" s="30">
        <v>2.8531167061100029</v>
      </c>
      <c r="E110" t="s">
        <v>8</v>
      </c>
      <c r="F110" s="27" t="s">
        <v>7</v>
      </c>
    </row>
    <row r="111" spans="1:58" x14ac:dyDescent="0.25">
      <c r="A111" s="30">
        <v>2.5937424601000023</v>
      </c>
      <c r="C111" s="1" t="str">
        <f>ADDRESS(C121-1,1,1,1)</f>
        <v>$A$103</v>
      </c>
      <c r="D111" s="1" t="str">
        <f>ADDRESS(C121-1,D121,1,1)</f>
        <v>$BF$103</v>
      </c>
      <c r="E111" t="s">
        <v>8</v>
      </c>
    </row>
    <row r="112" spans="1:58" x14ac:dyDescent="0.25">
      <c r="A112" s="30">
        <v>2.3579476910000019</v>
      </c>
      <c r="C112" s="1" t="str">
        <f>ADDRESS(C121,1,1,1)</f>
        <v>$A$104</v>
      </c>
      <c r="D112" s="1" t="str">
        <f>ADDRESS(C121,D121-1,1,1)</f>
        <v>$BE$104</v>
      </c>
      <c r="E112" t="s">
        <v>8</v>
      </c>
    </row>
    <row r="113" spans="1:5" x14ac:dyDescent="0.25">
      <c r="A113" s="30">
        <v>2.1435888100000016</v>
      </c>
      <c r="C113" s="1" t="str">
        <f>ADDRESS(C121+1,1,1,1)</f>
        <v>$A$105</v>
      </c>
      <c r="D113" s="1" t="str">
        <f>ADDRESS(C121-1,D121+1,1,1)</f>
        <v>$BG$103</v>
      </c>
      <c r="E113" s="1" t="s">
        <v>8</v>
      </c>
    </row>
    <row r="114" spans="1:5" x14ac:dyDescent="0.25">
      <c r="A114" s="30">
        <v>1.9487171000000014</v>
      </c>
      <c r="C114" s="1" t="str">
        <f>ADDRESS(C121,D121,1,1)</f>
        <v>$BF$104</v>
      </c>
      <c r="D114" s="1" t="str">
        <f>ADDRESS(C121+1,D121+1,1,1)</f>
        <v>$BG$105</v>
      </c>
      <c r="E114" s="1" t="s">
        <v>8</v>
      </c>
    </row>
    <row r="115" spans="1:5" x14ac:dyDescent="0.25">
      <c r="A115" s="30">
        <v>1.7715610000000011</v>
      </c>
      <c r="C115" s="1" t="str">
        <f>ADDRESS(C121+1,D121,1,1)</f>
        <v>$BF$105</v>
      </c>
      <c r="E115" s="1" t="s">
        <v>8</v>
      </c>
    </row>
    <row r="116" spans="1:5" x14ac:dyDescent="0.25">
      <c r="A116" s="30">
        <v>1.6105100000000008</v>
      </c>
      <c r="C116" s="1">
        <f>C117-1</f>
        <v>103</v>
      </c>
      <c r="E116" s="1" t="s">
        <v>8</v>
      </c>
    </row>
    <row r="117" spans="1:5" x14ac:dyDescent="0.25">
      <c r="A117" s="30">
        <v>1.4641000000000006</v>
      </c>
      <c r="C117" s="1">
        <f>C121</f>
        <v>104</v>
      </c>
      <c r="D117" s="1">
        <f>D121</f>
        <v>58</v>
      </c>
      <c r="E117" s="1" t="s">
        <v>8</v>
      </c>
    </row>
    <row r="118" spans="1:5" x14ac:dyDescent="0.25">
      <c r="A118" s="30">
        <v>1.3310000000000004</v>
      </c>
      <c r="C118" s="1">
        <f>C117+1</f>
        <v>105</v>
      </c>
      <c r="D118" s="1">
        <f>D117+1</f>
        <v>59</v>
      </c>
      <c r="E118" s="1" t="s">
        <v>8</v>
      </c>
    </row>
    <row r="119" spans="1:5" x14ac:dyDescent="0.25">
      <c r="A119" s="30">
        <v>1.2100000000000002</v>
      </c>
      <c r="E119" s="1" t="s">
        <v>8</v>
      </c>
    </row>
    <row r="120" spans="1:5" x14ac:dyDescent="0.25">
      <c r="A120" s="30">
        <v>1.1000000000000001</v>
      </c>
      <c r="C120" s="1" t="s">
        <v>9</v>
      </c>
      <c r="E120" s="1" t="s">
        <v>8</v>
      </c>
    </row>
    <row r="121" spans="1:5" x14ac:dyDescent="0.25">
      <c r="A121" s="30">
        <v>1</v>
      </c>
      <c r="C121" s="18">
        <v>104</v>
      </c>
      <c r="D121" s="19">
        <v>58</v>
      </c>
      <c r="E121" s="18" t="s">
        <v>8</v>
      </c>
    </row>
    <row r="122" spans="1:5" x14ac:dyDescent="0.25">
      <c r="A122" s="30">
        <v>0.90909090909090895</v>
      </c>
      <c r="C122" s="1" t="str">
        <f>INDEX(1:1048576,C117,D117)</f>
        <v>O</v>
      </c>
    </row>
    <row r="123" spans="1:5" x14ac:dyDescent="0.25">
      <c r="A123" s="30">
        <v>0.82644628099173523</v>
      </c>
      <c r="C123" s="1" t="str">
        <f>"R"&amp;C121</f>
        <v>R104</v>
      </c>
      <c r="D123" s="1" t="str">
        <f>"C"&amp;D121</f>
        <v>C58</v>
      </c>
    </row>
    <row r="124" spans="1:5" x14ac:dyDescent="0.25">
      <c r="A124" s="30">
        <v>0.75131480090157732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0.68301345536507019</v>
      </c>
    </row>
    <row r="126" spans="1:5" x14ac:dyDescent="0.25">
      <c r="A126" s="30">
        <v>0.6209213230591546</v>
      </c>
      <c r="C126" s="1" t="s">
        <v>10</v>
      </c>
    </row>
    <row r="127" spans="1:5" x14ac:dyDescent="0.25">
      <c r="A127" s="30">
        <v>0.56447393005377677</v>
      </c>
      <c r="C127" s="30">
        <v>5.0544702849929442</v>
      </c>
      <c r="D127"/>
    </row>
    <row r="128" spans="1:5" x14ac:dyDescent="0.25">
      <c r="A128" s="30">
        <v>0.51315811823070612</v>
      </c>
    </row>
    <row r="129" spans="1:5" x14ac:dyDescent="0.25">
      <c r="A129" s="30">
        <v>0.46650738020973276</v>
      </c>
      <c r="C129" s="1" t="s">
        <v>11</v>
      </c>
      <c r="D129" s="1" t="s">
        <v>12</v>
      </c>
      <c r="E129"/>
    </row>
    <row r="130" spans="1:5" x14ac:dyDescent="0.25">
      <c r="A130" s="30">
        <v>0.42409761837248428</v>
      </c>
      <c r="C130" s="6"/>
      <c r="D130" s="6"/>
      <c r="E130"/>
    </row>
    <row r="131" spans="1:5" x14ac:dyDescent="0.25">
      <c r="A131" s="30">
        <v>0.38554328942953109</v>
      </c>
      <c r="E131"/>
    </row>
    <row r="132" spans="1:5" x14ac:dyDescent="0.25">
      <c r="A132" s="30">
        <v>0.35049389948139187</v>
      </c>
      <c r="C132" s="1" t="s">
        <v>13</v>
      </c>
      <c r="E132"/>
    </row>
    <row r="133" spans="1:5" x14ac:dyDescent="0.25">
      <c r="A133" s="30">
        <v>0.31863081771035617</v>
      </c>
      <c r="C133" s="1" t="str">
        <f>C122</f>
        <v>O</v>
      </c>
      <c r="E133"/>
    </row>
    <row r="134" spans="1:5" x14ac:dyDescent="0.25">
      <c r="A134" s="30">
        <v>0.28966437973668741</v>
      </c>
      <c r="C134"/>
      <c r="D134"/>
      <c r="E134"/>
    </row>
    <row r="135" spans="1:5" x14ac:dyDescent="0.25">
      <c r="A135" s="30">
        <v>0.2633312543060794</v>
      </c>
      <c r="C135" s="1" t="s">
        <v>14</v>
      </c>
      <c r="E135"/>
    </row>
    <row r="136" spans="1:5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</row>
    <row r="137" spans="1:5" x14ac:dyDescent="0.25">
      <c r="A137" s="30">
        <v>0.2176291357901482</v>
      </c>
      <c r="E137"/>
    </row>
    <row r="138" spans="1:5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0.17985878990921333</v>
      </c>
      <c r="E139"/>
    </row>
    <row r="140" spans="1:5" x14ac:dyDescent="0.25">
      <c r="A140" s="30">
        <v>0.16350799082655756</v>
      </c>
      <c r="C140" s="1">
        <v>0</v>
      </c>
      <c r="E140"/>
    </row>
    <row r="141" spans="1:5" x14ac:dyDescent="0.25">
      <c r="A141" s="30">
        <v>0.14864362802414322</v>
      </c>
      <c r="C141" s="1">
        <v>1</v>
      </c>
      <c r="E141"/>
    </row>
    <row r="142" spans="1:5" x14ac:dyDescent="0.25">
      <c r="A142" s="30">
        <v>0.13513057093103928</v>
      </c>
      <c r="C142" s="1">
        <v>2</v>
      </c>
      <c r="E142"/>
    </row>
    <row r="143" spans="1:5" x14ac:dyDescent="0.25">
      <c r="A143" s="30">
        <v>0.12284597357367205</v>
      </c>
      <c r="C143" s="1">
        <v>3</v>
      </c>
      <c r="E143"/>
    </row>
    <row r="144" spans="1:5" x14ac:dyDescent="0.25">
      <c r="A144" s="30">
        <v>0.11167815779424731</v>
      </c>
      <c r="C144" s="1">
        <v>4</v>
      </c>
      <c r="E144"/>
    </row>
    <row r="145" spans="1:5" x14ac:dyDescent="0.25">
      <c r="A145" s="30">
        <v>0.10152559799477026</v>
      </c>
      <c r="B145"/>
      <c r="C145"/>
      <c r="D145"/>
      <c r="E145"/>
    </row>
    <row r="146" spans="1:5" x14ac:dyDescent="0.25">
      <c r="A146" s="30">
        <v>9.2295998177063854E-2</v>
      </c>
      <c r="B146"/>
      <c r="C146"/>
      <c r="D146"/>
      <c r="E146"/>
    </row>
    <row r="147" spans="1:5" x14ac:dyDescent="0.25">
      <c r="A147" s="30">
        <v>8.3905452888239848E-2</v>
      </c>
      <c r="B147"/>
      <c r="C147"/>
      <c r="D147"/>
      <c r="E147"/>
    </row>
    <row r="148" spans="1:5" x14ac:dyDescent="0.25">
      <c r="A148" s="30">
        <v>7.6277684443854396E-2</v>
      </c>
      <c r="B148"/>
      <c r="C148"/>
      <c r="D148"/>
      <c r="E148"/>
    </row>
    <row r="149" spans="1:5" x14ac:dyDescent="0.25">
      <c r="A149" s="30">
        <v>6.9343349494413078E-2</v>
      </c>
      <c r="B149"/>
      <c r="C149"/>
      <c r="D149"/>
      <c r="E149"/>
    </row>
    <row r="150" spans="1:5" x14ac:dyDescent="0.25">
      <c r="A150" s="30">
        <v>6.3039408631284613E-2</v>
      </c>
      <c r="B150"/>
      <c r="C150"/>
      <c r="D150"/>
      <c r="E150"/>
    </row>
    <row r="151" spans="1:5" x14ac:dyDescent="0.25">
      <c r="A151" s="30">
        <v>5.7308553301167818E-2</v>
      </c>
      <c r="B151"/>
      <c r="C151"/>
      <c r="D151"/>
      <c r="E151"/>
    </row>
    <row r="152" spans="1:5" x14ac:dyDescent="0.25">
      <c r="A152" s="30">
        <v>5.2098684819243464E-2</v>
      </c>
      <c r="B152"/>
      <c r="C152"/>
      <c r="D152"/>
      <c r="E152"/>
    </row>
    <row r="153" spans="1:5" x14ac:dyDescent="0.25">
      <c r="A153" s="30">
        <v>4.7362440744766775E-2</v>
      </c>
      <c r="B153"/>
      <c r="C153"/>
      <c r="D153"/>
      <c r="E153"/>
    </row>
    <row r="154" spans="1:5" x14ac:dyDescent="0.25">
      <c r="A154" s="30">
        <v>4.3056764313424332E-2</v>
      </c>
      <c r="B154"/>
      <c r="C154"/>
      <c r="D154"/>
      <c r="E154"/>
    </row>
    <row r="155" spans="1:5" x14ac:dyDescent="0.25">
      <c r="A155" s="30">
        <v>3.9142513012203929E-2</v>
      </c>
      <c r="B155"/>
      <c r="C155"/>
      <c r="D155"/>
      <c r="E155"/>
    </row>
    <row r="156" spans="1:5" x14ac:dyDescent="0.25">
      <c r="A156" s="30">
        <v>3.55841027383672E-2</v>
      </c>
      <c r="B156"/>
      <c r="C156"/>
      <c r="D156"/>
      <c r="E156"/>
    </row>
    <row r="157" spans="1:5" x14ac:dyDescent="0.25">
      <c r="A157" s="30">
        <v>3.2349184307606541E-2</v>
      </c>
      <c r="B157"/>
      <c r="C157"/>
      <c r="D157"/>
      <c r="E157"/>
    </row>
    <row r="158" spans="1:5" x14ac:dyDescent="0.25">
      <c r="A158" s="30">
        <v>2.9408349370551395E-2</v>
      </c>
      <c r="B158"/>
      <c r="C158"/>
      <c r="D158"/>
      <c r="E158"/>
    </row>
    <row r="159" spans="1:5" x14ac:dyDescent="0.25">
      <c r="A159" s="30">
        <v>2.6734863064137627E-2</v>
      </c>
      <c r="B159"/>
      <c r="C159"/>
      <c r="D159"/>
      <c r="E159"/>
    </row>
    <row r="160" spans="1:5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839" operator="equal">
      <formula>$U$1</formula>
    </cfRule>
    <cfRule type="cellIs" dxfId="30" priority="840" operator="equal">
      <formula>$S$1</formula>
    </cfRule>
  </conditionalFormatting>
  <conditionalFormatting sqref="D136">
    <cfRule type="cellIs" dxfId="29" priority="837" operator="equal">
      <formula>$S$1</formula>
    </cfRule>
    <cfRule type="cellIs" dxfId="28" priority="838" operator="equal">
      <formula>$U$1</formula>
    </cfRule>
  </conditionalFormatting>
  <conditionalFormatting sqref="C102">
    <cfRule type="cellIs" dxfId="27" priority="835" operator="equal">
      <formula>$U$1</formula>
    </cfRule>
    <cfRule type="cellIs" dxfId="26" priority="836" operator="equal">
      <formula>$S$1</formula>
    </cfRule>
  </conditionalFormatting>
  <conditionalFormatting sqref="D102">
    <cfRule type="cellIs" dxfId="25" priority="833" operator="equal">
      <formula>$S$1</formula>
    </cfRule>
    <cfRule type="cellIs" dxfId="24" priority="834" operator="equal">
      <formula>$U$1</formula>
    </cfRule>
  </conditionalFormatting>
  <conditionalFormatting sqref="C77">
    <cfRule type="cellIs" dxfId="23" priority="831" operator="equal">
      <formula>$U$1</formula>
    </cfRule>
    <cfRule type="cellIs" dxfId="22" priority="832" operator="equal">
      <formula>$S$1</formula>
    </cfRule>
  </conditionalFormatting>
  <conditionalFormatting sqref="D77">
    <cfRule type="cellIs" dxfId="21" priority="829" operator="equal">
      <formula>$S$1</formula>
    </cfRule>
    <cfRule type="cellIs" dxfId="20" priority="830" operator="equal">
      <formula>$U$1</formula>
    </cfRule>
  </conditionalFormatting>
  <conditionalFormatting sqref="C52">
    <cfRule type="cellIs" dxfId="19" priority="827" operator="equal">
      <formula>$U$1</formula>
    </cfRule>
    <cfRule type="cellIs" dxfId="18" priority="828" operator="equal">
      <formula>$S$1</formula>
    </cfRule>
  </conditionalFormatting>
  <conditionalFormatting sqref="D52">
    <cfRule type="cellIs" dxfId="17" priority="825" operator="equal">
      <formula>$S$1</formula>
    </cfRule>
    <cfRule type="cellIs" dxfId="16" priority="826" operator="equal">
      <formula>$U$1</formula>
    </cfRule>
  </conditionalFormatting>
  <conditionalFormatting sqref="C26">
    <cfRule type="cellIs" dxfId="15" priority="823" operator="equal">
      <formula>$U$1</formula>
    </cfRule>
    <cfRule type="cellIs" dxfId="14" priority="824" operator="equal">
      <formula>$S$1</formula>
    </cfRule>
  </conditionalFormatting>
  <conditionalFormatting sqref="D26">
    <cfRule type="cellIs" dxfId="13" priority="821" operator="equal">
      <formula>$S$1</formula>
    </cfRule>
    <cfRule type="cellIs" dxfId="12" priority="822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G3" sqref="G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4" t="s">
        <v>17</v>
      </c>
      <c r="C1" s="34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30">
        <v>5.0031885420337927</v>
      </c>
      <c r="F3" s="30">
        <v>5.2533479691354827</v>
      </c>
      <c r="G3" s="30">
        <v>10.921333129289241</v>
      </c>
      <c r="H3" s="25">
        <f>IF(G3="","",(3*(G3-F3))+E3)</f>
        <v>22.007144022495069</v>
      </c>
      <c r="I3" s="7"/>
      <c r="J3" s="7">
        <f>(E3+G3)/2</f>
        <v>7.9622608356615174</v>
      </c>
      <c r="K3" s="7">
        <f>H3/2</f>
        <v>11.003572011247535</v>
      </c>
      <c r="M3" s="26">
        <f>IF(OR(J3="",H3=""),"",H3/J3)</f>
        <v>2.763931561238119</v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2022-01-28T01:22:38Z</dcterms:modified>
</cp:coreProperties>
</file>