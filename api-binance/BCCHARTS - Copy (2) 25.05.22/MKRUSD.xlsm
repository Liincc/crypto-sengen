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8CAD640-1315-4772-8EC2-3FC66137C47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4"/>
  <c r="C116" i="5"/>
  <c r="C118" i="4"/>
  <c r="C122" i="3"/>
  <c r="C133" i="3" s="1"/>
  <c r="D136" i="3" s="1"/>
  <c r="C118" i="3"/>
  <c r="D136" i="5"/>
  <c r="C136" i="5"/>
  <c r="C136" i="4"/>
  <c r="D136" i="4"/>
  <c r="R765" i="1"/>
  <c r="C138" i="5" l="1"/>
  <c r="C138" i="4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S233" i="1" l="1"/>
  <c r="T233" i="1" s="1"/>
  <c r="R232" i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<sst xmlns="http://schemas.openxmlformats.org/spreadsheetml/2006/main" count="5245" uniqueCount="34">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</sst>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1672</c:v>
                </c:pt>
                <c:pt idx="1">
                  <c:v>1704</c:v>
                </c:pt>
                <c:pt idx="2">
                  <c:v>1808</c:v>
                </c:pt>
                <c:pt idx="3">
                  <c:v>1921</c:v>
                </c:pt>
                <c:pt idx="4">
                  <c:v>1832</c:v>
                </c:pt>
                <c:pt idx="5">
                  <c:v>1799</c:v>
                </c:pt>
                <c:pt idx="6">
                  <c:v>1801</c:v>
                </c:pt>
                <c:pt idx="7">
                  <c:v>1905</c:v>
                </c:pt>
                <c:pt idx="8">
                  <c:v>1996</c:v>
                </c:pt>
                <c:pt idx="9">
                  <c:v>2063</c:v>
                </c:pt>
                <c:pt idx="10">
                  <c:v>2094</c:v>
                </c:pt>
                <c:pt idx="11">
                  <c:v>2255</c:v>
                </c:pt>
                <c:pt idx="12">
                  <c:v>2212</c:v>
                </c:pt>
                <c:pt idx="13">
                  <c:v>2191</c:v>
                </c:pt>
                <c:pt idx="14">
                  <c:v>2097</c:v>
                </c:pt>
                <c:pt idx="15">
                  <c:v>2168</c:v>
                </c:pt>
                <c:pt idx="16">
                  <c:v>2076</c:v>
                </c:pt>
                <c:pt idx="17">
                  <c:v>1987</c:v>
                </c:pt>
                <c:pt idx="18">
                  <c:v>2122</c:v>
                </c:pt>
                <c:pt idx="19">
                  <c:v>2047</c:v>
                </c:pt>
                <c:pt idx="20">
                  <c:v>2132</c:v>
                </c:pt>
                <c:pt idx="21">
                  <c:v>2244</c:v>
                </c:pt>
                <c:pt idx="22">
                  <c:v>2238</c:v>
                </c:pt>
                <c:pt idx="23">
                  <c:v>2446</c:v>
                </c:pt>
                <c:pt idx="24">
                  <c:v>2391</c:v>
                </c:pt>
                <c:pt idx="25">
                  <c:v>2471</c:v>
                </c:pt>
                <c:pt idx="26">
                  <c:v>2419</c:v>
                </c:pt>
                <c:pt idx="27">
                  <c:v>2334</c:v>
                </c:pt>
                <c:pt idx="28">
                  <c:v>2393</c:v>
                </c:pt>
                <c:pt idx="29">
                  <c:v>2358</c:v>
                </c:pt>
                <c:pt idx="30">
                  <c:v>2490</c:v>
                </c:pt>
                <c:pt idx="31">
                  <c:v>2685</c:v>
                </c:pt>
                <c:pt idx="32">
                  <c:v>2681</c:v>
                </c:pt>
                <c:pt idx="33">
                  <c:v>2687</c:v>
                </c:pt>
                <c:pt idx="34">
                  <c:v>2568</c:v>
                </c:pt>
                <c:pt idx="35">
                  <c:v>2676</c:v>
                </c:pt>
                <c:pt idx="36">
                  <c:v>2444</c:v>
                </c:pt>
                <c:pt idx="37">
                  <c:v>2422</c:v>
                </c:pt>
                <c:pt idx="38">
                  <c:v>2345</c:v>
                </c:pt>
                <c:pt idx="39">
                  <c:v>2369</c:v>
                </c:pt>
                <c:pt idx="40">
                  <c:v>2470</c:v>
                </c:pt>
                <c:pt idx="41">
                  <c:v>2371</c:v>
                </c:pt>
                <c:pt idx="42">
                  <c:v>2326</c:v>
                </c:pt>
                <c:pt idx="43">
                  <c:v>2377</c:v>
                </c:pt>
                <c:pt idx="44">
                  <c:v>2308</c:v>
                </c:pt>
                <c:pt idx="45">
                  <c:v>2228</c:v>
                </c:pt>
                <c:pt idx="46">
                  <c:v>2469</c:v>
                </c:pt>
                <c:pt idx="47">
                  <c:v>2358</c:v>
                </c:pt>
                <c:pt idx="48">
                  <c:v>2340</c:v>
                </c:pt>
                <c:pt idx="49">
                  <c:v>2518</c:v>
                </c:pt>
                <c:pt idx="50">
                  <c:v>2745</c:v>
                </c:pt>
                <c:pt idx="51">
                  <c:v>2615</c:v>
                </c:pt>
                <c:pt idx="52">
                  <c:v>2607</c:v>
                </c:pt>
                <c:pt idx="53">
                  <c:v>2578</c:v>
                </c:pt>
                <c:pt idx="54">
                  <c:v>2611</c:v>
                </c:pt>
                <c:pt idx="55">
                  <c:v>2753</c:v>
                </c:pt>
                <c:pt idx="56">
                  <c:v>2973</c:v>
                </c:pt>
                <c:pt idx="57">
                  <c:v>2978</c:v>
                </c:pt>
                <c:pt idx="58">
                  <c:v>3056</c:v>
                </c:pt>
                <c:pt idx="59">
                  <c:v>3086</c:v>
                </c:pt>
                <c:pt idx="60">
                  <c:v>3082</c:v>
                </c:pt>
                <c:pt idx="61">
                  <c:v>3092</c:v>
                </c:pt>
                <c:pt idx="62">
                  <c:v>3097</c:v>
                </c:pt>
                <c:pt idx="63">
                  <c:v>3304</c:v>
                </c:pt>
                <c:pt idx="64">
                  <c:v>3093</c:v>
                </c:pt>
                <c:pt idx="65">
                  <c:v>3044</c:v>
                </c:pt>
                <c:pt idx="66">
                  <c:v>2854</c:v>
                </c:pt>
                <c:pt idx="67">
                  <c:v>2948</c:v>
                </c:pt>
                <c:pt idx="68">
                  <c:v>3127</c:v>
                </c:pt>
                <c:pt idx="69">
                  <c:v>2948</c:v>
                </c:pt>
                <c:pt idx="70">
                  <c:v>2803</c:v>
                </c:pt>
                <c:pt idx="71">
                  <c:v>2805</c:v>
                </c:pt>
                <c:pt idx="72">
                  <c:v>2812</c:v>
                </c:pt>
                <c:pt idx="73">
                  <c:v>3020</c:v>
                </c:pt>
                <c:pt idx="74">
                  <c:v>3050</c:v>
                </c:pt>
                <c:pt idx="75">
                  <c:v>3121</c:v>
                </c:pt>
                <c:pt idx="76">
                  <c:v>2878</c:v>
                </c:pt>
                <c:pt idx="77">
                  <c:v>2992</c:v>
                </c:pt>
                <c:pt idx="78">
                  <c:v>2958</c:v>
                </c:pt>
                <c:pt idx="79">
                  <c:v>3135</c:v>
                </c:pt>
                <c:pt idx="80">
                  <c:v>3300</c:v>
                </c:pt>
                <c:pt idx="81">
                  <c:v>2972</c:v>
                </c:pt>
                <c:pt idx="82">
                  <c:v>3027</c:v>
                </c:pt>
                <c:pt idx="83">
                  <c:v>2947</c:v>
                </c:pt>
                <c:pt idx="84">
                  <c:v>3013</c:v>
                </c:pt>
                <c:pt idx="85">
                  <c:v>3216</c:v>
                </c:pt>
                <c:pt idx="86">
                  <c:v>2800</c:v>
                </c:pt>
                <c:pt idx="87">
                  <c:v>2451</c:v>
                </c:pt>
                <c:pt idx="88">
                  <c:v>2422</c:v>
                </c:pt>
                <c:pt idx="89">
                  <c:v>2380</c:v>
                </c:pt>
                <c:pt idx="90">
                  <c:v>2453</c:v>
                </c:pt>
                <c:pt idx="91">
                  <c:v>2381</c:v>
                </c:pt>
                <c:pt idx="92">
                  <c:v>2228</c:v>
                </c:pt>
                <c:pt idx="93">
                  <c:v>2461</c:v>
                </c:pt>
                <c:pt idx="94">
                  <c:v>2475</c:v>
                </c:pt>
                <c:pt idx="95">
                  <c:v>2439</c:v>
                </c:pt>
                <c:pt idx="96">
                  <c:v>2526</c:v>
                </c:pt>
                <c:pt idx="97">
                  <c:v>2520</c:v>
                </c:pt>
                <c:pt idx="98">
                  <c:v>2570</c:v>
                </c:pt>
                <c:pt idx="99">
                  <c:v>2595</c:v>
                </c:pt>
                <c:pt idx="100">
                  <c:v>2492</c:v>
                </c:pt>
                <c:pt idx="101">
                  <c:v>2508</c:v>
                </c:pt>
                <c:pt idx="102">
                  <c:v>2549</c:v>
                </c:pt>
                <c:pt idx="103">
                  <c:v>2594</c:v>
                </c:pt>
                <c:pt idx="104">
                  <c:v>2566</c:v>
                </c:pt>
                <c:pt idx="105">
                  <c:v>2543</c:v>
                </c:pt>
                <c:pt idx="106">
                  <c:v>2492</c:v>
                </c:pt>
                <c:pt idx="107">
                  <c:v>2442</c:v>
                </c:pt>
                <c:pt idx="108">
                  <c:v>2448</c:v>
                </c:pt>
                <c:pt idx="109">
                  <c:v>2457</c:v>
                </c:pt>
                <c:pt idx="110">
                  <c:v>2572</c:v>
                </c:pt>
                <c:pt idx="111">
                  <c:v>2494</c:v>
                </c:pt>
                <c:pt idx="112">
                  <c:v>2500</c:v>
                </c:pt>
                <c:pt idx="113">
                  <c:v>2488</c:v>
                </c:pt>
                <c:pt idx="114">
                  <c:v>2546</c:v>
                </c:pt>
                <c:pt idx="115">
                  <c:v>2523</c:v>
                </c:pt>
                <c:pt idx="116">
                  <c:v>2536</c:v>
                </c:pt>
                <c:pt idx="117">
                  <c:v>2480</c:v>
                </c:pt>
                <c:pt idx="118">
                  <c:v>2443</c:v>
                </c:pt>
                <c:pt idx="119">
                  <c:v>2288</c:v>
                </c:pt>
                <c:pt idx="120">
                  <c:v>2228</c:v>
                </c:pt>
                <c:pt idx="121">
                  <c:v>2227</c:v>
                </c:pt>
                <c:pt idx="122">
                  <c:v>2243</c:v>
                </c:pt>
                <c:pt idx="123">
                  <c:v>2349</c:v>
                </c:pt>
                <c:pt idx="124">
                  <c:v>2259</c:v>
                </c:pt>
                <c:pt idx="125">
                  <c:v>2297</c:v>
                </c:pt>
                <c:pt idx="126">
                  <c:v>2490</c:v>
                </c:pt>
                <c:pt idx="127">
                  <c:v>2530</c:v>
                </c:pt>
                <c:pt idx="128">
                  <c:v>2293</c:v>
                </c:pt>
                <c:pt idx="129">
                  <c:v>2558</c:v>
                </c:pt>
                <c:pt idx="130">
                  <c:v>2768</c:v>
                </c:pt>
                <c:pt idx="131">
                  <c:v>2840</c:v>
                </c:pt>
                <c:pt idx="132">
                  <c:v>2789</c:v>
                </c:pt>
                <c:pt idx="133">
                  <c:v>2970</c:v>
                </c:pt>
                <c:pt idx="134">
                  <c:v>3062</c:v>
                </c:pt>
                <c:pt idx="135">
                  <c:v>2923</c:v>
                </c:pt>
                <c:pt idx="136">
                  <c:v>2809</c:v>
                </c:pt>
                <c:pt idx="137">
                  <c:v>2874</c:v>
                </c:pt>
                <c:pt idx="138">
                  <c:v>2846</c:v>
                </c:pt>
                <c:pt idx="139">
                  <c:v>2783</c:v>
                </c:pt>
                <c:pt idx="140">
                  <c:v>2938</c:v>
                </c:pt>
                <c:pt idx="141">
                  <c:v>3021</c:v>
                </c:pt>
                <c:pt idx="142">
                  <c:v>3050</c:v>
                </c:pt>
                <c:pt idx="143">
                  <c:v>3620</c:v>
                </c:pt>
                <c:pt idx="144">
                  <c:v>3718</c:v>
                </c:pt>
                <c:pt idx="145">
                  <c:v>3548</c:v>
                </c:pt>
                <c:pt idx="146">
                  <c:v>3655</c:v>
                </c:pt>
                <c:pt idx="147">
                  <c:v>3543</c:v>
                </c:pt>
                <c:pt idx="148">
                  <c:v>3694</c:v>
                </c:pt>
                <c:pt idx="149">
                  <c:v>3526</c:v>
                </c:pt>
                <c:pt idx="150">
                  <c:v>3359</c:v>
                </c:pt>
                <c:pt idx="151">
                  <c:v>3452</c:v>
                </c:pt>
                <c:pt idx="152">
                  <c:v>3604</c:v>
                </c:pt>
                <c:pt idx="153">
                  <c:v>3752</c:v>
                </c:pt>
                <c:pt idx="154">
                  <c:v>3586</c:v>
                </c:pt>
                <c:pt idx="155">
                  <c:v>3700.68</c:v>
                </c:pt>
                <c:pt idx="156">
                  <c:v>3628.65</c:v>
                </c:pt>
                <c:pt idx="157">
                  <c:v>3879.05</c:v>
                </c:pt>
                <c:pt idx="158">
                  <c:v>3842.52</c:v>
                </c:pt>
                <c:pt idx="159">
                  <c:v>3870.29</c:v>
                </c:pt>
                <c:pt idx="160">
                  <c:v>3815.06</c:v>
                </c:pt>
                <c:pt idx="161">
                  <c:v>3748.4</c:v>
                </c:pt>
                <c:pt idx="162">
                  <c:v>3513.01</c:v>
                </c:pt>
                <c:pt idx="163">
                  <c:v>3450.9</c:v>
                </c:pt>
                <c:pt idx="164">
                  <c:v>3575.25</c:v>
                </c:pt>
                <c:pt idx="165">
                  <c:v>3802.37</c:v>
                </c:pt>
                <c:pt idx="166">
                  <c:v>3871.41</c:v>
                </c:pt>
                <c:pt idx="167">
                  <c:v>3711.02</c:v>
                </c:pt>
                <c:pt idx="168">
                  <c:v>3250.89</c:v>
                </c:pt>
                <c:pt idx="169">
                  <c:v>3368.46</c:v>
                </c:pt>
                <c:pt idx="170">
                  <c:v>3391.81</c:v>
                </c:pt>
                <c:pt idx="171">
                  <c:v>3361.99</c:v>
                </c:pt>
                <c:pt idx="172">
                  <c:v>3232.57</c:v>
                </c:pt>
                <c:pt idx="173">
                  <c:v>3408.77</c:v>
                </c:pt>
                <c:pt idx="174">
                  <c:v>3250.85</c:v>
                </c:pt>
                <c:pt idx="175">
                  <c:v>3290.54</c:v>
                </c:pt>
                <c:pt idx="176">
                  <c:v>2967.22</c:v>
                </c:pt>
                <c:pt idx="177">
                  <c:v>2787.34</c:v>
                </c:pt>
                <c:pt idx="178">
                  <c:v>2917.36</c:v>
                </c:pt>
                <c:pt idx="179">
                  <c:v>2895.92</c:v>
                </c:pt>
                <c:pt idx="180">
                  <c:v>2977.72</c:v>
                </c:pt>
                <c:pt idx="181">
                  <c:v>2911.59</c:v>
                </c:pt>
                <c:pt idx="182">
                  <c:v>2898.46</c:v>
                </c:pt>
                <c:pt idx="183">
                  <c:v>2657.35</c:v>
                </c:pt>
                <c:pt idx="184">
                  <c:v>2688.33</c:v>
                </c:pt>
                <c:pt idx="185">
                  <c:v>2595.3000000000002</c:v>
                </c:pt>
                <c:pt idx="186">
                  <c:v>2570.69</c:v>
                </c:pt>
                <c:pt idx="187">
                  <c:v>2577.23</c:v>
                </c:pt>
                <c:pt idx="188">
                  <c:v>2517.1</c:v>
                </c:pt>
                <c:pt idx="189">
                  <c:v>2435.13</c:v>
                </c:pt>
                <c:pt idx="190">
                  <c:v>2440.9</c:v>
                </c:pt>
                <c:pt idx="191">
                  <c:v>2186.19</c:v>
                </c:pt>
                <c:pt idx="192">
                  <c:v>2293.8200000000002</c:v>
                </c:pt>
                <c:pt idx="193">
                  <c:v>2468.06</c:v>
                </c:pt>
                <c:pt idx="194">
                  <c:v>2422.94</c:v>
                </c:pt>
                <c:pt idx="195">
                  <c:v>2419.6</c:v>
                </c:pt>
                <c:pt idx="196">
                  <c:v>2566.89</c:v>
                </c:pt>
                <c:pt idx="197">
                  <c:v>2514.06</c:v>
                </c:pt>
                <c:pt idx="198">
                  <c:v>2523.54</c:v>
                </c:pt>
                <c:pt idx="199">
                  <c:v>2602.98</c:v>
                </c:pt>
                <c:pt idx="200">
                  <c:v>2667.9</c:v>
                </c:pt>
                <c:pt idx="201">
                  <c:v>2674.71</c:v>
                </c:pt>
                <c:pt idx="202">
                  <c:v>2707.02</c:v>
                </c:pt>
                <c:pt idx="203">
                  <c:v>2654.67</c:v>
                </c:pt>
                <c:pt idx="204">
                  <c:v>2862.71</c:v>
                </c:pt>
                <c:pt idx="205">
                  <c:v>2745.1</c:v>
                </c:pt>
                <c:pt idx="206">
                  <c:v>2745.11</c:v>
                </c:pt>
                <c:pt idx="207">
                  <c:v>2803.29</c:v>
                </c:pt>
                <c:pt idx="208">
                  <c:v>2639.23</c:v>
                </c:pt>
                <c:pt idx="209">
                  <c:v>2583.5500000000002</c:v>
                </c:pt>
                <c:pt idx="210">
                  <c:v>2503.33</c:v>
                </c:pt>
                <c:pt idx="211">
                  <c:v>2680.61</c:v>
                </c:pt>
                <c:pt idx="212">
                  <c:v>2428.15</c:v>
                </c:pt>
                <c:pt idx="213">
                  <c:v>2215.17</c:v>
                </c:pt>
                <c:pt idx="214">
                  <c:v>2128.59</c:v>
                </c:pt>
                <c:pt idx="215">
                  <c:v>2007.19</c:v>
                </c:pt>
                <c:pt idx="216">
                  <c:v>1965.75</c:v>
                </c:pt>
                <c:pt idx="217">
                  <c:v>2236.38</c:v>
                </c:pt>
                <c:pt idx="218">
                  <c:v>2313.71</c:v>
                </c:pt>
                <c:pt idx="219">
                  <c:v>2269.83</c:v>
                </c:pt>
                <c:pt idx="220">
                  <c:v>2095.9699999999998</c:v>
                </c:pt>
                <c:pt idx="221">
                  <c:v>2701.4</c:v>
                </c:pt>
                <c:pt idx="222">
                  <c:v>2582.3200000000002</c:v>
                </c:pt>
                <c:pt idx="223">
                  <c:v>2689.1</c:v>
                </c:pt>
                <c:pt idx="224">
                  <c:v>2910.89</c:v>
                </c:pt>
                <c:pt idx="225">
                  <c:v>2946.56</c:v>
                </c:pt>
                <c:pt idx="226">
                  <c:v>3152.03</c:v>
                </c:pt>
                <c:pt idx="227">
                  <c:v>3197.58</c:v>
                </c:pt>
                <c:pt idx="228">
                  <c:v>3142.8</c:v>
                </c:pt>
                <c:pt idx="229">
                  <c:v>2935.77</c:v>
                </c:pt>
                <c:pt idx="230">
                  <c:v>2923.8</c:v>
                </c:pt>
                <c:pt idx="231">
                  <c:v>3112.11</c:v>
                </c:pt>
                <c:pt idx="232">
                  <c:v>3330.18</c:v>
                </c:pt>
                <c:pt idx="233">
                  <c:v>3236.89</c:v>
                </c:pt>
                <c:pt idx="234">
                  <c:v>3306.92</c:v>
                </c:pt>
                <c:pt idx="235">
                  <c:v>3612.57</c:v>
                </c:pt>
                <c:pt idx="236">
                  <c:v>3555.76</c:v>
                </c:pt>
                <c:pt idx="237">
                  <c:v>3725.52</c:v>
                </c:pt>
                <c:pt idx="238">
                  <c:v>3659.44</c:v>
                </c:pt>
                <c:pt idx="239">
                  <c:v>3561.79</c:v>
                </c:pt>
                <c:pt idx="240">
                  <c:v>3593.63</c:v>
                </c:pt>
                <c:pt idx="241">
                  <c:v>3597.27</c:v>
                </c:pt>
                <c:pt idx="242">
                  <c:v>3308.9</c:v>
                </c:pt>
                <c:pt idx="243">
                  <c:v>3064.1</c:v>
                </c:pt>
                <c:pt idx="244">
                  <c:v>3247.08</c:v>
                </c:pt>
                <c:pt idx="245">
                  <c:v>3723.2</c:v>
                </c:pt>
                <c:pt idx="246">
                  <c:v>3967.77</c:v>
                </c:pt>
                <c:pt idx="247">
                  <c:v>3858.37</c:v>
                </c:pt>
                <c:pt idx="248">
                  <c:v>4182.3100000000004</c:v>
                </c:pt>
                <c:pt idx="249">
                  <c:v>2715</c:v>
                </c:pt>
                <c:pt idx="250">
                  <c:v>2765.73</c:v>
                </c:pt>
                <c:pt idx="251">
                  <c:v>3113.08</c:v>
                </c:pt>
                <c:pt idx="252">
                  <c:v>3937.61</c:v>
                </c:pt>
                <c:pt idx="253">
                  <c:v>3462.08</c:v>
                </c:pt>
                <c:pt idx="254">
                  <c:v>4653.29</c:v>
                </c:pt>
                <c:pt idx="255">
                  <c:v>4246.57</c:v>
                </c:pt>
                <c:pt idx="256">
                  <c:v>4544.21</c:v>
                </c:pt>
                <c:pt idx="257">
                  <c:v>4603.6099999999997</c:v>
                </c:pt>
                <c:pt idx="258">
                  <c:v>5005.0600000000004</c:v>
                </c:pt>
                <c:pt idx="259">
                  <c:v>4761.75</c:v>
                </c:pt>
                <c:pt idx="260">
                  <c:v>4934.45</c:v>
                </c:pt>
                <c:pt idx="261">
                  <c:v>5368.7</c:v>
                </c:pt>
                <c:pt idx="262">
                  <c:v>4982.78</c:v>
                </c:pt>
                <c:pt idx="263">
                  <c:v>5276.77</c:v>
                </c:pt>
                <c:pt idx="264">
                  <c:v>5640.47</c:v>
                </c:pt>
                <c:pt idx="265">
                  <c:v>5078.03</c:v>
                </c:pt>
                <c:pt idx="266">
                  <c:v>5054.97</c:v>
                </c:pt>
                <c:pt idx="267">
                  <c:v>5416.4</c:v>
                </c:pt>
                <c:pt idx="268">
                  <c:v>5237.08</c:v>
                </c:pt>
                <c:pt idx="269">
                  <c:v>5981.71</c:v>
                </c:pt>
                <c:pt idx="270">
                  <c:v>4906.9399999999996</c:v>
                </c:pt>
                <c:pt idx="271">
                  <c:v>4786.41</c:v>
                </c:pt>
                <c:pt idx="272">
                  <c:v>4344.1899999999996</c:v>
                </c:pt>
                <c:pt idx="273">
                  <c:v>4261.47</c:v>
                </c:pt>
                <c:pt idx="274">
                  <c:v>4408.2</c:v>
                </c:pt>
                <c:pt idx="275">
                  <c:v>4556.83</c:v>
                </c:pt>
                <c:pt idx="276">
                  <c:v>4022.05</c:v>
                </c:pt>
                <c:pt idx="277">
                  <c:v>3819.83</c:v>
                </c:pt>
                <c:pt idx="278">
                  <c:v>4022.24</c:v>
                </c:pt>
                <c:pt idx="279">
                  <c:v>4056.86</c:v>
                </c:pt>
                <c:pt idx="280">
                  <c:v>4023.17</c:v>
                </c:pt>
                <c:pt idx="281">
                  <c:v>4046.96</c:v>
                </c:pt>
                <c:pt idx="282">
                  <c:v>3453.48</c:v>
                </c:pt>
                <c:pt idx="283">
                  <c:v>3514.64</c:v>
                </c:pt>
                <c:pt idx="284">
                  <c:v>3251.32</c:v>
                </c:pt>
                <c:pt idx="285">
                  <c:v>3308.18</c:v>
                </c:pt>
                <c:pt idx="286">
                  <c:v>3371.01</c:v>
                </c:pt>
                <c:pt idx="287">
                  <c:v>3751.61</c:v>
                </c:pt>
                <c:pt idx="288">
                  <c:v>2677.93</c:v>
                </c:pt>
                <c:pt idx="289">
                  <c:v>2570.64</c:v>
                </c:pt>
                <c:pt idx="290">
                  <c:v>2687.79</c:v>
                </c:pt>
                <c:pt idx="291">
                  <c:v>2275.1999999999998</c:v>
                </c:pt>
                <c:pt idx="292">
                  <c:v>2232.09</c:v>
                </c:pt>
                <c:pt idx="293">
                  <c:v>2222.8200000000002</c:v>
                </c:pt>
                <c:pt idx="294">
                  <c:v>2208.29</c:v>
                </c:pt>
                <c:pt idx="295">
                  <c:v>2106.48</c:v>
                </c:pt>
                <c:pt idx="296">
                  <c:v>2295.1999999999998</c:v>
                </c:pt>
                <c:pt idx="297">
                  <c:v>2330.44</c:v>
                </c:pt>
                <c:pt idx="298">
                  <c:v>2307.0100000000002</c:v>
                </c:pt>
                <c:pt idx="299">
                  <c:v>2235.4499999999998</c:v>
                </c:pt>
                <c:pt idx="300">
                  <c:v>2483.58</c:v>
                </c:pt>
                <c:pt idx="301">
                  <c:v>2289.61</c:v>
                </c:pt>
                <c:pt idx="302">
                  <c:v>2111.4</c:v>
                </c:pt>
                <c:pt idx="303">
                  <c:v>2086.1799999999998</c:v>
                </c:pt>
                <c:pt idx="304">
                  <c:v>2099.9899999999998</c:v>
                </c:pt>
                <c:pt idx="305">
                  <c:v>2058.87</c:v>
                </c:pt>
                <c:pt idx="306">
                  <c:v>2140.0300000000002</c:v>
                </c:pt>
                <c:pt idx="307">
                  <c:v>1984.54</c:v>
                </c:pt>
                <c:pt idx="308">
                  <c:v>1882.93</c:v>
                </c:pt>
                <c:pt idx="309">
                  <c:v>1811.87</c:v>
                </c:pt>
                <c:pt idx="310">
                  <c:v>2004.45</c:v>
                </c:pt>
                <c:pt idx="311">
                  <c:v>1964.4</c:v>
                </c:pt>
                <c:pt idx="312">
                  <c:v>2100.0100000000002</c:v>
                </c:pt>
                <c:pt idx="313">
                  <c:v>2136.5700000000002</c:v>
                </c:pt>
                <c:pt idx="314">
                  <c:v>2094.4299999999998</c:v>
                </c:pt>
                <c:pt idx="315">
                  <c:v>2117.4899999999998</c:v>
                </c:pt>
                <c:pt idx="316">
                  <c:v>2108.86</c:v>
                </c:pt>
                <c:pt idx="317">
                  <c:v>2070.0100000000002</c:v>
                </c:pt>
                <c:pt idx="318">
                  <c:v>1995.23</c:v>
                </c:pt>
                <c:pt idx="319">
                  <c:v>2042.71</c:v>
                </c:pt>
                <c:pt idx="320">
                  <c:v>2176.17</c:v>
                </c:pt>
                <c:pt idx="321">
                  <c:v>2136.0700000000002</c:v>
                </c:pt>
                <c:pt idx="322">
                  <c:v>2230.2600000000002</c:v>
                </c:pt>
                <c:pt idx="323">
                  <c:v>2250.3200000000002</c:v>
                </c:pt>
                <c:pt idx="324">
                  <c:v>2264.69</c:v>
                </c:pt>
                <c:pt idx="325">
                  <c:v>2191.75</c:v>
                </c:pt>
                <c:pt idx="326">
                  <c:v>2255.89</c:v>
                </c:pt>
                <c:pt idx="327">
                  <c:v>2249.64</c:v>
                </c:pt>
                <c:pt idx="328">
                  <c:v>2057</c:v>
                </c:pt>
                <c:pt idx="329">
                  <c:v>2194.87</c:v>
                </c:pt>
                <c:pt idx="330">
                  <c:v>2195.92</c:v>
                </c:pt>
                <c:pt idx="331">
                  <c:v>2164.15</c:v>
                </c:pt>
                <c:pt idx="332">
                  <c:v>2173</c:v>
                </c:pt>
                <c:pt idx="333">
                  <c:v>2036.47</c:v>
                </c:pt>
                <c:pt idx="334">
                  <c:v>1974.41</c:v>
                </c:pt>
                <c:pt idx="335">
                  <c:v>1952.93</c:v>
                </c:pt>
                <c:pt idx="336">
                  <c:v>2030.84</c:v>
                </c:pt>
                <c:pt idx="337">
                  <c:v>2233.6799999999998</c:v>
                </c:pt>
                <c:pt idx="338">
                  <c:v>2248.67</c:v>
                </c:pt>
                <c:pt idx="339">
                  <c:v>2372.67</c:v>
                </c:pt>
                <c:pt idx="340">
                  <c:v>2617.6799999999998</c:v>
                </c:pt>
                <c:pt idx="341">
                  <c:v>2604.1999999999998</c:v>
                </c:pt>
                <c:pt idx="342">
                  <c:v>2566.64</c:v>
                </c:pt>
                <c:pt idx="343">
                  <c:v>2623.47</c:v>
                </c:pt>
                <c:pt idx="344">
                  <c:v>2613.1999999999998</c:v>
                </c:pt>
                <c:pt idx="345">
                  <c:v>2485.02</c:v>
                </c:pt>
                <c:pt idx="346">
                  <c:v>2462.85</c:v>
                </c:pt>
                <c:pt idx="347">
                  <c:v>2512.71</c:v>
                </c:pt>
                <c:pt idx="348">
                  <c:v>2591.02</c:v>
                </c:pt>
                <c:pt idx="349">
                  <c:v>2736.73</c:v>
                </c:pt>
                <c:pt idx="350">
                  <c:v>2545.34</c:v>
                </c:pt>
                <c:pt idx="351">
                  <c:v>2514.7600000000002</c:v>
                </c:pt>
                <c:pt idx="352">
                  <c:v>2561.5500000000002</c:v>
                </c:pt>
                <c:pt idx="353">
                  <c:v>2493.91</c:v>
                </c:pt>
                <c:pt idx="354">
                  <c:v>2475.31</c:v>
                </c:pt>
                <c:pt idx="355">
                  <c:v>2524.2600000000002</c:v>
                </c:pt>
                <c:pt idx="356">
                  <c:v>2696.2</c:v>
                </c:pt>
                <c:pt idx="357">
                  <c:v>2103.33</c:v>
                </c:pt>
                <c:pt idx="358">
                  <c:v>1755.34</c:v>
                </c:pt>
                <c:pt idx="359">
                  <c:v>1698.28</c:v>
                </c:pt>
                <c:pt idx="360">
                  <c:v>1471.15</c:v>
                </c:pt>
                <c:pt idx="361">
                  <c:v>1479.79</c:v>
                </c:pt>
                <c:pt idx="362">
                  <c:v>1579.94</c:v>
                </c:pt>
                <c:pt idx="363">
                  <c:v>1405.22</c:v>
                </c:pt>
                <c:pt idx="364">
                  <c:v>1400</c:v>
                </c:pt>
                <c:pt idx="365">
                  <c:v>1328.02</c:v>
                </c:pt>
                <c:pt idx="366">
                  <c:v>1476.69</c:v>
                </c:pt>
                <c:pt idx="367">
                  <c:v>1366.93</c:v>
                </c:pt>
                <c:pt idx="368">
                  <c:v>1457.85</c:v>
                </c:pt>
                <c:pt idx="369">
                  <c:v>1381.03</c:v>
                </c:pt>
                <c:pt idx="370">
                  <c:v>1410.2</c:v>
                </c:pt>
                <c:pt idx="371">
                  <c:v>1154.8900000000001</c:v>
                </c:pt>
                <c:pt idx="372">
                  <c:v>1414.31</c:v>
                </c:pt>
                <c:pt idx="373">
                  <c:v>1407.2</c:v>
                </c:pt>
                <c:pt idx="374">
                  <c:v>1422.04</c:v>
                </c:pt>
                <c:pt idx="375">
                  <c:v>1447.67</c:v>
                </c:pt>
                <c:pt idx="376">
                  <c:v>1484.61</c:v>
                </c:pt>
                <c:pt idx="377">
                  <c:v>1470.49</c:v>
                </c:pt>
                <c:pt idx="378">
                  <c:v>1608.32</c:v>
                </c:pt>
                <c:pt idx="379">
                  <c:v>1546</c:v>
                </c:pt>
                <c:pt idx="380">
                  <c:v>1489.82</c:v>
                </c:pt>
                <c:pt idx="381">
                  <c:v>1407.26</c:v>
                </c:pt>
                <c:pt idx="382">
                  <c:v>1487.41</c:v>
                </c:pt>
                <c:pt idx="383">
                  <c:v>1598.25</c:v>
                </c:pt>
                <c:pt idx="384">
                  <c:v>1039.74</c:v>
                </c:pt>
                <c:pt idx="385">
                  <c:v>1056.6600000000001</c:v>
                </c:pt>
                <c:pt idx="386">
                  <c:v>1036.42</c:v>
                </c:pt>
                <c:pt idx="387">
                  <c:v>765.26</c:v>
                </c:pt>
                <c:pt idx="388">
                  <c:v>689.91</c:v>
                </c:pt>
                <c:pt idx="389">
                  <c:v>675.38</c:v>
                </c:pt>
                <c:pt idx="390">
                  <c:v>610.67999999999995</c:v>
                </c:pt>
                <c:pt idx="391">
                  <c:v>581.05999999999995</c:v>
                </c:pt>
                <c:pt idx="392">
                  <c:v>585.73</c:v>
                </c:pt>
                <c:pt idx="393">
                  <c:v>577.19000000000005</c:v>
                </c:pt>
                <c:pt idx="394">
                  <c:v>564.89</c:v>
                </c:pt>
                <c:pt idx="395">
                  <c:v>585.21</c:v>
                </c:pt>
                <c:pt idx="396">
                  <c:v>569.92999999999995</c:v>
                </c:pt>
                <c:pt idx="397">
                  <c:v>545.66</c:v>
                </c:pt>
                <c:pt idx="398">
                  <c:v>535.72</c:v>
                </c:pt>
                <c:pt idx="399">
                  <c:v>526.02</c:v>
                </c:pt>
                <c:pt idx="400">
                  <c:v>517.63</c:v>
                </c:pt>
                <c:pt idx="401">
                  <c:v>549.49</c:v>
                </c:pt>
                <c:pt idx="402">
                  <c:v>524.25</c:v>
                </c:pt>
                <c:pt idx="403">
                  <c:v>545.27</c:v>
                </c:pt>
                <c:pt idx="404">
                  <c:v>567.16</c:v>
                </c:pt>
                <c:pt idx="405">
                  <c:v>569.83000000000004</c:v>
                </c:pt>
                <c:pt idx="406">
                  <c:v>538.79</c:v>
                </c:pt>
                <c:pt idx="407">
                  <c:v>539.82000000000005</c:v>
                </c:pt>
                <c:pt idx="408">
                  <c:v>529.69000000000005</c:v>
                </c:pt>
                <c:pt idx="409">
                  <c:v>539.15</c:v>
                </c:pt>
                <c:pt idx="410">
                  <c:v>526.55999999999995</c:v>
                </c:pt>
                <c:pt idx="411">
                  <c:v>513.79</c:v>
                </c:pt>
                <c:pt idx="412">
                  <c:v>502.84</c:v>
                </c:pt>
                <c:pt idx="413">
                  <c:v>522.29999999999995</c:v>
                </c:pt>
                <c:pt idx="414">
                  <c:v>506.44</c:v>
                </c:pt>
                <c:pt idx="415">
                  <c:v>503.11</c:v>
                </c:pt>
                <c:pt idx="416">
                  <c:v>518.97</c:v>
                </c:pt>
                <c:pt idx="417">
                  <c:v>528.65</c:v>
                </c:pt>
                <c:pt idx="418">
                  <c:v>533.53</c:v>
                </c:pt>
                <c:pt idx="419">
                  <c:v>524.29</c:v>
                </c:pt>
                <c:pt idx="420">
                  <c:v>592.75</c:v>
                </c:pt>
                <c:pt idx="421">
                  <c:v>560.66999999999996</c:v>
                </c:pt>
                <c:pt idx="422">
                  <c:v>528.5</c:v>
                </c:pt>
                <c:pt idx="423">
                  <c:v>568.12</c:v>
                </c:pt>
                <c:pt idx="424">
                  <c:v>546.12</c:v>
                </c:pt>
                <c:pt idx="425">
                  <c:v>530.67999999999995</c:v>
                </c:pt>
                <c:pt idx="426">
                  <c:v>514.73</c:v>
                </c:pt>
                <c:pt idx="427">
                  <c:v>526.63</c:v>
                </c:pt>
                <c:pt idx="428">
                  <c:v>561.92999999999995</c:v>
                </c:pt>
                <c:pt idx="429">
                  <c:v>600.54</c:v>
                </c:pt>
                <c:pt idx="430">
                  <c:v>602.51</c:v>
                </c:pt>
                <c:pt idx="431">
                  <c:v>562.66</c:v>
                </c:pt>
                <c:pt idx="432">
                  <c:v>552.62</c:v>
                </c:pt>
                <c:pt idx="433">
                  <c:v>515.92999999999995</c:v>
                </c:pt>
                <c:pt idx="434">
                  <c:v>509.4</c:v>
                </c:pt>
                <c:pt idx="435">
                  <c:v>510.87</c:v>
                </c:pt>
                <c:pt idx="436">
                  <c:v>525.67999999999995</c:v>
                </c:pt>
                <c:pt idx="437">
                  <c:v>517.98</c:v>
                </c:pt>
                <c:pt idx="438">
                  <c:v>515.64</c:v>
                </c:pt>
                <c:pt idx="439">
                  <c:v>529.26</c:v>
                </c:pt>
                <c:pt idx="440">
                  <c:v>554.86</c:v>
                </c:pt>
                <c:pt idx="441">
                  <c:v>533.96</c:v>
                </c:pt>
                <c:pt idx="442">
                  <c:v>543.62</c:v>
                </c:pt>
                <c:pt idx="443">
                  <c:v>551.64</c:v>
                </c:pt>
                <c:pt idx="444">
                  <c:v>523.95000000000005</c:v>
                </c:pt>
                <c:pt idx="445">
                  <c:v>534.85</c:v>
                </c:pt>
                <c:pt idx="446">
                  <c:v>519.73</c:v>
                </c:pt>
                <c:pt idx="447">
                  <c:v>541.67999999999995</c:v>
                </c:pt>
                <c:pt idx="448">
                  <c:v>530.52</c:v>
                </c:pt>
                <c:pt idx="449">
                  <c:v>520.86</c:v>
                </c:pt>
                <c:pt idx="450">
                  <c:v>521.41999999999996</c:v>
                </c:pt>
                <c:pt idx="451">
                  <c:v>523.65</c:v>
                </c:pt>
                <c:pt idx="452">
                  <c:v>541.5</c:v>
                </c:pt>
                <c:pt idx="453">
                  <c:v>523.63</c:v>
                </c:pt>
                <c:pt idx="454">
                  <c:v>519.75</c:v>
                </c:pt>
                <c:pt idx="455">
                  <c:v>533.99</c:v>
                </c:pt>
                <c:pt idx="456">
                  <c:v>542.16999999999996</c:v>
                </c:pt>
                <c:pt idx="457">
                  <c:v>584.04999999999995</c:v>
                </c:pt>
                <c:pt idx="458">
                  <c:v>568.24</c:v>
                </c:pt>
                <c:pt idx="459">
                  <c:v>584.45000000000005</c:v>
                </c:pt>
                <c:pt idx="460">
                  <c:v>599.95000000000005</c:v>
                </c:pt>
                <c:pt idx="461">
                  <c:v>594.36</c:v>
                </c:pt>
                <c:pt idx="462">
                  <c:v>595.52</c:v>
                </c:pt>
                <c:pt idx="463">
                  <c:v>567.61</c:v>
                </c:pt>
                <c:pt idx="464">
                  <c:v>548.82000000000005</c:v>
                </c:pt>
                <c:pt idx="465">
                  <c:v>571.98</c:v>
                </c:pt>
                <c:pt idx="466">
                  <c:v>575.38</c:v>
                </c:pt>
                <c:pt idx="467">
                  <c:v>553.89</c:v>
                </c:pt>
                <c:pt idx="468">
                  <c:v>541.46</c:v>
                </c:pt>
                <c:pt idx="469">
                  <c:v>558.19000000000005</c:v>
                </c:pt>
                <c:pt idx="470">
                  <c:v>575.58000000000004</c:v>
                </c:pt>
                <c:pt idx="471">
                  <c:v>574.75</c:v>
                </c:pt>
                <c:pt idx="472">
                  <c:v>587.16</c:v>
                </c:pt>
                <c:pt idx="473">
                  <c:v>587.15</c:v>
                </c:pt>
                <c:pt idx="474">
                  <c:v>587.49</c:v>
                </c:pt>
                <c:pt idx="475">
                  <c:v>567.66999999999996</c:v>
                </c:pt>
                <c:pt idx="476">
                  <c:v>533.65</c:v>
                </c:pt>
                <c:pt idx="477">
                  <c:v>523.76</c:v>
                </c:pt>
                <c:pt idx="478">
                  <c:v>520.74</c:v>
                </c:pt>
                <c:pt idx="479">
                  <c:v>565</c:v>
                </c:pt>
                <c:pt idx="480">
                  <c:v>569.37</c:v>
                </c:pt>
                <c:pt idx="481">
                  <c:v>557.57000000000005</c:v>
                </c:pt>
                <c:pt idx="482">
                  <c:v>552.80999999999995</c:v>
                </c:pt>
                <c:pt idx="483">
                  <c:v>576.57000000000005</c:v>
                </c:pt>
                <c:pt idx="484">
                  <c:v>571.45000000000005</c:v>
                </c:pt>
                <c:pt idx="485">
                  <c:v>526.41</c:v>
                </c:pt>
                <c:pt idx="486">
                  <c:v>512.38</c:v>
                </c:pt>
                <c:pt idx="487">
                  <c:v>502.09</c:v>
                </c:pt>
                <c:pt idx="488">
                  <c:v>524.14</c:v>
                </c:pt>
                <c:pt idx="489">
                  <c:v>504.22</c:v>
                </c:pt>
                <c:pt idx="490">
                  <c:v>485.56</c:v>
                </c:pt>
                <c:pt idx="491">
                  <c:v>435.2</c:v>
                </c:pt>
                <c:pt idx="492">
                  <c:v>461.21</c:v>
                </c:pt>
                <c:pt idx="493">
                  <c:v>451.81</c:v>
                </c:pt>
                <c:pt idx="494">
                  <c:v>475.26</c:v>
                </c:pt>
                <c:pt idx="495">
                  <c:v>512.63</c:v>
                </c:pt>
                <c:pt idx="496">
                  <c:v>499.37</c:v>
                </c:pt>
                <c:pt idx="497">
                  <c:v>502.33</c:v>
                </c:pt>
                <c:pt idx="498">
                  <c:v>474.66</c:v>
                </c:pt>
                <c:pt idx="499">
                  <c:v>453.63</c:v>
                </c:pt>
                <c:pt idx="500">
                  <c:v>486.31</c:v>
                </c:pt>
                <c:pt idx="501">
                  <c:v>497.75</c:v>
                </c:pt>
                <c:pt idx="502">
                  <c:v>514.13</c:v>
                </c:pt>
                <c:pt idx="503">
                  <c:v>524.88</c:v>
                </c:pt>
                <c:pt idx="504">
                  <c:v>533.27</c:v>
                </c:pt>
                <c:pt idx="505">
                  <c:v>522</c:v>
                </c:pt>
                <c:pt idx="506">
                  <c:v>507.59</c:v>
                </c:pt>
                <c:pt idx="507">
                  <c:v>527.73</c:v>
                </c:pt>
                <c:pt idx="508">
                  <c:v>546.38</c:v>
                </c:pt>
                <c:pt idx="509">
                  <c:v>513.78</c:v>
                </c:pt>
                <c:pt idx="510">
                  <c:v>586.47</c:v>
                </c:pt>
                <c:pt idx="511">
                  <c:v>560</c:v>
                </c:pt>
                <c:pt idx="512">
                  <c:v>661.43</c:v>
                </c:pt>
                <c:pt idx="513">
                  <c:v>718.3</c:v>
                </c:pt>
                <c:pt idx="514">
                  <c:v>681.61</c:v>
                </c:pt>
                <c:pt idx="515">
                  <c:v>675.83</c:v>
                </c:pt>
                <c:pt idx="516">
                  <c:v>631.21</c:v>
                </c:pt>
                <c:pt idx="517">
                  <c:v>635.96</c:v>
                </c:pt>
                <c:pt idx="518">
                  <c:v>614.97</c:v>
                </c:pt>
                <c:pt idx="519">
                  <c:v>640.77</c:v>
                </c:pt>
                <c:pt idx="520">
                  <c:v>638.1</c:v>
                </c:pt>
                <c:pt idx="521">
                  <c:v>677.33</c:v>
                </c:pt>
                <c:pt idx="522">
                  <c:v>638.49</c:v>
                </c:pt>
                <c:pt idx="523">
                  <c:v>642.87</c:v>
                </c:pt>
                <c:pt idx="524">
                  <c:v>603.16999999999996</c:v>
                </c:pt>
                <c:pt idx="525">
                  <c:v>661.69</c:v>
                </c:pt>
                <c:pt idx="526">
                  <c:v>648.9</c:v>
                </c:pt>
                <c:pt idx="527">
                  <c:v>674.86</c:v>
                </c:pt>
                <c:pt idx="528">
                  <c:v>686</c:v>
                </c:pt>
                <c:pt idx="529">
                  <c:v>693.27</c:v>
                </c:pt>
                <c:pt idx="530">
                  <c:v>695.59</c:v>
                </c:pt>
                <c:pt idx="531">
                  <c:v>729.14</c:v>
                </c:pt>
                <c:pt idx="532">
                  <c:v>789.72</c:v>
                </c:pt>
                <c:pt idx="533">
                  <c:v>719.99</c:v>
                </c:pt>
                <c:pt idx="534">
                  <c:v>599.75</c:v>
                </c:pt>
                <c:pt idx="535">
                  <c:v>623.17999999999995</c:v>
                </c:pt>
                <c:pt idx="536">
                  <c:v>595.78</c:v>
                </c:pt>
                <c:pt idx="537">
                  <c:v>582.48</c:v>
                </c:pt>
                <c:pt idx="538">
                  <c:v>579.36</c:v>
                </c:pt>
                <c:pt idx="539">
                  <c:v>586.70000000000005</c:v>
                </c:pt>
                <c:pt idx="540">
                  <c:v>592.66999999999996</c:v>
                </c:pt>
                <c:pt idx="541">
                  <c:v>584.49</c:v>
                </c:pt>
                <c:pt idx="542">
                  <c:v>593</c:v>
                </c:pt>
                <c:pt idx="543">
                  <c:v>567.72</c:v>
                </c:pt>
                <c:pt idx="544">
                  <c:v>594.69000000000005</c:v>
                </c:pt>
                <c:pt idx="545">
                  <c:v>555.16999999999996</c:v>
                </c:pt>
                <c:pt idx="546">
                  <c:v>572.22</c:v>
                </c:pt>
                <c:pt idx="547">
                  <c:v>544.84</c:v>
                </c:pt>
                <c:pt idx="548">
                  <c:v>516.67999999999995</c:v>
                </c:pt>
                <c:pt idx="549">
                  <c:v>509.07</c:v>
                </c:pt>
                <c:pt idx="550">
                  <c:v>521.46</c:v>
                </c:pt>
                <c:pt idx="551">
                  <c:v>525.42999999999995</c:v>
                </c:pt>
                <c:pt idx="552">
                  <c:v>514</c:v>
                </c:pt>
                <c:pt idx="553">
                  <c:v>529.32000000000005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5-4D3A-B2F2-475E1B4A53A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9.9027375719904311E-4</c:v>
                </c:pt>
                <c:pt idx="1">
                  <c:v>9.9120759923985958E-4</c:v>
                </c:pt>
                <c:pt idx="2">
                  <c:v>1.0225522945668736E-3</c:v>
                </c:pt>
                <c:pt idx="3">
                  <c:v>1.0514621480436949E-3</c:v>
                </c:pt>
                <c:pt idx="4">
                  <c:v>1.0231893271142076E-3</c:v>
                </c:pt>
                <c:pt idx="5">
                  <c:v>1.0267299936142075E-3</c:v>
                </c:pt>
                <c:pt idx="6">
                  <c:v>1.0543934257148367E-3</c:v>
                </c:pt>
                <c:pt idx="7">
                  <c:v>1.0581534425162064E-3</c:v>
                </c:pt>
                <c:pt idx="8">
                  <c:v>1.0669305423957247E-3</c:v>
                </c:pt>
                <c:pt idx="9">
                  <c:v>1.0768345879436699E-3</c:v>
                </c:pt>
                <c:pt idx="10">
                  <c:v>1.0796692359857749E-3</c:v>
                </c:pt>
                <c:pt idx="11">
                  <c:v>1.0882473341365289E-3</c:v>
                </c:pt>
                <c:pt idx="12">
                  <c:v>1.0828810055115287E-3</c:v>
                </c:pt>
                <c:pt idx="13">
                  <c:v>1.081853927005035E-3</c:v>
                </c:pt>
                <c:pt idx="14">
                  <c:v>1.0752622455912422E-3</c:v>
                </c:pt>
                <c:pt idx="15">
                  <c:v>1.0828571211672423E-3</c:v>
                </c:pt>
                <c:pt idx="16">
                  <c:v>1.0713362748292138E-3</c:v>
                </c:pt>
                <c:pt idx="17">
                  <c:v>1.0604585463424882E-3</c:v>
                </c:pt>
                <c:pt idx="18">
                  <c:v>1.0703657643934316E-3</c:v>
                </c:pt>
                <c:pt idx="19">
                  <c:v>1.0662921012981935E-3</c:v>
                </c:pt>
                <c:pt idx="20">
                  <c:v>1.078556119390977E-3</c:v>
                </c:pt>
                <c:pt idx="21">
                  <c:v>1.0958367258943327E-3</c:v>
                </c:pt>
                <c:pt idx="22">
                  <c:v>1.1059886882987648E-3</c:v>
                </c:pt>
                <c:pt idx="23">
                  <c:v>1.12009864705021E-3</c:v>
                </c:pt>
                <c:pt idx="24">
                  <c:v>1.120429531889782E-3</c:v>
                </c:pt>
                <c:pt idx="25">
                  <c:v>1.1419395216040677E-3</c:v>
                </c:pt>
                <c:pt idx="26">
                  <c:v>1.134768212321049E-3</c:v>
                </c:pt>
                <c:pt idx="27">
                  <c:v>1.1283796019971053E-3</c:v>
                </c:pt>
                <c:pt idx="28">
                  <c:v>1.1387477986068613E-3</c:v>
                </c:pt>
                <c:pt idx="29">
                  <c:v>1.1369089158958785E-3</c:v>
                </c:pt>
                <c:pt idx="30">
                  <c:v>1.1519725300776966E-3</c:v>
                </c:pt>
                <c:pt idx="31">
                  <c:v>1.1657655656443632E-3</c:v>
                </c:pt>
                <c:pt idx="32">
                  <c:v>1.1896998321649112E-3</c:v>
                </c:pt>
                <c:pt idx="33">
                  <c:v>1.1908949566093556E-3</c:v>
                </c:pt>
                <c:pt idx="34">
                  <c:v>1.1850737837877342E-3</c:v>
                </c:pt>
                <c:pt idx="35">
                  <c:v>1.1993524957605232E-3</c:v>
                </c:pt>
                <c:pt idx="36">
                  <c:v>1.1756979754626508E-3</c:v>
                </c:pt>
                <c:pt idx="37">
                  <c:v>1.1872660165395742E-3</c:v>
                </c:pt>
                <c:pt idx="38">
                  <c:v>1.1794376272668467E-3</c:v>
                </c:pt>
                <c:pt idx="39">
                  <c:v>1.1796260097181744E-3</c:v>
                </c:pt>
                <c:pt idx="40">
                  <c:v>1.1928448330991266E-3</c:v>
                </c:pt>
                <c:pt idx="41">
                  <c:v>1.1773269006135777E-3</c:v>
                </c:pt>
                <c:pt idx="42">
                  <c:v>1.1653462084459797E-3</c:v>
                </c:pt>
                <c:pt idx="43">
                  <c:v>1.173949657186438E-3</c:v>
                </c:pt>
                <c:pt idx="44">
                  <c:v>1.1644089122773468E-3</c:v>
                </c:pt>
                <c:pt idx="45">
                  <c:v>1.1469947987104681E-3</c:v>
                </c:pt>
                <c:pt idx="46">
                  <c:v>1.1595602301924823E-3</c:v>
                </c:pt>
                <c:pt idx="47">
                  <c:v>1.1520619034040209E-3</c:v>
                </c:pt>
                <c:pt idx="48">
                  <c:v>1.1508000647373541E-3</c:v>
                </c:pt>
                <c:pt idx="49">
                  <c:v>1.1743079333659256E-3</c:v>
                </c:pt>
                <c:pt idx="50">
                  <c:v>1.2001627382961582E-3</c:v>
                </c:pt>
                <c:pt idx="51">
                  <c:v>1.1738501418439287E-3</c:v>
                </c:pt>
                <c:pt idx="52">
                  <c:v>1.178733352791297E-3</c:v>
                </c:pt>
                <c:pt idx="53">
                  <c:v>1.1559113701767516E-3</c:v>
                </c:pt>
                <c:pt idx="54">
                  <c:v>1.1572003025577041E-3</c:v>
                </c:pt>
                <c:pt idx="55">
                  <c:v>1.1307691237529228E-3</c:v>
                </c:pt>
                <c:pt idx="56">
                  <c:v>1.1473619015122452E-3</c:v>
                </c:pt>
                <c:pt idx="57">
                  <c:v>1.1482235986122451E-3</c:v>
                </c:pt>
                <c:pt idx="58">
                  <c:v>1.1623898766227163E-3</c:v>
                </c:pt>
                <c:pt idx="59">
                  <c:v>1.1745975658227163E-3</c:v>
                </c:pt>
                <c:pt idx="60">
                  <c:v>1.1694523881004939E-3</c:v>
                </c:pt>
                <c:pt idx="61">
                  <c:v>1.1498227147684781E-3</c:v>
                </c:pt>
                <c:pt idx="62">
                  <c:v>1.1528141302467392E-3</c:v>
                </c:pt>
                <c:pt idx="63">
                  <c:v>1.1674199371941073E-3</c:v>
                </c:pt>
                <c:pt idx="64">
                  <c:v>1.1545741601941076E-3</c:v>
                </c:pt>
                <c:pt idx="65">
                  <c:v>1.1480385498816076E-3</c:v>
                </c:pt>
                <c:pt idx="66">
                  <c:v>1.1317511014209331E-3</c:v>
                </c:pt>
                <c:pt idx="67">
                  <c:v>1.1412823911770308E-3</c:v>
                </c:pt>
                <c:pt idx="68">
                  <c:v>1.1563084604587211E-3</c:v>
                </c:pt>
                <c:pt idx="69">
                  <c:v>1.1363847914087209E-3</c:v>
                </c:pt>
                <c:pt idx="70">
                  <c:v>1.1261742824960571E-3</c:v>
                </c:pt>
                <c:pt idx="71">
                  <c:v>1.1767711440472124E-3</c:v>
                </c:pt>
                <c:pt idx="72">
                  <c:v>1.1561336365773327E-3</c:v>
                </c:pt>
                <c:pt idx="73">
                  <c:v>1.1655291971979116E-3</c:v>
                </c:pt>
                <c:pt idx="74">
                  <c:v>1.1793556236159011E-3</c:v>
                </c:pt>
                <c:pt idx="75">
                  <c:v>1.181402722732882E-3</c:v>
                </c:pt>
                <c:pt idx="76">
                  <c:v>1.151372553502113E-3</c:v>
                </c:pt>
                <c:pt idx="77">
                  <c:v>1.1568280072803935E-3</c:v>
                </c:pt>
                <c:pt idx="78">
                  <c:v>1.1559720577831868E-3</c:v>
                </c:pt>
                <c:pt idx="79">
                  <c:v>1.1626973220492415E-3</c:v>
                </c:pt>
                <c:pt idx="80">
                  <c:v>1.182254676150691E-3</c:v>
                </c:pt>
                <c:pt idx="81">
                  <c:v>1.1433837786618472E-3</c:v>
                </c:pt>
                <c:pt idx="82">
                  <c:v>1.1498052295005571E-3</c:v>
                </c:pt>
                <c:pt idx="83">
                  <c:v>1.1210506108145499E-3</c:v>
                </c:pt>
                <c:pt idx="84">
                  <c:v>1.1191740485221521E-3</c:v>
                </c:pt>
                <c:pt idx="85">
                  <c:v>1.1419615903642574E-3</c:v>
                </c:pt>
                <c:pt idx="86">
                  <c:v>1.1363780245325268E-3</c:v>
                </c:pt>
                <c:pt idx="87">
                  <c:v>1.0780949000934051E-3</c:v>
                </c:pt>
                <c:pt idx="88">
                  <c:v>1.0747051667531987E-3</c:v>
                </c:pt>
                <c:pt idx="89">
                  <c:v>1.0409447989249161E-3</c:v>
                </c:pt>
                <c:pt idx="90">
                  <c:v>1.0561253301184645E-3</c:v>
                </c:pt>
                <c:pt idx="91">
                  <c:v>1.0383686266684643E-3</c:v>
                </c:pt>
                <c:pt idx="92">
                  <c:v>1.0212457288423776E-3</c:v>
                </c:pt>
                <c:pt idx="93">
                  <c:v>1.0723368076318511E-3</c:v>
                </c:pt>
                <c:pt idx="94">
                  <c:v>1.1126779236706108E-3</c:v>
                </c:pt>
                <c:pt idx="95">
                  <c:v>1.0864932481828057E-3</c:v>
                </c:pt>
                <c:pt idx="96">
                  <c:v>1.0929156951287517E-3</c:v>
                </c:pt>
                <c:pt idx="97">
                  <c:v>1.0890020401287518E-3</c:v>
                </c:pt>
                <c:pt idx="98">
                  <c:v>1.1035600658007517E-3</c:v>
                </c:pt>
                <c:pt idx="99">
                  <c:v>1.131002474473479E-3</c:v>
                </c:pt>
                <c:pt idx="100">
                  <c:v>1.1053447678647833E-3</c:v>
                </c:pt>
                <c:pt idx="101">
                  <c:v>1.1006118944190003E-3</c:v>
                </c:pt>
                <c:pt idx="102">
                  <c:v>1.0994086423237622E-3</c:v>
                </c:pt>
                <c:pt idx="103">
                  <c:v>1.1004118200602893E-3</c:v>
                </c:pt>
                <c:pt idx="104">
                  <c:v>1.1096698250232522E-3</c:v>
                </c:pt>
                <c:pt idx="105">
                  <c:v>1.0978661179295022E-3</c:v>
                </c:pt>
                <c:pt idx="106">
                  <c:v>1.100098648462349E-3</c:v>
                </c:pt>
                <c:pt idx="107">
                  <c:v>1.0792816729423488E-3</c:v>
                </c:pt>
                <c:pt idx="108">
                  <c:v>1.0747248501045113E-3</c:v>
                </c:pt>
                <c:pt idx="109">
                  <c:v>1.0832499238728037E-3</c:v>
                </c:pt>
                <c:pt idx="110">
                  <c:v>1.1332132610618073E-3</c:v>
                </c:pt>
                <c:pt idx="111">
                  <c:v>1.1243111163951405E-3</c:v>
                </c:pt>
                <c:pt idx="112">
                  <c:v>1.1336778449375134E-3</c:v>
                </c:pt>
                <c:pt idx="113">
                  <c:v>1.1250595049708467E-3</c:v>
                </c:pt>
                <c:pt idx="114">
                  <c:v>1.1247494848421339E-3</c:v>
                </c:pt>
                <c:pt idx="115">
                  <c:v>1.1193352911394309E-3</c:v>
                </c:pt>
                <c:pt idx="116">
                  <c:v>1.0972322498682447E-3</c:v>
                </c:pt>
                <c:pt idx="117">
                  <c:v>1.0939104603945604E-3</c:v>
                </c:pt>
                <c:pt idx="118">
                  <c:v>1.0913386367298206E-3</c:v>
                </c:pt>
                <c:pt idx="119">
                  <c:v>1.053026991082762E-3</c:v>
                </c:pt>
                <c:pt idx="120">
                  <c:v>1.0410888378627619E-3</c:v>
                </c:pt>
                <c:pt idx="121">
                  <c:v>1.0492531228341903E-3</c:v>
                </c:pt>
                <c:pt idx="122">
                  <c:v>1.1043948704350874E-3</c:v>
                </c:pt>
                <c:pt idx="123">
                  <c:v>1.1379180326289648E-3</c:v>
                </c:pt>
                <c:pt idx="124">
                  <c:v>1.1524548216678943E-3</c:v>
                </c:pt>
                <c:pt idx="125">
                  <c:v>1.1535760321252585E-3</c:v>
                </c:pt>
                <c:pt idx="126">
                  <c:v>1.1615297185252587E-3</c:v>
                </c:pt>
                <c:pt idx="127">
                  <c:v>1.176787755858592E-3</c:v>
                </c:pt>
                <c:pt idx="128">
                  <c:v>1.1579131981280955E-3</c:v>
                </c:pt>
                <c:pt idx="129">
                  <c:v>1.1798651372012206E-3</c:v>
                </c:pt>
                <c:pt idx="130">
                  <c:v>1.1946081093169229E-3</c:v>
                </c:pt>
                <c:pt idx="131">
                  <c:v>1.2003851485476922E-3</c:v>
                </c:pt>
                <c:pt idx="132">
                  <c:v>1.1984212409333131E-3</c:v>
                </c:pt>
                <c:pt idx="133">
                  <c:v>1.2377896975234769E-3</c:v>
                </c:pt>
                <c:pt idx="134">
                  <c:v>1.2613720326807804E-3</c:v>
                </c:pt>
                <c:pt idx="135">
                  <c:v>1.2264969434620306E-3</c:v>
                </c:pt>
                <c:pt idx="136">
                  <c:v>1.2083896109953637E-3</c:v>
                </c:pt>
                <c:pt idx="137">
                  <c:v>1.199346567829896E-3</c:v>
                </c:pt>
                <c:pt idx="138">
                  <c:v>1.2000962521298961E-3</c:v>
                </c:pt>
                <c:pt idx="139">
                  <c:v>1.1993884957161029E-3</c:v>
                </c:pt>
                <c:pt idx="140">
                  <c:v>1.2165398648671822E-3</c:v>
                </c:pt>
                <c:pt idx="141">
                  <c:v>1.2417704291003426E-3</c:v>
                </c:pt>
                <c:pt idx="142">
                  <c:v>1.2306358183053116E-3</c:v>
                </c:pt>
                <c:pt idx="143">
                  <c:v>1.2557964725319389E-3</c:v>
                </c:pt>
                <c:pt idx="144">
                  <c:v>1.2629511828078008E-3</c:v>
                </c:pt>
                <c:pt idx="145">
                  <c:v>1.2349472750188559E-3</c:v>
                </c:pt>
                <c:pt idx="146">
                  <c:v>1.259681580996634E-3</c:v>
                </c:pt>
                <c:pt idx="147">
                  <c:v>1.2474140155348157E-3</c:v>
                </c:pt>
                <c:pt idx="148">
                  <c:v>1.2685079265348155E-3</c:v>
                </c:pt>
                <c:pt idx="149">
                  <c:v>1.2382861495137628E-3</c:v>
                </c:pt>
                <c:pt idx="150">
                  <c:v>1.2086199628470963E-3</c:v>
                </c:pt>
                <c:pt idx="151">
                  <c:v>1.2229782106005617E-3</c:v>
                </c:pt>
                <c:pt idx="152">
                  <c:v>1.2412695172138949E-3</c:v>
                </c:pt>
                <c:pt idx="153">
                  <c:v>1.2560894277236989E-3</c:v>
                </c:pt>
                <c:pt idx="154">
                  <c:v>1.2435514286157625E-3</c:v>
                </c:pt>
                <c:pt idx="155">
                  <c:v>1.2442275886487956E-3</c:v>
                </c:pt>
                <c:pt idx="156">
                  <c:v>1.2323223462063061E-3</c:v>
                </c:pt>
                <c:pt idx="157">
                  <c:v>1.2552405960716104E-3</c:v>
                </c:pt>
                <c:pt idx="158">
                  <c:v>1.2599733305766313E-3</c:v>
                </c:pt>
                <c:pt idx="159">
                  <c:v>1.2598801516884809E-3</c:v>
                </c:pt>
                <c:pt idx="160">
                  <c:v>1.2495073145510633E-3</c:v>
                </c:pt>
                <c:pt idx="161">
                  <c:v>1.2365990904502596E-3</c:v>
                </c:pt>
                <c:pt idx="162">
                  <c:v>1.2125684134288146E-3</c:v>
                </c:pt>
                <c:pt idx="163">
                  <c:v>1.2109921785272806E-3</c:v>
                </c:pt>
                <c:pt idx="164">
                  <c:v>1.2352997304906196E-3</c:v>
                </c:pt>
                <c:pt idx="165">
                  <c:v>1.2623609160595964E-3</c:v>
                </c:pt>
                <c:pt idx="166">
                  <c:v>1.2517137816102761E-3</c:v>
                </c:pt>
                <c:pt idx="167">
                  <c:v>1.2211286238096274E-3</c:v>
                </c:pt>
                <c:pt idx="168">
                  <c:v>1.1924546058210087E-3</c:v>
                </c:pt>
                <c:pt idx="169">
                  <c:v>1.2020249924018034E-3</c:v>
                </c:pt>
                <c:pt idx="170">
                  <c:v>1.2191492786996004E-3</c:v>
                </c:pt>
                <c:pt idx="171">
                  <c:v>1.2096467810504186E-3</c:v>
                </c:pt>
                <c:pt idx="172">
                  <c:v>1.1912601431774868E-3</c:v>
                </c:pt>
                <c:pt idx="173">
                  <c:v>1.1998297221233688E-3</c:v>
                </c:pt>
                <c:pt idx="174">
                  <c:v>1.1834404003712468E-3</c:v>
                </c:pt>
                <c:pt idx="175">
                  <c:v>1.1805339875298106E-3</c:v>
                </c:pt>
                <c:pt idx="176">
                  <c:v>1.1276762790414024E-3</c:v>
                </c:pt>
                <c:pt idx="177">
                  <c:v>1.1076848486173694E-3</c:v>
                </c:pt>
                <c:pt idx="178">
                  <c:v>1.1161610320674289E-3</c:v>
                </c:pt>
                <c:pt idx="179">
                  <c:v>1.1189107457787897E-3</c:v>
                </c:pt>
                <c:pt idx="180">
                  <c:v>1.134993516927138E-3</c:v>
                </c:pt>
                <c:pt idx="181">
                  <c:v>1.1243735787208314E-3</c:v>
                </c:pt>
                <c:pt idx="182">
                  <c:v>1.1113274477953866E-3</c:v>
                </c:pt>
                <c:pt idx="183">
                  <c:v>1.0857824197246482E-3</c:v>
                </c:pt>
                <c:pt idx="184">
                  <c:v>1.0899348890412376E-3</c:v>
                </c:pt>
                <c:pt idx="185">
                  <c:v>1.0745322496022933E-3</c:v>
                </c:pt>
                <c:pt idx="186">
                  <c:v>1.1060611755920632E-3</c:v>
                </c:pt>
                <c:pt idx="187">
                  <c:v>1.0943245772947565E-3</c:v>
                </c:pt>
                <c:pt idx="188">
                  <c:v>1.0859556275771769E-3</c:v>
                </c:pt>
                <c:pt idx="189">
                  <c:v>1.0661582732306931E-3</c:v>
                </c:pt>
                <c:pt idx="190">
                  <c:v>1.0623604141139561E-3</c:v>
                </c:pt>
                <c:pt idx="191">
                  <c:v>1.0345549386606815E-3</c:v>
                </c:pt>
                <c:pt idx="192">
                  <c:v>1.04272917001839E-3</c:v>
                </c:pt>
                <c:pt idx="193">
                  <c:v>1.0607187086288852E-3</c:v>
                </c:pt>
                <c:pt idx="194">
                  <c:v>1.0624407104405811E-3</c:v>
                </c:pt>
                <c:pt idx="195">
                  <c:v>1.0619486334560455E-3</c:v>
                </c:pt>
                <c:pt idx="196">
                  <c:v>1.0849565902653919E-3</c:v>
                </c:pt>
                <c:pt idx="197">
                  <c:v>1.0667229455926506E-3</c:v>
                </c:pt>
                <c:pt idx="198">
                  <c:v>1.0606186118331975E-3</c:v>
                </c:pt>
                <c:pt idx="199">
                  <c:v>1.0742141674667369E-3</c:v>
                </c:pt>
                <c:pt idx="200">
                  <c:v>1.0891509942572532E-3</c:v>
                </c:pt>
                <c:pt idx="201">
                  <c:v>1.0886617978195649E-3</c:v>
                </c:pt>
                <c:pt idx="202">
                  <c:v>1.091790895952771E-3</c:v>
                </c:pt>
                <c:pt idx="203">
                  <c:v>1.0870228689685128E-3</c:v>
                </c:pt>
                <c:pt idx="204">
                  <c:v>1.111503881537563E-3</c:v>
                </c:pt>
                <c:pt idx="205">
                  <c:v>1.096892413641488E-3</c:v>
                </c:pt>
                <c:pt idx="206">
                  <c:v>1.1885175165282638E-3</c:v>
                </c:pt>
                <c:pt idx="207">
                  <c:v>1.1799401295815284E-3</c:v>
                </c:pt>
                <c:pt idx="208">
                  <c:v>1.1613191320608619E-3</c:v>
                </c:pt>
                <c:pt idx="209">
                  <c:v>1.1483464387323252E-3</c:v>
                </c:pt>
                <c:pt idx="210">
                  <c:v>1.1120027369147835E-3</c:v>
                </c:pt>
                <c:pt idx="211">
                  <c:v>1.2203853338943749E-3</c:v>
                </c:pt>
                <c:pt idx="212">
                  <c:v>1.1695862110445744E-3</c:v>
                </c:pt>
                <c:pt idx="213">
                  <c:v>1.1389871843206401E-3</c:v>
                </c:pt>
                <c:pt idx="214">
                  <c:v>1.1249292211587187E-3</c:v>
                </c:pt>
                <c:pt idx="215">
                  <c:v>1.0924916500711663E-3</c:v>
                </c:pt>
                <c:pt idx="216">
                  <c:v>1.0658167194454412E-3</c:v>
                </c:pt>
                <c:pt idx="217">
                  <c:v>1.121127113896409E-3</c:v>
                </c:pt>
                <c:pt idx="218">
                  <c:v>1.0995547392520335E-3</c:v>
                </c:pt>
                <c:pt idx="219">
                  <c:v>1.1137263607218163E-3</c:v>
                </c:pt>
                <c:pt idx="220">
                  <c:v>1.0785985900439792E-3</c:v>
                </c:pt>
                <c:pt idx="221">
                  <c:v>1.1323064859408572E-3</c:v>
                </c:pt>
                <c:pt idx="222">
                  <c:v>1.1157722061538211E-3</c:v>
                </c:pt>
                <c:pt idx="223">
                  <c:v>1.1355612954937028E-3</c:v>
                </c:pt>
                <c:pt idx="224">
                  <c:v>1.1460402925524082E-3</c:v>
                </c:pt>
                <c:pt idx="225">
                  <c:v>1.1545614777212867E-3</c:v>
                </c:pt>
                <c:pt idx="226">
                  <c:v>1.1720776997217223E-3</c:v>
                </c:pt>
                <c:pt idx="227">
                  <c:v>1.1801017926486251E-3</c:v>
                </c:pt>
                <c:pt idx="228">
                  <c:v>1.1750139420344204E-3</c:v>
                </c:pt>
                <c:pt idx="229">
                  <c:v>1.1600752438911475E-3</c:v>
                </c:pt>
                <c:pt idx="230">
                  <c:v>1.1565304122754193E-3</c:v>
                </c:pt>
                <c:pt idx="231">
                  <c:v>1.1715567618960164E-3</c:v>
                </c:pt>
                <c:pt idx="232">
                  <c:v>1.1868067108972153E-3</c:v>
                </c:pt>
                <c:pt idx="233">
                  <c:v>1.1502100499100291E-3</c:v>
                </c:pt>
                <c:pt idx="234">
                  <c:v>1.1151770780152572E-3</c:v>
                </c:pt>
                <c:pt idx="235">
                  <c:v>1.1586776586030964E-3</c:v>
                </c:pt>
                <c:pt idx="236">
                  <c:v>1.1469259287857807E-3</c:v>
                </c:pt>
                <c:pt idx="237">
                  <c:v>1.1692347503308846E-3</c:v>
                </c:pt>
                <c:pt idx="238">
                  <c:v>1.1625719328480048E-3</c:v>
                </c:pt>
                <c:pt idx="239">
                  <c:v>1.1459355519482268E-3</c:v>
                </c:pt>
                <c:pt idx="240">
                  <c:v>1.1634258506648299E-3</c:v>
                </c:pt>
                <c:pt idx="241">
                  <c:v>1.1599543281964628E-3</c:v>
                </c:pt>
                <c:pt idx="242">
                  <c:v>1.1145582252129846E-3</c:v>
                </c:pt>
                <c:pt idx="243">
                  <c:v>1.0818254766213156E-3</c:v>
                </c:pt>
                <c:pt idx="244">
                  <c:v>1.100289484861618E-3</c:v>
                </c:pt>
                <c:pt idx="245">
                  <c:v>1.143696132499174E-3</c:v>
                </c:pt>
                <c:pt idx="246">
                  <c:v>1.1722605714787821E-3</c:v>
                </c:pt>
                <c:pt idx="247">
                  <c:v>1.1141928271737528E-3</c:v>
                </c:pt>
                <c:pt idx="248">
                  <c:v>1.0994513929333792E-3</c:v>
                </c:pt>
                <c:pt idx="249">
                  <c:v>7.5379444835240849E-4</c:v>
                </c:pt>
                <c:pt idx="250">
                  <c:v>5.942225740411198E-4</c:v>
                </c:pt>
                <c:pt idx="251">
                  <c:v>6.4209033849741608E-4</c:v>
                </c:pt>
                <c:pt idx="252">
                  <c:v>6.9487825762598631E-4</c:v>
                </c:pt>
                <c:pt idx="253">
                  <c:v>6.3707253405669419E-4</c:v>
                </c:pt>
                <c:pt idx="254">
                  <c:v>6.601448594747586E-4</c:v>
                </c:pt>
                <c:pt idx="255">
                  <c:v>6.5163187955488624E-4</c:v>
                </c:pt>
                <c:pt idx="256">
                  <c:v>6.9920128173171238E-4</c:v>
                </c:pt>
                <c:pt idx="257">
                  <c:v>7.0166368657564491E-4</c:v>
                </c:pt>
                <c:pt idx="258">
                  <c:v>7.3728291148079819E-4</c:v>
                </c:pt>
                <c:pt idx="259">
                  <c:v>7.41982311469581E-4</c:v>
                </c:pt>
                <c:pt idx="260">
                  <c:v>7.850712607310145E-4</c:v>
                </c:pt>
                <c:pt idx="261">
                  <c:v>9.1520266340063959E-4</c:v>
                </c:pt>
                <c:pt idx="262">
                  <c:v>8.6762596453675539E-4</c:v>
                </c:pt>
                <c:pt idx="263">
                  <c:v>8.7536433934237961E-4</c:v>
                </c:pt>
                <c:pt idx="264">
                  <c:v>8.9090482406536204E-4</c:v>
                </c:pt>
                <c:pt idx="265">
                  <c:v>8.3483392113216381E-4</c:v>
                </c:pt>
                <c:pt idx="266">
                  <c:v>8.4361440084295921E-4</c:v>
                </c:pt>
                <c:pt idx="267">
                  <c:v>8.8022176287751619E-4</c:v>
                </c:pt>
                <c:pt idx="268">
                  <c:v>8.2355353351133145E-4</c:v>
                </c:pt>
                <c:pt idx="269">
                  <c:v>9.8606673541755657E-4</c:v>
                </c:pt>
                <c:pt idx="270">
                  <c:v>8.6338078785598365E-4</c:v>
                </c:pt>
                <c:pt idx="271">
                  <c:v>8.3561223167797011E-4</c:v>
                </c:pt>
                <c:pt idx="272">
                  <c:v>7.8991366896057232E-4</c:v>
                </c:pt>
                <c:pt idx="273">
                  <c:v>7.3921666113285973E-4</c:v>
                </c:pt>
                <c:pt idx="274">
                  <c:v>7.2996756129900249E-4</c:v>
                </c:pt>
                <c:pt idx="275">
                  <c:v>7.2760013868605506E-4</c:v>
                </c:pt>
                <c:pt idx="276">
                  <c:v>6.5061610187917081E-4</c:v>
                </c:pt>
                <c:pt idx="277">
                  <c:v>6.2164285000313661E-4</c:v>
                </c:pt>
                <c:pt idx="278">
                  <c:v>6.3151544110453346E-4</c:v>
                </c:pt>
                <c:pt idx="279">
                  <c:v>5.8995634564169505E-4</c:v>
                </c:pt>
                <c:pt idx="280">
                  <c:v>5.0678709304194814E-4</c:v>
                </c:pt>
                <c:pt idx="281">
                  <c:v>7.9927051895446223E-4</c:v>
                </c:pt>
                <c:pt idx="282">
                  <c:v>7.2236371628782773E-4</c:v>
                </c:pt>
                <c:pt idx="283">
                  <c:v>7.113140631353496E-4</c:v>
                </c:pt>
                <c:pt idx="284">
                  <c:v>7.111600439584357E-4</c:v>
                </c:pt>
                <c:pt idx="285">
                  <c:v>6.6178031449347623E-4</c:v>
                </c:pt>
                <c:pt idx="286">
                  <c:v>7.2042413128692447E-4</c:v>
                </c:pt>
                <c:pt idx="287">
                  <c:v>7.9844676140717458E-4</c:v>
                </c:pt>
                <c:pt idx="288">
                  <c:v>5.9090224853224603E-4</c:v>
                </c:pt>
                <c:pt idx="289">
                  <c:v>5.3433661204039281E-4</c:v>
                </c:pt>
                <c:pt idx="290">
                  <c:v>5.4806788932910684E-4</c:v>
                </c:pt>
                <c:pt idx="291">
                  <c:v>4.5192106898485687E-4</c:v>
                </c:pt>
                <c:pt idx="292">
                  <c:v>4.3832304964650654E-4</c:v>
                </c:pt>
                <c:pt idx="293">
                  <c:v>4.6167547293869118E-4</c:v>
                </c:pt>
                <c:pt idx="294">
                  <c:v>4.675729633478335E-4</c:v>
                </c:pt>
                <c:pt idx="295">
                  <c:v>4.4864650947345022E-4</c:v>
                </c:pt>
                <c:pt idx="296">
                  <c:v>4.7873839087561165E-4</c:v>
                </c:pt>
                <c:pt idx="297">
                  <c:v>4.667223503960965E-4</c:v>
                </c:pt>
                <c:pt idx="298">
                  <c:v>4.5141313703171725E-4</c:v>
                </c:pt>
                <c:pt idx="299">
                  <c:v>4.3879687663462143E-4</c:v>
                </c:pt>
                <c:pt idx="300">
                  <c:v>4.8328503688004765E-4</c:v>
                </c:pt>
                <c:pt idx="301">
                  <c:v>4.615295940679962E-4</c:v>
                </c:pt>
                <c:pt idx="302">
                  <c:v>4.4043042159321868E-4</c:v>
                </c:pt>
                <c:pt idx="303">
                  <c:v>4.3033074189018121E-4</c:v>
                </c:pt>
                <c:pt idx="304">
                  <c:v>4.4430275440915146E-4</c:v>
                </c:pt>
                <c:pt idx="305">
                  <c:v>4.4030681308731266E-4</c:v>
                </c:pt>
                <c:pt idx="306">
                  <c:v>4.5038786553102653E-4</c:v>
                </c:pt>
                <c:pt idx="307">
                  <c:v>4.2058562336630889E-4</c:v>
                </c:pt>
                <c:pt idx="308">
                  <c:v>4.0130748091579178E-4</c:v>
                </c:pt>
                <c:pt idx="309">
                  <c:v>3.8370030806186167E-4</c:v>
                </c:pt>
                <c:pt idx="310">
                  <c:v>4.0590503846086982E-4</c:v>
                </c:pt>
                <c:pt idx="311">
                  <c:v>3.92948320865499E-4</c:v>
                </c:pt>
                <c:pt idx="312">
                  <c:v>4.167277928287403E-4</c:v>
                </c:pt>
                <c:pt idx="313">
                  <c:v>4.2336604961682253E-4</c:v>
                </c:pt>
                <c:pt idx="314">
                  <c:v>4.4651349604869707E-4</c:v>
                </c:pt>
                <c:pt idx="315">
                  <c:v>4.4910281046091555E-4</c:v>
                </c:pt>
                <c:pt idx="316">
                  <c:v>4.6687497218631576E-4</c:v>
                </c:pt>
                <c:pt idx="317">
                  <c:v>4.6422626336284253E-4</c:v>
                </c:pt>
                <c:pt idx="318">
                  <c:v>4.5124497295243081E-4</c:v>
                </c:pt>
                <c:pt idx="319">
                  <c:v>4.6270423956768815E-4</c:v>
                </c:pt>
                <c:pt idx="320">
                  <c:v>4.8805907837587995E-4</c:v>
                </c:pt>
                <c:pt idx="321">
                  <c:v>4.808888465809063E-4</c:v>
                </c:pt>
                <c:pt idx="322">
                  <c:v>4.9870500628240895E-4</c:v>
                </c:pt>
                <c:pt idx="323">
                  <c:v>4.8689249883821618E-4</c:v>
                </c:pt>
                <c:pt idx="324">
                  <c:v>4.9104724803558934E-4</c:v>
                </c:pt>
                <c:pt idx="325">
                  <c:v>4.5923417298889642E-4</c:v>
                </c:pt>
                <c:pt idx="326">
                  <c:v>4.470715353031821E-4</c:v>
                </c:pt>
                <c:pt idx="327">
                  <c:v>4.327618401029773E-4</c:v>
                </c:pt>
                <c:pt idx="328">
                  <c:v>4.1471776749069941E-4</c:v>
                </c:pt>
                <c:pt idx="329">
                  <c:v>4.2598242938702305E-4</c:v>
                </c:pt>
                <c:pt idx="330">
                  <c:v>4.0977888654728715E-4</c:v>
                </c:pt>
                <c:pt idx="331">
                  <c:v>4.2113202179347068E-4</c:v>
                </c:pt>
                <c:pt idx="332">
                  <c:v>4.2700144090615841E-4</c:v>
                </c:pt>
                <c:pt idx="333">
                  <c:v>4.1781044378838984E-4</c:v>
                </c:pt>
                <c:pt idx="334">
                  <c:v>3.9539402703997261E-4</c:v>
                </c:pt>
                <c:pt idx="335">
                  <c:v>4.0648941272209419E-4</c:v>
                </c:pt>
                <c:pt idx="336">
                  <c:v>4.1799147478543307E-4</c:v>
                </c:pt>
                <c:pt idx="337">
                  <c:v>4.5120732860397841E-4</c:v>
                </c:pt>
                <c:pt idx="338">
                  <c:v>4.667416508542145E-4</c:v>
                </c:pt>
                <c:pt idx="339">
                  <c:v>4.0752036280755313E-4</c:v>
                </c:pt>
                <c:pt idx="340">
                  <c:v>3.9754609539073142E-4</c:v>
                </c:pt>
                <c:pt idx="341">
                  <c:v>4.0339124889446517E-4</c:v>
                </c:pt>
                <c:pt idx="342">
                  <c:v>4.7231014874204465E-4</c:v>
                </c:pt>
                <c:pt idx="343">
                  <c:v>4.8466214246095109E-4</c:v>
                </c:pt>
                <c:pt idx="344">
                  <c:v>4.8665681005278984E-4</c:v>
                </c:pt>
                <c:pt idx="345">
                  <c:v>4.5585451301028822E-4</c:v>
                </c:pt>
                <c:pt idx="346">
                  <c:v>4.6212981601487566E-4</c:v>
                </c:pt>
                <c:pt idx="347">
                  <c:v>4.5432664200487392E-4</c:v>
                </c:pt>
                <c:pt idx="348">
                  <c:v>4.7854242593723496E-4</c:v>
                </c:pt>
                <c:pt idx="349">
                  <c:v>5.1319975580839156E-4</c:v>
                </c:pt>
                <c:pt idx="350">
                  <c:v>4.7129048833496391E-4</c:v>
                </c:pt>
                <c:pt idx="351">
                  <c:v>4.7090287491792336E-4</c:v>
                </c:pt>
                <c:pt idx="352">
                  <c:v>4.3917477691029035E-4</c:v>
                </c:pt>
                <c:pt idx="353">
                  <c:v>4.2193686111479918E-4</c:v>
                </c:pt>
                <c:pt idx="354">
                  <c:v>4.7365112729871146E-4</c:v>
                </c:pt>
                <c:pt idx="355">
                  <c:v>4.7037428953577184E-4</c:v>
                </c:pt>
                <c:pt idx="356">
                  <c:v>4.8442395110549926E-4</c:v>
                </c:pt>
                <c:pt idx="357">
                  <c:v>4.2431570966646321E-4</c:v>
                </c:pt>
                <c:pt idx="358">
                  <c:v>3.8040970690504357E-4</c:v>
                </c:pt>
                <c:pt idx="359">
                  <c:v>3.2425097508235334E-4</c:v>
                </c:pt>
                <c:pt idx="360">
                  <c:v>2.959035940831191E-4</c:v>
                </c:pt>
                <c:pt idx="361">
                  <c:v>2.9371054555702705E-4</c:v>
                </c:pt>
                <c:pt idx="362">
                  <c:v>3.157999472500596E-4</c:v>
                </c:pt>
                <c:pt idx="363">
                  <c:v>2.4851115964689746E-4</c:v>
                </c:pt>
                <c:pt idx="364">
                  <c:v>2.5507390188906314E-4</c:v>
                </c:pt>
                <c:pt idx="365">
                  <c:v>2.4217461220112126E-4</c:v>
                </c:pt>
                <c:pt idx="366">
                  <c:v>2.6371165178563065E-4</c:v>
                </c:pt>
                <c:pt idx="367">
                  <c:v>2.2444322336316841E-4</c:v>
                </c:pt>
                <c:pt idx="368">
                  <c:v>2.6169042579089221E-4</c:v>
                </c:pt>
                <c:pt idx="369">
                  <c:v>2.2352807967961522E-4</c:v>
                </c:pt>
                <c:pt idx="370">
                  <c:v>2.5246305188128938E-4</c:v>
                </c:pt>
                <c:pt idx="371">
                  <c:v>1.7650220828979553E-4</c:v>
                </c:pt>
                <c:pt idx="372">
                  <c:v>2.3467340393328021E-4</c:v>
                </c:pt>
                <c:pt idx="373">
                  <c:v>1.8764062392797912E-4</c:v>
                </c:pt>
                <c:pt idx="374">
                  <c:v>2.4522493910913122E-4</c:v>
                </c:pt>
                <c:pt idx="375">
                  <c:v>2.4166846191405256E-4</c:v>
                </c:pt>
                <c:pt idx="376">
                  <c:v>2.6523073504748792E-4</c:v>
                </c:pt>
                <c:pt idx="377">
                  <c:v>3.1010377465679064E-4</c:v>
                </c:pt>
                <c:pt idx="378">
                  <c:v>3.2458807379878284E-4</c:v>
                </c:pt>
                <c:pt idx="379">
                  <c:v>3.101819493809671E-4</c:v>
                </c:pt>
                <c:pt idx="380">
                  <c:v>2.3992035648667177E-4</c:v>
                </c:pt>
                <c:pt idx="381">
                  <c:v>2.2507739425854699E-4</c:v>
                </c:pt>
                <c:pt idx="382">
                  <c:v>9.4434699753237218E-5</c:v>
                </c:pt>
                <c:pt idx="383">
                  <c:v>4.0356565842812744E-4</c:v>
                </c:pt>
                <c:pt idx="384">
                  <c:v>1.5548739585188837E-4</c:v>
                </c:pt>
                <c:pt idx="385">
                  <c:v>1.5578541798424132E-4</c:v>
                </c:pt>
                <c:pt idx="386">
                  <c:v>2.27785610297838E-4</c:v>
                </c:pt>
                <c:pt idx="387">
                  <c:v>1.7782698416204972E-4</c:v>
                </c:pt>
                <c:pt idx="388">
                  <c:v>1.314208780497732E-4</c:v>
                </c:pt>
                <c:pt idx="389">
                  <c:v>1.2705350511238949E-4</c:v>
                </c:pt>
                <c:pt idx="390">
                  <c:v>8.4163178245410999E-5</c:v>
                </c:pt>
                <c:pt idx="391">
                  <c:v>5.0316880534076653E-5</c:v>
                </c:pt>
                <c:pt idx="392">
                  <c:v>6.2581963740597041E-5</c:v>
                </c:pt>
                <c:pt idx="393">
                  <c:v>5.1666799418871333E-5</c:v>
                </c:pt>
                <c:pt idx="394">
                  <c:v>3.5190812551491552E-5</c:v>
                </c:pt>
                <c:pt idx="395">
                  <c:v>4.309587144608184E-5</c:v>
                </c:pt>
                <c:pt idx="396">
                  <c:v>3.5201485180083274E-5</c:v>
                </c:pt>
                <c:pt idx="397">
                  <c:v>7.3910053799982937E-6</c:v>
                </c:pt>
                <c:pt idx="398">
                  <c:v>-3.7627537645672463E-6</c:v>
                </c:pt>
                <c:pt idx="399">
                  <c:v>2.5723156306324364E-5</c:v>
                </c:pt>
                <c:pt idx="400">
                  <c:v>7.9905260735662449E-6</c:v>
                </c:pt>
                <c:pt idx="401">
                  <c:v>9.0612714916410447E-6</c:v>
                </c:pt>
                <c:pt idx="402">
                  <c:v>-9.8611347656155466E-6</c:v>
                </c:pt>
                <c:pt idx="403">
                  <c:v>-4.7632053534160056E-6</c:v>
                </c:pt>
                <c:pt idx="404">
                  <c:v>4.0778488622702896E-6</c:v>
                </c:pt>
                <c:pt idx="405">
                  <c:v>1.9368707786922633E-5</c:v>
                </c:pt>
                <c:pt idx="406">
                  <c:v>-4.967429156767148E-6</c:v>
                </c:pt>
                <c:pt idx="407">
                  <c:v>1.9171287481222143E-5</c:v>
                </c:pt>
                <c:pt idx="408">
                  <c:v>-2.0586116224171853E-5</c:v>
                </c:pt>
                <c:pt idx="409">
                  <c:v>-1.3019910706769839E-5</c:v>
                </c:pt>
                <c:pt idx="410">
                  <c:v>-2.0821682737791692E-5</c:v>
                </c:pt>
                <c:pt idx="411">
                  <c:v>-2.6411862245724427E-5</c:v>
                </c:pt>
                <c:pt idx="412">
                  <c:v>-2.6229483509703787E-5</c:v>
                </c:pt>
                <c:pt idx="413">
                  <c:v>1.1503745526184767E-5</c:v>
                </c:pt>
                <c:pt idx="414">
                  <c:v>-1.9647826104304789E-5</c:v>
                </c:pt>
                <c:pt idx="415">
                  <c:v>-1.0641798363179274E-4</c:v>
                </c:pt>
                <c:pt idx="416">
                  <c:v>-8.9541500963034905E-5</c:v>
                </c:pt>
                <c:pt idx="417">
                  <c:v>-8.5159654426912538E-5</c:v>
                </c:pt>
                <c:pt idx="418">
                  <c:v>-1.0976423694347649E-4</c:v>
                </c:pt>
                <c:pt idx="419">
                  <c:v>-1.5515223637877645E-4</c:v>
                </c:pt>
                <c:pt idx="420">
                  <c:v>-7.4665054782236477E-5</c:v>
                </c:pt>
                <c:pt idx="421">
                  <c:v>-9.4450987685701094E-5</c:v>
                </c:pt>
                <c:pt idx="422">
                  <c:v>-1.1222332772831939E-4</c:v>
                </c:pt>
                <c:pt idx="423">
                  <c:v>-1.0194628028690639E-4</c:v>
                </c:pt>
                <c:pt idx="424">
                  <c:v>-1.1316289479325277E-4</c:v>
                </c:pt>
                <c:pt idx="425">
                  <c:v>-1.3036332679379774E-4</c:v>
                </c:pt>
                <c:pt idx="426">
                  <c:v>-1.5015674730504478E-4</c:v>
                </c:pt>
                <c:pt idx="427">
                  <c:v>-1.1909943007041372E-4</c:v>
                </c:pt>
                <c:pt idx="428">
                  <c:v>-1.0965095462276652E-4</c:v>
                </c:pt>
                <c:pt idx="429">
                  <c:v>-8.8474406417328062E-5</c:v>
                </c:pt>
                <c:pt idx="430">
                  <c:v>-6.9498816342996651E-5</c:v>
                </c:pt>
                <c:pt idx="431">
                  <c:v>-1.0028747744704229E-4</c:v>
                </c:pt>
                <c:pt idx="432">
                  <c:v>-1.2792449949568862E-4</c:v>
                </c:pt>
                <c:pt idx="433">
                  <c:v>-1.6736179063007593E-4</c:v>
                </c:pt>
                <c:pt idx="434">
                  <c:v>-1.6338462288864629E-4</c:v>
                </c:pt>
                <c:pt idx="435">
                  <c:v>-1.4822593367743773E-4</c:v>
                </c:pt>
                <c:pt idx="436">
                  <c:v>-1.1048266527591542E-4</c:v>
                </c:pt>
                <c:pt idx="437">
                  <c:v>-1.2857050383722817E-4</c:v>
                </c:pt>
                <c:pt idx="438">
                  <c:v>-1.2707879207747265E-4</c:v>
                </c:pt>
                <c:pt idx="439">
                  <c:v>-1.2212569780790746E-4</c:v>
                </c:pt>
                <c:pt idx="440">
                  <c:v>-1.1003860690163723E-4</c:v>
                </c:pt>
                <c:pt idx="441">
                  <c:v>-1.2105934880822228E-4</c:v>
                </c:pt>
                <c:pt idx="442">
                  <c:v>-1.1706760322017109E-4</c:v>
                </c:pt>
                <c:pt idx="443">
                  <c:v>-9.8663794838574299E-5</c:v>
                </c:pt>
                <c:pt idx="444">
                  <c:v>-1.1098971547249102E-4</c:v>
                </c:pt>
                <c:pt idx="445">
                  <c:v>-1.0850130503096858E-4</c:v>
                </c:pt>
                <c:pt idx="446">
                  <c:v>-1.2370632044169736E-4</c:v>
                </c:pt>
                <c:pt idx="447">
                  <c:v>-9.6522280526114581E-5</c:v>
                </c:pt>
                <c:pt idx="448">
                  <c:v>-1.5357054588093142E-4</c:v>
                </c:pt>
                <c:pt idx="449">
                  <c:v>-1.4287362980035787E-4</c:v>
                </c:pt>
                <c:pt idx="450">
                  <c:v>-1.4924341485227067E-4</c:v>
                </c:pt>
                <c:pt idx="451">
                  <c:v>-1.6108315596585819E-4</c:v>
                </c:pt>
                <c:pt idx="452">
                  <c:v>-1.419069080072783E-4</c:v>
                </c:pt>
                <c:pt idx="453">
                  <c:v>-1.5010416835738099E-4</c:v>
                </c:pt>
                <c:pt idx="454">
                  <c:v>-1.4914160440320992E-4</c:v>
                </c:pt>
                <c:pt idx="455">
                  <c:v>-1.3539233075405736E-4</c:v>
                </c:pt>
                <c:pt idx="456">
                  <c:v>-1.3471666935285459E-4</c:v>
                </c:pt>
                <c:pt idx="457">
                  <c:v>-1.0789512823931345E-4</c:v>
                </c:pt>
                <c:pt idx="458">
                  <c:v>-1.1068409984880105E-4</c:v>
                </c:pt>
                <c:pt idx="459">
                  <c:v>-9.6157333745892231E-5</c:v>
                </c:pt>
                <c:pt idx="460">
                  <c:v>-8.9744270090971398E-5</c:v>
                </c:pt>
                <c:pt idx="461">
                  <c:v>-9.3310588383816888E-5</c:v>
                </c:pt>
                <c:pt idx="462">
                  <c:v>-9.6239433758452507E-5</c:v>
                </c:pt>
                <c:pt idx="463">
                  <c:v>-1.1148429862542496E-4</c:v>
                </c:pt>
                <c:pt idx="464">
                  <c:v>-1.1944588692038637E-4</c:v>
                </c:pt>
                <c:pt idx="465">
                  <c:v>-1.0479721558902552E-4</c:v>
                </c:pt>
                <c:pt idx="466">
                  <c:v>-1.025216866089322E-4</c:v>
                </c:pt>
                <c:pt idx="467">
                  <c:v>-1.1058521926667231E-4</c:v>
                </c:pt>
                <c:pt idx="468">
                  <c:v>-1.1550340384278665E-4</c:v>
                </c:pt>
                <c:pt idx="469">
                  <c:v>-1.0880007147809634E-4</c:v>
                </c:pt>
                <c:pt idx="470">
                  <c:v>-1.0216540591259894E-4</c:v>
                </c:pt>
                <c:pt idx="471">
                  <c:v>-9.704248239006791E-5</c:v>
                </c:pt>
                <c:pt idx="472">
                  <c:v>-9.3425097611669894E-5</c:v>
                </c:pt>
                <c:pt idx="473">
                  <c:v>-9.6632827176851489E-5</c:v>
                </c:pt>
                <c:pt idx="474">
                  <c:v>-9.7148402540444647E-5</c:v>
                </c:pt>
                <c:pt idx="475">
                  <c:v>-9.1398780944444591E-5</c:v>
                </c:pt>
                <c:pt idx="476">
                  <c:v>-1.3330021686720341E-4</c:v>
                </c:pt>
                <c:pt idx="477">
                  <c:v>-1.6611587486048369E-4</c:v>
                </c:pt>
                <c:pt idx="478">
                  <c:v>-1.947207248022311E-4</c:v>
                </c:pt>
                <c:pt idx="479">
                  <c:v>-1.6066829862557236E-4</c:v>
                </c:pt>
                <c:pt idx="480">
                  <c:v>-1.698963651112598E-4</c:v>
                </c:pt>
                <c:pt idx="481">
                  <c:v>-1.8539762858624831E-4</c:v>
                </c:pt>
                <c:pt idx="482">
                  <c:v>-1.6985536348382499E-4</c:v>
                </c:pt>
                <c:pt idx="483">
                  <c:v>-1.6676733669422611E-4</c:v>
                </c:pt>
                <c:pt idx="484">
                  <c:v>-1.6881905178860109E-4</c:v>
                </c:pt>
                <c:pt idx="485">
                  <c:v>-2.1694733140385742E-4</c:v>
                </c:pt>
                <c:pt idx="486">
                  <c:v>-2.2121925434627138E-4</c:v>
                </c:pt>
                <c:pt idx="487">
                  <c:v>-1.9643449888817672E-4</c:v>
                </c:pt>
                <c:pt idx="488">
                  <c:v>-1.8768788044142676E-4</c:v>
                </c:pt>
                <c:pt idx="489">
                  <c:v>-2.0992934831725923E-4</c:v>
                </c:pt>
                <c:pt idx="490">
                  <c:v>-2.2600527219123709E-4</c:v>
                </c:pt>
                <c:pt idx="491">
                  <c:v>-2.5997548723555173E-4</c:v>
                </c:pt>
                <c:pt idx="492">
                  <c:v>-2.2133790649736694E-4</c:v>
                </c:pt>
                <c:pt idx="493">
                  <c:v>-2.4296280251040085E-4</c:v>
                </c:pt>
                <c:pt idx="494">
                  <c:v>-2.2221571598501926E-4</c:v>
                </c:pt>
                <c:pt idx="495">
                  <c:v>-2.0046030361098386E-4</c:v>
                </c:pt>
                <c:pt idx="496">
                  <c:v>-2.0020368863839995E-4</c:v>
                </c:pt>
                <c:pt idx="497">
                  <c:v>-2.189181241077474E-4</c:v>
                </c:pt>
                <c:pt idx="498">
                  <c:v>-1.9204901315550722E-4</c:v>
                </c:pt>
                <c:pt idx="499">
                  <c:v>-2.2981648918945802E-4</c:v>
                </c:pt>
                <c:pt idx="500">
                  <c:v>-1.833042928702636E-4</c:v>
                </c:pt>
                <c:pt idx="501">
                  <c:v>-1.5919276735710562E-4</c:v>
                </c:pt>
                <c:pt idx="502">
                  <c:v>-1.5446875302031578E-4</c:v>
                </c:pt>
                <c:pt idx="503">
                  <c:v>-1.5268796482325773E-4</c:v>
                </c:pt>
                <c:pt idx="504">
                  <c:v>-1.5617709181357014E-4</c:v>
                </c:pt>
                <c:pt idx="505">
                  <c:v>-1.4720235948617369E-4</c:v>
                </c:pt>
                <c:pt idx="506">
                  <c:v>-1.527230815894424E-4</c:v>
                </c:pt>
                <c:pt idx="507">
                  <c:v>-1.3852007573968654E-4</c:v>
                </c:pt>
                <c:pt idx="508">
                  <c:v>-1.4097016279066073E-4</c:v>
                </c:pt>
                <c:pt idx="509">
                  <c:v>-1.9165576100599414E-4</c:v>
                </c:pt>
                <c:pt idx="510">
                  <c:v>-1.480798859107159E-4</c:v>
                </c:pt>
                <c:pt idx="511">
                  <c:v>-1.6350062436139168E-4</c:v>
                </c:pt>
                <c:pt idx="512">
                  <c:v>-1.1169596184919474E-4</c:v>
                </c:pt>
                <c:pt idx="513">
                  <c:v>-1.0071609745291065E-4</c:v>
                </c:pt>
                <c:pt idx="514">
                  <c:v>-1.2135638622764493E-4</c:v>
                </c:pt>
                <c:pt idx="515">
                  <c:v>-1.3750208704369009E-4</c:v>
                </c:pt>
                <c:pt idx="516">
                  <c:v>-1.6897355321124068E-4</c:v>
                </c:pt>
                <c:pt idx="517">
                  <c:v>-1.5043803670329299E-4</c:v>
                </c:pt>
                <c:pt idx="518">
                  <c:v>-1.8495114535197388E-4</c:v>
                </c:pt>
                <c:pt idx="519">
                  <c:v>-1.5748598231368185E-4</c:v>
                </c:pt>
                <c:pt idx="520">
                  <c:v>-1.5257998213583562E-4</c:v>
                </c:pt>
                <c:pt idx="521">
                  <c:v>-1.399310089860975E-4</c:v>
                </c:pt>
                <c:pt idx="522">
                  <c:v>-1.6869727014294739E-4</c:v>
                </c:pt>
                <c:pt idx="523">
                  <c:v>-1.7385427949775047E-4</c:v>
                </c:pt>
                <c:pt idx="524">
                  <c:v>-2.307357547874649E-4</c:v>
                </c:pt>
                <c:pt idx="525">
                  <c:v>-1.8316460473351731E-4</c:v>
                </c:pt>
                <c:pt idx="526">
                  <c:v>-1.6494585010155298E-4</c:v>
                </c:pt>
                <c:pt idx="527">
                  <c:v>-1.585565640575145E-4</c:v>
                </c:pt>
                <c:pt idx="528">
                  <c:v>-1.6733085090444081E-4</c:v>
                </c:pt>
                <c:pt idx="529">
                  <c:v>-1.246489465703065E-4</c:v>
                </c:pt>
                <c:pt idx="530">
                  <c:v>-1.2183863669165682E-4</c:v>
                </c:pt>
                <c:pt idx="531">
                  <c:v>-9.9193867125415116E-5</c:v>
                </c:pt>
                <c:pt idx="532">
                  <c:v>-2.7527780870723432E-5</c:v>
                </c:pt>
                <c:pt idx="533">
                  <c:v>-5.5810118172711406E-5</c:v>
                </c:pt>
                <c:pt idx="534">
                  <c:v>-5.5287818970365483E-5</c:v>
                </c:pt>
                <c:pt idx="535">
                  <c:v>-4.9766796037552327E-5</c:v>
                </c:pt>
                <c:pt idx="536">
                  <c:v>-6.1539958784824993E-5</c:v>
                </c:pt>
                <c:pt idx="537">
                  <c:v>-7.0449327184885131E-5</c:v>
                </c:pt>
                <c:pt idx="538">
                  <c:v>-7.1927569730685282E-5</c:v>
                </c:pt>
                <c:pt idx="539">
                  <c:v>-7.2689526231755689E-5</c:v>
                </c:pt>
                <c:pt idx="540">
                  <c:v>-7.3499326046478941E-5</c:v>
                </c:pt>
                <c:pt idx="541">
                  <c:v>-7.4856966659888856E-5</c:v>
                </c:pt>
                <c:pt idx="542">
                  <c:v>-6.5338655523535807E-5</c:v>
                </c:pt>
                <c:pt idx="543">
                  <c:v>-6.8214094435306208E-5</c:v>
                </c:pt>
                <c:pt idx="544">
                  <c:v>-6.1037437286683987E-5</c:v>
                </c:pt>
                <c:pt idx="545">
                  <c:v>-7.7110029220045734E-5</c:v>
                </c:pt>
                <c:pt idx="546">
                  <c:v>-6.8019265115741142E-5</c:v>
                </c:pt>
                <c:pt idx="547">
                  <c:v>-8.571466871693053E-5</c:v>
                </c:pt>
                <c:pt idx="548">
                  <c:v>-9.7474577470227868E-5</c:v>
                </c:pt>
                <c:pt idx="549">
                  <c:v>-1.0409552318023707E-4</c:v>
                </c:pt>
                <c:pt idx="550">
                  <c:v>-9.6054336667072854E-5</c:v>
                </c:pt>
                <c:pt idx="551">
                  <c:v>-8.6724996032744528E-5</c:v>
                </c:pt>
                <c:pt idx="552">
                  <c:v>-9.3604477103602821E-5</c:v>
                </c:pt>
                <c:pt idx="553">
                  <c:v>-8.0119328218515622E-5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65-4D3A-B2F2-475E1B4A5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192416"/>
        <c:axId val="635191584"/>
      </c:lineChart>
      <c:dateAx>
        <c:axId val="635192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91584"/>
        <c:crosses val="autoZero"/>
        <c:auto val="1"/>
        <c:lblOffset val="100"/>
        <c:baseTimeUnit val="days"/>
      </c:dateAx>
      <c:valAx>
        <c:axId val="6351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9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3987346-6956-43E0-AC70-F4D288AC9FD1}">
  <sheetPr codeName="Chart1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8C3CC8-B352-4847-91FC-EF39EFD6248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6347.94</v>
      </c>
      <c r="D2" s="4">
        <f>MIN(D3:D1912)</f>
        <v>429.79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1702</v>
      </c>
      <c r="C5">
        <v>1720</v>
      </c>
      <c r="D5">
        <v>1671</v>
      </c>
      <c r="E5">
        <v>1672</v>
      </c>
      <c r="F5">
        <v>97.358000000000004</v>
      </c>
      <c r="G5">
        <v>1672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-0.95918367346938771</v>
      </c>
      <c r="Q5">
        <f t="shared" ref="Q5" si="1">F5*P5</f>
        <v>-93.384204081632646</v>
      </c>
      <c r="R5">
        <f t="shared" ref="R5" si="2">R6+Q5</f>
        <v>99027.375719904318</v>
      </c>
      <c r="S5">
        <f t="shared" ref="S5" si="3">R5/100000</f>
        <v>0.9902737571990432</v>
      </c>
      <c r="T5">
        <f t="shared" ref="T5" si="4">S5/1000</f>
        <v>9.9027375719904311E-4</v>
      </c>
    </row>
    <row r="6" spans="1:20" x14ac:dyDescent="0.25">
      <c r="A6" s="5">
        <v>44587</v>
      </c>
      <c r="B6">
        <v>1809</v>
      </c>
      <c r="C6">
        <v>1875</v>
      </c>
      <c r="D6">
        <v>1664</v>
      </c>
      <c r="E6">
        <v>1704</v>
      </c>
      <c r="F6">
        <v>5048.6494000000002</v>
      </c>
      <c r="G6">
        <v>1704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-0.62085308056872035</v>
      </c>
      <c r="Q6">
        <f t="shared" ref="Q6" si="6">F6*P6</f>
        <v>-3134.4695327014219</v>
      </c>
      <c r="R6">
        <f t="shared" ref="R6" si="7">R7+Q6</f>
        <v>99120.759923985956</v>
      </c>
      <c r="S6">
        <f t="shared" ref="S6" si="8">R6/100000</f>
        <v>0.99120759923985957</v>
      </c>
      <c r="T6">
        <f t="shared" ref="T6" si="9">S6/1000</f>
        <v>9.9120759923985958E-4</v>
      </c>
    </row>
    <row r="7" spans="1:20" x14ac:dyDescent="0.25">
      <c r="A7" s="5">
        <v>44586</v>
      </c>
      <c r="B7">
        <v>1922</v>
      </c>
      <c r="C7">
        <v>1946</v>
      </c>
      <c r="D7">
        <v>1795</v>
      </c>
      <c r="E7">
        <v>1808</v>
      </c>
      <c r="F7">
        <v>3492.3103000000001</v>
      </c>
      <c r="G7">
        <v>1808</v>
      </c>
      <c r="L7" t="s">
        <v>7</v>
      </c>
      <c r="M7" t="s">
        <v>8</v>
      </c>
      <c r="N7" t="s">
        <v>7</v>
      </c>
      <c r="P7">
        <f t="shared" ref="P7" si="10">IF(C7=D7,0,((E7-D7)-(C7-E7))/(C7-D7))</f>
        <v>-0.82781456953642385</v>
      </c>
      <c r="Q7">
        <f t="shared" ref="Q7" si="11">F7*P7</f>
        <v>-2890.9853476821195</v>
      </c>
      <c r="R7">
        <f t="shared" ref="R7" si="12">R8+Q7</f>
        <v>102255.22945668738</v>
      </c>
      <c r="S7">
        <f t="shared" ref="S7" si="13">R7/100000</f>
        <v>1.0225522945668737</v>
      </c>
      <c r="T7">
        <f t="shared" ref="T7" si="14">S7/1000</f>
        <v>1.0225522945668736E-3</v>
      </c>
    </row>
    <row r="8" spans="1:20" x14ac:dyDescent="0.25">
      <c r="A8" s="5">
        <v>44585</v>
      </c>
      <c r="B8">
        <v>1833</v>
      </c>
      <c r="C8">
        <v>1964</v>
      </c>
      <c r="D8">
        <v>1652</v>
      </c>
      <c r="E8">
        <v>1921</v>
      </c>
      <c r="F8">
        <v>3903.1505000000002</v>
      </c>
      <c r="G8">
        <v>1921</v>
      </c>
      <c r="L8" t="s">
        <v>8</v>
      </c>
      <c r="M8" t="s">
        <v>8</v>
      </c>
      <c r="N8" t="s">
        <v>7</v>
      </c>
      <c r="P8">
        <f t="shared" ref="P8" si="15">IF(C8=D8,0,((E8-D8)-(C8-E8))/(C8-D8))</f>
        <v>0.72435897435897434</v>
      </c>
      <c r="Q8">
        <f t="shared" ref="Q8" si="16">F8*P8</f>
        <v>2827.2820929487179</v>
      </c>
      <c r="R8">
        <f t="shared" ref="R8" si="17">R9+Q8</f>
        <v>105146.21480436949</v>
      </c>
      <c r="S8">
        <f t="shared" ref="S8" si="18">R8/100000</f>
        <v>1.051462148043695</v>
      </c>
      <c r="T8">
        <f t="shared" ref="T8" si="19">S8/1000</f>
        <v>1.0514621480436949E-3</v>
      </c>
    </row>
    <row r="9" spans="1:20" x14ac:dyDescent="0.25">
      <c r="A9" s="5">
        <v>44584</v>
      </c>
      <c r="B9">
        <v>1800</v>
      </c>
      <c r="C9">
        <v>1922</v>
      </c>
      <c r="D9">
        <v>1762</v>
      </c>
      <c r="E9">
        <v>1832</v>
      </c>
      <c r="F9">
        <v>2832.5331999999999</v>
      </c>
      <c r="G9">
        <v>1832</v>
      </c>
      <c r="L9" t="s">
        <v>8</v>
      </c>
      <c r="M9" t="s">
        <v>7</v>
      </c>
      <c r="N9" t="s">
        <v>7</v>
      </c>
      <c r="P9">
        <f t="shared" ref="P9" si="20">IF(C9=D9,0,((E9-D9)-(C9-E9))/(C9-D9))</f>
        <v>-0.125</v>
      </c>
      <c r="Q9">
        <f t="shared" ref="Q9" si="21">F9*P9</f>
        <v>-354.06664999999998</v>
      </c>
      <c r="R9">
        <f t="shared" ref="R9" si="22">R10+Q9</f>
        <v>102318.93271142077</v>
      </c>
      <c r="S9">
        <f t="shared" ref="S9" si="23">R9/100000</f>
        <v>1.0231893271142076</v>
      </c>
      <c r="T9">
        <f t="shared" ref="T9" si="24">S9/1000</f>
        <v>1.0231893271142076E-3</v>
      </c>
    </row>
    <row r="10" spans="1:20" x14ac:dyDescent="0.25">
      <c r="A10" s="5">
        <v>44583</v>
      </c>
      <c r="B10">
        <v>1799</v>
      </c>
      <c r="C10">
        <v>2093</v>
      </c>
      <c r="D10">
        <v>1616</v>
      </c>
      <c r="E10">
        <v>1799</v>
      </c>
      <c r="F10">
        <v>11887.799199999999</v>
      </c>
      <c r="G10">
        <v>1799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-0.23270440251572327</v>
      </c>
      <c r="Q10">
        <f t="shared" ref="Q10" si="26">F10*P10</f>
        <v>-2766.3432100628929</v>
      </c>
      <c r="R10">
        <f t="shared" ref="R10" si="27">R11+Q10</f>
        <v>102672.99936142076</v>
      </c>
      <c r="S10">
        <f t="shared" ref="S10" si="28">R10/100000</f>
        <v>1.0267299936142076</v>
      </c>
      <c r="T10">
        <f t="shared" ref="T10" si="29">S10/1000</f>
        <v>1.0267299936142075E-3</v>
      </c>
    </row>
    <row r="11" spans="1:20" x14ac:dyDescent="0.25">
      <c r="A11" s="5">
        <v>44582</v>
      </c>
      <c r="B11">
        <v>1901</v>
      </c>
      <c r="C11">
        <v>1919</v>
      </c>
      <c r="D11">
        <v>1700</v>
      </c>
      <c r="E11">
        <v>1801</v>
      </c>
      <c r="F11">
        <v>4843.7863500000003</v>
      </c>
      <c r="G11">
        <v>1801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-7.7625570776255703E-2</v>
      </c>
      <c r="Q11">
        <f t="shared" ref="Q11" si="31">F11*P11</f>
        <v>-376.00168013698629</v>
      </c>
      <c r="R11">
        <f t="shared" ref="R11" si="32">R12+Q11</f>
        <v>105439.34257148366</v>
      </c>
      <c r="S11">
        <f t="shared" ref="S11" si="33">R11/100000</f>
        <v>1.0543934257148366</v>
      </c>
      <c r="T11">
        <f t="shared" ref="T11" si="34">S11/1000</f>
        <v>1.0543934257148367E-3</v>
      </c>
    </row>
    <row r="12" spans="1:20" x14ac:dyDescent="0.25">
      <c r="A12" s="5">
        <v>44581</v>
      </c>
      <c r="B12">
        <v>1996</v>
      </c>
      <c r="C12">
        <v>2062</v>
      </c>
      <c r="D12">
        <v>1896</v>
      </c>
      <c r="E12">
        <v>1905</v>
      </c>
      <c r="F12">
        <v>984.45849999999996</v>
      </c>
      <c r="G12">
        <v>1905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-0.89156626506024095</v>
      </c>
      <c r="Q12">
        <f t="shared" ref="Q12" si="36">F12*P12</f>
        <v>-877.70998795180719</v>
      </c>
      <c r="R12">
        <f t="shared" ref="R12" si="37">R13+Q12</f>
        <v>105815.34425162066</v>
      </c>
      <c r="S12">
        <f t="shared" ref="S12" si="38">R12/100000</f>
        <v>1.0581534425162065</v>
      </c>
      <c r="T12">
        <f t="shared" ref="T12" si="39">S12/1000</f>
        <v>1.0581534425162064E-3</v>
      </c>
    </row>
    <row r="13" spans="1:20" x14ac:dyDescent="0.25">
      <c r="A13" s="5">
        <v>44580</v>
      </c>
      <c r="B13">
        <v>2065</v>
      </c>
      <c r="C13">
        <v>2066</v>
      </c>
      <c r="D13">
        <v>1993</v>
      </c>
      <c r="E13">
        <v>1996</v>
      </c>
      <c r="F13">
        <v>1079.0975000000001</v>
      </c>
      <c r="G13">
        <v>1996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-0.9178082191780822</v>
      </c>
      <c r="Q13">
        <f t="shared" ref="Q13" si="41">F13*P13</f>
        <v>-990.40455479452066</v>
      </c>
      <c r="R13">
        <f t="shared" ref="R13" si="42">R14+Q13</f>
        <v>106693.05423957246</v>
      </c>
      <c r="S13">
        <f t="shared" ref="S13" si="43">R13/100000</f>
        <v>1.0669305423957247</v>
      </c>
      <c r="T13">
        <f t="shared" ref="T13" si="44">S13/1000</f>
        <v>1.0669305423957247E-3</v>
      </c>
    </row>
    <row r="14" spans="1:20" x14ac:dyDescent="0.25">
      <c r="A14" s="5">
        <v>44579</v>
      </c>
      <c r="B14">
        <v>2095</v>
      </c>
      <c r="C14">
        <v>2125</v>
      </c>
      <c r="D14">
        <v>2030</v>
      </c>
      <c r="E14">
        <v>2063</v>
      </c>
      <c r="F14">
        <v>928.59159999999997</v>
      </c>
      <c r="G14">
        <v>2063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-0.30526315789473685</v>
      </c>
      <c r="Q14">
        <f t="shared" ref="Q14" si="46">F14*P14</f>
        <v>-283.46480421052632</v>
      </c>
      <c r="R14">
        <f t="shared" ref="R14" si="47">R15+Q14</f>
        <v>107683.45879436698</v>
      </c>
      <c r="S14">
        <f t="shared" ref="S14" si="48">R14/100000</f>
        <v>1.0768345879436698</v>
      </c>
      <c r="T14">
        <f t="shared" ref="T14" si="49">S14/1000</f>
        <v>1.0768345879436699E-3</v>
      </c>
    </row>
    <row r="15" spans="1:20" x14ac:dyDescent="0.25">
      <c r="A15" s="5">
        <v>44578</v>
      </c>
      <c r="B15">
        <v>2254</v>
      </c>
      <c r="C15">
        <v>2272</v>
      </c>
      <c r="D15">
        <v>2073</v>
      </c>
      <c r="E15">
        <v>2094</v>
      </c>
      <c r="F15">
        <v>1087.2876000000001</v>
      </c>
      <c r="G15">
        <v>2094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-0.78894472361809043</v>
      </c>
      <c r="Q15">
        <f t="shared" ref="Q15" si="51">F15*P15</f>
        <v>-857.80981507537695</v>
      </c>
      <c r="R15">
        <f t="shared" ref="R15" si="52">R16+Q15</f>
        <v>107966.9235985775</v>
      </c>
      <c r="S15">
        <f t="shared" ref="S15" si="53">R15/100000</f>
        <v>1.0796692359857749</v>
      </c>
      <c r="T15">
        <f t="shared" ref="T15" si="54">S15/1000</f>
        <v>1.0796692359857749E-3</v>
      </c>
    </row>
    <row r="16" spans="1:20" x14ac:dyDescent="0.25">
      <c r="A16" s="5">
        <v>44577</v>
      </c>
      <c r="B16">
        <v>2210</v>
      </c>
      <c r="C16">
        <v>2260</v>
      </c>
      <c r="D16">
        <v>2180</v>
      </c>
      <c r="E16">
        <v>2255</v>
      </c>
      <c r="F16">
        <v>613.29470000000003</v>
      </c>
      <c r="G16">
        <v>2255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0.875</v>
      </c>
      <c r="Q16">
        <f t="shared" ref="Q16" si="56">F16*P16</f>
        <v>536.63286249999999</v>
      </c>
      <c r="R16">
        <f t="shared" ref="R16" si="57">R17+Q16</f>
        <v>108824.73341365288</v>
      </c>
      <c r="S16">
        <f t="shared" ref="S16" si="58">R16/100000</f>
        <v>1.0882473341365289</v>
      </c>
      <c r="T16">
        <f t="shared" ref="T16" si="59">S16/1000</f>
        <v>1.0882473341365289E-3</v>
      </c>
    </row>
    <row r="17" spans="1:20" x14ac:dyDescent="0.25">
      <c r="A17" s="5">
        <v>44576</v>
      </c>
      <c r="B17">
        <v>2193</v>
      </c>
      <c r="C17">
        <v>2244</v>
      </c>
      <c r="D17">
        <v>2167</v>
      </c>
      <c r="E17">
        <v>2212</v>
      </c>
      <c r="F17">
        <v>608.34649999999999</v>
      </c>
      <c r="G17">
        <v>2212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0.16883116883116883</v>
      </c>
      <c r="Q17">
        <f t="shared" ref="Q17" si="61">F17*P17</f>
        <v>102.70785064935065</v>
      </c>
      <c r="R17">
        <f t="shared" ref="R17" si="62">R18+Q17</f>
        <v>108288.10055115288</v>
      </c>
      <c r="S17">
        <f t="shared" ref="S17" si="63">R17/100000</f>
        <v>1.0828810055115288</v>
      </c>
      <c r="T17">
        <f t="shared" ref="T17" si="64">S17/1000</f>
        <v>1.0828810055115287E-3</v>
      </c>
    </row>
    <row r="18" spans="1:20" x14ac:dyDescent="0.25">
      <c r="A18" s="5">
        <v>44575</v>
      </c>
      <c r="B18">
        <v>2097</v>
      </c>
      <c r="C18">
        <v>2198</v>
      </c>
      <c r="D18">
        <v>2082</v>
      </c>
      <c r="E18">
        <v>2191</v>
      </c>
      <c r="F18">
        <v>749.6422</v>
      </c>
      <c r="G18">
        <v>2191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0.87931034482758619</v>
      </c>
      <c r="Q18">
        <f t="shared" ref="Q18" si="66">F18*P18</f>
        <v>659.16814137931033</v>
      </c>
      <c r="R18">
        <f t="shared" ref="R18" si="67">R19+Q18</f>
        <v>108185.39270050352</v>
      </c>
      <c r="S18">
        <f t="shared" ref="S18" si="68">R18/100000</f>
        <v>1.0818539270050351</v>
      </c>
      <c r="T18">
        <f t="shared" ref="T18" si="69">S18/1000</f>
        <v>1.081853927005035E-3</v>
      </c>
    </row>
    <row r="19" spans="1:20" x14ac:dyDescent="0.25">
      <c r="A19" s="5">
        <v>44574</v>
      </c>
      <c r="B19">
        <v>2168</v>
      </c>
      <c r="C19">
        <v>2200</v>
      </c>
      <c r="D19">
        <v>2075</v>
      </c>
      <c r="E19">
        <v>2097</v>
      </c>
      <c r="F19">
        <v>1172.0487000000001</v>
      </c>
      <c r="G19">
        <v>2097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-0.64800000000000002</v>
      </c>
      <c r="Q19">
        <f t="shared" ref="Q19" si="71">F19*P19</f>
        <v>-759.48755760000006</v>
      </c>
      <c r="R19">
        <f t="shared" ref="R19" si="72">R20+Q19</f>
        <v>107526.22455912421</v>
      </c>
      <c r="S19">
        <f t="shared" ref="S19" si="73">R19/100000</f>
        <v>1.0752622455912422</v>
      </c>
      <c r="T19">
        <f t="shared" ref="T19" si="74">S19/1000</f>
        <v>1.0752622455912422E-3</v>
      </c>
    </row>
    <row r="20" spans="1:20" x14ac:dyDescent="0.25">
      <c r="A20" s="5">
        <v>44573</v>
      </c>
      <c r="B20">
        <v>2075</v>
      </c>
      <c r="C20">
        <v>2181</v>
      </c>
      <c r="D20">
        <v>2039</v>
      </c>
      <c r="E20">
        <v>2168</v>
      </c>
      <c r="F20">
        <v>1410.3105</v>
      </c>
      <c r="G20">
        <v>2168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0.81690140845070425</v>
      </c>
      <c r="Q20">
        <f t="shared" ref="Q20" si="76">F20*P20</f>
        <v>1152.0846338028171</v>
      </c>
      <c r="R20">
        <f t="shared" ref="R20" si="77">R21+Q20</f>
        <v>108285.71211672421</v>
      </c>
      <c r="S20">
        <f t="shared" ref="S20" si="78">R20/100000</f>
        <v>1.0828571211672422</v>
      </c>
      <c r="T20">
        <f t="shared" ref="T20" si="79">S20/1000</f>
        <v>1.0828571211672423E-3</v>
      </c>
    </row>
    <row r="21" spans="1:20" x14ac:dyDescent="0.25">
      <c r="A21" s="5">
        <v>44572</v>
      </c>
      <c r="B21">
        <v>1987</v>
      </c>
      <c r="C21">
        <v>2087</v>
      </c>
      <c r="D21">
        <v>1974</v>
      </c>
      <c r="E21">
        <v>2076</v>
      </c>
      <c r="F21">
        <v>1350.7509</v>
      </c>
      <c r="G21">
        <v>2076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0.80530973451327437</v>
      </c>
      <c r="Q21">
        <f t="shared" ref="Q21" si="81">F21*P21</f>
        <v>1087.7728486725664</v>
      </c>
      <c r="R21">
        <f t="shared" ref="R21" si="82">R22+Q21</f>
        <v>107133.62748292139</v>
      </c>
      <c r="S21">
        <f t="shared" ref="S21" si="83">R21/100000</f>
        <v>1.0713362748292139</v>
      </c>
      <c r="T21">
        <f t="shared" ref="T21" si="84">S21/1000</f>
        <v>1.0713362748292138E-3</v>
      </c>
    </row>
    <row r="22" spans="1:20" x14ac:dyDescent="0.25">
      <c r="A22" s="5">
        <v>44571</v>
      </c>
      <c r="B22">
        <v>2122</v>
      </c>
      <c r="C22">
        <v>2147</v>
      </c>
      <c r="D22">
        <v>1935</v>
      </c>
      <c r="E22">
        <v>1987</v>
      </c>
      <c r="F22">
        <v>1944.7502099999999</v>
      </c>
      <c r="G22">
        <v>1987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-0.50943396226415094</v>
      </c>
      <c r="Q22">
        <f t="shared" ref="Q22" si="86">F22*P22</f>
        <v>-990.72180509433963</v>
      </c>
      <c r="R22">
        <f t="shared" ref="R22" si="87">R23+Q22</f>
        <v>106045.85463424883</v>
      </c>
      <c r="S22">
        <f t="shared" ref="S22" si="88">R22/100000</f>
        <v>1.0604585463424883</v>
      </c>
      <c r="T22">
        <f t="shared" ref="T22" si="89">S22/1000</f>
        <v>1.0604585463424882E-3</v>
      </c>
    </row>
    <row r="23" spans="1:20" x14ac:dyDescent="0.25">
      <c r="A23" s="5">
        <v>44570</v>
      </c>
      <c r="B23">
        <v>2048</v>
      </c>
      <c r="C23">
        <v>2160</v>
      </c>
      <c r="D23">
        <v>2034</v>
      </c>
      <c r="E23">
        <v>2122</v>
      </c>
      <c r="F23">
        <v>1026.5631000000001</v>
      </c>
      <c r="G23">
        <v>2122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0.3968253968253968</v>
      </c>
      <c r="Q23">
        <f t="shared" ref="Q23" si="91">F23*P23</f>
        <v>407.36630952380955</v>
      </c>
      <c r="R23">
        <f t="shared" ref="R23" si="92">R24+Q23</f>
        <v>107036.57643934316</v>
      </c>
      <c r="S23">
        <f t="shared" ref="S23" si="93">R23/100000</f>
        <v>1.0703657643934317</v>
      </c>
      <c r="T23">
        <f t="shared" ref="T23" si="94">S23/1000</f>
        <v>1.0703657643934316E-3</v>
      </c>
    </row>
    <row r="24" spans="1:20" x14ac:dyDescent="0.25">
      <c r="A24" s="5">
        <v>44569</v>
      </c>
      <c r="B24">
        <v>2133</v>
      </c>
      <c r="C24">
        <v>2194</v>
      </c>
      <c r="D24">
        <v>2000</v>
      </c>
      <c r="E24">
        <v>2047</v>
      </c>
      <c r="F24">
        <v>2379.2195099999999</v>
      </c>
      <c r="G24">
        <v>2047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-0.51546391752577314</v>
      </c>
      <c r="Q24">
        <f t="shared" ref="Q24" si="96">F24*P24</f>
        <v>-1226.4018092783504</v>
      </c>
      <c r="R24">
        <f t="shared" ref="R24" si="97">R25+Q24</f>
        <v>106629.21012981934</v>
      </c>
      <c r="S24">
        <f t="shared" ref="S24" si="98">R24/100000</f>
        <v>1.0662921012981934</v>
      </c>
      <c r="T24">
        <f t="shared" ref="T24" si="99">S24/1000</f>
        <v>1.0662921012981935E-3</v>
      </c>
    </row>
    <row r="25" spans="1:20" x14ac:dyDescent="0.25">
      <c r="A25" s="5">
        <v>44568</v>
      </c>
      <c r="B25">
        <v>2248</v>
      </c>
      <c r="C25">
        <v>2253</v>
      </c>
      <c r="D25">
        <v>2104</v>
      </c>
      <c r="E25">
        <v>2132</v>
      </c>
      <c r="F25">
        <v>2768.6133</v>
      </c>
      <c r="G25">
        <v>2132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-0.62416107382550334</v>
      </c>
      <c r="Q25">
        <f t="shared" ref="Q25" si="101">F25*P25</f>
        <v>-1728.0606503355705</v>
      </c>
      <c r="R25">
        <f t="shared" ref="R25" si="102">R26+Q25</f>
        <v>107855.6119390977</v>
      </c>
      <c r="S25">
        <f t="shared" ref="S25" si="103">R25/100000</f>
        <v>1.078556119390977</v>
      </c>
      <c r="T25">
        <f t="shared" ref="T25" si="104">S25/1000</f>
        <v>1.078556119390977E-3</v>
      </c>
    </row>
    <row r="26" spans="1:20" x14ac:dyDescent="0.25">
      <c r="A26" s="5">
        <v>44567</v>
      </c>
      <c r="B26">
        <v>2235</v>
      </c>
      <c r="C26">
        <v>2474</v>
      </c>
      <c r="D26">
        <v>2113</v>
      </c>
      <c r="E26">
        <v>2244</v>
      </c>
      <c r="F26">
        <v>3701.8771999999999</v>
      </c>
      <c r="G26">
        <v>2244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-0.2742382271468144</v>
      </c>
      <c r="Q26">
        <f t="shared" ref="Q26" si="106">F26*P26</f>
        <v>-1015.1962404432132</v>
      </c>
      <c r="R26">
        <f t="shared" ref="R26" si="107">R27+Q26</f>
        <v>109583.67258943326</v>
      </c>
      <c r="S26">
        <f t="shared" ref="S26" si="108">R26/100000</f>
        <v>1.0958367258943327</v>
      </c>
      <c r="T26">
        <f t="shared" ref="T26" si="109">S26/1000</f>
        <v>1.0958367258943327E-3</v>
      </c>
    </row>
    <row r="27" spans="1:20" x14ac:dyDescent="0.25">
      <c r="A27" s="5">
        <v>44566</v>
      </c>
      <c r="B27">
        <v>2446</v>
      </c>
      <c r="C27">
        <v>2523</v>
      </c>
      <c r="D27">
        <v>2177</v>
      </c>
      <c r="E27">
        <v>2238</v>
      </c>
      <c r="F27">
        <v>2179.4847</v>
      </c>
      <c r="G27">
        <v>2238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-0.64739884393063585</v>
      </c>
      <c r="Q27">
        <f t="shared" ref="Q27" si="111">F27*P27</f>
        <v>-1410.9958751445088</v>
      </c>
      <c r="R27">
        <f t="shared" ref="R27" si="112">R28+Q27</f>
        <v>110598.86882987648</v>
      </c>
      <c r="S27">
        <f t="shared" ref="S27" si="113">R27/100000</f>
        <v>1.1059886882987648</v>
      </c>
      <c r="T27">
        <f t="shared" ref="T27" si="114">S27/1000</f>
        <v>1.1059886882987648E-3</v>
      </c>
    </row>
    <row r="28" spans="1:20" x14ac:dyDescent="0.25">
      <c r="A28" s="5">
        <v>44565</v>
      </c>
      <c r="B28">
        <v>2392</v>
      </c>
      <c r="C28">
        <v>2541</v>
      </c>
      <c r="D28">
        <v>2354</v>
      </c>
      <c r="E28">
        <v>2446</v>
      </c>
      <c r="F28">
        <v>2062.5155</v>
      </c>
      <c r="G28">
        <v>2446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-1.6042780748663103E-2</v>
      </c>
      <c r="Q28">
        <f t="shared" ref="Q28" si="116">F28*P28</f>
        <v>-33.088483957219253</v>
      </c>
      <c r="R28">
        <f t="shared" ref="R28" si="117">R29+Q28</f>
        <v>112009.86470502098</v>
      </c>
      <c r="S28">
        <f t="shared" ref="S28" si="118">R28/100000</f>
        <v>1.1200986470502099</v>
      </c>
      <c r="T28">
        <f t="shared" ref="T28" si="119">S28/1000</f>
        <v>1.12009864705021E-3</v>
      </c>
    </row>
    <row r="29" spans="1:20" x14ac:dyDescent="0.25">
      <c r="A29" s="5">
        <v>44564</v>
      </c>
      <c r="B29">
        <v>2468</v>
      </c>
      <c r="C29">
        <v>2599</v>
      </c>
      <c r="D29">
        <v>2375</v>
      </c>
      <c r="E29">
        <v>2391</v>
      </c>
      <c r="F29">
        <v>2509.4987999999998</v>
      </c>
      <c r="G29">
        <v>2391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-0.8571428571428571</v>
      </c>
      <c r="Q29">
        <f t="shared" ref="Q29" si="121">F29*P29</f>
        <v>-2150.9989714285712</v>
      </c>
      <c r="R29">
        <f t="shared" ref="R29" si="122">R30+Q29</f>
        <v>112042.95318897821</v>
      </c>
      <c r="S29">
        <f t="shared" ref="S29" si="123">R29/100000</f>
        <v>1.1204295318897821</v>
      </c>
      <c r="T29">
        <f t="shared" ref="T29" si="124">S29/1000</f>
        <v>1.120429531889782E-3</v>
      </c>
    </row>
    <row r="30" spans="1:20" x14ac:dyDescent="0.25">
      <c r="A30" s="5">
        <v>44563</v>
      </c>
      <c r="B30">
        <v>2420</v>
      </c>
      <c r="C30">
        <v>2540</v>
      </c>
      <c r="D30">
        <v>2328</v>
      </c>
      <c r="E30">
        <v>2471</v>
      </c>
      <c r="F30">
        <v>2054.4832000000001</v>
      </c>
      <c r="G30">
        <v>2471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0.34905660377358488</v>
      </c>
      <c r="Q30">
        <f t="shared" ref="Q30" si="126">F30*P30</f>
        <v>717.1309283018868</v>
      </c>
      <c r="R30">
        <f t="shared" ref="R30" si="127">R31+Q30</f>
        <v>114193.95216040678</v>
      </c>
      <c r="S30">
        <f t="shared" ref="S30" si="128">R30/100000</f>
        <v>1.1419395216040678</v>
      </c>
      <c r="T30">
        <f t="shared" ref="T30" si="129">S30/1000</f>
        <v>1.1419395216040677E-3</v>
      </c>
    </row>
    <row r="31" spans="1:20" x14ac:dyDescent="0.25">
      <c r="A31" s="5">
        <v>44562</v>
      </c>
      <c r="B31">
        <v>2332</v>
      </c>
      <c r="C31">
        <v>2463</v>
      </c>
      <c r="D31">
        <v>2321</v>
      </c>
      <c r="E31">
        <v>2419</v>
      </c>
      <c r="F31">
        <v>1679.9679000000001</v>
      </c>
      <c r="G31">
        <v>2419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0.38028169014084506</v>
      </c>
      <c r="Q31">
        <f t="shared" ref="Q31" si="131">F31*P31</f>
        <v>638.86103239436625</v>
      </c>
      <c r="R31">
        <f t="shared" ref="R31" si="132">R32+Q31</f>
        <v>113476.82123210489</v>
      </c>
      <c r="S31">
        <f t="shared" ref="S31" si="133">R31/100000</f>
        <v>1.134768212321049</v>
      </c>
      <c r="T31">
        <f t="shared" ref="T31" si="134">S31/1000</f>
        <v>1.134768212321049E-3</v>
      </c>
    </row>
    <row r="32" spans="1:20" x14ac:dyDescent="0.25">
      <c r="A32" s="5">
        <v>44561</v>
      </c>
      <c r="B32">
        <v>2391</v>
      </c>
      <c r="C32">
        <v>2455</v>
      </c>
      <c r="D32">
        <v>2291</v>
      </c>
      <c r="E32">
        <v>2334</v>
      </c>
      <c r="F32">
        <v>2179.9798000000001</v>
      </c>
      <c r="G32">
        <v>2334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-0.47560975609756095</v>
      </c>
      <c r="Q32">
        <f t="shared" ref="Q32" si="136">F32*P32</f>
        <v>-1036.8196609756098</v>
      </c>
      <c r="R32">
        <f t="shared" ref="R32" si="137">R33+Q32</f>
        <v>112837.96019971052</v>
      </c>
      <c r="S32">
        <f t="shared" ref="S32" si="138">R32/100000</f>
        <v>1.1283796019971053</v>
      </c>
      <c r="T32">
        <f t="shared" ref="T32" si="139">S32/1000</f>
        <v>1.1283796019971053E-3</v>
      </c>
    </row>
    <row r="33" spans="1:20" x14ac:dyDescent="0.25">
      <c r="A33" s="5">
        <v>44560</v>
      </c>
      <c r="B33">
        <v>2359</v>
      </c>
      <c r="C33">
        <v>2470</v>
      </c>
      <c r="D33">
        <v>2297</v>
      </c>
      <c r="E33">
        <v>2393</v>
      </c>
      <c r="F33">
        <v>1674.3511000000001</v>
      </c>
      <c r="G33">
        <v>2393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0.10982658959537572</v>
      </c>
      <c r="Q33">
        <f t="shared" ref="Q33" si="141">F33*P33</f>
        <v>183.8882710982659</v>
      </c>
      <c r="R33">
        <f t="shared" ref="R33" si="142">R34+Q33</f>
        <v>113874.77986068613</v>
      </c>
      <c r="S33">
        <f t="shared" ref="S33" si="143">R33/100000</f>
        <v>1.1387477986068613</v>
      </c>
      <c r="T33">
        <f t="shared" ref="T33" si="144">S33/1000</f>
        <v>1.1387477986068613E-3</v>
      </c>
    </row>
    <row r="34" spans="1:20" x14ac:dyDescent="0.25">
      <c r="A34" s="5">
        <v>44559</v>
      </c>
      <c r="B34">
        <v>2495</v>
      </c>
      <c r="C34">
        <v>2578</v>
      </c>
      <c r="D34">
        <v>2336</v>
      </c>
      <c r="E34">
        <v>2358</v>
      </c>
      <c r="F34">
        <v>1841.1084000000001</v>
      </c>
      <c r="G34">
        <v>2358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-0.81818181818181823</v>
      </c>
      <c r="Q34">
        <f t="shared" ref="Q34" si="146">F34*P34</f>
        <v>-1506.3614181818184</v>
      </c>
      <c r="R34">
        <f t="shared" ref="R34" si="147">R35+Q34</f>
        <v>113690.89158958786</v>
      </c>
      <c r="S34">
        <f t="shared" ref="S34" si="148">R34/100000</f>
        <v>1.1369089158958785</v>
      </c>
      <c r="T34">
        <f t="shared" ref="T34" si="149">S34/1000</f>
        <v>1.1369089158958785E-3</v>
      </c>
    </row>
    <row r="35" spans="1:20" x14ac:dyDescent="0.25">
      <c r="A35" s="5">
        <v>44558</v>
      </c>
      <c r="B35">
        <v>2683</v>
      </c>
      <c r="C35">
        <v>2713</v>
      </c>
      <c r="D35">
        <v>2473</v>
      </c>
      <c r="E35">
        <v>2490</v>
      </c>
      <c r="F35">
        <v>1606.9556</v>
      </c>
      <c r="G35">
        <v>2490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-0.85833333333333328</v>
      </c>
      <c r="Q35">
        <f t="shared" ref="Q35" si="151">F35*P35</f>
        <v>-1379.3035566666665</v>
      </c>
      <c r="R35">
        <f t="shared" ref="R35" si="152">R36+Q35</f>
        <v>115197.25300776967</v>
      </c>
      <c r="S35">
        <f t="shared" ref="S35" si="153">R35/100000</f>
        <v>1.1519725300776966</v>
      </c>
      <c r="T35">
        <f t="shared" ref="T35" si="154">S35/1000</f>
        <v>1.1519725300776966E-3</v>
      </c>
    </row>
    <row r="36" spans="1:20" x14ac:dyDescent="0.25">
      <c r="A36" s="5">
        <v>44557</v>
      </c>
      <c r="B36">
        <v>2680</v>
      </c>
      <c r="C36">
        <v>2814</v>
      </c>
      <c r="D36">
        <v>2668</v>
      </c>
      <c r="E36">
        <v>2685</v>
      </c>
      <c r="F36">
        <v>3120.0025999999998</v>
      </c>
      <c r="G36">
        <v>2685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-0.76712328767123283</v>
      </c>
      <c r="Q36">
        <f t="shared" ref="Q36" si="156">F36*P36</f>
        <v>-2393.4266520547944</v>
      </c>
      <c r="R36">
        <f t="shared" ref="R36" si="157">R37+Q36</f>
        <v>116576.55656443634</v>
      </c>
      <c r="S36">
        <f t="shared" ref="S36" si="158">R36/100000</f>
        <v>1.1657655656443633</v>
      </c>
      <c r="T36">
        <f t="shared" ref="T36" si="159">S36/1000</f>
        <v>1.1657655656443632E-3</v>
      </c>
    </row>
    <row r="37" spans="1:20" x14ac:dyDescent="0.25">
      <c r="A37" s="5">
        <v>44556</v>
      </c>
      <c r="B37">
        <v>2691</v>
      </c>
      <c r="C37">
        <v>2737</v>
      </c>
      <c r="D37">
        <v>2629</v>
      </c>
      <c r="E37">
        <v>2681</v>
      </c>
      <c r="F37">
        <v>3226.8359999999998</v>
      </c>
      <c r="G37">
        <v>2681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-3.7037037037037035E-2</v>
      </c>
      <c r="Q37">
        <f t="shared" ref="Q37" si="161">F37*P37</f>
        <v>-119.51244444444443</v>
      </c>
      <c r="R37">
        <f t="shared" ref="R37" si="162">R38+Q37</f>
        <v>118969.98321649113</v>
      </c>
      <c r="S37">
        <f t="shared" ref="S37" si="163">R37/100000</f>
        <v>1.1896998321649113</v>
      </c>
      <c r="T37">
        <f t="shared" ref="T37" si="164">S37/1000</f>
        <v>1.1896998321649112E-3</v>
      </c>
    </row>
    <row r="38" spans="1:20" x14ac:dyDescent="0.25">
      <c r="A38" s="5">
        <v>44555</v>
      </c>
      <c r="B38">
        <v>2567</v>
      </c>
      <c r="C38">
        <v>2736</v>
      </c>
      <c r="D38">
        <v>2551</v>
      </c>
      <c r="E38">
        <v>2687</v>
      </c>
      <c r="F38">
        <v>1237.8356000000001</v>
      </c>
      <c r="G38">
        <v>2687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0.4702702702702703</v>
      </c>
      <c r="Q38">
        <f t="shared" ref="Q38" si="166">F38*P38</f>
        <v>582.11728216216227</v>
      </c>
      <c r="R38">
        <f t="shared" ref="R38" si="167">R39+Q38</f>
        <v>119089.49566093557</v>
      </c>
      <c r="S38">
        <f t="shared" ref="S38" si="168">R38/100000</f>
        <v>1.1908949566093556</v>
      </c>
      <c r="T38">
        <f t="shared" ref="T38" si="169">S38/1000</f>
        <v>1.1908949566093556E-3</v>
      </c>
    </row>
    <row r="39" spans="1:20" x14ac:dyDescent="0.25">
      <c r="A39" s="5">
        <v>44554</v>
      </c>
      <c r="B39">
        <v>2676</v>
      </c>
      <c r="C39">
        <v>2689</v>
      </c>
      <c r="D39">
        <v>2542</v>
      </c>
      <c r="E39">
        <v>2568</v>
      </c>
      <c r="F39">
        <v>2209.4427999999998</v>
      </c>
      <c r="G39">
        <v>2568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-0.6462585034013606</v>
      </c>
      <c r="Q39">
        <f t="shared" ref="Q39" si="171">F39*P39</f>
        <v>-1427.8711972789115</v>
      </c>
      <c r="R39">
        <f t="shared" ref="R39" si="172">R40+Q39</f>
        <v>118507.37837877341</v>
      </c>
      <c r="S39">
        <f t="shared" ref="S39" si="173">R39/100000</f>
        <v>1.1850737837877341</v>
      </c>
      <c r="T39">
        <f t="shared" ref="T39" si="174">S39/1000</f>
        <v>1.1850737837877342E-3</v>
      </c>
    </row>
    <row r="40" spans="1:20" x14ac:dyDescent="0.25">
      <c r="A40" s="5">
        <v>44553</v>
      </c>
      <c r="B40">
        <v>2445</v>
      </c>
      <c r="C40">
        <v>2679</v>
      </c>
      <c r="D40">
        <v>2397</v>
      </c>
      <c r="E40">
        <v>2676</v>
      </c>
      <c r="F40">
        <v>2416.8748999999998</v>
      </c>
      <c r="G40">
        <v>2676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0.97872340425531912</v>
      </c>
      <c r="Q40">
        <f t="shared" ref="Q40" si="176">F40*P40</f>
        <v>2365.4520297872336</v>
      </c>
      <c r="R40">
        <f t="shared" ref="R40" si="177">R41+Q40</f>
        <v>119935.24957605233</v>
      </c>
      <c r="S40">
        <f t="shared" ref="S40" si="178">R40/100000</f>
        <v>1.1993524957605233</v>
      </c>
      <c r="T40">
        <f t="shared" ref="T40" si="179">S40/1000</f>
        <v>1.1993524957605232E-3</v>
      </c>
    </row>
    <row r="41" spans="1:20" x14ac:dyDescent="0.25">
      <c r="A41" s="5">
        <v>44552</v>
      </c>
      <c r="B41">
        <v>2422</v>
      </c>
      <c r="C41">
        <v>2550</v>
      </c>
      <c r="D41">
        <v>2407</v>
      </c>
      <c r="E41">
        <v>2444</v>
      </c>
      <c r="F41">
        <v>2397.4346</v>
      </c>
      <c r="G41">
        <v>2444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-0.4825174825174825</v>
      </c>
      <c r="Q41">
        <f t="shared" ref="Q41" si="181">F41*P41</f>
        <v>-1156.8041076923078</v>
      </c>
      <c r="R41">
        <f t="shared" ref="R41" si="182">R42+Q41</f>
        <v>117569.79754626509</v>
      </c>
      <c r="S41">
        <f t="shared" ref="S41" si="183">R41/100000</f>
        <v>1.1756979754626509</v>
      </c>
      <c r="T41">
        <f t="shared" ref="T41" si="184">S41/1000</f>
        <v>1.1756979754626508E-3</v>
      </c>
    </row>
    <row r="42" spans="1:20" x14ac:dyDescent="0.25">
      <c r="A42" s="5">
        <v>44551</v>
      </c>
      <c r="B42">
        <v>2347</v>
      </c>
      <c r="C42">
        <v>2447</v>
      </c>
      <c r="D42">
        <v>2337</v>
      </c>
      <c r="E42">
        <v>2422</v>
      </c>
      <c r="F42">
        <v>1435.2047</v>
      </c>
      <c r="G42">
        <v>2422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0.54545454545454541</v>
      </c>
      <c r="Q42">
        <f t="shared" ref="Q42" si="186">F42*P42</f>
        <v>782.83892727272723</v>
      </c>
      <c r="R42">
        <f t="shared" ref="R42" si="187">R43+Q42</f>
        <v>118726.6016539574</v>
      </c>
      <c r="S42">
        <f t="shared" ref="S42" si="188">R42/100000</f>
        <v>1.1872660165395741</v>
      </c>
      <c r="T42">
        <f t="shared" ref="T42" si="189">S42/1000</f>
        <v>1.1872660165395742E-3</v>
      </c>
    </row>
    <row r="43" spans="1:20" x14ac:dyDescent="0.25">
      <c r="A43" s="5">
        <v>44550</v>
      </c>
      <c r="B43">
        <v>2372</v>
      </c>
      <c r="C43">
        <v>2459</v>
      </c>
      <c r="D43">
        <v>2233</v>
      </c>
      <c r="E43">
        <v>2345</v>
      </c>
      <c r="F43">
        <v>2128.7217000000001</v>
      </c>
      <c r="G43">
        <v>2345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-8.8495575221238937E-3</v>
      </c>
      <c r="Q43">
        <f t="shared" ref="Q43" si="191">F43*P43</f>
        <v>-18.838245132743364</v>
      </c>
      <c r="R43">
        <f t="shared" ref="R43" si="192">R44+Q43</f>
        <v>117943.76272668468</v>
      </c>
      <c r="S43">
        <f t="shared" ref="S43" si="193">R43/100000</f>
        <v>1.1794376272668468</v>
      </c>
      <c r="T43">
        <f t="shared" ref="T43" si="194">S43/1000</f>
        <v>1.1794376272668467E-3</v>
      </c>
    </row>
    <row r="44" spans="1:20" x14ac:dyDescent="0.25">
      <c r="A44" s="5">
        <v>44549</v>
      </c>
      <c r="B44">
        <v>2475</v>
      </c>
      <c r="C44">
        <v>2511</v>
      </c>
      <c r="D44">
        <v>2364</v>
      </c>
      <c r="E44">
        <v>2369</v>
      </c>
      <c r="F44">
        <v>1418.3701000000001</v>
      </c>
      <c r="G44">
        <v>2369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-0.93197278911564629</v>
      </c>
      <c r="Q44">
        <f t="shared" ref="Q44" si="196">F44*P44</f>
        <v>-1321.8823380952383</v>
      </c>
      <c r="R44">
        <f t="shared" ref="R44" si="197">R45+Q44</f>
        <v>117962.60097181743</v>
      </c>
      <c r="S44">
        <f t="shared" ref="S44" si="198">R44/100000</f>
        <v>1.1796260097181743</v>
      </c>
      <c r="T44">
        <f t="shared" ref="T44" si="199">S44/1000</f>
        <v>1.1796260097181744E-3</v>
      </c>
    </row>
    <row r="45" spans="1:20" x14ac:dyDescent="0.25">
      <c r="A45" s="5">
        <v>44548</v>
      </c>
      <c r="B45">
        <v>2370</v>
      </c>
      <c r="C45">
        <v>2499</v>
      </c>
      <c r="D45">
        <v>2326</v>
      </c>
      <c r="E45">
        <v>2470</v>
      </c>
      <c r="F45">
        <v>2334.4367999999999</v>
      </c>
      <c r="G45">
        <v>2470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0.66473988439306353</v>
      </c>
      <c r="Q45">
        <f t="shared" ref="Q45" si="201">F45*P45</f>
        <v>1551.7932485549131</v>
      </c>
      <c r="R45">
        <f t="shared" ref="R45" si="202">R46+Q45</f>
        <v>119284.48330991267</v>
      </c>
      <c r="S45">
        <f t="shared" ref="S45" si="203">R45/100000</f>
        <v>1.1928448330991266</v>
      </c>
      <c r="T45">
        <f t="shared" ref="T45" si="204">S45/1000</f>
        <v>1.1928448330991266E-3</v>
      </c>
    </row>
    <row r="46" spans="1:20" x14ac:dyDescent="0.25">
      <c r="A46" s="5">
        <v>44547</v>
      </c>
      <c r="B46">
        <v>2326</v>
      </c>
      <c r="C46">
        <v>2387</v>
      </c>
      <c r="D46">
        <v>2208</v>
      </c>
      <c r="E46">
        <v>2371</v>
      </c>
      <c r="F46">
        <v>1458.8733999999999</v>
      </c>
      <c r="G46">
        <v>2371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0.82122905027932958</v>
      </c>
      <c r="Q46">
        <f t="shared" ref="Q46" si="206">F46*P46</f>
        <v>1198.0692167597765</v>
      </c>
      <c r="R46">
        <f t="shared" ref="R46" si="207">R47+Q46</f>
        <v>117732.69006135776</v>
      </c>
      <c r="S46">
        <f t="shared" ref="S46" si="208">R46/100000</f>
        <v>1.1773269006135776</v>
      </c>
      <c r="T46">
        <f t="shared" ref="T46" si="209">S46/1000</f>
        <v>1.1773269006135777E-3</v>
      </c>
    </row>
    <row r="47" spans="1:20" x14ac:dyDescent="0.25">
      <c r="A47" s="5">
        <v>44546</v>
      </c>
      <c r="B47">
        <v>2377</v>
      </c>
      <c r="C47">
        <v>2439</v>
      </c>
      <c r="D47">
        <v>2308</v>
      </c>
      <c r="E47">
        <v>2326</v>
      </c>
      <c r="F47">
        <v>1186.3703</v>
      </c>
      <c r="G47">
        <v>2326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-0.72519083969465647</v>
      </c>
      <c r="Q47">
        <f t="shared" ref="Q47" si="211">F47*P47</f>
        <v>-860.34487404580159</v>
      </c>
      <c r="R47">
        <f t="shared" ref="R47" si="212">R48+Q47</f>
        <v>116534.62084459799</v>
      </c>
      <c r="S47">
        <f t="shared" ref="S47" si="213">R47/100000</f>
        <v>1.1653462084459798</v>
      </c>
      <c r="T47">
        <f t="shared" ref="T47" si="214">S47/1000</f>
        <v>1.1653462084459797E-3</v>
      </c>
    </row>
    <row r="48" spans="1:20" x14ac:dyDescent="0.25">
      <c r="A48" s="5">
        <v>44545</v>
      </c>
      <c r="B48">
        <v>2303</v>
      </c>
      <c r="C48">
        <v>2422</v>
      </c>
      <c r="D48">
        <v>2202</v>
      </c>
      <c r="E48">
        <v>2377</v>
      </c>
      <c r="F48">
        <v>1614.5876000000001</v>
      </c>
      <c r="G48">
        <v>2377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0.59090909090909094</v>
      </c>
      <c r="Q48">
        <f t="shared" ref="Q48" si="216">F48*P48</f>
        <v>954.07449090909097</v>
      </c>
      <c r="R48">
        <f t="shared" ref="R48" si="217">R49+Q48</f>
        <v>117394.96571864378</v>
      </c>
      <c r="S48">
        <f t="shared" ref="S48" si="218">R48/100000</f>
        <v>1.1739496571864378</v>
      </c>
      <c r="T48">
        <f t="shared" ref="T48" si="219">S48/1000</f>
        <v>1.173949657186438E-3</v>
      </c>
    </row>
    <row r="49" spans="1:20" x14ac:dyDescent="0.25">
      <c r="A49" s="5">
        <v>44544</v>
      </c>
      <c r="B49">
        <v>2229</v>
      </c>
      <c r="C49">
        <v>2320</v>
      </c>
      <c r="D49">
        <v>2163</v>
      </c>
      <c r="E49">
        <v>2308</v>
      </c>
      <c r="F49">
        <v>2055.6509999999998</v>
      </c>
      <c r="G49">
        <v>2308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0.84713375796178347</v>
      </c>
      <c r="Q49">
        <f t="shared" ref="Q49" si="221">F49*P49</f>
        <v>1741.411356687898</v>
      </c>
      <c r="R49">
        <f t="shared" ref="R49" si="222">R50+Q49</f>
        <v>116440.8912277347</v>
      </c>
      <c r="S49">
        <f t="shared" ref="S49" si="223">R49/100000</f>
        <v>1.1644089122773469</v>
      </c>
      <c r="T49">
        <f t="shared" ref="T49" si="224">S49/1000</f>
        <v>1.1644089122773468E-3</v>
      </c>
    </row>
    <row r="50" spans="1:20" x14ac:dyDescent="0.25">
      <c r="A50" s="5">
        <v>44543</v>
      </c>
      <c r="B50">
        <v>2467</v>
      </c>
      <c r="C50">
        <v>2479</v>
      </c>
      <c r="D50">
        <v>2201</v>
      </c>
      <c r="E50">
        <v>2228</v>
      </c>
      <c r="F50">
        <v>1559.4598000000001</v>
      </c>
      <c r="G50">
        <v>2228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-0.80575539568345322</v>
      </c>
      <c r="Q50">
        <f t="shared" ref="Q50" si="226">F50*P50</f>
        <v>-1256.543148201439</v>
      </c>
      <c r="R50">
        <f t="shared" ref="R50" si="227">R51+Q50</f>
        <v>114699.4798710468</v>
      </c>
      <c r="S50">
        <f t="shared" ref="S50" si="228">R50/100000</f>
        <v>1.1469947987104681</v>
      </c>
      <c r="T50">
        <f t="shared" ref="T50" si="229">S50/1000</f>
        <v>1.1469947987104681E-3</v>
      </c>
    </row>
    <row r="51" spans="1:20" x14ac:dyDescent="0.25">
      <c r="A51" s="5">
        <v>44542</v>
      </c>
      <c r="B51">
        <v>2451</v>
      </c>
      <c r="C51">
        <v>2484</v>
      </c>
      <c r="D51">
        <v>2380</v>
      </c>
      <c r="E51">
        <v>2469</v>
      </c>
      <c r="F51">
        <v>1053.8189</v>
      </c>
      <c r="G51">
        <v>2469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0.71153846153846156</v>
      </c>
      <c r="Q51">
        <f t="shared" ref="Q51" si="231">F51*P51</f>
        <v>749.83267884615384</v>
      </c>
      <c r="R51">
        <f t="shared" ref="R51" si="232">R52+Q51</f>
        <v>115956.02301924824</v>
      </c>
      <c r="S51">
        <f t="shared" ref="S51" si="233">R51/100000</f>
        <v>1.1595602301924823</v>
      </c>
      <c r="T51">
        <f t="shared" ref="T51" si="234">S51/1000</f>
        <v>1.1595602301924823E-3</v>
      </c>
    </row>
    <row r="52" spans="1:20" x14ac:dyDescent="0.25">
      <c r="A52" s="5">
        <v>44541</v>
      </c>
      <c r="B52">
        <v>2338</v>
      </c>
      <c r="C52">
        <v>2367</v>
      </c>
      <c r="D52">
        <v>2286</v>
      </c>
      <c r="E52">
        <v>2358</v>
      </c>
      <c r="F52">
        <v>162.2364</v>
      </c>
      <c r="G52">
        <v>2358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0.77777777777777779</v>
      </c>
      <c r="Q52">
        <f t="shared" ref="Q52" si="236">F52*P52</f>
        <v>126.18386666666667</v>
      </c>
      <c r="R52">
        <f t="shared" ref="R52" si="237">R53+Q52</f>
        <v>115206.19034040208</v>
      </c>
      <c r="S52">
        <f t="shared" ref="S52" si="238">R52/100000</f>
        <v>1.1520619034040209</v>
      </c>
      <c r="T52">
        <f t="shared" ref="T52" si="239">S52/1000</f>
        <v>1.1520619034040209E-3</v>
      </c>
    </row>
    <row r="53" spans="1:20" x14ac:dyDescent="0.25">
      <c r="A53" s="5">
        <v>44540</v>
      </c>
      <c r="B53">
        <v>2516</v>
      </c>
      <c r="C53">
        <v>2604</v>
      </c>
      <c r="D53">
        <v>2324</v>
      </c>
      <c r="E53">
        <v>2340</v>
      </c>
      <c r="F53">
        <v>2654.1142</v>
      </c>
      <c r="G53">
        <v>2340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-0.88571428571428568</v>
      </c>
      <c r="Q53">
        <f t="shared" ref="Q53" si="241">F53*P53</f>
        <v>-2350.7868628571428</v>
      </c>
      <c r="R53">
        <f t="shared" ref="R53" si="242">R54+Q53</f>
        <v>115080.00647373541</v>
      </c>
      <c r="S53">
        <f t="shared" ref="S53" si="243">R53/100000</f>
        <v>1.1508000647373542</v>
      </c>
      <c r="T53">
        <f t="shared" ref="T53" si="244">S53/1000</f>
        <v>1.1508000647373541E-3</v>
      </c>
    </row>
    <row r="54" spans="1:20" x14ac:dyDescent="0.25">
      <c r="A54" s="5">
        <v>44539</v>
      </c>
      <c r="B54">
        <v>2747</v>
      </c>
      <c r="C54">
        <v>2758</v>
      </c>
      <c r="D54">
        <v>2500</v>
      </c>
      <c r="E54">
        <v>2518</v>
      </c>
      <c r="F54">
        <v>3004.7476000000001</v>
      </c>
      <c r="G54">
        <v>2518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-0.86046511627906974</v>
      </c>
      <c r="Q54">
        <f t="shared" ref="Q54" si="246">F54*P54</f>
        <v>-2585.4804930232558</v>
      </c>
      <c r="R54">
        <f t="shared" ref="R54" si="247">R55+Q54</f>
        <v>117430.79333659256</v>
      </c>
      <c r="S54">
        <f t="shared" ref="S54" si="248">R54/100000</f>
        <v>1.1743079333659256</v>
      </c>
      <c r="T54">
        <f t="shared" ref="T54" si="249">S54/1000</f>
        <v>1.1743079333659256E-3</v>
      </c>
    </row>
    <row r="55" spans="1:20" x14ac:dyDescent="0.25">
      <c r="A55" s="5">
        <v>44538</v>
      </c>
      <c r="B55">
        <v>2618</v>
      </c>
      <c r="C55">
        <v>2750</v>
      </c>
      <c r="D55">
        <v>2593</v>
      </c>
      <c r="E55">
        <v>2745</v>
      </c>
      <c r="F55">
        <v>2810.2568999999999</v>
      </c>
      <c r="G55">
        <v>2745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0.93630573248407645</v>
      </c>
      <c r="Q55">
        <f t="shared" ref="Q55" si="251">F55*P55</f>
        <v>2631.25964522293</v>
      </c>
      <c r="R55">
        <f t="shared" ref="R55" si="252">R56+Q55</f>
        <v>120016.27382961581</v>
      </c>
      <c r="S55">
        <f t="shared" ref="S55" si="253">R55/100000</f>
        <v>1.2001627382961582</v>
      </c>
      <c r="T55">
        <f t="shared" ref="T55" si="254">S55/1000</f>
        <v>1.2001627382961582E-3</v>
      </c>
    </row>
    <row r="56" spans="1:20" x14ac:dyDescent="0.25">
      <c r="A56" s="5">
        <v>44537</v>
      </c>
      <c r="B56">
        <v>2603</v>
      </c>
      <c r="C56">
        <v>2688</v>
      </c>
      <c r="D56">
        <v>2574</v>
      </c>
      <c r="E56">
        <v>2615</v>
      </c>
      <c r="F56">
        <v>1739.6439</v>
      </c>
      <c r="G56">
        <v>2615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-0.2807017543859649</v>
      </c>
      <c r="Q56">
        <f t="shared" ref="Q56" si="256">F56*P56</f>
        <v>-488.3210947368421</v>
      </c>
      <c r="R56">
        <f t="shared" ref="R56" si="257">R57+Q56</f>
        <v>117385.01418439287</v>
      </c>
      <c r="S56">
        <f t="shared" ref="S56" si="258">R56/100000</f>
        <v>1.1738501418439287</v>
      </c>
      <c r="T56">
        <f t="shared" ref="T56" si="259">S56/1000</f>
        <v>1.1738501418439287E-3</v>
      </c>
    </row>
    <row r="57" spans="1:20" x14ac:dyDescent="0.25">
      <c r="A57" s="5">
        <v>44536</v>
      </c>
      <c r="B57">
        <v>2581</v>
      </c>
      <c r="C57">
        <v>2630</v>
      </c>
      <c r="D57">
        <v>2355</v>
      </c>
      <c r="E57">
        <v>2607</v>
      </c>
      <c r="F57">
        <v>2740.6311000000001</v>
      </c>
      <c r="G57">
        <v>2607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0.83272727272727276</v>
      </c>
      <c r="Q57">
        <f t="shared" ref="Q57" si="261">F57*P57</f>
        <v>2282.1982614545454</v>
      </c>
      <c r="R57">
        <f t="shared" ref="R57" si="262">R58+Q57</f>
        <v>117873.33527912971</v>
      </c>
      <c r="S57">
        <f t="shared" ref="S57" si="263">R57/100000</f>
        <v>1.1787333527912971</v>
      </c>
      <c r="T57">
        <f t="shared" ref="T57" si="264">S57/1000</f>
        <v>1.178733352791297E-3</v>
      </c>
    </row>
    <row r="58" spans="1:20" x14ac:dyDescent="0.25">
      <c r="A58" s="5">
        <v>44535</v>
      </c>
      <c r="B58">
        <v>2608</v>
      </c>
      <c r="C58">
        <v>2677</v>
      </c>
      <c r="D58">
        <v>2488</v>
      </c>
      <c r="E58">
        <v>2578</v>
      </c>
      <c r="F58">
        <v>2706.7579999999998</v>
      </c>
      <c r="G58">
        <v>2578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-4.7619047619047616E-2</v>
      </c>
      <c r="Q58">
        <f t="shared" ref="Q58" si="266">F58*P58</f>
        <v>-128.89323809523808</v>
      </c>
      <c r="R58">
        <f t="shared" ref="R58" si="267">R59+Q58</f>
        <v>115591.13701767517</v>
      </c>
      <c r="S58">
        <f t="shared" ref="S58" si="268">R58/100000</f>
        <v>1.1559113701767516</v>
      </c>
      <c r="T58">
        <f t="shared" ref="T58" si="269">S58/1000</f>
        <v>1.1559113701767516E-3</v>
      </c>
    </row>
    <row r="59" spans="1:20" x14ac:dyDescent="0.25">
      <c r="A59" s="5">
        <v>44534</v>
      </c>
      <c r="B59">
        <v>2749</v>
      </c>
      <c r="C59">
        <v>2759</v>
      </c>
      <c r="D59">
        <v>2257</v>
      </c>
      <c r="E59">
        <v>2611</v>
      </c>
      <c r="F59">
        <v>6440.9960000000001</v>
      </c>
      <c r="G59">
        <v>2611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0.41035856573705182</v>
      </c>
      <c r="Q59">
        <f t="shared" ref="Q59" si="271">F59*P59</f>
        <v>2643.117880478088</v>
      </c>
      <c r="R59">
        <f t="shared" ref="R59" si="272">R60+Q59</f>
        <v>115720.0302557704</v>
      </c>
      <c r="S59">
        <f t="shared" ref="S59" si="273">R59/100000</f>
        <v>1.157200302557704</v>
      </c>
      <c r="T59">
        <f t="shared" ref="T59" si="274">S59/1000</f>
        <v>1.1572003025577041E-3</v>
      </c>
    </row>
    <row r="60" spans="1:20" x14ac:dyDescent="0.25">
      <c r="A60" s="5">
        <v>44533</v>
      </c>
      <c r="B60">
        <v>2973</v>
      </c>
      <c r="C60">
        <v>2987</v>
      </c>
      <c r="D60">
        <v>2692</v>
      </c>
      <c r="E60">
        <v>2753</v>
      </c>
      <c r="F60">
        <v>2829.4043000000001</v>
      </c>
      <c r="G60">
        <v>2753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-0.58644067796610166</v>
      </c>
      <c r="Q60">
        <f t="shared" ref="Q60" si="276">F60*P60</f>
        <v>-1659.2777759322034</v>
      </c>
      <c r="R60">
        <f t="shared" ref="R60" si="277">R61+Q60</f>
        <v>113076.9123752923</v>
      </c>
      <c r="S60">
        <f t="shared" ref="S60" si="278">R60/100000</f>
        <v>1.1307691237529229</v>
      </c>
      <c r="T60">
        <f t="shared" ref="T60" si="279">S60/1000</f>
        <v>1.1307691237529228E-3</v>
      </c>
    </row>
    <row r="61" spans="1:20" x14ac:dyDescent="0.25">
      <c r="A61" s="5">
        <v>44532</v>
      </c>
      <c r="B61">
        <v>2973</v>
      </c>
      <c r="C61">
        <v>3057</v>
      </c>
      <c r="D61">
        <v>2897</v>
      </c>
      <c r="E61">
        <v>2973</v>
      </c>
      <c r="F61">
        <v>1723.3942</v>
      </c>
      <c r="G61">
        <v>2973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-0.05</v>
      </c>
      <c r="Q61">
        <f t="shared" ref="Q61" si="281">F61*P61</f>
        <v>-86.169710000000009</v>
      </c>
      <c r="R61">
        <f t="shared" ref="R61" si="282">R62+Q61</f>
        <v>114736.19015122451</v>
      </c>
      <c r="S61">
        <f t="shared" ref="S61" si="283">R61/100000</f>
        <v>1.1473619015122452</v>
      </c>
      <c r="T61">
        <f t="shared" ref="T61" si="284">S61/1000</f>
        <v>1.1473619015122452E-3</v>
      </c>
    </row>
    <row r="62" spans="1:20" x14ac:dyDescent="0.25">
      <c r="A62" s="5">
        <v>44531</v>
      </c>
      <c r="B62">
        <v>3057</v>
      </c>
      <c r="C62">
        <v>3141</v>
      </c>
      <c r="D62">
        <v>2950</v>
      </c>
      <c r="E62">
        <v>2978</v>
      </c>
      <c r="F62">
        <v>2004.2660000000001</v>
      </c>
      <c r="G62">
        <v>2978</v>
      </c>
      <c r="L62" t="s">
        <v>7</v>
      </c>
      <c r="M62" t="s">
        <v>8</v>
      </c>
      <c r="N62" t="s">
        <v>8</v>
      </c>
      <c r="P62">
        <f t="shared" ref="P62" si="285">IF(C62=D62,0,((E62-D62)-(C62-E62))/(C62-D62))</f>
        <v>-0.70680628272251311</v>
      </c>
      <c r="Q62">
        <f t="shared" ref="Q62" si="286">F62*P62</f>
        <v>-1416.6278010471206</v>
      </c>
      <c r="R62">
        <f t="shared" ref="R62" si="287">R63+Q62</f>
        <v>114822.35986122451</v>
      </c>
      <c r="S62">
        <f t="shared" ref="S62" si="288">R62/100000</f>
        <v>1.1482235986122451</v>
      </c>
      <c r="T62">
        <f t="shared" ref="T62" si="289">S62/1000</f>
        <v>1.1482235986122451E-3</v>
      </c>
    </row>
    <row r="63" spans="1:20" x14ac:dyDescent="0.25">
      <c r="A63" s="5">
        <v>44530</v>
      </c>
      <c r="B63">
        <v>3086</v>
      </c>
      <c r="C63">
        <v>3233</v>
      </c>
      <c r="D63">
        <v>2963</v>
      </c>
      <c r="E63">
        <v>3056</v>
      </c>
      <c r="F63">
        <v>3923.9000999999998</v>
      </c>
      <c r="G63">
        <v>3056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-0.31111111111111112</v>
      </c>
      <c r="Q63">
        <f t="shared" ref="Q63" si="291">F63*P63</f>
        <v>-1220.76892</v>
      </c>
      <c r="R63">
        <f t="shared" ref="R63" si="292">R64+Q63</f>
        <v>116238.98766227163</v>
      </c>
      <c r="S63">
        <f t="shared" ref="S63" si="293">R63/100000</f>
        <v>1.1623898766227163</v>
      </c>
      <c r="T63">
        <f t="shared" ref="T63" si="294">S63/1000</f>
        <v>1.1623898766227163E-3</v>
      </c>
    </row>
    <row r="64" spans="1:20" x14ac:dyDescent="0.25">
      <c r="A64" s="5">
        <v>44529</v>
      </c>
      <c r="B64">
        <v>3082</v>
      </c>
      <c r="C64">
        <v>3119</v>
      </c>
      <c r="D64">
        <v>3011</v>
      </c>
      <c r="E64">
        <v>3086</v>
      </c>
      <c r="F64">
        <v>1323.0456999999999</v>
      </c>
      <c r="G64">
        <v>3086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0.3888888888888889</v>
      </c>
      <c r="Q64">
        <f t="shared" ref="Q64" si="296">F64*P64</f>
        <v>514.51777222222222</v>
      </c>
      <c r="R64">
        <f t="shared" ref="R64" si="297">R65+Q64</f>
        <v>117459.75658227163</v>
      </c>
      <c r="S64">
        <f t="shared" ref="S64" si="298">R64/100000</f>
        <v>1.1745975658227163</v>
      </c>
      <c r="T64">
        <f t="shared" ref="T64" si="299">S64/1000</f>
        <v>1.1745975658227163E-3</v>
      </c>
    </row>
    <row r="65" spans="1:20" x14ac:dyDescent="0.25">
      <c r="A65" s="5">
        <v>44528</v>
      </c>
      <c r="B65">
        <v>3092</v>
      </c>
      <c r="C65">
        <v>3100</v>
      </c>
      <c r="D65">
        <v>2847</v>
      </c>
      <c r="E65">
        <v>3082</v>
      </c>
      <c r="F65">
        <v>2288.6208999999999</v>
      </c>
      <c r="G65">
        <v>3082</v>
      </c>
      <c r="L65" t="s">
        <v>7</v>
      </c>
      <c r="M65" t="s">
        <v>8</v>
      </c>
      <c r="N65" t="s">
        <v>8</v>
      </c>
      <c r="P65">
        <f t="shared" ref="P65" si="300">IF(C65=D65,0,((E65-D65)-(C65-E65))/(C65-D65))</f>
        <v>0.85770750988142297</v>
      </c>
      <c r="Q65">
        <f t="shared" ref="Q65" si="301">F65*P65</f>
        <v>1962.9673332015811</v>
      </c>
      <c r="R65">
        <f t="shared" ref="R65" si="302">R66+Q65</f>
        <v>116945.2388100494</v>
      </c>
      <c r="S65">
        <f t="shared" ref="S65" si="303">R65/100000</f>
        <v>1.1694523881004939</v>
      </c>
      <c r="T65">
        <f t="shared" ref="T65" si="304">S65/1000</f>
        <v>1.1694523881004939E-3</v>
      </c>
    </row>
    <row r="66" spans="1:20" x14ac:dyDescent="0.25">
      <c r="A66" s="5">
        <v>44527</v>
      </c>
      <c r="B66">
        <v>3096</v>
      </c>
      <c r="C66">
        <v>3200</v>
      </c>
      <c r="D66">
        <v>3016</v>
      </c>
      <c r="E66">
        <v>3092</v>
      </c>
      <c r="F66">
        <v>1720.0639000000001</v>
      </c>
      <c r="G66">
        <v>3092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-0.17391304347826086</v>
      </c>
      <c r="Q66">
        <f t="shared" ref="Q66" si="306">F66*P66</f>
        <v>-299.14154782608699</v>
      </c>
      <c r="R66">
        <f t="shared" ref="R66" si="307">R67+Q66</f>
        <v>114982.27147684782</v>
      </c>
      <c r="S66">
        <f t="shared" ref="S66" si="308">R66/100000</f>
        <v>1.1498227147684781</v>
      </c>
      <c r="T66">
        <f t="shared" ref="T66" si="309">S66/1000</f>
        <v>1.1498227147684781E-3</v>
      </c>
    </row>
    <row r="67" spans="1:20" x14ac:dyDescent="0.25">
      <c r="A67" s="5">
        <v>44526</v>
      </c>
      <c r="B67">
        <v>3305</v>
      </c>
      <c r="C67">
        <v>3417</v>
      </c>
      <c r="D67">
        <v>2942</v>
      </c>
      <c r="E67">
        <v>3097</v>
      </c>
      <c r="F67">
        <v>4204.7020000000002</v>
      </c>
      <c r="G67">
        <v>3097</v>
      </c>
      <c r="L67" t="s">
        <v>7</v>
      </c>
      <c r="M67" t="s">
        <v>8</v>
      </c>
      <c r="N67" t="s">
        <v>8</v>
      </c>
      <c r="P67">
        <f t="shared" ref="P67" si="310">IF(C67=D67,0,((E67-D67)-(C67-E67))/(C67-D67))</f>
        <v>-0.3473684210526316</v>
      </c>
      <c r="Q67">
        <f t="shared" ref="Q67" si="311">F67*P67</f>
        <v>-1460.5806947368424</v>
      </c>
      <c r="R67">
        <f t="shared" ref="R67" si="312">R68+Q67</f>
        <v>115281.41302467391</v>
      </c>
      <c r="S67">
        <f t="shared" ref="S67" si="313">R67/100000</f>
        <v>1.1528141302467392</v>
      </c>
      <c r="T67">
        <f t="shared" ref="T67" si="314">S67/1000</f>
        <v>1.1528141302467392E-3</v>
      </c>
    </row>
    <row r="68" spans="1:20" x14ac:dyDescent="0.25">
      <c r="A68" s="5">
        <v>44525</v>
      </c>
      <c r="B68">
        <v>3095</v>
      </c>
      <c r="C68">
        <v>3450</v>
      </c>
      <c r="D68">
        <v>3072</v>
      </c>
      <c r="E68">
        <v>3304</v>
      </c>
      <c r="F68">
        <v>5646.1670999999997</v>
      </c>
      <c r="G68">
        <v>3304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0.2275132275132275</v>
      </c>
      <c r="Q68">
        <f t="shared" ref="Q68" si="316">F68*P68</f>
        <v>1284.5776999999998</v>
      </c>
      <c r="R68">
        <f t="shared" ref="R68" si="317">R69+Q68</f>
        <v>116741.99371941075</v>
      </c>
      <c r="S68">
        <f t="shared" ref="S68" si="318">R68/100000</f>
        <v>1.1674199371941074</v>
      </c>
      <c r="T68">
        <f t="shared" ref="T68" si="319">S68/1000</f>
        <v>1.1674199371941073E-3</v>
      </c>
    </row>
    <row r="69" spans="1:20" x14ac:dyDescent="0.25">
      <c r="A69" s="5">
        <v>44524</v>
      </c>
      <c r="B69">
        <v>3044</v>
      </c>
      <c r="C69">
        <v>3114</v>
      </c>
      <c r="D69">
        <v>2986</v>
      </c>
      <c r="E69">
        <v>3093</v>
      </c>
      <c r="F69">
        <v>972.74199999999996</v>
      </c>
      <c r="G69">
        <v>3093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0.671875</v>
      </c>
      <c r="Q69">
        <f t="shared" ref="Q69" si="321">F69*P69</f>
        <v>653.56103124999993</v>
      </c>
      <c r="R69">
        <f t="shared" ref="R69" si="322">R70+Q69</f>
        <v>115457.41601941075</v>
      </c>
      <c r="S69">
        <f t="shared" ref="S69" si="323">R69/100000</f>
        <v>1.1545741601941075</v>
      </c>
      <c r="T69">
        <f t="shared" ref="T69" si="324">S69/1000</f>
        <v>1.1545741601941076E-3</v>
      </c>
    </row>
    <row r="70" spans="1:20" x14ac:dyDescent="0.25">
      <c r="A70" s="5">
        <v>44523</v>
      </c>
      <c r="B70">
        <v>2852</v>
      </c>
      <c r="C70">
        <v>3098</v>
      </c>
      <c r="D70">
        <v>2831</v>
      </c>
      <c r="E70">
        <v>3044</v>
      </c>
      <c r="F70">
        <v>2735.0621000000001</v>
      </c>
      <c r="G70">
        <v>3044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0.5955056179775281</v>
      </c>
      <c r="Q70">
        <f t="shared" ref="Q70" si="326">F70*P70</f>
        <v>1628.7448460674159</v>
      </c>
      <c r="R70">
        <f t="shared" ref="R70" si="327">R71+Q70</f>
        <v>114803.85498816075</v>
      </c>
      <c r="S70">
        <f t="shared" ref="S70" si="328">R70/100000</f>
        <v>1.1480385498816075</v>
      </c>
      <c r="T70">
        <f t="shared" ref="T70" si="329">S70/1000</f>
        <v>1.1480385498816076E-3</v>
      </c>
    </row>
    <row r="71" spans="1:20" x14ac:dyDescent="0.25">
      <c r="A71" s="5">
        <v>44522</v>
      </c>
      <c r="B71">
        <v>2949</v>
      </c>
      <c r="C71">
        <v>2990</v>
      </c>
      <c r="D71">
        <v>2826</v>
      </c>
      <c r="E71">
        <v>2854</v>
      </c>
      <c r="F71">
        <v>1447.3440000000001</v>
      </c>
      <c r="G71">
        <v>2854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-0.65853658536585369</v>
      </c>
      <c r="Q71">
        <f t="shared" ref="Q71" si="331">F71*P71</f>
        <v>-953.12897560975614</v>
      </c>
      <c r="R71">
        <f t="shared" ref="R71" si="332">R72+Q71</f>
        <v>113175.11014209333</v>
      </c>
      <c r="S71">
        <f t="shared" ref="S71" si="333">R71/100000</f>
        <v>1.1317511014209332</v>
      </c>
      <c r="T71">
        <f t="shared" ref="T71" si="334">S71/1000</f>
        <v>1.1317511014209331E-3</v>
      </c>
    </row>
    <row r="72" spans="1:20" x14ac:dyDescent="0.25">
      <c r="A72" s="5">
        <v>44521</v>
      </c>
      <c r="B72">
        <v>3126</v>
      </c>
      <c r="C72">
        <v>3144</v>
      </c>
      <c r="D72">
        <v>2931</v>
      </c>
      <c r="E72">
        <v>2948</v>
      </c>
      <c r="F72">
        <v>1788.0183</v>
      </c>
      <c r="G72">
        <v>2948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-0.84037558685446012</v>
      </c>
      <c r="Q72">
        <f t="shared" ref="Q72" si="336">F72*P72</f>
        <v>-1502.6069281690141</v>
      </c>
      <c r="R72">
        <f t="shared" ref="R72" si="337">R73+Q72</f>
        <v>114128.23911770308</v>
      </c>
      <c r="S72">
        <f t="shared" ref="S72" si="338">R72/100000</f>
        <v>1.1412823911770309</v>
      </c>
      <c r="T72">
        <f t="shared" ref="T72" si="339">S72/1000</f>
        <v>1.1412823911770308E-3</v>
      </c>
    </row>
    <row r="73" spans="1:20" x14ac:dyDescent="0.25">
      <c r="A73" s="5">
        <v>44520</v>
      </c>
      <c r="B73">
        <v>2950</v>
      </c>
      <c r="C73">
        <v>3130</v>
      </c>
      <c r="D73">
        <v>2930</v>
      </c>
      <c r="E73">
        <v>3127</v>
      </c>
      <c r="F73">
        <v>2053.9865</v>
      </c>
      <c r="G73">
        <v>3127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0.97</v>
      </c>
      <c r="Q73">
        <f t="shared" ref="Q73" si="341">F73*P73</f>
        <v>1992.3669049999999</v>
      </c>
      <c r="R73">
        <f t="shared" ref="R73" si="342">R74+Q73</f>
        <v>115630.84604587209</v>
      </c>
      <c r="S73">
        <f t="shared" ref="S73" si="343">R73/100000</f>
        <v>1.156308460458721</v>
      </c>
      <c r="T73">
        <f t="shared" ref="T73" si="344">S73/1000</f>
        <v>1.1563084604587211E-3</v>
      </c>
    </row>
    <row r="74" spans="1:20" x14ac:dyDescent="0.25">
      <c r="A74" s="5">
        <v>44519</v>
      </c>
      <c r="B74">
        <v>2805</v>
      </c>
      <c r="C74">
        <v>3002</v>
      </c>
      <c r="D74">
        <v>2773</v>
      </c>
      <c r="E74">
        <v>2948</v>
      </c>
      <c r="F74">
        <v>1932.4021</v>
      </c>
      <c r="G74">
        <v>2948</v>
      </c>
      <c r="L74" t="s">
        <v>7</v>
      </c>
      <c r="M74" t="s">
        <v>8</v>
      </c>
      <c r="N74" t="s">
        <v>8</v>
      </c>
      <c r="P74">
        <f t="shared" ref="P74" si="345">IF(C74=D74,0,((E74-D74)-(C74-E74))/(C74-D74))</f>
        <v>0.52838427947598254</v>
      </c>
      <c r="Q74">
        <f t="shared" ref="Q74" si="346">F74*P74</f>
        <v>1021.0508912663756</v>
      </c>
      <c r="R74">
        <f t="shared" ref="R74" si="347">R75+Q74</f>
        <v>113638.47914087209</v>
      </c>
      <c r="S74">
        <f t="shared" ref="S74" si="348">R74/100000</f>
        <v>1.1363847914087208</v>
      </c>
      <c r="T74">
        <f t="shared" ref="T74" si="349">S74/1000</f>
        <v>1.1363847914087209E-3</v>
      </c>
    </row>
    <row r="75" spans="1:20" x14ac:dyDescent="0.25">
      <c r="A75" s="5">
        <v>44518</v>
      </c>
      <c r="B75">
        <v>2805</v>
      </c>
      <c r="C75">
        <v>3276</v>
      </c>
      <c r="D75">
        <v>2670</v>
      </c>
      <c r="E75">
        <v>2803</v>
      </c>
      <c r="F75">
        <v>9018.1465000000007</v>
      </c>
      <c r="G75">
        <v>2803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-0.56105610561056107</v>
      </c>
      <c r="Q75">
        <f t="shared" ref="Q75" si="351">F75*P75</f>
        <v>-5059.6861551155125</v>
      </c>
      <c r="R75">
        <f t="shared" ref="R75" si="352">R76+Q75</f>
        <v>112617.42824960571</v>
      </c>
      <c r="S75">
        <f t="shared" ref="S75" si="353">R75/100000</f>
        <v>1.1261742824960572</v>
      </c>
      <c r="T75">
        <f t="shared" ref="T75" si="354">S75/1000</f>
        <v>1.1261742824960571E-3</v>
      </c>
    </row>
    <row r="76" spans="1:20" x14ac:dyDescent="0.25">
      <c r="A76" s="5">
        <v>44517</v>
      </c>
      <c r="B76">
        <v>2811</v>
      </c>
      <c r="C76">
        <v>2828</v>
      </c>
      <c r="D76">
        <v>2662</v>
      </c>
      <c r="E76">
        <v>2805</v>
      </c>
      <c r="F76">
        <v>2854.8552</v>
      </c>
      <c r="G76">
        <v>2805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0.72289156626506024</v>
      </c>
      <c r="Q76">
        <f t="shared" ref="Q76" si="356">F76*P76</f>
        <v>2063.750746987952</v>
      </c>
      <c r="R76">
        <f t="shared" ref="R76" si="357">R77+Q76</f>
        <v>117677.11440472123</v>
      </c>
      <c r="S76">
        <f t="shared" ref="S76" si="358">R76/100000</f>
        <v>1.1767711440472124</v>
      </c>
      <c r="T76">
        <f t="shared" ref="T76" si="359">S76/1000</f>
        <v>1.1767711440472124E-3</v>
      </c>
    </row>
    <row r="77" spans="1:20" x14ac:dyDescent="0.25">
      <c r="A77" s="5">
        <v>44516</v>
      </c>
      <c r="B77">
        <v>3022</v>
      </c>
      <c r="C77">
        <v>3022</v>
      </c>
      <c r="D77">
        <v>2711</v>
      </c>
      <c r="E77">
        <v>2812</v>
      </c>
      <c r="F77">
        <v>2680.7516999999998</v>
      </c>
      <c r="G77">
        <v>2812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-0.35048231511254019</v>
      </c>
      <c r="Q77">
        <f t="shared" ref="Q77" si="361">F77*P77</f>
        <v>-939.55606205787774</v>
      </c>
      <c r="R77">
        <f t="shared" ref="R77" si="362">R78+Q77</f>
        <v>115613.36365773328</v>
      </c>
      <c r="S77">
        <f t="shared" ref="S77" si="363">R77/100000</f>
        <v>1.1561336365773327</v>
      </c>
      <c r="T77">
        <f t="shared" ref="T77" si="364">S77/1000</f>
        <v>1.1561336365773327E-3</v>
      </c>
    </row>
    <row r="78" spans="1:20" x14ac:dyDescent="0.25">
      <c r="A78" s="5">
        <v>44515</v>
      </c>
      <c r="B78">
        <v>3050</v>
      </c>
      <c r="C78">
        <v>3159</v>
      </c>
      <c r="D78">
        <v>2970</v>
      </c>
      <c r="E78">
        <v>3020</v>
      </c>
      <c r="F78">
        <v>2936.1736999999998</v>
      </c>
      <c r="G78">
        <v>3020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-0.47089947089947087</v>
      </c>
      <c r="Q78">
        <f t="shared" ref="Q78" si="366">F78*P78</f>
        <v>-1382.6426417989417</v>
      </c>
      <c r="R78">
        <f t="shared" ref="R78" si="367">R79+Q78</f>
        <v>116552.91971979116</v>
      </c>
      <c r="S78">
        <f t="shared" ref="S78" si="368">R78/100000</f>
        <v>1.1655291971979116</v>
      </c>
      <c r="T78">
        <f t="shared" ref="T78" si="369">S78/1000</f>
        <v>1.1655291971979116E-3</v>
      </c>
    </row>
    <row r="79" spans="1:20" x14ac:dyDescent="0.25">
      <c r="A79" s="5">
        <v>44514</v>
      </c>
      <c r="B79">
        <v>3118</v>
      </c>
      <c r="C79">
        <v>3194</v>
      </c>
      <c r="D79">
        <v>2929</v>
      </c>
      <c r="E79">
        <v>3050</v>
      </c>
      <c r="F79">
        <v>2358.6142</v>
      </c>
      <c r="G79">
        <v>3050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-8.6792452830188674E-2</v>
      </c>
      <c r="Q79">
        <f t="shared" ref="Q79" si="371">F79*P79</f>
        <v>-204.70991169811319</v>
      </c>
      <c r="R79">
        <f t="shared" ref="R79" si="372">R80+Q79</f>
        <v>117935.5623615901</v>
      </c>
      <c r="S79">
        <f t="shared" ref="S79" si="373">R79/100000</f>
        <v>1.1793556236159011</v>
      </c>
      <c r="T79">
        <f t="shared" ref="T79" si="374">S79/1000</f>
        <v>1.1793556236159011E-3</v>
      </c>
    </row>
    <row r="80" spans="1:20" x14ac:dyDescent="0.25">
      <c r="A80" s="5">
        <v>44513</v>
      </c>
      <c r="B80">
        <v>2878</v>
      </c>
      <c r="C80">
        <v>3190</v>
      </c>
      <c r="D80">
        <v>2878</v>
      </c>
      <c r="E80">
        <v>3121</v>
      </c>
      <c r="F80">
        <v>5384.72</v>
      </c>
      <c r="G80">
        <v>3121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0.55769230769230771</v>
      </c>
      <c r="Q80">
        <f t="shared" ref="Q80" si="376">F80*P80</f>
        <v>3003.0169230769234</v>
      </c>
      <c r="R80">
        <f t="shared" ref="R80" si="377">R81+Q80</f>
        <v>118140.27227328821</v>
      </c>
      <c r="S80">
        <f t="shared" ref="S80" si="378">R80/100000</f>
        <v>1.181402722732882</v>
      </c>
      <c r="T80">
        <f t="shared" ref="T80" si="379">S80/1000</f>
        <v>1.181402722732882E-3</v>
      </c>
    </row>
    <row r="81" spans="1:20" x14ac:dyDescent="0.25">
      <c r="A81" s="5">
        <v>44512</v>
      </c>
      <c r="B81">
        <v>2991</v>
      </c>
      <c r="C81">
        <v>3010</v>
      </c>
      <c r="D81">
        <v>2789</v>
      </c>
      <c r="E81">
        <v>2878</v>
      </c>
      <c r="F81">
        <v>2803.8494999999998</v>
      </c>
      <c r="G81">
        <v>2878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-0.19457013574660634</v>
      </c>
      <c r="Q81">
        <f t="shared" ref="Q81" si="381">F81*P81</f>
        <v>-545.54537782805426</v>
      </c>
      <c r="R81">
        <f t="shared" ref="R81" si="382">R82+Q81</f>
        <v>115137.25535021129</v>
      </c>
      <c r="S81">
        <f t="shared" ref="S81" si="383">R81/100000</f>
        <v>1.1513725535021129</v>
      </c>
      <c r="T81">
        <f t="shared" ref="T81" si="384">S81/1000</f>
        <v>1.151372553502113E-3</v>
      </c>
    </row>
    <row r="82" spans="1:20" x14ac:dyDescent="0.25">
      <c r="A82" s="5">
        <v>44511</v>
      </c>
      <c r="B82">
        <v>2957</v>
      </c>
      <c r="C82">
        <v>3079</v>
      </c>
      <c r="D82">
        <v>2900</v>
      </c>
      <c r="E82">
        <v>2992</v>
      </c>
      <c r="F82">
        <v>3064.2991999999999</v>
      </c>
      <c r="G82">
        <v>2992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2.7932960893854747E-2</v>
      </c>
      <c r="Q82">
        <f t="shared" ref="Q82" si="386">F82*P82</f>
        <v>85.594949720670385</v>
      </c>
      <c r="R82">
        <f t="shared" ref="R82" si="387">R83+Q82</f>
        <v>115682.80072803934</v>
      </c>
      <c r="S82">
        <f t="shared" ref="S82" si="388">R82/100000</f>
        <v>1.1568280072803934</v>
      </c>
      <c r="T82">
        <f t="shared" ref="T82" si="389">S82/1000</f>
        <v>1.1568280072803935E-3</v>
      </c>
    </row>
    <row r="83" spans="1:20" x14ac:dyDescent="0.25">
      <c r="A83" s="5">
        <v>44510</v>
      </c>
      <c r="B83">
        <v>3135</v>
      </c>
      <c r="C83">
        <v>3213</v>
      </c>
      <c r="D83">
        <v>2777</v>
      </c>
      <c r="E83">
        <v>2958</v>
      </c>
      <c r="F83">
        <v>3962.453</v>
      </c>
      <c r="G83">
        <v>2958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-0.16972477064220184</v>
      </c>
      <c r="Q83">
        <f t="shared" ref="Q83" si="391">F83*P83</f>
        <v>-672.52642660550464</v>
      </c>
      <c r="R83">
        <f t="shared" ref="R83" si="392">R84+Q83</f>
        <v>115597.20577831866</v>
      </c>
      <c r="S83">
        <f t="shared" ref="S83" si="393">R83/100000</f>
        <v>1.1559720577831867</v>
      </c>
      <c r="T83">
        <f t="shared" ref="T83" si="394">S83/1000</f>
        <v>1.1559720577831868E-3</v>
      </c>
    </row>
    <row r="84" spans="1:20" x14ac:dyDescent="0.25">
      <c r="A84" s="5">
        <v>44509</v>
      </c>
      <c r="B84">
        <v>3300</v>
      </c>
      <c r="C84">
        <v>3303</v>
      </c>
      <c r="D84">
        <v>3096</v>
      </c>
      <c r="E84">
        <v>3135</v>
      </c>
      <c r="F84">
        <v>3138.2730999999999</v>
      </c>
      <c r="G84">
        <v>3135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-0.62318840579710144</v>
      </c>
      <c r="Q84">
        <f t="shared" ref="Q84" si="396">F84*P84</f>
        <v>-1955.7354101449275</v>
      </c>
      <c r="R84">
        <f t="shared" ref="R84" si="397">R85+Q84</f>
        <v>116269.73220492416</v>
      </c>
      <c r="S84">
        <f t="shared" ref="S84" si="398">R84/100000</f>
        <v>1.1626973220492416</v>
      </c>
      <c r="T84">
        <f t="shared" ref="T84" si="399">S84/1000</f>
        <v>1.1626973220492415E-3</v>
      </c>
    </row>
    <row r="85" spans="1:20" x14ac:dyDescent="0.25">
      <c r="A85" s="5">
        <v>44508</v>
      </c>
      <c r="B85">
        <v>2972</v>
      </c>
      <c r="C85">
        <v>3446</v>
      </c>
      <c r="D85">
        <v>2953</v>
      </c>
      <c r="E85">
        <v>3300</v>
      </c>
      <c r="F85">
        <v>9534.0061999999998</v>
      </c>
      <c r="G85">
        <v>3300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0.40770791075050711</v>
      </c>
      <c r="Q85">
        <f t="shared" ref="Q85" si="401">F85*P85</f>
        <v>3887.0897488843812</v>
      </c>
      <c r="R85">
        <f t="shared" ref="R85" si="402">R86+Q85</f>
        <v>118225.46761506909</v>
      </c>
      <c r="S85">
        <f t="shared" ref="S85" si="403">R85/100000</f>
        <v>1.1822546761506909</v>
      </c>
      <c r="T85">
        <f t="shared" ref="T85" si="404">S85/1000</f>
        <v>1.182254676150691E-3</v>
      </c>
    </row>
    <row r="86" spans="1:20" x14ac:dyDescent="0.25">
      <c r="A86" s="5">
        <v>44507</v>
      </c>
      <c r="B86">
        <v>3027</v>
      </c>
      <c r="C86">
        <v>3066</v>
      </c>
      <c r="D86">
        <v>2911</v>
      </c>
      <c r="E86">
        <v>2972</v>
      </c>
      <c r="F86">
        <v>3016.136</v>
      </c>
      <c r="G86">
        <v>2972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-0.2129032258064516</v>
      </c>
      <c r="Q86">
        <f t="shared" ref="Q86" si="406">F86*P86</f>
        <v>-642.14508387096771</v>
      </c>
      <c r="R86">
        <f t="shared" ref="R86" si="407">R87+Q86</f>
        <v>114338.37786618472</v>
      </c>
      <c r="S86">
        <f t="shared" ref="S86" si="408">R86/100000</f>
        <v>1.1433837786618473</v>
      </c>
      <c r="T86">
        <f t="shared" ref="T86" si="409">S86/1000</f>
        <v>1.1433837786618472E-3</v>
      </c>
    </row>
    <row r="87" spans="1:20" x14ac:dyDescent="0.25">
      <c r="A87" s="5">
        <v>44506</v>
      </c>
      <c r="B87">
        <v>2946</v>
      </c>
      <c r="C87">
        <v>3096</v>
      </c>
      <c r="D87">
        <v>2803</v>
      </c>
      <c r="E87">
        <v>3027</v>
      </c>
      <c r="F87">
        <v>5435.5505000000003</v>
      </c>
      <c r="G87">
        <v>3027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0.52901023890784982</v>
      </c>
      <c r="Q87">
        <f t="shared" ref="Q87" si="411">F87*P87</f>
        <v>2875.4618686006825</v>
      </c>
      <c r="R87">
        <f t="shared" ref="R87" si="412">R88+Q87</f>
        <v>114980.52295005569</v>
      </c>
      <c r="S87">
        <f t="shared" ref="S87" si="413">R87/100000</f>
        <v>1.149805229500557</v>
      </c>
      <c r="T87">
        <f t="shared" ref="T87" si="414">S87/1000</f>
        <v>1.1498052295005571E-3</v>
      </c>
    </row>
    <row r="88" spans="1:20" x14ac:dyDescent="0.25">
      <c r="A88" s="5">
        <v>44505</v>
      </c>
      <c r="B88">
        <v>3011</v>
      </c>
      <c r="C88">
        <v>3029</v>
      </c>
      <c r="D88">
        <v>2858</v>
      </c>
      <c r="E88">
        <v>2947</v>
      </c>
      <c r="F88">
        <v>4584.1736000000001</v>
      </c>
      <c r="G88">
        <v>2947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4.0935672514619881E-2</v>
      </c>
      <c r="Q88">
        <f t="shared" ref="Q88" si="416">F88*P88</f>
        <v>187.65622923976608</v>
      </c>
      <c r="R88">
        <f t="shared" ref="R88" si="417">R89+Q88</f>
        <v>112105.061081455</v>
      </c>
      <c r="S88">
        <f t="shared" ref="S88" si="418">R88/100000</f>
        <v>1.1210506108145499</v>
      </c>
      <c r="T88">
        <f t="shared" ref="T88" si="419">S88/1000</f>
        <v>1.1210506108145499E-3</v>
      </c>
    </row>
    <row r="89" spans="1:20" x14ac:dyDescent="0.25">
      <c r="A89" s="5">
        <v>44504</v>
      </c>
      <c r="B89">
        <v>3218</v>
      </c>
      <c r="C89">
        <v>3241</v>
      </c>
      <c r="D89">
        <v>2880</v>
      </c>
      <c r="E89">
        <v>3013</v>
      </c>
      <c r="F89">
        <v>8659.2659000000003</v>
      </c>
      <c r="G89">
        <v>3013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-0.26315789473684209</v>
      </c>
      <c r="Q89">
        <f t="shared" ref="Q89" si="421">F89*P89</f>
        <v>-2278.7541842105261</v>
      </c>
      <c r="R89">
        <f t="shared" ref="R89" si="422">R90+Q89</f>
        <v>111917.40485221523</v>
      </c>
      <c r="S89">
        <f t="shared" ref="S89" si="423">R89/100000</f>
        <v>1.1191740485221522</v>
      </c>
      <c r="T89">
        <f t="shared" ref="T89" si="424">S89/1000</f>
        <v>1.1191740485221521E-3</v>
      </c>
    </row>
    <row r="90" spans="1:20" x14ac:dyDescent="0.25">
      <c r="A90" s="5">
        <v>44503</v>
      </c>
      <c r="B90">
        <v>2800</v>
      </c>
      <c r="C90">
        <v>3626</v>
      </c>
      <c r="D90">
        <v>2794</v>
      </c>
      <c r="E90">
        <v>3216</v>
      </c>
      <c r="F90">
        <v>38712.723100000003</v>
      </c>
      <c r="G90">
        <v>3216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1.4423076923076924E-2</v>
      </c>
      <c r="Q90">
        <f t="shared" ref="Q90" si="426">F90*P90</f>
        <v>558.35658317307696</v>
      </c>
      <c r="R90">
        <f t="shared" ref="R90" si="427">R91+Q90</f>
        <v>114196.15903642576</v>
      </c>
      <c r="S90">
        <f t="shared" ref="S90" si="428">R90/100000</f>
        <v>1.1419615903642575</v>
      </c>
      <c r="T90">
        <f t="shared" ref="T90" si="429">S90/1000</f>
        <v>1.1419615903642574E-3</v>
      </c>
    </row>
    <row r="91" spans="1:20" x14ac:dyDescent="0.25">
      <c r="A91" s="5">
        <v>44502</v>
      </c>
      <c r="B91">
        <v>2452</v>
      </c>
      <c r="C91">
        <v>2930</v>
      </c>
      <c r="D91">
        <v>2429</v>
      </c>
      <c r="E91">
        <v>2800</v>
      </c>
      <c r="F91">
        <v>12116.118399999999</v>
      </c>
      <c r="G91">
        <v>2800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0.48103792415169661</v>
      </c>
      <c r="Q91">
        <f t="shared" ref="Q91" si="431">F91*P91</f>
        <v>5828.3124439121757</v>
      </c>
      <c r="R91">
        <f t="shared" ref="R91" si="432">R92+Q91</f>
        <v>113637.80245325268</v>
      </c>
      <c r="S91">
        <f t="shared" ref="S91" si="433">R91/100000</f>
        <v>1.1363780245325268</v>
      </c>
      <c r="T91">
        <f t="shared" ref="T91" si="434">S91/1000</f>
        <v>1.1363780245325268E-3</v>
      </c>
    </row>
    <row r="92" spans="1:20" x14ac:dyDescent="0.25">
      <c r="A92" s="5">
        <v>44501</v>
      </c>
      <c r="B92">
        <v>2422</v>
      </c>
      <c r="C92">
        <v>2542</v>
      </c>
      <c r="D92">
        <v>2348</v>
      </c>
      <c r="E92">
        <v>2451</v>
      </c>
      <c r="F92">
        <v>5480.0689000000002</v>
      </c>
      <c r="G92">
        <v>2451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6.1855670103092786E-2</v>
      </c>
      <c r="Q92">
        <f t="shared" ref="Q92" si="436">F92*P92</f>
        <v>338.97333402061861</v>
      </c>
      <c r="R92">
        <f t="shared" ref="R92" si="437">R93+Q92</f>
        <v>107809.4900093405</v>
      </c>
      <c r="S92">
        <f t="shared" ref="S92" si="438">R92/100000</f>
        <v>1.078094900093405</v>
      </c>
      <c r="T92">
        <f t="shared" ref="T92" si="439">S92/1000</f>
        <v>1.0780949000934051E-3</v>
      </c>
    </row>
    <row r="93" spans="1:20" x14ac:dyDescent="0.25">
      <c r="A93" s="5">
        <v>44500</v>
      </c>
      <c r="B93">
        <v>2380</v>
      </c>
      <c r="C93">
        <v>2424</v>
      </c>
      <c r="D93">
        <v>2325</v>
      </c>
      <c r="E93">
        <v>2422</v>
      </c>
      <c r="F93">
        <v>3518.1857</v>
      </c>
      <c r="G93">
        <v>2422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0.95959595959595956</v>
      </c>
      <c r="Q93">
        <f t="shared" ref="Q93" si="441">F93*P93</f>
        <v>3376.0367828282829</v>
      </c>
      <c r="R93">
        <f t="shared" ref="R93" si="442">R94+Q93</f>
        <v>107470.51667531989</v>
      </c>
      <c r="S93">
        <f t="shared" ref="S93" si="443">R93/100000</f>
        <v>1.0747051667531988</v>
      </c>
      <c r="T93">
        <f t="shared" ref="T93" si="444">S93/1000</f>
        <v>1.0747051667531987E-3</v>
      </c>
    </row>
    <row r="94" spans="1:20" x14ac:dyDescent="0.25">
      <c r="A94" s="5">
        <v>44499</v>
      </c>
      <c r="B94">
        <v>2454</v>
      </c>
      <c r="C94">
        <v>2475</v>
      </c>
      <c r="D94">
        <v>2351</v>
      </c>
      <c r="E94">
        <v>2380</v>
      </c>
      <c r="F94">
        <v>2852.0998</v>
      </c>
      <c r="G94">
        <v>2380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-0.532258064516129</v>
      </c>
      <c r="Q94">
        <f t="shared" ref="Q94" si="446">F94*P94</f>
        <v>-1518.0531193548386</v>
      </c>
      <c r="R94">
        <f t="shared" ref="R94" si="447">R95+Q94</f>
        <v>104094.47989249161</v>
      </c>
      <c r="S94">
        <f t="shared" ref="S94" si="448">R94/100000</f>
        <v>1.0409447989249161</v>
      </c>
      <c r="T94">
        <f t="shared" ref="T94" si="449">S94/1000</f>
        <v>1.0409447989249161E-3</v>
      </c>
    </row>
    <row r="95" spans="1:20" x14ac:dyDescent="0.25">
      <c r="A95" s="5">
        <v>44498</v>
      </c>
      <c r="B95">
        <v>2381</v>
      </c>
      <c r="C95">
        <v>2486</v>
      </c>
      <c r="D95">
        <v>2366</v>
      </c>
      <c r="E95">
        <v>2453</v>
      </c>
      <c r="F95">
        <v>3945.9340999999999</v>
      </c>
      <c r="G95">
        <v>2453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0.45</v>
      </c>
      <c r="Q95">
        <f t="shared" ref="Q95" si="451">F95*P95</f>
        <v>1775.670345</v>
      </c>
      <c r="R95">
        <f t="shared" ref="R95" si="452">R96+Q95</f>
        <v>105612.53301184645</v>
      </c>
      <c r="S95">
        <f t="shared" ref="S95" si="453">R95/100000</f>
        <v>1.0561253301184645</v>
      </c>
      <c r="T95">
        <f t="shared" ref="T95" si="454">S95/1000</f>
        <v>1.0561253301184645E-3</v>
      </c>
    </row>
    <row r="96" spans="1:20" x14ac:dyDescent="0.25">
      <c r="A96" s="5">
        <v>44497</v>
      </c>
      <c r="B96">
        <v>2229</v>
      </c>
      <c r="C96">
        <v>2417</v>
      </c>
      <c r="D96">
        <v>2210</v>
      </c>
      <c r="E96">
        <v>2381</v>
      </c>
      <c r="F96">
        <v>2625.511</v>
      </c>
      <c r="G96">
        <v>2381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0.65217391304347827</v>
      </c>
      <c r="Q96">
        <f t="shared" ref="Q96" si="456">F96*P96</f>
        <v>1712.2897826086958</v>
      </c>
      <c r="R96">
        <f t="shared" ref="R96" si="457">R97+Q96</f>
        <v>103836.86266684644</v>
      </c>
      <c r="S96">
        <f t="shared" ref="S96" si="458">R96/100000</f>
        <v>1.0383686266684644</v>
      </c>
      <c r="T96">
        <f t="shared" ref="T96" si="459">S96/1000</f>
        <v>1.0383686266684643E-3</v>
      </c>
    </row>
    <row r="97" spans="1:20" x14ac:dyDescent="0.25">
      <c r="A97" s="5">
        <v>44496</v>
      </c>
      <c r="B97">
        <v>2462</v>
      </c>
      <c r="C97">
        <v>2504</v>
      </c>
      <c r="D97">
        <v>2200</v>
      </c>
      <c r="E97">
        <v>2228</v>
      </c>
      <c r="F97">
        <v>6262.7773999999999</v>
      </c>
      <c r="G97">
        <v>2228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-0.81578947368421051</v>
      </c>
      <c r="Q97">
        <f t="shared" ref="Q97" si="461">F97*P97</f>
        <v>-5109.1078789473686</v>
      </c>
      <c r="R97">
        <f t="shared" ref="R97" si="462">R98+Q97</f>
        <v>102124.57288423774</v>
      </c>
      <c r="S97">
        <f t="shared" ref="S97" si="463">R97/100000</f>
        <v>1.0212457288423775</v>
      </c>
      <c r="T97">
        <f t="shared" ref="T97" si="464">S97/1000</f>
        <v>1.0212457288423776E-3</v>
      </c>
    </row>
    <row r="98" spans="1:20" x14ac:dyDescent="0.25">
      <c r="A98" s="5">
        <v>44495</v>
      </c>
      <c r="B98">
        <v>2475</v>
      </c>
      <c r="C98">
        <v>2567</v>
      </c>
      <c r="D98">
        <v>2438</v>
      </c>
      <c r="E98">
        <v>2461</v>
      </c>
      <c r="F98">
        <v>6269.8842999999997</v>
      </c>
      <c r="G98">
        <v>2461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-0.64341085271317833</v>
      </c>
      <c r="Q98">
        <f t="shared" ref="Q98" si="466">F98*P98</f>
        <v>-4034.1116038759692</v>
      </c>
      <c r="R98">
        <f t="shared" ref="R98" si="467">R99+Q98</f>
        <v>107233.68076318511</v>
      </c>
      <c r="S98">
        <f t="shared" ref="S98" si="468">R98/100000</f>
        <v>1.0723368076318511</v>
      </c>
      <c r="T98">
        <f t="shared" ref="T98" si="469">S98/1000</f>
        <v>1.0723368076318511E-3</v>
      </c>
    </row>
    <row r="99" spans="1:20" x14ac:dyDescent="0.25">
      <c r="A99" s="5">
        <v>44494</v>
      </c>
      <c r="B99">
        <v>2439</v>
      </c>
      <c r="C99">
        <v>2481</v>
      </c>
      <c r="D99">
        <v>2399</v>
      </c>
      <c r="E99">
        <v>2475</v>
      </c>
      <c r="F99">
        <v>3067.3476999999998</v>
      </c>
      <c r="G99">
        <v>2475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0.85365853658536583</v>
      </c>
      <c r="Q99">
        <f t="shared" ref="Q99" si="471">F99*P99</f>
        <v>2618.4675487804875</v>
      </c>
      <c r="R99">
        <f t="shared" ref="R99" si="472">R100+Q99</f>
        <v>111267.79236706108</v>
      </c>
      <c r="S99">
        <f t="shared" ref="S99" si="473">R99/100000</f>
        <v>1.1126779236706108</v>
      </c>
      <c r="T99">
        <f t="shared" ref="T99" si="474">S99/1000</f>
        <v>1.1126779236706108E-3</v>
      </c>
    </row>
    <row r="100" spans="1:20" x14ac:dyDescent="0.25">
      <c r="A100" s="5">
        <v>44493</v>
      </c>
      <c r="B100">
        <v>2527</v>
      </c>
      <c r="C100">
        <v>2531</v>
      </c>
      <c r="D100">
        <v>2383</v>
      </c>
      <c r="E100">
        <v>2439</v>
      </c>
      <c r="F100">
        <v>2640.3393000000001</v>
      </c>
      <c r="G100">
        <v>2439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-0.24324324324324326</v>
      </c>
      <c r="Q100">
        <f t="shared" ref="Q100" si="476">F100*P100</f>
        <v>-642.24469459459465</v>
      </c>
      <c r="R100">
        <f t="shared" ref="R100" si="477">R101+Q100</f>
        <v>108649.32481828058</v>
      </c>
      <c r="S100">
        <f t="shared" ref="S100" si="478">R100/100000</f>
        <v>1.0864932481828058</v>
      </c>
      <c r="T100">
        <f t="shared" ref="T100" si="479">S100/1000</f>
        <v>1.0864932481828057E-3</v>
      </c>
    </row>
    <row r="101" spans="1:20" x14ac:dyDescent="0.25">
      <c r="A101" s="5">
        <v>44492</v>
      </c>
      <c r="B101">
        <v>2521</v>
      </c>
      <c r="C101">
        <v>2546</v>
      </c>
      <c r="D101">
        <v>2489</v>
      </c>
      <c r="E101">
        <v>2526</v>
      </c>
      <c r="F101">
        <v>1312.2255</v>
      </c>
      <c r="G101">
        <v>2526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0.2982456140350877</v>
      </c>
      <c r="Q101">
        <f t="shared" ref="Q101" si="481">F101*P101</f>
        <v>391.3655</v>
      </c>
      <c r="R101">
        <f t="shared" ref="R101" si="482">R102+Q101</f>
        <v>109291.56951287518</v>
      </c>
      <c r="S101">
        <f t="shared" ref="S101" si="483">R101/100000</f>
        <v>1.0929156951287518</v>
      </c>
      <c r="T101">
        <f t="shared" ref="T101" si="484">S101/1000</f>
        <v>1.0929156951287517E-3</v>
      </c>
    </row>
    <row r="102" spans="1:20" x14ac:dyDescent="0.25">
      <c r="A102" s="5">
        <v>44491</v>
      </c>
      <c r="B102">
        <v>2573</v>
      </c>
      <c r="C102">
        <v>2623</v>
      </c>
      <c r="D102">
        <v>2498</v>
      </c>
      <c r="E102">
        <v>2520</v>
      </c>
      <c r="F102">
        <v>2246.6089000000002</v>
      </c>
      <c r="G102">
        <v>2520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-0.64800000000000002</v>
      </c>
      <c r="Q102">
        <f t="shared" ref="Q102" si="486">F102*P102</f>
        <v>-1455.8025672000001</v>
      </c>
      <c r="R102">
        <f t="shared" ref="R102" si="487">R103+Q102</f>
        <v>108900.20401287518</v>
      </c>
      <c r="S102">
        <f t="shared" ref="S102" si="488">R102/100000</f>
        <v>1.0890020401287519</v>
      </c>
      <c r="T102">
        <f t="shared" ref="T102" si="489">S102/1000</f>
        <v>1.0890020401287518E-3</v>
      </c>
    </row>
    <row r="103" spans="1:20" x14ac:dyDescent="0.25">
      <c r="A103" s="5">
        <v>44490</v>
      </c>
      <c r="B103">
        <v>2597</v>
      </c>
      <c r="C103">
        <v>2706</v>
      </c>
      <c r="D103">
        <v>2541</v>
      </c>
      <c r="E103">
        <v>2570</v>
      </c>
      <c r="F103">
        <v>4231.7732999999998</v>
      </c>
      <c r="G103">
        <v>2570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-0.64848484848484844</v>
      </c>
      <c r="Q103">
        <f t="shared" ref="Q103" si="491">F103*P103</f>
        <v>-2744.240867272727</v>
      </c>
      <c r="R103">
        <f t="shared" ref="R103" si="492">R104+Q103</f>
        <v>110356.00658007518</v>
      </c>
      <c r="S103">
        <f t="shared" ref="S103" si="493">R103/100000</f>
        <v>1.1035600658007518</v>
      </c>
      <c r="T103">
        <f t="shared" ref="T103" si="494">S103/1000</f>
        <v>1.1035600658007517E-3</v>
      </c>
    </row>
    <row r="104" spans="1:20" x14ac:dyDescent="0.25">
      <c r="A104" s="5">
        <v>44489</v>
      </c>
      <c r="B104">
        <v>2493</v>
      </c>
      <c r="C104">
        <v>2598</v>
      </c>
      <c r="D104">
        <v>2460</v>
      </c>
      <c r="E104">
        <v>2595</v>
      </c>
      <c r="F104">
        <v>2682.3966</v>
      </c>
      <c r="G104">
        <v>2595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0.95652173913043481</v>
      </c>
      <c r="Q104">
        <f t="shared" ref="Q104" si="496">F104*P104</f>
        <v>2565.7706608695653</v>
      </c>
      <c r="R104">
        <f t="shared" ref="R104" si="497">R105+Q104</f>
        <v>113100.24744734791</v>
      </c>
      <c r="S104">
        <f t="shared" ref="S104" si="498">R104/100000</f>
        <v>1.131002474473479</v>
      </c>
      <c r="T104">
        <f t="shared" ref="T104" si="499">S104/1000</f>
        <v>1.131002474473479E-3</v>
      </c>
    </row>
    <row r="105" spans="1:20" x14ac:dyDescent="0.25">
      <c r="A105" s="5">
        <v>44488</v>
      </c>
      <c r="B105">
        <v>2508</v>
      </c>
      <c r="C105">
        <v>2524</v>
      </c>
      <c r="D105">
        <v>2441</v>
      </c>
      <c r="E105">
        <v>2492</v>
      </c>
      <c r="F105">
        <v>2067.5183999999999</v>
      </c>
      <c r="G105">
        <v>2492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0.2289156626506024</v>
      </c>
      <c r="Q105">
        <f t="shared" ref="Q105" si="501">F105*P105</f>
        <v>473.2873445783132</v>
      </c>
      <c r="R105">
        <f t="shared" ref="R105" si="502">R106+Q105</f>
        <v>110534.47678647835</v>
      </c>
      <c r="S105">
        <f t="shared" ref="S105" si="503">R105/100000</f>
        <v>1.1053447678647834</v>
      </c>
      <c r="T105">
        <f t="shared" ref="T105" si="504">S105/1000</f>
        <v>1.1053447678647833E-3</v>
      </c>
    </row>
    <row r="106" spans="1:20" x14ac:dyDescent="0.25">
      <c r="A106" s="5">
        <v>44487</v>
      </c>
      <c r="B106">
        <v>2552</v>
      </c>
      <c r="C106">
        <v>2578</v>
      </c>
      <c r="D106">
        <v>2431</v>
      </c>
      <c r="E106">
        <v>2508</v>
      </c>
      <c r="F106">
        <v>2526.8294000000001</v>
      </c>
      <c r="G106">
        <v>2508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4.7619047619047616E-2</v>
      </c>
      <c r="Q106">
        <f t="shared" ref="Q106" si="506">F106*P106</f>
        <v>120.32520952380952</v>
      </c>
      <c r="R106">
        <f t="shared" ref="R106" si="507">R107+Q106</f>
        <v>110061.18944190003</v>
      </c>
      <c r="S106">
        <f t="shared" ref="S106" si="508">R106/100000</f>
        <v>1.1006118944190002</v>
      </c>
      <c r="T106">
        <f t="shared" ref="T106" si="509">S106/1000</f>
        <v>1.1006118944190003E-3</v>
      </c>
    </row>
    <row r="107" spans="1:20" x14ac:dyDescent="0.25">
      <c r="A107" s="5">
        <v>44486</v>
      </c>
      <c r="B107">
        <v>2595</v>
      </c>
      <c r="C107">
        <v>2638</v>
      </c>
      <c r="D107">
        <v>2471</v>
      </c>
      <c r="E107">
        <v>2549</v>
      </c>
      <c r="F107">
        <v>1523.0062</v>
      </c>
      <c r="G107">
        <v>2549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-6.5868263473053898E-2</v>
      </c>
      <c r="Q107">
        <f t="shared" ref="Q107" si="511">F107*P107</f>
        <v>-100.31777365269463</v>
      </c>
      <c r="R107">
        <f t="shared" ref="R107" si="512">R108+Q107</f>
        <v>109940.86423237622</v>
      </c>
      <c r="S107">
        <f t="shared" ref="S107" si="513">R107/100000</f>
        <v>1.0994086423237621</v>
      </c>
      <c r="T107">
        <f t="shared" ref="T107" si="514">S107/1000</f>
        <v>1.0994086423237622E-3</v>
      </c>
    </row>
    <row r="108" spans="1:20" x14ac:dyDescent="0.25">
      <c r="A108" s="5">
        <v>44485</v>
      </c>
      <c r="B108">
        <v>2569</v>
      </c>
      <c r="C108">
        <v>2689</v>
      </c>
      <c r="D108">
        <v>2554</v>
      </c>
      <c r="E108">
        <v>2594</v>
      </c>
      <c r="F108">
        <v>2272.4194000000002</v>
      </c>
      <c r="G108">
        <v>2594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-0.40740740740740738</v>
      </c>
      <c r="Q108">
        <f t="shared" ref="Q108" si="516">F108*P108</f>
        <v>-925.80049629629639</v>
      </c>
      <c r="R108">
        <f t="shared" ref="R108" si="517">R109+Q108</f>
        <v>110041.18200602892</v>
      </c>
      <c r="S108">
        <f t="shared" ref="S108" si="518">R108/100000</f>
        <v>1.1004118200602893</v>
      </c>
      <c r="T108">
        <f t="shared" ref="T108" si="519">S108/1000</f>
        <v>1.1004118200602893E-3</v>
      </c>
    </row>
    <row r="109" spans="1:20" x14ac:dyDescent="0.25">
      <c r="A109" s="5">
        <v>44484</v>
      </c>
      <c r="B109">
        <v>2544</v>
      </c>
      <c r="C109">
        <v>2597</v>
      </c>
      <c r="D109">
        <v>2469</v>
      </c>
      <c r="E109">
        <v>2566</v>
      </c>
      <c r="F109">
        <v>2289.2037999999998</v>
      </c>
      <c r="G109">
        <v>2566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0.515625</v>
      </c>
      <c r="Q109">
        <f t="shared" ref="Q109" si="521">F109*P109</f>
        <v>1180.3707093749999</v>
      </c>
      <c r="R109">
        <f t="shared" ref="R109" si="522">R110+Q109</f>
        <v>110966.98250232522</v>
      </c>
      <c r="S109">
        <f t="shared" ref="S109" si="523">R109/100000</f>
        <v>1.1096698250232522</v>
      </c>
      <c r="T109">
        <f t="shared" ref="T109" si="524">S109/1000</f>
        <v>1.1096698250232522E-3</v>
      </c>
    </row>
    <row r="110" spans="1:20" x14ac:dyDescent="0.25">
      <c r="A110" s="5">
        <v>44483</v>
      </c>
      <c r="B110">
        <v>2493</v>
      </c>
      <c r="C110">
        <v>2617</v>
      </c>
      <c r="D110">
        <v>2480</v>
      </c>
      <c r="E110">
        <v>2543</v>
      </c>
      <c r="F110">
        <v>2780.5153</v>
      </c>
      <c r="G110">
        <v>2543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-8.0291970802919707E-2</v>
      </c>
      <c r="Q110">
        <f t="shared" ref="Q110" si="526">F110*P110</f>
        <v>-223.25305328467152</v>
      </c>
      <c r="R110">
        <f t="shared" ref="R110" si="527">R111+Q110</f>
        <v>109786.61179295022</v>
      </c>
      <c r="S110">
        <f t="shared" ref="S110" si="528">R110/100000</f>
        <v>1.0978661179295022</v>
      </c>
      <c r="T110">
        <f t="shared" ref="T110" si="529">S110/1000</f>
        <v>1.0978661179295022E-3</v>
      </c>
    </row>
    <row r="111" spans="1:20" x14ac:dyDescent="0.25">
      <c r="A111" s="5">
        <v>44482</v>
      </c>
      <c r="B111">
        <v>2442</v>
      </c>
      <c r="C111">
        <v>2494</v>
      </c>
      <c r="D111">
        <v>2369</v>
      </c>
      <c r="E111">
        <v>2492</v>
      </c>
      <c r="F111">
        <v>2150.5140000000001</v>
      </c>
      <c r="G111">
        <v>2492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0.96799999999999997</v>
      </c>
      <c r="Q111">
        <f t="shared" ref="Q111" si="531">F111*P111</f>
        <v>2081.6975520000001</v>
      </c>
      <c r="R111">
        <f t="shared" ref="R111" si="532">R112+Q111</f>
        <v>110009.86484623489</v>
      </c>
      <c r="S111">
        <f t="shared" ref="S111" si="533">R111/100000</f>
        <v>1.1000986484623489</v>
      </c>
      <c r="T111">
        <f t="shared" ref="T111" si="534">S111/1000</f>
        <v>1.100098648462349E-3</v>
      </c>
    </row>
    <row r="112" spans="1:20" x14ac:dyDescent="0.25">
      <c r="A112" s="5">
        <v>44481</v>
      </c>
      <c r="B112">
        <v>2450</v>
      </c>
      <c r="C112">
        <v>2505</v>
      </c>
      <c r="D112">
        <v>2357</v>
      </c>
      <c r="E112">
        <v>2442</v>
      </c>
      <c r="F112">
        <v>3065.4989999999998</v>
      </c>
      <c r="G112">
        <v>2442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0.14864864864864866</v>
      </c>
      <c r="Q112">
        <f t="shared" ref="Q112" si="536">F112*P112</f>
        <v>455.68228378378376</v>
      </c>
      <c r="R112">
        <f t="shared" ref="R112" si="537">R113+Q112</f>
        <v>107928.1672942349</v>
      </c>
      <c r="S112">
        <f t="shared" ref="S112" si="538">R112/100000</f>
        <v>1.0792816729423489</v>
      </c>
      <c r="T112">
        <f t="shared" ref="T112" si="539">S112/1000</f>
        <v>1.0792816729423488E-3</v>
      </c>
    </row>
    <row r="113" spans="1:20" x14ac:dyDescent="0.25">
      <c r="A113" s="5">
        <v>44480</v>
      </c>
      <c r="B113">
        <v>2456</v>
      </c>
      <c r="C113">
        <v>2559</v>
      </c>
      <c r="D113">
        <v>2395</v>
      </c>
      <c r="E113">
        <v>2448</v>
      </c>
      <c r="F113">
        <v>2410.5381000000002</v>
      </c>
      <c r="G113">
        <v>2448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-0.35365853658536583</v>
      </c>
      <c r="Q113">
        <f t="shared" ref="Q113" si="541">F113*P113</f>
        <v>-852.50737682926831</v>
      </c>
      <c r="R113">
        <f t="shared" ref="R113" si="542">R114+Q113</f>
        <v>107472.48501045111</v>
      </c>
      <c r="S113">
        <f t="shared" ref="S113" si="543">R113/100000</f>
        <v>1.0747248501045112</v>
      </c>
      <c r="T113">
        <f t="shared" ref="T113" si="544">S113/1000</f>
        <v>1.0747248501045113E-3</v>
      </c>
    </row>
    <row r="114" spans="1:20" x14ac:dyDescent="0.25">
      <c r="A114" s="5">
        <v>44479</v>
      </c>
      <c r="B114">
        <v>2573</v>
      </c>
      <c r="C114">
        <v>2728</v>
      </c>
      <c r="D114">
        <v>2437</v>
      </c>
      <c r="E114">
        <v>2457</v>
      </c>
      <c r="F114">
        <v>5792.5622000000003</v>
      </c>
      <c r="G114">
        <v>2457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-0.86254295532646053</v>
      </c>
      <c r="Q114">
        <f t="shared" ref="Q114" si="546">F114*P114</f>
        <v>-4996.3337189003441</v>
      </c>
      <c r="R114">
        <f t="shared" ref="R114" si="547">R115+Q114</f>
        <v>108324.99238728038</v>
      </c>
      <c r="S114">
        <f t="shared" ref="S114" si="548">R114/100000</f>
        <v>1.0832499238728037</v>
      </c>
      <c r="T114">
        <f t="shared" ref="T114" si="549">S114/1000</f>
        <v>1.0832499238728037E-3</v>
      </c>
    </row>
    <row r="115" spans="1:20" x14ac:dyDescent="0.25">
      <c r="A115" s="5">
        <v>44478</v>
      </c>
      <c r="B115">
        <v>2500</v>
      </c>
      <c r="C115">
        <v>2624</v>
      </c>
      <c r="D115">
        <v>2468</v>
      </c>
      <c r="E115">
        <v>2572</v>
      </c>
      <c r="F115">
        <v>2670.6433999999999</v>
      </c>
      <c r="G115">
        <v>2572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0.33333333333333331</v>
      </c>
      <c r="Q115">
        <f t="shared" ref="Q115" si="551">F115*P115</f>
        <v>890.21446666666657</v>
      </c>
      <c r="R115">
        <f t="shared" ref="R115" si="552">R116+Q115</f>
        <v>113321.32610618073</v>
      </c>
      <c r="S115">
        <f t="shared" ref="S115" si="553">R115/100000</f>
        <v>1.1332132610618073</v>
      </c>
      <c r="T115">
        <f t="shared" ref="T115" si="554">S115/1000</f>
        <v>1.1332132610618073E-3</v>
      </c>
    </row>
    <row r="116" spans="1:20" x14ac:dyDescent="0.25">
      <c r="A116" s="5">
        <v>44477</v>
      </c>
      <c r="B116">
        <v>2502</v>
      </c>
      <c r="C116">
        <v>2577</v>
      </c>
      <c r="D116">
        <v>2459</v>
      </c>
      <c r="E116">
        <v>2494</v>
      </c>
      <c r="F116">
        <v>2302.6541000000002</v>
      </c>
      <c r="G116">
        <v>2494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-0.40677966101694918</v>
      </c>
      <c r="Q116">
        <f t="shared" ref="Q116" si="556">F116*P116</f>
        <v>-936.67285423728822</v>
      </c>
      <c r="R116">
        <f t="shared" ref="R116" si="557">R117+Q116</f>
        <v>112431.11163951406</v>
      </c>
      <c r="S116">
        <f t="shared" ref="S116" si="558">R116/100000</f>
        <v>1.1243111163951405</v>
      </c>
      <c r="T116">
        <f t="shared" ref="T116" si="559">S116/1000</f>
        <v>1.1243111163951405E-3</v>
      </c>
    </row>
    <row r="117" spans="1:20" x14ac:dyDescent="0.25">
      <c r="A117" s="5">
        <v>44476</v>
      </c>
      <c r="B117">
        <v>2488</v>
      </c>
      <c r="C117">
        <v>2537</v>
      </c>
      <c r="D117">
        <v>2417</v>
      </c>
      <c r="E117">
        <v>2500</v>
      </c>
      <c r="F117">
        <v>2248.2626</v>
      </c>
      <c r="G117">
        <v>2500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0.38333333333333336</v>
      </c>
      <c r="Q117">
        <f t="shared" ref="Q117" si="561">F117*P117</f>
        <v>861.83399666666674</v>
      </c>
      <c r="R117">
        <f t="shared" ref="R117" si="562">R118+Q117</f>
        <v>113367.78449375134</v>
      </c>
      <c r="S117">
        <f t="shared" ref="S117" si="563">R117/100000</f>
        <v>1.1336778449375133</v>
      </c>
      <c r="T117">
        <f t="shared" ref="T117" si="564">S117/1000</f>
        <v>1.1336778449375134E-3</v>
      </c>
    </row>
    <row r="118" spans="1:20" x14ac:dyDescent="0.25">
      <c r="A118" s="5">
        <v>44475</v>
      </c>
      <c r="B118">
        <v>2543</v>
      </c>
      <c r="C118">
        <v>2588</v>
      </c>
      <c r="D118">
        <v>2386</v>
      </c>
      <c r="E118">
        <v>2488</v>
      </c>
      <c r="F118">
        <v>3131.2033000000001</v>
      </c>
      <c r="G118">
        <v>2488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9.9009900990099011E-3</v>
      </c>
      <c r="Q118">
        <f t="shared" ref="Q118" si="566">F118*P118</f>
        <v>31.002012871287132</v>
      </c>
      <c r="R118">
        <f t="shared" ref="R118" si="567">R119+Q118</f>
        <v>112505.95049708468</v>
      </c>
      <c r="S118">
        <f t="shared" ref="S118" si="568">R118/100000</f>
        <v>1.1250595049708467</v>
      </c>
      <c r="T118">
        <f t="shared" ref="T118" si="569">S118/1000</f>
        <v>1.1250595049708467E-3</v>
      </c>
    </row>
    <row r="119" spans="1:20" x14ac:dyDescent="0.25">
      <c r="A119" s="5">
        <v>44474</v>
      </c>
      <c r="B119">
        <v>2549</v>
      </c>
      <c r="C119">
        <v>2591</v>
      </c>
      <c r="D119">
        <v>2480</v>
      </c>
      <c r="E119">
        <v>2546</v>
      </c>
      <c r="F119">
        <v>2861.7881000000002</v>
      </c>
      <c r="G119">
        <v>2546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0.1891891891891892</v>
      </c>
      <c r="Q119">
        <f t="shared" ref="Q119" si="571">F119*P119</f>
        <v>541.41937027027029</v>
      </c>
      <c r="R119">
        <f t="shared" ref="R119" si="572">R120+Q119</f>
        <v>112474.94848421338</v>
      </c>
      <c r="S119">
        <f t="shared" ref="S119" si="573">R119/100000</f>
        <v>1.1247494848421338</v>
      </c>
      <c r="T119">
        <f t="shared" ref="T119" si="574">S119/1000</f>
        <v>1.1247494848421339E-3</v>
      </c>
    </row>
    <row r="120" spans="1:20" x14ac:dyDescent="0.25">
      <c r="A120" s="5">
        <v>44473</v>
      </c>
      <c r="B120">
        <v>2542</v>
      </c>
      <c r="C120">
        <v>2544</v>
      </c>
      <c r="D120">
        <v>2367</v>
      </c>
      <c r="E120">
        <v>2523</v>
      </c>
      <c r="F120">
        <v>2897.9542999999999</v>
      </c>
      <c r="G120">
        <v>2523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0.76271186440677963</v>
      </c>
      <c r="Q120">
        <f t="shared" ref="Q120" si="576">F120*P120</f>
        <v>2210.3041271186439</v>
      </c>
      <c r="R120">
        <f t="shared" ref="R120" si="577">R121+Q120</f>
        <v>111933.52911394311</v>
      </c>
      <c r="S120">
        <f t="shared" ref="S120" si="578">R120/100000</f>
        <v>1.119335291139431</v>
      </c>
      <c r="T120">
        <f t="shared" ref="T120" si="579">S120/1000</f>
        <v>1.1193352911394309E-3</v>
      </c>
    </row>
    <row r="121" spans="1:20" x14ac:dyDescent="0.25">
      <c r="A121" s="5">
        <v>44472</v>
      </c>
      <c r="B121">
        <v>2479</v>
      </c>
      <c r="C121">
        <v>2619</v>
      </c>
      <c r="D121">
        <v>2429</v>
      </c>
      <c r="E121">
        <v>2536</v>
      </c>
      <c r="F121">
        <v>2629.75</v>
      </c>
      <c r="G121">
        <v>2536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0.12631578947368421</v>
      </c>
      <c r="Q121">
        <f t="shared" ref="Q121" si="581">F121*P121</f>
        <v>332.17894736842106</v>
      </c>
      <c r="R121">
        <f t="shared" ref="R121" si="582">R122+Q121</f>
        <v>109723.22498682447</v>
      </c>
      <c r="S121">
        <f t="shared" ref="S121" si="583">R121/100000</f>
        <v>1.0972322498682447</v>
      </c>
      <c r="T121">
        <f t="shared" ref="T121" si="584">S121/1000</f>
        <v>1.0972322498682447E-3</v>
      </c>
    </row>
    <row r="122" spans="1:20" x14ac:dyDescent="0.25">
      <c r="A122" s="5">
        <v>44471</v>
      </c>
      <c r="B122">
        <v>2444</v>
      </c>
      <c r="C122">
        <v>2560</v>
      </c>
      <c r="D122">
        <v>2387</v>
      </c>
      <c r="E122">
        <v>2480</v>
      </c>
      <c r="F122">
        <v>3422.5038</v>
      </c>
      <c r="G122">
        <v>2480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7.5144508670520235E-2</v>
      </c>
      <c r="Q122">
        <f t="shared" ref="Q122" si="586">F122*P122</f>
        <v>257.18236647398845</v>
      </c>
      <c r="R122">
        <f t="shared" ref="R122" si="587">R123+Q122</f>
        <v>109391.04603945605</v>
      </c>
      <c r="S122">
        <f t="shared" ref="S122" si="588">R122/100000</f>
        <v>1.0939104603945604</v>
      </c>
      <c r="T122">
        <f t="shared" ref="T122" si="589">S122/1000</f>
        <v>1.0939104603945604E-3</v>
      </c>
    </row>
    <row r="123" spans="1:20" x14ac:dyDescent="0.25">
      <c r="A123" s="5">
        <v>44470</v>
      </c>
      <c r="B123">
        <v>2289</v>
      </c>
      <c r="C123">
        <v>2471</v>
      </c>
      <c r="D123">
        <v>2267</v>
      </c>
      <c r="E123">
        <v>2443</v>
      </c>
      <c r="F123">
        <v>5280.7943999999998</v>
      </c>
      <c r="G123">
        <v>2443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0.72549019607843135</v>
      </c>
      <c r="Q123">
        <f t="shared" ref="Q123" si="591">F123*P123</f>
        <v>3831.1645647058822</v>
      </c>
      <c r="R123">
        <f t="shared" ref="R123" si="592">R124+Q123</f>
        <v>109133.86367298206</v>
      </c>
      <c r="S123">
        <f t="shared" ref="S123" si="593">R123/100000</f>
        <v>1.0913386367298206</v>
      </c>
      <c r="T123">
        <f t="shared" ref="T123" si="594">S123/1000</f>
        <v>1.0913386367298206E-3</v>
      </c>
    </row>
    <row r="124" spans="1:20" x14ac:dyDescent="0.25">
      <c r="A124" s="5">
        <v>44469</v>
      </c>
      <c r="B124">
        <v>2231</v>
      </c>
      <c r="C124">
        <v>2315</v>
      </c>
      <c r="D124">
        <v>2215</v>
      </c>
      <c r="E124">
        <v>2288</v>
      </c>
      <c r="F124">
        <v>2595.2507000000001</v>
      </c>
      <c r="G124">
        <v>2288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0.46</v>
      </c>
      <c r="Q124">
        <f t="shared" ref="Q124" si="596">F124*P124</f>
        <v>1193.8153220000002</v>
      </c>
      <c r="R124">
        <f t="shared" ref="R124" si="597">R125+Q124</f>
        <v>105302.69910827618</v>
      </c>
      <c r="S124">
        <f t="shared" ref="S124" si="598">R124/100000</f>
        <v>1.0530269910827619</v>
      </c>
      <c r="T124">
        <f t="shared" ref="T124" si="599">S124/1000</f>
        <v>1.053026991082762E-3</v>
      </c>
    </row>
    <row r="125" spans="1:20" x14ac:dyDescent="0.25">
      <c r="A125" s="5">
        <v>44468</v>
      </c>
      <c r="B125">
        <v>2227</v>
      </c>
      <c r="C125">
        <v>2315</v>
      </c>
      <c r="D125">
        <v>2175</v>
      </c>
      <c r="E125">
        <v>2228</v>
      </c>
      <c r="F125">
        <v>3361.7644</v>
      </c>
      <c r="G125">
        <v>2228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-0.24285714285714285</v>
      </c>
      <c r="Q125">
        <f t="shared" ref="Q125" si="601">F125*P125</f>
        <v>-816.42849714285717</v>
      </c>
      <c r="R125">
        <f t="shared" ref="R125" si="602">R126+Q125</f>
        <v>104108.88378627619</v>
      </c>
      <c r="S125">
        <f t="shared" ref="S125" si="603">R125/100000</f>
        <v>1.0410888378627619</v>
      </c>
      <c r="T125">
        <f t="shared" ref="T125" si="604">S125/1000</f>
        <v>1.0410888378627619E-3</v>
      </c>
    </row>
    <row r="126" spans="1:20" x14ac:dyDescent="0.25">
      <c r="A126" s="5">
        <v>44467</v>
      </c>
      <c r="B126">
        <v>2245</v>
      </c>
      <c r="C126">
        <v>2436</v>
      </c>
      <c r="D126">
        <v>2213</v>
      </c>
      <c r="E126">
        <v>2227</v>
      </c>
      <c r="F126">
        <v>6305.9537</v>
      </c>
      <c r="G126">
        <v>2227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-0.87443946188340804</v>
      </c>
      <c r="Q126">
        <f t="shared" ref="Q126" si="606">F126*P126</f>
        <v>-5514.1747600896861</v>
      </c>
      <c r="R126">
        <f t="shared" ref="R126" si="607">R127+Q126</f>
        <v>104925.31228341904</v>
      </c>
      <c r="S126">
        <f t="shared" ref="S126" si="608">R126/100000</f>
        <v>1.0492531228341904</v>
      </c>
      <c r="T126">
        <f t="shared" ref="T126" si="609">S126/1000</f>
        <v>1.0492531228341903E-3</v>
      </c>
    </row>
    <row r="127" spans="1:20" x14ac:dyDescent="0.25">
      <c r="A127" s="5">
        <v>44466</v>
      </c>
      <c r="B127">
        <v>2350</v>
      </c>
      <c r="C127">
        <v>2424</v>
      </c>
      <c r="D127">
        <v>2228</v>
      </c>
      <c r="E127">
        <v>2243</v>
      </c>
      <c r="F127">
        <v>3958.1565000000001</v>
      </c>
      <c r="G127">
        <v>2243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-0.84693877551020413</v>
      </c>
      <c r="Q127">
        <f t="shared" ref="Q127" si="611">F127*P127</f>
        <v>-3352.3162193877552</v>
      </c>
      <c r="R127">
        <f t="shared" ref="R127" si="612">R128+Q127</f>
        <v>110439.48704350874</v>
      </c>
      <c r="S127">
        <f t="shared" ref="S127" si="613">R127/100000</f>
        <v>1.1043948704350874</v>
      </c>
      <c r="T127">
        <f t="shared" ref="T127" si="614">S127/1000</f>
        <v>1.1043948704350874E-3</v>
      </c>
    </row>
    <row r="128" spans="1:20" x14ac:dyDescent="0.25">
      <c r="A128" s="5">
        <v>44465</v>
      </c>
      <c r="B128">
        <v>2261</v>
      </c>
      <c r="C128">
        <v>2572</v>
      </c>
      <c r="D128">
        <v>2161</v>
      </c>
      <c r="E128">
        <v>2349</v>
      </c>
      <c r="F128">
        <v>17070.343700000001</v>
      </c>
      <c r="G128">
        <v>2349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-8.5158150851581502E-2</v>
      </c>
      <c r="Q128">
        <f t="shared" ref="Q128" si="616">F128*P128</f>
        <v>-1453.6789038929439</v>
      </c>
      <c r="R128">
        <f t="shared" ref="R128" si="617">R129+Q128</f>
        <v>113791.80326289649</v>
      </c>
      <c r="S128">
        <f t="shared" ref="S128" si="618">R128/100000</f>
        <v>1.1379180326289648</v>
      </c>
      <c r="T128">
        <f t="shared" ref="T128" si="619">S128/1000</f>
        <v>1.1379180326289648E-3</v>
      </c>
    </row>
    <row r="129" spans="1:20" x14ac:dyDescent="0.25">
      <c r="A129" s="5">
        <v>44464</v>
      </c>
      <c r="B129">
        <v>2297</v>
      </c>
      <c r="C129">
        <v>2327</v>
      </c>
      <c r="D129">
        <v>2198</v>
      </c>
      <c r="E129">
        <v>2259</v>
      </c>
      <c r="F129">
        <v>2066.2307000000001</v>
      </c>
      <c r="G129">
        <v>2259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-5.4263565891472867E-2</v>
      </c>
      <c r="Q129">
        <f t="shared" ref="Q129" si="621">F129*P129</f>
        <v>-112.12104573643411</v>
      </c>
      <c r="R129">
        <f t="shared" ref="R129" si="622">R130+Q129</f>
        <v>115245.48216678943</v>
      </c>
      <c r="S129">
        <f t="shared" ref="S129" si="623">R129/100000</f>
        <v>1.1524548216678943</v>
      </c>
      <c r="T129">
        <f t="shared" ref="T129" si="624">S129/1000</f>
        <v>1.1524548216678943E-3</v>
      </c>
    </row>
    <row r="130" spans="1:20" x14ac:dyDescent="0.25">
      <c r="A130" s="5">
        <v>44463</v>
      </c>
      <c r="B130">
        <v>2489</v>
      </c>
      <c r="C130">
        <v>2507</v>
      </c>
      <c r="D130">
        <v>2132</v>
      </c>
      <c r="E130">
        <v>2297</v>
      </c>
      <c r="F130">
        <v>6628.0720000000001</v>
      </c>
      <c r="G130">
        <v>2297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-0.12</v>
      </c>
      <c r="Q130">
        <f t="shared" ref="Q130" si="626">F130*P130</f>
        <v>-795.36864000000003</v>
      </c>
      <c r="R130">
        <f t="shared" ref="R130" si="627">R131+Q130</f>
        <v>115357.60321252586</v>
      </c>
      <c r="S130">
        <f t="shared" ref="S130" si="628">R130/100000</f>
        <v>1.1535760321252586</v>
      </c>
      <c r="T130">
        <f t="shared" ref="T130" si="629">S130/1000</f>
        <v>1.1535760321252585E-3</v>
      </c>
    </row>
    <row r="131" spans="1:20" x14ac:dyDescent="0.25">
      <c r="A131" s="5">
        <v>44462</v>
      </c>
      <c r="B131">
        <v>2530</v>
      </c>
      <c r="C131">
        <v>2568</v>
      </c>
      <c r="D131">
        <v>2451</v>
      </c>
      <c r="E131">
        <v>2490</v>
      </c>
      <c r="F131">
        <v>4577.4111999999996</v>
      </c>
      <c r="G131">
        <v>2490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-0.33333333333333331</v>
      </c>
      <c r="Q131">
        <f t="shared" ref="Q131" si="631">F131*P131</f>
        <v>-1525.8037333333332</v>
      </c>
      <c r="R131">
        <f t="shared" ref="R131" si="632">R132+Q131</f>
        <v>116152.97185252586</v>
      </c>
      <c r="S131">
        <f t="shared" ref="S131" si="633">R131/100000</f>
        <v>1.1615297185252587</v>
      </c>
      <c r="T131">
        <f t="shared" ref="T131" si="634">S131/1000</f>
        <v>1.1615297185252587E-3</v>
      </c>
    </row>
    <row r="132" spans="1:20" x14ac:dyDescent="0.25">
      <c r="A132" s="5">
        <v>44461</v>
      </c>
      <c r="B132">
        <v>2294</v>
      </c>
      <c r="C132">
        <v>2543</v>
      </c>
      <c r="D132">
        <v>2261</v>
      </c>
      <c r="E132">
        <v>2530</v>
      </c>
      <c r="F132">
        <v>2079.1505000000002</v>
      </c>
      <c r="G132">
        <v>2530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0.90780141843971629</v>
      </c>
      <c r="Q132">
        <f t="shared" ref="Q132" si="636">F132*P132</f>
        <v>1887.4557730496456</v>
      </c>
      <c r="R132">
        <f t="shared" ref="R132" si="637">R133+Q132</f>
        <v>117678.7755858592</v>
      </c>
      <c r="S132">
        <f t="shared" ref="S132" si="638">R132/100000</f>
        <v>1.176787755858592</v>
      </c>
      <c r="T132">
        <f t="shared" ref="T132" si="639">S132/1000</f>
        <v>1.176787755858592E-3</v>
      </c>
    </row>
    <row r="133" spans="1:20" x14ac:dyDescent="0.25">
      <c r="A133" s="5">
        <v>44460</v>
      </c>
      <c r="B133">
        <v>2436</v>
      </c>
      <c r="C133">
        <v>2546</v>
      </c>
      <c r="D133">
        <v>2226</v>
      </c>
      <c r="E133">
        <v>2293</v>
      </c>
      <c r="F133">
        <v>3776.67769</v>
      </c>
      <c r="G133">
        <v>2293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-0.58125000000000004</v>
      </c>
      <c r="Q133">
        <f t="shared" ref="Q133" si="641">F133*P133</f>
        <v>-2195.1939073125</v>
      </c>
      <c r="R133">
        <f t="shared" ref="R133" si="642">R134+Q133</f>
        <v>115791.31981280955</v>
      </c>
      <c r="S133">
        <f t="shared" ref="S133" si="643">R133/100000</f>
        <v>1.1579131981280955</v>
      </c>
      <c r="T133">
        <f t="shared" ref="T133" si="644">S133/1000</f>
        <v>1.1579131981280955E-3</v>
      </c>
    </row>
    <row r="134" spans="1:20" x14ac:dyDescent="0.25">
      <c r="A134" s="5">
        <v>44459</v>
      </c>
      <c r="B134">
        <v>2770</v>
      </c>
      <c r="C134">
        <v>2774</v>
      </c>
      <c r="D134">
        <v>2532</v>
      </c>
      <c r="E134">
        <v>2558</v>
      </c>
      <c r="F134">
        <v>1877.78908</v>
      </c>
      <c r="G134">
        <v>2558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-0.78512396694214881</v>
      </c>
      <c r="Q134">
        <f t="shared" ref="Q134" si="646">F134*P134</f>
        <v>-1474.297211570248</v>
      </c>
      <c r="R134">
        <f t="shared" ref="R134" si="647">R135+Q134</f>
        <v>117986.51372012205</v>
      </c>
      <c r="S134">
        <f t="shared" ref="S134" si="648">R134/100000</f>
        <v>1.1798651372012205</v>
      </c>
      <c r="T134">
        <f t="shared" ref="T134" si="649">S134/1000</f>
        <v>1.1798651372012206E-3</v>
      </c>
    </row>
    <row r="135" spans="1:20" x14ac:dyDescent="0.25">
      <c r="A135" s="5">
        <v>44458</v>
      </c>
      <c r="B135">
        <v>2840</v>
      </c>
      <c r="C135">
        <v>2876</v>
      </c>
      <c r="D135">
        <v>2720</v>
      </c>
      <c r="E135">
        <v>2768</v>
      </c>
      <c r="F135">
        <v>1502.0301999999999</v>
      </c>
      <c r="G135">
        <v>2768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-0.38461538461538464</v>
      </c>
      <c r="Q135">
        <f t="shared" ref="Q135" si="651">F135*P135</f>
        <v>-577.70392307692305</v>
      </c>
      <c r="R135">
        <f t="shared" ref="R135" si="652">R136+Q135</f>
        <v>119460.81093169229</v>
      </c>
      <c r="S135">
        <f t="shared" ref="S135" si="653">R135/100000</f>
        <v>1.194608109316923</v>
      </c>
      <c r="T135">
        <f t="shared" ref="T135" si="654">S135/1000</f>
        <v>1.1946081093169229E-3</v>
      </c>
    </row>
    <row r="136" spans="1:20" x14ac:dyDescent="0.25">
      <c r="A136" s="5">
        <v>44457</v>
      </c>
      <c r="B136">
        <v>2791</v>
      </c>
      <c r="C136">
        <v>2905</v>
      </c>
      <c r="D136">
        <v>2752</v>
      </c>
      <c r="E136">
        <v>2840</v>
      </c>
      <c r="F136">
        <v>1306.4255000000001</v>
      </c>
      <c r="G136">
        <v>2840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0.15032679738562091</v>
      </c>
      <c r="Q136">
        <f t="shared" ref="Q136" si="656">F136*P136</f>
        <v>196.39076143790851</v>
      </c>
      <c r="R136">
        <f t="shared" ref="R136" si="657">R137+Q136</f>
        <v>120038.51485476922</v>
      </c>
      <c r="S136">
        <f t="shared" ref="S136" si="658">R136/100000</f>
        <v>1.2003851485476922</v>
      </c>
      <c r="T136">
        <f t="shared" ref="T136" si="659">S136/1000</f>
        <v>1.2003851485476922E-3</v>
      </c>
    </row>
    <row r="137" spans="1:20" x14ac:dyDescent="0.25">
      <c r="A137" s="5">
        <v>44456</v>
      </c>
      <c r="B137">
        <v>2970</v>
      </c>
      <c r="C137">
        <v>2994</v>
      </c>
      <c r="D137">
        <v>2750</v>
      </c>
      <c r="E137">
        <v>2789</v>
      </c>
      <c r="F137">
        <v>5786.6887999999999</v>
      </c>
      <c r="G137">
        <v>2789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-0.68032786885245899</v>
      </c>
      <c r="Q137">
        <f t="shared" ref="Q137" si="661">F137*P137</f>
        <v>-3936.8456590163933</v>
      </c>
      <c r="R137">
        <f t="shared" ref="R137" si="662">R138+Q137</f>
        <v>119842.12409333131</v>
      </c>
      <c r="S137">
        <f t="shared" ref="S137" si="663">R137/100000</f>
        <v>1.198421240933313</v>
      </c>
      <c r="T137">
        <f t="shared" ref="T137" si="664">S137/1000</f>
        <v>1.1984212409333131E-3</v>
      </c>
    </row>
    <row r="138" spans="1:20" x14ac:dyDescent="0.25">
      <c r="A138" s="5">
        <v>44455</v>
      </c>
      <c r="B138">
        <v>3063</v>
      </c>
      <c r="C138">
        <v>3177</v>
      </c>
      <c r="D138">
        <v>2910</v>
      </c>
      <c r="E138">
        <v>2970</v>
      </c>
      <c r="F138">
        <v>4283.3221000000003</v>
      </c>
      <c r="G138">
        <v>2970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-0.550561797752809</v>
      </c>
      <c r="Q138">
        <f t="shared" ref="Q138" si="666">F138*P138</f>
        <v>-2358.2335157303373</v>
      </c>
      <c r="R138">
        <f t="shared" ref="R138" si="667">R139+Q138</f>
        <v>123778.96975234771</v>
      </c>
      <c r="S138">
        <f t="shared" ref="S138" si="668">R138/100000</f>
        <v>1.237789697523477</v>
      </c>
      <c r="T138">
        <f t="shared" ref="T138" si="669">S138/1000</f>
        <v>1.2377896975234769E-3</v>
      </c>
    </row>
    <row r="139" spans="1:20" x14ac:dyDescent="0.25">
      <c r="A139" s="5">
        <v>44454</v>
      </c>
      <c r="B139">
        <v>2921</v>
      </c>
      <c r="C139">
        <v>3080</v>
      </c>
      <c r="D139">
        <v>2824</v>
      </c>
      <c r="E139">
        <v>3062</v>
      </c>
      <c r="F139">
        <v>4058.1922</v>
      </c>
      <c r="G139">
        <v>3062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0.859375</v>
      </c>
      <c r="Q139">
        <f t="shared" ref="Q139" si="671">F139*P139</f>
        <v>3487.5089218749999</v>
      </c>
      <c r="R139">
        <f t="shared" ref="R139" si="672">R140+Q139</f>
        <v>126137.20326807804</v>
      </c>
      <c r="S139">
        <f t="shared" ref="S139" si="673">R139/100000</f>
        <v>1.2613720326807805</v>
      </c>
      <c r="T139">
        <f t="shared" ref="T139" si="674">S139/1000</f>
        <v>1.2613720326807804E-3</v>
      </c>
    </row>
    <row r="140" spans="1:20" x14ac:dyDescent="0.25">
      <c r="A140" s="5">
        <v>44453</v>
      </c>
      <c r="B140">
        <v>2810</v>
      </c>
      <c r="C140">
        <v>2945</v>
      </c>
      <c r="D140">
        <v>2780</v>
      </c>
      <c r="E140">
        <v>2923</v>
      </c>
      <c r="F140">
        <v>2469.1817000000001</v>
      </c>
      <c r="G140">
        <v>2923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0.73333333333333328</v>
      </c>
      <c r="Q140">
        <f t="shared" ref="Q140" si="676">F140*P140</f>
        <v>1810.7332466666667</v>
      </c>
      <c r="R140">
        <f t="shared" ref="R140" si="677">R141+Q140</f>
        <v>122649.69434620305</v>
      </c>
      <c r="S140">
        <f t="shared" ref="S140" si="678">R140/100000</f>
        <v>1.2264969434620305</v>
      </c>
      <c r="T140">
        <f t="shared" ref="T140" si="679">S140/1000</f>
        <v>1.2264969434620306E-3</v>
      </c>
    </row>
    <row r="141" spans="1:20" x14ac:dyDescent="0.25">
      <c r="A141" s="5">
        <v>44452</v>
      </c>
      <c r="B141">
        <v>2873</v>
      </c>
      <c r="C141">
        <v>2898</v>
      </c>
      <c r="D141">
        <v>2620</v>
      </c>
      <c r="E141">
        <v>2809</v>
      </c>
      <c r="F141">
        <v>2513.9659999999999</v>
      </c>
      <c r="G141">
        <v>2809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0.35971223021582732</v>
      </c>
      <c r="Q141">
        <f t="shared" ref="Q141" si="681">F141*P141</f>
        <v>904.30431654676249</v>
      </c>
      <c r="R141">
        <f t="shared" ref="R141" si="682">R142+Q141</f>
        <v>120838.96109953638</v>
      </c>
      <c r="S141">
        <f t="shared" ref="S141" si="683">R141/100000</f>
        <v>1.2083896109953638</v>
      </c>
      <c r="T141">
        <f t="shared" ref="T141" si="684">S141/1000</f>
        <v>1.2083896109953637E-3</v>
      </c>
    </row>
    <row r="142" spans="1:20" x14ac:dyDescent="0.25">
      <c r="A142" s="5">
        <v>44451</v>
      </c>
      <c r="B142">
        <v>2846</v>
      </c>
      <c r="C142">
        <v>2967</v>
      </c>
      <c r="D142">
        <v>2787</v>
      </c>
      <c r="E142">
        <v>2874</v>
      </c>
      <c r="F142">
        <v>2249.0529000000001</v>
      </c>
      <c r="G142">
        <v>2874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-3.3333333333333333E-2</v>
      </c>
      <c r="Q142">
        <f t="shared" ref="Q142" si="686">F142*P142</f>
        <v>-74.968429999999998</v>
      </c>
      <c r="R142">
        <f t="shared" ref="R142" si="687">R143+Q142</f>
        <v>119934.65678298961</v>
      </c>
      <c r="S142">
        <f t="shared" ref="S142" si="688">R142/100000</f>
        <v>1.199346567829896</v>
      </c>
      <c r="T142">
        <f t="shared" ref="T142" si="689">S142/1000</f>
        <v>1.199346567829896E-3</v>
      </c>
    </row>
    <row r="143" spans="1:20" x14ac:dyDescent="0.25">
      <c r="A143" s="5">
        <v>44450</v>
      </c>
      <c r="B143">
        <v>2785</v>
      </c>
      <c r="C143">
        <v>2916</v>
      </c>
      <c r="D143">
        <v>2771</v>
      </c>
      <c r="E143">
        <v>2846</v>
      </c>
      <c r="F143">
        <v>2052.4935999999998</v>
      </c>
      <c r="G143">
        <v>2846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3.4482758620689655E-2</v>
      </c>
      <c r="Q143">
        <f t="shared" ref="Q143" si="691">F143*P143</f>
        <v>70.775641379310343</v>
      </c>
      <c r="R143">
        <f t="shared" ref="R143" si="692">R144+Q143</f>
        <v>120009.6252129896</v>
      </c>
      <c r="S143">
        <f t="shared" ref="S143" si="693">R143/100000</f>
        <v>1.2000962521298961</v>
      </c>
      <c r="T143">
        <f t="shared" ref="T143" si="694">S143/1000</f>
        <v>1.2000962521298961E-3</v>
      </c>
    </row>
    <row r="144" spans="1:20" x14ac:dyDescent="0.25">
      <c r="A144" s="5">
        <v>44449</v>
      </c>
      <c r="B144">
        <v>2940</v>
      </c>
      <c r="C144">
        <v>2994</v>
      </c>
      <c r="D144">
        <v>2716</v>
      </c>
      <c r="E144">
        <v>2783</v>
      </c>
      <c r="F144">
        <v>3311.1671000000001</v>
      </c>
      <c r="G144">
        <v>2783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-0.51798561151079137</v>
      </c>
      <c r="Q144">
        <f t="shared" ref="Q144" si="696">F144*P144</f>
        <v>-1715.1369151079136</v>
      </c>
      <c r="R144">
        <f t="shared" ref="R144" si="697">R145+Q144</f>
        <v>119938.84957161029</v>
      </c>
      <c r="S144">
        <f t="shared" ref="S144" si="698">R144/100000</f>
        <v>1.199388495716103</v>
      </c>
      <c r="T144">
        <f t="shared" ref="T144" si="699">S144/1000</f>
        <v>1.1993884957161029E-3</v>
      </c>
    </row>
    <row r="145" spans="1:20" x14ac:dyDescent="0.25">
      <c r="A145" s="5">
        <v>44448</v>
      </c>
      <c r="B145">
        <v>3020</v>
      </c>
      <c r="C145">
        <v>3098</v>
      </c>
      <c r="D145">
        <v>2905</v>
      </c>
      <c r="E145">
        <v>2938</v>
      </c>
      <c r="F145">
        <v>3834.2511</v>
      </c>
      <c r="G145">
        <v>2938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-0.65803108808290156</v>
      </c>
      <c r="Q145">
        <f t="shared" ref="Q145" si="701">F145*P145</f>
        <v>-2523.0564233160621</v>
      </c>
      <c r="R145">
        <f t="shared" ref="R145" si="702">R146+Q145</f>
        <v>121653.9864867182</v>
      </c>
      <c r="S145">
        <f t="shared" ref="S145" si="703">R145/100000</f>
        <v>1.2165398648671821</v>
      </c>
      <c r="T145">
        <f t="shared" ref="T145" si="704">S145/1000</f>
        <v>1.2165398648671822E-3</v>
      </c>
    </row>
    <row r="146" spans="1:20" x14ac:dyDescent="0.25">
      <c r="A146" s="5">
        <v>44447</v>
      </c>
      <c r="B146">
        <v>3054</v>
      </c>
      <c r="C146">
        <v>3131</v>
      </c>
      <c r="D146">
        <v>2809</v>
      </c>
      <c r="E146">
        <v>3021</v>
      </c>
      <c r="F146">
        <v>3515.0437999999999</v>
      </c>
      <c r="G146">
        <v>3021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0.31677018633540371</v>
      </c>
      <c r="Q146">
        <f t="shared" ref="Q146" si="706">F146*P146</f>
        <v>1113.4610795031056</v>
      </c>
      <c r="R146">
        <f t="shared" ref="R146" si="707">R147+Q146</f>
        <v>124177.04291003426</v>
      </c>
      <c r="S146">
        <f t="shared" ref="S146" si="708">R146/100000</f>
        <v>1.2417704291003426</v>
      </c>
      <c r="T146">
        <f t="shared" ref="T146" si="709">S146/1000</f>
        <v>1.2417704291003426E-3</v>
      </c>
    </row>
    <row r="147" spans="1:20" x14ac:dyDescent="0.25">
      <c r="A147" s="5">
        <v>44446</v>
      </c>
      <c r="B147">
        <v>3621</v>
      </c>
      <c r="C147">
        <v>3625</v>
      </c>
      <c r="D147">
        <v>2780</v>
      </c>
      <c r="E147">
        <v>3050</v>
      </c>
      <c r="F147">
        <v>6970.7386299999998</v>
      </c>
      <c r="G147">
        <v>3050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-0.36094674556213019</v>
      </c>
      <c r="Q147">
        <f t="shared" ref="Q147" si="711">F147*P147</f>
        <v>-2516.0654226627221</v>
      </c>
      <c r="R147">
        <f t="shared" ref="R147" si="712">R148+Q147</f>
        <v>123063.58183053115</v>
      </c>
      <c r="S147">
        <f t="shared" ref="S147" si="713">R147/100000</f>
        <v>1.2306358183053117</v>
      </c>
      <c r="T147">
        <f t="shared" ref="T147" si="714">S147/1000</f>
        <v>1.2306358183053116E-3</v>
      </c>
    </row>
    <row r="148" spans="1:20" x14ac:dyDescent="0.25">
      <c r="A148" s="5">
        <v>44445</v>
      </c>
      <c r="B148">
        <v>3721</v>
      </c>
      <c r="C148">
        <v>3724</v>
      </c>
      <c r="D148">
        <v>3550</v>
      </c>
      <c r="E148">
        <v>3620</v>
      </c>
      <c r="F148">
        <v>3661.5282000000002</v>
      </c>
      <c r="G148">
        <v>3620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-0.19540229885057472</v>
      </c>
      <c r="Q148">
        <f t="shared" ref="Q148" si="716">F148*P148</f>
        <v>-715.47102758620701</v>
      </c>
      <c r="R148">
        <f t="shared" ref="R148" si="717">R149+Q148</f>
        <v>125579.64725319388</v>
      </c>
      <c r="S148">
        <f t="shared" ref="S148" si="718">R148/100000</f>
        <v>1.2557964725319388</v>
      </c>
      <c r="T148">
        <f t="shared" ref="T148" si="719">S148/1000</f>
        <v>1.2557964725319389E-3</v>
      </c>
    </row>
    <row r="149" spans="1:20" x14ac:dyDescent="0.25">
      <c r="A149" s="5">
        <v>44444</v>
      </c>
      <c r="B149">
        <v>3552</v>
      </c>
      <c r="C149">
        <v>3724</v>
      </c>
      <c r="D149">
        <v>3525</v>
      </c>
      <c r="E149">
        <v>3718</v>
      </c>
      <c r="F149">
        <v>2980.0949999999998</v>
      </c>
      <c r="G149">
        <v>3718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0.93969849246231152</v>
      </c>
      <c r="Q149">
        <f t="shared" ref="Q149" si="721">F149*P149</f>
        <v>2800.3907788944721</v>
      </c>
      <c r="R149">
        <f t="shared" ref="R149" si="722">R150+Q149</f>
        <v>126295.11828078008</v>
      </c>
      <c r="S149">
        <f t="shared" ref="S149" si="723">R149/100000</f>
        <v>1.2629511828078008</v>
      </c>
      <c r="T149">
        <f t="shared" ref="T149" si="724">S149/1000</f>
        <v>1.2629511828078008E-3</v>
      </c>
    </row>
    <row r="150" spans="1:20" x14ac:dyDescent="0.25">
      <c r="A150" s="5">
        <v>44443</v>
      </c>
      <c r="B150">
        <v>3657</v>
      </c>
      <c r="C150">
        <v>3720</v>
      </c>
      <c r="D150">
        <v>3540</v>
      </c>
      <c r="E150">
        <v>3548</v>
      </c>
      <c r="F150">
        <v>2714.7408999999998</v>
      </c>
      <c r="G150">
        <v>3548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-0.91111111111111109</v>
      </c>
      <c r="Q150">
        <f t="shared" ref="Q150" si="726">F150*P150</f>
        <v>-2473.4305977777776</v>
      </c>
      <c r="R150">
        <f t="shared" ref="R150" si="727">R151+Q150</f>
        <v>123494.7275018856</v>
      </c>
      <c r="S150">
        <f t="shared" ref="S150" si="728">R150/100000</f>
        <v>1.2349472750188559</v>
      </c>
      <c r="T150">
        <f t="shared" ref="T150" si="729">S150/1000</f>
        <v>1.2349472750188559E-3</v>
      </c>
    </row>
    <row r="151" spans="1:20" x14ac:dyDescent="0.25">
      <c r="A151" s="5">
        <v>44442</v>
      </c>
      <c r="B151">
        <v>3547</v>
      </c>
      <c r="C151">
        <v>3752</v>
      </c>
      <c r="D151">
        <v>3477</v>
      </c>
      <c r="E151">
        <v>3655</v>
      </c>
      <c r="F151">
        <v>4164.9142000000002</v>
      </c>
      <c r="G151">
        <v>3655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0.29454545454545455</v>
      </c>
      <c r="Q151">
        <f t="shared" ref="Q151" si="731">F151*P151</f>
        <v>1226.7565461818183</v>
      </c>
      <c r="R151">
        <f t="shared" ref="R151" si="732">R152+Q151</f>
        <v>125968.15809966339</v>
      </c>
      <c r="S151">
        <f t="shared" ref="S151" si="733">R151/100000</f>
        <v>1.259681580996634</v>
      </c>
      <c r="T151">
        <f t="shared" ref="T151" si="734">S151/1000</f>
        <v>1.259681580996634E-3</v>
      </c>
    </row>
    <row r="152" spans="1:20" x14ac:dyDescent="0.25">
      <c r="A152" s="5">
        <v>44441</v>
      </c>
      <c r="B152">
        <v>3693</v>
      </c>
      <c r="C152">
        <v>3702</v>
      </c>
      <c r="D152">
        <v>3543</v>
      </c>
      <c r="E152">
        <v>3543</v>
      </c>
      <c r="F152">
        <v>2109.3910999999998</v>
      </c>
      <c r="G152">
        <v>3543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-1</v>
      </c>
      <c r="Q152">
        <f t="shared" ref="Q152" si="736">F152*P152</f>
        <v>-2109.3910999999998</v>
      </c>
      <c r="R152">
        <f t="shared" ref="R152" si="737">R153+Q152</f>
        <v>124741.40155348157</v>
      </c>
      <c r="S152">
        <f t="shared" ref="S152" si="738">R152/100000</f>
        <v>1.2474140155348157</v>
      </c>
      <c r="T152">
        <f t="shared" ref="T152" si="739">S152/1000</f>
        <v>1.2474140155348157E-3</v>
      </c>
    </row>
    <row r="153" spans="1:20" x14ac:dyDescent="0.25">
      <c r="A153" s="5">
        <v>44440</v>
      </c>
      <c r="B153">
        <v>3523</v>
      </c>
      <c r="C153">
        <v>3706</v>
      </c>
      <c r="D153">
        <v>3421</v>
      </c>
      <c r="E153">
        <v>3694</v>
      </c>
      <c r="F153">
        <v>3300.0790999999999</v>
      </c>
      <c r="G153">
        <v>3694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0.91578947368421049</v>
      </c>
      <c r="Q153">
        <f t="shared" ref="Q153" si="741">F153*P153</f>
        <v>3022.1777021052631</v>
      </c>
      <c r="R153">
        <f t="shared" ref="R153" si="742">R154+Q153</f>
        <v>126850.79265348156</v>
      </c>
      <c r="S153">
        <f t="shared" ref="S153" si="743">R153/100000</f>
        <v>1.2685079265348156</v>
      </c>
      <c r="T153">
        <f t="shared" ref="T153" si="744">S153/1000</f>
        <v>1.2685079265348155E-3</v>
      </c>
    </row>
    <row r="154" spans="1:20" x14ac:dyDescent="0.25">
      <c r="A154" s="5">
        <v>44439</v>
      </c>
      <c r="B154">
        <v>3361</v>
      </c>
      <c r="C154">
        <v>3569</v>
      </c>
      <c r="D154">
        <v>3311</v>
      </c>
      <c r="E154">
        <v>3526</v>
      </c>
      <c r="F154">
        <v>4449.9279999999999</v>
      </c>
      <c r="G154">
        <v>3526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0.66666666666666663</v>
      </c>
      <c r="Q154">
        <f t="shared" ref="Q154" si="746">F154*P154</f>
        <v>2966.6186666666663</v>
      </c>
      <c r="R154">
        <f t="shared" ref="R154" si="747">R155+Q154</f>
        <v>123828.61495137629</v>
      </c>
      <c r="S154">
        <f t="shared" ref="S154" si="748">R154/100000</f>
        <v>1.2382861495137629</v>
      </c>
      <c r="T154">
        <f t="shared" ref="T154" si="749">S154/1000</f>
        <v>1.2382861495137628E-3</v>
      </c>
    </row>
    <row r="155" spans="1:20" x14ac:dyDescent="0.25">
      <c r="A155" s="5">
        <v>44438</v>
      </c>
      <c r="B155">
        <v>3453</v>
      </c>
      <c r="C155">
        <v>3509</v>
      </c>
      <c r="D155">
        <v>3307</v>
      </c>
      <c r="E155">
        <v>3359</v>
      </c>
      <c r="F155">
        <v>2959.55719</v>
      </c>
      <c r="G155">
        <v>3359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-0.48514851485148514</v>
      </c>
      <c r="Q155">
        <f t="shared" ref="Q155" si="751">F155*P155</f>
        <v>-1435.8247753465346</v>
      </c>
      <c r="R155">
        <f t="shared" ref="R155" si="752">R156+Q155</f>
        <v>120861.99628470963</v>
      </c>
      <c r="S155">
        <f t="shared" ref="S155" si="753">R155/100000</f>
        <v>1.2086199628470964</v>
      </c>
      <c r="T155">
        <f t="shared" ref="T155" si="754">S155/1000</f>
        <v>1.2086199628470963E-3</v>
      </c>
    </row>
    <row r="156" spans="1:20" x14ac:dyDescent="0.25">
      <c r="A156" s="5">
        <v>44437</v>
      </c>
      <c r="B156">
        <v>3604</v>
      </c>
      <c r="C156">
        <v>3682</v>
      </c>
      <c r="D156">
        <v>3382</v>
      </c>
      <c r="E156">
        <v>3452</v>
      </c>
      <c r="F156">
        <v>3429.6199900000001</v>
      </c>
      <c r="G156">
        <v>3452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-0.53333333333333333</v>
      </c>
      <c r="Q156">
        <f t="shared" ref="Q156" si="756">F156*P156</f>
        <v>-1829.1306613333334</v>
      </c>
      <c r="R156">
        <f t="shared" ref="R156" si="757">R157+Q156</f>
        <v>122297.82106005617</v>
      </c>
      <c r="S156">
        <f t="shared" ref="S156" si="758">R156/100000</f>
        <v>1.2229782106005618</v>
      </c>
      <c r="T156">
        <f t="shared" ref="T156" si="759">S156/1000</f>
        <v>1.2229782106005617E-3</v>
      </c>
    </row>
    <row r="157" spans="1:20" x14ac:dyDescent="0.25">
      <c r="A157" s="5">
        <v>44436</v>
      </c>
      <c r="B157">
        <v>3751</v>
      </c>
      <c r="C157">
        <v>3785</v>
      </c>
      <c r="D157">
        <v>3581</v>
      </c>
      <c r="E157">
        <v>3604</v>
      </c>
      <c r="F157">
        <v>1913.4567999999999</v>
      </c>
      <c r="G157">
        <v>3604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-0.77450980392156865</v>
      </c>
      <c r="Q157">
        <f t="shared" ref="Q157" si="761">F157*P157</f>
        <v>-1481.9910509803922</v>
      </c>
      <c r="R157">
        <f t="shared" ref="R157" si="762">R158+Q157</f>
        <v>124126.9517213895</v>
      </c>
      <c r="S157">
        <f t="shared" ref="S157" si="763">R157/100000</f>
        <v>1.241269517213895</v>
      </c>
      <c r="T157">
        <f t="shared" ref="T157" si="764">S157/1000</f>
        <v>1.2412695172138949E-3</v>
      </c>
    </row>
    <row r="158" spans="1:20" x14ac:dyDescent="0.25">
      <c r="A158" s="5">
        <v>44435</v>
      </c>
      <c r="B158">
        <v>3586</v>
      </c>
      <c r="C158">
        <v>3792</v>
      </c>
      <c r="D158">
        <v>3540</v>
      </c>
      <c r="E158">
        <v>3752</v>
      </c>
      <c r="F158">
        <v>1836.9626599999999</v>
      </c>
      <c r="G158">
        <v>3752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0.68253968253968256</v>
      </c>
      <c r="Q158">
        <f t="shared" ref="Q158" si="766">F158*P158</f>
        <v>1253.7999107936507</v>
      </c>
      <c r="R158">
        <f t="shared" ref="R158" si="767">R159+Q158</f>
        <v>125608.94277236989</v>
      </c>
      <c r="S158">
        <f t="shared" ref="S158" si="768">R158/100000</f>
        <v>1.2560894277236989</v>
      </c>
      <c r="T158">
        <f t="shared" ref="T158" si="769">S158/1000</f>
        <v>1.2560894277236989E-3</v>
      </c>
    </row>
    <row r="159" spans="1:20" x14ac:dyDescent="0.25">
      <c r="A159" s="5">
        <v>44434</v>
      </c>
      <c r="B159">
        <v>3701.36</v>
      </c>
      <c r="C159">
        <v>3742.06</v>
      </c>
      <c r="D159">
        <v>3440</v>
      </c>
      <c r="E159">
        <v>3586</v>
      </c>
      <c r="F159">
        <v>2030.2276300000001</v>
      </c>
      <c r="G159">
        <v>3586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-3.3304641461961028E-2</v>
      </c>
      <c r="Q159">
        <f t="shared" ref="Q159" si="771">F159*P159</f>
        <v>-67.616003303316873</v>
      </c>
      <c r="R159">
        <f t="shared" ref="R159" si="772">R160+Q159</f>
        <v>124355.14286157624</v>
      </c>
      <c r="S159">
        <f t="shared" ref="S159" si="773">R159/100000</f>
        <v>1.2435514286157625</v>
      </c>
      <c r="T159">
        <f t="shared" ref="T159" si="774">S159/1000</f>
        <v>1.2435514286157625E-3</v>
      </c>
    </row>
    <row r="160" spans="1:20" x14ac:dyDescent="0.25">
      <c r="A160" s="5">
        <v>44433</v>
      </c>
      <c r="B160">
        <v>3629.22</v>
      </c>
      <c r="C160">
        <v>3751.73</v>
      </c>
      <c r="D160">
        <v>3493.69</v>
      </c>
      <c r="E160">
        <v>3700.68</v>
      </c>
      <c r="F160">
        <v>1970.0069000000001</v>
      </c>
      <c r="G160">
        <v>3700.68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0.60432491086653084</v>
      </c>
      <c r="Q160">
        <f t="shared" ref="Q160" si="776">F160*P160</f>
        <v>1190.5242442489507</v>
      </c>
      <c r="R160">
        <f t="shared" ref="R160" si="777">R161+Q160</f>
        <v>124422.75886487956</v>
      </c>
      <c r="S160">
        <f t="shared" ref="S160" si="778">R160/100000</f>
        <v>1.2442275886487957</v>
      </c>
      <c r="T160">
        <f t="shared" ref="T160" si="779">S160/1000</f>
        <v>1.2442275886487956E-3</v>
      </c>
    </row>
    <row r="161" spans="1:20" x14ac:dyDescent="0.25">
      <c r="A161" s="5">
        <v>44432</v>
      </c>
      <c r="B161">
        <v>3877.6</v>
      </c>
      <c r="C161">
        <v>3906.6</v>
      </c>
      <c r="D161">
        <v>3592.67</v>
      </c>
      <c r="E161">
        <v>3628.65</v>
      </c>
      <c r="F161">
        <v>2973.3959500000001</v>
      </c>
      <c r="G161">
        <v>3628.65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-0.77077692479215087</v>
      </c>
      <c r="Q161">
        <f t="shared" ref="Q161" si="781">F161*P161</f>
        <v>-2291.824986530436</v>
      </c>
      <c r="R161">
        <f t="shared" ref="R161" si="782">R162+Q161</f>
        <v>123232.23462063061</v>
      </c>
      <c r="S161">
        <f t="shared" ref="S161" si="783">R161/100000</f>
        <v>1.2323223462063062</v>
      </c>
      <c r="T161">
        <f t="shared" ref="T161" si="784">S161/1000</f>
        <v>1.2323223462063061E-3</v>
      </c>
    </row>
    <row r="162" spans="1:20" x14ac:dyDescent="0.25">
      <c r="A162" s="5">
        <v>44431</v>
      </c>
      <c r="B162">
        <v>3802.81</v>
      </c>
      <c r="C162">
        <v>4015.47</v>
      </c>
      <c r="D162">
        <v>3788.42</v>
      </c>
      <c r="E162">
        <v>3879.05</v>
      </c>
      <c r="F162">
        <v>2346.7293500000001</v>
      </c>
      <c r="G162">
        <v>3879.05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-0.20167364016736208</v>
      </c>
      <c r="Q162">
        <f t="shared" ref="Q162" si="786">F162*P162</f>
        <v>-473.27345050208754</v>
      </c>
      <c r="R162">
        <f t="shared" ref="R162" si="787">R163+Q162</f>
        <v>125524.05960716105</v>
      </c>
      <c r="S162">
        <f t="shared" ref="S162" si="788">R162/100000</f>
        <v>1.2552405960716104</v>
      </c>
      <c r="T162">
        <f t="shared" ref="T162" si="789">S162/1000</f>
        <v>1.2552405960716104E-3</v>
      </c>
    </row>
    <row r="163" spans="1:20" x14ac:dyDescent="0.25">
      <c r="A163" s="5">
        <v>44430</v>
      </c>
      <c r="B163">
        <v>3870.62</v>
      </c>
      <c r="C163">
        <v>3887.54</v>
      </c>
      <c r="D163">
        <v>3796.06</v>
      </c>
      <c r="E163">
        <v>3842.52</v>
      </c>
      <c r="F163">
        <v>591.94476999999995</v>
      </c>
      <c r="G163">
        <v>3842.52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1.5741145605597445E-2</v>
      </c>
      <c r="Q163">
        <f t="shared" ref="Q163" si="791">F163*P163</f>
        <v>9.3178888150418899</v>
      </c>
      <c r="R163">
        <f t="shared" ref="R163" si="792">R164+Q163</f>
        <v>125997.33305766314</v>
      </c>
      <c r="S163">
        <f t="shared" ref="S163" si="793">R163/100000</f>
        <v>1.2599733305766314</v>
      </c>
      <c r="T163">
        <f t="shared" ref="T163" si="794">S163/1000</f>
        <v>1.2599733305766313E-3</v>
      </c>
    </row>
    <row r="164" spans="1:20" x14ac:dyDescent="0.25">
      <c r="A164" s="5">
        <v>44429</v>
      </c>
      <c r="B164">
        <v>3816.54</v>
      </c>
      <c r="C164">
        <v>3983.17</v>
      </c>
      <c r="D164">
        <v>3694.59</v>
      </c>
      <c r="E164">
        <v>3870.29</v>
      </c>
      <c r="F164">
        <v>4765.0323799999996</v>
      </c>
      <c r="G164">
        <v>3870.29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0.21768660336821583</v>
      </c>
      <c r="Q164">
        <f t="shared" ref="Q164" si="796">F164*P164</f>
        <v>1037.2837137417655</v>
      </c>
      <c r="R164">
        <f t="shared" ref="R164" si="797">R165+Q164</f>
        <v>125988.0151688481</v>
      </c>
      <c r="S164">
        <f t="shared" ref="S164" si="798">R164/100000</f>
        <v>1.259880151688481</v>
      </c>
      <c r="T164">
        <f t="shared" ref="T164" si="799">S164/1000</f>
        <v>1.2598801516884809E-3</v>
      </c>
    </row>
    <row r="165" spans="1:20" x14ac:dyDescent="0.25">
      <c r="A165" s="5">
        <v>44428</v>
      </c>
      <c r="B165">
        <v>3748.4</v>
      </c>
      <c r="C165">
        <v>3857.66</v>
      </c>
      <c r="D165">
        <v>3676</v>
      </c>
      <c r="E165">
        <v>3815.06</v>
      </c>
      <c r="F165">
        <v>2430.9641200000001</v>
      </c>
      <c r="G165">
        <v>3815.06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0.53099196300781748</v>
      </c>
      <c r="Q165">
        <f t="shared" ref="Q165" si="801">F165*P165</f>
        <v>1290.8224100803716</v>
      </c>
      <c r="R165">
        <f t="shared" ref="R165" si="802">R166+Q165</f>
        <v>124950.73145510633</v>
      </c>
      <c r="S165">
        <f t="shared" ref="S165" si="803">R165/100000</f>
        <v>1.2495073145510633</v>
      </c>
      <c r="T165">
        <f t="shared" ref="T165" si="804">S165/1000</f>
        <v>1.2495073145510633E-3</v>
      </c>
    </row>
    <row r="166" spans="1:20" x14ac:dyDescent="0.25">
      <c r="A166" s="5">
        <v>44427</v>
      </c>
      <c r="B166">
        <v>3515.39</v>
      </c>
      <c r="C166">
        <v>3750.84</v>
      </c>
      <c r="D166">
        <v>3442.61</v>
      </c>
      <c r="E166">
        <v>3748.4</v>
      </c>
      <c r="F166">
        <v>2441.7259199999999</v>
      </c>
      <c r="G166">
        <v>3748.4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0.98416766700191383</v>
      </c>
      <c r="Q166">
        <f t="shared" ref="Q166" si="806">F166*P166</f>
        <v>2403.0677021445017</v>
      </c>
      <c r="R166">
        <f t="shared" ref="R166" si="807">R167+Q166</f>
        <v>123659.90904502595</v>
      </c>
      <c r="S166">
        <f t="shared" ref="S166" si="808">R166/100000</f>
        <v>1.2365990904502595</v>
      </c>
      <c r="T166">
        <f t="shared" ref="T166" si="809">S166/1000</f>
        <v>1.2365990904502596E-3</v>
      </c>
    </row>
    <row r="167" spans="1:20" x14ac:dyDescent="0.25">
      <c r="A167" s="5">
        <v>44426</v>
      </c>
      <c r="B167">
        <v>3448.48</v>
      </c>
      <c r="C167">
        <v>3638.57</v>
      </c>
      <c r="D167">
        <v>3370</v>
      </c>
      <c r="E167">
        <v>3513.01</v>
      </c>
      <c r="F167">
        <v>2425.95649</v>
      </c>
      <c r="G167">
        <v>3513.01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6.4973749860372576E-2</v>
      </c>
      <c r="Q167">
        <f t="shared" ref="Q167" si="811">F167*P167</f>
        <v>157.62349015340746</v>
      </c>
      <c r="R167">
        <f t="shared" ref="R167" si="812">R168+Q167</f>
        <v>121256.84134288145</v>
      </c>
      <c r="S167">
        <f t="shared" ref="S167" si="813">R167/100000</f>
        <v>1.2125684134288146</v>
      </c>
      <c r="T167">
        <f t="shared" ref="T167" si="814">S167/1000</f>
        <v>1.2125684134288146E-3</v>
      </c>
    </row>
    <row r="168" spans="1:20" x14ac:dyDescent="0.25">
      <c r="A168" s="5">
        <v>44425</v>
      </c>
      <c r="B168">
        <v>3572.37</v>
      </c>
      <c r="C168">
        <v>3781.89</v>
      </c>
      <c r="D168">
        <v>3427.56</v>
      </c>
      <c r="E168">
        <v>3450.9</v>
      </c>
      <c r="F168">
        <v>2799.5757800000001</v>
      </c>
      <c r="G168">
        <v>3450.9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-0.86825840318347214</v>
      </c>
      <c r="Q168">
        <f t="shared" ref="Q168" si="816">F168*P168</f>
        <v>-2430.7551963339238</v>
      </c>
      <c r="R168">
        <f t="shared" ref="R168" si="817">R169+Q168</f>
        <v>121099.21785272805</v>
      </c>
      <c r="S168">
        <f t="shared" ref="S168" si="818">R168/100000</f>
        <v>1.2109921785272806</v>
      </c>
      <c r="T168">
        <f t="shared" ref="T168" si="819">S168/1000</f>
        <v>1.2109921785272806E-3</v>
      </c>
    </row>
    <row r="169" spans="1:20" x14ac:dyDescent="0.25">
      <c r="A169" s="5">
        <v>44424</v>
      </c>
      <c r="B169">
        <v>3802.37</v>
      </c>
      <c r="C169">
        <v>3891.22</v>
      </c>
      <c r="D169">
        <v>3562.5</v>
      </c>
      <c r="E169">
        <v>3575.25</v>
      </c>
      <c r="F169">
        <v>2933.6959700000002</v>
      </c>
      <c r="G169">
        <v>3575.25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-0.92242638111462638</v>
      </c>
      <c r="Q169">
        <f t="shared" ref="Q169" si="821">F169*P169</f>
        <v>-2706.1185568976639</v>
      </c>
      <c r="R169">
        <f t="shared" ref="R169" si="822">R170+Q169</f>
        <v>123529.97304906197</v>
      </c>
      <c r="S169">
        <f t="shared" ref="S169" si="823">R169/100000</f>
        <v>1.2352997304906197</v>
      </c>
      <c r="T169">
        <f t="shared" ref="T169" si="824">S169/1000</f>
        <v>1.2352997304906196E-3</v>
      </c>
    </row>
    <row r="170" spans="1:20" x14ac:dyDescent="0.25">
      <c r="A170" s="5">
        <v>44423</v>
      </c>
      <c r="B170">
        <v>3865.37</v>
      </c>
      <c r="C170">
        <v>3883.53</v>
      </c>
      <c r="D170">
        <v>3612.81</v>
      </c>
      <c r="E170">
        <v>3802.37</v>
      </c>
      <c r="F170">
        <v>2659.03343</v>
      </c>
      <c r="G170">
        <v>3802.37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0.40041371158392264</v>
      </c>
      <c r="Q170">
        <f t="shared" ref="Q170" si="826">F170*P170</f>
        <v>1064.7134449320286</v>
      </c>
      <c r="R170">
        <f t="shared" ref="R170" si="827">R171+Q170</f>
        <v>126236.09160595963</v>
      </c>
      <c r="S170">
        <f t="shared" ref="S170" si="828">R170/100000</f>
        <v>1.2623609160595963</v>
      </c>
      <c r="T170">
        <f t="shared" ref="T170" si="829">S170/1000</f>
        <v>1.2623609160595964E-3</v>
      </c>
    </row>
    <row r="171" spans="1:20" x14ac:dyDescent="0.25">
      <c r="A171" s="5">
        <v>44422</v>
      </c>
      <c r="B171">
        <v>3711.36</v>
      </c>
      <c r="C171">
        <v>3914.46</v>
      </c>
      <c r="D171">
        <v>3556.87</v>
      </c>
      <c r="E171">
        <v>3871.41</v>
      </c>
      <c r="F171">
        <v>4028.4896600000002</v>
      </c>
      <c r="G171">
        <v>3871.41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0.75922145473866631</v>
      </c>
      <c r="Q171">
        <f t="shared" ref="Q171" si="831">F171*P171</f>
        <v>3058.5157800648753</v>
      </c>
      <c r="R171">
        <f t="shared" ref="R171" si="832">R172+Q171</f>
        <v>125171.37816102761</v>
      </c>
      <c r="S171">
        <f t="shared" ref="S171" si="833">R171/100000</f>
        <v>1.2517137816102761</v>
      </c>
      <c r="T171">
        <f t="shared" ref="T171" si="834">S171/1000</f>
        <v>1.2517137816102761E-3</v>
      </c>
    </row>
    <row r="172" spans="1:20" x14ac:dyDescent="0.25">
      <c r="A172" s="5">
        <v>44421</v>
      </c>
      <c r="B172">
        <v>3250.11</v>
      </c>
      <c r="C172">
        <v>3714.68</v>
      </c>
      <c r="D172">
        <v>3234.43</v>
      </c>
      <c r="E172">
        <v>3711.02</v>
      </c>
      <c r="F172">
        <v>2911.7833799999999</v>
      </c>
      <c r="G172">
        <v>3711.02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0.98475793857366012</v>
      </c>
      <c r="Q172">
        <f t="shared" ref="Q172" si="836">F172*P172</f>
        <v>2867.4017988618443</v>
      </c>
      <c r="R172">
        <f t="shared" ref="R172" si="837">R173+Q172</f>
        <v>122112.86238096273</v>
      </c>
      <c r="S172">
        <f t="shared" ref="S172" si="838">R172/100000</f>
        <v>1.2211286238096273</v>
      </c>
      <c r="T172">
        <f t="shared" ref="T172" si="839">S172/1000</f>
        <v>1.2211286238096274E-3</v>
      </c>
    </row>
    <row r="173" spans="1:20" x14ac:dyDescent="0.25">
      <c r="A173" s="5">
        <v>44420</v>
      </c>
      <c r="B173">
        <v>3365.33</v>
      </c>
      <c r="C173">
        <v>3425.99</v>
      </c>
      <c r="D173">
        <v>3163.15</v>
      </c>
      <c r="E173">
        <v>3250.89</v>
      </c>
      <c r="F173">
        <v>2879.4418599999999</v>
      </c>
      <c r="G173">
        <v>3250.89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-0.33236950235885038</v>
      </c>
      <c r="Q173">
        <f t="shared" ref="Q173" si="841">F173*P173</f>
        <v>-957.03865807944248</v>
      </c>
      <c r="R173">
        <f t="shared" ref="R173" si="842">R174+Q173</f>
        <v>119245.46058210089</v>
      </c>
      <c r="S173">
        <f t="shared" ref="S173" si="843">R173/100000</f>
        <v>1.1924546058210088</v>
      </c>
      <c r="T173">
        <f t="shared" ref="T173" si="844">S173/1000</f>
        <v>1.1924546058210087E-3</v>
      </c>
    </row>
    <row r="174" spans="1:20" x14ac:dyDescent="0.25">
      <c r="A174" s="5">
        <v>44419</v>
      </c>
      <c r="B174">
        <v>3393.36</v>
      </c>
      <c r="C174">
        <v>3528.62</v>
      </c>
      <c r="D174">
        <v>3328.88</v>
      </c>
      <c r="E174">
        <v>3368.46</v>
      </c>
      <c r="F174">
        <v>2836.62709</v>
      </c>
      <c r="G174">
        <v>3368.46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-0.60368479022729582</v>
      </c>
      <c r="Q174">
        <f t="shared" ref="Q174" si="846">F174*P174</f>
        <v>-1712.4286297797146</v>
      </c>
      <c r="R174">
        <f t="shared" ref="R174" si="847">R175+Q174</f>
        <v>120202.49924018033</v>
      </c>
      <c r="S174">
        <f t="shared" ref="S174" si="848">R174/100000</f>
        <v>1.2020249924018034</v>
      </c>
      <c r="T174">
        <f t="shared" ref="T174" si="849">S174/1000</f>
        <v>1.2020249924018034E-3</v>
      </c>
    </row>
    <row r="175" spans="1:20" x14ac:dyDescent="0.25">
      <c r="A175" s="5">
        <v>44418</v>
      </c>
      <c r="B175">
        <v>3362.03</v>
      </c>
      <c r="C175">
        <v>3465.42</v>
      </c>
      <c r="D175">
        <v>3263.15</v>
      </c>
      <c r="E175">
        <v>3391.81</v>
      </c>
      <c r="F175">
        <v>3491.4989999999998</v>
      </c>
      <c r="G175">
        <v>3391.81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0.27216097295693742</v>
      </c>
      <c r="Q175">
        <f t="shared" ref="Q175" si="851">F175*P175</f>
        <v>950.24976491817404</v>
      </c>
      <c r="R175">
        <f t="shared" ref="R175" si="852">R176+Q175</f>
        <v>121914.92786996004</v>
      </c>
      <c r="S175">
        <f t="shared" ref="S175" si="853">R175/100000</f>
        <v>1.2191492786996003</v>
      </c>
      <c r="T175">
        <f t="shared" ref="T175" si="854">S175/1000</f>
        <v>1.2191492786996004E-3</v>
      </c>
    </row>
    <row r="176" spans="1:20" x14ac:dyDescent="0.25">
      <c r="A176" s="5">
        <v>44417</v>
      </c>
      <c r="B176">
        <v>3232.3</v>
      </c>
      <c r="C176">
        <v>3382.5</v>
      </c>
      <c r="D176">
        <v>3081.26</v>
      </c>
      <c r="E176">
        <v>3361.99</v>
      </c>
      <c r="F176">
        <v>2128.5031100000001</v>
      </c>
      <c r="G176">
        <v>3361.99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0.8638295047138479</v>
      </c>
      <c r="Q176">
        <f t="shared" ref="Q176" si="856">F176*P176</f>
        <v>1838.6637872931849</v>
      </c>
      <c r="R176">
        <f t="shared" ref="R176" si="857">R177+Q176</f>
        <v>120964.67810504186</v>
      </c>
      <c r="S176">
        <f t="shared" ref="S176" si="858">R176/100000</f>
        <v>1.2096467810504186</v>
      </c>
      <c r="T176">
        <f t="shared" ref="T176" si="859">S176/1000</f>
        <v>1.2096467810504186E-3</v>
      </c>
    </row>
    <row r="177" spans="1:20" x14ac:dyDescent="0.25">
      <c r="A177" s="5">
        <v>44416</v>
      </c>
      <c r="B177">
        <v>3408.76</v>
      </c>
      <c r="C177">
        <v>3449.99</v>
      </c>
      <c r="D177">
        <v>3148.61</v>
      </c>
      <c r="E177">
        <v>3232.57</v>
      </c>
      <c r="F177">
        <v>1935.1863499999999</v>
      </c>
      <c r="G177">
        <v>3232.57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-0.44282965027539894</v>
      </c>
      <c r="Q177">
        <f t="shared" ref="Q177" si="861">F177*P177</f>
        <v>-856.95789458822571</v>
      </c>
      <c r="R177">
        <f t="shared" ref="R177" si="862">R178+Q177</f>
        <v>119126.01431774868</v>
      </c>
      <c r="S177">
        <f t="shared" ref="S177" si="863">R177/100000</f>
        <v>1.1912601431774867</v>
      </c>
      <c r="T177">
        <f t="shared" ref="T177" si="864">S177/1000</f>
        <v>1.1912601431774868E-3</v>
      </c>
    </row>
    <row r="178" spans="1:20" x14ac:dyDescent="0.25">
      <c r="A178" s="5">
        <v>44415</v>
      </c>
      <c r="B178">
        <v>3258.16</v>
      </c>
      <c r="C178">
        <v>3477.56</v>
      </c>
      <c r="D178">
        <v>3223.08</v>
      </c>
      <c r="E178">
        <v>3408.77</v>
      </c>
      <c r="F178">
        <v>3567.7969199999998</v>
      </c>
      <c r="G178">
        <v>3408.77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0.45936812323168846</v>
      </c>
      <c r="Q178">
        <f t="shared" ref="Q178" si="866">F178*P178</f>
        <v>1638.9321752121984</v>
      </c>
      <c r="R178">
        <f t="shared" ref="R178" si="867">R179+Q178</f>
        <v>119982.9722123369</v>
      </c>
      <c r="S178">
        <f t="shared" ref="S178" si="868">R178/100000</f>
        <v>1.1998297221233689</v>
      </c>
      <c r="T178">
        <f t="shared" ref="T178" si="869">S178/1000</f>
        <v>1.1998297221233688E-3</v>
      </c>
    </row>
    <row r="179" spans="1:20" x14ac:dyDescent="0.25">
      <c r="A179" s="5">
        <v>44414</v>
      </c>
      <c r="B179">
        <v>3291.45</v>
      </c>
      <c r="C179">
        <v>3373.23</v>
      </c>
      <c r="D179">
        <v>3110.78</v>
      </c>
      <c r="E179">
        <v>3250.85</v>
      </c>
      <c r="F179">
        <v>4311.9731499999998</v>
      </c>
      <c r="G179">
        <v>3250.85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6.740331491712559E-2</v>
      </c>
      <c r="Q179">
        <f t="shared" ref="Q179" si="871">F179*P179</f>
        <v>290.64128414364001</v>
      </c>
      <c r="R179">
        <f t="shared" ref="R179" si="872">R180+Q179</f>
        <v>118344.04003712469</v>
      </c>
      <c r="S179">
        <f t="shared" ref="S179" si="873">R179/100000</f>
        <v>1.1834404003712469</v>
      </c>
      <c r="T179">
        <f t="shared" ref="T179" si="874">S179/1000</f>
        <v>1.1834404003712468E-3</v>
      </c>
    </row>
    <row r="180" spans="1:20" x14ac:dyDescent="0.25">
      <c r="A180" s="5">
        <v>44413</v>
      </c>
      <c r="B180">
        <v>2968.44</v>
      </c>
      <c r="C180">
        <v>3300</v>
      </c>
      <c r="D180">
        <v>2791.36</v>
      </c>
      <c r="E180">
        <v>3290.54</v>
      </c>
      <c r="F180">
        <v>5489.9830199999997</v>
      </c>
      <c r="G180">
        <v>3290.54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0.96280276816608978</v>
      </c>
      <c r="Q180">
        <f t="shared" ref="Q180" si="876">F180*P180</f>
        <v>5285.7708488408289</v>
      </c>
      <c r="R180">
        <f t="shared" ref="R180" si="877">R181+Q180</f>
        <v>118053.39875298105</v>
      </c>
      <c r="S180">
        <f t="shared" ref="S180" si="878">R180/100000</f>
        <v>1.1805339875298106</v>
      </c>
      <c r="T180">
        <f t="shared" ref="T180" si="879">S180/1000</f>
        <v>1.1805339875298106E-3</v>
      </c>
    </row>
    <row r="181" spans="1:20" x14ac:dyDescent="0.25">
      <c r="A181" s="5">
        <v>44412</v>
      </c>
      <c r="B181">
        <v>2790.19</v>
      </c>
      <c r="C181">
        <v>2995.36</v>
      </c>
      <c r="D181">
        <v>2741.21</v>
      </c>
      <c r="E181">
        <v>2967.22</v>
      </c>
      <c r="F181">
        <v>2567.7576399999998</v>
      </c>
      <c r="G181">
        <v>2967.22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0.77855597088333417</v>
      </c>
      <c r="Q181">
        <f t="shared" ref="Q181" si="881">F181*P181</f>
        <v>1999.1430424032988</v>
      </c>
      <c r="R181">
        <f t="shared" ref="R181" si="882">R182+Q181</f>
        <v>112767.62790414023</v>
      </c>
      <c r="S181">
        <f t="shared" ref="S181" si="883">R181/100000</f>
        <v>1.1276762790414023</v>
      </c>
      <c r="T181">
        <f t="shared" ref="T181" si="884">S181/1000</f>
        <v>1.1276762790414024E-3</v>
      </c>
    </row>
    <row r="182" spans="1:20" x14ac:dyDescent="0.25">
      <c r="A182" s="5">
        <v>44411</v>
      </c>
      <c r="B182">
        <v>2918.1</v>
      </c>
      <c r="C182">
        <v>2948.19</v>
      </c>
      <c r="D182">
        <v>2738.6</v>
      </c>
      <c r="E182">
        <v>2787.34</v>
      </c>
      <c r="F182">
        <v>1584.62518</v>
      </c>
      <c r="G182">
        <v>2787.34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-0.53490147430697832</v>
      </c>
      <c r="Q182">
        <f t="shared" ref="Q182" si="886">F182*P182</f>
        <v>-847.61834500596092</v>
      </c>
      <c r="R182">
        <f t="shared" ref="R182" si="887">R183+Q182</f>
        <v>110768.48486173693</v>
      </c>
      <c r="S182">
        <f t="shared" ref="S182" si="888">R182/100000</f>
        <v>1.1076848486173694</v>
      </c>
      <c r="T182">
        <f t="shared" ref="T182" si="889">S182/1000</f>
        <v>1.1076848486173694E-3</v>
      </c>
    </row>
    <row r="183" spans="1:20" x14ac:dyDescent="0.25">
      <c r="A183" s="5">
        <v>44410</v>
      </c>
      <c r="B183">
        <v>2896.27</v>
      </c>
      <c r="C183">
        <v>3028.54</v>
      </c>
      <c r="D183">
        <v>2836.3</v>
      </c>
      <c r="E183">
        <v>2917.36</v>
      </c>
      <c r="F183">
        <v>1754.99656</v>
      </c>
      <c r="G183">
        <v>2917.36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-0.15667915106117314</v>
      </c>
      <c r="Q183">
        <f t="shared" ref="Q183" si="891">F183*P183</f>
        <v>-274.9713711360792</v>
      </c>
      <c r="R183">
        <f t="shared" ref="R183" si="892">R184+Q183</f>
        <v>111616.10320674289</v>
      </c>
      <c r="S183">
        <f t="shared" ref="S183" si="893">R183/100000</f>
        <v>1.1161610320674289</v>
      </c>
      <c r="T183">
        <f t="shared" ref="T183" si="894">S183/1000</f>
        <v>1.1161610320674289E-3</v>
      </c>
    </row>
    <row r="184" spans="1:20" x14ac:dyDescent="0.25">
      <c r="A184" s="5">
        <v>44409</v>
      </c>
      <c r="B184">
        <v>2980.75</v>
      </c>
      <c r="C184">
        <v>3090.36</v>
      </c>
      <c r="D184">
        <v>2881.5</v>
      </c>
      <c r="E184">
        <v>2895.92</v>
      </c>
      <c r="F184">
        <v>1865.93022</v>
      </c>
      <c r="G184">
        <v>2895.92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-0.86191707363784287</v>
      </c>
      <c r="Q184">
        <f t="shared" ref="Q184" si="896">F184*P184</f>
        <v>-1608.2771148348163</v>
      </c>
      <c r="R184">
        <f t="shared" ref="R184" si="897">R185+Q184</f>
        <v>111891.07457787897</v>
      </c>
      <c r="S184">
        <f t="shared" ref="S184" si="898">R184/100000</f>
        <v>1.1189107457787897</v>
      </c>
      <c r="T184">
        <f t="shared" ref="T184" si="899">S184/1000</f>
        <v>1.1189107457787897E-3</v>
      </c>
    </row>
    <row r="185" spans="1:20" x14ac:dyDescent="0.25">
      <c r="A185" s="5">
        <v>44408</v>
      </c>
      <c r="B185">
        <v>2912.66</v>
      </c>
      <c r="C185">
        <v>3012.34</v>
      </c>
      <c r="D185">
        <v>2855.36</v>
      </c>
      <c r="E185">
        <v>2977.72</v>
      </c>
      <c r="F185">
        <v>1900.0659900000001</v>
      </c>
      <c r="G185">
        <v>2977.72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0.55892470378391712</v>
      </c>
      <c r="Q185">
        <f t="shared" ref="Q185" si="901">F185*P185</f>
        <v>1061.9938206306454</v>
      </c>
      <c r="R185">
        <f t="shared" ref="R185" si="902">R186+Q185</f>
        <v>113499.35169271378</v>
      </c>
      <c r="S185">
        <f t="shared" ref="S185" si="903">R185/100000</f>
        <v>1.1349935169271379</v>
      </c>
      <c r="T185">
        <f t="shared" ref="T185" si="904">S185/1000</f>
        <v>1.134993516927138E-3</v>
      </c>
    </row>
    <row r="186" spans="1:20" x14ac:dyDescent="0.25">
      <c r="A186" s="5">
        <v>44407</v>
      </c>
      <c r="B186">
        <v>2896.42</v>
      </c>
      <c r="C186">
        <v>2950.05</v>
      </c>
      <c r="D186">
        <v>2766.32</v>
      </c>
      <c r="E186">
        <v>2911.59</v>
      </c>
      <c r="F186">
        <v>2244.1397200000001</v>
      </c>
      <c r="G186">
        <v>2911.59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0.58134218690469674</v>
      </c>
      <c r="Q186">
        <f t="shared" ref="Q186" si="906">F186*P186</f>
        <v>1304.6130925444938</v>
      </c>
      <c r="R186">
        <f t="shared" ref="R186" si="907">R187+Q186</f>
        <v>112437.35787208314</v>
      </c>
      <c r="S186">
        <f t="shared" ref="S186" si="908">R186/100000</f>
        <v>1.1243735787208313</v>
      </c>
      <c r="T186">
        <f t="shared" ref="T186" si="909">S186/1000</f>
        <v>1.1243735787208314E-3</v>
      </c>
    </row>
    <row r="187" spans="1:20" x14ac:dyDescent="0.25">
      <c r="A187" s="5">
        <v>44406</v>
      </c>
      <c r="B187">
        <v>2655.81</v>
      </c>
      <c r="C187">
        <v>2899.5</v>
      </c>
      <c r="D187">
        <v>2604.7800000000002</v>
      </c>
      <c r="E187">
        <v>2898.46</v>
      </c>
      <c r="F187">
        <v>2572.6594700000001</v>
      </c>
      <c r="G187">
        <v>2898.46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0.99294245385450619</v>
      </c>
      <c r="Q187">
        <f t="shared" ref="Q187" si="911">F187*P187</f>
        <v>2554.5028070738335</v>
      </c>
      <c r="R187">
        <f t="shared" ref="R187" si="912">R188+Q187</f>
        <v>111132.74477953865</v>
      </c>
      <c r="S187">
        <f t="shared" ref="S187" si="913">R187/100000</f>
        <v>1.1113274477953865</v>
      </c>
      <c r="T187">
        <f t="shared" ref="T187" si="914">S187/1000</f>
        <v>1.1113274477953866E-3</v>
      </c>
    </row>
    <row r="188" spans="1:20" x14ac:dyDescent="0.25">
      <c r="A188" s="5">
        <v>44405</v>
      </c>
      <c r="B188">
        <v>2687.25</v>
      </c>
      <c r="C188">
        <v>2726.86</v>
      </c>
      <c r="D188">
        <v>2614.62</v>
      </c>
      <c r="E188">
        <v>2657.35</v>
      </c>
      <c r="F188">
        <v>1740.3777299999999</v>
      </c>
      <c r="G188">
        <v>2657.35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-0.23859586600142679</v>
      </c>
      <c r="Q188">
        <f t="shared" ref="Q188" si="916">F188*P188</f>
        <v>-415.24693165894735</v>
      </c>
      <c r="R188">
        <f t="shared" ref="R188" si="917">R189+Q188</f>
        <v>108578.24197246482</v>
      </c>
      <c r="S188">
        <f t="shared" ref="S188" si="918">R188/100000</f>
        <v>1.0857824197246482</v>
      </c>
      <c r="T188">
        <f t="shared" ref="T188" si="919">S188/1000</f>
        <v>1.0857824197246482E-3</v>
      </c>
    </row>
    <row r="189" spans="1:20" x14ac:dyDescent="0.25">
      <c r="A189" s="5">
        <v>44404</v>
      </c>
      <c r="B189">
        <v>2590.87</v>
      </c>
      <c r="C189">
        <v>2723.82</v>
      </c>
      <c r="D189">
        <v>2506.5100000000002</v>
      </c>
      <c r="E189">
        <v>2688.33</v>
      </c>
      <c r="F189">
        <v>2287.39669</v>
      </c>
      <c r="G189">
        <v>2688.33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0.67336984032027758</v>
      </c>
      <c r="Q189">
        <f t="shared" ref="Q189" si="921">F189*P189</f>
        <v>1540.2639438944316</v>
      </c>
      <c r="R189">
        <f t="shared" ref="R189" si="922">R190+Q189</f>
        <v>108993.48890412376</v>
      </c>
      <c r="S189">
        <f t="shared" ref="S189" si="923">R189/100000</f>
        <v>1.0899348890412377</v>
      </c>
      <c r="T189">
        <f t="shared" ref="T189" si="924">S189/1000</f>
        <v>1.0899348890412376E-3</v>
      </c>
    </row>
    <row r="190" spans="1:20" x14ac:dyDescent="0.25">
      <c r="A190" s="5">
        <v>44403</v>
      </c>
      <c r="B190">
        <v>2567.37</v>
      </c>
      <c r="C190">
        <v>2846.32</v>
      </c>
      <c r="D190">
        <v>2549.54</v>
      </c>
      <c r="E190">
        <v>2595.3000000000002</v>
      </c>
      <c r="F190">
        <v>4558.6839399999999</v>
      </c>
      <c r="G190">
        <v>2595.3000000000002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-0.69162342475907956</v>
      </c>
      <c r="Q190">
        <f t="shared" ref="Q190" si="926">F190*P190</f>
        <v>-3152.8925989770141</v>
      </c>
      <c r="R190">
        <f t="shared" ref="R190" si="927">R191+Q190</f>
        <v>107453.22496022933</v>
      </c>
      <c r="S190">
        <f t="shared" ref="S190" si="928">R190/100000</f>
        <v>1.0745322496022933</v>
      </c>
      <c r="T190">
        <f t="shared" ref="T190" si="929">S190/1000</f>
        <v>1.0745322496022933E-3</v>
      </c>
    </row>
    <row r="191" spans="1:20" x14ac:dyDescent="0.25">
      <c r="A191" s="5">
        <v>44402</v>
      </c>
      <c r="B191">
        <v>2577.0300000000002</v>
      </c>
      <c r="C191">
        <v>2594.9499999999998</v>
      </c>
      <c r="D191">
        <v>2459.06</v>
      </c>
      <c r="E191">
        <v>2570.69</v>
      </c>
      <c r="F191">
        <v>1825.4393299999999</v>
      </c>
      <c r="G191">
        <v>2570.69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0.64294650084627591</v>
      </c>
      <c r="Q191">
        <f t="shared" ref="Q191" si="931">F191*P191</f>
        <v>1173.6598297306703</v>
      </c>
      <c r="R191">
        <f t="shared" ref="R191" si="932">R192+Q191</f>
        <v>110606.11755920634</v>
      </c>
      <c r="S191">
        <f t="shared" ref="S191" si="933">R191/100000</f>
        <v>1.1060611755920633</v>
      </c>
      <c r="T191">
        <f t="shared" ref="T191:T197" si="934">S191/1000</f>
        <v>1.1060611755920632E-3</v>
      </c>
    </row>
    <row r="192" spans="1:20" x14ac:dyDescent="0.25">
      <c r="A192" s="5">
        <v>44401</v>
      </c>
      <c r="B192">
        <v>2514.69</v>
      </c>
      <c r="C192">
        <v>2611.38</v>
      </c>
      <c r="D192">
        <v>2490.9</v>
      </c>
      <c r="E192">
        <v>2577.23</v>
      </c>
      <c r="F192">
        <v>1932.3324299999999</v>
      </c>
      <c r="G192">
        <v>2577.23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0.4331009296148724</v>
      </c>
      <c r="Q192">
        <f t="shared" ref="Q192" si="936">F192*P192</f>
        <v>836.89497175796532</v>
      </c>
      <c r="R192">
        <f t="shared" ref="R192" si="937">R193+Q192</f>
        <v>109432.45772947566</v>
      </c>
      <c r="S192">
        <f t="shared" ref="S192" si="938">R192/100000</f>
        <v>1.0943245772947565</v>
      </c>
      <c r="T192">
        <f t="shared" si="934"/>
        <v>1.0943245772947565E-3</v>
      </c>
    </row>
    <row r="193" spans="1:20" x14ac:dyDescent="0.25">
      <c r="A193" s="5">
        <v>44400</v>
      </c>
      <c r="B193">
        <v>2438.09</v>
      </c>
      <c r="C193">
        <v>2536.65</v>
      </c>
      <c r="D193">
        <v>2398</v>
      </c>
      <c r="E193">
        <v>2517.1</v>
      </c>
      <c r="F193">
        <v>2757.3110799999999</v>
      </c>
      <c r="G193">
        <v>2517.1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0.71799495131626156</v>
      </c>
      <c r="Q193">
        <f t="shared" ref="Q193" si="940">F193*P193</f>
        <v>1979.7354346483885</v>
      </c>
      <c r="R193">
        <f t="shared" ref="R193" si="941">R194+Q193</f>
        <v>108595.56275771769</v>
      </c>
      <c r="S193">
        <f t="shared" ref="S193" si="942">R193/100000</f>
        <v>1.0859556275771769</v>
      </c>
      <c r="T193">
        <f t="shared" si="934"/>
        <v>1.0859556275771769E-3</v>
      </c>
    </row>
    <row r="194" spans="1:20" x14ac:dyDescent="0.25">
      <c r="A194" s="5">
        <v>44399</v>
      </c>
      <c r="B194">
        <v>2441.65</v>
      </c>
      <c r="C194">
        <v>2476.9899999999998</v>
      </c>
      <c r="D194">
        <v>2377.4499999999998</v>
      </c>
      <c r="E194">
        <v>2435.13</v>
      </c>
      <c r="F194">
        <v>2389.6264000000001</v>
      </c>
      <c r="G194">
        <v>2435.13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0.15893108298172218</v>
      </c>
      <c r="Q194">
        <f t="shared" ref="Q194" si="944">F194*P194</f>
        <v>379.78591167371405</v>
      </c>
      <c r="R194">
        <f t="shared" ref="R194" si="945">R195+Q194</f>
        <v>106615.8273230693</v>
      </c>
      <c r="S194">
        <f t="shared" ref="S194" si="946">R194/100000</f>
        <v>1.0661582732306931</v>
      </c>
      <c r="T194">
        <f t="shared" si="934"/>
        <v>1.0661582732306931E-3</v>
      </c>
    </row>
    <row r="195" spans="1:20" x14ac:dyDescent="0.25">
      <c r="A195" s="5">
        <v>44398</v>
      </c>
      <c r="B195">
        <v>2185.31</v>
      </c>
      <c r="C195">
        <v>2487.1</v>
      </c>
      <c r="D195">
        <v>2152.6799999999998</v>
      </c>
      <c r="E195">
        <v>2440.9</v>
      </c>
      <c r="F195">
        <v>3842.1234199999999</v>
      </c>
      <c r="G195">
        <v>2440.9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0.72370073560193882</v>
      </c>
      <c r="Q195">
        <f t="shared" ref="Q195" si="948">F195*P195</f>
        <v>2780.5475453274366</v>
      </c>
      <c r="R195">
        <f t="shared" ref="R195" si="949">R196+Q195</f>
        <v>106236.04141139559</v>
      </c>
      <c r="S195">
        <f t="shared" ref="S195" si="950">R195/100000</f>
        <v>1.062360414113956</v>
      </c>
      <c r="T195">
        <f t="shared" si="934"/>
        <v>1.0623604141139561E-3</v>
      </c>
    </row>
    <row r="196" spans="1:20" x14ac:dyDescent="0.25">
      <c r="A196" s="5">
        <v>44397</v>
      </c>
      <c r="B196">
        <v>2295.67</v>
      </c>
      <c r="C196">
        <v>2327.9899999999998</v>
      </c>
      <c r="D196">
        <v>2110.83</v>
      </c>
      <c r="E196">
        <v>2186.19</v>
      </c>
      <c r="F196">
        <v>2671.7581</v>
      </c>
      <c r="G196">
        <v>2186.19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-0.3059495303002378</v>
      </c>
      <c r="Q196">
        <f t="shared" ref="Q196" si="952">F196*P196</f>
        <v>-817.42313577085577</v>
      </c>
      <c r="R196">
        <f t="shared" ref="R196" si="953">R197+Q196</f>
        <v>103455.49386606815</v>
      </c>
      <c r="S196">
        <f t="shared" ref="S196" si="954">R196/100000</f>
        <v>1.0345549386606816</v>
      </c>
      <c r="T196">
        <f t="shared" si="934"/>
        <v>1.0345549386606815E-3</v>
      </c>
    </row>
    <row r="197" spans="1:20" x14ac:dyDescent="0.25">
      <c r="A197" s="5">
        <v>44396</v>
      </c>
      <c r="B197">
        <v>2468.89</v>
      </c>
      <c r="C197">
        <v>2479.41</v>
      </c>
      <c r="D197">
        <v>2271.6</v>
      </c>
      <c r="E197">
        <v>2293.8200000000002</v>
      </c>
      <c r="F197">
        <v>2288.3063099999999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-0.78615081083681959</v>
      </c>
      <c r="Q197">
        <f t="shared" ref="Q197" si="956">F197*P197</f>
        <v>-1798.9538610495106</v>
      </c>
      <c r="R197">
        <f t="shared" ref="R197" si="957">R198+Q197</f>
        <v>104272.917001839</v>
      </c>
      <c r="S197">
        <f t="shared" ref="S197" si="958">R197/100000</f>
        <v>1.0427291700183901</v>
      </c>
      <c r="T197">
        <f t="shared" si="934"/>
        <v>1.04272917001839E-3</v>
      </c>
    </row>
    <row r="198" spans="1:20" x14ac:dyDescent="0.25">
      <c r="A198" s="5">
        <v>44395</v>
      </c>
      <c r="B198">
        <v>2425.92</v>
      </c>
      <c r="C198">
        <v>2546.0700000000002</v>
      </c>
      <c r="D198">
        <v>2403.8000000000002</v>
      </c>
      <c r="E198">
        <v>2468.06</v>
      </c>
      <c r="F198">
        <v>1781.7396200000001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-9.6647220074509432E-2</v>
      </c>
      <c r="Q198">
        <f t="shared" ref="Q198:Q261" si="960">F198*P198</f>
        <v>-172.20018116961282</v>
      </c>
      <c r="R198">
        <f t="shared" ref="R198:R261" si="961">R199+Q198</f>
        <v>106071.87086288851</v>
      </c>
      <c r="S198">
        <f t="shared" ref="S198:S261" si="962">R198/100000</f>
        <v>1.0607187086288852</v>
      </c>
      <c r="T198">
        <f t="shared" ref="T198:T261" si="963">S198/1000</f>
        <v>1.0607187086288852E-3</v>
      </c>
    </row>
    <row r="199" spans="1:20" x14ac:dyDescent="0.25">
      <c r="A199" s="5">
        <v>44394</v>
      </c>
      <c r="B199">
        <v>2419.17</v>
      </c>
      <c r="C199">
        <v>2464.73</v>
      </c>
      <c r="D199">
        <v>2378.92</v>
      </c>
      <c r="E199">
        <v>2422.94</v>
      </c>
      <c r="F199">
        <v>1893.50341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2.5987647127374662E-2</v>
      </c>
      <c r="Q199">
        <f t="shared" si="960"/>
        <v>49.207698453560624</v>
      </c>
      <c r="R199">
        <f t="shared" si="961"/>
        <v>106244.07104405812</v>
      </c>
      <c r="S199">
        <f t="shared" si="962"/>
        <v>1.0624407104405811</v>
      </c>
      <c r="T199">
        <f t="shared" si="963"/>
        <v>1.0624407104405811E-3</v>
      </c>
    </row>
    <row r="200" spans="1:20" x14ac:dyDescent="0.25">
      <c r="A200" s="5">
        <v>44393</v>
      </c>
      <c r="B200">
        <v>2569</v>
      </c>
      <c r="C200">
        <v>2613.2800000000002</v>
      </c>
      <c r="D200">
        <v>2406.25</v>
      </c>
      <c r="E200">
        <v>2419.6</v>
      </c>
      <c r="F200">
        <v>2641.4558299999999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-0.87103318359658122</v>
      </c>
      <c r="Q200">
        <f t="shared" si="960"/>
        <v>-2300.7956809346497</v>
      </c>
      <c r="R200">
        <f t="shared" si="961"/>
        <v>106194.86334560455</v>
      </c>
      <c r="S200">
        <f t="shared" si="962"/>
        <v>1.0619486334560455</v>
      </c>
      <c r="T200">
        <f t="shared" si="963"/>
        <v>1.0619486334560455E-3</v>
      </c>
    </row>
    <row r="201" spans="1:20" x14ac:dyDescent="0.25">
      <c r="A201" s="5">
        <v>44392</v>
      </c>
      <c r="B201">
        <v>2515.79</v>
      </c>
      <c r="C201">
        <v>2630.14</v>
      </c>
      <c r="D201">
        <v>2450.16</v>
      </c>
      <c r="E201">
        <v>2566.89</v>
      </c>
      <c r="F201">
        <v>6136.2965000000004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0.29714412712523619</v>
      </c>
      <c r="Q201">
        <f t="shared" si="960"/>
        <v>1823.364467274142</v>
      </c>
      <c r="R201">
        <f t="shared" si="961"/>
        <v>108495.6590265392</v>
      </c>
      <c r="S201">
        <f t="shared" si="962"/>
        <v>1.0849565902653919</v>
      </c>
      <c r="T201">
        <f t="shared" si="963"/>
        <v>1.0849565902653919E-3</v>
      </c>
    </row>
    <row r="202" spans="1:20" x14ac:dyDescent="0.25">
      <c r="A202" s="5">
        <v>44391</v>
      </c>
      <c r="B202">
        <v>2524.4299999999998</v>
      </c>
      <c r="C202">
        <v>2579.94</v>
      </c>
      <c r="D202">
        <v>2400</v>
      </c>
      <c r="E202">
        <v>2514.06</v>
      </c>
      <c r="F202">
        <v>2279.8128200000001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0.26775591863954551</v>
      </c>
      <c r="Q202">
        <f t="shared" si="960"/>
        <v>610.43337594531283</v>
      </c>
      <c r="R202">
        <f t="shared" si="961"/>
        <v>106672.29455926506</v>
      </c>
      <c r="S202">
        <f t="shared" si="962"/>
        <v>1.0667229455926506</v>
      </c>
      <c r="T202">
        <f t="shared" si="963"/>
        <v>1.0667229455926506E-3</v>
      </c>
    </row>
    <row r="203" spans="1:20" x14ac:dyDescent="0.25">
      <c r="A203" s="5">
        <v>44390</v>
      </c>
      <c r="B203">
        <v>2600</v>
      </c>
      <c r="C203">
        <v>2644.66</v>
      </c>
      <c r="D203">
        <v>2502.29</v>
      </c>
      <c r="E203">
        <v>2523.54</v>
      </c>
      <c r="F203">
        <v>1938.1188099999999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-0.70148205380346962</v>
      </c>
      <c r="Q203">
        <f t="shared" si="960"/>
        <v>-1359.5555633539366</v>
      </c>
      <c r="R203">
        <f t="shared" si="961"/>
        <v>106061.86118331975</v>
      </c>
      <c r="S203">
        <f t="shared" si="962"/>
        <v>1.0606186118331975</v>
      </c>
      <c r="T203">
        <f t="shared" si="963"/>
        <v>1.0606186118331975E-3</v>
      </c>
    </row>
    <row r="204" spans="1:20" x14ac:dyDescent="0.25">
      <c r="A204" s="5">
        <v>44389</v>
      </c>
      <c r="B204">
        <v>2672.27</v>
      </c>
      <c r="C204">
        <v>2737.27</v>
      </c>
      <c r="D204">
        <v>2569.19</v>
      </c>
      <c r="E204">
        <v>2602.98</v>
      </c>
      <c r="F204">
        <v>2498.09139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-0.59792955735364139</v>
      </c>
      <c r="Q204">
        <f t="shared" si="960"/>
        <v>-1493.6826790516427</v>
      </c>
      <c r="R204">
        <f t="shared" si="961"/>
        <v>107421.41674667368</v>
      </c>
      <c r="S204">
        <f t="shared" si="962"/>
        <v>1.0742141674667369</v>
      </c>
      <c r="T204">
        <f t="shared" si="963"/>
        <v>1.0742141674667369E-3</v>
      </c>
    </row>
    <row r="205" spans="1:20" x14ac:dyDescent="0.25">
      <c r="A205" s="5">
        <v>44388</v>
      </c>
      <c r="B205">
        <v>2677.26</v>
      </c>
      <c r="C205">
        <v>2719.48</v>
      </c>
      <c r="D205">
        <v>2613.2399999999998</v>
      </c>
      <c r="E205">
        <v>2667.9</v>
      </c>
      <c r="F205">
        <v>1687.41005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2.8990963855425218E-2</v>
      </c>
      <c r="Q205">
        <f t="shared" si="960"/>
        <v>48.919643768831257</v>
      </c>
      <c r="R205">
        <f t="shared" si="961"/>
        <v>108915.09942572533</v>
      </c>
      <c r="S205">
        <f t="shared" si="962"/>
        <v>1.0891509942572533</v>
      </c>
      <c r="T205">
        <f t="shared" si="963"/>
        <v>1.0891509942572532E-3</v>
      </c>
    </row>
    <row r="206" spans="1:20" x14ac:dyDescent="0.25">
      <c r="A206" s="5">
        <v>44387</v>
      </c>
      <c r="B206">
        <v>2705.69</v>
      </c>
      <c r="C206">
        <v>2776.84</v>
      </c>
      <c r="D206">
        <v>2604.04</v>
      </c>
      <c r="E206">
        <v>2674.71</v>
      </c>
      <c r="F206">
        <v>1718.71633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-0.18206018518518521</v>
      </c>
      <c r="Q206">
        <f t="shared" si="960"/>
        <v>-312.90981332060187</v>
      </c>
      <c r="R206">
        <f t="shared" si="961"/>
        <v>108866.1797819565</v>
      </c>
      <c r="S206">
        <f t="shared" si="962"/>
        <v>1.088661797819565</v>
      </c>
      <c r="T206">
        <f t="shared" si="963"/>
        <v>1.0886617978195649E-3</v>
      </c>
    </row>
    <row r="207" spans="1:20" x14ac:dyDescent="0.25">
      <c r="A207" s="5">
        <v>44386</v>
      </c>
      <c r="B207">
        <v>2654.52</v>
      </c>
      <c r="C207">
        <v>2820.38</v>
      </c>
      <c r="D207">
        <v>2555.9899999999998</v>
      </c>
      <c r="E207">
        <v>2707.02</v>
      </c>
      <c r="F207">
        <v>3346.4790400000002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0.14247891372593527</v>
      </c>
      <c r="Q207">
        <f t="shared" si="960"/>
        <v>476.80269842581072</v>
      </c>
      <c r="R207">
        <f t="shared" si="961"/>
        <v>109179.0895952771</v>
      </c>
      <c r="S207">
        <f t="shared" si="962"/>
        <v>1.0917908959527709</v>
      </c>
      <c r="T207">
        <f t="shared" si="963"/>
        <v>1.091790895952771E-3</v>
      </c>
    </row>
    <row r="208" spans="1:20" x14ac:dyDescent="0.25">
      <c r="A208" s="5">
        <v>44385</v>
      </c>
      <c r="B208">
        <v>2861.68</v>
      </c>
      <c r="C208">
        <v>2867.98</v>
      </c>
      <c r="D208">
        <v>2593.6</v>
      </c>
      <c r="E208">
        <v>2654.67</v>
      </c>
      <c r="F208">
        <v>4412.1782899999998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-0.55485093665718976</v>
      </c>
      <c r="Q208">
        <f t="shared" si="960"/>
        <v>-2448.1012569050176</v>
      </c>
      <c r="R208">
        <f t="shared" si="961"/>
        <v>108702.28689685128</v>
      </c>
      <c r="S208">
        <f t="shared" si="962"/>
        <v>1.0870228689685129</v>
      </c>
      <c r="T208">
        <f t="shared" si="963"/>
        <v>1.0870228689685128E-3</v>
      </c>
    </row>
    <row r="209" spans="1:20" x14ac:dyDescent="0.25">
      <c r="A209" s="5">
        <v>44384</v>
      </c>
      <c r="B209">
        <v>2745.79</v>
      </c>
      <c r="C209">
        <v>2939.5</v>
      </c>
      <c r="D209">
        <v>2732.62</v>
      </c>
      <c r="E209">
        <v>2862.71</v>
      </c>
      <c r="F209">
        <v>5671.3329800000001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0.25763727764887934</v>
      </c>
      <c r="Q209">
        <f t="shared" si="960"/>
        <v>1461.1467896075062</v>
      </c>
      <c r="R209">
        <f t="shared" si="961"/>
        <v>111150.3881537563</v>
      </c>
      <c r="S209">
        <f t="shared" si="962"/>
        <v>1.1115038815375631</v>
      </c>
      <c r="T209">
        <f t="shared" si="963"/>
        <v>1.111503881537563E-3</v>
      </c>
    </row>
    <row r="210" spans="1:20" x14ac:dyDescent="0.25">
      <c r="A210" s="5">
        <v>44383</v>
      </c>
      <c r="B210">
        <v>2749.14</v>
      </c>
      <c r="C210">
        <v>3105.58</v>
      </c>
      <c r="D210">
        <v>2725.29</v>
      </c>
      <c r="E210">
        <v>2745.1</v>
      </c>
      <c r="F210">
        <v>10228.112359999999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-0.89581635067974463</v>
      </c>
      <c r="Q210">
        <f t="shared" si="960"/>
        <v>-9162.5102886775894</v>
      </c>
      <c r="R210">
        <f t="shared" si="961"/>
        <v>109689.24136414879</v>
      </c>
      <c r="S210">
        <f t="shared" si="962"/>
        <v>1.0968924136414879</v>
      </c>
      <c r="T210">
        <f t="shared" si="963"/>
        <v>1.096892413641488E-3</v>
      </c>
    </row>
    <row r="211" spans="1:20" x14ac:dyDescent="0.25">
      <c r="A211" s="5">
        <v>44382</v>
      </c>
      <c r="B211">
        <v>2797.46</v>
      </c>
      <c r="C211">
        <v>2823.68</v>
      </c>
      <c r="D211">
        <v>2632.09</v>
      </c>
      <c r="E211">
        <v>2745.11</v>
      </c>
      <c r="F211">
        <v>4770.2222499999998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0.17981105485672702</v>
      </c>
      <c r="Q211">
        <f t="shared" si="960"/>
        <v>857.73869467352972</v>
      </c>
      <c r="R211">
        <f t="shared" si="961"/>
        <v>118851.75165282638</v>
      </c>
      <c r="S211">
        <f t="shared" si="962"/>
        <v>1.1885175165282638</v>
      </c>
      <c r="T211">
        <f t="shared" si="963"/>
        <v>1.1885175165282638E-3</v>
      </c>
    </row>
    <row r="212" spans="1:20" x14ac:dyDescent="0.25">
      <c r="A212" s="5">
        <v>44381</v>
      </c>
      <c r="B212">
        <v>2639.57</v>
      </c>
      <c r="C212">
        <v>2906.3</v>
      </c>
      <c r="D212">
        <v>2572.4299999999998</v>
      </c>
      <c r="E212">
        <v>2803.29</v>
      </c>
      <c r="F212">
        <v>4862.7238500000003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0.38293347710186532</v>
      </c>
      <c r="Q212">
        <f t="shared" si="960"/>
        <v>1862.0997520666695</v>
      </c>
      <c r="R212">
        <f t="shared" si="961"/>
        <v>117994.01295815285</v>
      </c>
      <c r="S212">
        <f t="shared" si="962"/>
        <v>1.1799401295815284</v>
      </c>
      <c r="T212">
        <f t="shared" si="963"/>
        <v>1.1799401295815284E-3</v>
      </c>
    </row>
    <row r="213" spans="1:20" x14ac:dyDescent="0.25">
      <c r="A213" s="5">
        <v>44380</v>
      </c>
      <c r="B213">
        <v>2581.5700000000002</v>
      </c>
      <c r="C213">
        <v>2691.32</v>
      </c>
      <c r="D213">
        <v>2520.1</v>
      </c>
      <c r="E213">
        <v>2639.23</v>
      </c>
      <c r="F213">
        <v>3313.2227800000001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0.39154304403691076</v>
      </c>
      <c r="Q213">
        <f t="shared" si="960"/>
        <v>1297.2693328536359</v>
      </c>
      <c r="R213">
        <f t="shared" si="961"/>
        <v>116131.91320608617</v>
      </c>
      <c r="S213">
        <f t="shared" si="962"/>
        <v>1.1613191320608618</v>
      </c>
      <c r="T213">
        <f t="shared" si="963"/>
        <v>1.1613191320608619E-3</v>
      </c>
    </row>
    <row r="214" spans="1:20" x14ac:dyDescent="0.25">
      <c r="A214" s="5">
        <v>44379</v>
      </c>
      <c r="B214">
        <v>2501.5500000000002</v>
      </c>
      <c r="C214">
        <v>2594.02</v>
      </c>
      <c r="D214">
        <v>2410</v>
      </c>
      <c r="E214">
        <v>2583.5500000000002</v>
      </c>
      <c r="F214">
        <v>4101.0350799999997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0.88620802086729922</v>
      </c>
      <c r="Q214">
        <f t="shared" si="960"/>
        <v>3634.370181754166</v>
      </c>
      <c r="R214">
        <f t="shared" si="961"/>
        <v>114834.64387323253</v>
      </c>
      <c r="S214">
        <f t="shared" si="962"/>
        <v>1.1483464387323252</v>
      </c>
      <c r="T214">
        <f t="shared" si="963"/>
        <v>1.1483464387323252E-3</v>
      </c>
    </row>
    <row r="215" spans="1:20" x14ac:dyDescent="0.25">
      <c r="A215" s="5">
        <v>44378</v>
      </c>
      <c r="B215">
        <v>2680.61</v>
      </c>
      <c r="C215">
        <v>2860.74</v>
      </c>
      <c r="D215">
        <v>2480.02</v>
      </c>
      <c r="E215">
        <v>2503.33</v>
      </c>
      <c r="F215">
        <v>12350.620269999999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-0.87754780416053813</v>
      </c>
      <c r="Q215">
        <f t="shared" si="960"/>
        <v>-10838.259697959133</v>
      </c>
      <c r="R215">
        <f t="shared" si="961"/>
        <v>111200.27369147836</v>
      </c>
      <c r="S215">
        <f t="shared" si="962"/>
        <v>1.1120027369147836</v>
      </c>
      <c r="T215">
        <f t="shared" si="963"/>
        <v>1.1120027369147835E-3</v>
      </c>
    </row>
    <row r="216" spans="1:20" x14ac:dyDescent="0.25">
      <c r="A216" s="5">
        <v>44377</v>
      </c>
      <c r="B216">
        <v>2425.0100000000002</v>
      </c>
      <c r="C216">
        <v>2683.6</v>
      </c>
      <c r="D216">
        <v>2268.02</v>
      </c>
      <c r="E216">
        <v>2680.61</v>
      </c>
      <c r="F216">
        <v>5154.0770199999997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0.98561047211126718</v>
      </c>
      <c r="Q216">
        <f t="shared" si="960"/>
        <v>5079.9122849800324</v>
      </c>
      <c r="R216">
        <f t="shared" si="961"/>
        <v>122038.53338943749</v>
      </c>
      <c r="S216">
        <f t="shared" si="962"/>
        <v>1.2203853338943749</v>
      </c>
      <c r="T216">
        <f t="shared" si="963"/>
        <v>1.2203853338943749E-3</v>
      </c>
    </row>
    <row r="217" spans="1:20" x14ac:dyDescent="0.25">
      <c r="A217" s="5">
        <v>44376</v>
      </c>
      <c r="B217">
        <v>2215.62</v>
      </c>
      <c r="C217">
        <v>2495.98</v>
      </c>
      <c r="D217">
        <v>2205.27</v>
      </c>
      <c r="E217">
        <v>2428.15</v>
      </c>
      <c r="F217">
        <v>5737.1448300000002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0.53334938598603476</v>
      </c>
      <c r="Q217">
        <f t="shared" si="960"/>
        <v>3059.9026723934539</v>
      </c>
      <c r="R217">
        <f t="shared" si="961"/>
        <v>116958.62110445746</v>
      </c>
      <c r="S217">
        <f t="shared" si="962"/>
        <v>1.1695862110445745</v>
      </c>
      <c r="T217">
        <f t="shared" si="963"/>
        <v>1.1695862110445744E-3</v>
      </c>
    </row>
    <row r="218" spans="1:20" x14ac:dyDescent="0.25">
      <c r="A218" s="5">
        <v>44375</v>
      </c>
      <c r="B218">
        <v>2136.94</v>
      </c>
      <c r="C218">
        <v>2291.7600000000002</v>
      </c>
      <c r="D218">
        <v>2083.69</v>
      </c>
      <c r="E218">
        <v>2215.17</v>
      </c>
      <c r="F218">
        <v>5328.91309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0.26380545008891154</v>
      </c>
      <c r="Q218">
        <f t="shared" si="960"/>
        <v>1405.7963161921423</v>
      </c>
      <c r="R218">
        <f t="shared" si="961"/>
        <v>113898.71843206401</v>
      </c>
      <c r="S218">
        <f t="shared" si="962"/>
        <v>1.1389871843206401</v>
      </c>
      <c r="T218">
        <f t="shared" si="963"/>
        <v>1.1389871843206401E-3</v>
      </c>
    </row>
    <row r="219" spans="1:20" x14ac:dyDescent="0.25">
      <c r="A219" s="5">
        <v>44374</v>
      </c>
      <c r="B219">
        <v>2009.34</v>
      </c>
      <c r="C219">
        <v>2137.58</v>
      </c>
      <c r="D219">
        <v>1956.34</v>
      </c>
      <c r="E219">
        <v>2128.59</v>
      </c>
      <c r="F219">
        <v>3600.9955799999998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0.90079452659457315</v>
      </c>
      <c r="Q219">
        <f t="shared" si="960"/>
        <v>3243.7571087552501</v>
      </c>
      <c r="R219">
        <f t="shared" si="961"/>
        <v>112492.92211587187</v>
      </c>
      <c r="S219">
        <f t="shared" si="962"/>
        <v>1.1249292211587187</v>
      </c>
      <c r="T219">
        <f t="shared" si="963"/>
        <v>1.1249292211587187E-3</v>
      </c>
    </row>
    <row r="220" spans="1:20" x14ac:dyDescent="0.25">
      <c r="A220" s="5">
        <v>44373</v>
      </c>
      <c r="B220">
        <v>1965.76</v>
      </c>
      <c r="C220">
        <v>2044.1</v>
      </c>
      <c r="D220">
        <v>1895.14</v>
      </c>
      <c r="E220">
        <v>2007.19</v>
      </c>
      <c r="F220">
        <v>5288.12572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0.50443071965628483</v>
      </c>
      <c r="Q220">
        <f t="shared" si="960"/>
        <v>2667.4930625725092</v>
      </c>
      <c r="R220">
        <f t="shared" si="961"/>
        <v>109249.16500711662</v>
      </c>
      <c r="S220">
        <f t="shared" si="962"/>
        <v>1.0924916500711663</v>
      </c>
      <c r="T220">
        <f t="shared" si="963"/>
        <v>1.0924916500711663E-3</v>
      </c>
    </row>
    <row r="221" spans="1:20" x14ac:dyDescent="0.25">
      <c r="A221" s="5">
        <v>44372</v>
      </c>
      <c r="B221">
        <v>2238.0100000000002</v>
      </c>
      <c r="C221">
        <v>2274.52</v>
      </c>
      <c r="D221">
        <v>1957.81</v>
      </c>
      <c r="E221">
        <v>1965.75</v>
      </c>
      <c r="F221">
        <v>5823.0080200000002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-0.94985949291149596</v>
      </c>
      <c r="Q221">
        <f t="shared" si="960"/>
        <v>-5531.0394450967742</v>
      </c>
      <c r="R221">
        <f t="shared" si="961"/>
        <v>106581.67194454411</v>
      </c>
      <c r="S221">
        <f t="shared" si="962"/>
        <v>1.0658167194454411</v>
      </c>
      <c r="T221">
        <f t="shared" si="963"/>
        <v>1.0658167194454412E-3</v>
      </c>
    </row>
    <row r="222" spans="1:20" x14ac:dyDescent="0.25">
      <c r="A222" s="5">
        <v>44371</v>
      </c>
      <c r="B222">
        <v>2314.69</v>
      </c>
      <c r="C222">
        <v>2330.86</v>
      </c>
      <c r="D222">
        <v>2064.27</v>
      </c>
      <c r="E222">
        <v>2236.38</v>
      </c>
      <c r="F222">
        <v>7408.1918800000003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0.29119621891293773</v>
      </c>
      <c r="Q222">
        <f t="shared" si="960"/>
        <v>2157.2374644375277</v>
      </c>
      <c r="R222">
        <f t="shared" si="961"/>
        <v>112112.71138964088</v>
      </c>
      <c r="S222">
        <f t="shared" si="962"/>
        <v>1.121127113896409</v>
      </c>
      <c r="T222">
        <f t="shared" si="963"/>
        <v>1.121127113896409E-3</v>
      </c>
    </row>
    <row r="223" spans="1:20" x14ac:dyDescent="0.25">
      <c r="A223" s="5">
        <v>44370</v>
      </c>
      <c r="B223">
        <v>2272.5500000000002</v>
      </c>
      <c r="C223">
        <v>2479.33</v>
      </c>
      <c r="D223">
        <v>2214.0500000000002</v>
      </c>
      <c r="E223">
        <v>2313.71</v>
      </c>
      <c r="F223">
        <v>5699.5872399999998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-0.24864294330518735</v>
      </c>
      <c r="Q223">
        <f t="shared" si="960"/>
        <v>-1417.1621469782892</v>
      </c>
      <c r="R223">
        <f t="shared" si="961"/>
        <v>109955.47392520336</v>
      </c>
      <c r="S223">
        <f t="shared" si="962"/>
        <v>1.0995547392520335</v>
      </c>
      <c r="T223">
        <f t="shared" si="963"/>
        <v>1.0995547392520335E-3</v>
      </c>
    </row>
    <row r="224" spans="1:20" x14ac:dyDescent="0.25">
      <c r="A224" s="5">
        <v>44369</v>
      </c>
      <c r="B224">
        <v>2097.66</v>
      </c>
      <c r="C224">
        <v>2441</v>
      </c>
      <c r="D224">
        <v>1921.48</v>
      </c>
      <c r="E224">
        <v>2269.83</v>
      </c>
      <c r="F224">
        <v>10300.02225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0.34104558053587897</v>
      </c>
      <c r="Q224">
        <f t="shared" si="960"/>
        <v>3512.7770677837202</v>
      </c>
      <c r="R224">
        <f t="shared" si="961"/>
        <v>111372.63607218165</v>
      </c>
      <c r="S224">
        <f t="shared" si="962"/>
        <v>1.1137263607218164</v>
      </c>
      <c r="T224">
        <f t="shared" si="963"/>
        <v>1.1137263607218163E-3</v>
      </c>
    </row>
    <row r="225" spans="1:20" x14ac:dyDescent="0.25">
      <c r="A225" s="5">
        <v>44368</v>
      </c>
      <c r="B225">
        <v>2702.84</v>
      </c>
      <c r="C225">
        <v>2729.02</v>
      </c>
      <c r="D225">
        <v>2071.14</v>
      </c>
      <c r="E225">
        <v>2095.9699999999998</v>
      </c>
      <c r="F225">
        <v>5809.30429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-0.92451510913844492</v>
      </c>
      <c r="Q225">
        <f t="shared" si="960"/>
        <v>-5370.7895896877862</v>
      </c>
      <c r="R225">
        <f t="shared" si="961"/>
        <v>107859.85900439792</v>
      </c>
      <c r="S225">
        <f t="shared" si="962"/>
        <v>1.0785985900439792</v>
      </c>
      <c r="T225">
        <f t="shared" si="963"/>
        <v>1.0785985900439792E-3</v>
      </c>
    </row>
    <row r="226" spans="1:20" x14ac:dyDescent="0.25">
      <c r="A226" s="5">
        <v>44367</v>
      </c>
      <c r="B226">
        <v>2579.9299999999998</v>
      </c>
      <c r="C226">
        <v>2747.48</v>
      </c>
      <c r="D226">
        <v>2441.4</v>
      </c>
      <c r="E226">
        <v>2701.4</v>
      </c>
      <c r="F226">
        <v>2365.7499800000001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0.69890224777835896</v>
      </c>
      <c r="Q226">
        <f t="shared" si="960"/>
        <v>1653.4279787036078</v>
      </c>
      <c r="R226">
        <f t="shared" si="961"/>
        <v>113230.64859408571</v>
      </c>
      <c r="S226">
        <f t="shared" si="962"/>
        <v>1.1323064859408571</v>
      </c>
      <c r="T226">
        <f t="shared" si="963"/>
        <v>1.1323064859408572E-3</v>
      </c>
    </row>
    <row r="227" spans="1:20" x14ac:dyDescent="0.25">
      <c r="A227" s="5">
        <v>44366</v>
      </c>
      <c r="B227">
        <v>2689.32</v>
      </c>
      <c r="C227">
        <v>2714.26</v>
      </c>
      <c r="D227">
        <v>2575.4</v>
      </c>
      <c r="E227">
        <v>2582.3200000000002</v>
      </c>
      <c r="F227">
        <v>2197.9786800000002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-0.90033126890393111</v>
      </c>
      <c r="Q227">
        <f t="shared" si="960"/>
        <v>-1978.9089339881878</v>
      </c>
      <c r="R227">
        <f t="shared" si="961"/>
        <v>111577.2206153821</v>
      </c>
      <c r="S227">
        <f t="shared" si="962"/>
        <v>1.1157722061538211</v>
      </c>
      <c r="T227">
        <f t="shared" si="963"/>
        <v>1.1157722061538211E-3</v>
      </c>
    </row>
    <row r="228" spans="1:20" x14ac:dyDescent="0.25">
      <c r="A228" s="5">
        <v>44365</v>
      </c>
      <c r="B228">
        <v>2909</v>
      </c>
      <c r="C228">
        <v>2910.85</v>
      </c>
      <c r="D228">
        <v>2570.08</v>
      </c>
      <c r="E228">
        <v>2689.1</v>
      </c>
      <c r="F228">
        <v>3476.03215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-0.30146433078029178</v>
      </c>
      <c r="Q228">
        <f t="shared" si="960"/>
        <v>-1047.8997058705288</v>
      </c>
      <c r="R228">
        <f t="shared" si="961"/>
        <v>113556.12954937029</v>
      </c>
      <c r="S228">
        <f t="shared" si="962"/>
        <v>1.1355612954937029</v>
      </c>
      <c r="T228">
        <f t="shared" si="963"/>
        <v>1.1355612954937028E-3</v>
      </c>
    </row>
    <row r="229" spans="1:20" x14ac:dyDescent="0.25">
      <c r="A229" s="5">
        <v>44364</v>
      </c>
      <c r="B229">
        <v>2947.86</v>
      </c>
      <c r="C229">
        <v>3067.65</v>
      </c>
      <c r="D229">
        <v>2848.51</v>
      </c>
      <c r="E229">
        <v>2910.89</v>
      </c>
      <c r="F229">
        <v>1978.52566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-0.43068358127224887</v>
      </c>
      <c r="Q229">
        <f t="shared" si="960"/>
        <v>-852.11851688783986</v>
      </c>
      <c r="R229">
        <f t="shared" si="961"/>
        <v>114604.02925524082</v>
      </c>
      <c r="S229">
        <f t="shared" si="962"/>
        <v>1.1460402925524082</v>
      </c>
      <c r="T229">
        <f t="shared" si="963"/>
        <v>1.1460402925524082E-3</v>
      </c>
    </row>
    <row r="230" spans="1:20" x14ac:dyDescent="0.25">
      <c r="A230" s="5">
        <v>44363</v>
      </c>
      <c r="B230">
        <v>3150.51</v>
      </c>
      <c r="C230">
        <v>3151.27</v>
      </c>
      <c r="D230">
        <v>2921.75</v>
      </c>
      <c r="E230">
        <v>2946.56</v>
      </c>
      <c r="F230">
        <v>2234.7544600000001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-0.78380968978738286</v>
      </c>
      <c r="Q230">
        <f t="shared" si="960"/>
        <v>-1751.6222000435703</v>
      </c>
      <c r="R230">
        <f t="shared" si="961"/>
        <v>115456.14777212866</v>
      </c>
      <c r="S230">
        <f t="shared" si="962"/>
        <v>1.1545614777212867</v>
      </c>
      <c r="T230">
        <f t="shared" si="963"/>
        <v>1.1545614777212867E-3</v>
      </c>
    </row>
    <row r="231" spans="1:20" x14ac:dyDescent="0.25">
      <c r="A231" s="5">
        <v>44362</v>
      </c>
      <c r="B231">
        <v>3202.11</v>
      </c>
      <c r="C231">
        <v>3279</v>
      </c>
      <c r="D231">
        <v>3100.99</v>
      </c>
      <c r="E231">
        <v>3152.03</v>
      </c>
      <c r="F231">
        <v>1881.16526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-0.42654907027694672</v>
      </c>
      <c r="Q231">
        <f t="shared" si="960"/>
        <v>-802.40929269029073</v>
      </c>
      <c r="R231">
        <f t="shared" si="961"/>
        <v>117207.76997217223</v>
      </c>
      <c r="S231">
        <f t="shared" si="962"/>
        <v>1.1720776997217224</v>
      </c>
      <c r="T231">
        <f t="shared" si="963"/>
        <v>1.1720776997217223E-3</v>
      </c>
    </row>
    <row r="232" spans="1:20" x14ac:dyDescent="0.25">
      <c r="A232" s="5">
        <v>44361</v>
      </c>
      <c r="B232">
        <v>3146.8</v>
      </c>
      <c r="C232">
        <v>3265.95</v>
      </c>
      <c r="D232">
        <v>3086.01</v>
      </c>
      <c r="E232">
        <v>3197.58</v>
      </c>
      <c r="F232">
        <v>2119.2311100000002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0.24008002667555806</v>
      </c>
      <c r="Q232">
        <f t="shared" si="960"/>
        <v>508.78506142047257</v>
      </c>
      <c r="R232">
        <f t="shared" si="961"/>
        <v>118010.17926486253</v>
      </c>
      <c r="S232">
        <f t="shared" si="962"/>
        <v>1.1801017926486252</v>
      </c>
      <c r="T232">
        <f t="shared" si="963"/>
        <v>1.1801017926486251E-3</v>
      </c>
    </row>
    <row r="233" spans="1:20" x14ac:dyDescent="0.25">
      <c r="A233" s="5">
        <v>44360</v>
      </c>
      <c r="B233">
        <v>2936.23</v>
      </c>
      <c r="C233">
        <v>3189.32</v>
      </c>
      <c r="D233">
        <v>2865.24</v>
      </c>
      <c r="E233">
        <v>3142.8</v>
      </c>
      <c r="F233">
        <v>2095.4524299999998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0.71291039249568056</v>
      </c>
      <c r="Q233">
        <f t="shared" si="960"/>
        <v>1493.8698143273275</v>
      </c>
      <c r="R233">
        <f t="shared" si="961"/>
        <v>117501.39420344206</v>
      </c>
      <c r="S233">
        <f t="shared" si="962"/>
        <v>1.1750139420344206</v>
      </c>
      <c r="T233">
        <f t="shared" si="963"/>
        <v>1.1750139420344204E-3</v>
      </c>
    </row>
    <row r="234" spans="1:20" x14ac:dyDescent="0.25">
      <c r="A234" s="5">
        <v>44359</v>
      </c>
      <c r="B234">
        <v>2926.3</v>
      </c>
      <c r="C234">
        <v>3058</v>
      </c>
      <c r="D234">
        <v>2773.73</v>
      </c>
      <c r="E234">
        <v>2935.77</v>
      </c>
      <c r="F234">
        <v>2531.2466300000001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0.14004291694515758</v>
      </c>
      <c r="Q234">
        <f t="shared" si="960"/>
        <v>354.48316157280004</v>
      </c>
      <c r="R234">
        <f t="shared" si="961"/>
        <v>116007.52438911474</v>
      </c>
      <c r="S234">
        <f t="shared" si="962"/>
        <v>1.1600752438911475</v>
      </c>
      <c r="T234">
        <f t="shared" si="963"/>
        <v>1.1600752438911475E-3</v>
      </c>
    </row>
    <row r="235" spans="1:20" x14ac:dyDescent="0.25">
      <c r="A235" s="5">
        <v>44358</v>
      </c>
      <c r="B235">
        <v>3112.51</v>
      </c>
      <c r="C235">
        <v>3149.62</v>
      </c>
      <c r="D235">
        <v>2876.23</v>
      </c>
      <c r="E235">
        <v>2923.8</v>
      </c>
      <c r="F235">
        <v>2304.6584699999999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-0.65199897582208433</v>
      </c>
      <c r="Q235">
        <f t="shared" si="960"/>
        <v>-1502.6349620596918</v>
      </c>
      <c r="R235">
        <f t="shared" si="961"/>
        <v>115653.04122754194</v>
      </c>
      <c r="S235">
        <f t="shared" si="962"/>
        <v>1.1565304122754194</v>
      </c>
      <c r="T235">
        <f t="shared" si="963"/>
        <v>1.1565304122754193E-3</v>
      </c>
    </row>
    <row r="236" spans="1:20" x14ac:dyDescent="0.25">
      <c r="A236" s="5">
        <v>44357</v>
      </c>
      <c r="B236">
        <v>3329.44</v>
      </c>
      <c r="C236">
        <v>3345.27</v>
      </c>
      <c r="D236">
        <v>3042.52</v>
      </c>
      <c r="E236">
        <v>3112.11</v>
      </c>
      <c r="F236">
        <v>2822.5970900000002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-0.54028075970272404</v>
      </c>
      <c r="Q236">
        <f t="shared" si="960"/>
        <v>-1524.9949001198984</v>
      </c>
      <c r="R236">
        <f t="shared" si="961"/>
        <v>117155.67618960163</v>
      </c>
      <c r="S236">
        <f t="shared" si="962"/>
        <v>1.1715567618960163</v>
      </c>
      <c r="T236">
        <f t="shared" si="963"/>
        <v>1.1715567618960164E-3</v>
      </c>
    </row>
    <row r="237" spans="1:20" x14ac:dyDescent="0.25">
      <c r="A237" s="5">
        <v>44356</v>
      </c>
      <c r="B237">
        <v>3239.68</v>
      </c>
      <c r="C237">
        <v>3342.7</v>
      </c>
      <c r="D237">
        <v>3036</v>
      </c>
      <c r="E237">
        <v>3330.18</v>
      </c>
      <c r="F237">
        <v>3985.01595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0.91835670035865669</v>
      </c>
      <c r="Q237">
        <f t="shared" si="960"/>
        <v>3659.6660987186174</v>
      </c>
      <c r="R237">
        <f t="shared" si="961"/>
        <v>118680.67108972152</v>
      </c>
      <c r="S237">
        <f t="shared" si="962"/>
        <v>1.1868067108972153</v>
      </c>
      <c r="T237">
        <f t="shared" si="963"/>
        <v>1.1868067108972153E-3</v>
      </c>
    </row>
    <row r="238" spans="1:20" x14ac:dyDescent="0.25">
      <c r="A238" s="5">
        <v>44355</v>
      </c>
      <c r="B238">
        <v>3304.01</v>
      </c>
      <c r="C238">
        <v>3367.45</v>
      </c>
      <c r="D238">
        <v>2883.93</v>
      </c>
      <c r="E238">
        <v>3236.89</v>
      </c>
      <c r="F238">
        <v>7616.5209400000003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0.4599602911978824</v>
      </c>
      <c r="Q238">
        <f t="shared" si="960"/>
        <v>3503.297189477169</v>
      </c>
      <c r="R238">
        <f t="shared" si="961"/>
        <v>115021.0049910029</v>
      </c>
      <c r="S238">
        <f t="shared" si="962"/>
        <v>1.150210049910029</v>
      </c>
      <c r="T238">
        <f t="shared" si="963"/>
        <v>1.1502100499100291E-3</v>
      </c>
    </row>
    <row r="239" spans="1:20" x14ac:dyDescent="0.25">
      <c r="A239" s="5">
        <v>44354</v>
      </c>
      <c r="B239">
        <v>3613.58</v>
      </c>
      <c r="C239">
        <v>3807.73</v>
      </c>
      <c r="D239">
        <v>3273.23</v>
      </c>
      <c r="E239">
        <v>3306.92</v>
      </c>
      <c r="F239">
        <v>4977.5347499999998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-0.87393826005612707</v>
      </c>
      <c r="Q239">
        <f t="shared" si="960"/>
        <v>-4350.0580587839095</v>
      </c>
      <c r="R239">
        <f t="shared" si="961"/>
        <v>111517.70780152573</v>
      </c>
      <c r="S239">
        <f t="shared" si="962"/>
        <v>1.1151770780152572</v>
      </c>
      <c r="T239">
        <f t="shared" si="963"/>
        <v>1.1151770780152572E-3</v>
      </c>
    </row>
    <row r="240" spans="1:20" x14ac:dyDescent="0.25">
      <c r="A240" s="5">
        <v>44353</v>
      </c>
      <c r="B240">
        <v>3555.38</v>
      </c>
      <c r="C240">
        <v>3640.35</v>
      </c>
      <c r="D240">
        <v>3508.33</v>
      </c>
      <c r="E240">
        <v>3612.57</v>
      </c>
      <c r="F240">
        <v>2029.1176700000001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0.57915467353431682</v>
      </c>
      <c r="Q240">
        <f t="shared" si="960"/>
        <v>1175.1729817315636</v>
      </c>
      <c r="R240">
        <f t="shared" si="961"/>
        <v>115867.76586030964</v>
      </c>
      <c r="S240">
        <f t="shared" si="962"/>
        <v>1.1586776586030965</v>
      </c>
      <c r="T240">
        <f t="shared" si="963"/>
        <v>1.1586776586030964E-3</v>
      </c>
    </row>
    <row r="241" spans="1:20" x14ac:dyDescent="0.25">
      <c r="A241" s="5">
        <v>44352</v>
      </c>
      <c r="B241">
        <v>3729.03</v>
      </c>
      <c r="C241">
        <v>3917.71</v>
      </c>
      <c r="D241">
        <v>3408.53</v>
      </c>
      <c r="E241">
        <v>3555.76</v>
      </c>
      <c r="F241">
        <v>5290.2411300000003</v>
      </c>
      <c r="G241">
        <v>0</v>
      </c>
      <c r="L241" t="s">
        <v>7</v>
      </c>
      <c r="M241" t="s">
        <v>8</v>
      </c>
      <c r="N241" t="s">
        <v>7</v>
      </c>
      <c r="P241">
        <f t="shared" si="959"/>
        <v>-0.42169763148591827</v>
      </c>
      <c r="Q241">
        <f t="shared" si="960"/>
        <v>-2230.8821545103879</v>
      </c>
      <c r="R241">
        <f t="shared" si="961"/>
        <v>114692.59287857807</v>
      </c>
      <c r="S241">
        <f t="shared" si="962"/>
        <v>1.1469259287857807</v>
      </c>
      <c r="T241">
        <f t="shared" si="963"/>
        <v>1.1469259287857807E-3</v>
      </c>
    </row>
    <row r="242" spans="1:20" x14ac:dyDescent="0.25">
      <c r="A242" s="5">
        <v>44351</v>
      </c>
      <c r="B242">
        <v>3658</v>
      </c>
      <c r="C242">
        <v>3980.53</v>
      </c>
      <c r="D242">
        <v>3441.4</v>
      </c>
      <c r="E242">
        <v>3725.52</v>
      </c>
      <c r="F242">
        <v>12339.83095</v>
      </c>
      <c r="G242">
        <v>0</v>
      </c>
      <c r="L242" t="s">
        <v>8</v>
      </c>
      <c r="M242" t="s">
        <v>8</v>
      </c>
      <c r="N242" t="s">
        <v>7</v>
      </c>
      <c r="P242">
        <f t="shared" si="959"/>
        <v>5.3994398382578725E-2</v>
      </c>
      <c r="Q242">
        <f t="shared" si="960"/>
        <v>666.28174828797489</v>
      </c>
      <c r="R242">
        <f t="shared" si="961"/>
        <v>116923.47503308846</v>
      </c>
      <c r="S242">
        <f t="shared" si="962"/>
        <v>1.1692347503308846</v>
      </c>
      <c r="T242">
        <f t="shared" si="963"/>
        <v>1.1692347503308846E-3</v>
      </c>
    </row>
    <row r="243" spans="1:20" x14ac:dyDescent="0.25">
      <c r="A243" s="5">
        <v>44350</v>
      </c>
      <c r="B243">
        <v>3563.21</v>
      </c>
      <c r="C243">
        <v>3718.32</v>
      </c>
      <c r="D243">
        <v>3529.25</v>
      </c>
      <c r="E243">
        <v>3659.44</v>
      </c>
      <c r="F243">
        <v>4410.9389099999999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0.37716189770984232</v>
      </c>
      <c r="Q243">
        <f t="shared" si="960"/>
        <v>1663.6380899777832</v>
      </c>
      <c r="R243">
        <f t="shared" si="961"/>
        <v>116257.19328480048</v>
      </c>
      <c r="S243">
        <f t="shared" si="962"/>
        <v>1.1625719328480049</v>
      </c>
      <c r="T243">
        <f t="shared" si="963"/>
        <v>1.1625719328480048E-3</v>
      </c>
    </row>
    <row r="244" spans="1:20" x14ac:dyDescent="0.25">
      <c r="A244" s="5">
        <v>44349</v>
      </c>
      <c r="B244">
        <v>3599.62</v>
      </c>
      <c r="C244">
        <v>3726.98</v>
      </c>
      <c r="D244">
        <v>3507.5</v>
      </c>
      <c r="E244">
        <v>3561.79</v>
      </c>
      <c r="F244">
        <v>3461.47048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-0.50528521960998762</v>
      </c>
      <c r="Q244">
        <f t="shared" si="960"/>
        <v>-1749.0298716602892</v>
      </c>
      <c r="R244">
        <f t="shared" si="961"/>
        <v>114593.55519482269</v>
      </c>
      <c r="S244">
        <f t="shared" si="962"/>
        <v>1.1459355519482268</v>
      </c>
      <c r="T244">
        <f t="shared" si="963"/>
        <v>1.1459355519482268E-3</v>
      </c>
    </row>
    <row r="245" spans="1:20" x14ac:dyDescent="0.25">
      <c r="A245" s="5">
        <v>44348</v>
      </c>
      <c r="B245">
        <v>3587.87</v>
      </c>
      <c r="C245">
        <v>3700</v>
      </c>
      <c r="D245">
        <v>3471</v>
      </c>
      <c r="E245">
        <v>3593.63</v>
      </c>
      <c r="F245">
        <v>4889.1675599999999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7.1004366812228034E-2</v>
      </c>
      <c r="Q245">
        <f t="shared" si="960"/>
        <v>347.15224683668589</v>
      </c>
      <c r="R245">
        <f t="shared" si="961"/>
        <v>116342.58506648298</v>
      </c>
      <c r="S245">
        <f t="shared" si="962"/>
        <v>1.1634258506648298</v>
      </c>
      <c r="T245">
        <f t="shared" si="963"/>
        <v>1.1634258506648299E-3</v>
      </c>
    </row>
    <row r="246" spans="1:20" x14ac:dyDescent="0.25">
      <c r="A246" s="5">
        <v>44347</v>
      </c>
      <c r="B246">
        <v>3304.16</v>
      </c>
      <c r="C246">
        <v>3614.54</v>
      </c>
      <c r="D246">
        <v>3161.8</v>
      </c>
      <c r="E246">
        <v>3597.27</v>
      </c>
      <c r="F246">
        <v>4914.5460700000003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0.9237089720369307</v>
      </c>
      <c r="Q246">
        <f t="shared" si="960"/>
        <v>4539.6102983478377</v>
      </c>
      <c r="R246">
        <f t="shared" si="961"/>
        <v>115995.43281964629</v>
      </c>
      <c r="S246">
        <f t="shared" si="962"/>
        <v>1.1599543281964628</v>
      </c>
      <c r="T246">
        <f t="shared" si="963"/>
        <v>1.1599543281964628E-3</v>
      </c>
    </row>
    <row r="247" spans="1:20" x14ac:dyDescent="0.25">
      <c r="A247" s="5">
        <v>44346</v>
      </c>
      <c r="B247">
        <v>3068.95</v>
      </c>
      <c r="C247">
        <v>3450</v>
      </c>
      <c r="D247">
        <v>2843.12</v>
      </c>
      <c r="E247">
        <v>3308.9</v>
      </c>
      <c r="F247">
        <v>6118.2858399999996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0.53499868178223076</v>
      </c>
      <c r="Q247">
        <f t="shared" si="960"/>
        <v>3273.2748591668883</v>
      </c>
      <c r="R247">
        <f t="shared" si="961"/>
        <v>111455.82252129845</v>
      </c>
      <c r="S247">
        <f t="shared" si="962"/>
        <v>1.1145582252129846</v>
      </c>
      <c r="T247">
        <f t="shared" si="963"/>
        <v>1.1145582252129846E-3</v>
      </c>
    </row>
    <row r="248" spans="1:20" x14ac:dyDescent="0.25">
      <c r="A248" s="5">
        <v>44345</v>
      </c>
      <c r="B248">
        <v>3246.29</v>
      </c>
      <c r="C248">
        <v>3450.39</v>
      </c>
      <c r="D248">
        <v>2862.93</v>
      </c>
      <c r="E248">
        <v>3064.1</v>
      </c>
      <c r="F248">
        <v>5859.3702899999998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-0.31511932727334607</v>
      </c>
      <c r="Q248">
        <f t="shared" si="960"/>
        <v>-1846.4008240302305</v>
      </c>
      <c r="R248">
        <f t="shared" si="961"/>
        <v>108182.54766213156</v>
      </c>
      <c r="S248">
        <f t="shared" si="962"/>
        <v>1.0818254766213156</v>
      </c>
      <c r="T248">
        <f t="shared" si="963"/>
        <v>1.0818254766213156E-3</v>
      </c>
    </row>
    <row r="249" spans="1:20" x14ac:dyDescent="0.25">
      <c r="A249" s="5">
        <v>44344</v>
      </c>
      <c r="B249">
        <v>3722.36</v>
      </c>
      <c r="C249">
        <v>3781.35</v>
      </c>
      <c r="D249">
        <v>3122.44</v>
      </c>
      <c r="E249">
        <v>3247.08</v>
      </c>
      <c r="F249">
        <v>6982.17274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-0.62167822616138801</v>
      </c>
      <c r="Q249">
        <f t="shared" si="960"/>
        <v>-4340.664763755598</v>
      </c>
      <c r="R249">
        <f t="shared" si="961"/>
        <v>110028.9484861618</v>
      </c>
      <c r="S249">
        <f t="shared" si="962"/>
        <v>1.100289484861618</v>
      </c>
      <c r="T249">
        <f t="shared" si="963"/>
        <v>1.100289484861618E-3</v>
      </c>
    </row>
    <row r="250" spans="1:20" x14ac:dyDescent="0.25">
      <c r="A250" s="5">
        <v>44343</v>
      </c>
      <c r="B250">
        <v>3959.59</v>
      </c>
      <c r="C250">
        <v>4100.38</v>
      </c>
      <c r="D250">
        <v>3571.79</v>
      </c>
      <c r="E250">
        <v>3723.2</v>
      </c>
      <c r="F250">
        <v>6687.7250299999996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-0.42711742560396598</v>
      </c>
      <c r="Q250">
        <f t="shared" si="960"/>
        <v>-2856.4438979608062</v>
      </c>
      <c r="R250">
        <f t="shared" si="961"/>
        <v>114369.6132499174</v>
      </c>
      <c r="S250">
        <f t="shared" si="962"/>
        <v>1.1436961324991739</v>
      </c>
      <c r="T250">
        <f t="shared" si="963"/>
        <v>1.143696132499174E-3</v>
      </c>
    </row>
    <row r="251" spans="1:20" x14ac:dyDescent="0.25">
      <c r="A251" s="5">
        <v>44342</v>
      </c>
      <c r="B251">
        <v>3869.89</v>
      </c>
      <c r="C251">
        <v>4044.46</v>
      </c>
      <c r="D251">
        <v>3666.67</v>
      </c>
      <c r="E251">
        <v>3967.77</v>
      </c>
      <c r="F251">
        <v>9775.5951700000005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0.59400725270652976</v>
      </c>
      <c r="Q251">
        <f t="shared" si="960"/>
        <v>5806.7744305029219</v>
      </c>
      <c r="R251">
        <f t="shared" si="961"/>
        <v>117226.05714787821</v>
      </c>
      <c r="S251">
        <f t="shared" si="962"/>
        <v>1.1722605714787822</v>
      </c>
      <c r="T251">
        <f t="shared" si="963"/>
        <v>1.1722605714787821E-3</v>
      </c>
    </row>
    <row r="252" spans="1:20" x14ac:dyDescent="0.25">
      <c r="A252" s="5">
        <v>44341</v>
      </c>
      <c r="B252">
        <v>4186.76</v>
      </c>
      <c r="C252">
        <v>4338.71</v>
      </c>
      <c r="D252">
        <v>3290.11</v>
      </c>
      <c r="E252">
        <v>3858.37</v>
      </c>
      <c r="F252">
        <v>17581.742429999998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8.3845126835780687E-2</v>
      </c>
      <c r="Q252">
        <f t="shared" si="960"/>
        <v>1474.1434240373769</v>
      </c>
      <c r="R252">
        <f t="shared" si="961"/>
        <v>111419.28271737529</v>
      </c>
      <c r="S252">
        <f t="shared" si="962"/>
        <v>1.1141928271737529</v>
      </c>
      <c r="T252">
        <f t="shared" si="963"/>
        <v>1.1141928271737528E-3</v>
      </c>
    </row>
    <row r="253" spans="1:20" x14ac:dyDescent="0.25">
      <c r="A253" s="5">
        <v>44340</v>
      </c>
      <c r="B253">
        <v>2718.35</v>
      </c>
      <c r="C253">
        <v>4250</v>
      </c>
      <c r="D253">
        <v>2710.92</v>
      </c>
      <c r="E253">
        <v>4182.3100000000004</v>
      </c>
      <c r="F253">
        <v>37899.386639999997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0.91203836057904775</v>
      </c>
      <c r="Q253">
        <f t="shared" si="960"/>
        <v>34565.694458097059</v>
      </c>
      <c r="R253">
        <f t="shared" si="961"/>
        <v>109945.13929333791</v>
      </c>
      <c r="S253">
        <f t="shared" si="962"/>
        <v>1.0994513929333791</v>
      </c>
      <c r="T253">
        <f t="shared" si="963"/>
        <v>1.0994513929333792E-3</v>
      </c>
    </row>
    <row r="254" spans="1:20" x14ac:dyDescent="0.25">
      <c r="A254" s="5">
        <v>44339</v>
      </c>
      <c r="B254">
        <v>2769.92</v>
      </c>
      <c r="C254">
        <v>2880.95</v>
      </c>
      <c r="D254">
        <v>1829.45</v>
      </c>
      <c r="E254">
        <v>2715</v>
      </c>
      <c r="F254">
        <v>23317.096420000002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0.68435568235853572</v>
      </c>
      <c r="Q254">
        <f t="shared" si="960"/>
        <v>15957.187431128872</v>
      </c>
      <c r="R254">
        <f t="shared" si="961"/>
        <v>75379.444835240851</v>
      </c>
      <c r="S254">
        <f t="shared" si="962"/>
        <v>0.7537944483524085</v>
      </c>
      <c r="T254">
        <f t="shared" si="963"/>
        <v>7.5379444835240849E-4</v>
      </c>
    </row>
    <row r="255" spans="1:20" x14ac:dyDescent="0.25">
      <c r="A255" s="5">
        <v>44338</v>
      </c>
      <c r="B255">
        <v>3115.43</v>
      </c>
      <c r="C255">
        <v>3216.98</v>
      </c>
      <c r="D255">
        <v>2541.98</v>
      </c>
      <c r="E255">
        <v>2765.73</v>
      </c>
      <c r="F255">
        <v>14202.523520000001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-0.33703703703703702</v>
      </c>
      <c r="Q255">
        <f t="shared" si="960"/>
        <v>-4786.77644562963</v>
      </c>
      <c r="R255">
        <f t="shared" si="961"/>
        <v>59422.257404111973</v>
      </c>
      <c r="S255">
        <f t="shared" si="962"/>
        <v>0.59422257404111978</v>
      </c>
      <c r="T255">
        <f t="shared" si="963"/>
        <v>5.942225740411198E-4</v>
      </c>
    </row>
    <row r="256" spans="1:20" x14ac:dyDescent="0.25">
      <c r="A256" s="5">
        <v>44337</v>
      </c>
      <c r="B256">
        <v>3937.61</v>
      </c>
      <c r="C256">
        <v>4175</v>
      </c>
      <c r="D256">
        <v>2708.37</v>
      </c>
      <c r="E256">
        <v>3113.08</v>
      </c>
      <c r="F256">
        <v>11780.153350000001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-0.44810892999597718</v>
      </c>
      <c r="Q256">
        <f t="shared" si="960"/>
        <v>-5278.7919128570265</v>
      </c>
      <c r="R256">
        <f t="shared" si="961"/>
        <v>64209.033849741601</v>
      </c>
      <c r="S256">
        <f t="shared" si="962"/>
        <v>0.64209033849741604</v>
      </c>
      <c r="T256">
        <f t="shared" si="963"/>
        <v>6.4209033849741608E-4</v>
      </c>
    </row>
    <row r="257" spans="1:20" x14ac:dyDescent="0.25">
      <c r="A257" s="5">
        <v>44336</v>
      </c>
      <c r="B257">
        <v>3463.01</v>
      </c>
      <c r="C257">
        <v>4300</v>
      </c>
      <c r="D257">
        <v>3019.68</v>
      </c>
      <c r="E257">
        <v>3937.61</v>
      </c>
      <c r="F257">
        <v>13322.14134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0.43390714821294701</v>
      </c>
      <c r="Q257">
        <f t="shared" si="960"/>
        <v>5780.5723569292086</v>
      </c>
      <c r="R257">
        <f t="shared" si="961"/>
        <v>69487.82576259863</v>
      </c>
      <c r="S257">
        <f t="shared" si="962"/>
        <v>0.69487825762598632</v>
      </c>
      <c r="T257">
        <f t="shared" si="963"/>
        <v>6.9487825762598631E-4</v>
      </c>
    </row>
    <row r="258" spans="1:20" x14ac:dyDescent="0.25">
      <c r="A258" s="5">
        <v>44335</v>
      </c>
      <c r="B258">
        <v>4646.1099999999997</v>
      </c>
      <c r="C258">
        <v>4740.07</v>
      </c>
      <c r="D258">
        <v>2435</v>
      </c>
      <c r="E258">
        <v>3462.08</v>
      </c>
      <c r="F258">
        <v>21196.17598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-0.10885135809324657</v>
      </c>
      <c r="Q258">
        <f t="shared" si="960"/>
        <v>-2307.2325418064515</v>
      </c>
      <c r="R258">
        <f t="shared" si="961"/>
        <v>63707.25340566942</v>
      </c>
      <c r="S258">
        <f t="shared" si="962"/>
        <v>0.63707253405669417</v>
      </c>
      <c r="T258">
        <f t="shared" si="963"/>
        <v>6.3707253405669419E-4</v>
      </c>
    </row>
    <row r="259" spans="1:20" x14ac:dyDescent="0.25">
      <c r="A259" s="5">
        <v>44334</v>
      </c>
      <c r="B259">
        <v>4254.75</v>
      </c>
      <c r="C259">
        <v>5036.8</v>
      </c>
      <c r="D259">
        <v>4196.34</v>
      </c>
      <c r="E259">
        <v>4653.29</v>
      </c>
      <c r="F259">
        <v>9742.4007399999991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8.7380720081859459E-2</v>
      </c>
      <c r="Q259">
        <f t="shared" si="960"/>
        <v>851.29799198724038</v>
      </c>
      <c r="R259">
        <f t="shared" si="961"/>
        <v>66014.48594747587</v>
      </c>
      <c r="S259">
        <f t="shared" si="962"/>
        <v>0.66014485947475865</v>
      </c>
      <c r="T259">
        <f t="shared" si="963"/>
        <v>6.601448594747586E-4</v>
      </c>
    </row>
    <row r="260" spans="1:20" x14ac:dyDescent="0.25">
      <c r="A260" s="5">
        <v>44333</v>
      </c>
      <c r="B260">
        <v>4545.05</v>
      </c>
      <c r="C260">
        <v>4821.57</v>
      </c>
      <c r="D260">
        <v>4132.22</v>
      </c>
      <c r="E260">
        <v>4246.57</v>
      </c>
      <c r="F260">
        <v>7118.6296300000004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-0.66823819540146645</v>
      </c>
      <c r="Q260">
        <f t="shared" si="960"/>
        <v>-4756.9402176826088</v>
      </c>
      <c r="R260">
        <f t="shared" si="961"/>
        <v>65163.187955488625</v>
      </c>
      <c r="S260">
        <f t="shared" si="962"/>
        <v>0.65163187955488622</v>
      </c>
      <c r="T260">
        <f t="shared" si="963"/>
        <v>6.5163187955488624E-4</v>
      </c>
    </row>
    <row r="261" spans="1:20" x14ac:dyDescent="0.25">
      <c r="A261" s="5">
        <v>44332</v>
      </c>
      <c r="B261">
        <v>4603.38</v>
      </c>
      <c r="C261">
        <v>4925.5200000000004</v>
      </c>
      <c r="D261">
        <v>4200</v>
      </c>
      <c r="E261">
        <v>4544.21</v>
      </c>
      <c r="F261">
        <v>4815.4284699999998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-5.1135737126475275E-2</v>
      </c>
      <c r="Q261">
        <f t="shared" si="960"/>
        <v>-246.24048439326504</v>
      </c>
      <c r="R261">
        <f t="shared" si="961"/>
        <v>69920.128173171237</v>
      </c>
      <c r="S261">
        <f t="shared" si="962"/>
        <v>0.69920128173171237</v>
      </c>
      <c r="T261">
        <f t="shared" si="963"/>
        <v>6.9920128173171238E-4</v>
      </c>
    </row>
    <row r="262" spans="1:20" x14ac:dyDescent="0.25">
      <c r="A262" s="5">
        <v>44331</v>
      </c>
      <c r="B262">
        <v>5005.0600000000004</v>
      </c>
      <c r="C262">
        <v>5138.29</v>
      </c>
      <c r="D262">
        <v>4580</v>
      </c>
      <c r="E262">
        <v>4603.6099999999997</v>
      </c>
      <c r="F262">
        <v>3891.02414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-0.91542030127711527</v>
      </c>
      <c r="Q262">
        <f t="shared" ref="Q262:Q325" si="965">F262*P262</f>
        <v>-3561.9224905153283</v>
      </c>
      <c r="R262">
        <f t="shared" ref="R262:R325" si="966">R263+Q262</f>
        <v>70166.368657564497</v>
      </c>
      <c r="S262">
        <f t="shared" ref="S262:S325" si="967">R262/100000</f>
        <v>0.70166368657564493</v>
      </c>
      <c r="T262">
        <f t="shared" ref="T262:T325" si="968">S262/1000</f>
        <v>7.0166368657564491E-4</v>
      </c>
    </row>
    <row r="263" spans="1:20" x14ac:dyDescent="0.25">
      <c r="A263" s="5">
        <v>44330</v>
      </c>
      <c r="B263">
        <v>4763.37</v>
      </c>
      <c r="C263">
        <v>5350</v>
      </c>
      <c r="D263">
        <v>4714.54</v>
      </c>
      <c r="E263">
        <v>5005.0600000000004</v>
      </c>
      <c r="F263">
        <v>5487.4691599999996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-8.5638749881973938E-2</v>
      </c>
      <c r="Q263">
        <f t="shared" si="965"/>
        <v>-469.93999887828562</v>
      </c>
      <c r="R263">
        <f t="shared" si="966"/>
        <v>73728.291148079821</v>
      </c>
      <c r="S263">
        <f t="shared" si="967"/>
        <v>0.73728291148079816</v>
      </c>
      <c r="T263">
        <f t="shared" si="968"/>
        <v>7.3728291148079819E-4</v>
      </c>
    </row>
    <row r="264" spans="1:20" x14ac:dyDescent="0.25">
      <c r="A264" s="5">
        <v>44329</v>
      </c>
      <c r="B264">
        <v>4933.4399999999996</v>
      </c>
      <c r="C264">
        <v>5306.45</v>
      </c>
      <c r="D264">
        <v>4439.66</v>
      </c>
      <c r="E264">
        <v>4761.75</v>
      </c>
      <c r="F264">
        <v>16777.804380000001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-0.25682114468325623</v>
      </c>
      <c r="Q264">
        <f t="shared" si="965"/>
        <v>-4308.8949261433509</v>
      </c>
      <c r="R264">
        <f t="shared" si="966"/>
        <v>74198.231146958104</v>
      </c>
      <c r="S264">
        <f t="shared" si="967"/>
        <v>0.74198231146958105</v>
      </c>
      <c r="T264">
        <f t="shared" si="968"/>
        <v>7.41982311469581E-4</v>
      </c>
    </row>
    <row r="265" spans="1:20" x14ac:dyDescent="0.25">
      <c r="A265" s="5">
        <v>44328</v>
      </c>
      <c r="B265">
        <v>5368.68</v>
      </c>
      <c r="C265">
        <v>6110</v>
      </c>
      <c r="D265">
        <v>4830</v>
      </c>
      <c r="E265">
        <v>4934.45</v>
      </c>
      <c r="F265">
        <v>15551.13392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-0.83679687500000033</v>
      </c>
      <c r="Q265">
        <f t="shared" si="965"/>
        <v>-13013.140266962506</v>
      </c>
      <c r="R265">
        <f t="shared" si="966"/>
        <v>78507.126073101448</v>
      </c>
      <c r="S265">
        <f t="shared" si="967"/>
        <v>0.78507126073101452</v>
      </c>
      <c r="T265">
        <f t="shared" si="968"/>
        <v>7.850712607310145E-4</v>
      </c>
    </row>
    <row r="266" spans="1:20" x14ac:dyDescent="0.25">
      <c r="A266" s="5">
        <v>44327</v>
      </c>
      <c r="B266">
        <v>4982.75</v>
      </c>
      <c r="C266">
        <v>5409.94</v>
      </c>
      <c r="D266">
        <v>4731.51</v>
      </c>
      <c r="E266">
        <v>5368.7</v>
      </c>
      <c r="F266">
        <v>5416.13555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0.87842518756540888</v>
      </c>
      <c r="Q266">
        <f t="shared" si="965"/>
        <v>4757.6698863884294</v>
      </c>
      <c r="R266">
        <f t="shared" si="966"/>
        <v>91520.266340063958</v>
      </c>
      <c r="S266">
        <f t="shared" si="967"/>
        <v>0.9152026634006396</v>
      </c>
      <c r="T266">
        <f t="shared" si="968"/>
        <v>9.1520266340063959E-4</v>
      </c>
    </row>
    <row r="267" spans="1:20" x14ac:dyDescent="0.25">
      <c r="A267" s="5">
        <v>44326</v>
      </c>
      <c r="B267">
        <v>5279.72</v>
      </c>
      <c r="C267">
        <v>5450</v>
      </c>
      <c r="D267">
        <v>4620</v>
      </c>
      <c r="E267">
        <v>4982.78</v>
      </c>
      <c r="F267">
        <v>6149.79997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-0.12583132530120544</v>
      </c>
      <c r="Q267">
        <f t="shared" si="965"/>
        <v>-773.83748056241348</v>
      </c>
      <c r="R267">
        <f t="shared" si="966"/>
        <v>86762.596453675535</v>
      </c>
      <c r="S267">
        <f t="shared" si="967"/>
        <v>0.86762596453675533</v>
      </c>
      <c r="T267">
        <f t="shared" si="968"/>
        <v>8.6762596453675539E-4</v>
      </c>
    </row>
    <row r="268" spans="1:20" x14ac:dyDescent="0.25">
      <c r="A268" s="5">
        <v>44325</v>
      </c>
      <c r="B268">
        <v>5638.17</v>
      </c>
      <c r="C268">
        <v>5700.07</v>
      </c>
      <c r="D268">
        <v>5032.6099999999997</v>
      </c>
      <c r="E268">
        <v>5276.77</v>
      </c>
      <c r="F268">
        <v>5790.2489299999997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-0.26839061516794788</v>
      </c>
      <c r="Q268">
        <f t="shared" si="965"/>
        <v>-1554.0484722982519</v>
      </c>
      <c r="R268">
        <f t="shared" si="966"/>
        <v>87536.433934237954</v>
      </c>
      <c r="S268">
        <f t="shared" si="967"/>
        <v>0.87536433934237956</v>
      </c>
      <c r="T268">
        <f t="shared" si="968"/>
        <v>8.7536433934237961E-4</v>
      </c>
    </row>
    <row r="269" spans="1:20" x14ac:dyDescent="0.25">
      <c r="A269" s="5">
        <v>44324</v>
      </c>
      <c r="B269">
        <v>5080.18</v>
      </c>
      <c r="C269">
        <v>5873.92</v>
      </c>
      <c r="D269">
        <v>5000.3500000000004</v>
      </c>
      <c r="E269">
        <v>5640.47</v>
      </c>
      <c r="F269">
        <v>12044.62062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0.46552651762308711</v>
      </c>
      <c r="Q269">
        <f t="shared" si="965"/>
        <v>5607.0902933198286</v>
      </c>
      <c r="R269">
        <f t="shared" si="966"/>
        <v>89090.482406536205</v>
      </c>
      <c r="S269">
        <f t="shared" si="967"/>
        <v>0.89090482406536209</v>
      </c>
      <c r="T269">
        <f t="shared" si="968"/>
        <v>8.9090482406536204E-4</v>
      </c>
    </row>
    <row r="270" spans="1:20" x14ac:dyDescent="0.25">
      <c r="A270" s="5">
        <v>44323</v>
      </c>
      <c r="B270">
        <v>5054.79</v>
      </c>
      <c r="C270">
        <v>5367.57</v>
      </c>
      <c r="D270">
        <v>4864.8599999999997</v>
      </c>
      <c r="E270">
        <v>5078.03</v>
      </c>
      <c r="F270">
        <v>5779.8022199999996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-0.15191661196315945</v>
      </c>
      <c r="Q270">
        <f t="shared" si="965"/>
        <v>-878.04797107954744</v>
      </c>
      <c r="R270">
        <f t="shared" si="966"/>
        <v>83483.392113216381</v>
      </c>
      <c r="S270">
        <f t="shared" si="967"/>
        <v>0.83483392113216381</v>
      </c>
      <c r="T270">
        <f t="shared" si="968"/>
        <v>8.3483392113216381E-4</v>
      </c>
    </row>
    <row r="271" spans="1:20" x14ac:dyDescent="0.25">
      <c r="A271" s="5">
        <v>44322</v>
      </c>
      <c r="B271">
        <v>5411.53</v>
      </c>
      <c r="C271">
        <v>5439.83</v>
      </c>
      <c r="D271">
        <v>4880.87</v>
      </c>
      <c r="E271">
        <v>5054.97</v>
      </c>
      <c r="F271">
        <v>9708.6976099999993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-0.37705739229998442</v>
      </c>
      <c r="Q271">
        <f t="shared" si="965"/>
        <v>-3660.7362034556909</v>
      </c>
      <c r="R271">
        <f t="shared" si="966"/>
        <v>84361.440084295929</v>
      </c>
      <c r="S271">
        <f t="shared" si="967"/>
        <v>0.84361440084295924</v>
      </c>
      <c r="T271">
        <f t="shared" si="968"/>
        <v>8.4361440084295921E-4</v>
      </c>
    </row>
    <row r="272" spans="1:20" x14ac:dyDescent="0.25">
      <c r="A272" s="5">
        <v>44321</v>
      </c>
      <c r="B272">
        <v>5241.29</v>
      </c>
      <c r="C272">
        <v>5528.13</v>
      </c>
      <c r="D272">
        <v>5108.79</v>
      </c>
      <c r="E272">
        <v>5416.4</v>
      </c>
      <c r="F272">
        <v>12131.537319999999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0.4671149902227289</v>
      </c>
      <c r="Q272">
        <f t="shared" si="965"/>
        <v>5666.8229366184705</v>
      </c>
      <c r="R272">
        <f t="shared" si="966"/>
        <v>88022.176287751616</v>
      </c>
      <c r="S272">
        <f t="shared" si="967"/>
        <v>0.88022176287751619</v>
      </c>
      <c r="T272">
        <f t="shared" si="968"/>
        <v>8.8022176287751619E-4</v>
      </c>
    </row>
    <row r="273" spans="1:20" x14ac:dyDescent="0.25">
      <c r="A273" s="5">
        <v>44320</v>
      </c>
      <c r="B273">
        <v>5979.03</v>
      </c>
      <c r="C273">
        <v>6023</v>
      </c>
      <c r="D273">
        <v>5093.05</v>
      </c>
      <c r="E273">
        <v>5237.08</v>
      </c>
      <c r="F273">
        <v>23544.400460000001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-0.69024141082853963</v>
      </c>
      <c r="Q273">
        <f t="shared" si="965"/>
        <v>-16251.320190622519</v>
      </c>
      <c r="R273">
        <f t="shared" si="966"/>
        <v>82355.353351133148</v>
      </c>
      <c r="S273">
        <f t="shared" si="967"/>
        <v>0.82355353351133143</v>
      </c>
      <c r="T273">
        <f t="shared" si="968"/>
        <v>8.2355353351133145E-4</v>
      </c>
    </row>
    <row r="274" spans="1:20" x14ac:dyDescent="0.25">
      <c r="A274" s="5">
        <v>44319</v>
      </c>
      <c r="B274">
        <v>4911.17</v>
      </c>
      <c r="C274">
        <v>6347.94</v>
      </c>
      <c r="D274">
        <v>4911.17</v>
      </c>
      <c r="E274">
        <v>5981.71</v>
      </c>
      <c r="F274">
        <v>25027.543109999999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0.49020372084606489</v>
      </c>
      <c r="Q274">
        <f t="shared" si="965"/>
        <v>12268.594756157294</v>
      </c>
      <c r="R274">
        <f t="shared" si="966"/>
        <v>98606.673541755663</v>
      </c>
      <c r="S274">
        <f t="shared" si="967"/>
        <v>0.98606673541755663</v>
      </c>
      <c r="T274">
        <f t="shared" si="968"/>
        <v>9.8606673541755657E-4</v>
      </c>
    </row>
    <row r="275" spans="1:20" x14ac:dyDescent="0.25">
      <c r="A275" s="5">
        <v>44318</v>
      </c>
      <c r="B275">
        <v>4788.57</v>
      </c>
      <c r="C275">
        <v>5114.5200000000004</v>
      </c>
      <c r="D275">
        <v>4517.83</v>
      </c>
      <c r="E275">
        <v>4906.9399999999996</v>
      </c>
      <c r="F275">
        <v>9127.5380299999997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0.30422832626656837</v>
      </c>
      <c r="Q275">
        <f t="shared" si="965"/>
        <v>2776.8556178013505</v>
      </c>
      <c r="R275">
        <f t="shared" si="966"/>
        <v>86338.078785598365</v>
      </c>
      <c r="S275">
        <f t="shared" si="967"/>
        <v>0.8633807878559836</v>
      </c>
      <c r="T275">
        <f t="shared" si="968"/>
        <v>8.6338078785598365E-4</v>
      </c>
    </row>
    <row r="276" spans="1:20" x14ac:dyDescent="0.25">
      <c r="A276" s="5">
        <v>44317</v>
      </c>
      <c r="B276">
        <v>4344.87</v>
      </c>
      <c r="C276">
        <v>4998.99</v>
      </c>
      <c r="D276">
        <v>4291.54</v>
      </c>
      <c r="E276">
        <v>4786.41</v>
      </c>
      <c r="F276">
        <v>11452.56587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0.39902466605413817</v>
      </c>
      <c r="Q276">
        <f t="shared" si="965"/>
        <v>4569.8562717397708</v>
      </c>
      <c r="R276">
        <f t="shared" si="966"/>
        <v>83561.223167797012</v>
      </c>
      <c r="S276">
        <f t="shared" si="967"/>
        <v>0.83561223167797016</v>
      </c>
      <c r="T276">
        <f t="shared" si="968"/>
        <v>8.3561223167797011E-4</v>
      </c>
    </row>
    <row r="277" spans="1:20" x14ac:dyDescent="0.25">
      <c r="A277" s="5">
        <v>44316</v>
      </c>
      <c r="B277">
        <v>4261.4799999999996</v>
      </c>
      <c r="C277">
        <v>4361.7</v>
      </c>
      <c r="D277">
        <v>4072.88</v>
      </c>
      <c r="E277">
        <v>4344.1899999999996</v>
      </c>
      <c r="F277">
        <v>5769.2316000000001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0.87874800914063955</v>
      </c>
      <c r="Q277">
        <f t="shared" si="965"/>
        <v>5069.7007827712669</v>
      </c>
      <c r="R277">
        <f t="shared" si="966"/>
        <v>78991.36689605724</v>
      </c>
      <c r="S277">
        <f t="shared" si="967"/>
        <v>0.78991366896057236</v>
      </c>
      <c r="T277">
        <f t="shared" si="968"/>
        <v>7.8991366896057232E-4</v>
      </c>
    </row>
    <row r="278" spans="1:20" x14ac:dyDescent="0.25">
      <c r="A278" s="5">
        <v>44315</v>
      </c>
      <c r="B278">
        <v>4415.66</v>
      </c>
      <c r="C278">
        <v>4415.66</v>
      </c>
      <c r="D278">
        <v>4063.06</v>
      </c>
      <c r="E278">
        <v>4261.47</v>
      </c>
      <c r="F278">
        <v>7375.0171899999996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0.12541123085649666</v>
      </c>
      <c r="Q278">
        <f t="shared" si="965"/>
        <v>924.90998338572126</v>
      </c>
      <c r="R278">
        <f t="shared" si="966"/>
        <v>73921.666113285974</v>
      </c>
      <c r="S278">
        <f t="shared" si="967"/>
        <v>0.73921666113285978</v>
      </c>
      <c r="T278">
        <f t="shared" si="968"/>
        <v>7.3921666113285973E-4</v>
      </c>
    </row>
    <row r="279" spans="1:20" x14ac:dyDescent="0.25">
      <c r="A279" s="5">
        <v>44314</v>
      </c>
      <c r="B279">
        <v>4559.58</v>
      </c>
      <c r="C279">
        <v>4662.24</v>
      </c>
      <c r="D279">
        <v>4133.33</v>
      </c>
      <c r="E279">
        <v>4408.2</v>
      </c>
      <c r="F279">
        <v>6011.2985799999997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3.938288177572731E-2</v>
      </c>
      <c r="Q279">
        <f t="shared" si="965"/>
        <v>236.74226129473743</v>
      </c>
      <c r="R279">
        <f t="shared" si="966"/>
        <v>72996.756129900255</v>
      </c>
      <c r="S279">
        <f t="shared" si="967"/>
        <v>0.72996756129900253</v>
      </c>
      <c r="T279">
        <f t="shared" si="968"/>
        <v>7.2996756129900249E-4</v>
      </c>
    </row>
    <row r="280" spans="1:20" x14ac:dyDescent="0.25">
      <c r="A280" s="5">
        <v>44313</v>
      </c>
      <c r="B280">
        <v>4021.58</v>
      </c>
      <c r="C280">
        <v>4600</v>
      </c>
      <c r="D280">
        <v>4000.38</v>
      </c>
      <c r="E280">
        <v>4556.83</v>
      </c>
      <c r="F280">
        <v>8993.3697300000003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0.85600880557686509</v>
      </c>
      <c r="Q280">
        <f t="shared" si="965"/>
        <v>7698.4036806884342</v>
      </c>
      <c r="R280">
        <f t="shared" si="966"/>
        <v>72760.013868605514</v>
      </c>
      <c r="S280">
        <f t="shared" si="967"/>
        <v>0.72760013868605511</v>
      </c>
      <c r="T280">
        <f t="shared" si="968"/>
        <v>7.2760013868605506E-4</v>
      </c>
    </row>
    <row r="281" spans="1:20" x14ac:dyDescent="0.25">
      <c r="A281" s="5">
        <v>44312</v>
      </c>
      <c r="B281">
        <v>3819.84</v>
      </c>
      <c r="C281">
        <v>4150.34</v>
      </c>
      <c r="D281">
        <v>3728.53</v>
      </c>
      <c r="E281">
        <v>4022.05</v>
      </c>
      <c r="F281">
        <v>7396.4821000000002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0.39171664967639469</v>
      </c>
      <c r="Q281">
        <f t="shared" si="965"/>
        <v>2897.3251876034242</v>
      </c>
      <c r="R281">
        <f t="shared" si="966"/>
        <v>65061.610187917082</v>
      </c>
      <c r="S281">
        <f t="shared" si="967"/>
        <v>0.65061610187917085</v>
      </c>
      <c r="T281">
        <f t="shared" si="968"/>
        <v>6.5061610187917081E-4</v>
      </c>
    </row>
    <row r="282" spans="1:20" x14ac:dyDescent="0.25">
      <c r="A282" s="5">
        <v>44311</v>
      </c>
      <c r="B282">
        <v>4009.03</v>
      </c>
      <c r="C282">
        <v>4140.6499999999996</v>
      </c>
      <c r="D282">
        <v>3568</v>
      </c>
      <c r="E282">
        <v>3819.83</v>
      </c>
      <c r="F282">
        <v>8194.7228500000001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-0.12047498472016036</v>
      </c>
      <c r="Q282">
        <f t="shared" si="965"/>
        <v>-987.25911013969892</v>
      </c>
      <c r="R282">
        <f t="shared" si="966"/>
        <v>62164.285000313655</v>
      </c>
      <c r="S282">
        <f t="shared" si="967"/>
        <v>0.62164285000313657</v>
      </c>
      <c r="T282">
        <f t="shared" si="968"/>
        <v>6.2164285000313661E-4</v>
      </c>
    </row>
    <row r="283" spans="1:20" x14ac:dyDescent="0.25">
      <c r="A283" s="5">
        <v>44310</v>
      </c>
      <c r="B283">
        <v>4056.88</v>
      </c>
      <c r="C283">
        <v>4185.75</v>
      </c>
      <c r="D283">
        <v>3602</v>
      </c>
      <c r="E283">
        <v>4022.24</v>
      </c>
      <c r="F283">
        <v>9449.6638399999993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0.43979443254817913</v>
      </c>
      <c r="Q283">
        <f t="shared" si="965"/>
        <v>4155.9095462838468</v>
      </c>
      <c r="R283">
        <f t="shared" si="966"/>
        <v>63151.544110453353</v>
      </c>
      <c r="S283">
        <f t="shared" si="967"/>
        <v>0.6315154411045335</v>
      </c>
      <c r="T283">
        <f t="shared" si="968"/>
        <v>6.3151544110453346E-4</v>
      </c>
    </row>
    <row r="284" spans="1:20" x14ac:dyDescent="0.25">
      <c r="A284" s="5">
        <v>44309</v>
      </c>
      <c r="B284">
        <v>4018.78</v>
      </c>
      <c r="C284">
        <v>4582.13</v>
      </c>
      <c r="D284">
        <v>3242.62</v>
      </c>
      <c r="E284">
        <v>4056.86</v>
      </c>
      <c r="F284">
        <v>38552.806709999997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0.21572813939425625</v>
      </c>
      <c r="Q284">
        <f t="shared" si="965"/>
        <v>8316.9252599746978</v>
      </c>
      <c r="R284">
        <f t="shared" si="966"/>
        <v>58995.634564169508</v>
      </c>
      <c r="S284">
        <f t="shared" si="967"/>
        <v>0.58995634564169508</v>
      </c>
      <c r="T284">
        <f t="shared" si="968"/>
        <v>5.8995634564169505E-4</v>
      </c>
    </row>
    <row r="285" spans="1:20" x14ac:dyDescent="0.25">
      <c r="A285" s="5">
        <v>44308</v>
      </c>
      <c r="B285">
        <v>4045.99</v>
      </c>
      <c r="C285">
        <v>4979.59</v>
      </c>
      <c r="D285">
        <v>3822.32</v>
      </c>
      <c r="E285">
        <v>4023.17</v>
      </c>
      <c r="F285">
        <v>44798.270750000003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-0.65288999109974355</v>
      </c>
      <c r="Q285">
        <f t="shared" si="965"/>
        <v>-29248.342591251403</v>
      </c>
      <c r="R285">
        <f t="shared" si="966"/>
        <v>50678.70930419481</v>
      </c>
      <c r="S285">
        <f t="shared" si="967"/>
        <v>0.50678709304194813</v>
      </c>
      <c r="T285">
        <f t="shared" si="968"/>
        <v>5.0678709304194814E-4</v>
      </c>
    </row>
    <row r="286" spans="1:20" x14ac:dyDescent="0.25">
      <c r="A286" s="5">
        <v>44307</v>
      </c>
      <c r="B286">
        <v>3453.47</v>
      </c>
      <c r="C286">
        <v>4269.6400000000003</v>
      </c>
      <c r="D286">
        <v>3366.25</v>
      </c>
      <c r="E286">
        <v>4046.96</v>
      </c>
      <c r="F286">
        <v>15168.621370000001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0.50701247523218052</v>
      </c>
      <c r="Q286">
        <f t="shared" si="965"/>
        <v>7690.6802666634494</v>
      </c>
      <c r="R286">
        <f t="shared" si="966"/>
        <v>79927.051895446217</v>
      </c>
      <c r="S286">
        <f t="shared" si="967"/>
        <v>0.79927051895446222</v>
      </c>
      <c r="T286">
        <f t="shared" si="968"/>
        <v>7.9927051895446223E-4</v>
      </c>
    </row>
    <row r="287" spans="1:20" x14ac:dyDescent="0.25">
      <c r="A287" s="5">
        <v>44306</v>
      </c>
      <c r="B287">
        <v>3508.6</v>
      </c>
      <c r="C287">
        <v>3666.64</v>
      </c>
      <c r="D287">
        <v>3170.09</v>
      </c>
      <c r="E287">
        <v>3453.48</v>
      </c>
      <c r="F287">
        <v>7812.48081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0.14143590776356874</v>
      </c>
      <c r="Q287">
        <f t="shared" si="965"/>
        <v>1104.9653152478108</v>
      </c>
      <c r="R287">
        <f t="shared" si="966"/>
        <v>72236.37162878277</v>
      </c>
      <c r="S287">
        <f t="shared" si="967"/>
        <v>0.7223637162878277</v>
      </c>
      <c r="T287">
        <f t="shared" si="968"/>
        <v>7.2236371628782773E-4</v>
      </c>
    </row>
    <row r="288" spans="1:20" x14ac:dyDescent="0.25">
      <c r="A288" s="5">
        <v>44305</v>
      </c>
      <c r="B288">
        <v>3243.51</v>
      </c>
      <c r="C288">
        <v>3871.39</v>
      </c>
      <c r="D288">
        <v>3157.02</v>
      </c>
      <c r="E288">
        <v>3514.64</v>
      </c>
      <c r="F288">
        <v>12646.74476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1.2178562929572785E-3</v>
      </c>
      <c r="Q288">
        <f t="shared" si="965"/>
        <v>15.401917691390485</v>
      </c>
      <c r="R288">
        <f t="shared" si="966"/>
        <v>71131.406313534957</v>
      </c>
      <c r="S288">
        <f t="shared" si="967"/>
        <v>0.71131406313534962</v>
      </c>
      <c r="T288">
        <f t="shared" si="968"/>
        <v>7.113140631353496E-4</v>
      </c>
    </row>
    <row r="289" spans="1:20" x14ac:dyDescent="0.25">
      <c r="A289" s="5">
        <v>44304</v>
      </c>
      <c r="B289">
        <v>3309.27</v>
      </c>
      <c r="C289">
        <v>3334.65</v>
      </c>
      <c r="D289">
        <v>2687.54</v>
      </c>
      <c r="E289">
        <v>3251.32</v>
      </c>
      <c r="F289">
        <v>6650.8724599999996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0.74245491492945581</v>
      </c>
      <c r="Q289">
        <f t="shared" si="965"/>
        <v>4937.9729464959601</v>
      </c>
      <c r="R289">
        <f t="shared" si="966"/>
        <v>71116.004395843571</v>
      </c>
      <c r="S289">
        <f t="shared" si="967"/>
        <v>0.71116004395843568</v>
      </c>
      <c r="T289">
        <f t="shared" si="968"/>
        <v>7.111600439584357E-4</v>
      </c>
    </row>
    <row r="290" spans="1:20" x14ac:dyDescent="0.25">
      <c r="A290" s="5">
        <v>44303</v>
      </c>
      <c r="B290">
        <v>3369.74</v>
      </c>
      <c r="C290">
        <v>3670.68</v>
      </c>
      <c r="D290">
        <v>3282.99</v>
      </c>
      <c r="E290">
        <v>3308.18</v>
      </c>
      <c r="F290">
        <v>6740.2749199999998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-0.87005081379452631</v>
      </c>
      <c r="Q290">
        <f t="shared" si="965"/>
        <v>-5864.3816793448359</v>
      </c>
      <c r="R290">
        <f t="shared" si="966"/>
        <v>66178.031449347618</v>
      </c>
      <c r="S290">
        <f t="shared" si="967"/>
        <v>0.66178031449347618</v>
      </c>
      <c r="T290">
        <f t="shared" si="968"/>
        <v>6.6178031449347623E-4</v>
      </c>
    </row>
    <row r="291" spans="1:20" x14ac:dyDescent="0.25">
      <c r="A291" s="5">
        <v>44302</v>
      </c>
      <c r="B291">
        <v>3754.85</v>
      </c>
      <c r="C291">
        <v>3831.82</v>
      </c>
      <c r="D291">
        <v>3201.8</v>
      </c>
      <c r="E291">
        <v>3371.01</v>
      </c>
      <c r="F291">
        <v>16857.27621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-0.46284244944604919</v>
      </c>
      <c r="Q291">
        <f t="shared" si="965"/>
        <v>-7802.2630120250124</v>
      </c>
      <c r="R291">
        <f t="shared" si="966"/>
        <v>72042.413128692453</v>
      </c>
      <c r="S291">
        <f t="shared" si="967"/>
        <v>0.72042413128692451</v>
      </c>
      <c r="T291">
        <f t="shared" si="968"/>
        <v>7.2042413128692447E-4</v>
      </c>
    </row>
    <row r="292" spans="1:20" x14ac:dyDescent="0.25">
      <c r="A292" s="5">
        <v>44301</v>
      </c>
      <c r="B292">
        <v>2676.04</v>
      </c>
      <c r="C292">
        <v>4096.57</v>
      </c>
      <c r="D292">
        <v>2676.04</v>
      </c>
      <c r="E292">
        <v>3751.61</v>
      </c>
      <c r="F292">
        <v>40353.02102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0.51432211920902815</v>
      </c>
      <c r="Q292">
        <f t="shared" si="965"/>
        <v>20754.451287492859</v>
      </c>
      <c r="R292">
        <f t="shared" si="966"/>
        <v>79844.676140717464</v>
      </c>
      <c r="S292">
        <f t="shared" si="967"/>
        <v>0.79844676140717463</v>
      </c>
      <c r="T292">
        <f t="shared" si="968"/>
        <v>7.9844676140717458E-4</v>
      </c>
    </row>
    <row r="293" spans="1:20" x14ac:dyDescent="0.25">
      <c r="A293" s="5">
        <v>44300</v>
      </c>
      <c r="B293">
        <v>2573.21</v>
      </c>
      <c r="C293">
        <v>2683.86</v>
      </c>
      <c r="D293">
        <v>2489.1799999999998</v>
      </c>
      <c r="E293">
        <v>2677.93</v>
      </c>
      <c r="F293">
        <v>6023.51937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0.93907951510170251</v>
      </c>
      <c r="Q293">
        <f t="shared" si="965"/>
        <v>5656.5636491853129</v>
      </c>
      <c r="R293">
        <f t="shared" si="966"/>
        <v>59090.224853224601</v>
      </c>
      <c r="S293">
        <f t="shared" si="967"/>
        <v>0.59090224853224604</v>
      </c>
      <c r="T293">
        <f t="shared" si="968"/>
        <v>5.9090224853224603E-4</v>
      </c>
    </row>
    <row r="294" spans="1:20" x14ac:dyDescent="0.25">
      <c r="A294" s="5">
        <v>44299</v>
      </c>
      <c r="B294">
        <v>2687.79</v>
      </c>
      <c r="C294">
        <v>2764.03</v>
      </c>
      <c r="D294">
        <v>2437.4299999999998</v>
      </c>
      <c r="E294">
        <v>2570.64</v>
      </c>
      <c r="F294">
        <v>7452.0358299999998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-0.18426209430496088</v>
      </c>
      <c r="Q294">
        <f t="shared" si="965"/>
        <v>-1373.1277288714073</v>
      </c>
      <c r="R294">
        <f t="shared" si="966"/>
        <v>53433.661204039287</v>
      </c>
      <c r="S294">
        <f t="shared" si="967"/>
        <v>0.53433661204039284</v>
      </c>
      <c r="T294">
        <f t="shared" si="968"/>
        <v>5.3433661204039281E-4</v>
      </c>
    </row>
    <row r="295" spans="1:20" x14ac:dyDescent="0.25">
      <c r="A295" s="5">
        <v>44298</v>
      </c>
      <c r="B295">
        <v>2276.9699999999998</v>
      </c>
      <c r="C295">
        <v>2719.6</v>
      </c>
      <c r="D295">
        <v>2272.8200000000002</v>
      </c>
      <c r="E295">
        <v>2687.79</v>
      </c>
      <c r="F295">
        <v>11211.106690000001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0.85760329468642305</v>
      </c>
      <c r="Q295">
        <f t="shared" si="965"/>
        <v>9614.6820344249991</v>
      </c>
      <c r="R295">
        <f t="shared" si="966"/>
        <v>54806.788932910691</v>
      </c>
      <c r="S295">
        <f t="shared" si="967"/>
        <v>0.54806788932910688</v>
      </c>
      <c r="T295">
        <f t="shared" si="968"/>
        <v>5.4806788932910684E-4</v>
      </c>
    </row>
    <row r="296" spans="1:20" x14ac:dyDescent="0.25">
      <c r="A296" s="5">
        <v>44297</v>
      </c>
      <c r="B296">
        <v>2233.25</v>
      </c>
      <c r="C296">
        <v>2307.02</v>
      </c>
      <c r="D296">
        <v>2179.59</v>
      </c>
      <c r="E296">
        <v>2275.1999999999998</v>
      </c>
      <c r="F296">
        <v>2716.40634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0.50058855842422967</v>
      </c>
      <c r="Q296">
        <f t="shared" si="965"/>
        <v>1359.801933835038</v>
      </c>
      <c r="R296">
        <f t="shared" si="966"/>
        <v>45192.10689848569</v>
      </c>
      <c r="S296">
        <f t="shared" si="967"/>
        <v>0.4519210689848569</v>
      </c>
      <c r="T296">
        <f t="shared" si="968"/>
        <v>4.5192106898485687E-4</v>
      </c>
    </row>
    <row r="297" spans="1:20" x14ac:dyDescent="0.25">
      <c r="A297" s="5">
        <v>44296</v>
      </c>
      <c r="B297">
        <v>2223.06</v>
      </c>
      <c r="C297">
        <v>2388.17</v>
      </c>
      <c r="D297">
        <v>2176.92</v>
      </c>
      <c r="E297">
        <v>2232.09</v>
      </c>
      <c r="F297">
        <v>4888.7121399999996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-0.47768047337278036</v>
      </c>
      <c r="Q297">
        <f t="shared" si="965"/>
        <v>-2335.2423292184581</v>
      </c>
      <c r="R297">
        <f t="shared" si="966"/>
        <v>43832.304964650655</v>
      </c>
      <c r="S297">
        <f t="shared" si="967"/>
        <v>0.43832304964650654</v>
      </c>
      <c r="T297">
        <f t="shared" si="968"/>
        <v>4.3832304964650654E-4</v>
      </c>
    </row>
    <row r="298" spans="1:20" x14ac:dyDescent="0.25">
      <c r="A298" s="5">
        <v>44295</v>
      </c>
      <c r="B298">
        <v>2211.67</v>
      </c>
      <c r="C298">
        <v>2292.44</v>
      </c>
      <c r="D298">
        <v>2170.59</v>
      </c>
      <c r="E298">
        <v>2222.8200000000002</v>
      </c>
      <c r="F298">
        <v>4132.31286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-0.14271645465736468</v>
      </c>
      <c r="Q298">
        <f t="shared" si="965"/>
        <v>-589.74904091423502</v>
      </c>
      <c r="R298">
        <f t="shared" si="966"/>
        <v>46167.547293869116</v>
      </c>
      <c r="S298">
        <f t="shared" si="967"/>
        <v>0.46167547293869116</v>
      </c>
      <c r="T298">
        <f t="shared" si="968"/>
        <v>4.6167547293869118E-4</v>
      </c>
    </row>
    <row r="299" spans="1:20" x14ac:dyDescent="0.25">
      <c r="A299" s="5">
        <v>44294</v>
      </c>
      <c r="B299">
        <v>2105.85</v>
      </c>
      <c r="C299">
        <v>2235.7800000000002</v>
      </c>
      <c r="D299">
        <v>2070.77</v>
      </c>
      <c r="E299">
        <v>2208.29</v>
      </c>
      <c r="F299">
        <v>2838.3660399999999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0.66680807223804373</v>
      </c>
      <c r="Q299">
        <f t="shared" si="965"/>
        <v>1892.6453874383301</v>
      </c>
      <c r="R299">
        <f t="shared" si="966"/>
        <v>46757.29633478335</v>
      </c>
      <c r="S299">
        <f t="shared" si="967"/>
        <v>0.46757296334783349</v>
      </c>
      <c r="T299">
        <f t="shared" si="968"/>
        <v>4.675729633478335E-4</v>
      </c>
    </row>
    <row r="300" spans="1:20" x14ac:dyDescent="0.25">
      <c r="A300" s="5">
        <v>44293</v>
      </c>
      <c r="B300">
        <v>2295.2800000000002</v>
      </c>
      <c r="C300">
        <v>2393.0100000000002</v>
      </c>
      <c r="D300">
        <v>2017.34</v>
      </c>
      <c r="E300">
        <v>2106.48</v>
      </c>
      <c r="F300">
        <v>5727.0465000000004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-0.52543455692496055</v>
      </c>
      <c r="Q300">
        <f t="shared" si="965"/>
        <v>-3009.1881402161462</v>
      </c>
      <c r="R300">
        <f t="shared" si="966"/>
        <v>44864.650947345021</v>
      </c>
      <c r="S300">
        <f t="shared" si="967"/>
        <v>0.44864650947345019</v>
      </c>
      <c r="T300">
        <f t="shared" si="968"/>
        <v>4.4864650947345022E-4</v>
      </c>
    </row>
    <row r="301" spans="1:20" x14ac:dyDescent="0.25">
      <c r="A301" s="5">
        <v>44292</v>
      </c>
      <c r="B301">
        <v>2332.17</v>
      </c>
      <c r="C301">
        <v>2352.79</v>
      </c>
      <c r="D301">
        <v>2186.52</v>
      </c>
      <c r="E301">
        <v>2295.1999999999998</v>
      </c>
      <c r="F301">
        <v>3910.5638100000001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0.30727130570758221</v>
      </c>
      <c r="Q301">
        <f t="shared" si="965"/>
        <v>1201.6040479515175</v>
      </c>
      <c r="R301">
        <f t="shared" si="966"/>
        <v>47873.839087561166</v>
      </c>
      <c r="S301">
        <f t="shared" si="967"/>
        <v>0.47873839087561165</v>
      </c>
      <c r="T301">
        <f t="shared" si="968"/>
        <v>4.7873839087561165E-4</v>
      </c>
    </row>
    <row r="302" spans="1:20" x14ac:dyDescent="0.25">
      <c r="A302" s="5">
        <v>44291</v>
      </c>
      <c r="B302">
        <v>2309.48</v>
      </c>
      <c r="C302">
        <v>2370.3000000000002</v>
      </c>
      <c r="D302">
        <v>2191.64</v>
      </c>
      <c r="E302">
        <v>2330.44</v>
      </c>
      <c r="F302">
        <v>2764.4472000000001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0.55378932049703278</v>
      </c>
      <c r="Q302">
        <f t="shared" si="965"/>
        <v>1530.921336437925</v>
      </c>
      <c r="R302">
        <f t="shared" si="966"/>
        <v>46672.235039609652</v>
      </c>
      <c r="S302">
        <f t="shared" si="967"/>
        <v>0.4667223503960965</v>
      </c>
      <c r="T302">
        <f t="shared" si="968"/>
        <v>4.667223503960965E-4</v>
      </c>
    </row>
    <row r="303" spans="1:20" x14ac:dyDescent="0.25">
      <c r="A303" s="5">
        <v>44290</v>
      </c>
      <c r="B303">
        <v>2236.34</v>
      </c>
      <c r="C303">
        <v>2346.59</v>
      </c>
      <c r="D303">
        <v>2214.37</v>
      </c>
      <c r="E303">
        <v>2307.0100000000002</v>
      </c>
      <c r="F303">
        <v>3143.8408399999998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0.40130086219936695</v>
      </c>
      <c r="Q303">
        <f t="shared" si="965"/>
        <v>1261.6260397095821</v>
      </c>
      <c r="R303">
        <f t="shared" si="966"/>
        <v>45141.313703171727</v>
      </c>
      <c r="S303">
        <f t="shared" si="967"/>
        <v>0.45141313703171726</v>
      </c>
      <c r="T303">
        <f t="shared" si="968"/>
        <v>4.5141313703171725E-4</v>
      </c>
    </row>
    <row r="304" spans="1:20" x14ac:dyDescent="0.25">
      <c r="A304" s="5">
        <v>44289</v>
      </c>
      <c r="B304">
        <v>2485.7800000000002</v>
      </c>
      <c r="C304">
        <v>2580</v>
      </c>
      <c r="D304">
        <v>2214.66</v>
      </c>
      <c r="E304">
        <v>2235.4499999999998</v>
      </c>
      <c r="F304">
        <v>5020.1706400000003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-0.88618820824437539</v>
      </c>
      <c r="Q304">
        <f t="shared" si="965"/>
        <v>-4448.8160245426197</v>
      </c>
      <c r="R304">
        <f t="shared" si="966"/>
        <v>43879.687663462144</v>
      </c>
      <c r="S304">
        <f t="shared" si="967"/>
        <v>0.43879687663462141</v>
      </c>
      <c r="T304">
        <f t="shared" si="968"/>
        <v>4.3879687663462143E-4</v>
      </c>
    </row>
    <row r="305" spans="1:20" x14ac:dyDescent="0.25">
      <c r="A305" s="5">
        <v>44288</v>
      </c>
      <c r="B305">
        <v>2293.2600000000002</v>
      </c>
      <c r="C305">
        <v>2593.29</v>
      </c>
      <c r="D305">
        <v>2271.42</v>
      </c>
      <c r="E305">
        <v>2483.58</v>
      </c>
      <c r="F305">
        <v>6834.96767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0.31829620654301383</v>
      </c>
      <c r="Q305">
        <f t="shared" si="965"/>
        <v>2175.5442812051419</v>
      </c>
      <c r="R305">
        <f t="shared" si="966"/>
        <v>48328.503688004763</v>
      </c>
      <c r="S305">
        <f t="shared" si="967"/>
        <v>0.48328503688004765</v>
      </c>
      <c r="T305">
        <f t="shared" si="968"/>
        <v>4.8328503688004765E-4</v>
      </c>
    </row>
    <row r="306" spans="1:20" x14ac:dyDescent="0.25">
      <c r="A306" s="5">
        <v>44287</v>
      </c>
      <c r="B306">
        <v>2111.86</v>
      </c>
      <c r="C306">
        <v>2382</v>
      </c>
      <c r="D306">
        <v>2104.4699999999998</v>
      </c>
      <c r="E306">
        <v>2289.61</v>
      </c>
      <c r="F306">
        <v>6313.3728700000001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0.3341981047094022</v>
      </c>
      <c r="Q306">
        <f t="shared" si="965"/>
        <v>2109.9172474777592</v>
      </c>
      <c r="R306">
        <f t="shared" si="966"/>
        <v>46152.959406799622</v>
      </c>
      <c r="S306">
        <f t="shared" si="967"/>
        <v>0.46152959406799621</v>
      </c>
      <c r="T306">
        <f t="shared" si="968"/>
        <v>4.615295940679962E-4</v>
      </c>
    </row>
    <row r="307" spans="1:20" x14ac:dyDescent="0.25">
      <c r="A307" s="5">
        <v>44286</v>
      </c>
      <c r="B307">
        <v>2085.96</v>
      </c>
      <c r="C307">
        <v>2141.37</v>
      </c>
      <c r="D307">
        <v>2020.87</v>
      </c>
      <c r="E307">
        <v>2111.4</v>
      </c>
      <c r="F307">
        <v>2009.59611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0.50257261410788712</v>
      </c>
      <c r="Q307">
        <f t="shared" si="965"/>
        <v>1009.967970303741</v>
      </c>
      <c r="R307">
        <f t="shared" si="966"/>
        <v>44043.042159321863</v>
      </c>
      <c r="S307">
        <f t="shared" si="967"/>
        <v>0.44043042159321866</v>
      </c>
      <c r="T307">
        <f t="shared" si="968"/>
        <v>4.4043042159321868E-4</v>
      </c>
    </row>
    <row r="308" spans="1:20" x14ac:dyDescent="0.25">
      <c r="A308" s="5">
        <v>44285</v>
      </c>
      <c r="B308">
        <v>2100.83</v>
      </c>
      <c r="C308">
        <v>2167.5100000000002</v>
      </c>
      <c r="D308">
        <v>2078.9499999999998</v>
      </c>
      <c r="E308">
        <v>2086.1799999999998</v>
      </c>
      <c r="F308">
        <v>1669.85348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-0.83672086720867245</v>
      </c>
      <c r="Q308">
        <f t="shared" si="965"/>
        <v>-1397.2012518970196</v>
      </c>
      <c r="R308">
        <f t="shared" si="966"/>
        <v>43033.074189018123</v>
      </c>
      <c r="S308">
        <f t="shared" si="967"/>
        <v>0.43033074189018122</v>
      </c>
      <c r="T308">
        <f t="shared" si="968"/>
        <v>4.3033074189018121E-4</v>
      </c>
    </row>
    <row r="309" spans="1:20" x14ac:dyDescent="0.25">
      <c r="A309" s="5">
        <v>44284</v>
      </c>
      <c r="B309">
        <v>2059.6</v>
      </c>
      <c r="C309">
        <v>2143.59</v>
      </c>
      <c r="D309">
        <v>2032</v>
      </c>
      <c r="E309">
        <v>2099.9899999999998</v>
      </c>
      <c r="F309">
        <v>1828.2373600000001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0.21856797204049991</v>
      </c>
      <c r="Q309">
        <f t="shared" si="965"/>
        <v>399.59413218387738</v>
      </c>
      <c r="R309">
        <f t="shared" si="966"/>
        <v>44430.275440915146</v>
      </c>
      <c r="S309">
        <f t="shared" si="967"/>
        <v>0.44430275440915146</v>
      </c>
      <c r="T309">
        <f t="shared" si="968"/>
        <v>4.4430275440915146E-4</v>
      </c>
    </row>
    <row r="310" spans="1:20" x14ac:dyDescent="0.25">
      <c r="A310" s="5">
        <v>44283</v>
      </c>
      <c r="B310">
        <v>2140.04</v>
      </c>
      <c r="C310">
        <v>2148.88</v>
      </c>
      <c r="D310">
        <v>2017.8</v>
      </c>
      <c r="E310">
        <v>2058.87</v>
      </c>
      <c r="F310">
        <v>2700.0906300000001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-0.37335978028684946</v>
      </c>
      <c r="Q310">
        <f t="shared" si="965"/>
        <v>-1008.105244371381</v>
      </c>
      <c r="R310">
        <f t="shared" si="966"/>
        <v>44030.681308731269</v>
      </c>
      <c r="S310">
        <f t="shared" si="967"/>
        <v>0.44030681308731268</v>
      </c>
      <c r="T310">
        <f t="shared" si="968"/>
        <v>4.4030681308731266E-4</v>
      </c>
    </row>
    <row r="311" spans="1:20" x14ac:dyDescent="0.25">
      <c r="A311" s="5">
        <v>44282</v>
      </c>
      <c r="B311">
        <v>1982.9</v>
      </c>
      <c r="C311">
        <v>2233.21</v>
      </c>
      <c r="D311">
        <v>1934.28</v>
      </c>
      <c r="E311">
        <v>2140.0300000000002</v>
      </c>
      <c r="F311">
        <v>7913.9950699999999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0.3765764560264957</v>
      </c>
      <c r="Q311">
        <f t="shared" si="965"/>
        <v>2980.2242164717586</v>
      </c>
      <c r="R311">
        <f t="shared" si="966"/>
        <v>45038.786553102647</v>
      </c>
      <c r="S311">
        <f t="shared" si="967"/>
        <v>0.4503878655310265</v>
      </c>
      <c r="T311">
        <f t="shared" si="968"/>
        <v>4.5038786553102653E-4</v>
      </c>
    </row>
    <row r="312" spans="1:20" x14ac:dyDescent="0.25">
      <c r="A312" s="5">
        <v>44281</v>
      </c>
      <c r="B312">
        <v>1882.93</v>
      </c>
      <c r="C312">
        <v>1999</v>
      </c>
      <c r="D312">
        <v>1880.07</v>
      </c>
      <c r="E312">
        <v>1984.54</v>
      </c>
      <c r="F312">
        <v>2547.2163999999998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0.7568317497687711</v>
      </c>
      <c r="Q312">
        <f t="shared" si="965"/>
        <v>1927.8142450517098</v>
      </c>
      <c r="R312">
        <f t="shared" si="966"/>
        <v>42058.562336630886</v>
      </c>
      <c r="S312">
        <f t="shared" si="967"/>
        <v>0.42058562336630889</v>
      </c>
      <c r="T312">
        <f t="shared" si="968"/>
        <v>4.2058562336630889E-4</v>
      </c>
    </row>
    <row r="313" spans="1:20" x14ac:dyDescent="0.25">
      <c r="A313" s="5">
        <v>44280</v>
      </c>
      <c r="B313">
        <v>1811.88</v>
      </c>
      <c r="C313">
        <v>1937.2</v>
      </c>
      <c r="D313">
        <v>1784.15</v>
      </c>
      <c r="E313">
        <v>1882.93</v>
      </c>
      <c r="F313">
        <v>6054.3199400000003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0.29081999346618753</v>
      </c>
      <c r="Q313">
        <f t="shared" si="965"/>
        <v>1760.717285393009</v>
      </c>
      <c r="R313">
        <f t="shared" si="966"/>
        <v>40130.748091579175</v>
      </c>
      <c r="S313">
        <f t="shared" si="967"/>
        <v>0.40130748091579177</v>
      </c>
      <c r="T313">
        <f t="shared" si="968"/>
        <v>4.0130748091579178E-4</v>
      </c>
    </row>
    <row r="314" spans="1:20" x14ac:dyDescent="0.25">
      <c r="A314" s="5">
        <v>44279</v>
      </c>
      <c r="B314">
        <v>2005.24</v>
      </c>
      <c r="C314">
        <v>2078.0300000000002</v>
      </c>
      <c r="D314">
        <v>1757.41</v>
      </c>
      <c r="E314">
        <v>1811.87</v>
      </c>
      <c r="F314">
        <v>3362.9100899999999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-0.66028320129748741</v>
      </c>
      <c r="Q314">
        <f t="shared" si="965"/>
        <v>-2220.4730399008213</v>
      </c>
      <c r="R314">
        <f t="shared" si="966"/>
        <v>38370.030806186165</v>
      </c>
      <c r="S314">
        <f t="shared" si="967"/>
        <v>0.38370030806186167</v>
      </c>
      <c r="T314">
        <f t="shared" si="968"/>
        <v>3.8370030806186167E-4</v>
      </c>
    </row>
    <row r="315" spans="1:20" x14ac:dyDescent="0.25">
      <c r="A315" s="5">
        <v>44278</v>
      </c>
      <c r="B315">
        <v>1965.68</v>
      </c>
      <c r="C315">
        <v>2039.02</v>
      </c>
      <c r="D315">
        <v>1903.36</v>
      </c>
      <c r="E315">
        <v>2004.45</v>
      </c>
      <c r="F315">
        <v>2642.3756899999998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0.49034350582338321</v>
      </c>
      <c r="Q315">
        <f t="shared" si="965"/>
        <v>1295.6717595370812</v>
      </c>
      <c r="R315">
        <f t="shared" si="966"/>
        <v>40590.503846086984</v>
      </c>
      <c r="S315">
        <f t="shared" si="967"/>
        <v>0.40590503846086984</v>
      </c>
      <c r="T315">
        <f t="shared" si="968"/>
        <v>4.0590503846086982E-4</v>
      </c>
    </row>
    <row r="316" spans="1:20" x14ac:dyDescent="0.25">
      <c r="A316" s="5">
        <v>44277</v>
      </c>
      <c r="B316">
        <v>2100.0100000000002</v>
      </c>
      <c r="C316">
        <v>2118.2600000000002</v>
      </c>
      <c r="D316">
        <v>1946.6</v>
      </c>
      <c r="E316">
        <v>1964.4</v>
      </c>
      <c r="F316">
        <v>3000.13535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-0.79261330537108066</v>
      </c>
      <c r="Q316">
        <f t="shared" si="965"/>
        <v>-2377.947196324124</v>
      </c>
      <c r="R316">
        <f t="shared" si="966"/>
        <v>39294.832086549904</v>
      </c>
      <c r="S316">
        <f t="shared" si="967"/>
        <v>0.39294832086549902</v>
      </c>
      <c r="T316">
        <f t="shared" si="968"/>
        <v>3.92948320865499E-4</v>
      </c>
    </row>
    <row r="317" spans="1:20" x14ac:dyDescent="0.25">
      <c r="A317" s="5">
        <v>44276</v>
      </c>
      <c r="B317">
        <v>2135.02</v>
      </c>
      <c r="C317">
        <v>2163.31</v>
      </c>
      <c r="D317">
        <v>2064.13</v>
      </c>
      <c r="E317">
        <v>2100.0100000000002</v>
      </c>
      <c r="F317">
        <v>2401.1025100000002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-0.27646702964306979</v>
      </c>
      <c r="Q317">
        <f t="shared" si="965"/>
        <v>-663.82567880821932</v>
      </c>
      <c r="R317">
        <f t="shared" si="966"/>
        <v>41672.779282874028</v>
      </c>
      <c r="S317">
        <f t="shared" si="967"/>
        <v>0.41672779282874028</v>
      </c>
      <c r="T317">
        <f t="shared" si="968"/>
        <v>4.167277928287403E-4</v>
      </c>
    </row>
    <row r="318" spans="1:20" x14ac:dyDescent="0.25">
      <c r="A318" s="5">
        <v>44275</v>
      </c>
      <c r="B318">
        <v>2095.4699999999998</v>
      </c>
      <c r="C318">
        <v>2267.5</v>
      </c>
      <c r="D318">
        <v>2091.31</v>
      </c>
      <c r="E318">
        <v>2136.5700000000002</v>
      </c>
      <c r="F318">
        <v>4760.5329599999995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-0.48623644928769844</v>
      </c>
      <c r="Q318">
        <f t="shared" si="965"/>
        <v>-2314.7446431874569</v>
      </c>
      <c r="R318">
        <f t="shared" si="966"/>
        <v>42336.604961682249</v>
      </c>
      <c r="S318">
        <f t="shared" si="967"/>
        <v>0.4233660496168225</v>
      </c>
      <c r="T318">
        <f t="shared" si="968"/>
        <v>4.2336604961682253E-4</v>
      </c>
    </row>
    <row r="319" spans="1:20" x14ac:dyDescent="0.25">
      <c r="A319" s="5">
        <v>44274</v>
      </c>
      <c r="B319">
        <v>2121.81</v>
      </c>
      <c r="C319">
        <v>2135.25</v>
      </c>
      <c r="D319">
        <v>2062</v>
      </c>
      <c r="E319">
        <v>2094.4299999999998</v>
      </c>
      <c r="F319">
        <v>2260.6350499999999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-0.11453924914676215</v>
      </c>
      <c r="Q319">
        <f t="shared" si="965"/>
        <v>-258.93144122185311</v>
      </c>
      <c r="R319">
        <f t="shared" si="966"/>
        <v>44651.349604869705</v>
      </c>
      <c r="S319">
        <f t="shared" si="967"/>
        <v>0.44651349604869706</v>
      </c>
      <c r="T319">
        <f t="shared" si="968"/>
        <v>4.4651349604869707E-4</v>
      </c>
    </row>
    <row r="320" spans="1:20" x14ac:dyDescent="0.25">
      <c r="A320" s="5">
        <v>44273</v>
      </c>
      <c r="B320">
        <v>2107.84</v>
      </c>
      <c r="C320">
        <v>2200</v>
      </c>
      <c r="D320">
        <v>2100</v>
      </c>
      <c r="E320">
        <v>2117.4899999999998</v>
      </c>
      <c r="F320">
        <v>2733.3377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-0.65020000000000433</v>
      </c>
      <c r="Q320">
        <f t="shared" si="965"/>
        <v>-1777.2161725400119</v>
      </c>
      <c r="R320">
        <f t="shared" si="966"/>
        <v>44910.281046091557</v>
      </c>
      <c r="S320">
        <f t="shared" si="967"/>
        <v>0.44910281046091555</v>
      </c>
      <c r="T320">
        <f t="shared" si="968"/>
        <v>4.4910281046091555E-4</v>
      </c>
    </row>
    <row r="321" spans="1:20" x14ac:dyDescent="0.25">
      <c r="A321" s="5">
        <v>44272</v>
      </c>
      <c r="B321">
        <v>2070.0100000000002</v>
      </c>
      <c r="C321">
        <v>2175</v>
      </c>
      <c r="D321">
        <v>2021.25</v>
      </c>
      <c r="E321">
        <v>2108.86</v>
      </c>
      <c r="F321">
        <v>1896.7814699999999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0.13964227642276589</v>
      </c>
      <c r="Q321">
        <f t="shared" si="965"/>
        <v>264.87088234732022</v>
      </c>
      <c r="R321">
        <f t="shared" si="966"/>
        <v>46687.497218631572</v>
      </c>
      <c r="S321">
        <f t="shared" si="967"/>
        <v>0.46687497218631574</v>
      </c>
      <c r="T321">
        <f t="shared" si="968"/>
        <v>4.6687497218631576E-4</v>
      </c>
    </row>
    <row r="322" spans="1:20" x14ac:dyDescent="0.25">
      <c r="A322" s="5">
        <v>44271</v>
      </c>
      <c r="B322">
        <v>1997.29</v>
      </c>
      <c r="C322">
        <v>2113</v>
      </c>
      <c r="D322">
        <v>1927.15</v>
      </c>
      <c r="E322">
        <v>2070.0100000000002</v>
      </c>
      <c r="F322">
        <v>2415.7132499999998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0.53736884584342426</v>
      </c>
      <c r="Q322">
        <f t="shared" si="965"/>
        <v>1298.1290410411673</v>
      </c>
      <c r="R322">
        <f t="shared" si="966"/>
        <v>46422.626336284251</v>
      </c>
      <c r="S322">
        <f t="shared" si="967"/>
        <v>0.46422626336284251</v>
      </c>
      <c r="T322">
        <f t="shared" si="968"/>
        <v>4.6422626336284253E-4</v>
      </c>
    </row>
    <row r="323" spans="1:20" x14ac:dyDescent="0.25">
      <c r="A323" s="5">
        <v>44270</v>
      </c>
      <c r="B323">
        <v>2040.53</v>
      </c>
      <c r="C323">
        <v>2131.04</v>
      </c>
      <c r="D323">
        <v>1932.84</v>
      </c>
      <c r="E323">
        <v>1995.23</v>
      </c>
      <c r="F323">
        <v>3093.4713200000001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-0.37043390514631597</v>
      </c>
      <c r="Q323">
        <f t="shared" si="965"/>
        <v>-1145.9266615257288</v>
      </c>
      <c r="R323">
        <f t="shared" si="966"/>
        <v>45124.497295243083</v>
      </c>
      <c r="S323">
        <f t="shared" si="967"/>
        <v>0.45124497295243082</v>
      </c>
      <c r="T323">
        <f t="shared" si="968"/>
        <v>4.5124497295243081E-4</v>
      </c>
    </row>
    <row r="324" spans="1:20" x14ac:dyDescent="0.25">
      <c r="A324" s="5">
        <v>44269</v>
      </c>
      <c r="B324">
        <v>2177.6999999999998</v>
      </c>
      <c r="C324">
        <v>2203.7399999999998</v>
      </c>
      <c r="D324">
        <v>2040.53</v>
      </c>
      <c r="E324">
        <v>2042.71</v>
      </c>
      <c r="F324">
        <v>2605.0760100000002</v>
      </c>
      <c r="G324">
        <v>0</v>
      </c>
      <c r="L324" t="s">
        <v>7</v>
      </c>
      <c r="M324" t="s">
        <v>8</v>
      </c>
      <c r="N324" t="s">
        <v>7</v>
      </c>
      <c r="P324">
        <f t="shared" si="964"/>
        <v>-0.97328595061577028</v>
      </c>
      <c r="Q324">
        <f t="shared" si="965"/>
        <v>-2535.483880819188</v>
      </c>
      <c r="R324">
        <f t="shared" si="966"/>
        <v>46270.423956768813</v>
      </c>
      <c r="S324">
        <f t="shared" si="967"/>
        <v>0.46270423956768814</v>
      </c>
      <c r="T324">
        <f t="shared" si="968"/>
        <v>4.6270423956768815E-4</v>
      </c>
    </row>
    <row r="325" spans="1:20" x14ac:dyDescent="0.25">
      <c r="A325" s="5">
        <v>44268</v>
      </c>
      <c r="B325">
        <v>2133.7399999999998</v>
      </c>
      <c r="C325">
        <v>2235.6</v>
      </c>
      <c r="D325">
        <v>2082.0100000000002</v>
      </c>
      <c r="E325">
        <v>2176.17</v>
      </c>
      <c r="F325">
        <v>3170.9643000000001</v>
      </c>
      <c r="G325">
        <v>0</v>
      </c>
      <c r="L325" t="s">
        <v>7</v>
      </c>
      <c r="M325" t="s">
        <v>8</v>
      </c>
      <c r="N325" t="s">
        <v>7</v>
      </c>
      <c r="P325">
        <f t="shared" si="964"/>
        <v>0.22612149228465453</v>
      </c>
      <c r="Q325">
        <f t="shared" si="965"/>
        <v>717.02317949736494</v>
      </c>
      <c r="R325">
        <f t="shared" si="966"/>
        <v>48805.907837587998</v>
      </c>
      <c r="S325">
        <f t="shared" si="967"/>
        <v>0.48805907837587997</v>
      </c>
      <c r="T325">
        <f t="shared" si="968"/>
        <v>4.8805907837587995E-4</v>
      </c>
    </row>
    <row r="326" spans="1:20" x14ac:dyDescent="0.25">
      <c r="A326" s="5">
        <v>44267</v>
      </c>
      <c r="B326">
        <v>2228.69</v>
      </c>
      <c r="C326">
        <v>2297.06</v>
      </c>
      <c r="D326">
        <v>2089.4499999999998</v>
      </c>
      <c r="E326">
        <v>2136.0700000000002</v>
      </c>
      <c r="F326">
        <v>3234.0761699999998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-0.55088868551610892</v>
      </c>
      <c r="Q326">
        <f t="shared" ref="Q326:Q389" si="970">F326*P326</f>
        <v>-1781.615970150272</v>
      </c>
      <c r="R326">
        <f t="shared" ref="R326:R389" si="971">R327+Q326</f>
        <v>48088.884658090632</v>
      </c>
      <c r="S326">
        <f t="shared" ref="S326:S389" si="972">R326/100000</f>
        <v>0.4808888465809063</v>
      </c>
      <c r="T326">
        <f t="shared" ref="T326:T389" si="973">S326/1000</f>
        <v>4.808888465809063E-4</v>
      </c>
    </row>
    <row r="327" spans="1:20" x14ac:dyDescent="0.25">
      <c r="A327" s="5">
        <v>44266</v>
      </c>
      <c r="B327">
        <v>2253.91</v>
      </c>
      <c r="C327">
        <v>2294.1</v>
      </c>
      <c r="D327">
        <v>2110.9699999999998</v>
      </c>
      <c r="E327">
        <v>2230.2600000000002</v>
      </c>
      <c r="F327">
        <v>3901.21639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0.30279036749850213</v>
      </c>
      <c r="Q327">
        <f t="shared" si="970"/>
        <v>1181.2507444192797</v>
      </c>
      <c r="R327">
        <f t="shared" si="971"/>
        <v>49870.500628240901</v>
      </c>
      <c r="S327">
        <f t="shared" si="972"/>
        <v>0.49870500628240899</v>
      </c>
      <c r="T327">
        <f t="shared" si="973"/>
        <v>4.9870500628240895E-4</v>
      </c>
    </row>
    <row r="328" spans="1:20" x14ac:dyDescent="0.25">
      <c r="A328" s="5">
        <v>44265</v>
      </c>
      <c r="B328">
        <v>2264.9899999999998</v>
      </c>
      <c r="C328">
        <v>2352.33</v>
      </c>
      <c r="D328">
        <v>2169.6</v>
      </c>
      <c r="E328">
        <v>2250.3200000000002</v>
      </c>
      <c r="F328">
        <v>3565.9808400000002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-0.11651069884528817</v>
      </c>
      <c r="Q328">
        <f t="shared" si="970"/>
        <v>-415.47491973730774</v>
      </c>
      <c r="R328">
        <f t="shared" si="971"/>
        <v>48689.24988382162</v>
      </c>
      <c r="S328">
        <f t="shared" si="972"/>
        <v>0.48689249883821617</v>
      </c>
      <c r="T328">
        <f t="shared" si="973"/>
        <v>4.8689249883821618E-4</v>
      </c>
    </row>
    <row r="329" spans="1:20" x14ac:dyDescent="0.25">
      <c r="A329" s="5">
        <v>44264</v>
      </c>
      <c r="B329">
        <v>2194</v>
      </c>
      <c r="C329">
        <v>2275.81</v>
      </c>
      <c r="D329">
        <v>2133.39</v>
      </c>
      <c r="E329">
        <v>2264.69</v>
      </c>
      <c r="F329">
        <v>3770.02675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0.84384215700042287</v>
      </c>
      <c r="Q329">
        <f t="shared" si="970"/>
        <v>3181.3075046692938</v>
      </c>
      <c r="R329">
        <f t="shared" si="971"/>
        <v>49104.724803558929</v>
      </c>
      <c r="S329">
        <f t="shared" si="972"/>
        <v>0.4910472480355893</v>
      </c>
      <c r="T329">
        <f t="shared" si="973"/>
        <v>4.9104724803558934E-4</v>
      </c>
    </row>
    <row r="330" spans="1:20" x14ac:dyDescent="0.25">
      <c r="A330" s="5">
        <v>44263</v>
      </c>
      <c r="B330">
        <v>2256.91</v>
      </c>
      <c r="C330">
        <v>2268.25</v>
      </c>
      <c r="D330">
        <v>2060</v>
      </c>
      <c r="E330">
        <v>2191.75</v>
      </c>
      <c r="F330">
        <v>4584.3788199999999</v>
      </c>
      <c r="G330">
        <v>0</v>
      </c>
      <c r="L330" t="s">
        <v>7</v>
      </c>
      <c r="M330" t="s">
        <v>8</v>
      </c>
      <c r="N330" t="s">
        <v>7</v>
      </c>
      <c r="P330">
        <f t="shared" si="969"/>
        <v>0.26530612244897961</v>
      </c>
      <c r="Q330">
        <f t="shared" si="970"/>
        <v>1216.2637685714287</v>
      </c>
      <c r="R330">
        <f t="shared" si="971"/>
        <v>45923.417298889639</v>
      </c>
      <c r="S330">
        <f t="shared" si="972"/>
        <v>0.45923417298889641</v>
      </c>
      <c r="T330">
        <f t="shared" si="973"/>
        <v>4.5923417298889642E-4</v>
      </c>
    </row>
    <row r="331" spans="1:20" x14ac:dyDescent="0.25">
      <c r="A331" s="5">
        <v>44262</v>
      </c>
      <c r="B331">
        <v>2250.65</v>
      </c>
      <c r="C331">
        <v>2264.2199999999998</v>
      </c>
      <c r="D331">
        <v>2161.67</v>
      </c>
      <c r="E331">
        <v>2255.89</v>
      </c>
      <c r="F331">
        <v>1708.5332900000001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0.83754266211604189</v>
      </c>
      <c r="Q331">
        <f t="shared" si="970"/>
        <v>1430.9695200204794</v>
      </c>
      <c r="R331">
        <f t="shared" si="971"/>
        <v>44707.15353031821</v>
      </c>
      <c r="S331">
        <f t="shared" si="972"/>
        <v>0.44707153530318211</v>
      </c>
      <c r="T331">
        <f t="shared" si="973"/>
        <v>4.470715353031821E-4</v>
      </c>
    </row>
    <row r="332" spans="1:20" x14ac:dyDescent="0.25">
      <c r="A332" s="5">
        <v>44261</v>
      </c>
      <c r="B332">
        <v>2062.37</v>
      </c>
      <c r="C332">
        <v>2332.48</v>
      </c>
      <c r="D332">
        <v>2043.67</v>
      </c>
      <c r="E332">
        <v>2249.64</v>
      </c>
      <c r="F332">
        <v>4232.3630400000002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0.42633565319760286</v>
      </c>
      <c r="Q332">
        <f t="shared" si="970"/>
        <v>1804.4072612277923</v>
      </c>
      <c r="R332">
        <f t="shared" si="971"/>
        <v>43276.184010297729</v>
      </c>
      <c r="S332">
        <f t="shared" si="972"/>
        <v>0.4327618401029773</v>
      </c>
      <c r="T332">
        <f t="shared" si="973"/>
        <v>4.327618401029773E-4</v>
      </c>
    </row>
    <row r="333" spans="1:20" x14ac:dyDescent="0.25">
      <c r="A333" s="5">
        <v>44260</v>
      </c>
      <c r="B333">
        <v>2194.87</v>
      </c>
      <c r="C333">
        <v>2197.4699999999998</v>
      </c>
      <c r="D333">
        <v>2039.16</v>
      </c>
      <c r="E333">
        <v>2057</v>
      </c>
      <c r="F333">
        <v>1454.2188900000001</v>
      </c>
      <c r="G333">
        <v>0</v>
      </c>
      <c r="L333" t="s">
        <v>8</v>
      </c>
      <c r="M333" t="s">
        <v>8</v>
      </c>
      <c r="N333" t="s">
        <v>7</v>
      </c>
      <c r="P333">
        <f t="shared" si="969"/>
        <v>-0.7746194175983836</v>
      </c>
      <c r="Q333">
        <f t="shared" si="970"/>
        <v>-1126.466189632368</v>
      </c>
      <c r="R333">
        <f t="shared" si="971"/>
        <v>41471.776749069941</v>
      </c>
      <c r="S333">
        <f t="shared" si="972"/>
        <v>0.41471776749069938</v>
      </c>
      <c r="T333">
        <f t="shared" si="973"/>
        <v>4.1471776749069941E-4</v>
      </c>
    </row>
    <row r="334" spans="1:20" x14ac:dyDescent="0.25">
      <c r="A334" s="5">
        <v>44259</v>
      </c>
      <c r="B334">
        <v>2195.92</v>
      </c>
      <c r="C334">
        <v>2237.65</v>
      </c>
      <c r="D334">
        <v>2045.28</v>
      </c>
      <c r="E334">
        <v>2194.87</v>
      </c>
      <c r="F334">
        <v>2918.3368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0.55523210479804364</v>
      </c>
      <c r="Q334">
        <f t="shared" si="970"/>
        <v>1620.3542839735874</v>
      </c>
      <c r="R334">
        <f t="shared" si="971"/>
        <v>42598.242938702308</v>
      </c>
      <c r="S334">
        <f t="shared" si="972"/>
        <v>0.42598242938702308</v>
      </c>
      <c r="T334">
        <f t="shared" si="973"/>
        <v>4.2598242938702305E-4</v>
      </c>
    </row>
    <row r="335" spans="1:20" x14ac:dyDescent="0.25">
      <c r="A335" s="5">
        <v>44258</v>
      </c>
      <c r="B335">
        <v>2167.37</v>
      </c>
      <c r="C335">
        <v>2361.79</v>
      </c>
      <c r="D335">
        <v>2157.02</v>
      </c>
      <c r="E335">
        <v>2195.92</v>
      </c>
      <c r="F335">
        <v>1830.96913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-0.62006153245104167</v>
      </c>
      <c r="Q335">
        <f t="shared" si="970"/>
        <v>-1135.3135246183506</v>
      </c>
      <c r="R335">
        <f t="shared" si="971"/>
        <v>40977.888654728718</v>
      </c>
      <c r="S335">
        <f t="shared" si="972"/>
        <v>0.40977888654728717</v>
      </c>
      <c r="T335">
        <f t="shared" si="973"/>
        <v>4.0977888654728715E-4</v>
      </c>
    </row>
    <row r="336" spans="1:20" x14ac:dyDescent="0.25">
      <c r="A336" s="5">
        <v>44257</v>
      </c>
      <c r="B336">
        <v>2173.5</v>
      </c>
      <c r="C336">
        <v>2294.0500000000002</v>
      </c>
      <c r="D336">
        <v>2092.2800000000002</v>
      </c>
      <c r="E336">
        <v>2164.15</v>
      </c>
      <c r="F336">
        <v>2040.7938899999999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-0.28760469841899294</v>
      </c>
      <c r="Q336">
        <f t="shared" si="970"/>
        <v>-586.94191126877342</v>
      </c>
      <c r="R336">
        <f t="shared" si="971"/>
        <v>42113.20217934707</v>
      </c>
      <c r="S336">
        <f t="shared" si="972"/>
        <v>0.4211320217934707</v>
      </c>
      <c r="T336">
        <f t="shared" si="973"/>
        <v>4.2113202179347068E-4</v>
      </c>
    </row>
    <row r="337" spans="1:20" x14ac:dyDescent="0.25">
      <c r="A337" s="5">
        <v>44256</v>
      </c>
      <c r="B337">
        <v>2038.87</v>
      </c>
      <c r="C337">
        <v>2259</v>
      </c>
      <c r="D337">
        <v>2020.94</v>
      </c>
      <c r="E337">
        <v>2173</v>
      </c>
      <c r="F337">
        <v>3312.1537600000001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0.277493068974208</v>
      </c>
      <c r="Q337">
        <f t="shared" si="970"/>
        <v>919.09971177686236</v>
      </c>
      <c r="R337">
        <f t="shared" si="971"/>
        <v>42700.144090615846</v>
      </c>
      <c r="S337">
        <f t="shared" si="972"/>
        <v>0.42700144090615844</v>
      </c>
      <c r="T337">
        <f t="shared" si="973"/>
        <v>4.2700144090615841E-4</v>
      </c>
    </row>
    <row r="338" spans="1:20" x14ac:dyDescent="0.25">
      <c r="A338" s="5">
        <v>44255</v>
      </c>
      <c r="B338">
        <v>1973.84</v>
      </c>
      <c r="C338">
        <v>2066.2600000000002</v>
      </c>
      <c r="D338">
        <v>1775</v>
      </c>
      <c r="E338">
        <v>2036.47</v>
      </c>
      <c r="F338">
        <v>2818.1135800000002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0.79544049989699805</v>
      </c>
      <c r="Q338">
        <f t="shared" si="970"/>
        <v>2241.6416748417191</v>
      </c>
      <c r="R338">
        <f t="shared" si="971"/>
        <v>41781.044378838982</v>
      </c>
      <c r="S338">
        <f t="shared" si="972"/>
        <v>0.41781044378838983</v>
      </c>
      <c r="T338">
        <f t="shared" si="973"/>
        <v>4.1781044378838984E-4</v>
      </c>
    </row>
    <row r="339" spans="1:20" x14ac:dyDescent="0.25">
      <c r="A339" s="5">
        <v>44254</v>
      </c>
      <c r="B339">
        <v>1953.86</v>
      </c>
      <c r="C339">
        <v>2088.41</v>
      </c>
      <c r="D339">
        <v>1937.39</v>
      </c>
      <c r="E339">
        <v>1974.41</v>
      </c>
      <c r="F339">
        <v>2176.7019300000002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-0.50973381009137808</v>
      </c>
      <c r="Q339">
        <f t="shared" si="970"/>
        <v>-1109.5385682121562</v>
      </c>
      <c r="R339">
        <f t="shared" si="971"/>
        <v>39539.402703997264</v>
      </c>
      <c r="S339">
        <f t="shared" si="972"/>
        <v>0.39539402703997262</v>
      </c>
      <c r="T339">
        <f t="shared" si="973"/>
        <v>3.9539402703997261E-4</v>
      </c>
    </row>
    <row r="340" spans="1:20" x14ac:dyDescent="0.25">
      <c r="A340" s="5">
        <v>44253</v>
      </c>
      <c r="B340">
        <v>2026.32</v>
      </c>
      <c r="C340">
        <v>2127.98</v>
      </c>
      <c r="D340">
        <v>1876.76</v>
      </c>
      <c r="E340">
        <v>1952.93</v>
      </c>
      <c r="F340">
        <v>2922.27754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-0.39359923572963884</v>
      </c>
      <c r="Q340">
        <f t="shared" si="970"/>
        <v>-1150.2062063338892</v>
      </c>
      <c r="R340">
        <f t="shared" si="971"/>
        <v>40648.94127220942</v>
      </c>
      <c r="S340">
        <f t="shared" si="972"/>
        <v>0.40648941272209421</v>
      </c>
      <c r="T340">
        <f t="shared" si="973"/>
        <v>4.0648941272209419E-4</v>
      </c>
    </row>
    <row r="341" spans="1:20" x14ac:dyDescent="0.25">
      <c r="A341" s="5">
        <v>44252</v>
      </c>
      <c r="B341">
        <v>2238.14</v>
      </c>
      <c r="C341">
        <v>2334.84</v>
      </c>
      <c r="D341">
        <v>2015.89</v>
      </c>
      <c r="E341">
        <v>2030.84</v>
      </c>
      <c r="F341">
        <v>3665.17785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-0.90625489888697408</v>
      </c>
      <c r="Q341">
        <f t="shared" si="970"/>
        <v>-3321.585381854527</v>
      </c>
      <c r="R341">
        <f t="shared" si="971"/>
        <v>41799.147478543309</v>
      </c>
      <c r="S341">
        <f t="shared" si="972"/>
        <v>0.41799147478543308</v>
      </c>
      <c r="T341">
        <f t="shared" si="973"/>
        <v>4.1799147478543307E-4</v>
      </c>
    </row>
    <row r="342" spans="1:20" x14ac:dyDescent="0.25">
      <c r="A342" s="5">
        <v>44251</v>
      </c>
      <c r="B342">
        <v>2238.44</v>
      </c>
      <c r="C342">
        <v>2425</v>
      </c>
      <c r="D342">
        <v>2153.8000000000002</v>
      </c>
      <c r="E342">
        <v>2233.6799999999998</v>
      </c>
      <c r="F342">
        <v>3780.42731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-0.41091445427728829</v>
      </c>
      <c r="Q342">
        <f t="shared" si="970"/>
        <v>-1553.4322250236069</v>
      </c>
      <c r="R342">
        <f t="shared" si="971"/>
        <v>45120.732860397839</v>
      </c>
      <c r="S342">
        <f t="shared" si="972"/>
        <v>0.45120732860397839</v>
      </c>
      <c r="T342">
        <f t="shared" si="973"/>
        <v>4.5120732860397841E-4</v>
      </c>
    </row>
    <row r="343" spans="1:20" x14ac:dyDescent="0.25">
      <c r="A343" s="5">
        <v>44250</v>
      </c>
      <c r="B343">
        <v>2379.13</v>
      </c>
      <c r="C343">
        <v>2390.0700000000002</v>
      </c>
      <c r="D343">
        <v>1775</v>
      </c>
      <c r="E343">
        <v>2248.67</v>
      </c>
      <c r="F343">
        <v>10962.541800000001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0.54021493488546002</v>
      </c>
      <c r="Q343">
        <f t="shared" si="970"/>
        <v>5922.1288046661339</v>
      </c>
      <c r="R343">
        <f t="shared" si="971"/>
        <v>46674.165085421446</v>
      </c>
      <c r="S343">
        <f t="shared" si="972"/>
        <v>0.46674165085421448</v>
      </c>
      <c r="T343">
        <f t="shared" si="973"/>
        <v>4.667416508542145E-4</v>
      </c>
    </row>
    <row r="344" spans="1:20" x14ac:dyDescent="0.25">
      <c r="A344" s="5">
        <v>44249</v>
      </c>
      <c r="B344">
        <v>2618.23</v>
      </c>
      <c r="C344">
        <v>2624.1</v>
      </c>
      <c r="D344">
        <v>2020.77</v>
      </c>
      <c r="E344">
        <v>2372.67</v>
      </c>
      <c r="F344">
        <v>5989.6235299999998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0.16652578191039774</v>
      </c>
      <c r="Q344">
        <f t="shared" si="970"/>
        <v>997.42674168216661</v>
      </c>
      <c r="R344">
        <f t="shared" si="971"/>
        <v>40752.03628075531</v>
      </c>
      <c r="S344">
        <f t="shared" si="972"/>
        <v>0.4075203628075531</v>
      </c>
      <c r="T344">
        <f t="shared" si="973"/>
        <v>4.0752036280755313E-4</v>
      </c>
    </row>
    <row r="345" spans="1:20" x14ac:dyDescent="0.25">
      <c r="A345" s="5">
        <v>44248</v>
      </c>
      <c r="B345">
        <v>2607.81</v>
      </c>
      <c r="C345">
        <v>2742.12</v>
      </c>
      <c r="D345">
        <v>2522.5</v>
      </c>
      <c r="E345">
        <v>2617.6799999999998</v>
      </c>
      <c r="F345">
        <v>4387.2611500000003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-0.13323012476095181</v>
      </c>
      <c r="Q345">
        <f t="shared" si="970"/>
        <v>-584.51535037337692</v>
      </c>
      <c r="R345">
        <f t="shared" si="971"/>
        <v>39754.609539073143</v>
      </c>
      <c r="S345">
        <f t="shared" si="972"/>
        <v>0.39754609539073144</v>
      </c>
      <c r="T345">
        <f t="shared" si="973"/>
        <v>3.9754609539073142E-4</v>
      </c>
    </row>
    <row r="346" spans="1:20" x14ac:dyDescent="0.25">
      <c r="A346" s="5">
        <v>44247</v>
      </c>
      <c r="B346">
        <v>2570.7600000000002</v>
      </c>
      <c r="C346">
        <v>3078.81</v>
      </c>
      <c r="D346">
        <v>2480</v>
      </c>
      <c r="E346">
        <v>2604.1999999999998</v>
      </c>
      <c r="F346">
        <v>11777.439689999999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-0.58517726824869376</v>
      </c>
      <c r="Q346">
        <f t="shared" si="970"/>
        <v>-6891.8899847579423</v>
      </c>
      <c r="R346">
        <f t="shared" si="971"/>
        <v>40339.124889446517</v>
      </c>
      <c r="S346">
        <f t="shared" si="972"/>
        <v>0.40339124889446515</v>
      </c>
      <c r="T346">
        <f t="shared" si="973"/>
        <v>4.0339124889446517E-4</v>
      </c>
    </row>
    <row r="347" spans="1:20" x14ac:dyDescent="0.25">
      <c r="A347" s="5">
        <v>44246</v>
      </c>
      <c r="B347">
        <v>2627.61</v>
      </c>
      <c r="C347">
        <v>2681.45</v>
      </c>
      <c r="D347">
        <v>2513.5700000000002</v>
      </c>
      <c r="E347">
        <v>2566.64</v>
      </c>
      <c r="F347">
        <v>3358.68595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-0.36776268763402647</v>
      </c>
      <c r="Q347">
        <f t="shared" si="970"/>
        <v>-1235.1993718906435</v>
      </c>
      <c r="R347">
        <f t="shared" si="971"/>
        <v>47231.014874204462</v>
      </c>
      <c r="S347">
        <f t="shared" si="972"/>
        <v>0.47231014874204463</v>
      </c>
      <c r="T347">
        <f t="shared" si="973"/>
        <v>4.7231014874204465E-4</v>
      </c>
    </row>
    <row r="348" spans="1:20" x14ac:dyDescent="0.25">
      <c r="A348" s="5">
        <v>44245</v>
      </c>
      <c r="B348">
        <v>2613.19</v>
      </c>
      <c r="C348">
        <v>2709.99</v>
      </c>
      <c r="D348">
        <v>2545.31</v>
      </c>
      <c r="E348">
        <v>2623.47</v>
      </c>
      <c r="F348">
        <v>3929.2088399999998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-5.0765120233180326E-2</v>
      </c>
      <c r="Q348">
        <f t="shared" si="970"/>
        <v>-199.46675918387498</v>
      </c>
      <c r="R348">
        <f t="shared" si="971"/>
        <v>48466.214246095107</v>
      </c>
      <c r="S348">
        <f t="shared" si="972"/>
        <v>0.48466214246095107</v>
      </c>
      <c r="T348">
        <f t="shared" si="973"/>
        <v>4.8466214246095109E-4</v>
      </c>
    </row>
    <row r="349" spans="1:20" x14ac:dyDescent="0.25">
      <c r="A349" s="5">
        <v>44244</v>
      </c>
      <c r="B349">
        <v>2487.91</v>
      </c>
      <c r="C349">
        <v>2619</v>
      </c>
      <c r="D349">
        <v>2361.81</v>
      </c>
      <c r="E349">
        <v>2613.1999999999998</v>
      </c>
      <c r="F349">
        <v>3225.7187899999999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0.95489715774330119</v>
      </c>
      <c r="Q349">
        <f t="shared" si="970"/>
        <v>3080.2297042501605</v>
      </c>
      <c r="R349">
        <f t="shared" si="971"/>
        <v>48665.681005278981</v>
      </c>
      <c r="S349">
        <f t="shared" si="972"/>
        <v>0.48665681005278982</v>
      </c>
      <c r="T349">
        <f t="shared" si="973"/>
        <v>4.8665681005278984E-4</v>
      </c>
    </row>
    <row r="350" spans="1:20" x14ac:dyDescent="0.25">
      <c r="A350" s="5">
        <v>44243</v>
      </c>
      <c r="B350">
        <v>2464.2199999999998</v>
      </c>
      <c r="C350">
        <v>2594.88</v>
      </c>
      <c r="D350">
        <v>2414.39</v>
      </c>
      <c r="E350">
        <v>2485.02</v>
      </c>
      <c r="F350">
        <v>2887.1512600000001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-0.21735276192586828</v>
      </c>
      <c r="Q350">
        <f t="shared" si="970"/>
        <v>-627.53030045875062</v>
      </c>
      <c r="R350">
        <f t="shared" si="971"/>
        <v>45585.451301028821</v>
      </c>
      <c r="S350">
        <f t="shared" si="972"/>
        <v>0.45585451301028823</v>
      </c>
      <c r="T350">
        <f t="shared" si="973"/>
        <v>4.5585451301028822E-4</v>
      </c>
    </row>
    <row r="351" spans="1:20" x14ac:dyDescent="0.25">
      <c r="A351" s="5">
        <v>44242</v>
      </c>
      <c r="B351">
        <v>2515.37</v>
      </c>
      <c r="C351">
        <v>2650</v>
      </c>
      <c r="D351">
        <v>2208.88</v>
      </c>
      <c r="E351">
        <v>2462.85</v>
      </c>
      <c r="F351">
        <v>5151.3560600000001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0.15147805585781585</v>
      </c>
      <c r="Q351">
        <f t="shared" si="970"/>
        <v>780.31740100017817</v>
      </c>
      <c r="R351">
        <f t="shared" si="971"/>
        <v>46212.981601487569</v>
      </c>
      <c r="S351">
        <f t="shared" si="972"/>
        <v>0.46212981601487568</v>
      </c>
      <c r="T351">
        <f t="shared" si="973"/>
        <v>4.6212981601487566E-4</v>
      </c>
    </row>
    <row r="352" spans="1:20" x14ac:dyDescent="0.25">
      <c r="A352" s="5">
        <v>44241</v>
      </c>
      <c r="B352">
        <v>2589.5500000000002</v>
      </c>
      <c r="C352">
        <v>2673.83</v>
      </c>
      <c r="D352">
        <v>2472.2600000000002</v>
      </c>
      <c r="E352">
        <v>2512.71</v>
      </c>
      <c r="F352">
        <v>4045.0613800000001</v>
      </c>
      <c r="G352">
        <v>0</v>
      </c>
      <c r="L352" t="s">
        <v>7</v>
      </c>
      <c r="M352" t="s">
        <v>8</v>
      </c>
      <c r="N352" t="s">
        <v>7</v>
      </c>
      <c r="P352">
        <f t="shared" si="969"/>
        <v>-0.59865059284615885</v>
      </c>
      <c r="Q352">
        <f t="shared" si="970"/>
        <v>-2421.5783932361014</v>
      </c>
      <c r="R352">
        <f t="shared" si="971"/>
        <v>45432.664200487394</v>
      </c>
      <c r="S352">
        <f t="shared" si="972"/>
        <v>0.45432664200487394</v>
      </c>
      <c r="T352">
        <f t="shared" si="973"/>
        <v>4.5432664200487392E-4</v>
      </c>
    </row>
    <row r="353" spans="1:20" x14ac:dyDescent="0.25">
      <c r="A353" s="5">
        <v>44240</v>
      </c>
      <c r="B353">
        <v>2736.74</v>
      </c>
      <c r="C353">
        <v>2797.32</v>
      </c>
      <c r="D353">
        <v>2527.31</v>
      </c>
      <c r="E353">
        <v>2591.02</v>
      </c>
      <c r="F353">
        <v>6562.7502899999999</v>
      </c>
      <c r="G353">
        <v>0</v>
      </c>
      <c r="L353" t="s">
        <v>7</v>
      </c>
      <c r="M353" t="s">
        <v>8</v>
      </c>
      <c r="N353" t="s">
        <v>7</v>
      </c>
      <c r="P353">
        <f t="shared" si="969"/>
        <v>-0.5280915521647348</v>
      </c>
      <c r="Q353">
        <f t="shared" si="970"/>
        <v>-3465.7329871156635</v>
      </c>
      <c r="R353">
        <f t="shared" si="971"/>
        <v>47854.242593723495</v>
      </c>
      <c r="S353">
        <f t="shared" si="972"/>
        <v>0.47854242593723495</v>
      </c>
      <c r="T353">
        <f t="shared" si="973"/>
        <v>4.7854242593723496E-4</v>
      </c>
    </row>
    <row r="354" spans="1:20" x14ac:dyDescent="0.25">
      <c r="A354" s="5">
        <v>44239</v>
      </c>
      <c r="B354">
        <v>2543.6</v>
      </c>
      <c r="C354">
        <v>2835.58</v>
      </c>
      <c r="D354">
        <v>2508.85</v>
      </c>
      <c r="E354">
        <v>2736.73</v>
      </c>
      <c r="F354">
        <v>10612.27231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0.3949132311082551</v>
      </c>
      <c r="Q354">
        <f t="shared" si="970"/>
        <v>4190.9267473427662</v>
      </c>
      <c r="R354">
        <f t="shared" si="971"/>
        <v>51319.975580839156</v>
      </c>
      <c r="S354">
        <f t="shared" si="972"/>
        <v>0.51319975580839161</v>
      </c>
      <c r="T354">
        <f t="shared" si="973"/>
        <v>5.1319975580839156E-4</v>
      </c>
    </row>
    <row r="355" spans="1:20" x14ac:dyDescent="0.25">
      <c r="A355" s="5">
        <v>44238</v>
      </c>
      <c r="B355">
        <v>2514.77</v>
      </c>
      <c r="C355">
        <v>2649.59</v>
      </c>
      <c r="D355">
        <v>2439.9699999999998</v>
      </c>
      <c r="E355">
        <v>2545.34</v>
      </c>
      <c r="F355">
        <v>7254.6004000000003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5.3430016219842748E-3</v>
      </c>
      <c r="Q355">
        <f t="shared" si="970"/>
        <v>38.761341704047773</v>
      </c>
      <c r="R355">
        <f t="shared" si="971"/>
        <v>47129.048833496388</v>
      </c>
      <c r="S355">
        <f t="shared" si="972"/>
        <v>0.4712904883349639</v>
      </c>
      <c r="T355">
        <f t="shared" si="973"/>
        <v>4.7129048833496391E-4</v>
      </c>
    </row>
    <row r="356" spans="1:20" x14ac:dyDescent="0.25">
      <c r="A356" s="5">
        <v>44237</v>
      </c>
      <c r="B356">
        <v>2563.89</v>
      </c>
      <c r="C356">
        <v>2715</v>
      </c>
      <c r="D356">
        <v>2125.59</v>
      </c>
      <c r="E356">
        <v>2514.7600000000002</v>
      </c>
      <c r="F356">
        <v>9898.3000300000003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0.32054087986291435</v>
      </c>
      <c r="Q356">
        <f t="shared" si="970"/>
        <v>3172.8098007633116</v>
      </c>
      <c r="R356">
        <f t="shared" si="971"/>
        <v>47090.28749179234</v>
      </c>
      <c r="S356">
        <f t="shared" si="972"/>
        <v>0.47090287491792338</v>
      </c>
      <c r="T356">
        <f t="shared" si="973"/>
        <v>4.7090287491792336E-4</v>
      </c>
    </row>
    <row r="357" spans="1:20" x14ac:dyDescent="0.25">
      <c r="A357" s="5">
        <v>44236</v>
      </c>
      <c r="B357">
        <v>2491.02</v>
      </c>
      <c r="C357">
        <v>2638.98</v>
      </c>
      <c r="D357">
        <v>2440.4899999999998</v>
      </c>
      <c r="E357">
        <v>2561.5500000000002</v>
      </c>
      <c r="F357">
        <v>7842.2046899999996</v>
      </c>
      <c r="G357">
        <v>0</v>
      </c>
      <c r="L357" t="s">
        <v>7</v>
      </c>
      <c r="M357" t="s">
        <v>8</v>
      </c>
      <c r="N357" t="s">
        <v>7</v>
      </c>
      <c r="P357">
        <f t="shared" si="969"/>
        <v>0.21980956219457157</v>
      </c>
      <c r="Q357">
        <f t="shared" si="970"/>
        <v>1723.7915795491158</v>
      </c>
      <c r="R357">
        <f t="shared" si="971"/>
        <v>43917.477691029031</v>
      </c>
      <c r="S357">
        <f t="shared" si="972"/>
        <v>0.43917477691029033</v>
      </c>
      <c r="T357">
        <f t="shared" si="973"/>
        <v>4.3917477691029035E-4</v>
      </c>
    </row>
    <row r="358" spans="1:20" x14ac:dyDescent="0.25">
      <c r="A358" s="5">
        <v>44235</v>
      </c>
      <c r="B358">
        <v>2473.84</v>
      </c>
      <c r="C358">
        <v>2737.08</v>
      </c>
      <c r="D358">
        <v>2407.14</v>
      </c>
      <c r="E358">
        <v>2493.91</v>
      </c>
      <c r="F358">
        <v>10909.59398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-0.47402558040855935</v>
      </c>
      <c r="Q358">
        <f t="shared" si="970"/>
        <v>-5171.426618391225</v>
      </c>
      <c r="R358">
        <f t="shared" si="971"/>
        <v>42193.686111479918</v>
      </c>
      <c r="S358">
        <f t="shared" si="972"/>
        <v>0.42193686111479917</v>
      </c>
      <c r="T358">
        <f t="shared" si="973"/>
        <v>4.2193686111479918E-4</v>
      </c>
    </row>
    <row r="359" spans="1:20" x14ac:dyDescent="0.25">
      <c r="A359" s="5">
        <v>44234</v>
      </c>
      <c r="B359">
        <v>2521.31</v>
      </c>
      <c r="C359">
        <v>2700</v>
      </c>
      <c r="D359">
        <v>2236</v>
      </c>
      <c r="E359">
        <v>2475.31</v>
      </c>
      <c r="F359">
        <v>10399.81342</v>
      </c>
      <c r="G359">
        <v>0</v>
      </c>
      <c r="L359" t="s">
        <v>8</v>
      </c>
      <c r="M359" t="s">
        <v>7</v>
      </c>
      <c r="N359" t="s">
        <v>7</v>
      </c>
      <c r="P359">
        <f t="shared" si="969"/>
        <v>3.1508620689654938E-2</v>
      </c>
      <c r="Q359">
        <f t="shared" si="970"/>
        <v>327.68377629396309</v>
      </c>
      <c r="R359">
        <f t="shared" si="971"/>
        <v>47365.112729871144</v>
      </c>
      <c r="S359">
        <f t="shared" si="972"/>
        <v>0.47365112729871145</v>
      </c>
      <c r="T359">
        <f t="shared" si="973"/>
        <v>4.7365112729871146E-4</v>
      </c>
    </row>
    <row r="360" spans="1:20" x14ac:dyDescent="0.25">
      <c r="A360" s="5">
        <v>44233</v>
      </c>
      <c r="B360">
        <v>2694.2</v>
      </c>
      <c r="C360">
        <v>2837.8</v>
      </c>
      <c r="D360">
        <v>2258</v>
      </c>
      <c r="E360">
        <v>2524.2600000000002</v>
      </c>
      <c r="F360">
        <v>17229.259259999999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-8.1545360469126818E-2</v>
      </c>
      <c r="Q360">
        <f t="shared" si="970"/>
        <v>-1404.9661569727411</v>
      </c>
      <c r="R360">
        <f t="shared" si="971"/>
        <v>47037.428953577182</v>
      </c>
      <c r="S360">
        <f t="shared" si="972"/>
        <v>0.47037428953577182</v>
      </c>
      <c r="T360">
        <f t="shared" si="973"/>
        <v>4.7037428953577184E-4</v>
      </c>
    </row>
    <row r="361" spans="1:20" x14ac:dyDescent="0.25">
      <c r="A361" s="5">
        <v>44232</v>
      </c>
      <c r="B361">
        <v>2107.2800000000002</v>
      </c>
      <c r="C361">
        <v>3100</v>
      </c>
      <c r="D361">
        <v>2107.2800000000002</v>
      </c>
      <c r="E361">
        <v>2696.2</v>
      </c>
      <c r="F361">
        <v>32233.499049999999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0.18647755661213583</v>
      </c>
      <c r="Q361">
        <f t="shared" si="970"/>
        <v>6010.824143903601</v>
      </c>
      <c r="R361">
        <f t="shared" si="971"/>
        <v>48442.395110549922</v>
      </c>
      <c r="S361">
        <f t="shared" si="972"/>
        <v>0.48442395110549924</v>
      </c>
      <c r="T361">
        <f t="shared" si="973"/>
        <v>4.8442395110549926E-4</v>
      </c>
    </row>
    <row r="362" spans="1:20" x14ac:dyDescent="0.25">
      <c r="A362" s="5">
        <v>44231</v>
      </c>
      <c r="B362">
        <v>1755.58</v>
      </c>
      <c r="C362">
        <v>2369.5700000000002</v>
      </c>
      <c r="D362">
        <v>1649.15</v>
      </c>
      <c r="E362">
        <v>2103.33</v>
      </c>
      <c r="F362">
        <v>16830.245029999998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0.26087560034424306</v>
      </c>
      <c r="Q362">
        <f t="shared" si="970"/>
        <v>4390.6002761419622</v>
      </c>
      <c r="R362">
        <f t="shared" si="971"/>
        <v>42431.570966646323</v>
      </c>
      <c r="S362">
        <f t="shared" si="972"/>
        <v>0.4243157096664632</v>
      </c>
      <c r="T362">
        <f t="shared" si="973"/>
        <v>4.2431570966646321E-4</v>
      </c>
    </row>
    <row r="363" spans="1:20" x14ac:dyDescent="0.25">
      <c r="A363" s="5">
        <v>44230</v>
      </c>
      <c r="B363">
        <v>1700.91</v>
      </c>
      <c r="C363">
        <v>1766.73</v>
      </c>
      <c r="D363">
        <v>1632.62</v>
      </c>
      <c r="E363">
        <v>1755.34</v>
      </c>
      <c r="F363">
        <v>6764.97577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0.83013943777495958</v>
      </c>
      <c r="Q363">
        <f t="shared" si="970"/>
        <v>5615.8731822690243</v>
      </c>
      <c r="R363">
        <f t="shared" si="971"/>
        <v>38040.970690504357</v>
      </c>
      <c r="S363">
        <f t="shared" si="972"/>
        <v>0.38040970690504355</v>
      </c>
      <c r="T363">
        <f t="shared" si="973"/>
        <v>3.8040970690504357E-4</v>
      </c>
    </row>
    <row r="364" spans="1:20" x14ac:dyDescent="0.25">
      <c r="A364" s="5">
        <v>44229</v>
      </c>
      <c r="B364">
        <v>1469.88</v>
      </c>
      <c r="C364">
        <v>1847.38</v>
      </c>
      <c r="D364">
        <v>1466.04</v>
      </c>
      <c r="E364">
        <v>1698.28</v>
      </c>
      <c r="F364">
        <v>13002.153319999999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0.21802066397440562</v>
      </c>
      <c r="Q364">
        <f t="shared" si="970"/>
        <v>2834.7380999234224</v>
      </c>
      <c r="R364">
        <f t="shared" si="971"/>
        <v>32425.097508235332</v>
      </c>
      <c r="S364">
        <f t="shared" si="972"/>
        <v>0.32425097508235334</v>
      </c>
      <c r="T364">
        <f t="shared" si="973"/>
        <v>3.2425097508235334E-4</v>
      </c>
    </row>
    <row r="365" spans="1:20" x14ac:dyDescent="0.25">
      <c r="A365" s="5">
        <v>44228</v>
      </c>
      <c r="B365">
        <v>1480.48</v>
      </c>
      <c r="C365">
        <v>1519.99</v>
      </c>
      <c r="D365">
        <v>1416.51</v>
      </c>
      <c r="E365">
        <v>1471.15</v>
      </c>
      <c r="F365">
        <v>3912.7010599999999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5.6049478160032674E-2</v>
      </c>
      <c r="Q365">
        <f t="shared" si="970"/>
        <v>219.30485260920668</v>
      </c>
      <c r="R365">
        <f t="shared" si="971"/>
        <v>29590.35940831191</v>
      </c>
      <c r="S365">
        <f t="shared" si="972"/>
        <v>0.29590359408311911</v>
      </c>
      <c r="T365">
        <f t="shared" si="973"/>
        <v>2.959035940831191E-4</v>
      </c>
    </row>
    <row r="366" spans="1:20" x14ac:dyDescent="0.25">
      <c r="A366" s="5">
        <v>44227</v>
      </c>
      <c r="B366">
        <v>1580.01</v>
      </c>
      <c r="C366">
        <v>1620</v>
      </c>
      <c r="D366">
        <v>1405</v>
      </c>
      <c r="E366">
        <v>1479.79</v>
      </c>
      <c r="F366">
        <v>7259.5863099999997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-0.30427906976744218</v>
      </c>
      <c r="Q366">
        <f t="shared" si="970"/>
        <v>-2208.9401693032582</v>
      </c>
      <c r="R366">
        <f t="shared" si="971"/>
        <v>29371.054555702704</v>
      </c>
      <c r="S366">
        <f t="shared" si="972"/>
        <v>0.29371054555702703</v>
      </c>
      <c r="T366">
        <f t="shared" si="973"/>
        <v>2.9371054555702705E-4</v>
      </c>
    </row>
    <row r="367" spans="1:20" x14ac:dyDescent="0.25">
      <c r="A367" s="5">
        <v>44226</v>
      </c>
      <c r="B367">
        <v>1405.83</v>
      </c>
      <c r="C367">
        <v>1634.55</v>
      </c>
      <c r="D367">
        <v>1390.41</v>
      </c>
      <c r="E367">
        <v>1579.94</v>
      </c>
      <c r="F367">
        <v>12176.018830000001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0.55263373474236155</v>
      </c>
      <c r="Q367">
        <f t="shared" si="970"/>
        <v>6728.87876031622</v>
      </c>
      <c r="R367">
        <f t="shared" si="971"/>
        <v>31579.994725005963</v>
      </c>
      <c r="S367">
        <f t="shared" si="972"/>
        <v>0.31579994725005961</v>
      </c>
      <c r="T367">
        <f t="shared" si="973"/>
        <v>3.157999472500596E-4</v>
      </c>
    </row>
    <row r="368" spans="1:20" x14ac:dyDescent="0.25">
      <c r="A368" s="5">
        <v>44225</v>
      </c>
      <c r="B368">
        <v>1399.69</v>
      </c>
      <c r="C368">
        <v>1460</v>
      </c>
      <c r="D368">
        <v>1360.82</v>
      </c>
      <c r="E368">
        <v>1405.22</v>
      </c>
      <c r="F368">
        <v>6270.6433100000004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-0.10465819721717963</v>
      </c>
      <c r="Q368">
        <f t="shared" si="970"/>
        <v>-656.27422421656809</v>
      </c>
      <c r="R368">
        <f t="shared" si="971"/>
        <v>24851.115964689743</v>
      </c>
      <c r="S368">
        <f t="shared" si="972"/>
        <v>0.24851115964689743</v>
      </c>
      <c r="T368">
        <f t="shared" si="973"/>
        <v>2.4851115964689746E-4</v>
      </c>
    </row>
    <row r="369" spans="1:20" x14ac:dyDescent="0.25">
      <c r="A369" s="5">
        <v>44224</v>
      </c>
      <c r="B369">
        <v>1326.47</v>
      </c>
      <c r="C369">
        <v>1449.54</v>
      </c>
      <c r="D369">
        <v>1301.01</v>
      </c>
      <c r="E369">
        <v>1400</v>
      </c>
      <c r="F369">
        <v>3874.4823000000001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0.3329293745371309</v>
      </c>
      <c r="Q369">
        <f t="shared" si="970"/>
        <v>1289.9289687941844</v>
      </c>
      <c r="R369">
        <f t="shared" si="971"/>
        <v>25507.390188906313</v>
      </c>
      <c r="S369">
        <f t="shared" si="972"/>
        <v>0.25507390188906315</v>
      </c>
      <c r="T369">
        <f t="shared" si="973"/>
        <v>2.5507390188906314E-4</v>
      </c>
    </row>
    <row r="370" spans="1:20" x14ac:dyDescent="0.25">
      <c r="A370" s="5">
        <v>44223</v>
      </c>
      <c r="B370">
        <v>1474.09</v>
      </c>
      <c r="C370">
        <v>1478.03</v>
      </c>
      <c r="D370">
        <v>1274.0999999999999</v>
      </c>
      <c r="E370">
        <v>1328.02</v>
      </c>
      <c r="F370">
        <v>4570.76541</v>
      </c>
      <c r="G370">
        <v>0</v>
      </c>
      <c r="L370" t="s">
        <v>8</v>
      </c>
      <c r="M370" t="s">
        <v>7</v>
      </c>
      <c r="N370" t="s">
        <v>8</v>
      </c>
      <c r="P370">
        <f t="shared" si="969"/>
        <v>-0.47119109498357226</v>
      </c>
      <c r="Q370">
        <f t="shared" si="970"/>
        <v>-2153.7039584509366</v>
      </c>
      <c r="R370">
        <f t="shared" si="971"/>
        <v>24217.461220112127</v>
      </c>
      <c r="S370">
        <f t="shared" si="972"/>
        <v>0.24217461220112127</v>
      </c>
      <c r="T370">
        <f t="shared" si="973"/>
        <v>2.4217461220112126E-4</v>
      </c>
    </row>
    <row r="371" spans="1:20" x14ac:dyDescent="0.25">
      <c r="A371" s="5">
        <v>44222</v>
      </c>
      <c r="B371">
        <v>1363.8</v>
      </c>
      <c r="C371">
        <v>1479.21</v>
      </c>
      <c r="D371">
        <v>1294.5</v>
      </c>
      <c r="E371">
        <v>1476.69</v>
      </c>
      <c r="F371">
        <v>4036.9963899999998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0.97271398408315757</v>
      </c>
      <c r="Q371">
        <f t="shared" si="970"/>
        <v>3926.8428422462243</v>
      </c>
      <c r="R371">
        <f t="shared" si="971"/>
        <v>26371.165178563064</v>
      </c>
      <c r="S371">
        <f t="shared" si="972"/>
        <v>0.26371165178563066</v>
      </c>
      <c r="T371">
        <f t="shared" si="973"/>
        <v>2.6371165178563065E-4</v>
      </c>
    </row>
    <row r="372" spans="1:20" x14ac:dyDescent="0.25">
      <c r="A372" s="5">
        <v>44221</v>
      </c>
      <c r="B372">
        <v>1457.84</v>
      </c>
      <c r="C372">
        <v>1550</v>
      </c>
      <c r="D372">
        <v>1340</v>
      </c>
      <c r="E372">
        <v>1366.93</v>
      </c>
      <c r="F372">
        <v>5009.5507299999999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-0.74352380952380892</v>
      </c>
      <c r="Q372">
        <f t="shared" si="970"/>
        <v>-3724.7202427723778</v>
      </c>
      <c r="R372">
        <f t="shared" si="971"/>
        <v>22444.32233631684</v>
      </c>
      <c r="S372">
        <f t="shared" si="972"/>
        <v>0.22444322336316841</v>
      </c>
      <c r="T372">
        <f t="shared" si="973"/>
        <v>2.2444322336316841E-4</v>
      </c>
    </row>
    <row r="373" spans="1:20" x14ac:dyDescent="0.25">
      <c r="A373" s="5">
        <v>44220</v>
      </c>
      <c r="B373">
        <v>1382.32</v>
      </c>
      <c r="C373">
        <v>1470</v>
      </c>
      <c r="D373">
        <v>1364.21</v>
      </c>
      <c r="E373">
        <v>1457.85</v>
      </c>
      <c r="F373">
        <v>4954.2208799999999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0.77029965025049452</v>
      </c>
      <c r="Q373">
        <f t="shared" si="970"/>
        <v>3816.234611127697</v>
      </c>
      <c r="R373">
        <f t="shared" si="971"/>
        <v>26169.042579089219</v>
      </c>
      <c r="S373">
        <f t="shared" si="972"/>
        <v>0.26169042579089219</v>
      </c>
      <c r="T373">
        <f t="shared" si="973"/>
        <v>2.6169042579089221E-4</v>
      </c>
    </row>
    <row r="374" spans="1:20" x14ac:dyDescent="0.25">
      <c r="A374" s="5">
        <v>44219</v>
      </c>
      <c r="B374">
        <v>1409.86</v>
      </c>
      <c r="C374">
        <v>1500</v>
      </c>
      <c r="D374">
        <v>1348.28</v>
      </c>
      <c r="E374">
        <v>1381.03</v>
      </c>
      <c r="F374">
        <v>5091.6422899999998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-0.56828368046401279</v>
      </c>
      <c r="Q374">
        <f t="shared" si="970"/>
        <v>-2893.4972201674141</v>
      </c>
      <c r="R374">
        <f t="shared" si="971"/>
        <v>22352.807967961522</v>
      </c>
      <c r="S374">
        <f t="shared" si="972"/>
        <v>0.22352807967961522</v>
      </c>
      <c r="T374">
        <f t="shared" si="973"/>
        <v>2.2352807967961522E-4</v>
      </c>
    </row>
    <row r="375" spans="1:20" x14ac:dyDescent="0.25">
      <c r="A375" s="5">
        <v>44218</v>
      </c>
      <c r="B375">
        <v>1154.46</v>
      </c>
      <c r="C375">
        <v>1446.9</v>
      </c>
      <c r="D375">
        <v>1066</v>
      </c>
      <c r="E375">
        <v>1410.2</v>
      </c>
      <c r="F375">
        <v>9409.2635200000004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0.80729850354423716</v>
      </c>
      <c r="Q375">
        <f t="shared" si="970"/>
        <v>7596.0843591493813</v>
      </c>
      <c r="R375">
        <f t="shared" si="971"/>
        <v>25246.305188128936</v>
      </c>
      <c r="S375">
        <f t="shared" si="972"/>
        <v>0.25246305188128937</v>
      </c>
      <c r="T375">
        <f t="shared" si="973"/>
        <v>2.5246305188128938E-4</v>
      </c>
    </row>
    <row r="376" spans="1:20" x14ac:dyDescent="0.25">
      <c r="A376" s="5">
        <v>44217</v>
      </c>
      <c r="B376">
        <v>1416.49</v>
      </c>
      <c r="C376">
        <v>1420</v>
      </c>
      <c r="D376">
        <v>1125</v>
      </c>
      <c r="E376">
        <v>1154.8900000000001</v>
      </c>
      <c r="F376">
        <v>7295.5117399999999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-0.79735593220338918</v>
      </c>
      <c r="Q376">
        <f t="shared" si="970"/>
        <v>-5817.1195643484698</v>
      </c>
      <c r="R376">
        <f t="shared" si="971"/>
        <v>17650.220828979553</v>
      </c>
      <c r="S376">
        <f t="shared" si="972"/>
        <v>0.17650220828979551</v>
      </c>
      <c r="T376">
        <f t="shared" si="973"/>
        <v>1.7650220828979553E-4</v>
      </c>
    </row>
    <row r="377" spans="1:20" x14ac:dyDescent="0.25">
      <c r="A377" s="5">
        <v>44216</v>
      </c>
      <c r="B377">
        <v>1403</v>
      </c>
      <c r="C377">
        <v>1443.47</v>
      </c>
      <c r="D377">
        <v>1268.98</v>
      </c>
      <c r="E377">
        <v>1414.31</v>
      </c>
      <c r="F377">
        <v>7064.4312499999996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0.66576881196630089</v>
      </c>
      <c r="Q377">
        <f t="shared" si="970"/>
        <v>4703.2780005301101</v>
      </c>
      <c r="R377">
        <f t="shared" si="971"/>
        <v>23467.340393328021</v>
      </c>
      <c r="S377">
        <f t="shared" si="972"/>
        <v>0.23467340393328021</v>
      </c>
      <c r="T377">
        <f t="shared" si="973"/>
        <v>2.3467340393328021E-4</v>
      </c>
    </row>
    <row r="378" spans="1:20" x14ac:dyDescent="0.25">
      <c r="A378" s="5">
        <v>44215</v>
      </c>
      <c r="B378">
        <v>1423.7</v>
      </c>
      <c r="C378">
        <v>1532.69</v>
      </c>
      <c r="D378">
        <v>1397.82</v>
      </c>
      <c r="E378">
        <v>1407.2</v>
      </c>
      <c r="F378">
        <v>6688.8266199999998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-0.86090309186624003</v>
      </c>
      <c r="Q378">
        <f t="shared" si="970"/>
        <v>-5758.4315181152115</v>
      </c>
      <c r="R378">
        <f t="shared" si="971"/>
        <v>18764.06239279791</v>
      </c>
      <c r="S378">
        <f t="shared" si="972"/>
        <v>0.18764062392797912</v>
      </c>
      <c r="T378">
        <f t="shared" si="973"/>
        <v>1.8764062392797912E-4</v>
      </c>
    </row>
    <row r="379" spans="1:20" x14ac:dyDescent="0.25">
      <c r="A379" s="5">
        <v>44214</v>
      </c>
      <c r="B379">
        <v>1447.66</v>
      </c>
      <c r="C379">
        <v>1472.74</v>
      </c>
      <c r="D379">
        <v>1362.81</v>
      </c>
      <c r="E379">
        <v>1422.04</v>
      </c>
      <c r="F379">
        <v>4583.3943499999996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7.759483307559327E-2</v>
      </c>
      <c r="Q379">
        <f t="shared" si="970"/>
        <v>355.64771950786729</v>
      </c>
      <c r="R379">
        <f t="shared" si="971"/>
        <v>24522.493910913123</v>
      </c>
      <c r="S379">
        <f t="shared" si="972"/>
        <v>0.24522493910913123</v>
      </c>
      <c r="T379">
        <f t="shared" si="973"/>
        <v>2.4522493910913122E-4</v>
      </c>
    </row>
    <row r="380" spans="1:20" x14ac:dyDescent="0.25">
      <c r="A380" s="5">
        <v>44213</v>
      </c>
      <c r="B380">
        <v>1482</v>
      </c>
      <c r="C380">
        <v>1514.69</v>
      </c>
      <c r="D380">
        <v>1420</v>
      </c>
      <c r="E380">
        <v>1447.67</v>
      </c>
      <c r="F380">
        <v>5669.9152299999996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-0.41556658570070637</v>
      </c>
      <c r="Q380">
        <f t="shared" si="970"/>
        <v>-2356.2273133435351</v>
      </c>
      <c r="R380">
        <f t="shared" si="971"/>
        <v>24166.846191405257</v>
      </c>
      <c r="S380">
        <f t="shared" si="972"/>
        <v>0.24166846191405256</v>
      </c>
      <c r="T380">
        <f t="shared" si="973"/>
        <v>2.4166846191405256E-4</v>
      </c>
    </row>
    <row r="381" spans="1:20" x14ac:dyDescent="0.25">
      <c r="A381" s="5">
        <v>44212</v>
      </c>
      <c r="B381">
        <v>1471.88</v>
      </c>
      <c r="C381">
        <v>1619.58</v>
      </c>
      <c r="D381">
        <v>1446.94</v>
      </c>
      <c r="E381">
        <v>1484.61</v>
      </c>
      <c r="F381">
        <v>7961.8515500000003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-0.56360055607043702</v>
      </c>
      <c r="Q381">
        <f t="shared" si="970"/>
        <v>-4487.3039609302714</v>
      </c>
      <c r="R381">
        <f t="shared" si="971"/>
        <v>26523.073504748791</v>
      </c>
      <c r="S381">
        <f t="shared" si="972"/>
        <v>0.2652307350474879</v>
      </c>
      <c r="T381">
        <f t="shared" si="973"/>
        <v>2.6523073504748792E-4</v>
      </c>
    </row>
    <row r="382" spans="1:20" x14ac:dyDescent="0.25">
      <c r="A382" s="5">
        <v>44211</v>
      </c>
      <c r="B382">
        <v>1608.3</v>
      </c>
      <c r="C382">
        <v>1650</v>
      </c>
      <c r="D382">
        <v>1339.8</v>
      </c>
      <c r="E382">
        <v>1470.49</v>
      </c>
      <c r="F382">
        <v>9203.2560300000005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-0.15738233397807844</v>
      </c>
      <c r="Q382">
        <f t="shared" si="970"/>
        <v>-1448.4299141992244</v>
      </c>
      <c r="R382">
        <f t="shared" si="971"/>
        <v>31010.377465679063</v>
      </c>
      <c r="S382">
        <f t="shared" si="972"/>
        <v>0.31010377465679062</v>
      </c>
      <c r="T382">
        <f t="shared" si="973"/>
        <v>3.1010377465679064E-4</v>
      </c>
    </row>
    <row r="383" spans="1:20" x14ac:dyDescent="0.25">
      <c r="A383" s="5">
        <v>44210</v>
      </c>
      <c r="B383">
        <v>1547.18</v>
      </c>
      <c r="C383">
        <v>1710.47</v>
      </c>
      <c r="D383">
        <v>1476.97</v>
      </c>
      <c r="E383">
        <v>1608.32</v>
      </c>
      <c r="F383">
        <v>11519.96593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0.12505353319057738</v>
      </c>
      <c r="Q383">
        <f t="shared" si="970"/>
        <v>1440.6124417815756</v>
      </c>
      <c r="R383">
        <f t="shared" si="971"/>
        <v>32458.807379878286</v>
      </c>
      <c r="S383">
        <f t="shared" si="972"/>
        <v>0.32458807379878285</v>
      </c>
      <c r="T383">
        <f t="shared" si="973"/>
        <v>3.2458807379878284E-4</v>
      </c>
    </row>
    <row r="384" spans="1:20" x14ac:dyDescent="0.25">
      <c r="A384" s="5">
        <v>44209</v>
      </c>
      <c r="B384">
        <v>1486.58</v>
      </c>
      <c r="C384">
        <v>1581.99</v>
      </c>
      <c r="D384">
        <v>1379.35</v>
      </c>
      <c r="E384">
        <v>1546</v>
      </c>
      <c r="F384">
        <v>10896.8385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0.64478878799842088</v>
      </c>
      <c r="Q384">
        <f t="shared" si="970"/>
        <v>7026.1592894295309</v>
      </c>
      <c r="R384">
        <f t="shared" si="971"/>
        <v>31018.194938096709</v>
      </c>
      <c r="S384">
        <f t="shared" si="972"/>
        <v>0.3101819493809671</v>
      </c>
      <c r="T384">
        <f t="shared" si="973"/>
        <v>3.101819493809671E-4</v>
      </c>
    </row>
    <row r="385" spans="1:20" x14ac:dyDescent="0.25">
      <c r="A385" s="5">
        <v>44208</v>
      </c>
      <c r="B385">
        <v>1407.61</v>
      </c>
      <c r="C385">
        <v>1639</v>
      </c>
      <c r="D385">
        <v>1313.63</v>
      </c>
      <c r="E385">
        <v>1489.82</v>
      </c>
      <c r="F385">
        <v>17880.246650000001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8.3013184989395986E-2</v>
      </c>
      <c r="Q385">
        <f t="shared" si="970"/>
        <v>1484.2962228124779</v>
      </c>
      <c r="R385">
        <f t="shared" si="971"/>
        <v>23992.035648667177</v>
      </c>
      <c r="S385">
        <f t="shared" si="972"/>
        <v>0.23992035648667176</v>
      </c>
      <c r="T385">
        <f t="shared" si="973"/>
        <v>2.3992035648667177E-4</v>
      </c>
    </row>
    <row r="386" spans="1:20" x14ac:dyDescent="0.25">
      <c r="A386" s="5">
        <v>44207</v>
      </c>
      <c r="B386">
        <v>1487.4</v>
      </c>
      <c r="C386">
        <v>1498.87</v>
      </c>
      <c r="D386">
        <v>1077</v>
      </c>
      <c r="E386">
        <v>1407.26</v>
      </c>
      <c r="F386">
        <v>23094.168669999999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0.56569559342925579</v>
      </c>
      <c r="Q386">
        <f t="shared" si="970"/>
        <v>13064.269450530977</v>
      </c>
      <c r="R386">
        <f t="shared" si="971"/>
        <v>22507.739425854699</v>
      </c>
      <c r="S386">
        <f t="shared" si="972"/>
        <v>0.225077394258547</v>
      </c>
      <c r="T386">
        <f t="shared" si="973"/>
        <v>2.2507739425854699E-4</v>
      </c>
    </row>
    <row r="387" spans="1:20" x14ac:dyDescent="0.25">
      <c r="A387" s="5">
        <v>44206</v>
      </c>
      <c r="B387">
        <v>1597.54</v>
      </c>
      <c r="C387">
        <v>1978.77</v>
      </c>
      <c r="D387">
        <v>1427.03</v>
      </c>
      <c r="E387">
        <v>1487.41</v>
      </c>
      <c r="F387">
        <v>39574.902580000002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-0.7811287925472139</v>
      </c>
      <c r="Q387">
        <f t="shared" si="970"/>
        <v>-30913.095867489021</v>
      </c>
      <c r="R387">
        <f t="shared" si="971"/>
        <v>9443.4699753237219</v>
      </c>
      <c r="S387">
        <f t="shared" si="972"/>
        <v>9.443469975323722E-2</v>
      </c>
      <c r="T387">
        <f t="shared" si="973"/>
        <v>9.4434699753237218E-5</v>
      </c>
    </row>
    <row r="388" spans="1:20" x14ac:dyDescent="0.25">
      <c r="A388" s="5">
        <v>44205</v>
      </c>
      <c r="B388">
        <v>1038.43</v>
      </c>
      <c r="C388">
        <v>1602</v>
      </c>
      <c r="D388">
        <v>1025.76</v>
      </c>
      <c r="E388">
        <v>1598.25</v>
      </c>
      <c r="F388">
        <v>25134.96818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0.98698458975426906</v>
      </c>
      <c r="Q388">
        <f t="shared" si="970"/>
        <v>24807.826257623907</v>
      </c>
      <c r="R388">
        <f t="shared" si="971"/>
        <v>40356.565842812743</v>
      </c>
      <c r="S388">
        <f t="shared" si="972"/>
        <v>0.40356565842812742</v>
      </c>
      <c r="T388">
        <f t="shared" si="973"/>
        <v>4.0356565842812744E-4</v>
      </c>
    </row>
    <row r="389" spans="1:20" x14ac:dyDescent="0.25">
      <c r="A389" s="5">
        <v>44204</v>
      </c>
      <c r="B389">
        <v>1058.98</v>
      </c>
      <c r="C389">
        <v>1125</v>
      </c>
      <c r="D389">
        <v>955</v>
      </c>
      <c r="E389">
        <v>1039.74</v>
      </c>
      <c r="F389">
        <v>9743.03125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-3.0588235294116578E-3</v>
      </c>
      <c r="Q389">
        <f t="shared" si="970"/>
        <v>-29.802213235293074</v>
      </c>
      <c r="R389">
        <f t="shared" si="971"/>
        <v>15548.739585188838</v>
      </c>
      <c r="S389">
        <f t="shared" si="972"/>
        <v>0.15548739585188837</v>
      </c>
      <c r="T389">
        <f t="shared" si="973"/>
        <v>1.5548739585188837E-4</v>
      </c>
    </row>
    <row r="390" spans="1:20" x14ac:dyDescent="0.25">
      <c r="A390" s="5">
        <v>44203</v>
      </c>
      <c r="B390">
        <v>1038.5999999999999</v>
      </c>
      <c r="C390">
        <v>1190</v>
      </c>
      <c r="D390">
        <v>1000.03</v>
      </c>
      <c r="E390">
        <v>1056.6600000000001</v>
      </c>
      <c r="F390">
        <v>17830.63034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-0.40380060009475072</v>
      </c>
      <c r="Q390">
        <f t="shared" ref="Q390:Q453" si="975">F390*P390</f>
        <v>-7200.019231359669</v>
      </c>
      <c r="R390">
        <f t="shared" ref="R390:R453" si="976">R391+Q390</f>
        <v>15578.54179842413</v>
      </c>
      <c r="S390">
        <f t="shared" ref="S390:S453" si="977">R390/100000</f>
        <v>0.15578541798424131</v>
      </c>
      <c r="T390">
        <f t="shared" ref="T390:T453" si="978">S390/1000</f>
        <v>1.5578541798424132E-4</v>
      </c>
    </row>
    <row r="391" spans="1:20" x14ac:dyDescent="0.25">
      <c r="A391" s="5">
        <v>44202</v>
      </c>
      <c r="B391">
        <v>766.25</v>
      </c>
      <c r="C391">
        <v>1248.99</v>
      </c>
      <c r="D391">
        <v>743.46</v>
      </c>
      <c r="E391">
        <v>1036.42</v>
      </c>
      <c r="F391">
        <v>31416.32575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0.15902122524874904</v>
      </c>
      <c r="Q391">
        <f t="shared" si="975"/>
        <v>4995.8626135788245</v>
      </c>
      <c r="R391">
        <f t="shared" si="976"/>
        <v>22778.561029783799</v>
      </c>
      <c r="S391">
        <f t="shared" si="977"/>
        <v>0.227785610297838</v>
      </c>
      <c r="T391">
        <f t="shared" si="978"/>
        <v>2.27785610297838E-4</v>
      </c>
    </row>
    <row r="392" spans="1:20" x14ac:dyDescent="0.25">
      <c r="A392" s="5">
        <v>44201</v>
      </c>
      <c r="B392">
        <v>689.99</v>
      </c>
      <c r="C392">
        <v>780</v>
      </c>
      <c r="D392">
        <v>653.01</v>
      </c>
      <c r="E392">
        <v>765.26</v>
      </c>
      <c r="F392">
        <v>6043.5969800000003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0.76785573667217877</v>
      </c>
      <c r="Q392">
        <f t="shared" si="975"/>
        <v>4640.6106112276548</v>
      </c>
      <c r="R392">
        <f t="shared" si="976"/>
        <v>17782.698416204974</v>
      </c>
      <c r="S392">
        <f t="shared" si="977"/>
        <v>0.17782698416204973</v>
      </c>
      <c r="T392">
        <f t="shared" si="978"/>
        <v>1.7782698416204972E-4</v>
      </c>
    </row>
    <row r="393" spans="1:20" x14ac:dyDescent="0.25">
      <c r="A393" s="5">
        <v>44200</v>
      </c>
      <c r="B393">
        <v>674.82</v>
      </c>
      <c r="C393">
        <v>752.53</v>
      </c>
      <c r="D393">
        <v>618.14</v>
      </c>
      <c r="E393">
        <v>689.91</v>
      </c>
      <c r="F393">
        <v>6414.5491700000002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6.8085423022546152E-2</v>
      </c>
      <c r="Q393">
        <f t="shared" si="975"/>
        <v>436.73729373837233</v>
      </c>
      <c r="R393">
        <f t="shared" si="976"/>
        <v>13142.08780497732</v>
      </c>
      <c r="S393">
        <f t="shared" si="977"/>
        <v>0.1314208780497732</v>
      </c>
      <c r="T393">
        <f t="shared" si="978"/>
        <v>1.314208780497732E-4</v>
      </c>
    </row>
    <row r="394" spans="1:20" x14ac:dyDescent="0.25">
      <c r="A394" s="5">
        <v>44199</v>
      </c>
      <c r="B394">
        <v>610.67999999999995</v>
      </c>
      <c r="C394">
        <v>700</v>
      </c>
      <c r="D394">
        <v>608.05999999999995</v>
      </c>
      <c r="E394">
        <v>675.38</v>
      </c>
      <c r="F394">
        <v>9234.9804499999991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0.46443332608222776</v>
      </c>
      <c r="Q394">
        <f t="shared" si="975"/>
        <v>4289.0326866978485</v>
      </c>
      <c r="R394">
        <f t="shared" si="976"/>
        <v>12705.350511238948</v>
      </c>
      <c r="S394">
        <f t="shared" si="977"/>
        <v>0.1270535051123895</v>
      </c>
      <c r="T394">
        <f t="shared" si="978"/>
        <v>1.2705350511238949E-4</v>
      </c>
    </row>
    <row r="395" spans="1:20" x14ac:dyDescent="0.25">
      <c r="A395" s="5">
        <v>44198</v>
      </c>
      <c r="B395">
        <v>580.83000000000004</v>
      </c>
      <c r="C395">
        <v>617.44000000000005</v>
      </c>
      <c r="D395">
        <v>568.21</v>
      </c>
      <c r="E395">
        <v>610.67999999999995</v>
      </c>
      <c r="F395">
        <v>4666.0689899999998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0.72537070891732269</v>
      </c>
      <c r="Q395">
        <f t="shared" si="975"/>
        <v>3384.6297711334355</v>
      </c>
      <c r="R395">
        <f t="shared" si="976"/>
        <v>8416.3178245411</v>
      </c>
      <c r="S395">
        <f t="shared" si="977"/>
        <v>8.4163178245411002E-2</v>
      </c>
      <c r="T395">
        <f t="shared" si="978"/>
        <v>8.4163178245410999E-5</v>
      </c>
    </row>
    <row r="396" spans="1:20" x14ac:dyDescent="0.25">
      <c r="A396" s="5">
        <v>44197</v>
      </c>
      <c r="B396">
        <v>585.45000000000005</v>
      </c>
      <c r="C396">
        <v>601</v>
      </c>
      <c r="D396">
        <v>571.86</v>
      </c>
      <c r="E396">
        <v>581.05999999999995</v>
      </c>
      <c r="F396">
        <v>3327.7888699999999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-0.36856554564173399</v>
      </c>
      <c r="Q396">
        <f t="shared" si="975"/>
        <v>-1226.5083206520394</v>
      </c>
      <c r="R396">
        <f t="shared" si="976"/>
        <v>5031.6880534076654</v>
      </c>
      <c r="S396">
        <f t="shared" si="977"/>
        <v>5.0316880534076652E-2</v>
      </c>
      <c r="T396">
        <f t="shared" si="978"/>
        <v>5.0316880534076653E-5</v>
      </c>
    </row>
    <row r="397" spans="1:20" x14ac:dyDescent="0.25">
      <c r="A397" s="5">
        <v>44196</v>
      </c>
      <c r="B397">
        <v>576.41</v>
      </c>
      <c r="C397">
        <v>591.20000000000005</v>
      </c>
      <c r="D397">
        <v>558.75</v>
      </c>
      <c r="E397">
        <v>585.73</v>
      </c>
      <c r="F397">
        <v>1646.6623999999999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0.66286594761170914</v>
      </c>
      <c r="Q397">
        <f t="shared" si="975"/>
        <v>1091.5164321725713</v>
      </c>
      <c r="R397">
        <f t="shared" si="976"/>
        <v>6258.1963740597048</v>
      </c>
      <c r="S397">
        <f t="shared" si="977"/>
        <v>6.2581963740597046E-2</v>
      </c>
      <c r="T397">
        <f t="shared" si="978"/>
        <v>6.2581963740597041E-5</v>
      </c>
    </row>
    <row r="398" spans="1:20" x14ac:dyDescent="0.25">
      <c r="A398" s="5">
        <v>44195</v>
      </c>
      <c r="B398">
        <v>565.17999999999995</v>
      </c>
      <c r="C398">
        <v>584.53</v>
      </c>
      <c r="D398">
        <v>543.39</v>
      </c>
      <c r="E398">
        <v>577.19000000000005</v>
      </c>
      <c r="F398">
        <v>2561.6859399999998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0.64316966456004276</v>
      </c>
      <c r="Q398">
        <f t="shared" si="975"/>
        <v>1647.5986867379777</v>
      </c>
      <c r="R398">
        <f t="shared" si="976"/>
        <v>5166.6799418871333</v>
      </c>
      <c r="S398">
        <f t="shared" si="977"/>
        <v>5.1666799418871333E-2</v>
      </c>
      <c r="T398">
        <f t="shared" si="978"/>
        <v>5.1666799418871333E-5</v>
      </c>
    </row>
    <row r="399" spans="1:20" x14ac:dyDescent="0.25">
      <c r="A399" s="5">
        <v>44194</v>
      </c>
      <c r="B399">
        <v>586.13</v>
      </c>
      <c r="C399">
        <v>595.29</v>
      </c>
      <c r="D399">
        <v>545.01</v>
      </c>
      <c r="E399">
        <v>564.89</v>
      </c>
      <c r="F399">
        <v>3778.1973499999999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-0.20922832140015887</v>
      </c>
      <c r="Q399">
        <f t="shared" si="975"/>
        <v>-790.50588945902848</v>
      </c>
      <c r="R399">
        <f t="shared" si="976"/>
        <v>3519.0812551491554</v>
      </c>
      <c r="S399">
        <f t="shared" si="977"/>
        <v>3.5190812551491556E-2</v>
      </c>
      <c r="T399">
        <f t="shared" si="978"/>
        <v>3.5190812551491552E-5</v>
      </c>
    </row>
    <row r="400" spans="1:20" x14ac:dyDescent="0.25">
      <c r="A400" s="5">
        <v>44193</v>
      </c>
      <c r="B400">
        <v>571.29999999999995</v>
      </c>
      <c r="C400">
        <v>600.27</v>
      </c>
      <c r="D400">
        <v>560.36</v>
      </c>
      <c r="E400">
        <v>585.21</v>
      </c>
      <c r="F400">
        <v>3218.2324400000002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0.24530192934101941</v>
      </c>
      <c r="Q400">
        <f t="shared" si="975"/>
        <v>789.43862659985655</v>
      </c>
      <c r="R400">
        <f t="shared" si="976"/>
        <v>4309.5871446081837</v>
      </c>
      <c r="S400">
        <f t="shared" si="977"/>
        <v>4.3095871446081839E-2</v>
      </c>
      <c r="T400">
        <f t="shared" si="978"/>
        <v>4.309587144608184E-5</v>
      </c>
    </row>
    <row r="401" spans="1:20" x14ac:dyDescent="0.25">
      <c r="A401" s="5">
        <v>44192</v>
      </c>
      <c r="B401">
        <v>545.82000000000005</v>
      </c>
      <c r="C401">
        <v>578.20000000000005</v>
      </c>
      <c r="D401">
        <v>531.22</v>
      </c>
      <c r="E401">
        <v>569.92999999999995</v>
      </c>
      <c r="F401">
        <v>4292.16932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0.64793529161344865</v>
      </c>
      <c r="Q401">
        <f t="shared" si="975"/>
        <v>2781.0479800084977</v>
      </c>
      <c r="R401">
        <f t="shared" si="976"/>
        <v>3520.1485180083273</v>
      </c>
      <c r="S401">
        <f t="shared" si="977"/>
        <v>3.5201485180083272E-2</v>
      </c>
      <c r="T401">
        <f t="shared" si="978"/>
        <v>3.5201485180083274E-5</v>
      </c>
    </row>
    <row r="402" spans="1:20" x14ac:dyDescent="0.25">
      <c r="A402" s="5">
        <v>44191</v>
      </c>
      <c r="B402">
        <v>536.15</v>
      </c>
      <c r="C402">
        <v>551.74</v>
      </c>
      <c r="D402">
        <v>522.39</v>
      </c>
      <c r="E402">
        <v>545.66</v>
      </c>
      <c r="F402">
        <v>1904.3794700000001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0.58568994889267212</v>
      </c>
      <c r="Q402">
        <f t="shared" si="975"/>
        <v>1115.375914456554</v>
      </c>
      <c r="R402">
        <f t="shared" si="976"/>
        <v>739.10053799982938</v>
      </c>
      <c r="S402">
        <f t="shared" si="977"/>
        <v>7.3910053799982941E-3</v>
      </c>
      <c r="T402">
        <f t="shared" si="978"/>
        <v>7.3910053799982937E-6</v>
      </c>
    </row>
    <row r="403" spans="1:20" x14ac:dyDescent="0.25">
      <c r="A403" s="5">
        <v>44190</v>
      </c>
      <c r="B403">
        <v>527.07000000000005</v>
      </c>
      <c r="C403">
        <v>577.54</v>
      </c>
      <c r="D403">
        <v>519</v>
      </c>
      <c r="E403">
        <v>535.72</v>
      </c>
      <c r="F403">
        <v>6876.9130500000001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-0.42876665527844082</v>
      </c>
      <c r="Q403">
        <f t="shared" si="975"/>
        <v>-2948.5910070891609</v>
      </c>
      <c r="R403">
        <f t="shared" si="976"/>
        <v>-376.27537645672464</v>
      </c>
      <c r="S403">
        <f t="shared" si="977"/>
        <v>-3.7627537645672465E-3</v>
      </c>
      <c r="T403">
        <f t="shared" si="978"/>
        <v>-3.7627537645672463E-6</v>
      </c>
    </row>
    <row r="404" spans="1:20" x14ac:dyDescent="0.25">
      <c r="A404" s="5">
        <v>44189</v>
      </c>
      <c r="B404">
        <v>517.1</v>
      </c>
      <c r="C404">
        <v>528.04</v>
      </c>
      <c r="D404">
        <v>495.01</v>
      </c>
      <c r="E404">
        <v>526.02</v>
      </c>
      <c r="F404">
        <v>2020.38212</v>
      </c>
      <c r="G404">
        <v>0</v>
      </c>
      <c r="L404" t="s">
        <v>8</v>
      </c>
      <c r="M404" t="s">
        <v>7</v>
      </c>
      <c r="N404" t="s">
        <v>8</v>
      </c>
      <c r="P404">
        <f t="shared" si="974"/>
        <v>0.87768695125643459</v>
      </c>
      <c r="Q404">
        <f t="shared" si="975"/>
        <v>1773.263023275812</v>
      </c>
      <c r="R404">
        <f t="shared" si="976"/>
        <v>2572.3156306324363</v>
      </c>
      <c r="S404">
        <f t="shared" si="977"/>
        <v>2.5723156306324362E-2</v>
      </c>
      <c r="T404">
        <f t="shared" si="978"/>
        <v>2.5723156306324364E-5</v>
      </c>
    </row>
    <row r="405" spans="1:20" x14ac:dyDescent="0.25">
      <c r="A405" s="5">
        <v>44188</v>
      </c>
      <c r="B405">
        <v>548.74</v>
      </c>
      <c r="C405">
        <v>552.5</v>
      </c>
      <c r="D405">
        <v>485.39</v>
      </c>
      <c r="E405">
        <v>517.63</v>
      </c>
      <c r="F405">
        <v>2732.2328900000002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-3.9189390552823646E-2</v>
      </c>
      <c r="Q405">
        <f t="shared" si="975"/>
        <v>-107.07454180748006</v>
      </c>
      <c r="R405">
        <f t="shared" si="976"/>
        <v>799.05260735662443</v>
      </c>
      <c r="S405">
        <f t="shared" si="977"/>
        <v>7.9905260735662446E-3</v>
      </c>
      <c r="T405">
        <f t="shared" si="978"/>
        <v>7.9905260735662449E-6</v>
      </c>
    </row>
    <row r="406" spans="1:20" x14ac:dyDescent="0.25">
      <c r="A406" s="5">
        <v>44187</v>
      </c>
      <c r="B406">
        <v>524.72</v>
      </c>
      <c r="C406">
        <v>550.25</v>
      </c>
      <c r="D406">
        <v>517.59</v>
      </c>
      <c r="E406">
        <v>549.49</v>
      </c>
      <c r="F406">
        <v>1984.6043299999999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0.95345988977342366</v>
      </c>
      <c r="Q406">
        <f t="shared" si="975"/>
        <v>1892.2406257256591</v>
      </c>
      <c r="R406">
        <f t="shared" si="976"/>
        <v>906.12714916410448</v>
      </c>
      <c r="S406">
        <f t="shared" si="977"/>
        <v>9.0612714916410448E-3</v>
      </c>
      <c r="T406">
        <f t="shared" si="978"/>
        <v>9.0612714916410447E-6</v>
      </c>
    </row>
    <row r="407" spans="1:20" x14ac:dyDescent="0.25">
      <c r="A407" s="5">
        <v>44186</v>
      </c>
      <c r="B407">
        <v>545.61</v>
      </c>
      <c r="C407">
        <v>554.41</v>
      </c>
      <c r="D407">
        <v>510.31</v>
      </c>
      <c r="E407">
        <v>524.25</v>
      </c>
      <c r="F407">
        <v>1386.0584899999999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-0.36780045351473883</v>
      </c>
      <c r="Q407">
        <f t="shared" si="975"/>
        <v>-509.79294121995406</v>
      </c>
      <c r="R407">
        <f t="shared" si="976"/>
        <v>-986.11347656155465</v>
      </c>
      <c r="S407">
        <f t="shared" si="977"/>
        <v>-9.8611347656155472E-3</v>
      </c>
      <c r="T407">
        <f t="shared" si="978"/>
        <v>-9.8611347656155466E-6</v>
      </c>
    </row>
    <row r="408" spans="1:20" x14ac:dyDescent="0.25">
      <c r="A408" s="5">
        <v>44185</v>
      </c>
      <c r="B408">
        <v>566.6</v>
      </c>
      <c r="C408">
        <v>570.17999999999995</v>
      </c>
      <c r="D408">
        <v>541.11</v>
      </c>
      <c r="E408">
        <v>545.27</v>
      </c>
      <c r="F408">
        <v>1238.5997400000001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-0.71379428964568437</v>
      </c>
      <c r="Q408">
        <f t="shared" si="975"/>
        <v>-884.10542156862948</v>
      </c>
      <c r="R408">
        <f t="shared" si="976"/>
        <v>-476.32053534160059</v>
      </c>
      <c r="S408">
        <f t="shared" si="977"/>
        <v>-4.7632053534160061E-3</v>
      </c>
      <c r="T408">
        <f t="shared" si="978"/>
        <v>-4.7632053534160056E-6</v>
      </c>
    </row>
    <row r="409" spans="1:20" x14ac:dyDescent="0.25">
      <c r="A409" s="5">
        <v>44184</v>
      </c>
      <c r="B409">
        <v>569.83000000000004</v>
      </c>
      <c r="C409">
        <v>581.42999999999995</v>
      </c>
      <c r="D409">
        <v>563.46</v>
      </c>
      <c r="E409">
        <v>567.16</v>
      </c>
      <c r="F409">
        <v>2599.5906799999998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-0.58820255982193104</v>
      </c>
      <c r="Q409">
        <f t="shared" si="975"/>
        <v>-1529.0858924652343</v>
      </c>
      <c r="R409">
        <f t="shared" si="976"/>
        <v>407.78488622702889</v>
      </c>
      <c r="S409">
        <f t="shared" si="977"/>
        <v>4.0778488622702893E-3</v>
      </c>
      <c r="T409">
        <f t="shared" si="978"/>
        <v>4.0778488622702896E-6</v>
      </c>
    </row>
    <row r="410" spans="1:20" x14ac:dyDescent="0.25">
      <c r="A410" s="5">
        <v>44183</v>
      </c>
      <c r="B410">
        <v>538.88</v>
      </c>
      <c r="C410">
        <v>579.99</v>
      </c>
      <c r="D410">
        <v>531.26</v>
      </c>
      <c r="E410">
        <v>569.83000000000004</v>
      </c>
      <c r="F410">
        <v>4174.2342600000002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0.58300841370818945</v>
      </c>
      <c r="Q410">
        <f t="shared" si="975"/>
        <v>2433.613694368978</v>
      </c>
      <c r="R410">
        <f t="shared" si="976"/>
        <v>1936.8707786922632</v>
      </c>
      <c r="S410">
        <f t="shared" si="977"/>
        <v>1.9368707786922634E-2</v>
      </c>
      <c r="T410">
        <f t="shared" si="978"/>
        <v>1.9368707786922633E-5</v>
      </c>
    </row>
    <row r="411" spans="1:20" x14ac:dyDescent="0.25">
      <c r="A411" s="5">
        <v>44182</v>
      </c>
      <c r="B411">
        <v>539.29999999999995</v>
      </c>
      <c r="C411">
        <v>565.79999999999995</v>
      </c>
      <c r="D411">
        <v>530.29</v>
      </c>
      <c r="E411">
        <v>538.79</v>
      </c>
      <c r="F411">
        <v>4630.8256499999998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-0.52126161644607139</v>
      </c>
      <c r="Q411">
        <f t="shared" si="975"/>
        <v>-2413.8716637989291</v>
      </c>
      <c r="R411">
        <f t="shared" si="976"/>
        <v>-496.7429156767148</v>
      </c>
      <c r="S411">
        <f t="shared" si="977"/>
        <v>-4.9674291567671476E-3</v>
      </c>
      <c r="T411">
        <f t="shared" si="978"/>
        <v>-4.967429156767148E-6</v>
      </c>
    </row>
    <row r="412" spans="1:20" x14ac:dyDescent="0.25">
      <c r="A412" s="5">
        <v>44181</v>
      </c>
      <c r="B412">
        <v>529.54</v>
      </c>
      <c r="C412">
        <v>539.99</v>
      </c>
      <c r="D412">
        <v>514.22</v>
      </c>
      <c r="E412">
        <v>539.82000000000005</v>
      </c>
      <c r="F412">
        <v>4028.8961599999998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0.98680636398913779</v>
      </c>
      <c r="Q412">
        <f t="shared" si="975"/>
        <v>3975.7403705393995</v>
      </c>
      <c r="R412">
        <f t="shared" si="976"/>
        <v>1917.1287481222143</v>
      </c>
      <c r="S412">
        <f t="shared" si="977"/>
        <v>1.9171287481222144E-2</v>
      </c>
      <c r="T412">
        <f t="shared" si="978"/>
        <v>1.9171287481222143E-5</v>
      </c>
    </row>
    <row r="413" spans="1:20" x14ac:dyDescent="0.25">
      <c r="A413" s="5">
        <v>44180</v>
      </c>
      <c r="B413">
        <v>539.79</v>
      </c>
      <c r="C413">
        <v>545.28</v>
      </c>
      <c r="D413">
        <v>525.11</v>
      </c>
      <c r="E413">
        <v>529.69000000000005</v>
      </c>
      <c r="F413">
        <v>1386.1068600000001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-0.54586018839860684</v>
      </c>
      <c r="Q413">
        <f t="shared" si="975"/>
        <v>-756.62055174020145</v>
      </c>
      <c r="R413">
        <f t="shared" si="976"/>
        <v>-2058.6116224171851</v>
      </c>
      <c r="S413">
        <f t="shared" si="977"/>
        <v>-2.0586116224171853E-2</v>
      </c>
      <c r="T413">
        <f t="shared" si="978"/>
        <v>-2.0586116224171853E-5</v>
      </c>
    </row>
    <row r="414" spans="1:20" x14ac:dyDescent="0.25">
      <c r="A414" s="5">
        <v>44179</v>
      </c>
      <c r="B414">
        <v>527.28</v>
      </c>
      <c r="C414">
        <v>547.5</v>
      </c>
      <c r="D414">
        <v>520.1</v>
      </c>
      <c r="E414">
        <v>539.15</v>
      </c>
      <c r="F414">
        <v>1997.8369499999999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0.39051094890510735</v>
      </c>
      <c r="Q414">
        <f t="shared" si="975"/>
        <v>780.17720310218544</v>
      </c>
      <c r="R414">
        <f t="shared" si="976"/>
        <v>-1301.9910706769838</v>
      </c>
      <c r="S414">
        <f t="shared" si="977"/>
        <v>-1.3019910706769838E-2</v>
      </c>
      <c r="T414">
        <f t="shared" si="978"/>
        <v>-1.3019910706769839E-5</v>
      </c>
    </row>
    <row r="415" spans="1:20" x14ac:dyDescent="0.25">
      <c r="A415" s="5">
        <v>44178</v>
      </c>
      <c r="B415">
        <v>514.55999999999995</v>
      </c>
      <c r="C415">
        <v>532.62</v>
      </c>
      <c r="D415">
        <v>511.19</v>
      </c>
      <c r="E415">
        <v>526.55999999999995</v>
      </c>
      <c r="F415">
        <v>1286.76205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0.43443770415305111</v>
      </c>
      <c r="Q415">
        <f t="shared" si="975"/>
        <v>559.0179507932736</v>
      </c>
      <c r="R415">
        <f t="shared" si="976"/>
        <v>-2082.1682737791693</v>
      </c>
      <c r="S415">
        <f t="shared" si="977"/>
        <v>-2.0821682737791693E-2</v>
      </c>
      <c r="T415">
        <f t="shared" si="978"/>
        <v>-2.0821682737791692E-5</v>
      </c>
    </row>
    <row r="416" spans="1:20" x14ac:dyDescent="0.25">
      <c r="A416" s="5">
        <v>44177</v>
      </c>
      <c r="B416">
        <v>503.31</v>
      </c>
      <c r="C416">
        <v>525.52</v>
      </c>
      <c r="D416">
        <v>502.2</v>
      </c>
      <c r="E416">
        <v>513.79</v>
      </c>
      <c r="F416">
        <v>3037.9086600000001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-6.0034305317342726E-3</v>
      </c>
      <c r="Q416">
        <f t="shared" si="975"/>
        <v>-18.237873602063953</v>
      </c>
      <c r="R416">
        <f t="shared" si="976"/>
        <v>-2641.1862245724428</v>
      </c>
      <c r="S416">
        <f t="shared" si="977"/>
        <v>-2.6411862245724428E-2</v>
      </c>
      <c r="T416">
        <f t="shared" si="978"/>
        <v>-2.6411862245724427E-5</v>
      </c>
    </row>
    <row r="417" spans="1:20" x14ac:dyDescent="0.25">
      <c r="A417" s="5">
        <v>44176</v>
      </c>
      <c r="B417">
        <v>522.82000000000005</v>
      </c>
      <c r="C417">
        <v>523.23</v>
      </c>
      <c r="D417">
        <v>500.66</v>
      </c>
      <c r="E417">
        <v>502.84</v>
      </c>
      <c r="F417">
        <v>4676.7654000000002</v>
      </c>
      <c r="G417">
        <v>0</v>
      </c>
      <c r="L417" t="s">
        <v>8</v>
      </c>
      <c r="M417" t="s">
        <v>7</v>
      </c>
      <c r="N417" t="s">
        <v>8</v>
      </c>
      <c r="P417">
        <f t="shared" si="974"/>
        <v>-0.80682321665928658</v>
      </c>
      <c r="Q417">
        <f t="shared" si="975"/>
        <v>-3773.3229035888553</v>
      </c>
      <c r="R417">
        <f t="shared" si="976"/>
        <v>-2622.9483509703787</v>
      </c>
      <c r="S417">
        <f t="shared" si="977"/>
        <v>-2.6229483509703787E-2</v>
      </c>
      <c r="T417">
        <f t="shared" si="978"/>
        <v>-2.6229483509703787E-5</v>
      </c>
    </row>
    <row r="418" spans="1:20" x14ac:dyDescent="0.25">
      <c r="A418" s="5">
        <v>44175</v>
      </c>
      <c r="B418">
        <v>506.58</v>
      </c>
      <c r="C418">
        <v>530.51</v>
      </c>
      <c r="D418">
        <v>490.89</v>
      </c>
      <c r="E418">
        <v>522.29999999999995</v>
      </c>
      <c r="F418">
        <v>5319.9364999999998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0.58556284704694417</v>
      </c>
      <c r="Q418">
        <f t="shared" si="975"/>
        <v>3115.1571630489552</v>
      </c>
      <c r="R418">
        <f t="shared" si="976"/>
        <v>1150.3745526184766</v>
      </c>
      <c r="S418">
        <f t="shared" si="977"/>
        <v>1.1503745526184767E-2</v>
      </c>
      <c r="T418">
        <f t="shared" si="978"/>
        <v>1.1503745526184767E-5</v>
      </c>
    </row>
    <row r="419" spans="1:20" x14ac:dyDescent="0.25">
      <c r="A419" s="5">
        <v>44174</v>
      </c>
      <c r="B419">
        <v>502.3</v>
      </c>
      <c r="C419">
        <v>508.55</v>
      </c>
      <c r="D419">
        <v>473.08</v>
      </c>
      <c r="E419">
        <v>506.44</v>
      </c>
      <c r="F419">
        <v>9848.7599599999994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0.88102621934028691</v>
      </c>
      <c r="Q419">
        <f t="shared" si="975"/>
        <v>8677.0157527487954</v>
      </c>
      <c r="R419">
        <f t="shared" si="976"/>
        <v>-1964.7826104304786</v>
      </c>
      <c r="S419">
        <f t="shared" si="977"/>
        <v>-1.9647826104304787E-2</v>
      </c>
      <c r="T419">
        <f t="shared" si="978"/>
        <v>-1.9647826104304789E-5</v>
      </c>
    </row>
    <row r="420" spans="1:20" x14ac:dyDescent="0.25">
      <c r="A420" s="5">
        <v>44173</v>
      </c>
      <c r="B420">
        <v>518.91</v>
      </c>
      <c r="C420">
        <v>524.20000000000005</v>
      </c>
      <c r="D420">
        <v>492.32</v>
      </c>
      <c r="E420">
        <v>503.11</v>
      </c>
      <c r="F420">
        <v>5223.5171600000003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-0.32308657465495594</v>
      </c>
      <c r="Q420">
        <f t="shared" si="975"/>
        <v>-1687.6482668757835</v>
      </c>
      <c r="R420">
        <f t="shared" si="976"/>
        <v>-10641.798363179274</v>
      </c>
      <c r="S420">
        <f t="shared" si="977"/>
        <v>-0.10641798363179274</v>
      </c>
      <c r="T420">
        <f t="shared" si="978"/>
        <v>-1.0641798363179274E-4</v>
      </c>
    </row>
    <row r="421" spans="1:20" x14ac:dyDescent="0.25">
      <c r="A421" s="5">
        <v>44172</v>
      </c>
      <c r="B421">
        <v>529.12</v>
      </c>
      <c r="C421">
        <v>529.76</v>
      </c>
      <c r="D421">
        <v>510.16</v>
      </c>
      <c r="E421">
        <v>518.97</v>
      </c>
      <c r="F421">
        <v>4337.5854600000002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-0.10102040816326351</v>
      </c>
      <c r="Q421">
        <f t="shared" si="975"/>
        <v>-438.18465361223713</v>
      </c>
      <c r="R421">
        <f t="shared" si="976"/>
        <v>-8954.1500963034905</v>
      </c>
      <c r="S421">
        <f t="shared" si="977"/>
        <v>-8.9541500963034912E-2</v>
      </c>
      <c r="T421">
        <f t="shared" si="978"/>
        <v>-8.9541500963034905E-5</v>
      </c>
    </row>
    <row r="422" spans="1:20" x14ac:dyDescent="0.25">
      <c r="A422" s="5">
        <v>44171</v>
      </c>
      <c r="B422">
        <v>533.20000000000005</v>
      </c>
      <c r="C422">
        <v>537.46</v>
      </c>
      <c r="D422">
        <v>509.81</v>
      </c>
      <c r="E422">
        <v>528.65</v>
      </c>
      <c r="F422">
        <v>6782.8186100000003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0.36274864376129851</v>
      </c>
      <c r="Q422">
        <f t="shared" si="975"/>
        <v>2460.458251656396</v>
      </c>
      <c r="R422">
        <f t="shared" si="976"/>
        <v>-8515.965442691253</v>
      </c>
      <c r="S422">
        <f t="shared" si="977"/>
        <v>-8.5159654426912534E-2</v>
      </c>
      <c r="T422">
        <f t="shared" si="978"/>
        <v>-8.5159654426912538E-5</v>
      </c>
    </row>
    <row r="423" spans="1:20" x14ac:dyDescent="0.25">
      <c r="A423" s="5">
        <v>44170</v>
      </c>
      <c r="B423">
        <v>524.07000000000005</v>
      </c>
      <c r="C423">
        <v>538.14</v>
      </c>
      <c r="D423">
        <v>518.82000000000005</v>
      </c>
      <c r="E423">
        <v>533.53</v>
      </c>
      <c r="F423">
        <v>8682.1400900000008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0.52277432712215022</v>
      </c>
      <c r="Q423">
        <f t="shared" si="975"/>
        <v>4538.7999435299953</v>
      </c>
      <c r="R423">
        <f t="shared" si="976"/>
        <v>-10976.42369434765</v>
      </c>
      <c r="S423">
        <f t="shared" si="977"/>
        <v>-0.10976423694347649</v>
      </c>
      <c r="T423">
        <f t="shared" si="978"/>
        <v>-1.0976423694347649E-4</v>
      </c>
    </row>
    <row r="424" spans="1:20" x14ac:dyDescent="0.25">
      <c r="A424" s="5">
        <v>44169</v>
      </c>
      <c r="B424">
        <v>592.34</v>
      </c>
      <c r="C424">
        <v>599.35</v>
      </c>
      <c r="D424">
        <v>521.32000000000005</v>
      </c>
      <c r="E424">
        <v>524.29</v>
      </c>
      <c r="F424">
        <v>8711.9084199999998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-0.92387543252595372</v>
      </c>
      <c r="Q424">
        <f t="shared" si="975"/>
        <v>-8048.7181596539976</v>
      </c>
      <c r="R424">
        <f t="shared" si="976"/>
        <v>-15515.223637877645</v>
      </c>
      <c r="S424">
        <f t="shared" si="977"/>
        <v>-0.15515223637877645</v>
      </c>
      <c r="T424">
        <f t="shared" si="978"/>
        <v>-1.5515223637877645E-4</v>
      </c>
    </row>
    <row r="425" spans="1:20" x14ac:dyDescent="0.25">
      <c r="A425" s="5">
        <v>44168</v>
      </c>
      <c r="B425">
        <v>560.66999999999996</v>
      </c>
      <c r="C425">
        <v>598.61</v>
      </c>
      <c r="D425">
        <v>556.47</v>
      </c>
      <c r="E425">
        <v>592.75</v>
      </c>
      <c r="F425">
        <v>2740.89156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0.72187944945419957</v>
      </c>
      <c r="Q425">
        <f t="shared" si="975"/>
        <v>1978.5932903464623</v>
      </c>
      <c r="R425">
        <f t="shared" si="976"/>
        <v>-7466.5054782236475</v>
      </c>
      <c r="S425">
        <f t="shared" si="977"/>
        <v>-7.4665054782236479E-2</v>
      </c>
      <c r="T425">
        <f t="shared" si="978"/>
        <v>-7.4665054782236477E-5</v>
      </c>
    </row>
    <row r="426" spans="1:20" x14ac:dyDescent="0.25">
      <c r="A426" s="5">
        <v>44167</v>
      </c>
      <c r="B426">
        <v>527.80999999999995</v>
      </c>
      <c r="C426">
        <v>564.94000000000005</v>
      </c>
      <c r="D426">
        <v>521.86</v>
      </c>
      <c r="E426">
        <v>560.66999999999996</v>
      </c>
      <c r="F426">
        <v>2216.65434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0.80176415970287407</v>
      </c>
      <c r="Q426">
        <f t="shared" si="975"/>
        <v>1777.2340042618289</v>
      </c>
      <c r="R426">
        <f t="shared" si="976"/>
        <v>-9445.0987685701093</v>
      </c>
      <c r="S426">
        <f t="shared" si="977"/>
        <v>-9.4450987685701093E-2</v>
      </c>
      <c r="T426">
        <f t="shared" si="978"/>
        <v>-9.4450987685701094E-5</v>
      </c>
    </row>
    <row r="427" spans="1:20" x14ac:dyDescent="0.25">
      <c r="A427" s="5">
        <v>44166</v>
      </c>
      <c r="B427">
        <v>568.28</v>
      </c>
      <c r="C427">
        <v>570.37</v>
      </c>
      <c r="D427">
        <v>500.73</v>
      </c>
      <c r="E427">
        <v>528.5</v>
      </c>
      <c r="F427">
        <v>5075.8410199999998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-0.20246984491671491</v>
      </c>
      <c r="Q427">
        <f t="shared" si="975"/>
        <v>-1027.7047441412999</v>
      </c>
      <c r="R427">
        <f t="shared" si="976"/>
        <v>-11222.332772831938</v>
      </c>
      <c r="S427">
        <f t="shared" si="977"/>
        <v>-0.11222332772831939</v>
      </c>
      <c r="T427">
        <f t="shared" si="978"/>
        <v>-1.1222332772831939E-4</v>
      </c>
    </row>
    <row r="428" spans="1:20" x14ac:dyDescent="0.25">
      <c r="A428" s="5">
        <v>44165</v>
      </c>
      <c r="B428">
        <v>546.12</v>
      </c>
      <c r="C428">
        <v>584.75</v>
      </c>
      <c r="D428">
        <v>534.79999999999995</v>
      </c>
      <c r="E428">
        <v>568.12</v>
      </c>
      <c r="F428">
        <v>3356.91968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0.3341341341341349</v>
      </c>
      <c r="Q428">
        <f t="shared" si="975"/>
        <v>1121.6614506346373</v>
      </c>
      <c r="R428">
        <f t="shared" si="976"/>
        <v>-10194.628028690639</v>
      </c>
      <c r="S428">
        <f t="shared" si="977"/>
        <v>-0.10194628028690639</v>
      </c>
      <c r="T428">
        <f t="shared" si="978"/>
        <v>-1.0194628028690639E-4</v>
      </c>
    </row>
    <row r="429" spans="1:20" x14ac:dyDescent="0.25">
      <c r="A429" s="5">
        <v>44164</v>
      </c>
      <c r="B429">
        <v>529.82000000000005</v>
      </c>
      <c r="C429">
        <v>547.88</v>
      </c>
      <c r="D429">
        <v>522.19000000000005</v>
      </c>
      <c r="E429">
        <v>546.12</v>
      </c>
      <c r="F429">
        <v>1993.1398200000001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0.86298170494355819</v>
      </c>
      <c r="Q429">
        <f t="shared" si="975"/>
        <v>1720.0432000544968</v>
      </c>
      <c r="R429">
        <f t="shared" si="976"/>
        <v>-11316.289479325276</v>
      </c>
      <c r="S429">
        <f t="shared" si="977"/>
        <v>-0.11316289479325277</v>
      </c>
      <c r="T429">
        <f t="shared" si="978"/>
        <v>-1.1316289479325277E-4</v>
      </c>
    </row>
    <row r="430" spans="1:20" x14ac:dyDescent="0.25">
      <c r="A430" s="5">
        <v>44163</v>
      </c>
      <c r="B430">
        <v>514.53</v>
      </c>
      <c r="C430">
        <v>534.64</v>
      </c>
      <c r="D430">
        <v>508.5</v>
      </c>
      <c r="E430">
        <v>530.67999999999995</v>
      </c>
      <c r="F430">
        <v>2839.7366200000001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0.69701606732975985</v>
      </c>
      <c r="Q430">
        <f t="shared" si="975"/>
        <v>1979.3420511247048</v>
      </c>
      <c r="R430">
        <f t="shared" si="976"/>
        <v>-13036.332679379773</v>
      </c>
      <c r="S430">
        <f t="shared" si="977"/>
        <v>-0.13036332679379772</v>
      </c>
      <c r="T430">
        <f t="shared" si="978"/>
        <v>-1.3036332679379774E-4</v>
      </c>
    </row>
    <row r="431" spans="1:20" x14ac:dyDescent="0.25">
      <c r="A431" s="5">
        <v>44162</v>
      </c>
      <c r="B431">
        <v>526.79</v>
      </c>
      <c r="C431">
        <v>542.46</v>
      </c>
      <c r="D431">
        <v>508.04</v>
      </c>
      <c r="E431">
        <v>514.73</v>
      </c>
      <c r="F431">
        <v>5080.7645400000001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-0.61127251597908228</v>
      </c>
      <c r="Q431">
        <f t="shared" si="975"/>
        <v>-3105.7317234631046</v>
      </c>
      <c r="R431">
        <f t="shared" si="976"/>
        <v>-15015.674730504477</v>
      </c>
      <c r="S431">
        <f t="shared" si="977"/>
        <v>-0.15015674730504477</v>
      </c>
      <c r="T431">
        <f t="shared" si="978"/>
        <v>-1.5015674730504478E-4</v>
      </c>
    </row>
    <row r="432" spans="1:20" x14ac:dyDescent="0.25">
      <c r="A432" s="5">
        <v>44161</v>
      </c>
      <c r="B432">
        <v>561.35</v>
      </c>
      <c r="C432">
        <v>570.78</v>
      </c>
      <c r="D432">
        <v>489.6</v>
      </c>
      <c r="E432">
        <v>526.63</v>
      </c>
      <c r="F432">
        <v>10772.854450000001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-8.7706331608770741E-2</v>
      </c>
      <c r="Q432">
        <f t="shared" si="975"/>
        <v>-944.84754476472165</v>
      </c>
      <c r="R432">
        <f t="shared" si="976"/>
        <v>-11909.943007041373</v>
      </c>
      <c r="S432">
        <f t="shared" si="977"/>
        <v>-0.11909943007041372</v>
      </c>
      <c r="T432">
        <f t="shared" si="978"/>
        <v>-1.1909943007041372E-4</v>
      </c>
    </row>
    <row r="433" spans="1:20" x14ac:dyDescent="0.25">
      <c r="A433" s="5">
        <v>44160</v>
      </c>
      <c r="B433">
        <v>600.44000000000005</v>
      </c>
      <c r="C433">
        <v>613.32000000000005</v>
      </c>
      <c r="D433">
        <v>544.54999999999995</v>
      </c>
      <c r="E433">
        <v>561.92999999999995</v>
      </c>
      <c r="F433">
        <v>4282.0088800000003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-0.49454704086084134</v>
      </c>
      <c r="Q433">
        <f t="shared" si="975"/>
        <v>-2117.6548205438457</v>
      </c>
      <c r="R433">
        <f t="shared" si="976"/>
        <v>-10965.095462276651</v>
      </c>
      <c r="S433">
        <f t="shared" si="977"/>
        <v>-0.10965095462276651</v>
      </c>
      <c r="T433">
        <f t="shared" si="978"/>
        <v>-1.0965095462276652E-4</v>
      </c>
    </row>
    <row r="434" spans="1:20" x14ac:dyDescent="0.25">
      <c r="A434" s="5">
        <v>44159</v>
      </c>
      <c r="B434">
        <v>603.17999999999995</v>
      </c>
      <c r="C434">
        <v>650</v>
      </c>
      <c r="D434">
        <v>578.59</v>
      </c>
      <c r="E434">
        <v>600.54</v>
      </c>
      <c r="F434">
        <v>4925.6520799999998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-0.38524016244223663</v>
      </c>
      <c r="Q434">
        <f t="shared" si="975"/>
        <v>-1897.5590074331408</v>
      </c>
      <c r="R434">
        <f t="shared" si="976"/>
        <v>-8847.4406417328064</v>
      </c>
      <c r="S434">
        <f t="shared" si="977"/>
        <v>-8.8474406417328066E-2</v>
      </c>
      <c r="T434">
        <f t="shared" si="978"/>
        <v>-8.8474406417328062E-5</v>
      </c>
    </row>
    <row r="435" spans="1:20" x14ac:dyDescent="0.25">
      <c r="A435" s="5">
        <v>44158</v>
      </c>
      <c r="B435">
        <v>562.66999999999996</v>
      </c>
      <c r="C435">
        <v>608.35</v>
      </c>
      <c r="D435">
        <v>547.04999999999995</v>
      </c>
      <c r="E435">
        <v>602.51</v>
      </c>
      <c r="F435">
        <v>3803.59719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0.80946166394779684</v>
      </c>
      <c r="Q435">
        <f t="shared" si="975"/>
        <v>3078.8661104045646</v>
      </c>
      <c r="R435">
        <f t="shared" si="976"/>
        <v>-6949.8816342996652</v>
      </c>
      <c r="S435">
        <f t="shared" si="977"/>
        <v>-6.949881634299665E-2</v>
      </c>
      <c r="T435">
        <f t="shared" si="978"/>
        <v>-6.9498816342996651E-5</v>
      </c>
    </row>
    <row r="436" spans="1:20" x14ac:dyDescent="0.25">
      <c r="A436" s="5">
        <v>44157</v>
      </c>
      <c r="B436">
        <v>551.99</v>
      </c>
      <c r="C436">
        <v>585.52</v>
      </c>
      <c r="D436">
        <v>513.49</v>
      </c>
      <c r="E436">
        <v>562.66</v>
      </c>
      <c r="F436">
        <v>7566.3044399999999</v>
      </c>
      <c r="G436">
        <v>0</v>
      </c>
      <c r="L436" t="s">
        <v>8</v>
      </c>
      <c r="M436" t="s">
        <v>7</v>
      </c>
      <c r="N436" t="s">
        <v>8</v>
      </c>
      <c r="P436">
        <f t="shared" si="974"/>
        <v>0.36526447313619265</v>
      </c>
      <c r="Q436">
        <f t="shared" si="975"/>
        <v>2763.702204864635</v>
      </c>
      <c r="R436">
        <f t="shared" si="976"/>
        <v>-10028.747744704229</v>
      </c>
      <c r="S436">
        <f t="shared" si="977"/>
        <v>-0.10028747744704229</v>
      </c>
      <c r="T436">
        <f t="shared" si="978"/>
        <v>-1.0028747744704229E-4</v>
      </c>
    </row>
    <row r="437" spans="1:20" x14ac:dyDescent="0.25">
      <c r="A437" s="5">
        <v>44156</v>
      </c>
      <c r="B437">
        <v>515.79</v>
      </c>
      <c r="C437">
        <v>553.73</v>
      </c>
      <c r="D437">
        <v>515.78</v>
      </c>
      <c r="E437">
        <v>552.62</v>
      </c>
      <c r="F437">
        <v>4188.7635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0.94150197628458432</v>
      </c>
      <c r="Q437">
        <f t="shared" si="975"/>
        <v>3943.7291134387324</v>
      </c>
      <c r="R437">
        <f t="shared" si="976"/>
        <v>-12792.449949568863</v>
      </c>
      <c r="S437">
        <f t="shared" si="977"/>
        <v>-0.12792449949568863</v>
      </c>
      <c r="T437">
        <f t="shared" si="978"/>
        <v>-1.2792449949568862E-4</v>
      </c>
    </row>
    <row r="438" spans="1:20" x14ac:dyDescent="0.25">
      <c r="A438" s="5">
        <v>44155</v>
      </c>
      <c r="B438">
        <v>509.38</v>
      </c>
      <c r="C438">
        <v>526.44000000000005</v>
      </c>
      <c r="D438">
        <v>507.13</v>
      </c>
      <c r="E438">
        <v>515.92999999999995</v>
      </c>
      <c r="F438">
        <v>4491.1759700000002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-8.8555152770592685E-2</v>
      </c>
      <c r="Q438">
        <f t="shared" si="975"/>
        <v>-397.71677414296482</v>
      </c>
      <c r="R438">
        <f t="shared" si="976"/>
        <v>-16736.179063007596</v>
      </c>
      <c r="S438">
        <f t="shared" si="977"/>
        <v>-0.16736179063007595</v>
      </c>
      <c r="T438">
        <f t="shared" si="978"/>
        <v>-1.6736179063007593E-4</v>
      </c>
    </row>
    <row r="439" spans="1:20" x14ac:dyDescent="0.25">
      <c r="A439" s="5">
        <v>44154</v>
      </c>
      <c r="B439">
        <v>510.66</v>
      </c>
      <c r="C439">
        <v>528.08000000000004</v>
      </c>
      <c r="D439">
        <v>500.69</v>
      </c>
      <c r="E439">
        <v>509.4</v>
      </c>
      <c r="F439">
        <v>4164.4583499999999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-0.36400146038700504</v>
      </c>
      <c r="Q439">
        <f t="shared" si="975"/>
        <v>-1515.8689211208573</v>
      </c>
      <c r="R439">
        <f t="shared" si="976"/>
        <v>-16338.46228886463</v>
      </c>
      <c r="S439">
        <f t="shared" si="977"/>
        <v>-0.1633846228886463</v>
      </c>
      <c r="T439">
        <f t="shared" si="978"/>
        <v>-1.6338462288864629E-4</v>
      </c>
    </row>
    <row r="440" spans="1:20" x14ac:dyDescent="0.25">
      <c r="A440" s="5">
        <v>44153</v>
      </c>
      <c r="B440">
        <v>526.75</v>
      </c>
      <c r="C440">
        <v>536.85</v>
      </c>
      <c r="D440">
        <v>505.32</v>
      </c>
      <c r="E440">
        <v>510.87</v>
      </c>
      <c r="F440">
        <v>5824.9889999999996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-0.64795432921027551</v>
      </c>
      <c r="Q440">
        <f t="shared" si="975"/>
        <v>-3774.3268401522332</v>
      </c>
      <c r="R440">
        <f t="shared" si="976"/>
        <v>-14822.593367743773</v>
      </c>
      <c r="S440">
        <f t="shared" si="977"/>
        <v>-0.14822593367743772</v>
      </c>
      <c r="T440">
        <f t="shared" si="978"/>
        <v>-1.4822593367743773E-4</v>
      </c>
    </row>
    <row r="441" spans="1:20" x14ac:dyDescent="0.25">
      <c r="A441" s="5">
        <v>44152</v>
      </c>
      <c r="B441">
        <v>516.74</v>
      </c>
      <c r="C441">
        <v>529.82000000000005</v>
      </c>
      <c r="D441">
        <v>511.39</v>
      </c>
      <c r="E441">
        <v>525.67999999999995</v>
      </c>
      <c r="F441">
        <v>3284.3237899999999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0.55073250135647467</v>
      </c>
      <c r="Q441">
        <f t="shared" si="975"/>
        <v>1808.7838561312769</v>
      </c>
      <c r="R441">
        <f t="shared" si="976"/>
        <v>-11048.266527591541</v>
      </c>
      <c r="S441">
        <f t="shared" si="977"/>
        <v>-0.11048266527591541</v>
      </c>
      <c r="T441">
        <f t="shared" si="978"/>
        <v>-1.1048266527591542E-4</v>
      </c>
    </row>
    <row r="442" spans="1:20" x14ac:dyDescent="0.25">
      <c r="A442" s="5">
        <v>44151</v>
      </c>
      <c r="B442">
        <v>515.64</v>
      </c>
      <c r="C442">
        <v>529.77</v>
      </c>
      <c r="D442">
        <v>507.68</v>
      </c>
      <c r="E442">
        <v>517.98</v>
      </c>
      <c r="F442">
        <v>2211.5377699999999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-6.7451335445901039E-2</v>
      </c>
      <c r="Q442">
        <f t="shared" si="975"/>
        <v>-149.17117597554994</v>
      </c>
      <c r="R442">
        <f t="shared" si="976"/>
        <v>-12857.050383722817</v>
      </c>
      <c r="S442">
        <f t="shared" si="977"/>
        <v>-0.12857050383722818</v>
      </c>
      <c r="T442">
        <f t="shared" si="978"/>
        <v>-1.2857050383722817E-4</v>
      </c>
    </row>
    <row r="443" spans="1:20" x14ac:dyDescent="0.25">
      <c r="A443" s="5">
        <v>44150</v>
      </c>
      <c r="B443">
        <v>529.29999999999995</v>
      </c>
      <c r="C443">
        <v>535.4</v>
      </c>
      <c r="D443">
        <v>499.52</v>
      </c>
      <c r="E443">
        <v>515.64</v>
      </c>
      <c r="F443">
        <v>4882.3357800000003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-0.10144927536231847</v>
      </c>
      <c r="Q443">
        <f t="shared" si="975"/>
        <v>-495.30942695651999</v>
      </c>
      <c r="R443">
        <f t="shared" si="976"/>
        <v>-12707.879207747266</v>
      </c>
      <c r="S443">
        <f t="shared" si="977"/>
        <v>-0.12707879207747266</v>
      </c>
      <c r="T443">
        <f t="shared" si="978"/>
        <v>-1.2707879207747265E-4</v>
      </c>
    </row>
    <row r="444" spans="1:20" x14ac:dyDescent="0.25">
      <c r="A444" s="5">
        <v>44149</v>
      </c>
      <c r="B444">
        <v>555.41999999999996</v>
      </c>
      <c r="C444">
        <v>556.92999999999995</v>
      </c>
      <c r="D444">
        <v>519.92999999999995</v>
      </c>
      <c r="E444">
        <v>529.26</v>
      </c>
      <c r="F444">
        <v>2438.5079799999999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-0.49567567567567344</v>
      </c>
      <c r="Q444">
        <f t="shared" si="975"/>
        <v>-1208.7090906270216</v>
      </c>
      <c r="R444">
        <f t="shared" si="976"/>
        <v>-12212.569780790745</v>
      </c>
      <c r="S444">
        <f t="shared" si="977"/>
        <v>-0.12212569780790745</v>
      </c>
      <c r="T444">
        <f t="shared" si="978"/>
        <v>-1.2212569780790746E-4</v>
      </c>
    </row>
    <row r="445" spans="1:20" x14ac:dyDescent="0.25">
      <c r="A445" s="5">
        <v>44148</v>
      </c>
      <c r="B445">
        <v>534.99</v>
      </c>
      <c r="C445">
        <v>556.91999999999996</v>
      </c>
      <c r="D445">
        <v>530.79999999999995</v>
      </c>
      <c r="E445">
        <v>554.86</v>
      </c>
      <c r="F445">
        <v>1308.46263</v>
      </c>
      <c r="G445">
        <v>0</v>
      </c>
      <c r="L445" t="s">
        <v>7</v>
      </c>
      <c r="M445" t="s">
        <v>7</v>
      </c>
      <c r="N445" t="s">
        <v>8</v>
      </c>
      <c r="P445">
        <f t="shared" si="974"/>
        <v>0.84226646248086179</v>
      </c>
      <c r="Q445">
        <f t="shared" si="975"/>
        <v>1102.0741906585047</v>
      </c>
      <c r="R445">
        <f t="shared" si="976"/>
        <v>-11003.860690163723</v>
      </c>
      <c r="S445">
        <f t="shared" si="977"/>
        <v>-0.11003860690163723</v>
      </c>
      <c r="T445">
        <f t="shared" si="978"/>
        <v>-1.1003860690163723E-4</v>
      </c>
    </row>
    <row r="446" spans="1:20" x14ac:dyDescent="0.25">
      <c r="A446" s="5">
        <v>44147</v>
      </c>
      <c r="B446">
        <v>544.26</v>
      </c>
      <c r="C446">
        <v>551.46</v>
      </c>
      <c r="D446">
        <v>523.34</v>
      </c>
      <c r="E446">
        <v>533.96</v>
      </c>
      <c r="F446">
        <v>1631.5099700000001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-0.24466571834992867</v>
      </c>
      <c r="Q446">
        <f t="shared" si="975"/>
        <v>-399.17455880512057</v>
      </c>
      <c r="R446">
        <f t="shared" si="976"/>
        <v>-12105.934880822228</v>
      </c>
      <c r="S446">
        <f t="shared" si="977"/>
        <v>-0.12105934880822228</v>
      </c>
      <c r="T446">
        <f t="shared" si="978"/>
        <v>-1.2105934880822228E-4</v>
      </c>
    </row>
    <row r="447" spans="1:20" x14ac:dyDescent="0.25">
      <c r="A447" s="5">
        <v>44146</v>
      </c>
      <c r="B447">
        <v>552.32000000000005</v>
      </c>
      <c r="C447">
        <v>567.85</v>
      </c>
      <c r="D447">
        <v>539.91999999999996</v>
      </c>
      <c r="E447">
        <v>543.62</v>
      </c>
      <c r="F447">
        <v>2503.7426599999999</v>
      </c>
      <c r="G447">
        <v>0</v>
      </c>
      <c r="L447" t="s">
        <v>8</v>
      </c>
      <c r="M447" t="s">
        <v>7</v>
      </c>
      <c r="N447" t="s">
        <v>8</v>
      </c>
      <c r="P447">
        <f t="shared" si="974"/>
        <v>-0.73505191550304072</v>
      </c>
      <c r="Q447">
        <f t="shared" si="975"/>
        <v>-1840.3808381596784</v>
      </c>
      <c r="R447">
        <f t="shared" si="976"/>
        <v>-11706.760322017108</v>
      </c>
      <c r="S447">
        <f t="shared" si="977"/>
        <v>-0.11706760322017108</v>
      </c>
      <c r="T447">
        <f t="shared" si="978"/>
        <v>-1.1706760322017109E-4</v>
      </c>
    </row>
    <row r="448" spans="1:20" x14ac:dyDescent="0.25">
      <c r="A448" s="5">
        <v>44145</v>
      </c>
      <c r="B448">
        <v>523.95000000000005</v>
      </c>
      <c r="C448">
        <v>557.29</v>
      </c>
      <c r="D448">
        <v>519.58000000000004</v>
      </c>
      <c r="E448">
        <v>551.64</v>
      </c>
      <c r="F448">
        <v>1759.9790499999999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0.70034473614425941</v>
      </c>
      <c r="Q448">
        <f t="shared" si="975"/>
        <v>1232.5920633916742</v>
      </c>
      <c r="R448">
        <f t="shared" si="976"/>
        <v>-9866.3794838574286</v>
      </c>
      <c r="S448">
        <f t="shared" si="977"/>
        <v>-9.8663794838574292E-2</v>
      </c>
      <c r="T448">
        <f t="shared" si="978"/>
        <v>-9.8663794838574299E-5</v>
      </c>
    </row>
    <row r="449" spans="1:20" x14ac:dyDescent="0.25">
      <c r="A449" s="5">
        <v>44144</v>
      </c>
      <c r="B449">
        <v>534.91999999999996</v>
      </c>
      <c r="C449">
        <v>540</v>
      </c>
      <c r="D449">
        <v>511.1</v>
      </c>
      <c r="E449">
        <v>523.95000000000005</v>
      </c>
      <c r="F449">
        <v>2247.3456799999999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-0.11072664359861364</v>
      </c>
      <c r="Q449">
        <f t="shared" si="975"/>
        <v>-248.84104415224402</v>
      </c>
      <c r="R449">
        <f t="shared" si="976"/>
        <v>-11098.971547249103</v>
      </c>
      <c r="S449">
        <f t="shared" si="977"/>
        <v>-0.11098971547249102</v>
      </c>
      <c r="T449">
        <f t="shared" si="978"/>
        <v>-1.1098971547249102E-4</v>
      </c>
    </row>
    <row r="450" spans="1:20" x14ac:dyDescent="0.25">
      <c r="A450" s="5">
        <v>44143</v>
      </c>
      <c r="B450">
        <v>518.46</v>
      </c>
      <c r="C450">
        <v>540</v>
      </c>
      <c r="D450">
        <v>510.36</v>
      </c>
      <c r="E450">
        <v>534.85</v>
      </c>
      <c r="F450">
        <v>2330.2826100000002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0.65249662618083804</v>
      </c>
      <c r="Q450">
        <f t="shared" si="975"/>
        <v>1520.5015410728777</v>
      </c>
      <c r="R450">
        <f t="shared" si="976"/>
        <v>-10850.130503096858</v>
      </c>
      <c r="S450">
        <f t="shared" si="977"/>
        <v>-0.10850130503096858</v>
      </c>
      <c r="T450">
        <f t="shared" si="978"/>
        <v>-1.0850130503096858E-4</v>
      </c>
    </row>
    <row r="451" spans="1:20" x14ac:dyDescent="0.25">
      <c r="A451" s="5">
        <v>44142</v>
      </c>
      <c r="B451">
        <v>541.67999999999995</v>
      </c>
      <c r="C451">
        <v>560.04999999999995</v>
      </c>
      <c r="D451">
        <v>503</v>
      </c>
      <c r="E451">
        <v>519.73</v>
      </c>
      <c r="F451">
        <v>6574.1817600000004</v>
      </c>
      <c r="G451">
        <v>0</v>
      </c>
      <c r="L451" t="s">
        <v>8</v>
      </c>
      <c r="M451" t="s">
        <v>7</v>
      </c>
      <c r="N451" t="s">
        <v>8</v>
      </c>
      <c r="P451">
        <f t="shared" si="974"/>
        <v>-0.41349693251533631</v>
      </c>
      <c r="Q451">
        <f t="shared" si="975"/>
        <v>-2718.4039915582753</v>
      </c>
      <c r="R451">
        <f t="shared" si="976"/>
        <v>-12370.632044169735</v>
      </c>
      <c r="S451">
        <f t="shared" si="977"/>
        <v>-0.12370632044169735</v>
      </c>
      <c r="T451">
        <f t="shared" si="978"/>
        <v>-1.2370632044169736E-4</v>
      </c>
    </row>
    <row r="452" spans="1:20" x14ac:dyDescent="0.25">
      <c r="A452" s="5">
        <v>44141</v>
      </c>
      <c r="B452">
        <v>530.27</v>
      </c>
      <c r="C452">
        <v>545.95000000000005</v>
      </c>
      <c r="D452">
        <v>501.11</v>
      </c>
      <c r="E452">
        <v>541.67999999999995</v>
      </c>
      <c r="F452">
        <v>7046.9537700000001</v>
      </c>
      <c r="G452">
        <v>0</v>
      </c>
      <c r="L452" t="s">
        <v>7</v>
      </c>
      <c r="M452" t="s">
        <v>7</v>
      </c>
      <c r="N452" t="s">
        <v>8</v>
      </c>
      <c r="P452">
        <f t="shared" si="974"/>
        <v>0.80954504906333213</v>
      </c>
      <c r="Q452">
        <f t="shared" si="975"/>
        <v>5704.8265354816831</v>
      </c>
      <c r="R452">
        <f t="shared" si="976"/>
        <v>-9652.2280526114591</v>
      </c>
      <c r="S452">
        <f t="shared" si="977"/>
        <v>-9.6522280526114584E-2</v>
      </c>
      <c r="T452">
        <f t="shared" si="978"/>
        <v>-9.6522280526114581E-5</v>
      </c>
    </row>
    <row r="453" spans="1:20" x14ac:dyDescent="0.25">
      <c r="A453" s="5">
        <v>44140</v>
      </c>
      <c r="B453">
        <v>521.52</v>
      </c>
      <c r="C453">
        <v>554.46</v>
      </c>
      <c r="D453">
        <v>518.89</v>
      </c>
      <c r="E453">
        <v>530.52</v>
      </c>
      <c r="F453">
        <v>3090.89606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-0.34607815574922807</v>
      </c>
      <c r="Q453">
        <f t="shared" si="975"/>
        <v>-1069.6916080573553</v>
      </c>
      <c r="R453">
        <f t="shared" si="976"/>
        <v>-15357.054588093142</v>
      </c>
      <c r="S453">
        <f t="shared" si="977"/>
        <v>-0.15357054588093141</v>
      </c>
      <c r="T453">
        <f t="shared" si="978"/>
        <v>-1.5357054588093142E-4</v>
      </c>
    </row>
    <row r="454" spans="1:20" x14ac:dyDescent="0.25">
      <c r="A454" s="5">
        <v>44139</v>
      </c>
      <c r="B454">
        <v>521.91</v>
      </c>
      <c r="C454">
        <v>530.78</v>
      </c>
      <c r="D454">
        <v>499.15</v>
      </c>
      <c r="E454">
        <v>520.86</v>
      </c>
      <c r="F454">
        <v>1708.8744799999999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0.37274739171672711</v>
      </c>
      <c r="Q454">
        <f t="shared" ref="Q454:Q517" si="980">F454*P454</f>
        <v>636.97850519127837</v>
      </c>
      <c r="R454">
        <f t="shared" ref="R454:R517" si="981">R455+Q454</f>
        <v>-14287.362980035787</v>
      </c>
      <c r="S454">
        <f t="shared" ref="S454:S517" si="982">R454/100000</f>
        <v>-0.14287362980035787</v>
      </c>
      <c r="T454">
        <f t="shared" ref="T454:T517" si="983">S454/1000</f>
        <v>-1.4287362980035787E-4</v>
      </c>
    </row>
    <row r="455" spans="1:20" x14ac:dyDescent="0.25">
      <c r="A455" s="5">
        <v>44138</v>
      </c>
      <c r="B455">
        <v>523.07000000000005</v>
      </c>
      <c r="C455">
        <v>525.84</v>
      </c>
      <c r="D455">
        <v>502.51</v>
      </c>
      <c r="E455">
        <v>521.41999999999996</v>
      </c>
      <c r="F455">
        <v>1906.2882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0.62108872696098882</v>
      </c>
      <c r="Q455">
        <f t="shared" si="980"/>
        <v>1183.9741113587547</v>
      </c>
      <c r="R455">
        <f t="shared" si="981"/>
        <v>-14924.341485227065</v>
      </c>
      <c r="S455">
        <f t="shared" si="982"/>
        <v>-0.14924341485227066</v>
      </c>
      <c r="T455">
        <f t="shared" si="983"/>
        <v>-1.4924341485227067E-4</v>
      </c>
    </row>
    <row r="456" spans="1:20" x14ac:dyDescent="0.25">
      <c r="A456" s="5">
        <v>44137</v>
      </c>
      <c r="B456">
        <v>541.49</v>
      </c>
      <c r="C456">
        <v>561.17999999999995</v>
      </c>
      <c r="D456">
        <v>520.62</v>
      </c>
      <c r="E456">
        <v>523.65</v>
      </c>
      <c r="F456">
        <v>2254.4597600000002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-0.85059171597633254</v>
      </c>
      <c r="Q456">
        <f t="shared" si="980"/>
        <v>-1917.6247958579909</v>
      </c>
      <c r="R456">
        <f t="shared" si="981"/>
        <v>-16108.31559658582</v>
      </c>
      <c r="S456">
        <f t="shared" si="982"/>
        <v>-0.1610831559658582</v>
      </c>
      <c r="T456">
        <f t="shared" si="983"/>
        <v>-1.6108315596585819E-4</v>
      </c>
    </row>
    <row r="457" spans="1:20" x14ac:dyDescent="0.25">
      <c r="A457" s="5">
        <v>44136</v>
      </c>
      <c r="B457">
        <v>522.6</v>
      </c>
      <c r="C457">
        <v>545.29999999999995</v>
      </c>
      <c r="D457">
        <v>520.95000000000005</v>
      </c>
      <c r="E457">
        <v>541.5</v>
      </c>
      <c r="F457">
        <v>1191.6614300000001</v>
      </c>
      <c r="G457">
        <v>0</v>
      </c>
      <c r="L457" t="s">
        <v>8</v>
      </c>
      <c r="M457" t="s">
        <v>7</v>
      </c>
      <c r="N457" t="s">
        <v>8</v>
      </c>
      <c r="P457">
        <f t="shared" si="979"/>
        <v>0.68788501026694304</v>
      </c>
      <c r="Q457">
        <f t="shared" si="980"/>
        <v>819.72603501027015</v>
      </c>
      <c r="R457">
        <f t="shared" si="981"/>
        <v>-14190.690800727829</v>
      </c>
      <c r="S457">
        <f t="shared" si="982"/>
        <v>-0.14190690800727829</v>
      </c>
      <c r="T457">
        <f t="shared" si="983"/>
        <v>-1.419069080072783E-4</v>
      </c>
    </row>
    <row r="458" spans="1:20" x14ac:dyDescent="0.25">
      <c r="A458" s="5">
        <v>44135</v>
      </c>
      <c r="B458">
        <v>518.34</v>
      </c>
      <c r="C458">
        <v>533.96</v>
      </c>
      <c r="D458">
        <v>515.02</v>
      </c>
      <c r="E458">
        <v>523.63</v>
      </c>
      <c r="F458">
        <v>1059.9396099999999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-9.0813093980993784E-2</v>
      </c>
      <c r="Q458">
        <f t="shared" si="980"/>
        <v>-96.256395417107896</v>
      </c>
      <c r="R458">
        <f t="shared" si="981"/>
        <v>-15010.416835738099</v>
      </c>
      <c r="S458">
        <f t="shared" si="982"/>
        <v>-0.150104168357381</v>
      </c>
      <c r="T458">
        <f t="shared" si="983"/>
        <v>-1.5010416835738099E-4</v>
      </c>
    </row>
    <row r="459" spans="1:20" x14ac:dyDescent="0.25">
      <c r="A459" s="5">
        <v>44134</v>
      </c>
      <c r="B459">
        <v>533.13</v>
      </c>
      <c r="C459">
        <v>539.33000000000004</v>
      </c>
      <c r="D459">
        <v>511.01</v>
      </c>
      <c r="E459">
        <v>519.75</v>
      </c>
      <c r="F459">
        <v>3592.0611600000002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-0.38276836158192135</v>
      </c>
      <c r="Q459">
        <f t="shared" si="980"/>
        <v>-1374.9273649152558</v>
      </c>
      <c r="R459">
        <f t="shared" si="981"/>
        <v>-14914.160440320991</v>
      </c>
      <c r="S459">
        <f t="shared" si="982"/>
        <v>-0.14914160440320992</v>
      </c>
      <c r="T459">
        <f t="shared" si="983"/>
        <v>-1.4914160440320992E-4</v>
      </c>
    </row>
    <row r="460" spans="1:20" x14ac:dyDescent="0.25">
      <c r="A460" s="5">
        <v>44133</v>
      </c>
      <c r="B460">
        <v>544.53</v>
      </c>
      <c r="C460">
        <v>552</v>
      </c>
      <c r="D460">
        <v>517.08000000000004</v>
      </c>
      <c r="E460">
        <v>533.99</v>
      </c>
      <c r="F460">
        <v>2144.9178299999999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-3.1500572737686826E-2</v>
      </c>
      <c r="Q460">
        <f t="shared" si="980"/>
        <v>-67.566140120276387</v>
      </c>
      <c r="R460">
        <f t="shared" si="981"/>
        <v>-13539.233075405735</v>
      </c>
      <c r="S460">
        <f t="shared" si="982"/>
        <v>-0.13539233075405735</v>
      </c>
      <c r="T460">
        <f t="shared" si="983"/>
        <v>-1.3539233075405736E-4</v>
      </c>
    </row>
    <row r="461" spans="1:20" x14ac:dyDescent="0.25">
      <c r="A461" s="5">
        <v>44132</v>
      </c>
      <c r="B461">
        <v>584.44000000000005</v>
      </c>
      <c r="C461">
        <v>598.1</v>
      </c>
      <c r="D461">
        <v>531.34</v>
      </c>
      <c r="E461">
        <v>542.16999999999996</v>
      </c>
      <c r="F461">
        <v>3970.3017399999999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-0.6755542240862813</v>
      </c>
      <c r="Q461">
        <f t="shared" si="980"/>
        <v>-2682.1541113541125</v>
      </c>
      <c r="R461">
        <f t="shared" si="981"/>
        <v>-13471.666935285459</v>
      </c>
      <c r="S461">
        <f t="shared" si="982"/>
        <v>-0.13471666935285459</v>
      </c>
      <c r="T461">
        <f t="shared" si="983"/>
        <v>-1.3471666935285459E-4</v>
      </c>
    </row>
    <row r="462" spans="1:20" x14ac:dyDescent="0.25">
      <c r="A462" s="5">
        <v>44131</v>
      </c>
      <c r="B462">
        <v>569.28</v>
      </c>
      <c r="C462">
        <v>597.29</v>
      </c>
      <c r="D462">
        <v>567.04</v>
      </c>
      <c r="E462">
        <v>584.04999999999995</v>
      </c>
      <c r="F462">
        <v>2237.8353099999999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0.12462809917355312</v>
      </c>
      <c r="Q462">
        <f t="shared" si="980"/>
        <v>278.89716094875899</v>
      </c>
      <c r="R462">
        <f t="shared" si="981"/>
        <v>-10789.512823931345</v>
      </c>
      <c r="S462">
        <f t="shared" si="982"/>
        <v>-0.10789512823931345</v>
      </c>
      <c r="T462">
        <f t="shared" si="983"/>
        <v>-1.0789512823931345E-4</v>
      </c>
    </row>
    <row r="463" spans="1:20" x14ac:dyDescent="0.25">
      <c r="A463" s="5">
        <v>44130</v>
      </c>
      <c r="B463">
        <v>583.51</v>
      </c>
      <c r="C463">
        <v>609.99</v>
      </c>
      <c r="D463">
        <v>556.36</v>
      </c>
      <c r="E463">
        <v>568.24</v>
      </c>
      <c r="F463">
        <v>2608.2037700000001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-0.55696438560507189</v>
      </c>
      <c r="Q463">
        <f t="shared" si="980"/>
        <v>-1452.6766102908823</v>
      </c>
      <c r="R463">
        <f t="shared" si="981"/>
        <v>-11068.409984880105</v>
      </c>
      <c r="S463">
        <f t="shared" si="982"/>
        <v>-0.11068409984880105</v>
      </c>
      <c r="T463">
        <f t="shared" si="983"/>
        <v>-1.1068409984880105E-4</v>
      </c>
    </row>
    <row r="464" spans="1:20" x14ac:dyDescent="0.25">
      <c r="A464" s="5">
        <v>44129</v>
      </c>
      <c r="B464">
        <v>600.12</v>
      </c>
      <c r="C464">
        <v>601.79999999999995</v>
      </c>
      <c r="D464">
        <v>579.04</v>
      </c>
      <c r="E464">
        <v>584.45000000000005</v>
      </c>
      <c r="F464">
        <v>1222.45669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-0.52460456942002776</v>
      </c>
      <c r="Q464">
        <f t="shared" si="980"/>
        <v>-641.30636549208236</v>
      </c>
      <c r="R464">
        <f t="shared" si="981"/>
        <v>-9615.7333745892229</v>
      </c>
      <c r="S464">
        <f t="shared" si="982"/>
        <v>-9.6157333745892234E-2</v>
      </c>
      <c r="T464">
        <f t="shared" si="983"/>
        <v>-9.6157333745892231E-5</v>
      </c>
    </row>
    <row r="465" spans="1:20" x14ac:dyDescent="0.25">
      <c r="A465" s="5">
        <v>44128</v>
      </c>
      <c r="B465">
        <v>594.95000000000005</v>
      </c>
      <c r="C465">
        <v>605.52</v>
      </c>
      <c r="D465">
        <v>587.21</v>
      </c>
      <c r="E465">
        <v>599.95000000000005</v>
      </c>
      <c r="F465">
        <v>910.72925999999995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0.39158929546696308</v>
      </c>
      <c r="Q465">
        <f t="shared" si="980"/>
        <v>356.63182928454864</v>
      </c>
      <c r="R465">
        <f t="shared" si="981"/>
        <v>-8974.4270090971404</v>
      </c>
      <c r="S465">
        <f t="shared" si="982"/>
        <v>-8.9744270090971398E-2</v>
      </c>
      <c r="T465">
        <f t="shared" si="983"/>
        <v>-8.9744270090971398E-5</v>
      </c>
    </row>
    <row r="466" spans="1:20" x14ac:dyDescent="0.25">
      <c r="A466" s="5">
        <v>44127</v>
      </c>
      <c r="B466">
        <v>595.37</v>
      </c>
      <c r="C466">
        <v>605.79999999999995</v>
      </c>
      <c r="D466">
        <v>578.36</v>
      </c>
      <c r="E466">
        <v>594.36</v>
      </c>
      <c r="F466">
        <v>1762.4455499999999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0.16618075801749521</v>
      </c>
      <c r="Q466">
        <f t="shared" si="980"/>
        <v>292.88453746356123</v>
      </c>
      <c r="R466">
        <f t="shared" si="981"/>
        <v>-9331.0588383816885</v>
      </c>
      <c r="S466">
        <f t="shared" si="982"/>
        <v>-9.3310588383816881E-2</v>
      </c>
      <c r="T466">
        <f t="shared" si="983"/>
        <v>-9.3310588383816888E-5</v>
      </c>
    </row>
    <row r="467" spans="1:20" x14ac:dyDescent="0.25">
      <c r="A467" s="5">
        <v>44126</v>
      </c>
      <c r="B467">
        <v>568.80999999999995</v>
      </c>
      <c r="C467">
        <v>599</v>
      </c>
      <c r="D467">
        <v>567.39</v>
      </c>
      <c r="E467">
        <v>595.52</v>
      </c>
      <c r="F467">
        <v>1954.9297300000001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0.77981651376146688</v>
      </c>
      <c r="Q467">
        <f t="shared" si="980"/>
        <v>1524.4864866972457</v>
      </c>
      <c r="R467">
        <f t="shared" si="981"/>
        <v>-9623.9433758452506</v>
      </c>
      <c r="S467">
        <f t="shared" si="982"/>
        <v>-9.6239433758452508E-2</v>
      </c>
      <c r="T467">
        <f t="shared" si="983"/>
        <v>-9.6239433758452507E-5</v>
      </c>
    </row>
    <row r="468" spans="1:20" x14ac:dyDescent="0.25">
      <c r="A468" s="5">
        <v>44125</v>
      </c>
      <c r="B468">
        <v>547.82000000000005</v>
      </c>
      <c r="C468">
        <v>574.74</v>
      </c>
      <c r="D468">
        <v>547.54999999999995</v>
      </c>
      <c r="E468">
        <v>567.61</v>
      </c>
      <c r="F468">
        <v>1674.2118</v>
      </c>
      <c r="G468">
        <v>0</v>
      </c>
      <c r="L468" t="s">
        <v>8</v>
      </c>
      <c r="M468" t="s">
        <v>8</v>
      </c>
      <c r="N468" t="s">
        <v>8</v>
      </c>
      <c r="P468">
        <f t="shared" si="979"/>
        <v>0.47554247885252071</v>
      </c>
      <c r="Q468">
        <f t="shared" si="980"/>
        <v>796.1588294961407</v>
      </c>
      <c r="R468">
        <f t="shared" si="981"/>
        <v>-11148.429862542496</v>
      </c>
      <c r="S468">
        <f t="shared" si="982"/>
        <v>-0.11148429862542496</v>
      </c>
      <c r="T468">
        <f t="shared" si="983"/>
        <v>-1.1148429862542496E-4</v>
      </c>
    </row>
    <row r="469" spans="1:20" x14ac:dyDescent="0.25">
      <c r="A469" s="5">
        <v>44124</v>
      </c>
      <c r="B469">
        <v>571.87</v>
      </c>
      <c r="C469">
        <v>574.34</v>
      </c>
      <c r="D469">
        <v>547.29999999999995</v>
      </c>
      <c r="E469">
        <v>548.82000000000005</v>
      </c>
      <c r="F469">
        <v>1650.41697</v>
      </c>
      <c r="G469">
        <v>0</v>
      </c>
      <c r="L469" t="s">
        <v>8</v>
      </c>
      <c r="M469" t="s">
        <v>8</v>
      </c>
      <c r="N469" t="s">
        <v>8</v>
      </c>
      <c r="P469">
        <f t="shared" si="979"/>
        <v>-0.88757396449703463</v>
      </c>
      <c r="Q469">
        <f t="shared" si="980"/>
        <v>-1464.8671331360836</v>
      </c>
      <c r="R469">
        <f t="shared" si="981"/>
        <v>-11944.588692038637</v>
      </c>
      <c r="S469">
        <f t="shared" si="982"/>
        <v>-0.11944588692038637</v>
      </c>
      <c r="T469">
        <f t="shared" si="983"/>
        <v>-1.1944588692038637E-4</v>
      </c>
    </row>
    <row r="470" spans="1:20" x14ac:dyDescent="0.25">
      <c r="A470" s="5">
        <v>44123</v>
      </c>
      <c r="B470">
        <v>574.66999999999996</v>
      </c>
      <c r="C470">
        <v>583.11</v>
      </c>
      <c r="D470">
        <v>563.82000000000005</v>
      </c>
      <c r="E470">
        <v>571.98</v>
      </c>
      <c r="F470">
        <v>1477.9445800000001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-0.15396578538102815</v>
      </c>
      <c r="Q470">
        <f t="shared" si="980"/>
        <v>-227.5528980093338</v>
      </c>
      <c r="R470">
        <f t="shared" si="981"/>
        <v>-10479.721558902553</v>
      </c>
      <c r="S470">
        <f t="shared" si="982"/>
        <v>-0.10479721558902552</v>
      </c>
      <c r="T470">
        <f t="shared" si="983"/>
        <v>-1.0479721558902552E-4</v>
      </c>
    </row>
    <row r="471" spans="1:20" x14ac:dyDescent="0.25">
      <c r="A471" s="5">
        <v>44122</v>
      </c>
      <c r="B471">
        <v>552.55999999999995</v>
      </c>
      <c r="C471">
        <v>577.75</v>
      </c>
      <c r="D471">
        <v>551.20000000000005</v>
      </c>
      <c r="E471">
        <v>575.38</v>
      </c>
      <c r="F471">
        <v>981.59923000000003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0.82146892655367165</v>
      </c>
      <c r="Q471">
        <f t="shared" si="980"/>
        <v>806.35326577401065</v>
      </c>
      <c r="R471">
        <f t="shared" si="981"/>
        <v>-10252.16866089322</v>
      </c>
      <c r="S471">
        <f t="shared" si="982"/>
        <v>-0.1025216866089322</v>
      </c>
      <c r="T471">
        <f t="shared" si="983"/>
        <v>-1.025216866089322E-4</v>
      </c>
    </row>
    <row r="472" spans="1:20" x14ac:dyDescent="0.25">
      <c r="A472" s="5">
        <v>44121</v>
      </c>
      <c r="B472">
        <v>543.6</v>
      </c>
      <c r="C472">
        <v>561.92999999999995</v>
      </c>
      <c r="D472">
        <v>532.54</v>
      </c>
      <c r="E472">
        <v>553.89</v>
      </c>
      <c r="F472">
        <v>1085.9913200000001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0.45287512759442211</v>
      </c>
      <c r="Q472">
        <f t="shared" si="980"/>
        <v>491.81845761143495</v>
      </c>
      <c r="R472">
        <f t="shared" si="981"/>
        <v>-11058.52192666723</v>
      </c>
      <c r="S472">
        <f t="shared" si="982"/>
        <v>-0.11058521926667231</v>
      </c>
      <c r="T472">
        <f t="shared" si="983"/>
        <v>-1.1058521926667231E-4</v>
      </c>
    </row>
    <row r="473" spans="1:20" x14ac:dyDescent="0.25">
      <c r="A473" s="5">
        <v>44120</v>
      </c>
      <c r="B473">
        <v>557.39</v>
      </c>
      <c r="C473">
        <v>559.36</v>
      </c>
      <c r="D473">
        <v>529</v>
      </c>
      <c r="E473">
        <v>541.46</v>
      </c>
      <c r="F473">
        <v>3741.0509299999999</v>
      </c>
      <c r="G473">
        <v>0</v>
      </c>
      <c r="L473" t="s">
        <v>7</v>
      </c>
      <c r="M473" t="s">
        <v>8</v>
      </c>
      <c r="N473" t="s">
        <v>8</v>
      </c>
      <c r="P473">
        <f t="shared" si="979"/>
        <v>-0.17918313570487282</v>
      </c>
      <c r="Q473">
        <f t="shared" si="980"/>
        <v>-670.33323646903068</v>
      </c>
      <c r="R473">
        <f t="shared" si="981"/>
        <v>-11550.340384278665</v>
      </c>
      <c r="S473">
        <f t="shared" si="982"/>
        <v>-0.11550340384278665</v>
      </c>
      <c r="T473">
        <f t="shared" si="983"/>
        <v>-1.1550340384278665E-4</v>
      </c>
    </row>
    <row r="474" spans="1:20" x14ac:dyDescent="0.25">
      <c r="A474" s="5">
        <v>44119</v>
      </c>
      <c r="B474">
        <v>576.21</v>
      </c>
      <c r="C474">
        <v>576.22</v>
      </c>
      <c r="D474">
        <v>548.28</v>
      </c>
      <c r="E474">
        <v>558.19000000000005</v>
      </c>
      <c r="F474">
        <v>2282.9132500000001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-0.29062276306370349</v>
      </c>
      <c r="Q474">
        <f t="shared" si="980"/>
        <v>-663.46655654973927</v>
      </c>
      <c r="R474">
        <f t="shared" si="981"/>
        <v>-10880.007147809634</v>
      </c>
      <c r="S474">
        <f t="shared" si="982"/>
        <v>-0.10880007147809634</v>
      </c>
      <c r="T474">
        <f t="shared" si="983"/>
        <v>-1.0880007147809634E-4</v>
      </c>
    </row>
    <row r="475" spans="1:20" x14ac:dyDescent="0.25">
      <c r="A475" s="5">
        <v>44118</v>
      </c>
      <c r="B475">
        <v>574.13</v>
      </c>
      <c r="C475">
        <v>600</v>
      </c>
      <c r="D475">
        <v>558.99</v>
      </c>
      <c r="E475">
        <v>575.58000000000004</v>
      </c>
      <c r="F475">
        <v>2683.1557299999999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-0.19092904169714531</v>
      </c>
      <c r="Q475">
        <f t="shared" si="980"/>
        <v>-512.29235225310435</v>
      </c>
      <c r="R475">
        <f t="shared" si="981"/>
        <v>-10216.540591259894</v>
      </c>
      <c r="S475">
        <f t="shared" si="982"/>
        <v>-0.10216540591259894</v>
      </c>
      <c r="T475">
        <f t="shared" si="983"/>
        <v>-1.0216540591259894E-4</v>
      </c>
    </row>
    <row r="476" spans="1:20" x14ac:dyDescent="0.25">
      <c r="A476" s="5">
        <v>44117</v>
      </c>
      <c r="B476">
        <v>586.37</v>
      </c>
      <c r="C476">
        <v>596.53</v>
      </c>
      <c r="D476">
        <v>560.70000000000005</v>
      </c>
      <c r="E476">
        <v>574.75</v>
      </c>
      <c r="F476">
        <v>1676.7257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-0.21574099916271375</v>
      </c>
      <c r="Q476">
        <f t="shared" si="980"/>
        <v>-361.73847783980062</v>
      </c>
      <c r="R476">
        <f t="shared" si="981"/>
        <v>-9704.2482390067908</v>
      </c>
      <c r="S476">
        <f t="shared" si="982"/>
        <v>-9.7042482390067908E-2</v>
      </c>
      <c r="T476">
        <f t="shared" si="983"/>
        <v>-9.704248239006791E-5</v>
      </c>
    </row>
    <row r="477" spans="1:20" x14ac:dyDescent="0.25">
      <c r="A477" s="5">
        <v>44116</v>
      </c>
      <c r="B477">
        <v>587.07000000000005</v>
      </c>
      <c r="C477">
        <v>598.02</v>
      </c>
      <c r="D477">
        <v>571.30999999999995</v>
      </c>
      <c r="E477">
        <v>587.16</v>
      </c>
      <c r="F477">
        <v>1717.00314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0.1868214152002996</v>
      </c>
      <c r="Q477">
        <f t="shared" si="980"/>
        <v>320.77295651815814</v>
      </c>
      <c r="R477">
        <f t="shared" si="981"/>
        <v>-9342.5097611669898</v>
      </c>
      <c r="S477">
        <f t="shared" si="982"/>
        <v>-9.3425097611669894E-2</v>
      </c>
      <c r="T477">
        <f t="shared" si="983"/>
        <v>-9.3425097611669894E-5</v>
      </c>
    </row>
    <row r="478" spans="1:20" x14ac:dyDescent="0.25">
      <c r="A478" s="5">
        <v>44115</v>
      </c>
      <c r="B478">
        <v>586.52</v>
      </c>
      <c r="C478">
        <v>597.41999999999996</v>
      </c>
      <c r="D478">
        <v>576.38</v>
      </c>
      <c r="E478">
        <v>587.15</v>
      </c>
      <c r="F478">
        <v>2169.5411300000001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2.376425855513312E-2</v>
      </c>
      <c r="Q478">
        <f t="shared" si="980"/>
        <v>51.557536359315677</v>
      </c>
      <c r="R478">
        <f t="shared" si="981"/>
        <v>-9663.2827176851479</v>
      </c>
      <c r="S478">
        <f t="shared" si="982"/>
        <v>-9.6632827176851482E-2</v>
      </c>
      <c r="T478">
        <f t="shared" si="983"/>
        <v>-9.6632827176851489E-5</v>
      </c>
    </row>
    <row r="479" spans="1:20" x14ac:dyDescent="0.25">
      <c r="A479" s="5">
        <v>44114</v>
      </c>
      <c r="B479">
        <v>567.30999999999995</v>
      </c>
      <c r="C479">
        <v>614.09</v>
      </c>
      <c r="D479">
        <v>566.59</v>
      </c>
      <c r="E479">
        <v>587.49</v>
      </c>
      <c r="F479">
        <v>4791.3513300000004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-0.12000000000000095</v>
      </c>
      <c r="Q479">
        <f t="shared" si="980"/>
        <v>-574.96215960000461</v>
      </c>
      <c r="R479">
        <f t="shared" si="981"/>
        <v>-9714.840254044464</v>
      </c>
      <c r="S479">
        <f t="shared" si="982"/>
        <v>-9.7148402540444642E-2</v>
      </c>
      <c r="T479">
        <f t="shared" si="983"/>
        <v>-9.7148402540444647E-5</v>
      </c>
    </row>
    <row r="480" spans="1:20" x14ac:dyDescent="0.25">
      <c r="A480" s="5">
        <v>44113</v>
      </c>
      <c r="B480">
        <v>533.42999999999995</v>
      </c>
      <c r="C480">
        <v>570</v>
      </c>
      <c r="D480">
        <v>524.04</v>
      </c>
      <c r="E480">
        <v>567.66999999999996</v>
      </c>
      <c r="F480">
        <v>4662.9297699999997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0.89860748476936292</v>
      </c>
      <c r="Q480">
        <f t="shared" si="980"/>
        <v>4190.1435922758837</v>
      </c>
      <c r="R480">
        <f t="shared" si="981"/>
        <v>-9139.8780944444588</v>
      </c>
      <c r="S480">
        <f t="shared" si="982"/>
        <v>-9.1398780944444591E-2</v>
      </c>
      <c r="T480">
        <f t="shared" si="983"/>
        <v>-9.1398780944444591E-5</v>
      </c>
    </row>
    <row r="481" spans="1:20" x14ac:dyDescent="0.25">
      <c r="A481" s="5">
        <v>44112</v>
      </c>
      <c r="B481">
        <v>522.66999999999996</v>
      </c>
      <c r="C481">
        <v>537.48</v>
      </c>
      <c r="D481">
        <v>498.49</v>
      </c>
      <c r="E481">
        <v>533.65</v>
      </c>
      <c r="F481">
        <v>4083.8892599999999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0.80353936906899004</v>
      </c>
      <c r="Q481">
        <f t="shared" si="980"/>
        <v>3281.5657993280247</v>
      </c>
      <c r="R481">
        <f t="shared" si="981"/>
        <v>-13330.021686720342</v>
      </c>
      <c r="S481">
        <f t="shared" si="982"/>
        <v>-0.13330021686720342</v>
      </c>
      <c r="T481">
        <f t="shared" si="983"/>
        <v>-1.3330021686720341E-4</v>
      </c>
    </row>
    <row r="482" spans="1:20" x14ac:dyDescent="0.25">
      <c r="A482" s="5">
        <v>44111</v>
      </c>
      <c r="B482">
        <v>520.75</v>
      </c>
      <c r="C482">
        <v>531.96</v>
      </c>
      <c r="D482">
        <v>501.06</v>
      </c>
      <c r="E482">
        <v>523.76</v>
      </c>
      <c r="F482">
        <v>6095.79216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0.46925566343041836</v>
      </c>
      <c r="Q482">
        <f t="shared" si="980"/>
        <v>2860.484994174743</v>
      </c>
      <c r="R482">
        <f t="shared" si="981"/>
        <v>-16611.587486048367</v>
      </c>
      <c r="S482">
        <f t="shared" si="982"/>
        <v>-0.16611587486048368</v>
      </c>
      <c r="T482">
        <f t="shared" si="983"/>
        <v>-1.6611587486048369E-4</v>
      </c>
    </row>
    <row r="483" spans="1:20" x14ac:dyDescent="0.25">
      <c r="A483" s="5">
        <v>44110</v>
      </c>
      <c r="B483">
        <v>565.39</v>
      </c>
      <c r="C483">
        <v>567.47</v>
      </c>
      <c r="D483">
        <v>512.76</v>
      </c>
      <c r="E483">
        <v>520.74</v>
      </c>
      <c r="F483">
        <v>4807.7631899999997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-0.70828002193383244</v>
      </c>
      <c r="Q483">
        <f t="shared" si="980"/>
        <v>-3405.2426176658719</v>
      </c>
      <c r="R483">
        <f t="shared" si="981"/>
        <v>-19472.072480223109</v>
      </c>
      <c r="S483">
        <f t="shared" si="982"/>
        <v>-0.1947207248022311</v>
      </c>
      <c r="T483">
        <f t="shared" si="983"/>
        <v>-1.947207248022311E-4</v>
      </c>
    </row>
    <row r="484" spans="1:20" x14ac:dyDescent="0.25">
      <c r="A484" s="5">
        <v>44109</v>
      </c>
      <c r="B484">
        <v>569.1</v>
      </c>
      <c r="C484">
        <v>575.4</v>
      </c>
      <c r="D484">
        <v>543.54</v>
      </c>
      <c r="E484">
        <v>565</v>
      </c>
      <c r="F484">
        <v>2658.2838900000002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0.34714375392341662</v>
      </c>
      <c r="Q484">
        <f t="shared" si="980"/>
        <v>922.80664856874273</v>
      </c>
      <c r="R484">
        <f t="shared" si="981"/>
        <v>-16066.829862557237</v>
      </c>
      <c r="S484">
        <f t="shared" si="982"/>
        <v>-0.16066829862557236</v>
      </c>
      <c r="T484">
        <f t="shared" si="983"/>
        <v>-1.6066829862557236E-4</v>
      </c>
    </row>
    <row r="485" spans="1:20" x14ac:dyDescent="0.25">
      <c r="A485" s="5">
        <v>44108</v>
      </c>
      <c r="B485">
        <v>557.16999999999996</v>
      </c>
      <c r="C485">
        <v>571.75</v>
      </c>
      <c r="D485">
        <v>550</v>
      </c>
      <c r="E485">
        <v>569.37</v>
      </c>
      <c r="F485">
        <v>1984.4171899999999</v>
      </c>
      <c r="G485">
        <v>0</v>
      </c>
      <c r="L485" t="s">
        <v>8</v>
      </c>
      <c r="M485" t="s">
        <v>8</v>
      </c>
      <c r="N485" t="s">
        <v>8</v>
      </c>
      <c r="P485">
        <f t="shared" si="979"/>
        <v>0.78114942528735676</v>
      </c>
      <c r="Q485">
        <f t="shared" si="980"/>
        <v>1550.1263474988514</v>
      </c>
      <c r="R485">
        <f t="shared" si="981"/>
        <v>-16989.63651112598</v>
      </c>
      <c r="S485">
        <f t="shared" si="982"/>
        <v>-0.1698963651112598</v>
      </c>
      <c r="T485">
        <f t="shared" si="983"/>
        <v>-1.698963651112598E-4</v>
      </c>
    </row>
    <row r="486" spans="1:20" x14ac:dyDescent="0.25">
      <c r="A486" s="5">
        <v>44107</v>
      </c>
      <c r="B486">
        <v>551.48</v>
      </c>
      <c r="C486">
        <v>584.69000000000005</v>
      </c>
      <c r="D486">
        <v>547.14</v>
      </c>
      <c r="E486">
        <v>557.57000000000005</v>
      </c>
      <c r="F486">
        <v>3496.77684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-0.44447403462050361</v>
      </c>
      <c r="Q486">
        <f t="shared" si="980"/>
        <v>-1554.2265102423353</v>
      </c>
      <c r="R486">
        <f t="shared" si="981"/>
        <v>-18539.762858624832</v>
      </c>
      <c r="S486">
        <f t="shared" si="982"/>
        <v>-0.18539762858624831</v>
      </c>
      <c r="T486">
        <f t="shared" si="983"/>
        <v>-1.8539762858624831E-4</v>
      </c>
    </row>
    <row r="487" spans="1:20" x14ac:dyDescent="0.25">
      <c r="A487" s="5">
        <v>44106</v>
      </c>
      <c r="B487">
        <v>576.08000000000004</v>
      </c>
      <c r="C487">
        <v>577.59</v>
      </c>
      <c r="D487">
        <v>530</v>
      </c>
      <c r="E487">
        <v>552.80999999999995</v>
      </c>
      <c r="F487">
        <v>7459.85761</v>
      </c>
      <c r="G487">
        <v>0</v>
      </c>
      <c r="L487" t="s">
        <v>7</v>
      </c>
      <c r="M487" t="s">
        <v>8</v>
      </c>
      <c r="N487" t="s">
        <v>8</v>
      </c>
      <c r="P487">
        <f t="shared" si="979"/>
        <v>-4.1395251103175872E-2</v>
      </c>
      <c r="Q487">
        <f t="shared" si="980"/>
        <v>-308.80267895988743</v>
      </c>
      <c r="R487">
        <f t="shared" si="981"/>
        <v>-16985.536348382499</v>
      </c>
      <c r="S487">
        <f t="shared" si="982"/>
        <v>-0.16985536348382499</v>
      </c>
      <c r="T487">
        <f t="shared" si="983"/>
        <v>-1.6985536348382499E-4</v>
      </c>
    </row>
    <row r="488" spans="1:20" x14ac:dyDescent="0.25">
      <c r="A488" s="5">
        <v>44105</v>
      </c>
      <c r="B488">
        <v>571.75</v>
      </c>
      <c r="C488">
        <v>599.99</v>
      </c>
      <c r="D488">
        <v>551.28</v>
      </c>
      <c r="E488">
        <v>576.57000000000005</v>
      </c>
      <c r="F488">
        <v>5344.3338100000001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3.8390474235272365E-2</v>
      </c>
      <c r="Q488">
        <f t="shared" si="980"/>
        <v>205.17150943749999</v>
      </c>
      <c r="R488">
        <f t="shared" si="981"/>
        <v>-16676.733669422611</v>
      </c>
      <c r="S488">
        <f t="shared" si="982"/>
        <v>-0.16676733669422611</v>
      </c>
      <c r="T488">
        <f t="shared" si="983"/>
        <v>-1.6676733669422611E-4</v>
      </c>
    </row>
    <row r="489" spans="1:20" x14ac:dyDescent="0.25">
      <c r="A489" s="5">
        <v>44104</v>
      </c>
      <c r="B489">
        <v>527.03</v>
      </c>
      <c r="C489">
        <v>580</v>
      </c>
      <c r="D489">
        <v>504.49</v>
      </c>
      <c r="E489">
        <v>571.45000000000005</v>
      </c>
      <c r="F489">
        <v>6221.8222800000003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0.77353992848629438</v>
      </c>
      <c r="Q489">
        <f t="shared" si="980"/>
        <v>4812.8279615256333</v>
      </c>
      <c r="R489">
        <f t="shared" si="981"/>
        <v>-16881.90517886011</v>
      </c>
      <c r="S489">
        <f t="shared" si="982"/>
        <v>-0.1688190517886011</v>
      </c>
      <c r="T489">
        <f t="shared" si="983"/>
        <v>-1.6881905178860109E-4</v>
      </c>
    </row>
    <row r="490" spans="1:20" x14ac:dyDescent="0.25">
      <c r="A490" s="5">
        <v>44103</v>
      </c>
      <c r="B490">
        <v>512.14</v>
      </c>
      <c r="C490">
        <v>545</v>
      </c>
      <c r="D490">
        <v>503.41</v>
      </c>
      <c r="E490">
        <v>526.41</v>
      </c>
      <c r="F490">
        <v>4028.7817500000001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0.10603510459244804</v>
      </c>
      <c r="Q490">
        <f t="shared" si="980"/>
        <v>427.19229424139587</v>
      </c>
      <c r="R490">
        <f t="shared" si="981"/>
        <v>-21694.733140385742</v>
      </c>
      <c r="S490">
        <f t="shared" si="982"/>
        <v>-0.21694733140385741</v>
      </c>
      <c r="T490">
        <f t="shared" si="983"/>
        <v>-2.1694733140385742E-4</v>
      </c>
    </row>
    <row r="491" spans="1:20" x14ac:dyDescent="0.25">
      <c r="A491" s="5">
        <v>44102</v>
      </c>
      <c r="B491">
        <v>503.43</v>
      </c>
      <c r="C491">
        <v>549.41999999999996</v>
      </c>
      <c r="D491">
        <v>502.29</v>
      </c>
      <c r="E491">
        <v>512.38</v>
      </c>
      <c r="F491">
        <v>4334.3433199999999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-0.57182261828983716</v>
      </c>
      <c r="Q491">
        <f t="shared" si="980"/>
        <v>-2478.4755458094655</v>
      </c>
      <c r="R491">
        <f t="shared" si="981"/>
        <v>-22121.925434627137</v>
      </c>
      <c r="S491">
        <f t="shared" si="982"/>
        <v>-0.22121925434627138</v>
      </c>
      <c r="T491">
        <f t="shared" si="983"/>
        <v>-2.2121925434627138E-4</v>
      </c>
    </row>
    <row r="492" spans="1:20" x14ac:dyDescent="0.25">
      <c r="A492" s="5">
        <v>44101</v>
      </c>
      <c r="B492">
        <v>524.32000000000005</v>
      </c>
      <c r="C492">
        <v>528</v>
      </c>
      <c r="D492">
        <v>488.77</v>
      </c>
      <c r="E492">
        <v>502.09</v>
      </c>
      <c r="F492">
        <v>2725.4157399999999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-0.32092786133061496</v>
      </c>
      <c r="Q492">
        <f t="shared" si="980"/>
        <v>-874.66184467499534</v>
      </c>
      <c r="R492">
        <f t="shared" si="981"/>
        <v>-19643.449888817671</v>
      </c>
      <c r="S492">
        <f t="shared" si="982"/>
        <v>-0.19643449888817671</v>
      </c>
      <c r="T492">
        <f t="shared" si="983"/>
        <v>-1.9643449888817672E-4</v>
      </c>
    </row>
    <row r="493" spans="1:20" x14ac:dyDescent="0.25">
      <c r="A493" s="5">
        <v>44100</v>
      </c>
      <c r="B493">
        <v>504.39</v>
      </c>
      <c r="C493">
        <v>527.29999999999995</v>
      </c>
      <c r="D493">
        <v>499.37</v>
      </c>
      <c r="E493">
        <v>524.14</v>
      </c>
      <c r="F493">
        <v>2874.6145200000001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0.77372001432151993</v>
      </c>
      <c r="Q493">
        <f t="shared" si="980"/>
        <v>2224.1467875832491</v>
      </c>
      <c r="R493">
        <f t="shared" si="981"/>
        <v>-18768.788044142675</v>
      </c>
      <c r="S493">
        <f t="shared" si="982"/>
        <v>-0.18768788044142676</v>
      </c>
      <c r="T493">
        <f t="shared" si="983"/>
        <v>-1.8768788044142676E-4</v>
      </c>
    </row>
    <row r="494" spans="1:20" x14ac:dyDescent="0.25">
      <c r="A494" s="5">
        <v>44099</v>
      </c>
      <c r="B494">
        <v>485.07</v>
      </c>
      <c r="C494">
        <v>515.69000000000005</v>
      </c>
      <c r="D494">
        <v>474.11</v>
      </c>
      <c r="E494">
        <v>504.22</v>
      </c>
      <c r="F494">
        <v>3586.0349500000002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0.44829244829244752</v>
      </c>
      <c r="Q494">
        <f t="shared" si="980"/>
        <v>1607.5923873977847</v>
      </c>
      <c r="R494">
        <f t="shared" si="981"/>
        <v>-20992.934831725925</v>
      </c>
      <c r="S494">
        <f t="shared" si="982"/>
        <v>-0.20992934831725923</v>
      </c>
      <c r="T494">
        <f t="shared" si="983"/>
        <v>-2.0992934831725923E-4</v>
      </c>
    </row>
    <row r="495" spans="1:20" x14ac:dyDescent="0.25">
      <c r="A495" s="5">
        <v>44098</v>
      </c>
      <c r="B495">
        <v>435.2</v>
      </c>
      <c r="C495">
        <v>488.01</v>
      </c>
      <c r="D495">
        <v>429.79</v>
      </c>
      <c r="E495">
        <v>485.56</v>
      </c>
      <c r="F495">
        <v>3709.2008999999998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0.91583648230848536</v>
      </c>
      <c r="Q495">
        <f t="shared" si="980"/>
        <v>3397.0215044314677</v>
      </c>
      <c r="R495">
        <f t="shared" si="981"/>
        <v>-22600.527219123709</v>
      </c>
      <c r="S495">
        <f t="shared" si="982"/>
        <v>-0.22600527219123709</v>
      </c>
      <c r="T495">
        <f t="shared" si="983"/>
        <v>-2.2600527219123709E-4</v>
      </c>
    </row>
    <row r="496" spans="1:20" x14ac:dyDescent="0.25">
      <c r="A496" s="5">
        <v>44097</v>
      </c>
      <c r="B496">
        <v>461.25</v>
      </c>
      <c r="C496">
        <v>469.19</v>
      </c>
      <c r="D496">
        <v>432.5</v>
      </c>
      <c r="E496">
        <v>435.2</v>
      </c>
      <c r="F496">
        <v>4530.56196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-0.85282093213409704</v>
      </c>
      <c r="Q496">
        <f t="shared" si="980"/>
        <v>-3863.7580738184815</v>
      </c>
      <c r="R496">
        <f t="shared" si="981"/>
        <v>-25997.548723555177</v>
      </c>
      <c r="S496">
        <f t="shared" si="982"/>
        <v>-0.25997548723555175</v>
      </c>
      <c r="T496">
        <f t="shared" si="983"/>
        <v>-2.5997548723555173E-4</v>
      </c>
    </row>
    <row r="497" spans="1:20" x14ac:dyDescent="0.25">
      <c r="A497" s="5">
        <v>44096</v>
      </c>
      <c r="B497">
        <v>453.27</v>
      </c>
      <c r="C497">
        <v>466.92</v>
      </c>
      <c r="D497">
        <v>439.53</v>
      </c>
      <c r="E497">
        <v>461.21</v>
      </c>
      <c r="F497">
        <v>3708.8660100000002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0.58305951077035212</v>
      </c>
      <c r="Q497">
        <f t="shared" si="980"/>
        <v>2162.4896013033881</v>
      </c>
      <c r="R497">
        <f t="shared" si="981"/>
        <v>-22133.790649736697</v>
      </c>
      <c r="S497">
        <f t="shared" si="982"/>
        <v>-0.22133790649736695</v>
      </c>
      <c r="T497">
        <f t="shared" si="983"/>
        <v>-2.2133790649736694E-4</v>
      </c>
    </row>
    <row r="498" spans="1:20" x14ac:dyDescent="0.25">
      <c r="A498" s="5">
        <v>44095</v>
      </c>
      <c r="B498">
        <v>474.98</v>
      </c>
      <c r="C498">
        <v>488.17</v>
      </c>
      <c r="D498">
        <v>431.16</v>
      </c>
      <c r="E498">
        <v>451.81</v>
      </c>
      <c r="F498">
        <v>7528.9077200000002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-0.27556569022978494</v>
      </c>
      <c r="Q498">
        <f t="shared" si="980"/>
        <v>-2074.7086525381565</v>
      </c>
      <c r="R498">
        <f t="shared" si="981"/>
        <v>-24296.280251040083</v>
      </c>
      <c r="S498">
        <f t="shared" si="982"/>
        <v>-0.24296280251040084</v>
      </c>
      <c r="T498">
        <f t="shared" si="983"/>
        <v>-2.4296280251040085E-4</v>
      </c>
    </row>
    <row r="499" spans="1:20" x14ac:dyDescent="0.25">
      <c r="A499" s="5">
        <v>44094</v>
      </c>
      <c r="B499">
        <v>512.63</v>
      </c>
      <c r="C499">
        <v>515.25</v>
      </c>
      <c r="D499">
        <v>465.49</v>
      </c>
      <c r="E499">
        <v>475.26</v>
      </c>
      <c r="F499">
        <v>3582.2280599999999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-0.60731511254019355</v>
      </c>
      <c r="Q499">
        <f t="shared" si="980"/>
        <v>-2175.5412374035391</v>
      </c>
      <c r="R499">
        <f t="shared" si="981"/>
        <v>-22221.571598501927</v>
      </c>
      <c r="S499">
        <f t="shared" si="982"/>
        <v>-0.22221571598501927</v>
      </c>
      <c r="T499">
        <f t="shared" si="983"/>
        <v>-2.2221571598501926E-4</v>
      </c>
    </row>
    <row r="500" spans="1:20" x14ac:dyDescent="0.25">
      <c r="A500" s="5">
        <v>44093</v>
      </c>
      <c r="B500">
        <v>499.51</v>
      </c>
      <c r="C500">
        <v>532.41999999999996</v>
      </c>
      <c r="D500">
        <v>493.1</v>
      </c>
      <c r="E500">
        <v>512.63</v>
      </c>
      <c r="F500">
        <v>3880.8079699999998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-6.6124109867749577E-3</v>
      </c>
      <c r="Q500">
        <f t="shared" si="980"/>
        <v>-25.661497258391819</v>
      </c>
      <c r="R500">
        <f t="shared" si="981"/>
        <v>-20046.030361098386</v>
      </c>
      <c r="S500">
        <f t="shared" si="982"/>
        <v>-0.20046030361098385</v>
      </c>
      <c r="T500">
        <f t="shared" si="983"/>
        <v>-2.0046030361098386E-4</v>
      </c>
    </row>
    <row r="501" spans="1:20" x14ac:dyDescent="0.25">
      <c r="A501" s="5">
        <v>44092</v>
      </c>
      <c r="B501">
        <v>503.14</v>
      </c>
      <c r="C501">
        <v>506.18</v>
      </c>
      <c r="D501">
        <v>479.82</v>
      </c>
      <c r="E501">
        <v>499.37</v>
      </c>
      <c r="F501">
        <v>3872.1547799999998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0.48330804248861919</v>
      </c>
      <c r="Q501">
        <f t="shared" si="980"/>
        <v>1871.4435469347497</v>
      </c>
      <c r="R501">
        <f t="shared" si="981"/>
        <v>-20020.368863839994</v>
      </c>
      <c r="S501">
        <f t="shared" si="982"/>
        <v>-0.20020368863839993</v>
      </c>
      <c r="T501">
        <f t="shared" si="983"/>
        <v>-2.0020368863839995E-4</v>
      </c>
    </row>
    <row r="502" spans="1:20" x14ac:dyDescent="0.25">
      <c r="A502" s="5">
        <v>44091</v>
      </c>
      <c r="B502">
        <v>474.06</v>
      </c>
      <c r="C502">
        <v>556.16</v>
      </c>
      <c r="D502">
        <v>468.22</v>
      </c>
      <c r="E502">
        <v>502.33</v>
      </c>
      <c r="F502">
        <v>11982.097449999999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-0.22424380259267729</v>
      </c>
      <c r="Q502">
        <f t="shared" si="980"/>
        <v>-2686.9110952240217</v>
      </c>
      <c r="R502">
        <f t="shared" si="981"/>
        <v>-21891.812410774743</v>
      </c>
      <c r="S502">
        <f t="shared" si="982"/>
        <v>-0.21891812410774741</v>
      </c>
      <c r="T502">
        <f t="shared" si="983"/>
        <v>-2.189181241077474E-4</v>
      </c>
    </row>
    <row r="503" spans="1:20" x14ac:dyDescent="0.25">
      <c r="A503" s="5">
        <v>44090</v>
      </c>
      <c r="B503">
        <v>453.91</v>
      </c>
      <c r="C503">
        <v>477.93</v>
      </c>
      <c r="D503">
        <v>438.52</v>
      </c>
      <c r="E503">
        <v>474.66</v>
      </c>
      <c r="F503">
        <v>4528.1905399999996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0.83405227099720991</v>
      </c>
      <c r="Q503">
        <f t="shared" si="980"/>
        <v>3776.747603395082</v>
      </c>
      <c r="R503">
        <f t="shared" si="981"/>
        <v>-19204.90131555072</v>
      </c>
      <c r="S503">
        <f t="shared" si="982"/>
        <v>-0.19204901315550721</v>
      </c>
      <c r="T503">
        <f t="shared" si="983"/>
        <v>-1.9204901315550722E-4</v>
      </c>
    </row>
    <row r="504" spans="1:20" x14ac:dyDescent="0.25">
      <c r="A504" s="5">
        <v>44089</v>
      </c>
      <c r="B504">
        <v>486.55</v>
      </c>
      <c r="C504">
        <v>501.23</v>
      </c>
      <c r="D504">
        <v>452.57</v>
      </c>
      <c r="E504">
        <v>453.63</v>
      </c>
      <c r="F504">
        <v>4863.0929800000004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-0.95643238799835584</v>
      </c>
      <c r="Q504">
        <f t="shared" si="980"/>
        <v>-4651.2196319194409</v>
      </c>
      <c r="R504">
        <f t="shared" si="981"/>
        <v>-22981.648918945801</v>
      </c>
      <c r="S504">
        <f t="shared" si="982"/>
        <v>-0.22981648918945802</v>
      </c>
      <c r="T504">
        <f t="shared" si="983"/>
        <v>-2.2981648918945802E-4</v>
      </c>
    </row>
    <row r="505" spans="1:20" x14ac:dyDescent="0.25">
      <c r="A505" s="5">
        <v>44088</v>
      </c>
      <c r="B505">
        <v>499.31</v>
      </c>
      <c r="C505">
        <v>517.94000000000005</v>
      </c>
      <c r="D505">
        <v>473.1</v>
      </c>
      <c r="E505">
        <v>486.31</v>
      </c>
      <c r="F505">
        <v>5869.4940500000002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-0.41079393398751246</v>
      </c>
      <c r="Q505">
        <f t="shared" si="980"/>
        <v>-2411.1525513157972</v>
      </c>
      <c r="R505">
        <f t="shared" si="981"/>
        <v>-18330.42928702636</v>
      </c>
      <c r="S505">
        <f t="shared" si="982"/>
        <v>-0.18330429287026359</v>
      </c>
      <c r="T505">
        <f t="shared" si="983"/>
        <v>-1.833042928702636E-4</v>
      </c>
    </row>
    <row r="506" spans="1:20" x14ac:dyDescent="0.25">
      <c r="A506" s="5">
        <v>44087</v>
      </c>
      <c r="B506">
        <v>514.13</v>
      </c>
      <c r="C506">
        <v>515.91</v>
      </c>
      <c r="D506">
        <v>482.64</v>
      </c>
      <c r="E506">
        <v>497.75</v>
      </c>
      <c r="F506">
        <v>5153.0477700000001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-9.1674180943791886E-2</v>
      </c>
      <c r="Q506">
        <f t="shared" si="980"/>
        <v>-472.40143367898327</v>
      </c>
      <c r="R506">
        <f t="shared" si="981"/>
        <v>-15919.276735710562</v>
      </c>
      <c r="S506">
        <f t="shared" si="982"/>
        <v>-0.15919276735710564</v>
      </c>
      <c r="T506">
        <f t="shared" si="983"/>
        <v>-1.5919276735710562E-4</v>
      </c>
    </row>
    <row r="507" spans="1:20" x14ac:dyDescent="0.25">
      <c r="A507" s="5">
        <v>44086</v>
      </c>
      <c r="B507">
        <v>523.83000000000004</v>
      </c>
      <c r="C507">
        <v>531.69000000000005</v>
      </c>
      <c r="D507">
        <v>497.7</v>
      </c>
      <c r="E507">
        <v>514.13</v>
      </c>
      <c r="F507">
        <v>5356.5478599999997</v>
      </c>
      <c r="G507">
        <v>0</v>
      </c>
      <c r="L507" t="s">
        <v>7</v>
      </c>
      <c r="M507" t="s">
        <v>7</v>
      </c>
      <c r="N507" t="s">
        <v>7</v>
      </c>
      <c r="P507">
        <f t="shared" si="979"/>
        <v>-3.3245072080025008E-2</v>
      </c>
      <c r="Q507">
        <f t="shared" si="980"/>
        <v>-178.07881970580368</v>
      </c>
      <c r="R507">
        <f t="shared" si="981"/>
        <v>-15446.875302031578</v>
      </c>
      <c r="S507">
        <f t="shared" si="982"/>
        <v>-0.15446875302031579</v>
      </c>
      <c r="T507">
        <f t="shared" si="983"/>
        <v>-1.5446875302031578E-4</v>
      </c>
    </row>
    <row r="508" spans="1:20" x14ac:dyDescent="0.25">
      <c r="A508" s="5">
        <v>44085</v>
      </c>
      <c r="B508">
        <v>533.27</v>
      </c>
      <c r="C508">
        <v>539.04</v>
      </c>
      <c r="D508">
        <v>507.35</v>
      </c>
      <c r="E508">
        <v>524.88</v>
      </c>
      <c r="F508">
        <v>3281.0217899999998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0.10634269485642192</v>
      </c>
      <c r="Q508">
        <f t="shared" si="980"/>
        <v>348.91269903124123</v>
      </c>
      <c r="R508">
        <f t="shared" si="981"/>
        <v>-15268.796482325773</v>
      </c>
      <c r="S508">
        <f t="shared" si="982"/>
        <v>-0.15268796482325772</v>
      </c>
      <c r="T508">
        <f t="shared" si="983"/>
        <v>-1.5268796482325773E-4</v>
      </c>
    </row>
    <row r="509" spans="1:20" x14ac:dyDescent="0.25">
      <c r="A509" s="5">
        <v>44084</v>
      </c>
      <c r="B509">
        <v>522.47</v>
      </c>
      <c r="C509">
        <v>557.66</v>
      </c>
      <c r="D509">
        <v>522.4</v>
      </c>
      <c r="E509">
        <v>533.27</v>
      </c>
      <c r="F509">
        <v>2340.5995699999999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-0.38343732274532005</v>
      </c>
      <c r="Q509">
        <f t="shared" si="980"/>
        <v>-897.4732327396473</v>
      </c>
      <c r="R509">
        <f t="shared" si="981"/>
        <v>-15617.709181357015</v>
      </c>
      <c r="S509">
        <f t="shared" si="982"/>
        <v>-0.15617709181357015</v>
      </c>
      <c r="T509">
        <f t="shared" si="983"/>
        <v>-1.5617709181357014E-4</v>
      </c>
    </row>
    <row r="510" spans="1:20" x14ac:dyDescent="0.25">
      <c r="A510" s="5">
        <v>44083</v>
      </c>
      <c r="B510">
        <v>506.89</v>
      </c>
      <c r="C510">
        <v>534.96</v>
      </c>
      <c r="D510">
        <v>500.39</v>
      </c>
      <c r="E510">
        <v>522</v>
      </c>
      <c r="F510">
        <v>2206.3741399999999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0.25021695111368136</v>
      </c>
      <c r="Q510">
        <f t="shared" si="980"/>
        <v>552.07221032687073</v>
      </c>
      <c r="R510">
        <f t="shared" si="981"/>
        <v>-14720.235948617368</v>
      </c>
      <c r="S510">
        <f t="shared" si="982"/>
        <v>-0.14720235948617369</v>
      </c>
      <c r="T510">
        <f t="shared" si="983"/>
        <v>-1.4720235948617369E-4</v>
      </c>
    </row>
    <row r="511" spans="1:20" x14ac:dyDescent="0.25">
      <c r="A511" s="5">
        <v>44082</v>
      </c>
      <c r="B511">
        <v>529.08000000000004</v>
      </c>
      <c r="C511">
        <v>530.71</v>
      </c>
      <c r="D511">
        <v>500</v>
      </c>
      <c r="E511">
        <v>507.59</v>
      </c>
      <c r="F511">
        <v>2808.5918200000001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-0.50569846955389341</v>
      </c>
      <c r="Q511">
        <f t="shared" si="980"/>
        <v>-1420.3005849755841</v>
      </c>
      <c r="R511">
        <f t="shared" si="981"/>
        <v>-15272.308158944239</v>
      </c>
      <c r="S511">
        <f t="shared" si="982"/>
        <v>-0.15272308158944239</v>
      </c>
      <c r="T511">
        <f t="shared" si="983"/>
        <v>-1.527230815894424E-4</v>
      </c>
    </row>
    <row r="512" spans="1:20" x14ac:dyDescent="0.25">
      <c r="A512" s="5">
        <v>44081</v>
      </c>
      <c r="B512">
        <v>544.20000000000005</v>
      </c>
      <c r="C512">
        <v>551.24</v>
      </c>
      <c r="D512">
        <v>500.94</v>
      </c>
      <c r="E512">
        <v>527.73</v>
      </c>
      <c r="F512">
        <v>3757.2981300000001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6.5208747514911111E-2</v>
      </c>
      <c r="Q512">
        <f t="shared" si="980"/>
        <v>245.00870509741767</v>
      </c>
      <c r="R512">
        <f t="shared" si="981"/>
        <v>-13852.007573968654</v>
      </c>
      <c r="S512">
        <f t="shared" si="982"/>
        <v>-0.13852007573968655</v>
      </c>
      <c r="T512">
        <f t="shared" si="983"/>
        <v>-1.3852007573968654E-4</v>
      </c>
    </row>
    <row r="513" spans="1:20" x14ac:dyDescent="0.25">
      <c r="A513" s="5">
        <v>44080</v>
      </c>
      <c r="B513">
        <v>513.91999999999996</v>
      </c>
      <c r="C513">
        <v>547.62</v>
      </c>
      <c r="D513">
        <v>481.49</v>
      </c>
      <c r="E513">
        <v>546.38</v>
      </c>
      <c r="F513">
        <v>5266.0465199999999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0.96249810978375894</v>
      </c>
      <c r="Q513">
        <f t="shared" si="980"/>
        <v>5068.5598215333412</v>
      </c>
      <c r="R513">
        <f t="shared" si="981"/>
        <v>-14097.016279066072</v>
      </c>
      <c r="S513">
        <f t="shared" si="982"/>
        <v>-0.14097016279066071</v>
      </c>
      <c r="T513">
        <f t="shared" si="983"/>
        <v>-1.4097016279066073E-4</v>
      </c>
    </row>
    <row r="514" spans="1:20" x14ac:dyDescent="0.25">
      <c r="A514" s="5">
        <v>44079</v>
      </c>
      <c r="B514">
        <v>584.76</v>
      </c>
      <c r="C514">
        <v>599.22</v>
      </c>
      <c r="D514">
        <v>499.47</v>
      </c>
      <c r="E514">
        <v>513.78</v>
      </c>
      <c r="F514">
        <v>6110.9145799999997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-0.71308270676691843</v>
      </c>
      <c r="Q514">
        <f t="shared" si="980"/>
        <v>-4357.5875095278261</v>
      </c>
      <c r="R514">
        <f t="shared" si="981"/>
        <v>-19165.576100599414</v>
      </c>
      <c r="S514">
        <f t="shared" si="982"/>
        <v>-0.19165576100599413</v>
      </c>
      <c r="T514">
        <f t="shared" si="983"/>
        <v>-1.9165576100599414E-4</v>
      </c>
    </row>
    <row r="515" spans="1:20" x14ac:dyDescent="0.25">
      <c r="A515" s="5">
        <v>44078</v>
      </c>
      <c r="B515">
        <v>559.51</v>
      </c>
      <c r="C515">
        <v>604.29</v>
      </c>
      <c r="D515">
        <v>551.01</v>
      </c>
      <c r="E515">
        <v>586.47</v>
      </c>
      <c r="F515">
        <v>4657.6924300000001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0.33108108108108314</v>
      </c>
      <c r="Q515">
        <f t="shared" si="980"/>
        <v>1542.0738450675772</v>
      </c>
      <c r="R515">
        <f t="shared" si="981"/>
        <v>-14807.988591071589</v>
      </c>
      <c r="S515">
        <f t="shared" si="982"/>
        <v>-0.14807988591071589</v>
      </c>
      <c r="T515">
        <f t="shared" si="983"/>
        <v>-1.480798859107159E-4</v>
      </c>
    </row>
    <row r="516" spans="1:20" x14ac:dyDescent="0.25">
      <c r="A516" s="5">
        <v>44077</v>
      </c>
      <c r="B516">
        <v>660.78</v>
      </c>
      <c r="C516">
        <v>666.74</v>
      </c>
      <c r="D516">
        <v>559.5</v>
      </c>
      <c r="E516">
        <v>560</v>
      </c>
      <c r="F516">
        <v>5229.2281700000003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-0.99067512122342405</v>
      </c>
      <c r="Q516">
        <f t="shared" si="980"/>
        <v>-5180.4662512196946</v>
      </c>
      <c r="R516">
        <f t="shared" si="981"/>
        <v>-16350.062436139167</v>
      </c>
      <c r="S516">
        <f t="shared" si="982"/>
        <v>-0.16350062436139168</v>
      </c>
      <c r="T516">
        <f t="shared" si="983"/>
        <v>-1.6350062436139168E-4</v>
      </c>
    </row>
    <row r="517" spans="1:20" x14ac:dyDescent="0.25">
      <c r="A517" s="5">
        <v>44076</v>
      </c>
      <c r="B517">
        <v>718.17</v>
      </c>
      <c r="C517">
        <v>719.49</v>
      </c>
      <c r="D517">
        <v>622.88</v>
      </c>
      <c r="E517">
        <v>661.43</v>
      </c>
      <c r="F517">
        <v>5437.0307499999999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-0.20194596832626127</v>
      </c>
      <c r="Q517">
        <f t="shared" si="980"/>
        <v>-1097.9864396284086</v>
      </c>
      <c r="R517">
        <f t="shared" si="981"/>
        <v>-11169.596184919474</v>
      </c>
      <c r="S517">
        <f t="shared" si="982"/>
        <v>-0.11169596184919474</v>
      </c>
      <c r="T517">
        <f t="shared" si="983"/>
        <v>-1.1169596184919474E-4</v>
      </c>
    </row>
    <row r="518" spans="1:20" x14ac:dyDescent="0.25">
      <c r="A518" s="5">
        <v>44075</v>
      </c>
      <c r="B518">
        <v>681.61</v>
      </c>
      <c r="C518">
        <v>745.56</v>
      </c>
      <c r="D518">
        <v>672.18</v>
      </c>
      <c r="E518">
        <v>718.3</v>
      </c>
      <c r="F518">
        <v>8030.6701499999999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0.25701826110656872</v>
      </c>
      <c r="Q518">
        <f t="shared" ref="Q518:Q581" si="985">F518*P518</f>
        <v>2064.0288774734272</v>
      </c>
      <c r="R518">
        <f t="shared" ref="R518:R581" si="986">R519+Q518</f>
        <v>-10071.609745291065</v>
      </c>
      <c r="S518">
        <f t="shared" ref="S518:S581" si="987">R518/100000</f>
        <v>-0.10071609745291066</v>
      </c>
      <c r="T518">
        <f t="shared" ref="T518:T581" si="988">S518/1000</f>
        <v>-1.0071609745291065E-4</v>
      </c>
    </row>
    <row r="519" spans="1:20" x14ac:dyDescent="0.25">
      <c r="A519" s="5">
        <v>44074</v>
      </c>
      <c r="B519">
        <v>677.41</v>
      </c>
      <c r="C519">
        <v>688</v>
      </c>
      <c r="D519">
        <v>656.09</v>
      </c>
      <c r="E519">
        <v>681.61</v>
      </c>
      <c r="F519">
        <v>2693.2008000000001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0.59949858978376735</v>
      </c>
      <c r="Q519">
        <f t="shared" si="985"/>
        <v>1614.5700816045141</v>
      </c>
      <c r="R519">
        <f t="shared" si="986"/>
        <v>-12135.638622764493</v>
      </c>
      <c r="S519">
        <f t="shared" si="987"/>
        <v>-0.12135638622764493</v>
      </c>
      <c r="T519">
        <f t="shared" si="988"/>
        <v>-1.2135638622764493E-4</v>
      </c>
    </row>
    <row r="520" spans="1:20" x14ac:dyDescent="0.25">
      <c r="A520" s="5">
        <v>44073</v>
      </c>
      <c r="B520">
        <v>630.83000000000004</v>
      </c>
      <c r="C520">
        <v>686.32</v>
      </c>
      <c r="D520">
        <v>629</v>
      </c>
      <c r="E520">
        <v>675.83</v>
      </c>
      <c r="F520">
        <v>4964.0738600000004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0.63398464759246331</v>
      </c>
      <c r="Q520">
        <f t="shared" si="985"/>
        <v>3147.1466167550593</v>
      </c>
      <c r="R520">
        <f t="shared" si="986"/>
        <v>-13750.208704369006</v>
      </c>
      <c r="S520">
        <f t="shared" si="987"/>
        <v>-0.13750208704369007</v>
      </c>
      <c r="T520">
        <f t="shared" si="988"/>
        <v>-1.3750208704369009E-4</v>
      </c>
    </row>
    <row r="521" spans="1:20" x14ac:dyDescent="0.25">
      <c r="A521" s="5">
        <v>44072</v>
      </c>
      <c r="B521">
        <v>636.29999999999995</v>
      </c>
      <c r="C521">
        <v>644.52</v>
      </c>
      <c r="D521">
        <v>629.16999999999996</v>
      </c>
      <c r="E521">
        <v>631.21</v>
      </c>
      <c r="F521">
        <v>2524.5801099999999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-0.73420195439738445</v>
      </c>
      <c r="Q521">
        <f t="shared" si="985"/>
        <v>-1853.5516507947636</v>
      </c>
      <c r="R521">
        <f t="shared" si="986"/>
        <v>-16897.355321124065</v>
      </c>
      <c r="S521">
        <f t="shared" si="987"/>
        <v>-0.16897355321124066</v>
      </c>
      <c r="T521">
        <f t="shared" si="988"/>
        <v>-1.6897355321124068E-4</v>
      </c>
    </row>
    <row r="522" spans="1:20" x14ac:dyDescent="0.25">
      <c r="A522" s="5">
        <v>44071</v>
      </c>
      <c r="B522">
        <v>617.99</v>
      </c>
      <c r="C522">
        <v>636.78</v>
      </c>
      <c r="D522">
        <v>610.63</v>
      </c>
      <c r="E522">
        <v>635.96</v>
      </c>
      <c r="F522">
        <v>3682.2431299999998</v>
      </c>
      <c r="G522">
        <v>0</v>
      </c>
      <c r="L522" t="s">
        <v>7</v>
      </c>
      <c r="M522" t="s">
        <v>8</v>
      </c>
      <c r="N522" t="s">
        <v>7</v>
      </c>
      <c r="P522">
        <f t="shared" si="984"/>
        <v>0.9372848948374809</v>
      </c>
      <c r="Q522">
        <f t="shared" si="985"/>
        <v>3451.3108648680864</v>
      </c>
      <c r="R522">
        <f t="shared" si="986"/>
        <v>-15043.8036703293</v>
      </c>
      <c r="S522">
        <f t="shared" si="987"/>
        <v>-0.150438036703293</v>
      </c>
      <c r="T522">
        <f t="shared" si="988"/>
        <v>-1.5043803670329299E-4</v>
      </c>
    </row>
    <row r="523" spans="1:20" x14ac:dyDescent="0.25">
      <c r="A523" s="5">
        <v>44070</v>
      </c>
      <c r="B523">
        <v>640.77</v>
      </c>
      <c r="C523">
        <v>646.02</v>
      </c>
      <c r="D523">
        <v>609.25</v>
      </c>
      <c r="E523">
        <v>614.97</v>
      </c>
      <c r="F523">
        <v>3986.9484600000001</v>
      </c>
      <c r="G523">
        <v>0</v>
      </c>
      <c r="L523" t="s">
        <v>7</v>
      </c>
      <c r="M523" t="s">
        <v>8</v>
      </c>
      <c r="N523" t="s">
        <v>7</v>
      </c>
      <c r="P523">
        <f t="shared" si="984"/>
        <v>-0.68887680174054777</v>
      </c>
      <c r="Q523">
        <f t="shared" si="985"/>
        <v>-2746.5163038292021</v>
      </c>
      <c r="R523">
        <f t="shared" si="986"/>
        <v>-18495.114535197386</v>
      </c>
      <c r="S523">
        <f t="shared" si="987"/>
        <v>-0.18495114535197388</v>
      </c>
      <c r="T523">
        <f t="shared" si="988"/>
        <v>-1.8495114535197388E-4</v>
      </c>
    </row>
    <row r="524" spans="1:20" x14ac:dyDescent="0.25">
      <c r="A524" s="5">
        <v>44069</v>
      </c>
      <c r="B524">
        <v>638.09</v>
      </c>
      <c r="C524">
        <v>655</v>
      </c>
      <c r="D524">
        <v>629</v>
      </c>
      <c r="E524">
        <v>640.77</v>
      </c>
      <c r="F524">
        <v>5185.2034400000002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-9.4615384615386017E-2</v>
      </c>
      <c r="Q524">
        <f t="shared" si="985"/>
        <v>-490.60001778462265</v>
      </c>
      <c r="R524">
        <f t="shared" si="986"/>
        <v>-15748.598231368185</v>
      </c>
      <c r="S524">
        <f t="shared" si="987"/>
        <v>-0.15748598231368185</v>
      </c>
      <c r="T524">
        <f t="shared" si="988"/>
        <v>-1.5748598231368185E-4</v>
      </c>
    </row>
    <row r="525" spans="1:20" x14ac:dyDescent="0.25">
      <c r="A525" s="5">
        <v>44068</v>
      </c>
      <c r="B525">
        <v>677.17</v>
      </c>
      <c r="C525">
        <v>678.41</v>
      </c>
      <c r="D525">
        <v>609.65</v>
      </c>
      <c r="E525">
        <v>638.1</v>
      </c>
      <c r="F525">
        <v>7333.4181600000002</v>
      </c>
      <c r="G525">
        <v>0</v>
      </c>
      <c r="L525" t="s">
        <v>7</v>
      </c>
      <c r="M525" t="s">
        <v>8</v>
      </c>
      <c r="N525" t="s">
        <v>7</v>
      </c>
      <c r="P525">
        <f t="shared" si="984"/>
        <v>-0.17248400232693284</v>
      </c>
      <c r="Q525">
        <f t="shared" si="985"/>
        <v>-1264.8973149738115</v>
      </c>
      <c r="R525">
        <f t="shared" si="986"/>
        <v>-15257.998213583563</v>
      </c>
      <c r="S525">
        <f t="shared" si="987"/>
        <v>-0.15257998213583562</v>
      </c>
      <c r="T525">
        <f t="shared" si="988"/>
        <v>-1.5257998213583562E-4</v>
      </c>
    </row>
    <row r="526" spans="1:20" x14ac:dyDescent="0.25">
      <c r="A526" s="5">
        <v>44067</v>
      </c>
      <c r="B526">
        <v>638.71</v>
      </c>
      <c r="C526">
        <v>696.35</v>
      </c>
      <c r="D526">
        <v>635.91</v>
      </c>
      <c r="E526">
        <v>677.33</v>
      </c>
      <c r="F526">
        <v>7761.7536799999998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0.3706154864328271</v>
      </c>
      <c r="Q526">
        <f t="shared" si="985"/>
        <v>2876.626115684986</v>
      </c>
      <c r="R526">
        <f t="shared" si="986"/>
        <v>-13993.100898609751</v>
      </c>
      <c r="S526">
        <f t="shared" si="987"/>
        <v>-0.1399310089860975</v>
      </c>
      <c r="T526">
        <f t="shared" si="988"/>
        <v>-1.399310089860975E-4</v>
      </c>
    </row>
    <row r="527" spans="1:20" x14ac:dyDescent="0.25">
      <c r="A527" s="5">
        <v>44066</v>
      </c>
      <c r="B527">
        <v>642.79999999999995</v>
      </c>
      <c r="C527">
        <v>650.29999999999995</v>
      </c>
      <c r="D527">
        <v>621.36</v>
      </c>
      <c r="E527">
        <v>638.49</v>
      </c>
      <c r="F527">
        <v>2805.33554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0.18382861091914515</v>
      </c>
      <c r="Q527">
        <f t="shared" si="985"/>
        <v>515.70093548031002</v>
      </c>
      <c r="R527">
        <f t="shared" si="986"/>
        <v>-16869.727014294738</v>
      </c>
      <c r="S527">
        <f t="shared" si="987"/>
        <v>-0.16869727014294739</v>
      </c>
      <c r="T527">
        <f t="shared" si="988"/>
        <v>-1.6869727014294739E-4</v>
      </c>
    </row>
    <row r="528" spans="1:20" x14ac:dyDescent="0.25">
      <c r="A528" s="5">
        <v>44065</v>
      </c>
      <c r="B528">
        <v>603.37</v>
      </c>
      <c r="C528">
        <v>650.66</v>
      </c>
      <c r="D528">
        <v>593.59</v>
      </c>
      <c r="E528">
        <v>642.87</v>
      </c>
      <c r="F528">
        <v>7824.1161599999996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0.72700192745750924</v>
      </c>
      <c r="Q528">
        <f t="shared" si="985"/>
        <v>5688.1475289714454</v>
      </c>
      <c r="R528">
        <f t="shared" si="986"/>
        <v>-17385.427949775047</v>
      </c>
      <c r="S528">
        <f t="shared" si="987"/>
        <v>-0.17385427949775048</v>
      </c>
      <c r="T528">
        <f t="shared" si="988"/>
        <v>-1.7385427949775047E-4</v>
      </c>
    </row>
    <row r="529" spans="1:20" x14ac:dyDescent="0.25">
      <c r="A529" s="5">
        <v>44064</v>
      </c>
      <c r="B529">
        <v>661.54</v>
      </c>
      <c r="C529">
        <v>671.29</v>
      </c>
      <c r="D529">
        <v>601.5</v>
      </c>
      <c r="E529">
        <v>603.16999999999996</v>
      </c>
      <c r="F529">
        <v>4996.2235700000001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-0.95214214070783898</v>
      </c>
      <c r="Q529">
        <f t="shared" si="985"/>
        <v>-4757.1150053947613</v>
      </c>
      <c r="R529">
        <f t="shared" si="986"/>
        <v>-23073.57547874649</v>
      </c>
      <c r="S529">
        <f t="shared" si="987"/>
        <v>-0.23073575478746491</v>
      </c>
      <c r="T529">
        <f t="shared" si="988"/>
        <v>-2.307357547874649E-4</v>
      </c>
    </row>
    <row r="530" spans="1:20" x14ac:dyDescent="0.25">
      <c r="A530" s="5">
        <v>44063</v>
      </c>
      <c r="B530">
        <v>649.48</v>
      </c>
      <c r="C530">
        <v>697.97</v>
      </c>
      <c r="D530">
        <v>646.35</v>
      </c>
      <c r="E530">
        <v>661.69</v>
      </c>
      <c r="F530">
        <v>4491.17533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-0.40565672220069621</v>
      </c>
      <c r="Q530">
        <f t="shared" si="985"/>
        <v>-1821.87546319643</v>
      </c>
      <c r="R530">
        <f t="shared" si="986"/>
        <v>-18316.46047335173</v>
      </c>
      <c r="S530">
        <f t="shared" si="987"/>
        <v>-0.18316460473351731</v>
      </c>
      <c r="T530">
        <f t="shared" si="988"/>
        <v>-1.8316460473351731E-4</v>
      </c>
    </row>
    <row r="531" spans="1:20" x14ac:dyDescent="0.25">
      <c r="A531" s="5">
        <v>44062</v>
      </c>
      <c r="B531">
        <v>674.75</v>
      </c>
      <c r="C531">
        <v>683.31</v>
      </c>
      <c r="D531">
        <v>622</v>
      </c>
      <c r="E531">
        <v>648.9</v>
      </c>
      <c r="F531">
        <v>5216.0735999999997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-0.12249225248735929</v>
      </c>
      <c r="Q531">
        <f t="shared" si="985"/>
        <v>-638.92860440384914</v>
      </c>
      <c r="R531">
        <f t="shared" si="986"/>
        <v>-16494.585010155301</v>
      </c>
      <c r="S531">
        <f t="shared" si="987"/>
        <v>-0.16494585010155299</v>
      </c>
      <c r="T531">
        <f t="shared" si="988"/>
        <v>-1.6494585010155298E-4</v>
      </c>
    </row>
    <row r="532" spans="1:20" x14ac:dyDescent="0.25">
      <c r="A532" s="5">
        <v>44061</v>
      </c>
      <c r="B532">
        <v>685.18</v>
      </c>
      <c r="C532">
        <v>693.81</v>
      </c>
      <c r="D532">
        <v>645.01</v>
      </c>
      <c r="E532">
        <v>674.86</v>
      </c>
      <c r="F532">
        <v>3928.3045699999998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0.223360655737707</v>
      </c>
      <c r="Q532">
        <f t="shared" si="985"/>
        <v>877.42868469263112</v>
      </c>
      <c r="R532">
        <f t="shared" si="986"/>
        <v>-15855.65640575145</v>
      </c>
      <c r="S532">
        <f t="shared" si="987"/>
        <v>-0.1585565640575145</v>
      </c>
      <c r="T532">
        <f t="shared" si="988"/>
        <v>-1.585565640575145E-4</v>
      </c>
    </row>
    <row r="533" spans="1:20" x14ac:dyDescent="0.25">
      <c r="A533" s="5">
        <v>44060</v>
      </c>
      <c r="B533">
        <v>693.48</v>
      </c>
      <c r="C533">
        <v>728.69</v>
      </c>
      <c r="D533">
        <v>680</v>
      </c>
      <c r="E533">
        <v>686</v>
      </c>
      <c r="F533">
        <v>5664.1644100000003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-0.75354282193468913</v>
      </c>
      <c r="Q533">
        <f t="shared" si="985"/>
        <v>-4268.1904334134342</v>
      </c>
      <c r="R533">
        <f t="shared" si="986"/>
        <v>-16733.085090444081</v>
      </c>
      <c r="S533">
        <f t="shared" si="987"/>
        <v>-0.1673308509044408</v>
      </c>
      <c r="T533">
        <f t="shared" si="988"/>
        <v>-1.6733085090444081E-4</v>
      </c>
    </row>
    <row r="534" spans="1:20" x14ac:dyDescent="0.25">
      <c r="A534" s="5">
        <v>44059</v>
      </c>
      <c r="B534">
        <v>694.12</v>
      </c>
      <c r="C534">
        <v>705.33</v>
      </c>
      <c r="D534">
        <v>683.41</v>
      </c>
      <c r="E534">
        <v>693.27</v>
      </c>
      <c r="F534">
        <v>2800.0905699999998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-0.10036496350365137</v>
      </c>
      <c r="Q534">
        <f t="shared" si="985"/>
        <v>-281.03098786496832</v>
      </c>
      <c r="R534">
        <f t="shared" si="986"/>
        <v>-12464.894657030649</v>
      </c>
      <c r="S534">
        <f t="shared" si="987"/>
        <v>-0.12464894657030649</v>
      </c>
      <c r="T534">
        <f t="shared" si="988"/>
        <v>-1.246489465703065E-4</v>
      </c>
    </row>
    <row r="535" spans="1:20" x14ac:dyDescent="0.25">
      <c r="A535" s="5">
        <v>44058</v>
      </c>
      <c r="B535">
        <v>729.21</v>
      </c>
      <c r="C535">
        <v>731.78</v>
      </c>
      <c r="D535">
        <v>680</v>
      </c>
      <c r="E535">
        <v>695.59</v>
      </c>
      <c r="F535">
        <v>5691.9716900000003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-0.39783700270374506</v>
      </c>
      <c r="Q535">
        <f t="shared" si="985"/>
        <v>-2264.4769566241703</v>
      </c>
      <c r="R535">
        <f t="shared" si="986"/>
        <v>-12183.863669165681</v>
      </c>
      <c r="S535">
        <f t="shared" si="987"/>
        <v>-0.12183863669165682</v>
      </c>
      <c r="T535">
        <f t="shared" si="988"/>
        <v>-1.2183863669165682E-4</v>
      </c>
    </row>
    <row r="536" spans="1:20" x14ac:dyDescent="0.25">
      <c r="A536" s="5">
        <v>44057</v>
      </c>
      <c r="B536">
        <v>789.72</v>
      </c>
      <c r="C536">
        <v>814.76</v>
      </c>
      <c r="D536">
        <v>717.78</v>
      </c>
      <c r="E536">
        <v>729.14</v>
      </c>
      <c r="F536">
        <v>9359.2473000000009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-0.76572489173025338</v>
      </c>
      <c r="Q536">
        <f t="shared" si="985"/>
        <v>-7166.6086254691672</v>
      </c>
      <c r="R536">
        <f t="shared" si="986"/>
        <v>-9919.3867125415109</v>
      </c>
      <c r="S536">
        <f t="shared" si="987"/>
        <v>-9.9193867125415114E-2</v>
      </c>
      <c r="T536">
        <f t="shared" si="988"/>
        <v>-9.9193867125415116E-5</v>
      </c>
    </row>
    <row r="537" spans="1:20" x14ac:dyDescent="0.25">
      <c r="A537" s="5">
        <v>44056</v>
      </c>
      <c r="B537">
        <v>719.99</v>
      </c>
      <c r="C537">
        <v>875</v>
      </c>
      <c r="D537">
        <v>688.37</v>
      </c>
      <c r="E537">
        <v>789.72</v>
      </c>
      <c r="F537">
        <v>32845.878100000002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8.6106199432031558E-2</v>
      </c>
      <c r="Q537">
        <f t="shared" si="985"/>
        <v>2828.2337301987977</v>
      </c>
      <c r="R537">
        <f t="shared" si="986"/>
        <v>-2752.7780870723432</v>
      </c>
      <c r="S537">
        <f t="shared" si="987"/>
        <v>-2.7527780870723433E-2</v>
      </c>
      <c r="T537">
        <f t="shared" si="988"/>
        <v>-2.7527780870723432E-5</v>
      </c>
    </row>
    <row r="538" spans="1:20" x14ac:dyDescent="0.25">
      <c r="A538" s="5">
        <v>44055</v>
      </c>
      <c r="B538">
        <v>599.74</v>
      </c>
      <c r="C538">
        <v>841</v>
      </c>
      <c r="D538">
        <v>599.73</v>
      </c>
      <c r="E538">
        <v>719.99</v>
      </c>
      <c r="F538">
        <v>16802.01714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-3.1085505864798775E-3</v>
      </c>
      <c r="Q538">
        <f t="shared" si="985"/>
        <v>-52.229920234591951</v>
      </c>
      <c r="R538">
        <f t="shared" si="986"/>
        <v>-5581.0118172711409</v>
      </c>
      <c r="S538">
        <f t="shared" si="987"/>
        <v>-5.5810118172711407E-2</v>
      </c>
      <c r="T538">
        <f t="shared" si="988"/>
        <v>-5.5810118172711406E-5</v>
      </c>
    </row>
    <row r="539" spans="1:20" x14ac:dyDescent="0.25">
      <c r="A539" s="5">
        <v>44054</v>
      </c>
      <c r="B539">
        <v>623.62</v>
      </c>
      <c r="C539">
        <v>627.52</v>
      </c>
      <c r="D539">
        <v>581.38</v>
      </c>
      <c r="E539">
        <v>599.75</v>
      </c>
      <c r="F539">
        <v>2709.9999800000001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-0.20372778500216687</v>
      </c>
      <c r="Q539">
        <f t="shared" si="985"/>
        <v>-552.10229328131652</v>
      </c>
      <c r="R539">
        <f t="shared" si="986"/>
        <v>-5528.7818970365488</v>
      </c>
      <c r="S539">
        <f t="shared" si="987"/>
        <v>-5.5287818970365485E-2</v>
      </c>
      <c r="T539">
        <f t="shared" si="988"/>
        <v>-5.5287818970365483E-5</v>
      </c>
    </row>
    <row r="540" spans="1:20" x14ac:dyDescent="0.25">
      <c r="A540" s="5">
        <v>44053</v>
      </c>
      <c r="B540">
        <v>596.38</v>
      </c>
      <c r="C540">
        <v>634.16</v>
      </c>
      <c r="D540">
        <v>596.21</v>
      </c>
      <c r="E540">
        <v>623.17999999999995</v>
      </c>
      <c r="F540">
        <v>2794.1934099999999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0.42134387351778457</v>
      </c>
      <c r="Q540">
        <f t="shared" si="985"/>
        <v>1177.316274727267</v>
      </c>
      <c r="R540">
        <f t="shared" si="986"/>
        <v>-4976.6796037552322</v>
      </c>
      <c r="S540">
        <f t="shared" si="987"/>
        <v>-4.9766796037552324E-2</v>
      </c>
      <c r="T540">
        <f t="shared" si="988"/>
        <v>-4.9766796037552327E-5</v>
      </c>
    </row>
    <row r="541" spans="1:20" x14ac:dyDescent="0.25">
      <c r="A541" s="5">
        <v>44052</v>
      </c>
      <c r="B541">
        <v>583.54999999999995</v>
      </c>
      <c r="C541">
        <v>597.78</v>
      </c>
      <c r="D541">
        <v>581.15</v>
      </c>
      <c r="E541">
        <v>595.78</v>
      </c>
      <c r="F541">
        <v>1173.10211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0.75947083583884545</v>
      </c>
      <c r="Q541">
        <f t="shared" si="985"/>
        <v>890.9368400060132</v>
      </c>
      <c r="R541">
        <f t="shared" si="986"/>
        <v>-6153.9958784824994</v>
      </c>
      <c r="S541">
        <f t="shared" si="987"/>
        <v>-6.1539958784824995E-2</v>
      </c>
      <c r="T541">
        <f t="shared" si="988"/>
        <v>-6.1539958784824993E-5</v>
      </c>
    </row>
    <row r="542" spans="1:20" x14ac:dyDescent="0.25">
      <c r="A542" s="5">
        <v>44051</v>
      </c>
      <c r="B542">
        <v>579.44000000000005</v>
      </c>
      <c r="C542">
        <v>586.19000000000005</v>
      </c>
      <c r="D542">
        <v>574.88</v>
      </c>
      <c r="E542">
        <v>582.48</v>
      </c>
      <c r="F542">
        <v>429.79237000000001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0.34394341290892716</v>
      </c>
      <c r="Q542">
        <f t="shared" si="985"/>
        <v>147.8242545800164</v>
      </c>
      <c r="R542">
        <f t="shared" si="986"/>
        <v>-7044.9327184885124</v>
      </c>
      <c r="S542">
        <f t="shared" si="987"/>
        <v>-7.0449327184885127E-2</v>
      </c>
      <c r="T542">
        <f t="shared" si="988"/>
        <v>-7.0449327184885131E-5</v>
      </c>
    </row>
    <row r="543" spans="1:20" x14ac:dyDescent="0.25">
      <c r="A543" s="5">
        <v>44050</v>
      </c>
      <c r="B543">
        <v>585.92999999999995</v>
      </c>
      <c r="C543">
        <v>593.37</v>
      </c>
      <c r="D543">
        <v>562.54</v>
      </c>
      <c r="E543">
        <v>579.36</v>
      </c>
      <c r="F543">
        <v>835.98288000000002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9.1144988647423139E-2</v>
      </c>
      <c r="Q543">
        <f t="shared" si="985"/>
        <v>76.195650107040109</v>
      </c>
      <c r="R543">
        <f t="shared" si="986"/>
        <v>-7192.7569730685291</v>
      </c>
      <c r="S543">
        <f t="shared" si="987"/>
        <v>-7.1927569730685287E-2</v>
      </c>
      <c r="T543">
        <f t="shared" si="988"/>
        <v>-7.1927569730685282E-5</v>
      </c>
    </row>
    <row r="544" spans="1:20" x14ac:dyDescent="0.25">
      <c r="A544" s="5">
        <v>44049</v>
      </c>
      <c r="B544">
        <v>592.66999999999996</v>
      </c>
      <c r="C544">
        <v>594.29999999999995</v>
      </c>
      <c r="D544">
        <v>577.32000000000005</v>
      </c>
      <c r="E544">
        <v>586.70000000000005</v>
      </c>
      <c r="F544">
        <v>772.49442999999997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0.10482921083628365</v>
      </c>
      <c r="Q544">
        <f t="shared" si="985"/>
        <v>80.979981472324752</v>
      </c>
      <c r="R544">
        <f t="shared" si="986"/>
        <v>-7268.952623175569</v>
      </c>
      <c r="S544">
        <f t="shared" si="987"/>
        <v>-7.2689526231755688E-2</v>
      </c>
      <c r="T544">
        <f t="shared" si="988"/>
        <v>-7.2689526231755689E-5</v>
      </c>
    </row>
    <row r="545" spans="1:20" x14ac:dyDescent="0.25">
      <c r="A545" s="5">
        <v>44048</v>
      </c>
      <c r="B545">
        <v>584.55999999999995</v>
      </c>
      <c r="C545">
        <v>599.74</v>
      </c>
      <c r="D545">
        <v>581.47</v>
      </c>
      <c r="E545">
        <v>592.66999999999996</v>
      </c>
      <c r="F545">
        <v>600.58339000000001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0.22605363984673704</v>
      </c>
      <c r="Q545">
        <f t="shared" si="985"/>
        <v>135.76406134099241</v>
      </c>
      <c r="R545">
        <f t="shared" si="986"/>
        <v>-7349.9326046478936</v>
      </c>
      <c r="S545">
        <f t="shared" si="987"/>
        <v>-7.3499326046478936E-2</v>
      </c>
      <c r="T545">
        <f t="shared" si="988"/>
        <v>-7.3499326046478941E-5</v>
      </c>
    </row>
    <row r="546" spans="1:20" x14ac:dyDescent="0.25">
      <c r="A546" s="5">
        <v>44047</v>
      </c>
      <c r="B546">
        <v>593</v>
      </c>
      <c r="C546">
        <v>612.23</v>
      </c>
      <c r="D546">
        <v>577.79</v>
      </c>
      <c r="E546">
        <v>584.49</v>
      </c>
      <c r="F546">
        <v>1558.0353399999999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-0.61091753774680402</v>
      </c>
      <c r="Q546">
        <f t="shared" si="985"/>
        <v>-951.83111363530452</v>
      </c>
      <c r="R546">
        <f t="shared" si="986"/>
        <v>-7485.6966659888858</v>
      </c>
      <c r="S546">
        <f t="shared" si="987"/>
        <v>-7.4856966659888863E-2</v>
      </c>
      <c r="T546">
        <f t="shared" si="988"/>
        <v>-7.4856966659888856E-5</v>
      </c>
    </row>
    <row r="547" spans="1:20" x14ac:dyDescent="0.25">
      <c r="A547" s="5">
        <v>44046</v>
      </c>
      <c r="B547">
        <v>566.96</v>
      </c>
      <c r="C547">
        <v>607.83000000000004</v>
      </c>
      <c r="D547">
        <v>566.71</v>
      </c>
      <c r="E547">
        <v>593</v>
      </c>
      <c r="F547">
        <v>1031.7456199999999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0.27869649805447277</v>
      </c>
      <c r="Q547">
        <f t="shared" si="985"/>
        <v>287.54389117704079</v>
      </c>
      <c r="R547">
        <f t="shared" si="986"/>
        <v>-6533.8655523535808</v>
      </c>
      <c r="S547">
        <f t="shared" si="987"/>
        <v>-6.5338655523535807E-2</v>
      </c>
      <c r="T547">
        <f t="shared" si="988"/>
        <v>-6.5338655523535807E-5</v>
      </c>
    </row>
    <row r="548" spans="1:20" x14ac:dyDescent="0.25">
      <c r="A548" s="5">
        <v>44045</v>
      </c>
      <c r="B548">
        <v>594.69000000000005</v>
      </c>
      <c r="C548">
        <v>631.34</v>
      </c>
      <c r="D548">
        <v>529</v>
      </c>
      <c r="E548">
        <v>567.72</v>
      </c>
      <c r="F548">
        <v>2949.6349100000002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-0.24330662497557132</v>
      </c>
      <c r="Q548">
        <f t="shared" si="985"/>
        <v>-717.66571486222313</v>
      </c>
      <c r="R548">
        <f t="shared" si="986"/>
        <v>-6821.4094435306215</v>
      </c>
      <c r="S548">
        <f t="shared" si="987"/>
        <v>-6.8214094435306211E-2</v>
      </c>
      <c r="T548">
        <f t="shared" si="988"/>
        <v>-6.8214094435306208E-5</v>
      </c>
    </row>
    <row r="549" spans="1:20" x14ac:dyDescent="0.25">
      <c r="A549" s="5">
        <v>44044</v>
      </c>
      <c r="B549">
        <v>555.29</v>
      </c>
      <c r="C549">
        <v>598.77</v>
      </c>
      <c r="D549">
        <v>551.74</v>
      </c>
      <c r="E549">
        <v>594.69000000000005</v>
      </c>
      <c r="F549">
        <v>1944.6719800000001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0.82649372740804039</v>
      </c>
      <c r="Q549">
        <f t="shared" si="985"/>
        <v>1607.2591933361743</v>
      </c>
      <c r="R549">
        <f t="shared" si="986"/>
        <v>-6103.743728668398</v>
      </c>
      <c r="S549">
        <f t="shared" si="987"/>
        <v>-6.1037437286683982E-2</v>
      </c>
      <c r="T549">
        <f t="shared" si="988"/>
        <v>-6.1037437286683987E-5</v>
      </c>
    </row>
    <row r="550" spans="1:20" x14ac:dyDescent="0.25">
      <c r="A550" s="5">
        <v>44043</v>
      </c>
      <c r="B550">
        <v>572.39</v>
      </c>
      <c r="C550">
        <v>574.76</v>
      </c>
      <c r="D550">
        <v>552.69000000000005</v>
      </c>
      <c r="E550">
        <v>555.16999999999996</v>
      </c>
      <c r="F550">
        <v>1172.60762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-0.77526053466244571</v>
      </c>
      <c r="Q550">
        <f t="shared" si="985"/>
        <v>-909.07641043045794</v>
      </c>
      <c r="R550">
        <f t="shared" si="986"/>
        <v>-7711.0029220045726</v>
      </c>
      <c r="S550">
        <f t="shared" si="987"/>
        <v>-7.7110029220045728E-2</v>
      </c>
      <c r="T550">
        <f t="shared" si="988"/>
        <v>-7.7110029220045734E-5</v>
      </c>
    </row>
    <row r="551" spans="1:20" x14ac:dyDescent="0.25">
      <c r="A551" s="5">
        <v>44042</v>
      </c>
      <c r="B551">
        <v>544.92999999999995</v>
      </c>
      <c r="C551">
        <v>578.34</v>
      </c>
      <c r="D551">
        <v>534.62</v>
      </c>
      <c r="E551">
        <v>572.22</v>
      </c>
      <c r="F551">
        <v>2457.5700299999999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0.7200365965233303</v>
      </c>
      <c r="Q551">
        <f t="shared" si="985"/>
        <v>1769.5403601189387</v>
      </c>
      <c r="R551">
        <f t="shared" si="986"/>
        <v>-6801.9265115741146</v>
      </c>
      <c r="S551">
        <f t="shared" si="987"/>
        <v>-6.8019265115741148E-2</v>
      </c>
      <c r="T551">
        <f t="shared" si="988"/>
        <v>-6.8019265115741142E-5</v>
      </c>
    </row>
    <row r="552" spans="1:20" x14ac:dyDescent="0.25">
      <c r="A552" s="5">
        <v>44041</v>
      </c>
      <c r="B552">
        <v>517.58000000000004</v>
      </c>
      <c r="C552">
        <v>549</v>
      </c>
      <c r="D552">
        <v>512</v>
      </c>
      <c r="E552">
        <v>544.84</v>
      </c>
      <c r="F552">
        <v>1517.1430399999999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0.77513513513513688</v>
      </c>
      <c r="Q552">
        <f t="shared" si="985"/>
        <v>1175.9908753297323</v>
      </c>
      <c r="R552">
        <f t="shared" si="986"/>
        <v>-8571.4668716930537</v>
      </c>
      <c r="S552">
        <f t="shared" si="987"/>
        <v>-8.5714668716930537E-2</v>
      </c>
      <c r="T552">
        <f t="shared" si="988"/>
        <v>-8.571466871693053E-5</v>
      </c>
    </row>
    <row r="553" spans="1:20" x14ac:dyDescent="0.25">
      <c r="A553" s="5">
        <v>44040</v>
      </c>
      <c r="B553">
        <v>510.76</v>
      </c>
      <c r="C553">
        <v>519.58000000000004</v>
      </c>
      <c r="D553">
        <v>498</v>
      </c>
      <c r="E553">
        <v>516.67999999999995</v>
      </c>
      <c r="F553">
        <v>905.44998999999996</v>
      </c>
      <c r="G553">
        <v>0</v>
      </c>
      <c r="L553" t="s">
        <v>7</v>
      </c>
      <c r="M553" t="s">
        <v>8</v>
      </c>
      <c r="N553" t="s">
        <v>8</v>
      </c>
      <c r="P553">
        <f t="shared" si="984"/>
        <v>0.73123262279887991</v>
      </c>
      <c r="Q553">
        <f t="shared" si="985"/>
        <v>662.09457100091959</v>
      </c>
      <c r="R553">
        <f t="shared" si="986"/>
        <v>-9747.4577470227869</v>
      </c>
      <c r="S553">
        <f t="shared" si="987"/>
        <v>-9.7474577470227863E-2</v>
      </c>
      <c r="T553">
        <f t="shared" si="988"/>
        <v>-9.7474577470227868E-5</v>
      </c>
    </row>
    <row r="554" spans="1:20" x14ac:dyDescent="0.25">
      <c r="A554" s="5">
        <v>44039</v>
      </c>
      <c r="B554">
        <v>520.59</v>
      </c>
      <c r="C554">
        <v>530.86</v>
      </c>
      <c r="D554">
        <v>501.69</v>
      </c>
      <c r="E554">
        <v>509.07</v>
      </c>
      <c r="F554">
        <v>1627.76829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-0.49400068563592792</v>
      </c>
      <c r="Q554">
        <f t="shared" si="985"/>
        <v>-804.11865131642196</v>
      </c>
      <c r="R554">
        <f t="shared" si="986"/>
        <v>-10409.552318023707</v>
      </c>
      <c r="S554">
        <f t="shared" si="987"/>
        <v>-0.10409552318023707</v>
      </c>
      <c r="T554">
        <f t="shared" si="988"/>
        <v>-1.0409552318023707E-4</v>
      </c>
    </row>
    <row r="555" spans="1:20" x14ac:dyDescent="0.25">
      <c r="A555" s="5">
        <v>44038</v>
      </c>
      <c r="B555">
        <v>525.25</v>
      </c>
      <c r="C555">
        <v>552.57000000000005</v>
      </c>
      <c r="D555">
        <v>511.7</v>
      </c>
      <c r="E555">
        <v>521.46</v>
      </c>
      <c r="F555">
        <v>1785.9023500000001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-0.52238805970149094</v>
      </c>
      <c r="Q555">
        <f t="shared" si="985"/>
        <v>-932.934063432833</v>
      </c>
      <c r="R555">
        <f t="shared" si="986"/>
        <v>-9605.4336667072857</v>
      </c>
      <c r="S555">
        <f t="shared" si="987"/>
        <v>-9.6054336667072859E-2</v>
      </c>
      <c r="T555">
        <f t="shared" si="988"/>
        <v>-9.6054336667072854E-5</v>
      </c>
    </row>
    <row r="556" spans="1:20" x14ac:dyDescent="0.25">
      <c r="A556" s="5">
        <v>44037</v>
      </c>
      <c r="B556">
        <v>514</v>
      </c>
      <c r="C556">
        <v>536.86</v>
      </c>
      <c r="D556">
        <v>498.53</v>
      </c>
      <c r="E556">
        <v>525.42999999999995</v>
      </c>
      <c r="F556">
        <v>1704.52818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0.4036003130706991</v>
      </c>
      <c r="Q556">
        <f t="shared" si="985"/>
        <v>687.94810708582895</v>
      </c>
      <c r="R556">
        <f t="shared" si="986"/>
        <v>-8672.499603274453</v>
      </c>
      <c r="S556">
        <f t="shared" si="987"/>
        <v>-8.6724996032744528E-2</v>
      </c>
      <c r="T556">
        <f t="shared" si="988"/>
        <v>-8.6724996032744528E-5</v>
      </c>
    </row>
    <row r="557" spans="1:20" x14ac:dyDescent="0.25">
      <c r="A557" s="5">
        <v>44036</v>
      </c>
      <c r="B557">
        <v>530.15</v>
      </c>
      <c r="C557">
        <v>553</v>
      </c>
      <c r="D557">
        <v>503.11</v>
      </c>
      <c r="E557">
        <v>514</v>
      </c>
      <c r="F557">
        <v>2393.3620700000001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-0.56343956704750497</v>
      </c>
      <c r="Q557">
        <f t="shared" si="985"/>
        <v>-1348.5148885087203</v>
      </c>
      <c r="R557">
        <f t="shared" si="986"/>
        <v>-9360.4477103602821</v>
      </c>
      <c r="S557">
        <f t="shared" si="987"/>
        <v>-9.3604477103602826E-2</v>
      </c>
      <c r="T557">
        <f t="shared" si="988"/>
        <v>-9.3604477103602821E-5</v>
      </c>
    </row>
    <row r="558" spans="1:20" x14ac:dyDescent="0.25">
      <c r="A558" s="5">
        <v>44035</v>
      </c>
      <c r="B558">
        <v>509.5</v>
      </c>
      <c r="C558">
        <v>845</v>
      </c>
      <c r="D558">
        <v>509.5</v>
      </c>
      <c r="E558">
        <v>529.32000000000005</v>
      </c>
      <c r="F558">
        <v>9085.3899199999996</v>
      </c>
      <c r="G558">
        <v>0</v>
      </c>
      <c r="P558">
        <f t="shared" si="984"/>
        <v>-0.88184798807749598</v>
      </c>
      <c r="Q558">
        <f t="shared" si="985"/>
        <v>-8011.932821851562</v>
      </c>
      <c r="R558">
        <f t="shared" si="986"/>
        <v>-8011.932821851562</v>
      </c>
      <c r="S558">
        <f t="shared" si="987"/>
        <v>-8.0119328218515626E-2</v>
      </c>
      <c r="T558">
        <f t="shared" si="988"/>
        <v>-8.0119328218515622E-5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R212" sqref="IR21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$A$211</v>
      </c>
      <c r="D111" s="1" t="str">
        <f>ADDRESS(C121-1,D121,1,1)</f>
        <v>$IR$211</v>
      </c>
      <c r="E111"/>
    </row>
    <row r="112" spans="1:5" x14ac:dyDescent="0.25">
      <c r="A112" s="7">
        <v>12164.144957890772</v>
      </c>
      <c r="C112" s="1" t="str">
        <f>ADDRESS(C121,1,1,1)</f>
        <v>$A$212</v>
      </c>
      <c r="D112" s="1" t="str">
        <f>ADDRESS(C121,D121-1,1,1)</f>
        <v>$IQ$212</v>
      </c>
      <c r="E112"/>
    </row>
    <row r="113" spans="1:5" x14ac:dyDescent="0.25">
      <c r="A113" s="7">
        <v>11925.63231165762</v>
      </c>
      <c r="C113" s="1" t="str">
        <f>ADDRESS(C121+1,1,1,1)</f>
        <v>$A$213</v>
      </c>
      <c r="D113" s="1" t="str">
        <f>ADDRESS(C121-1,D121+1,1,1)</f>
        <v>$IS$211</v>
      </c>
    </row>
    <row r="114" spans="1:5" x14ac:dyDescent="0.25">
      <c r="A114" s="7">
        <v>11691.796383978059</v>
      </c>
      <c r="C114" s="1" t="str">
        <f>ADDRESS(C121,D121,1,1)</f>
        <v>$IR$212</v>
      </c>
      <c r="D114" s="1" t="str">
        <f>ADDRESS(C121+1,D121+1,1,1)</f>
        <v>$IS$213</v>
      </c>
    </row>
    <row r="115" spans="1:5" x14ac:dyDescent="0.25">
      <c r="A115" s="7">
        <v>11462.545474488292</v>
      </c>
      <c r="C115" s="1" t="str">
        <f>ADDRESS(C121+1,D121,1,1)</f>
        <v>$IR$213</v>
      </c>
    </row>
    <row r="116" spans="1:5" x14ac:dyDescent="0.25">
      <c r="A116" s="7">
        <v>11237.789680870874</v>
      </c>
      <c r="C116" s="1">
        <f>C117-1</f>
        <v>211</v>
      </c>
    </row>
    <row r="117" spans="1:5" x14ac:dyDescent="0.25">
      <c r="A117" s="7">
        <v>11017.440863598895</v>
      </c>
      <c r="C117" s="1">
        <f>C121</f>
        <v>212</v>
      </c>
      <c r="D117" s="1">
        <f>D121</f>
        <v>252</v>
      </c>
    </row>
    <row r="118" spans="1:5" x14ac:dyDescent="0.25">
      <c r="A118" s="7">
        <v>10801.412611371465</v>
      </c>
      <c r="C118" s="1">
        <f>C117+1</f>
        <v>213</v>
      </c>
      <c r="D118" s="1">
        <f>D117+1</f>
        <v>253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212</v>
      </c>
      <c r="D121" s="19">
        <v>252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R212</v>
      </c>
      <c r="D123" s="1" t="str">
        <f>"C"&amp;D121</f>
        <v>C252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1679.0530219611571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150" x14ac:dyDescent="0.25">
      <c r="A145" s="7">
        <v>6328.1376700734136</v>
      </c>
      <c r="E145"/>
      <c r="EI145" s="27" t="s">
        <v>8</v>
      </c>
    </row>
    <row r="146" spans="1:150" x14ac:dyDescent="0.25">
      <c r="A146" s="7">
        <v>6204.0565392876606</v>
      </c>
      <c r="E146"/>
      <c r="EI146" s="27" t="s">
        <v>8</v>
      </c>
      <c r="EJ146" s="27" t="s">
        <v>7</v>
      </c>
    </row>
    <row r="147" spans="1:150" x14ac:dyDescent="0.25">
      <c r="A147" s="7">
        <v>6082.4083718506472</v>
      </c>
      <c r="E147"/>
      <c r="EI147" s="27" t="s">
        <v>8</v>
      </c>
      <c r="EJ147" s="27" t="s">
        <v>7</v>
      </c>
      <c r="EO147" s="27" t="s">
        <v>8</v>
      </c>
    </row>
    <row r="148" spans="1:150" x14ac:dyDescent="0.25">
      <c r="A148" s="7">
        <v>5963.1454625986735</v>
      </c>
      <c r="E148"/>
      <c r="EI148" s="27" t="s">
        <v>8</v>
      </c>
      <c r="EJ148" s="27" t="s">
        <v>7</v>
      </c>
      <c r="EO148" s="27" t="s">
        <v>8</v>
      </c>
      <c r="EP148" s="27" t="s">
        <v>7</v>
      </c>
    </row>
    <row r="149" spans="1:150" x14ac:dyDescent="0.25">
      <c r="A149" s="7">
        <v>5846.2210417634051</v>
      </c>
      <c r="E149"/>
      <c r="EI149" s="27" t="s">
        <v>8</v>
      </c>
      <c r="EJ149" s="27" t="s">
        <v>7</v>
      </c>
      <c r="EM149" s="27" t="s">
        <v>8</v>
      </c>
      <c r="EO149" s="27" t="s">
        <v>8</v>
      </c>
      <c r="EP149" s="27" t="s">
        <v>7</v>
      </c>
    </row>
    <row r="150" spans="1:150" x14ac:dyDescent="0.25">
      <c r="A150" s="7">
        <v>5731.5892566307894</v>
      </c>
      <c r="E150"/>
      <c r="EI150" s="27" t="s">
        <v>8</v>
      </c>
      <c r="EJ150" s="27" t="s">
        <v>7</v>
      </c>
      <c r="EM150" s="27" t="s">
        <v>8</v>
      </c>
      <c r="EN150" s="27" t="s">
        <v>7</v>
      </c>
      <c r="EO150" s="27" t="s">
        <v>8</v>
      </c>
      <c r="EP150" s="27" t="s">
        <v>7</v>
      </c>
    </row>
    <row r="151" spans="1:150" x14ac:dyDescent="0.25">
      <c r="A151" s="7">
        <v>5619.2051535595974</v>
      </c>
      <c r="E151"/>
      <c r="EI151" s="27" t="s">
        <v>8</v>
      </c>
      <c r="EJ151" s="27" t="s">
        <v>7</v>
      </c>
      <c r="EM151" s="27" t="s">
        <v>8</v>
      </c>
      <c r="EN151" s="27" t="s">
        <v>7</v>
      </c>
      <c r="EO151" s="27" t="s">
        <v>8</v>
      </c>
      <c r="EP151" s="27" t="s">
        <v>7</v>
      </c>
    </row>
    <row r="152" spans="1:150" x14ac:dyDescent="0.25">
      <c r="A152" s="7">
        <v>5509.0246603525466</v>
      </c>
      <c r="E152"/>
      <c r="EI152" s="27" t="s">
        <v>8</v>
      </c>
      <c r="EJ152" s="27" t="s">
        <v>7</v>
      </c>
      <c r="EK152" s="27" t="s">
        <v>8</v>
      </c>
      <c r="EM152" s="27" t="s">
        <v>8</v>
      </c>
      <c r="EN152" s="27" t="s">
        <v>7</v>
      </c>
      <c r="EO152" s="27" t="s">
        <v>8</v>
      </c>
      <c r="EP152" s="27" t="s">
        <v>7</v>
      </c>
    </row>
    <row r="153" spans="1:150" x14ac:dyDescent="0.25">
      <c r="A153" s="7">
        <v>5401.004568973085</v>
      </c>
      <c r="E153"/>
      <c r="EI153" s="27" t="s">
        <v>8</v>
      </c>
      <c r="EJ153" s="27" t="s">
        <v>7</v>
      </c>
      <c r="EK153" s="27" t="s">
        <v>8</v>
      </c>
      <c r="EL153" s="27" t="s">
        <v>7</v>
      </c>
      <c r="EM153" s="27" t="s">
        <v>8</v>
      </c>
      <c r="EN153" s="27" t="s">
        <v>7</v>
      </c>
      <c r="EO153" s="27" t="s">
        <v>8</v>
      </c>
      <c r="EP153" s="27" t="s">
        <v>7</v>
      </c>
    </row>
    <row r="154" spans="1:150" x14ac:dyDescent="0.25">
      <c r="A154" s="7">
        <v>5295.1025186010638</v>
      </c>
      <c r="C154" s="1" t="s">
        <v>15</v>
      </c>
      <c r="E154"/>
      <c r="EI154" s="27" t="s">
        <v>8</v>
      </c>
      <c r="EJ154" s="27" t="s">
        <v>7</v>
      </c>
      <c r="EK154" s="27" t="s">
        <v>8</v>
      </c>
      <c r="EL154" s="27" t="s">
        <v>7</v>
      </c>
      <c r="EM154" s="27" t="s">
        <v>8</v>
      </c>
      <c r="EN154" s="27" t="s">
        <v>7</v>
      </c>
      <c r="EO154" s="27" t="s">
        <v>8</v>
      </c>
      <c r="EP154" s="27" t="s">
        <v>7</v>
      </c>
      <c r="EQ154" s="27" t="s">
        <v>8</v>
      </c>
    </row>
    <row r="155" spans="1:150" x14ac:dyDescent="0.25">
      <c r="A155" s="7">
        <v>5191.2769790206503</v>
      </c>
      <c r="C155" s="7">
        <v>3.2521478785124451E-2</v>
      </c>
      <c r="D155"/>
      <c r="E155"/>
      <c r="EI155" s="27" t="s">
        <v>8</v>
      </c>
      <c r="EJ155" s="27" t="s">
        <v>7</v>
      </c>
      <c r="EL155" s="27" t="s">
        <v>7</v>
      </c>
      <c r="EM155" s="27" t="s">
        <v>8</v>
      </c>
      <c r="EN155" s="27" t="s">
        <v>7</v>
      </c>
      <c r="EO155" s="27" t="s">
        <v>8</v>
      </c>
      <c r="EP155" s="27" t="s">
        <v>7</v>
      </c>
      <c r="EQ155" s="27" t="s">
        <v>8</v>
      </c>
      <c r="ER155" s="27" t="s">
        <v>7</v>
      </c>
    </row>
    <row r="156" spans="1:150" x14ac:dyDescent="0.25">
      <c r="A156" s="7">
        <v>5089.4872343339712</v>
      </c>
      <c r="E156"/>
      <c r="EI156" s="27" t="s">
        <v>8</v>
      </c>
      <c r="EL156" s="27" t="s">
        <v>7</v>
      </c>
      <c r="EM156" s="27" t="s">
        <v>8</v>
      </c>
      <c r="EN156" s="27" t="s">
        <v>7</v>
      </c>
      <c r="EO156" s="27" t="s">
        <v>8</v>
      </c>
      <c r="EP156" s="27" t="s">
        <v>7</v>
      </c>
      <c r="EQ156" s="27" t="s">
        <v>8</v>
      </c>
      <c r="ER156" s="27" t="s">
        <v>7</v>
      </c>
    </row>
    <row r="157" spans="1:150" x14ac:dyDescent="0.25">
      <c r="A157" s="7">
        <v>4989.693366994089</v>
      </c>
      <c r="C157" s="1" t="s">
        <v>11</v>
      </c>
      <c r="D157" s="1" t="s">
        <v>12</v>
      </c>
      <c r="E157"/>
      <c r="EI157" s="27" t="s">
        <v>8</v>
      </c>
      <c r="EL157" s="27" t="s">
        <v>7</v>
      </c>
      <c r="EM157" s="27" t="s">
        <v>8</v>
      </c>
      <c r="EN157" s="27" t="s">
        <v>7</v>
      </c>
      <c r="EO157" s="27" t="s">
        <v>8</v>
      </c>
      <c r="EP157" s="27" t="s">
        <v>7</v>
      </c>
      <c r="EQ157" s="27" t="s">
        <v>8</v>
      </c>
      <c r="ER157" s="27" t="s">
        <v>7</v>
      </c>
      <c r="ES157" s="27" t="s">
        <v>8</v>
      </c>
    </row>
    <row r="158" spans="1:150" x14ac:dyDescent="0.25">
      <c r="A158" s="7">
        <v>4891.8562421510678</v>
      </c>
      <c r="C158">
        <v>3.6999999999999998E-2</v>
      </c>
      <c r="D158">
        <v>3.3000000000000002E-2</v>
      </c>
      <c r="E158"/>
      <c r="EC158" s="27" t="s">
        <v>8</v>
      </c>
      <c r="EI158" s="27" t="s">
        <v>8</v>
      </c>
      <c r="EL158" s="27" t="s">
        <v>7</v>
      </c>
      <c r="EN158" s="27" t="s">
        <v>7</v>
      </c>
      <c r="EO158" s="27" t="s">
        <v>8</v>
      </c>
      <c r="EP158" s="27" t="s">
        <v>7</v>
      </c>
      <c r="EQ158" s="27" t="s">
        <v>8</v>
      </c>
      <c r="ER158" s="27" t="s">
        <v>7</v>
      </c>
      <c r="ES158" s="27" t="s">
        <v>8</v>
      </c>
      <c r="ET158" s="27" t="s">
        <v>7</v>
      </c>
    </row>
    <row r="159" spans="1:150" x14ac:dyDescent="0.25">
      <c r="A159" s="7">
        <v>4795.9374923049681</v>
      </c>
      <c r="E159"/>
      <c r="EC159" s="27" t="s">
        <v>8</v>
      </c>
      <c r="ED159" s="27" t="s">
        <v>7</v>
      </c>
      <c r="EI159" s="27" t="s">
        <v>8</v>
      </c>
      <c r="EN159" s="27" t="s">
        <v>7</v>
      </c>
      <c r="EO159" s="27" t="s">
        <v>8</v>
      </c>
      <c r="EP159" s="27" t="s">
        <v>7</v>
      </c>
      <c r="EQ159" s="27" t="s">
        <v>8</v>
      </c>
      <c r="ER159" s="27" t="s">
        <v>7</v>
      </c>
      <c r="ES159" s="27" t="s">
        <v>8</v>
      </c>
      <c r="ET159" s="27" t="s">
        <v>7</v>
      </c>
    </row>
    <row r="160" spans="1:150" x14ac:dyDescent="0.25">
      <c r="A160" s="7">
        <v>4701.8995022597728</v>
      </c>
      <c r="C160" s="1" t="s">
        <v>13</v>
      </c>
      <c r="E160"/>
      <c r="EC160" s="27" t="s">
        <v>8</v>
      </c>
      <c r="ED160" s="27" t="s">
        <v>7</v>
      </c>
      <c r="EI160" s="27" t="s">
        <v>8</v>
      </c>
      <c r="EN160" s="27" t="s">
        <v>7</v>
      </c>
      <c r="EP160" s="27" t="s">
        <v>7</v>
      </c>
      <c r="EQ160" s="27" t="s">
        <v>8</v>
      </c>
      <c r="ER160" s="27" t="s">
        <v>7</v>
      </c>
      <c r="ES160" s="27" t="s">
        <v>8</v>
      </c>
      <c r="ET160" s="27" t="s">
        <v>7</v>
      </c>
    </row>
    <row r="161" spans="1:227" x14ac:dyDescent="0.25">
      <c r="A161" s="7">
        <v>4609.7053943723258</v>
      </c>
      <c r="C161" s="1" t="s">
        <v>8</v>
      </c>
      <c r="E161"/>
      <c r="EC161" s="27" t="s">
        <v>8</v>
      </c>
      <c r="ED161" s="27" t="s">
        <v>7</v>
      </c>
      <c r="EG161" s="27" t="s">
        <v>8</v>
      </c>
      <c r="EI161" s="27" t="s">
        <v>8</v>
      </c>
      <c r="EP161" s="27" t="s">
        <v>7</v>
      </c>
      <c r="EQ161" s="27" t="s">
        <v>8</v>
      </c>
      <c r="ER161" s="27" t="s">
        <v>7</v>
      </c>
      <c r="ES161" s="27" t="s">
        <v>8</v>
      </c>
      <c r="ET161" s="27" t="s">
        <v>7</v>
      </c>
    </row>
    <row r="162" spans="1:227" x14ac:dyDescent="0.25">
      <c r="A162" s="7">
        <v>4519.3190140905153</v>
      </c>
      <c r="E162"/>
      <c r="EC162" s="27" t="s">
        <v>8</v>
      </c>
      <c r="ED162" s="27" t="s">
        <v>7</v>
      </c>
      <c r="EG162" s="27" t="s">
        <v>8</v>
      </c>
      <c r="EH162" s="27" t="s">
        <v>7</v>
      </c>
      <c r="EI162" s="27" t="s">
        <v>8</v>
      </c>
      <c r="EP162" s="27" t="s">
        <v>7</v>
      </c>
      <c r="ER162" s="27" t="s">
        <v>7</v>
      </c>
      <c r="ES162" s="27" t="s">
        <v>8</v>
      </c>
      <c r="ET162" s="27" t="s">
        <v>7</v>
      </c>
    </row>
    <row r="163" spans="1:227" x14ac:dyDescent="0.25">
      <c r="A163" s="7">
        <v>4430.7049157750153</v>
      </c>
      <c r="C163" s="1" t="s">
        <v>14</v>
      </c>
      <c r="E163"/>
      <c r="EC163" s="27" t="s">
        <v>8</v>
      </c>
      <c r="ED163" s="27" t="s">
        <v>7</v>
      </c>
      <c r="EG163" s="27" t="s">
        <v>8</v>
      </c>
      <c r="EH163" s="27" t="s">
        <v>7</v>
      </c>
      <c r="EI163" s="27" t="s">
        <v>8</v>
      </c>
      <c r="ER163" s="27" t="s">
        <v>7</v>
      </c>
      <c r="ES163" s="27" t="s">
        <v>8</v>
      </c>
      <c r="ET163" s="27" t="s">
        <v>7</v>
      </c>
    </row>
    <row r="164" spans="1:227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  <c r="EC164" s="27" t="s">
        <v>8</v>
      </c>
      <c r="ED164" s="27" t="s">
        <v>7</v>
      </c>
      <c r="EG164" s="27" t="s">
        <v>8</v>
      </c>
      <c r="EH164" s="27" t="s">
        <v>7</v>
      </c>
      <c r="EI164" s="27" t="s">
        <v>8</v>
      </c>
      <c r="ER164" s="27" t="s">
        <v>7</v>
      </c>
      <c r="ES164" s="27" t="s">
        <v>8</v>
      </c>
      <c r="ET164" s="27" t="s">
        <v>7</v>
      </c>
    </row>
    <row r="165" spans="1:227" x14ac:dyDescent="0.25">
      <c r="A165" s="7">
        <v>4258.6552439206225</v>
      </c>
      <c r="E165"/>
      <c r="EC165" s="27" t="s">
        <v>8</v>
      </c>
      <c r="ED165" s="27" t="s">
        <v>7</v>
      </c>
      <c r="EG165" s="27" t="s">
        <v>8</v>
      </c>
      <c r="EH165" s="27" t="s">
        <v>7</v>
      </c>
      <c r="EI165" s="27" t="s">
        <v>8</v>
      </c>
      <c r="ER165" s="27" t="s">
        <v>7</v>
      </c>
      <c r="ES165" s="27" t="s">
        <v>8</v>
      </c>
      <c r="ET165" s="27" t="s">
        <v>7</v>
      </c>
      <c r="EU165" s="27" t="s">
        <v>8</v>
      </c>
      <c r="EW165" s="27" t="s">
        <v>8</v>
      </c>
    </row>
    <row r="166" spans="1:227" x14ac:dyDescent="0.25">
      <c r="A166" s="7">
        <v>4175.1521999221786</v>
      </c>
      <c r="E166"/>
      <c r="EC166" s="27" t="s">
        <v>8</v>
      </c>
      <c r="ED166" s="27" t="s">
        <v>7</v>
      </c>
      <c r="EE166" s="27" t="s">
        <v>8</v>
      </c>
      <c r="EG166" s="27" t="s">
        <v>8</v>
      </c>
      <c r="EH166" s="27" t="s">
        <v>7</v>
      </c>
      <c r="EI166" s="27" t="s">
        <v>8</v>
      </c>
      <c r="ER166" s="27" t="s">
        <v>7</v>
      </c>
      <c r="ET166" s="27" t="s">
        <v>7</v>
      </c>
      <c r="EU166" s="27" t="s">
        <v>8</v>
      </c>
      <c r="EV166" s="27" t="s">
        <v>7</v>
      </c>
      <c r="EW166" s="27" t="s">
        <v>8</v>
      </c>
      <c r="EX166" s="27" t="s">
        <v>7</v>
      </c>
    </row>
    <row r="167" spans="1:227" x14ac:dyDescent="0.25">
      <c r="A167" s="7">
        <v>4093.2864705119396</v>
      </c>
      <c r="E167"/>
      <c r="DW167" s="27" t="s">
        <v>8</v>
      </c>
      <c r="EC167" s="27" t="s">
        <v>8</v>
      </c>
      <c r="ED167" s="27" t="s">
        <v>7</v>
      </c>
      <c r="EE167" s="27" t="s">
        <v>8</v>
      </c>
      <c r="EF167" s="27" t="s">
        <v>7</v>
      </c>
      <c r="EG167" s="27" t="s">
        <v>8</v>
      </c>
      <c r="EH167" s="27" t="s">
        <v>7</v>
      </c>
      <c r="ET167" s="27" t="s">
        <v>7</v>
      </c>
      <c r="EU167" s="27" t="s">
        <v>8</v>
      </c>
      <c r="EV167" s="27" t="s">
        <v>7</v>
      </c>
      <c r="EW167" s="27" t="s">
        <v>8</v>
      </c>
      <c r="EX167" s="27" t="s">
        <v>7</v>
      </c>
    </row>
    <row r="168" spans="1:227" x14ac:dyDescent="0.25">
      <c r="A168" s="7">
        <v>4013.0259514822937</v>
      </c>
      <c r="E168"/>
      <c r="DW168" s="27" t="s">
        <v>8</v>
      </c>
      <c r="DX168" s="27" t="s">
        <v>7</v>
      </c>
      <c r="EC168" s="27" t="s">
        <v>8</v>
      </c>
      <c r="ED168" s="27" t="s">
        <v>7</v>
      </c>
      <c r="EE168" s="27" t="s">
        <v>8</v>
      </c>
      <c r="EF168" s="27" t="s">
        <v>7</v>
      </c>
      <c r="EG168" s="27" t="s">
        <v>8</v>
      </c>
      <c r="ET168" s="27" t="s">
        <v>7</v>
      </c>
      <c r="EU168" s="27" t="s">
        <v>8</v>
      </c>
      <c r="EV168" s="27" t="s">
        <v>7</v>
      </c>
      <c r="EW168" s="27" t="s">
        <v>8</v>
      </c>
      <c r="EX168" s="27" t="s">
        <v>7</v>
      </c>
      <c r="GE168" s="27" t="s">
        <v>8</v>
      </c>
    </row>
    <row r="169" spans="1:227" x14ac:dyDescent="0.25">
      <c r="A169" s="7">
        <v>3934.3391681198959</v>
      </c>
      <c r="E169"/>
      <c r="DW169" s="27" t="s">
        <v>8</v>
      </c>
      <c r="DX169" s="27" t="s">
        <v>7</v>
      </c>
      <c r="EC169" s="27" t="s">
        <v>8</v>
      </c>
      <c r="ED169" s="27" t="s">
        <v>7</v>
      </c>
      <c r="EE169" s="27" t="s">
        <v>8</v>
      </c>
      <c r="EF169" s="27" t="s">
        <v>7</v>
      </c>
      <c r="EG169" s="27" t="s">
        <v>8</v>
      </c>
      <c r="ET169" s="27" t="s">
        <v>7</v>
      </c>
      <c r="EU169" s="27" t="s">
        <v>8</v>
      </c>
      <c r="EV169" s="27" t="s">
        <v>7</v>
      </c>
      <c r="EW169" s="27" t="s">
        <v>8</v>
      </c>
      <c r="EX169" s="27" t="s">
        <v>7</v>
      </c>
      <c r="EY169" s="27" t="s">
        <v>8</v>
      </c>
      <c r="GE169" s="27" t="s">
        <v>8</v>
      </c>
      <c r="GF169" s="27" t="s">
        <v>7</v>
      </c>
    </row>
    <row r="170" spans="1:227" x14ac:dyDescent="0.25">
      <c r="A170" s="7">
        <v>3857.1952628626432</v>
      </c>
      <c r="E170"/>
      <c r="DW170" s="27" t="s">
        <v>8</v>
      </c>
      <c r="DX170" s="27" t="s">
        <v>7</v>
      </c>
      <c r="EA170" s="27" t="s">
        <v>8</v>
      </c>
      <c r="EC170" s="27" t="s">
        <v>8</v>
      </c>
      <c r="ED170" s="27" t="s">
        <v>7</v>
      </c>
      <c r="EE170" s="27" t="s">
        <v>8</v>
      </c>
      <c r="EF170" s="27" t="s">
        <v>7</v>
      </c>
      <c r="EG170" s="27" t="s">
        <v>8</v>
      </c>
      <c r="ET170" s="27" t="s">
        <v>7</v>
      </c>
      <c r="EU170" s="27" t="s">
        <v>8</v>
      </c>
      <c r="EV170" s="27" t="s">
        <v>7</v>
      </c>
      <c r="EW170" s="27" t="s">
        <v>8</v>
      </c>
      <c r="EX170" s="27" t="s">
        <v>7</v>
      </c>
      <c r="EY170" s="27" t="s">
        <v>8</v>
      </c>
      <c r="EZ170" s="27" t="s">
        <v>7</v>
      </c>
      <c r="GC170" s="27" t="s">
        <v>8</v>
      </c>
      <c r="GE170" s="27" t="s">
        <v>8</v>
      </c>
      <c r="GF170" s="27" t="s">
        <v>7</v>
      </c>
    </row>
    <row r="171" spans="1:227" x14ac:dyDescent="0.25">
      <c r="A171" s="7">
        <v>3781.5639831986696</v>
      </c>
      <c r="E171"/>
      <c r="DW171" s="27" t="s">
        <v>8</v>
      </c>
      <c r="DX171" s="27" t="s">
        <v>7</v>
      </c>
      <c r="EA171" s="27" t="s">
        <v>8</v>
      </c>
      <c r="EB171" s="27" t="s">
        <v>7</v>
      </c>
      <c r="EC171" s="27" t="s">
        <v>8</v>
      </c>
      <c r="ED171" s="27" t="s">
        <v>7</v>
      </c>
      <c r="EE171" s="27" t="s">
        <v>8</v>
      </c>
      <c r="EF171" s="27" t="s">
        <v>7</v>
      </c>
      <c r="EG171" s="27" t="s">
        <v>8</v>
      </c>
      <c r="ET171" s="27" t="s">
        <v>7</v>
      </c>
      <c r="EU171" s="27" t="s">
        <v>8</v>
      </c>
      <c r="EV171" s="27" t="s">
        <v>7</v>
      </c>
      <c r="EW171" s="27" t="s">
        <v>8</v>
      </c>
      <c r="EX171" s="27" t="s">
        <v>7</v>
      </c>
      <c r="EY171" s="27" t="s">
        <v>8</v>
      </c>
      <c r="EZ171" s="27" t="s">
        <v>7</v>
      </c>
      <c r="FA171" s="27" t="s">
        <v>8</v>
      </c>
      <c r="GC171" s="27" t="s">
        <v>8</v>
      </c>
      <c r="GD171" s="27" t="s">
        <v>7</v>
      </c>
      <c r="GE171" s="27" t="s">
        <v>8</v>
      </c>
      <c r="GF171" s="27" t="s">
        <v>7</v>
      </c>
      <c r="GG171" s="27" t="s">
        <v>8</v>
      </c>
    </row>
    <row r="172" spans="1:227" x14ac:dyDescent="0.25">
      <c r="A172" s="7">
        <v>3707.4156698026172</v>
      </c>
      <c r="E172"/>
      <c r="DW172" s="27" t="s">
        <v>8</v>
      </c>
      <c r="DX172" s="27" t="s">
        <v>7</v>
      </c>
      <c r="EA172" s="27" t="s">
        <v>8</v>
      </c>
      <c r="EB172" s="27" t="s">
        <v>7</v>
      </c>
      <c r="EC172" s="27" t="s">
        <v>8</v>
      </c>
      <c r="ED172" s="27" t="s">
        <v>7</v>
      </c>
      <c r="EE172" s="27" t="s">
        <v>8</v>
      </c>
      <c r="EF172" s="27" t="s">
        <v>7</v>
      </c>
      <c r="EG172" s="27" t="s">
        <v>8</v>
      </c>
      <c r="ET172" s="27" t="s">
        <v>7</v>
      </c>
      <c r="EU172" s="27" t="s">
        <v>8</v>
      </c>
      <c r="EV172" s="27" t="s">
        <v>7</v>
      </c>
      <c r="EW172" s="27" t="s">
        <v>8</v>
      </c>
      <c r="EX172" s="27" t="s">
        <v>7</v>
      </c>
      <c r="EY172" s="27" t="s">
        <v>8</v>
      </c>
      <c r="EZ172" s="27" t="s">
        <v>7</v>
      </c>
      <c r="FA172" s="27" t="s">
        <v>8</v>
      </c>
      <c r="FB172" s="27" t="s">
        <v>7</v>
      </c>
      <c r="GC172" s="27" t="s">
        <v>8</v>
      </c>
      <c r="GD172" s="27" t="s">
        <v>7</v>
      </c>
      <c r="GE172" s="27" t="s">
        <v>8</v>
      </c>
      <c r="GF172" s="27" t="s">
        <v>7</v>
      </c>
      <c r="GG172" s="27" t="s">
        <v>8</v>
      </c>
      <c r="GH172" s="27" t="s">
        <v>7</v>
      </c>
      <c r="GI172" s="27" t="s">
        <v>8</v>
      </c>
    </row>
    <row r="173" spans="1:227" x14ac:dyDescent="0.25">
      <c r="A173" s="7">
        <v>3634.7212449045264</v>
      </c>
      <c r="E173"/>
      <c r="DW173" s="27" t="s">
        <v>8</v>
      </c>
      <c r="DX173" s="27" t="s">
        <v>7</v>
      </c>
      <c r="DY173" s="27" t="s">
        <v>8</v>
      </c>
      <c r="EA173" s="27" t="s">
        <v>8</v>
      </c>
      <c r="EB173" s="27" t="s">
        <v>7</v>
      </c>
      <c r="EC173" s="27" t="s">
        <v>8</v>
      </c>
      <c r="ED173" s="27" t="s">
        <v>7</v>
      </c>
      <c r="EE173" s="27" t="s">
        <v>8</v>
      </c>
      <c r="EF173" s="27" t="s">
        <v>7</v>
      </c>
      <c r="ET173" s="27" t="s">
        <v>7</v>
      </c>
      <c r="EU173" s="27" t="s">
        <v>8</v>
      </c>
      <c r="EV173" s="27" t="s">
        <v>7</v>
      </c>
      <c r="EW173" s="27" t="s">
        <v>8</v>
      </c>
      <c r="EX173" s="27" t="s">
        <v>7</v>
      </c>
      <c r="EY173" s="27" t="s">
        <v>8</v>
      </c>
      <c r="EZ173" s="27" t="s">
        <v>7</v>
      </c>
      <c r="FA173" s="27" t="s">
        <v>8</v>
      </c>
      <c r="FB173" s="27" t="s">
        <v>7</v>
      </c>
      <c r="GC173" s="27" t="s">
        <v>8</v>
      </c>
      <c r="GD173" s="27" t="s">
        <v>7</v>
      </c>
      <c r="GE173" s="27" t="s">
        <v>8</v>
      </c>
      <c r="GF173" s="27" t="s">
        <v>7</v>
      </c>
      <c r="GG173" s="27" t="s">
        <v>8</v>
      </c>
      <c r="GH173" s="27" t="s">
        <v>7</v>
      </c>
      <c r="GI173" s="27" t="s">
        <v>8</v>
      </c>
      <c r="GJ173" s="27" t="s">
        <v>7</v>
      </c>
    </row>
    <row r="174" spans="1:227" x14ac:dyDescent="0.25">
      <c r="A174" s="7">
        <v>3563.4522008867907</v>
      </c>
      <c r="E174"/>
      <c r="DW174" s="27" t="s">
        <v>8</v>
      </c>
      <c r="DX174" s="27" t="s">
        <v>7</v>
      </c>
      <c r="DY174" s="27" t="s">
        <v>8</v>
      </c>
      <c r="DZ174" s="27" t="s">
        <v>7</v>
      </c>
      <c r="EA174" s="27" t="s">
        <v>8</v>
      </c>
      <c r="EB174" s="27" t="s">
        <v>7</v>
      </c>
      <c r="EC174" s="27" t="s">
        <v>8</v>
      </c>
      <c r="ED174" s="27" t="s">
        <v>7</v>
      </c>
      <c r="EE174" s="27" t="s">
        <v>8</v>
      </c>
      <c r="ET174" s="27" t="s">
        <v>7</v>
      </c>
      <c r="EU174" s="27" t="s">
        <v>8</v>
      </c>
      <c r="EV174" s="27" t="s">
        <v>7</v>
      </c>
      <c r="EW174" s="27" t="s">
        <v>8</v>
      </c>
      <c r="EX174" s="27" t="s">
        <v>7</v>
      </c>
      <c r="EY174" s="27" t="s">
        <v>8</v>
      </c>
      <c r="EZ174" s="27" t="s">
        <v>7</v>
      </c>
      <c r="FA174" s="27" t="s">
        <v>8</v>
      </c>
      <c r="FB174" s="27" t="s">
        <v>7</v>
      </c>
      <c r="GC174" s="27" t="s">
        <v>8</v>
      </c>
      <c r="GD174" s="27" t="s">
        <v>7</v>
      </c>
      <c r="GE174" s="27" t="s">
        <v>8</v>
      </c>
      <c r="GF174" s="27" t="s">
        <v>7</v>
      </c>
      <c r="GG174" s="27" t="s">
        <v>8</v>
      </c>
      <c r="GH174" s="27" t="s">
        <v>7</v>
      </c>
      <c r="GI174" s="27" t="s">
        <v>8</v>
      </c>
      <c r="GJ174" s="27" t="s">
        <v>7</v>
      </c>
      <c r="HG174" s="27" t="s">
        <v>8</v>
      </c>
    </row>
    <row r="175" spans="1:227" x14ac:dyDescent="0.25">
      <c r="A175" s="7">
        <v>3493.5805891046966</v>
      </c>
      <c r="E175"/>
      <c r="DW175" s="27" t="s">
        <v>8</v>
      </c>
      <c r="DX175" s="27" t="s">
        <v>7</v>
      </c>
      <c r="DY175" s="27" t="s">
        <v>8</v>
      </c>
      <c r="DZ175" s="27" t="s">
        <v>7</v>
      </c>
      <c r="EA175" s="27" t="s">
        <v>8</v>
      </c>
      <c r="EB175" s="27" t="s">
        <v>7</v>
      </c>
      <c r="EC175" s="27" t="s">
        <v>8</v>
      </c>
      <c r="ED175" s="27" t="s">
        <v>7</v>
      </c>
      <c r="EE175" s="27" t="s">
        <v>8</v>
      </c>
      <c r="ET175" s="27" t="s">
        <v>7</v>
      </c>
      <c r="EU175" s="27" t="s">
        <v>8</v>
      </c>
      <c r="EV175" s="27" t="s">
        <v>7</v>
      </c>
      <c r="EW175" s="27" t="s">
        <v>8</v>
      </c>
      <c r="EX175" s="27" t="s">
        <v>7</v>
      </c>
      <c r="EY175" s="27" t="s">
        <v>8</v>
      </c>
      <c r="EZ175" s="27" t="s">
        <v>7</v>
      </c>
      <c r="FA175" s="27" t="s">
        <v>8</v>
      </c>
      <c r="FB175" s="27" t="s">
        <v>7</v>
      </c>
      <c r="GA175" s="27" t="s">
        <v>8</v>
      </c>
      <c r="GC175" s="27" t="s">
        <v>8</v>
      </c>
      <c r="GD175" s="27" t="s">
        <v>7</v>
      </c>
      <c r="GE175" s="27" t="s">
        <v>8</v>
      </c>
      <c r="GF175" s="27" t="s">
        <v>7</v>
      </c>
      <c r="GH175" s="27" t="s">
        <v>7</v>
      </c>
      <c r="GI175" s="27" t="s">
        <v>8</v>
      </c>
      <c r="GJ175" s="27" t="s">
        <v>7</v>
      </c>
      <c r="HG175" s="27" t="s">
        <v>8</v>
      </c>
      <c r="HH175" s="27" t="s">
        <v>7</v>
      </c>
    </row>
    <row r="176" spans="1:227" x14ac:dyDescent="0.25">
      <c r="A176" s="7">
        <v>3425.0790089261732</v>
      </c>
      <c r="E176"/>
      <c r="DW176" s="27" t="s">
        <v>8</v>
      </c>
      <c r="DX176" s="27" t="s">
        <v>7</v>
      </c>
      <c r="DY176" s="27" t="s">
        <v>8</v>
      </c>
      <c r="DZ176" s="27" t="s">
        <v>7</v>
      </c>
      <c r="EA176" s="27" t="s">
        <v>8</v>
      </c>
      <c r="EB176" s="27" t="s">
        <v>7</v>
      </c>
      <c r="EC176" s="27" t="s">
        <v>8</v>
      </c>
      <c r="ED176" s="27" t="s">
        <v>7</v>
      </c>
      <c r="EE176" s="27" t="s">
        <v>8</v>
      </c>
      <c r="ET176" s="27" t="s">
        <v>7</v>
      </c>
      <c r="EU176" s="27" t="s">
        <v>8</v>
      </c>
      <c r="EV176" s="27" t="s">
        <v>7</v>
      </c>
      <c r="EW176" s="27" t="s">
        <v>8</v>
      </c>
      <c r="EX176" s="27" t="s">
        <v>7</v>
      </c>
      <c r="EY176" s="27" t="s">
        <v>8</v>
      </c>
      <c r="EZ176" s="27" t="s">
        <v>7</v>
      </c>
      <c r="FB176" s="27" t="s">
        <v>7</v>
      </c>
      <c r="FY176" s="27" t="s">
        <v>8</v>
      </c>
      <c r="GA176" s="27" t="s">
        <v>8</v>
      </c>
      <c r="GB176" s="27" t="s">
        <v>7</v>
      </c>
      <c r="GC176" s="27" t="s">
        <v>8</v>
      </c>
      <c r="GD176" s="27" t="s">
        <v>7</v>
      </c>
      <c r="GH176" s="27" t="s">
        <v>7</v>
      </c>
      <c r="GI176" s="27" t="s">
        <v>8</v>
      </c>
      <c r="GJ176" s="27" t="s">
        <v>7</v>
      </c>
      <c r="HG176" s="27" t="s">
        <v>8</v>
      </c>
      <c r="HH176" s="27" t="s">
        <v>7</v>
      </c>
      <c r="HI176" s="27" t="s">
        <v>8</v>
      </c>
      <c r="HS176" s="27" t="s">
        <v>8</v>
      </c>
    </row>
    <row r="177" spans="1:246" x14ac:dyDescent="0.25">
      <c r="A177" s="7">
        <v>3357.9205969864443</v>
      </c>
      <c r="B177"/>
      <c r="C177"/>
      <c r="D177"/>
      <c r="E177"/>
      <c r="DW177" s="27" t="s">
        <v>8</v>
      </c>
      <c r="DX177" s="27" t="s">
        <v>7</v>
      </c>
      <c r="DY177" s="27" t="s">
        <v>8</v>
      </c>
      <c r="DZ177" s="27" t="s">
        <v>7</v>
      </c>
      <c r="EA177" s="27" t="s">
        <v>8</v>
      </c>
      <c r="EB177" s="27" t="s">
        <v>7</v>
      </c>
      <c r="EC177" s="27" t="s">
        <v>8</v>
      </c>
      <c r="ED177" s="27" t="s">
        <v>7</v>
      </c>
      <c r="EE177" s="27" t="s">
        <v>8</v>
      </c>
      <c r="ET177" s="27" t="s">
        <v>7</v>
      </c>
      <c r="EU177" s="27" t="s">
        <v>8</v>
      </c>
      <c r="EV177" s="27" t="s">
        <v>7</v>
      </c>
      <c r="EW177" s="27" t="s">
        <v>8</v>
      </c>
      <c r="EX177" s="27" t="s">
        <v>7</v>
      </c>
      <c r="EY177" s="27" t="s">
        <v>8</v>
      </c>
      <c r="FB177" s="27" t="s">
        <v>7</v>
      </c>
      <c r="FY177" s="27" t="s">
        <v>8</v>
      </c>
      <c r="FZ177" s="27" t="s">
        <v>7</v>
      </c>
      <c r="GA177" s="27" t="s">
        <v>8</v>
      </c>
      <c r="GB177" s="27" t="s">
        <v>7</v>
      </c>
      <c r="GC177" s="27" t="s">
        <v>8</v>
      </c>
      <c r="GH177" s="27" t="s">
        <v>7</v>
      </c>
      <c r="GJ177" s="27" t="s">
        <v>7</v>
      </c>
      <c r="HG177" s="27" t="s">
        <v>8</v>
      </c>
      <c r="HH177" s="27" t="s">
        <v>7</v>
      </c>
      <c r="HI177" s="27" t="s">
        <v>8</v>
      </c>
      <c r="HJ177" s="27" t="s">
        <v>7</v>
      </c>
      <c r="HS177" s="27" t="s">
        <v>8</v>
      </c>
      <c r="HT177" s="27" t="s">
        <v>7</v>
      </c>
    </row>
    <row r="178" spans="1:246" x14ac:dyDescent="0.25">
      <c r="A178" s="7">
        <v>3292.0790166533766</v>
      </c>
      <c r="B178"/>
      <c r="C178"/>
      <c r="D178"/>
      <c r="E178"/>
      <c r="DW178" s="27" t="s">
        <v>8</v>
      </c>
      <c r="DX178" s="27" t="s">
        <v>7</v>
      </c>
      <c r="DY178" s="27" t="s">
        <v>8</v>
      </c>
      <c r="DZ178" s="27" t="s">
        <v>7</v>
      </c>
      <c r="EA178" s="27" t="s">
        <v>8</v>
      </c>
      <c r="EB178" s="27" t="s">
        <v>7</v>
      </c>
      <c r="EC178" s="27" t="s">
        <v>8</v>
      </c>
      <c r="ED178" s="27" t="s">
        <v>7</v>
      </c>
      <c r="ET178" s="27" t="s">
        <v>7</v>
      </c>
      <c r="EU178" s="27" t="s">
        <v>8</v>
      </c>
      <c r="EV178" s="27" t="s">
        <v>7</v>
      </c>
      <c r="EW178" s="27" t="s">
        <v>8</v>
      </c>
      <c r="EX178" s="27" t="s">
        <v>7</v>
      </c>
      <c r="EY178" s="27" t="s">
        <v>8</v>
      </c>
      <c r="FB178" s="27" t="s">
        <v>7</v>
      </c>
      <c r="FC178" s="27" t="s">
        <v>8</v>
      </c>
      <c r="FY178" s="27" t="s">
        <v>8</v>
      </c>
      <c r="FZ178" s="27" t="s">
        <v>7</v>
      </c>
      <c r="GA178" s="27" t="s">
        <v>8</v>
      </c>
      <c r="GB178" s="27" t="s">
        <v>7</v>
      </c>
      <c r="GC178" s="27" t="s">
        <v>8</v>
      </c>
      <c r="GJ178" s="27" t="s">
        <v>7</v>
      </c>
      <c r="HG178" s="27" t="s">
        <v>8</v>
      </c>
      <c r="HH178" s="27" t="s">
        <v>7</v>
      </c>
      <c r="HI178" s="27" t="s">
        <v>8</v>
      </c>
      <c r="HJ178" s="27" t="s">
        <v>7</v>
      </c>
      <c r="HS178" s="27" t="s">
        <v>8</v>
      </c>
      <c r="HT178" s="27" t="s">
        <v>7</v>
      </c>
    </row>
    <row r="179" spans="1:246" x14ac:dyDescent="0.25">
      <c r="A179" s="7">
        <v>3227.5284476993888</v>
      </c>
      <c r="B179"/>
      <c r="C179"/>
      <c r="D179"/>
      <c r="E179"/>
      <c r="DW179" s="27" t="s">
        <v>8</v>
      </c>
      <c r="DX179" s="27" t="s">
        <v>7</v>
      </c>
      <c r="DZ179" s="27" t="s">
        <v>7</v>
      </c>
      <c r="EA179" s="27" t="s">
        <v>8</v>
      </c>
      <c r="EB179" s="27" t="s">
        <v>7</v>
      </c>
      <c r="ET179" s="27" t="s">
        <v>7</v>
      </c>
      <c r="EU179" s="27" t="s">
        <v>8</v>
      </c>
      <c r="EV179" s="27" t="s">
        <v>7</v>
      </c>
      <c r="EW179" s="27" t="s">
        <v>8</v>
      </c>
      <c r="EX179" s="27" t="s">
        <v>7</v>
      </c>
      <c r="EY179" s="27" t="s">
        <v>8</v>
      </c>
      <c r="FB179" s="27" t="s">
        <v>7</v>
      </c>
      <c r="FC179" s="27" t="s">
        <v>8</v>
      </c>
      <c r="FD179" s="27" t="s">
        <v>7</v>
      </c>
      <c r="FE179" s="27" t="s">
        <v>8</v>
      </c>
      <c r="FY179" s="27" t="s">
        <v>8</v>
      </c>
      <c r="FZ179" s="27" t="s">
        <v>7</v>
      </c>
      <c r="GA179" s="27" t="s">
        <v>8</v>
      </c>
      <c r="GB179" s="27" t="s">
        <v>7</v>
      </c>
      <c r="GC179" s="27" t="s">
        <v>8</v>
      </c>
      <c r="GJ179" s="27" t="s">
        <v>7</v>
      </c>
      <c r="HG179" s="27" t="s">
        <v>8</v>
      </c>
      <c r="HH179" s="27" t="s">
        <v>7</v>
      </c>
      <c r="HI179" s="27" t="s">
        <v>8</v>
      </c>
      <c r="HJ179" s="27" t="s">
        <v>7</v>
      </c>
      <c r="HO179" s="27" t="s">
        <v>8</v>
      </c>
      <c r="HS179" s="27" t="s">
        <v>8</v>
      </c>
      <c r="HT179" s="27" t="s">
        <v>7</v>
      </c>
      <c r="HW179" s="27" t="s">
        <v>8</v>
      </c>
    </row>
    <row r="180" spans="1:246" x14ac:dyDescent="0.25">
      <c r="A180" s="7">
        <v>3164.2435761758716</v>
      </c>
      <c r="B180"/>
      <c r="C180"/>
      <c r="D180"/>
      <c r="E180"/>
      <c r="DW180" s="27" t="s">
        <v>8</v>
      </c>
      <c r="DZ180" s="27" t="s">
        <v>7</v>
      </c>
      <c r="EA180" s="27" t="s">
        <v>8</v>
      </c>
      <c r="ET180" s="27" t="s">
        <v>7</v>
      </c>
      <c r="EU180" s="27" t="s">
        <v>8</v>
      </c>
      <c r="EV180" s="27" t="s">
        <v>7</v>
      </c>
      <c r="EW180" s="27" t="s">
        <v>8</v>
      </c>
      <c r="EX180" s="27" t="s">
        <v>7</v>
      </c>
      <c r="EY180" s="27" t="s">
        <v>8</v>
      </c>
      <c r="FB180" s="27" t="s">
        <v>7</v>
      </c>
      <c r="FC180" s="27" t="s">
        <v>8</v>
      </c>
      <c r="FD180" s="27" t="s">
        <v>7</v>
      </c>
      <c r="FE180" s="27" t="s">
        <v>8</v>
      </c>
      <c r="FF180" s="27" t="s">
        <v>7</v>
      </c>
      <c r="FY180" s="27" t="s">
        <v>8</v>
      </c>
      <c r="FZ180" s="27" t="s">
        <v>7</v>
      </c>
      <c r="GA180" s="27" t="s">
        <v>8</v>
      </c>
      <c r="GB180" s="27" t="s">
        <v>7</v>
      </c>
      <c r="GJ180" s="27" t="s">
        <v>7</v>
      </c>
      <c r="GO180" s="27" t="s">
        <v>8</v>
      </c>
      <c r="HG180" s="27" t="s">
        <v>8</v>
      </c>
      <c r="HH180" s="27" t="s">
        <v>7</v>
      </c>
      <c r="HI180" s="27" t="s">
        <v>8</v>
      </c>
      <c r="HJ180" s="27" t="s">
        <v>7</v>
      </c>
      <c r="HM180" s="27" t="s">
        <v>8</v>
      </c>
      <c r="HO180" s="27" t="s">
        <v>8</v>
      </c>
      <c r="HP180" s="27" t="s">
        <v>7</v>
      </c>
      <c r="HS180" s="27" t="s">
        <v>8</v>
      </c>
      <c r="HT180" s="27" t="s">
        <v>7</v>
      </c>
      <c r="HU180" s="27" t="s">
        <v>8</v>
      </c>
      <c r="HW180" s="27" t="s">
        <v>8</v>
      </c>
      <c r="HX180" s="27" t="s">
        <v>7</v>
      </c>
    </row>
    <row r="181" spans="1:246" x14ac:dyDescent="0.25">
      <c r="A181" s="7">
        <v>3102.1995844861485</v>
      </c>
      <c r="B181"/>
      <c r="C181"/>
      <c r="D181"/>
      <c r="E181"/>
      <c r="DW181" s="27" t="s">
        <v>8</v>
      </c>
      <c r="DZ181" s="27" t="s">
        <v>7</v>
      </c>
      <c r="EA181" s="27" t="s">
        <v>8</v>
      </c>
      <c r="ET181" s="27" t="s">
        <v>7</v>
      </c>
      <c r="EU181" s="27" t="s">
        <v>8</v>
      </c>
      <c r="EV181" s="27" t="s">
        <v>7</v>
      </c>
      <c r="EW181" s="27" t="s">
        <v>8</v>
      </c>
      <c r="EX181" s="27" t="s">
        <v>7</v>
      </c>
      <c r="EY181" s="27" t="s">
        <v>8</v>
      </c>
      <c r="FB181" s="27" t="s">
        <v>7</v>
      </c>
      <c r="FC181" s="27" t="s">
        <v>8</v>
      </c>
      <c r="FD181" s="27" t="s">
        <v>7</v>
      </c>
      <c r="FE181" s="27" t="s">
        <v>8</v>
      </c>
      <c r="FF181" s="27" t="s">
        <v>7</v>
      </c>
      <c r="FM181" s="27" t="s">
        <v>8</v>
      </c>
      <c r="FY181" s="27" t="s">
        <v>8</v>
      </c>
      <c r="FZ181" s="27" t="s">
        <v>7</v>
      </c>
      <c r="GJ181" s="27" t="s">
        <v>7</v>
      </c>
      <c r="GK181" s="27" t="s">
        <v>8</v>
      </c>
      <c r="GO181" s="27" t="s">
        <v>8</v>
      </c>
      <c r="GP181" s="27" t="s">
        <v>7</v>
      </c>
      <c r="HG181" s="27" t="s">
        <v>8</v>
      </c>
      <c r="HH181" s="27" t="s">
        <v>7</v>
      </c>
      <c r="HI181" s="27" t="s">
        <v>8</v>
      </c>
      <c r="HJ181" s="27" t="s">
        <v>7</v>
      </c>
      <c r="HM181" s="27" t="s">
        <v>8</v>
      </c>
      <c r="HN181" s="27" t="s">
        <v>7</v>
      </c>
      <c r="HO181" s="27" t="s">
        <v>8</v>
      </c>
      <c r="HP181" s="27" t="s">
        <v>7</v>
      </c>
      <c r="HQ181" s="27" t="s">
        <v>8</v>
      </c>
      <c r="HS181" s="27" t="s">
        <v>8</v>
      </c>
      <c r="HT181" s="27" t="s">
        <v>7</v>
      </c>
      <c r="HU181" s="27" t="s">
        <v>8</v>
      </c>
      <c r="HV181" s="27" t="s">
        <v>7</v>
      </c>
      <c r="HW181" s="27" t="s">
        <v>8</v>
      </c>
      <c r="HX181" s="27" t="s">
        <v>7</v>
      </c>
    </row>
    <row r="182" spans="1:246" x14ac:dyDescent="0.25">
      <c r="A182" s="7">
        <v>3041.3721416530866</v>
      </c>
      <c r="B182"/>
      <c r="C182"/>
      <c r="D182"/>
      <c r="E182"/>
      <c r="CO182" s="27" t="s">
        <v>8</v>
      </c>
      <c r="DW182" s="27" t="s">
        <v>8</v>
      </c>
      <c r="DZ182" s="27" t="s">
        <v>7</v>
      </c>
      <c r="EA182" s="27" t="s">
        <v>8</v>
      </c>
      <c r="ET182" s="27" t="s">
        <v>7</v>
      </c>
      <c r="EU182" s="27" t="s">
        <v>8</v>
      </c>
      <c r="EV182" s="27" t="s">
        <v>7</v>
      </c>
      <c r="EW182" s="27" t="s">
        <v>8</v>
      </c>
      <c r="EX182" s="27" t="s">
        <v>7</v>
      </c>
      <c r="EY182" s="27" t="s">
        <v>8</v>
      </c>
      <c r="FB182" s="27" t="s">
        <v>7</v>
      </c>
      <c r="FC182" s="27" t="s">
        <v>8</v>
      </c>
      <c r="FD182" s="27" t="s">
        <v>7</v>
      </c>
      <c r="FE182" s="27" t="s">
        <v>8</v>
      </c>
      <c r="FF182" s="27" t="s">
        <v>7</v>
      </c>
      <c r="FM182" s="27" t="s">
        <v>8</v>
      </c>
      <c r="FN182" s="27" t="s">
        <v>7</v>
      </c>
      <c r="FW182" s="27" t="s">
        <v>8</v>
      </c>
      <c r="FY182" s="27" t="s">
        <v>8</v>
      </c>
      <c r="GJ182" s="27" t="s">
        <v>7</v>
      </c>
      <c r="GK182" s="27" t="s">
        <v>8</v>
      </c>
      <c r="GL182" s="27" t="s">
        <v>7</v>
      </c>
      <c r="GO182" s="27" t="s">
        <v>8</v>
      </c>
      <c r="GP182" s="27" t="s">
        <v>7</v>
      </c>
      <c r="HG182" s="27" t="s">
        <v>8</v>
      </c>
      <c r="HH182" s="27" t="s">
        <v>7</v>
      </c>
      <c r="HI182" s="27" t="s">
        <v>8</v>
      </c>
      <c r="HJ182" s="27" t="s">
        <v>7</v>
      </c>
      <c r="HK182" s="27" t="s">
        <v>8</v>
      </c>
      <c r="HM182" s="27" t="s">
        <v>8</v>
      </c>
      <c r="HN182" s="27" t="s">
        <v>7</v>
      </c>
      <c r="HO182" s="27" t="s">
        <v>8</v>
      </c>
      <c r="HP182" s="27" t="s">
        <v>7</v>
      </c>
      <c r="HQ182" s="27" t="s">
        <v>8</v>
      </c>
      <c r="HR182" s="27" t="s">
        <v>7</v>
      </c>
      <c r="HS182" s="27" t="s">
        <v>8</v>
      </c>
      <c r="HT182" s="27" t="s">
        <v>7</v>
      </c>
      <c r="HU182" s="27" t="s">
        <v>8</v>
      </c>
      <c r="HV182" s="27" t="s">
        <v>7</v>
      </c>
      <c r="HW182" s="27" t="s">
        <v>8</v>
      </c>
      <c r="HX182" s="27" t="s">
        <v>7</v>
      </c>
    </row>
    <row r="183" spans="1:246" x14ac:dyDescent="0.25">
      <c r="A183" s="7">
        <v>2981.737393777536</v>
      </c>
      <c r="B183"/>
      <c r="C183"/>
      <c r="D183"/>
      <c r="E183"/>
      <c r="CO183" s="27" t="s">
        <v>8</v>
      </c>
      <c r="CP183" s="27" t="s">
        <v>7</v>
      </c>
      <c r="DW183" s="27" t="s">
        <v>8</v>
      </c>
      <c r="DZ183" s="27" t="s">
        <v>7</v>
      </c>
      <c r="EA183" s="27" t="s">
        <v>8</v>
      </c>
      <c r="ET183" s="27" t="s">
        <v>7</v>
      </c>
      <c r="EU183" s="27" t="s">
        <v>8</v>
      </c>
      <c r="EV183" s="27" t="s">
        <v>7</v>
      </c>
      <c r="EW183" s="27" t="s">
        <v>8</v>
      </c>
      <c r="EX183" s="27" t="s">
        <v>7</v>
      </c>
      <c r="EY183" s="27" t="s">
        <v>8</v>
      </c>
      <c r="FB183" s="27" t="s">
        <v>7</v>
      </c>
      <c r="FC183" s="27" t="s">
        <v>8</v>
      </c>
      <c r="FD183" s="27" t="s">
        <v>7</v>
      </c>
      <c r="FE183" s="27" t="s">
        <v>8</v>
      </c>
      <c r="FF183" s="27" t="s">
        <v>7</v>
      </c>
      <c r="FM183" s="27" t="s">
        <v>8</v>
      </c>
      <c r="FN183" s="27" t="s">
        <v>7</v>
      </c>
      <c r="FW183" s="27" t="s">
        <v>8</v>
      </c>
      <c r="FX183" s="27" t="s">
        <v>7</v>
      </c>
      <c r="FY183" s="27" t="s">
        <v>8</v>
      </c>
      <c r="GJ183" s="27" t="s">
        <v>7</v>
      </c>
      <c r="GK183" s="27" t="s">
        <v>8</v>
      </c>
      <c r="GL183" s="27" t="s">
        <v>7</v>
      </c>
      <c r="GO183" s="27" t="s">
        <v>8</v>
      </c>
      <c r="GP183" s="27" t="s">
        <v>7</v>
      </c>
      <c r="HG183" s="27" t="s">
        <v>8</v>
      </c>
      <c r="HH183" s="27" t="s">
        <v>7</v>
      </c>
      <c r="HI183" s="27" t="s">
        <v>8</v>
      </c>
      <c r="HJ183" s="27" t="s">
        <v>7</v>
      </c>
      <c r="HK183" s="27" t="s">
        <v>8</v>
      </c>
      <c r="HL183" s="27" t="s">
        <v>7</v>
      </c>
      <c r="HM183" s="27" t="s">
        <v>8</v>
      </c>
      <c r="HN183" s="27" t="s">
        <v>7</v>
      </c>
      <c r="HO183" s="27" t="s">
        <v>8</v>
      </c>
      <c r="HP183" s="27" t="s">
        <v>7</v>
      </c>
      <c r="HQ183" s="27" t="s">
        <v>8</v>
      </c>
      <c r="HR183" s="27" t="s">
        <v>7</v>
      </c>
      <c r="HS183" s="27" t="s">
        <v>8</v>
      </c>
      <c r="HT183" s="27" t="s">
        <v>7</v>
      </c>
      <c r="HV183" s="27" t="s">
        <v>7</v>
      </c>
      <c r="HW183" s="27" t="s">
        <v>8</v>
      </c>
      <c r="HX183" s="27" t="s">
        <v>7</v>
      </c>
    </row>
    <row r="184" spans="1:246" x14ac:dyDescent="0.25">
      <c r="A184" s="7">
        <v>2923.2719546838589</v>
      </c>
      <c r="B184"/>
      <c r="C184"/>
      <c r="D184"/>
      <c r="E184"/>
      <c r="CO184" s="27" t="s">
        <v>8</v>
      </c>
      <c r="CP184" s="27" t="s">
        <v>7</v>
      </c>
      <c r="DW184" s="27" t="s">
        <v>8</v>
      </c>
      <c r="DZ184" s="27" t="s">
        <v>7</v>
      </c>
      <c r="EA184" s="27" t="s">
        <v>8</v>
      </c>
      <c r="ET184" s="27" t="s">
        <v>7</v>
      </c>
      <c r="EU184" s="27" t="s">
        <v>8</v>
      </c>
      <c r="EV184" s="27" t="s">
        <v>7</v>
      </c>
      <c r="EW184" s="27" t="s">
        <v>8</v>
      </c>
      <c r="EX184" s="27" t="s">
        <v>7</v>
      </c>
      <c r="EY184" s="27" t="s">
        <v>8</v>
      </c>
      <c r="FB184" s="27" t="s">
        <v>7</v>
      </c>
      <c r="FD184" s="27" t="s">
        <v>7</v>
      </c>
      <c r="FE184" s="27" t="s">
        <v>8</v>
      </c>
      <c r="FF184" s="27" t="s">
        <v>7</v>
      </c>
      <c r="FM184" s="27" t="s">
        <v>8</v>
      </c>
      <c r="FN184" s="27" t="s">
        <v>7</v>
      </c>
      <c r="FW184" s="27" t="s">
        <v>8</v>
      </c>
      <c r="FX184" s="27" t="s">
        <v>7</v>
      </c>
      <c r="FY184" s="27" t="s">
        <v>8</v>
      </c>
      <c r="GJ184" s="27" t="s">
        <v>7</v>
      </c>
      <c r="GK184" s="27" t="s">
        <v>8</v>
      </c>
      <c r="GL184" s="27" t="s">
        <v>7</v>
      </c>
      <c r="GM184" s="27" t="s">
        <v>8</v>
      </c>
      <c r="GO184" s="27" t="s">
        <v>8</v>
      </c>
      <c r="GP184" s="27" t="s">
        <v>7</v>
      </c>
      <c r="HG184" s="27" t="s">
        <v>8</v>
      </c>
      <c r="HH184" s="27" t="s">
        <v>7</v>
      </c>
      <c r="HI184" s="27" t="s">
        <v>8</v>
      </c>
      <c r="HJ184" s="27" t="s">
        <v>7</v>
      </c>
      <c r="HK184" s="27" t="s">
        <v>8</v>
      </c>
      <c r="HL184" s="27" t="s">
        <v>7</v>
      </c>
      <c r="HM184" s="27" t="s">
        <v>8</v>
      </c>
      <c r="HN184" s="27" t="s">
        <v>7</v>
      </c>
      <c r="HO184" s="27" t="s">
        <v>8</v>
      </c>
      <c r="HP184" s="27" t="s">
        <v>7</v>
      </c>
      <c r="HQ184" s="27" t="s">
        <v>8</v>
      </c>
      <c r="HR184" s="27" t="s">
        <v>7</v>
      </c>
      <c r="HS184" s="27" t="s">
        <v>8</v>
      </c>
      <c r="HV184" s="27" t="s">
        <v>7</v>
      </c>
      <c r="HW184" s="27" t="s">
        <v>8</v>
      </c>
      <c r="HX184" s="27" t="s">
        <v>7</v>
      </c>
    </row>
    <row r="185" spans="1:246" x14ac:dyDescent="0.25">
      <c r="A185" s="7">
        <v>2865.9528967488814</v>
      </c>
      <c r="B185"/>
      <c r="C185"/>
      <c r="D185"/>
      <c r="E185"/>
      <c r="CO185" s="27" t="s">
        <v>8</v>
      </c>
      <c r="CP185" s="27" t="s">
        <v>7</v>
      </c>
      <c r="DW185" s="27" t="s">
        <v>8</v>
      </c>
      <c r="DZ185" s="27" t="s">
        <v>7</v>
      </c>
      <c r="EA185" s="27" t="s">
        <v>8</v>
      </c>
      <c r="ET185" s="27" t="s">
        <v>7</v>
      </c>
      <c r="EU185" s="27" t="s">
        <v>8</v>
      </c>
      <c r="EV185" s="27" t="s">
        <v>7</v>
      </c>
      <c r="EW185" s="27" t="s">
        <v>8</v>
      </c>
      <c r="EX185" s="27" t="s">
        <v>7</v>
      </c>
      <c r="FD185" s="27" t="s">
        <v>7</v>
      </c>
      <c r="FE185" s="27" t="s">
        <v>8</v>
      </c>
      <c r="FF185" s="27" t="s">
        <v>7</v>
      </c>
      <c r="FK185" s="27" t="s">
        <v>8</v>
      </c>
      <c r="FM185" s="27" t="s">
        <v>8</v>
      </c>
      <c r="FN185" s="27" t="s">
        <v>7</v>
      </c>
      <c r="FW185" s="27" t="s">
        <v>8</v>
      </c>
      <c r="FX185" s="27" t="s">
        <v>7</v>
      </c>
      <c r="FY185" s="27" t="s">
        <v>8</v>
      </c>
      <c r="GJ185" s="27" t="s">
        <v>7</v>
      </c>
      <c r="GK185" s="27" t="s">
        <v>8</v>
      </c>
      <c r="GL185" s="27" t="s">
        <v>7</v>
      </c>
      <c r="GM185" s="27" t="s">
        <v>8</v>
      </c>
      <c r="GN185" s="27" t="s">
        <v>7</v>
      </c>
      <c r="GO185" s="27" t="s">
        <v>8</v>
      </c>
      <c r="GP185" s="27" t="s">
        <v>7</v>
      </c>
      <c r="HG185" s="27" t="s">
        <v>8</v>
      </c>
      <c r="HH185" s="27" t="s">
        <v>7</v>
      </c>
      <c r="HI185" s="27" t="s">
        <v>8</v>
      </c>
      <c r="HJ185" s="27" t="s">
        <v>7</v>
      </c>
      <c r="HK185" s="27" t="s">
        <v>8</v>
      </c>
      <c r="HL185" s="27" t="s">
        <v>7</v>
      </c>
      <c r="HM185" s="27" t="s">
        <v>8</v>
      </c>
      <c r="HN185" s="27" t="s">
        <v>7</v>
      </c>
      <c r="HO185" s="27" t="s">
        <v>8</v>
      </c>
      <c r="HP185" s="27" t="s">
        <v>7</v>
      </c>
      <c r="HQ185" s="27" t="s">
        <v>8</v>
      </c>
      <c r="HR185" s="27" t="s">
        <v>7</v>
      </c>
      <c r="HV185" s="27" t="s">
        <v>7</v>
      </c>
      <c r="HX185" s="27" t="s">
        <v>7</v>
      </c>
    </row>
    <row r="186" spans="1:246" x14ac:dyDescent="0.25">
      <c r="A186" s="7">
        <v>2809.7577419106678</v>
      </c>
      <c r="B186"/>
      <c r="C186"/>
      <c r="D186"/>
      <c r="E186"/>
      <c r="CO186" s="27" t="s">
        <v>8</v>
      </c>
      <c r="CP186" s="27" t="s">
        <v>7</v>
      </c>
      <c r="CS186" s="27" t="s">
        <v>8</v>
      </c>
      <c r="DW186" s="27" t="s">
        <v>8</v>
      </c>
      <c r="DZ186" s="27" t="s">
        <v>7</v>
      </c>
      <c r="EA186" s="27" t="s">
        <v>8</v>
      </c>
      <c r="ET186" s="27" t="s">
        <v>7</v>
      </c>
      <c r="EU186" s="27" t="s">
        <v>8</v>
      </c>
      <c r="EV186" s="27" t="s">
        <v>7</v>
      </c>
      <c r="EW186" s="27" t="s">
        <v>8</v>
      </c>
      <c r="FD186" s="27" t="s">
        <v>7</v>
      </c>
      <c r="FF186" s="27" t="s">
        <v>7</v>
      </c>
      <c r="FI186" s="27" t="s">
        <v>8</v>
      </c>
      <c r="FK186" s="27" t="s">
        <v>8</v>
      </c>
      <c r="FL186" s="27" t="s">
        <v>7</v>
      </c>
      <c r="FM186" s="27" t="s">
        <v>8</v>
      </c>
      <c r="FN186" s="27" t="s">
        <v>7</v>
      </c>
      <c r="FO186" s="27" t="s">
        <v>8</v>
      </c>
      <c r="FU186" s="27" t="s">
        <v>8</v>
      </c>
      <c r="FW186" s="27" t="s">
        <v>8</v>
      </c>
      <c r="FX186" s="27" t="s">
        <v>7</v>
      </c>
      <c r="FY186" s="27" t="s">
        <v>8</v>
      </c>
      <c r="GJ186" s="27" t="s">
        <v>7</v>
      </c>
      <c r="GL186" s="27" t="s">
        <v>7</v>
      </c>
      <c r="GM186" s="27" t="s">
        <v>8</v>
      </c>
      <c r="GN186" s="27" t="s">
        <v>7</v>
      </c>
      <c r="GO186" s="27" t="s">
        <v>8</v>
      </c>
      <c r="GP186" s="27" t="s">
        <v>7</v>
      </c>
      <c r="HG186" s="27" t="s">
        <v>8</v>
      </c>
      <c r="HH186" s="27" t="s">
        <v>7</v>
      </c>
      <c r="HJ186" s="27" t="s">
        <v>7</v>
      </c>
      <c r="HL186" s="27" t="s">
        <v>7</v>
      </c>
      <c r="HN186" s="27" t="s">
        <v>7</v>
      </c>
      <c r="HO186" s="27" t="s">
        <v>8</v>
      </c>
      <c r="HP186" s="27" t="s">
        <v>7</v>
      </c>
      <c r="HX186" s="27" t="s">
        <v>7</v>
      </c>
      <c r="II186" s="27" t="s">
        <v>8</v>
      </c>
    </row>
    <row r="187" spans="1:246" x14ac:dyDescent="0.25">
      <c r="A187" s="7">
        <v>2754.6644528535958</v>
      </c>
      <c r="B187"/>
      <c r="C187"/>
      <c r="D187"/>
      <c r="E187"/>
      <c r="CO187" s="27" t="s">
        <v>8</v>
      </c>
      <c r="CP187" s="27" t="s">
        <v>7</v>
      </c>
      <c r="CS187" s="27" t="s">
        <v>8</v>
      </c>
      <c r="CT187" s="27" t="s">
        <v>7</v>
      </c>
      <c r="DU187" s="27" t="s">
        <v>8</v>
      </c>
      <c r="DW187" s="27" t="s">
        <v>8</v>
      </c>
      <c r="DZ187" s="27" t="s">
        <v>7</v>
      </c>
      <c r="EA187" s="27" t="s">
        <v>8</v>
      </c>
      <c r="ET187" s="27" t="s">
        <v>7</v>
      </c>
      <c r="EU187" s="27" t="s">
        <v>8</v>
      </c>
      <c r="EV187" s="27" t="s">
        <v>7</v>
      </c>
      <c r="EW187" s="27" t="s">
        <v>8</v>
      </c>
      <c r="FF187" s="27" t="s">
        <v>7</v>
      </c>
      <c r="FI187" s="27" t="s">
        <v>8</v>
      </c>
      <c r="FJ187" s="27" t="s">
        <v>7</v>
      </c>
      <c r="FK187" s="27" t="s">
        <v>8</v>
      </c>
      <c r="FL187" s="27" t="s">
        <v>7</v>
      </c>
      <c r="FM187" s="27" t="s">
        <v>8</v>
      </c>
      <c r="FN187" s="27" t="s">
        <v>7</v>
      </c>
      <c r="FO187" s="27" t="s">
        <v>8</v>
      </c>
      <c r="FP187" s="27" t="s">
        <v>7</v>
      </c>
      <c r="FU187" s="27" t="s">
        <v>8</v>
      </c>
      <c r="FV187" s="27" t="s">
        <v>7</v>
      </c>
      <c r="FW187" s="27" t="s">
        <v>8</v>
      </c>
      <c r="FX187" s="27" t="s">
        <v>7</v>
      </c>
      <c r="GL187" s="27" t="s">
        <v>7</v>
      </c>
      <c r="GN187" s="27" t="s">
        <v>7</v>
      </c>
      <c r="GO187" s="27" t="s">
        <v>8</v>
      </c>
      <c r="GP187" s="27" t="s">
        <v>7</v>
      </c>
      <c r="HG187" s="27" t="s">
        <v>8</v>
      </c>
      <c r="HN187" s="27" t="s">
        <v>7</v>
      </c>
      <c r="HO187" s="27" t="s">
        <v>8</v>
      </c>
      <c r="HX187" s="27" t="s">
        <v>7</v>
      </c>
      <c r="IA187" s="27" t="s">
        <v>8</v>
      </c>
      <c r="II187" s="27" t="s">
        <v>8</v>
      </c>
      <c r="IJ187" s="27" t="s">
        <v>7</v>
      </c>
    </row>
    <row r="188" spans="1:246" x14ac:dyDescent="0.25">
      <c r="A188" s="7">
        <v>2700.6514243662705</v>
      </c>
      <c r="B188"/>
      <c r="C188"/>
      <c r="D188"/>
      <c r="E188"/>
      <c r="CO188" s="27" t="s">
        <v>8</v>
      </c>
      <c r="CP188" s="27" t="s">
        <v>7</v>
      </c>
      <c r="CQ188" s="27" t="s">
        <v>8</v>
      </c>
      <c r="CS188" s="27" t="s">
        <v>8</v>
      </c>
      <c r="CT188" s="27" t="s">
        <v>7</v>
      </c>
      <c r="CU188" s="27" t="s">
        <v>8</v>
      </c>
      <c r="CW188" s="27" t="s">
        <v>8</v>
      </c>
      <c r="DU188" s="27" t="s">
        <v>8</v>
      </c>
      <c r="DV188" s="27" t="s">
        <v>7</v>
      </c>
      <c r="DW188" s="27" t="s">
        <v>8</v>
      </c>
      <c r="DZ188" s="27" t="s">
        <v>7</v>
      </c>
      <c r="ET188" s="27" t="s">
        <v>7</v>
      </c>
      <c r="EU188" s="27" t="s">
        <v>8</v>
      </c>
      <c r="EV188" s="27" t="s">
        <v>7</v>
      </c>
      <c r="EW188" s="27" t="s">
        <v>8</v>
      </c>
      <c r="FF188" s="27" t="s">
        <v>7</v>
      </c>
      <c r="FI188" s="27" t="s">
        <v>8</v>
      </c>
      <c r="FJ188" s="27" t="s">
        <v>7</v>
      </c>
      <c r="FK188" s="27" t="s">
        <v>8</v>
      </c>
      <c r="FL188" s="27" t="s">
        <v>7</v>
      </c>
      <c r="FM188" s="27" t="s">
        <v>8</v>
      </c>
      <c r="FN188" s="27" t="s">
        <v>7</v>
      </c>
      <c r="FO188" s="27" t="s">
        <v>8</v>
      </c>
      <c r="FP188" s="27" t="s">
        <v>7</v>
      </c>
      <c r="FU188" s="27" t="s">
        <v>8</v>
      </c>
      <c r="FV188" s="27" t="s">
        <v>7</v>
      </c>
      <c r="FW188" s="27" t="s">
        <v>8</v>
      </c>
      <c r="GN188" s="27" t="s">
        <v>7</v>
      </c>
      <c r="GO188" s="27" t="s">
        <v>8</v>
      </c>
      <c r="GP188" s="27" t="s">
        <v>7</v>
      </c>
      <c r="GY188" s="27" t="s">
        <v>8</v>
      </c>
      <c r="HC188" s="27" t="s">
        <v>8</v>
      </c>
      <c r="HG188" s="27" t="s">
        <v>8</v>
      </c>
      <c r="HN188" s="27" t="s">
        <v>7</v>
      </c>
      <c r="HX188" s="27" t="s">
        <v>7</v>
      </c>
      <c r="IA188" s="27" t="s">
        <v>8</v>
      </c>
      <c r="IB188" s="27" t="s">
        <v>7</v>
      </c>
      <c r="II188" s="27" t="s">
        <v>8</v>
      </c>
      <c r="IJ188" s="27" t="s">
        <v>7</v>
      </c>
    </row>
    <row r="189" spans="1:246" x14ac:dyDescent="0.25">
      <c r="A189" s="7">
        <v>2647.6974748688926</v>
      </c>
      <c r="B189"/>
      <c r="C189"/>
      <c r="D189"/>
      <c r="E189"/>
      <c r="CO189" s="27" t="s">
        <v>8</v>
      </c>
      <c r="CP189" s="27" t="s">
        <v>7</v>
      </c>
      <c r="CQ189" s="27" t="s">
        <v>8</v>
      </c>
      <c r="CR189" s="27" t="s">
        <v>7</v>
      </c>
      <c r="CS189" s="27" t="s">
        <v>8</v>
      </c>
      <c r="CT189" s="27" t="s">
        <v>7</v>
      </c>
      <c r="CU189" s="27" t="s">
        <v>8</v>
      </c>
      <c r="CV189" s="27" t="s">
        <v>7</v>
      </c>
      <c r="CW189" s="27" t="s">
        <v>8</v>
      </c>
      <c r="CX189" s="27" t="s">
        <v>7</v>
      </c>
      <c r="DU189" s="27" t="s">
        <v>8</v>
      </c>
      <c r="DV189" s="27" t="s">
        <v>7</v>
      </c>
      <c r="DW189" s="27" t="s">
        <v>8</v>
      </c>
      <c r="ET189" s="27" t="s">
        <v>7</v>
      </c>
      <c r="EU189" s="27" t="s">
        <v>8</v>
      </c>
      <c r="EV189" s="27" t="s">
        <v>7</v>
      </c>
      <c r="EW189" s="27" t="s">
        <v>8</v>
      </c>
      <c r="FF189" s="27" t="s">
        <v>7</v>
      </c>
      <c r="FI189" s="27" t="s">
        <v>8</v>
      </c>
      <c r="FJ189" s="27" t="s">
        <v>7</v>
      </c>
      <c r="FK189" s="27" t="s">
        <v>8</v>
      </c>
      <c r="FL189" s="27" t="s">
        <v>7</v>
      </c>
      <c r="FN189" s="27" t="s">
        <v>7</v>
      </c>
      <c r="FO189" s="27" t="s">
        <v>8</v>
      </c>
      <c r="FP189" s="27" t="s">
        <v>7</v>
      </c>
      <c r="FU189" s="27" t="s">
        <v>8</v>
      </c>
      <c r="FV189" s="27" t="s">
        <v>7</v>
      </c>
      <c r="FW189" s="27" t="s">
        <v>8</v>
      </c>
      <c r="GN189" s="27" t="s">
        <v>7</v>
      </c>
      <c r="GP189" s="27" t="s">
        <v>7</v>
      </c>
      <c r="GY189" s="27" t="s">
        <v>8</v>
      </c>
      <c r="GZ189" s="27" t="s">
        <v>7</v>
      </c>
      <c r="HA189" s="27" t="s">
        <v>8</v>
      </c>
      <c r="HC189" s="27" t="s">
        <v>8</v>
      </c>
      <c r="HD189" s="27" t="s">
        <v>7</v>
      </c>
      <c r="HG189" s="27" t="s">
        <v>8</v>
      </c>
      <c r="HX189" s="27" t="s">
        <v>7</v>
      </c>
      <c r="HY189" s="27" t="s">
        <v>8</v>
      </c>
      <c r="IA189" s="27" t="s">
        <v>8</v>
      </c>
      <c r="IB189" s="27" t="s">
        <v>7</v>
      </c>
      <c r="II189" s="27" t="s">
        <v>8</v>
      </c>
      <c r="IJ189" s="27" t="s">
        <v>7</v>
      </c>
    </row>
    <row r="190" spans="1:246" x14ac:dyDescent="0.25">
      <c r="A190" s="7">
        <v>2595.7818381067573</v>
      </c>
      <c r="B190"/>
      <c r="C190"/>
      <c r="D190"/>
      <c r="E190"/>
      <c r="CO190" s="27" t="s">
        <v>8</v>
      </c>
      <c r="CP190" s="27" t="s">
        <v>7</v>
      </c>
      <c r="CQ190" s="27" t="s">
        <v>8</v>
      </c>
      <c r="CR190" s="27" t="s">
        <v>7</v>
      </c>
      <c r="CS190" s="27" t="s">
        <v>8</v>
      </c>
      <c r="CT190" s="27" t="s">
        <v>7</v>
      </c>
      <c r="CU190" s="27" t="s">
        <v>8</v>
      </c>
      <c r="CV190" s="27" t="s">
        <v>7</v>
      </c>
      <c r="CW190" s="27" t="s">
        <v>8</v>
      </c>
      <c r="CX190" s="27" t="s">
        <v>7</v>
      </c>
      <c r="DU190" s="27" t="s">
        <v>8</v>
      </c>
      <c r="DV190" s="27" t="s">
        <v>7</v>
      </c>
      <c r="DW190" s="27" t="s">
        <v>8</v>
      </c>
      <c r="ET190" s="27" t="s">
        <v>7</v>
      </c>
      <c r="EU190" s="27" t="s">
        <v>8</v>
      </c>
      <c r="EV190" s="27" t="s">
        <v>7</v>
      </c>
      <c r="EW190" s="27" t="s">
        <v>8</v>
      </c>
      <c r="FF190" s="27" t="s">
        <v>7</v>
      </c>
      <c r="FI190" s="27" t="s">
        <v>8</v>
      </c>
      <c r="FJ190" s="27" t="s">
        <v>7</v>
      </c>
      <c r="FK190" s="27" t="s">
        <v>8</v>
      </c>
      <c r="FN190" s="27" t="s">
        <v>7</v>
      </c>
      <c r="FP190" s="27" t="s">
        <v>7</v>
      </c>
      <c r="FQ190" s="27" t="s">
        <v>8</v>
      </c>
      <c r="FU190" s="27" t="s">
        <v>8</v>
      </c>
      <c r="FV190" s="27" t="s">
        <v>7</v>
      </c>
      <c r="FW190" s="27" t="s">
        <v>8</v>
      </c>
      <c r="GP190" s="27" t="s">
        <v>7</v>
      </c>
      <c r="GU190" s="27" t="s">
        <v>8</v>
      </c>
      <c r="GY190" s="27" t="s">
        <v>8</v>
      </c>
      <c r="GZ190" s="27" t="s">
        <v>7</v>
      </c>
      <c r="HA190" s="27" t="s">
        <v>8</v>
      </c>
      <c r="HB190" s="27" t="s">
        <v>7</v>
      </c>
      <c r="HC190" s="27" t="s">
        <v>8</v>
      </c>
      <c r="HD190" s="27" t="s">
        <v>7</v>
      </c>
      <c r="HG190" s="27" t="s">
        <v>8</v>
      </c>
      <c r="HX190" s="27" t="s">
        <v>7</v>
      </c>
      <c r="HY190" s="27" t="s">
        <v>8</v>
      </c>
      <c r="HZ190" s="27" t="s">
        <v>7</v>
      </c>
      <c r="IA190" s="27" t="s">
        <v>8</v>
      </c>
      <c r="IB190" s="27" t="s">
        <v>7</v>
      </c>
      <c r="II190" s="27" t="s">
        <v>8</v>
      </c>
      <c r="IJ190" s="27" t="s">
        <v>7</v>
      </c>
      <c r="IK190" s="27" t="s">
        <v>8</v>
      </c>
    </row>
    <row r="191" spans="1:246" x14ac:dyDescent="0.25">
      <c r="A191" s="7">
        <v>2544.884155006625</v>
      </c>
      <c r="B191"/>
      <c r="C191"/>
      <c r="D191"/>
      <c r="E191"/>
      <c r="CO191" s="27" t="s">
        <v>8</v>
      </c>
      <c r="CP191" s="27" t="s">
        <v>7</v>
      </c>
      <c r="CQ191" s="27" t="s">
        <v>8</v>
      </c>
      <c r="CR191" s="27" t="s">
        <v>7</v>
      </c>
      <c r="CS191" s="27" t="s">
        <v>8</v>
      </c>
      <c r="CT191" s="27" t="s">
        <v>7</v>
      </c>
      <c r="CU191" s="27" t="s">
        <v>8</v>
      </c>
      <c r="CV191" s="27" t="s">
        <v>7</v>
      </c>
      <c r="CW191" s="27" t="s">
        <v>8</v>
      </c>
      <c r="CX191" s="27" t="s">
        <v>7</v>
      </c>
      <c r="DO191" s="27" t="s">
        <v>8</v>
      </c>
      <c r="DU191" s="27" t="s">
        <v>8</v>
      </c>
      <c r="DV191" s="27" t="s">
        <v>7</v>
      </c>
      <c r="DW191" s="27" t="s">
        <v>8</v>
      </c>
      <c r="ET191" s="27" t="s">
        <v>7</v>
      </c>
      <c r="EU191" s="27" t="s">
        <v>8</v>
      </c>
      <c r="EV191" s="27" t="s">
        <v>7</v>
      </c>
      <c r="EW191" s="27" t="s">
        <v>8</v>
      </c>
      <c r="FF191" s="27" t="s">
        <v>7</v>
      </c>
      <c r="FI191" s="27" t="s">
        <v>8</v>
      </c>
      <c r="FJ191" s="27" t="s">
        <v>7</v>
      </c>
      <c r="FK191" s="27" t="s">
        <v>8</v>
      </c>
      <c r="FP191" s="27" t="s">
        <v>7</v>
      </c>
      <c r="FQ191" s="27" t="s">
        <v>8</v>
      </c>
      <c r="FR191" s="27" t="s">
        <v>7</v>
      </c>
      <c r="FS191" s="27" t="s">
        <v>8</v>
      </c>
      <c r="FU191" s="27" t="s">
        <v>8</v>
      </c>
      <c r="FV191" s="27" t="s">
        <v>7</v>
      </c>
      <c r="GP191" s="27" t="s">
        <v>7</v>
      </c>
      <c r="GQ191" s="27" t="s">
        <v>8</v>
      </c>
      <c r="GS191" s="27" t="s">
        <v>8</v>
      </c>
      <c r="GU191" s="27" t="s">
        <v>8</v>
      </c>
      <c r="GV191" s="27" t="s">
        <v>7</v>
      </c>
      <c r="GW191" s="27" t="s">
        <v>8</v>
      </c>
      <c r="GY191" s="27" t="s">
        <v>8</v>
      </c>
      <c r="GZ191" s="27" t="s">
        <v>7</v>
      </c>
      <c r="HA191" s="27" t="s">
        <v>8</v>
      </c>
      <c r="HB191" s="27" t="s">
        <v>7</v>
      </c>
      <c r="HC191" s="27" t="s">
        <v>8</v>
      </c>
      <c r="HD191" s="27" t="s">
        <v>7</v>
      </c>
      <c r="HE191" s="27" t="s">
        <v>8</v>
      </c>
      <c r="HG191" s="27" t="s">
        <v>8</v>
      </c>
      <c r="HX191" s="27" t="s">
        <v>7</v>
      </c>
      <c r="HY191" s="27" t="s">
        <v>8</v>
      </c>
      <c r="HZ191" s="27" t="s">
        <v>7</v>
      </c>
      <c r="IA191" s="27" t="s">
        <v>8</v>
      </c>
      <c r="IB191" s="27" t="s">
        <v>7</v>
      </c>
      <c r="II191" s="27" t="s">
        <v>8</v>
      </c>
      <c r="IJ191" s="27" t="s">
        <v>7</v>
      </c>
      <c r="IK191" s="27" t="s">
        <v>8</v>
      </c>
      <c r="IL191" s="27" t="s">
        <v>7</v>
      </c>
    </row>
    <row r="192" spans="1:246" x14ac:dyDescent="0.25">
      <c r="A192" s="7">
        <v>2494.9844656927694</v>
      </c>
      <c r="B192"/>
      <c r="C192"/>
      <c r="D192"/>
      <c r="E192"/>
      <c r="CO192" s="27" t="s">
        <v>8</v>
      </c>
      <c r="CP192" s="27" t="s">
        <v>7</v>
      </c>
      <c r="CQ192" s="27" t="s">
        <v>8</v>
      </c>
      <c r="CR192" s="27" t="s">
        <v>7</v>
      </c>
      <c r="CS192" s="27" t="s">
        <v>8</v>
      </c>
      <c r="CT192" s="27" t="s">
        <v>7</v>
      </c>
      <c r="CU192" s="27" t="s">
        <v>8</v>
      </c>
      <c r="CV192" s="27" t="s">
        <v>7</v>
      </c>
      <c r="CX192" s="27" t="s">
        <v>7</v>
      </c>
      <c r="DO192" s="27" t="s">
        <v>8</v>
      </c>
      <c r="DP192" s="27" t="s">
        <v>7</v>
      </c>
      <c r="DU192" s="27" t="s">
        <v>8</v>
      </c>
      <c r="DV192" s="27" t="s">
        <v>7</v>
      </c>
      <c r="ET192" s="27" t="s">
        <v>7</v>
      </c>
      <c r="EU192" s="27" t="s">
        <v>8</v>
      </c>
      <c r="EV192" s="27" t="s">
        <v>7</v>
      </c>
      <c r="EW192" s="27" t="s">
        <v>8</v>
      </c>
      <c r="FF192" s="27" t="s">
        <v>7</v>
      </c>
      <c r="FI192" s="27" t="s">
        <v>8</v>
      </c>
      <c r="FJ192" s="27" t="s">
        <v>7</v>
      </c>
      <c r="FK192" s="27" t="s">
        <v>8</v>
      </c>
      <c r="FP192" s="27" t="s">
        <v>7</v>
      </c>
      <c r="FQ192" s="27" t="s">
        <v>8</v>
      </c>
      <c r="FR192" s="27" t="s">
        <v>7</v>
      </c>
      <c r="FS192" s="27" t="s">
        <v>8</v>
      </c>
      <c r="FT192" s="27" t="s">
        <v>7</v>
      </c>
      <c r="FU192" s="27" t="s">
        <v>8</v>
      </c>
      <c r="GP192" s="27" t="s">
        <v>7</v>
      </c>
      <c r="GQ192" s="27" t="s">
        <v>8</v>
      </c>
      <c r="GR192" s="27" t="s">
        <v>7</v>
      </c>
      <c r="GS192" s="27" t="s">
        <v>8</v>
      </c>
      <c r="GT192" s="27" t="s">
        <v>7</v>
      </c>
      <c r="GU192" s="27" t="s">
        <v>8</v>
      </c>
      <c r="GV192" s="27" t="s">
        <v>7</v>
      </c>
      <c r="GW192" s="27" t="s">
        <v>8</v>
      </c>
      <c r="GX192" s="27" t="s">
        <v>7</v>
      </c>
      <c r="GY192" s="27" t="s">
        <v>8</v>
      </c>
      <c r="GZ192" s="27" t="s">
        <v>7</v>
      </c>
      <c r="HA192" s="27" t="s">
        <v>8</v>
      </c>
      <c r="HB192" s="27" t="s">
        <v>7</v>
      </c>
      <c r="HC192" s="27" t="s">
        <v>8</v>
      </c>
      <c r="HD192" s="27" t="s">
        <v>7</v>
      </c>
      <c r="HE192" s="27" t="s">
        <v>8</v>
      </c>
      <c r="HF192" s="27" t="s">
        <v>7</v>
      </c>
      <c r="HG192" s="27" t="s">
        <v>8</v>
      </c>
      <c r="HX192" s="27" t="s">
        <v>7</v>
      </c>
      <c r="HY192" s="27" t="s">
        <v>8</v>
      </c>
      <c r="HZ192" s="27" t="s">
        <v>7</v>
      </c>
      <c r="IA192" s="27" t="s">
        <v>8</v>
      </c>
      <c r="IB192" s="27" t="s">
        <v>7</v>
      </c>
      <c r="IG192" s="27" t="s">
        <v>8</v>
      </c>
      <c r="II192" s="27" t="s">
        <v>8</v>
      </c>
      <c r="IJ192" s="27" t="s">
        <v>7</v>
      </c>
      <c r="IK192" s="27" t="s">
        <v>8</v>
      </c>
      <c r="IL192" s="27" t="s">
        <v>7</v>
      </c>
    </row>
    <row r="193" spans="1:252" x14ac:dyDescent="0.25">
      <c r="A193" s="7">
        <v>2446.0632016595778</v>
      </c>
      <c r="B193"/>
      <c r="C193"/>
      <c r="D193"/>
      <c r="E193"/>
      <c r="CO193" s="27" t="s">
        <v>8</v>
      </c>
      <c r="CP193" s="27" t="s">
        <v>7</v>
      </c>
      <c r="CQ193" s="27" t="s">
        <v>8</v>
      </c>
      <c r="CR193" s="27" t="s">
        <v>7</v>
      </c>
      <c r="CS193" s="27" t="s">
        <v>8</v>
      </c>
      <c r="CT193" s="27" t="s">
        <v>7</v>
      </c>
      <c r="CU193" s="27" t="s">
        <v>8</v>
      </c>
      <c r="CX193" s="27" t="s">
        <v>7</v>
      </c>
      <c r="DO193" s="27" t="s">
        <v>8</v>
      </c>
      <c r="DP193" s="27" t="s">
        <v>7</v>
      </c>
      <c r="DU193" s="27" t="s">
        <v>8</v>
      </c>
      <c r="ET193" s="27" t="s">
        <v>7</v>
      </c>
      <c r="EV193" s="27" t="s">
        <v>7</v>
      </c>
      <c r="EW193" s="27" t="s">
        <v>8</v>
      </c>
      <c r="FF193" s="27" t="s">
        <v>7</v>
      </c>
      <c r="FG193" s="27" t="s">
        <v>8</v>
      </c>
      <c r="FI193" s="27" t="s">
        <v>8</v>
      </c>
      <c r="FJ193" s="27" t="s">
        <v>7</v>
      </c>
      <c r="FP193" s="27" t="s">
        <v>7</v>
      </c>
      <c r="FR193" s="27" t="s">
        <v>7</v>
      </c>
      <c r="FS193" s="27" t="s">
        <v>8</v>
      </c>
      <c r="FT193" s="27" t="s">
        <v>7</v>
      </c>
      <c r="FU193" s="27" t="s">
        <v>8</v>
      </c>
      <c r="GP193" s="27" t="s">
        <v>7</v>
      </c>
      <c r="GQ193" s="27" t="s">
        <v>8</v>
      </c>
      <c r="GR193" s="27" t="s">
        <v>7</v>
      </c>
      <c r="GS193" s="27" t="s">
        <v>8</v>
      </c>
      <c r="GT193" s="27" t="s">
        <v>7</v>
      </c>
      <c r="GU193" s="27" t="s">
        <v>8</v>
      </c>
      <c r="GV193" s="27" t="s">
        <v>7</v>
      </c>
      <c r="GW193" s="27" t="s">
        <v>8</v>
      </c>
      <c r="GX193" s="27" t="s">
        <v>7</v>
      </c>
      <c r="GY193" s="27" t="s">
        <v>8</v>
      </c>
      <c r="GZ193" s="27" t="s">
        <v>7</v>
      </c>
      <c r="HA193" s="27" t="s">
        <v>8</v>
      </c>
      <c r="HB193" s="27" t="s">
        <v>7</v>
      </c>
      <c r="HD193" s="27" t="s">
        <v>7</v>
      </c>
      <c r="HE193" s="27" t="s">
        <v>8</v>
      </c>
      <c r="HF193" s="27" t="s">
        <v>7</v>
      </c>
      <c r="HG193" s="27" t="s">
        <v>8</v>
      </c>
      <c r="HX193" s="27" t="s">
        <v>7</v>
      </c>
      <c r="HY193" s="27" t="s">
        <v>8</v>
      </c>
      <c r="HZ193" s="27" t="s">
        <v>7</v>
      </c>
      <c r="IA193" s="27" t="s">
        <v>8</v>
      </c>
      <c r="IB193" s="27" t="s">
        <v>7</v>
      </c>
      <c r="IC193" s="27" t="s">
        <v>8</v>
      </c>
      <c r="IG193" s="27" t="s">
        <v>8</v>
      </c>
      <c r="IH193" s="27" t="s">
        <v>7</v>
      </c>
      <c r="II193" s="27" t="s">
        <v>8</v>
      </c>
      <c r="IJ193" s="27" t="s">
        <v>7</v>
      </c>
      <c r="IK193" s="27" t="s">
        <v>8</v>
      </c>
      <c r="IL193" s="27" t="s">
        <v>7</v>
      </c>
    </row>
    <row r="194" spans="1:252" x14ac:dyDescent="0.25">
      <c r="A194" s="7">
        <v>2398.1011780976251</v>
      </c>
      <c r="B194"/>
      <c r="C194"/>
      <c r="D194"/>
      <c r="E194"/>
      <c r="CO194" s="27" t="s">
        <v>8</v>
      </c>
      <c r="CP194" s="27" t="s">
        <v>7</v>
      </c>
      <c r="CQ194" s="27" t="s">
        <v>8</v>
      </c>
      <c r="CR194" s="27" t="s">
        <v>7</v>
      </c>
      <c r="CS194" s="27" t="s">
        <v>8</v>
      </c>
      <c r="CT194" s="27" t="s">
        <v>7</v>
      </c>
      <c r="CU194" s="27" t="s">
        <v>8</v>
      </c>
      <c r="CX194" s="27" t="s">
        <v>7</v>
      </c>
      <c r="CY194" s="27" t="s">
        <v>8</v>
      </c>
      <c r="DO194" s="27" t="s">
        <v>8</v>
      </c>
      <c r="DP194" s="27" t="s">
        <v>7</v>
      </c>
      <c r="DU194" s="27" t="s">
        <v>8</v>
      </c>
      <c r="EV194" s="27" t="s">
        <v>7</v>
      </c>
      <c r="EW194" s="27" t="s">
        <v>8</v>
      </c>
      <c r="FF194" s="27" t="s">
        <v>7</v>
      </c>
      <c r="FG194" s="27" t="s">
        <v>8</v>
      </c>
      <c r="FH194" s="27" t="s">
        <v>7</v>
      </c>
      <c r="FI194" s="27" t="s">
        <v>8</v>
      </c>
      <c r="FR194" s="27" t="s">
        <v>7</v>
      </c>
      <c r="FT194" s="27" t="s">
        <v>7</v>
      </c>
      <c r="FU194" s="27" t="s">
        <v>8</v>
      </c>
      <c r="GP194" s="27" t="s">
        <v>7</v>
      </c>
      <c r="GQ194" s="27" t="s">
        <v>8</v>
      </c>
      <c r="GR194" s="27" t="s">
        <v>7</v>
      </c>
      <c r="GS194" s="27" t="s">
        <v>8</v>
      </c>
      <c r="GT194" s="27" t="s">
        <v>7</v>
      </c>
      <c r="GU194" s="27" t="s">
        <v>8</v>
      </c>
      <c r="GV194" s="27" t="s">
        <v>7</v>
      </c>
      <c r="GX194" s="27" t="s">
        <v>7</v>
      </c>
      <c r="GZ194" s="27" t="s">
        <v>7</v>
      </c>
      <c r="HD194" s="27" t="s">
        <v>7</v>
      </c>
      <c r="HF194" s="27" t="s">
        <v>7</v>
      </c>
      <c r="HG194" s="27" t="s">
        <v>8</v>
      </c>
      <c r="HX194" s="27" t="s">
        <v>7</v>
      </c>
      <c r="HY194" s="27" t="s">
        <v>8</v>
      </c>
      <c r="HZ194" s="27" t="s">
        <v>7</v>
      </c>
      <c r="IB194" s="27" t="s">
        <v>7</v>
      </c>
      <c r="IC194" s="27" t="s">
        <v>8</v>
      </c>
      <c r="ID194" s="27" t="s">
        <v>7</v>
      </c>
      <c r="IE194" s="27" t="s">
        <v>8</v>
      </c>
      <c r="IG194" s="27" t="s">
        <v>8</v>
      </c>
      <c r="IH194" s="27" t="s">
        <v>7</v>
      </c>
      <c r="II194" s="27" t="s">
        <v>8</v>
      </c>
      <c r="IJ194" s="27" t="s">
        <v>7</v>
      </c>
      <c r="IK194" s="27" t="s">
        <v>8</v>
      </c>
      <c r="IL194" s="27" t="s">
        <v>7</v>
      </c>
    </row>
    <row r="195" spans="1:252" x14ac:dyDescent="0.25">
      <c r="A195" s="7">
        <v>2351.0795863702206</v>
      </c>
      <c r="B195"/>
      <c r="C195"/>
      <c r="D195"/>
      <c r="E195"/>
      <c r="CO195" s="27" t="s">
        <v>8</v>
      </c>
      <c r="CP195" s="27" t="s">
        <v>7</v>
      </c>
      <c r="CQ195" s="27" t="s">
        <v>8</v>
      </c>
      <c r="CR195" s="27" t="s">
        <v>7</v>
      </c>
      <c r="CS195" s="27" t="s">
        <v>8</v>
      </c>
      <c r="CT195" s="27" t="s">
        <v>7</v>
      </c>
      <c r="CU195" s="27" t="s">
        <v>8</v>
      </c>
      <c r="CX195" s="27" t="s">
        <v>7</v>
      </c>
      <c r="CY195" s="27" t="s">
        <v>8</v>
      </c>
      <c r="CZ195" s="27" t="s">
        <v>7</v>
      </c>
      <c r="DC195" s="27" t="s">
        <v>8</v>
      </c>
      <c r="DG195" s="27" t="s">
        <v>8</v>
      </c>
      <c r="DO195" s="27" t="s">
        <v>8</v>
      </c>
      <c r="DP195" s="27" t="s">
        <v>7</v>
      </c>
      <c r="DQ195" s="27" t="s">
        <v>8</v>
      </c>
      <c r="DS195" s="27" t="s">
        <v>8</v>
      </c>
      <c r="DU195" s="27" t="s">
        <v>8</v>
      </c>
      <c r="EV195" s="27" t="s">
        <v>7</v>
      </c>
      <c r="EW195" s="27" t="s">
        <v>8</v>
      </c>
      <c r="FF195" s="27" t="s">
        <v>7</v>
      </c>
      <c r="FG195" s="27" t="s">
        <v>8</v>
      </c>
      <c r="FH195" s="27" t="s">
        <v>7</v>
      </c>
      <c r="FI195" s="27" t="s">
        <v>8</v>
      </c>
      <c r="FT195" s="27" t="s">
        <v>7</v>
      </c>
      <c r="FU195" s="27" t="s">
        <v>8</v>
      </c>
      <c r="GP195" s="27" t="s">
        <v>7</v>
      </c>
      <c r="GQ195" s="27" t="s">
        <v>8</v>
      </c>
      <c r="GR195" s="27" t="s">
        <v>7</v>
      </c>
      <c r="GS195" s="27" t="s">
        <v>8</v>
      </c>
      <c r="GT195" s="27" t="s">
        <v>7</v>
      </c>
      <c r="GU195" s="27" t="s">
        <v>8</v>
      </c>
      <c r="HF195" s="27" t="s">
        <v>7</v>
      </c>
      <c r="HG195" s="27" t="s">
        <v>8</v>
      </c>
      <c r="HX195" s="27" t="s">
        <v>7</v>
      </c>
      <c r="HY195" s="27" t="s">
        <v>8</v>
      </c>
      <c r="IB195" s="27" t="s">
        <v>7</v>
      </c>
      <c r="IC195" s="27" t="s">
        <v>8</v>
      </c>
      <c r="ID195" s="27" t="s">
        <v>7</v>
      </c>
      <c r="IE195" s="27" t="s">
        <v>8</v>
      </c>
      <c r="IF195" s="27" t="s">
        <v>7</v>
      </c>
      <c r="IG195" s="27" t="s">
        <v>8</v>
      </c>
      <c r="IH195" s="27" t="s">
        <v>7</v>
      </c>
      <c r="II195" s="27" t="s">
        <v>8</v>
      </c>
      <c r="IJ195" s="27" t="s">
        <v>7</v>
      </c>
      <c r="IK195" s="27" t="s">
        <v>8</v>
      </c>
      <c r="IL195" s="27" t="s">
        <v>7</v>
      </c>
    </row>
    <row r="196" spans="1:252" x14ac:dyDescent="0.25">
      <c r="A196" s="7">
        <v>2304.979986637471</v>
      </c>
      <c r="B196"/>
      <c r="C196"/>
      <c r="D196"/>
      <c r="E196"/>
      <c r="CO196" s="27" t="s">
        <v>8</v>
      </c>
      <c r="CP196" s="27" t="s">
        <v>7</v>
      </c>
      <c r="CQ196" s="27" t="s">
        <v>8</v>
      </c>
      <c r="CR196" s="27" t="s">
        <v>7</v>
      </c>
      <c r="CS196" s="27" t="s">
        <v>8</v>
      </c>
      <c r="CT196" s="27" t="s">
        <v>7</v>
      </c>
      <c r="CU196" s="27" t="s">
        <v>8</v>
      </c>
      <c r="CX196" s="27" t="s">
        <v>7</v>
      </c>
      <c r="CY196" s="27" t="s">
        <v>8</v>
      </c>
      <c r="CZ196" s="27" t="s">
        <v>7</v>
      </c>
      <c r="DC196" s="27" t="s">
        <v>8</v>
      </c>
      <c r="DD196" s="27" t="s">
        <v>7</v>
      </c>
      <c r="DE196" s="27" t="s">
        <v>8</v>
      </c>
      <c r="DG196" s="27" t="s">
        <v>8</v>
      </c>
      <c r="DH196" s="27" t="s">
        <v>7</v>
      </c>
      <c r="DO196" s="27" t="s">
        <v>8</v>
      </c>
      <c r="DP196" s="27" t="s">
        <v>7</v>
      </c>
      <c r="DQ196" s="27" t="s">
        <v>8</v>
      </c>
      <c r="DR196" s="27" t="s">
        <v>7</v>
      </c>
      <c r="DS196" s="27" t="s">
        <v>8</v>
      </c>
      <c r="DT196" s="27" t="s">
        <v>7</v>
      </c>
      <c r="DU196" s="27" t="s">
        <v>8</v>
      </c>
      <c r="EV196" s="27" t="s">
        <v>7</v>
      </c>
      <c r="EW196" s="27" t="s">
        <v>8</v>
      </c>
      <c r="FF196" s="27" t="s">
        <v>7</v>
      </c>
      <c r="FG196" s="27" t="s">
        <v>8</v>
      </c>
      <c r="FH196" s="27" t="s">
        <v>7</v>
      </c>
      <c r="FI196" s="27" t="s">
        <v>8</v>
      </c>
      <c r="FT196" s="18" t="s">
        <v>7</v>
      </c>
      <c r="FU196" s="27" t="s">
        <v>8</v>
      </c>
      <c r="GP196" s="27" t="s">
        <v>7</v>
      </c>
      <c r="GQ196" s="27" t="s">
        <v>8</v>
      </c>
      <c r="GR196" s="27" t="s">
        <v>7</v>
      </c>
      <c r="GS196" s="27" t="s">
        <v>8</v>
      </c>
      <c r="GT196" s="27" t="s">
        <v>7</v>
      </c>
      <c r="GU196" s="27" t="s">
        <v>8</v>
      </c>
      <c r="HF196" s="27" t="s">
        <v>7</v>
      </c>
      <c r="HG196" s="27" t="s">
        <v>8</v>
      </c>
      <c r="HX196" s="27" t="s">
        <v>7</v>
      </c>
      <c r="HY196" s="27" t="s">
        <v>8</v>
      </c>
      <c r="IB196" s="27" t="s">
        <v>7</v>
      </c>
      <c r="ID196" s="27" t="s">
        <v>7</v>
      </c>
      <c r="IE196" s="27" t="s">
        <v>8</v>
      </c>
      <c r="IF196" s="27" t="s">
        <v>7</v>
      </c>
      <c r="IG196" s="27" t="s">
        <v>8</v>
      </c>
      <c r="IH196" s="27" t="s">
        <v>7</v>
      </c>
      <c r="II196" s="27" t="s">
        <v>8</v>
      </c>
      <c r="IJ196" s="27" t="s">
        <v>7</v>
      </c>
      <c r="IL196" s="27" t="s">
        <v>7</v>
      </c>
    </row>
    <row r="197" spans="1:252" x14ac:dyDescent="0.25">
      <c r="A197" s="7">
        <v>2259.7843006249714</v>
      </c>
      <c r="B197"/>
      <c r="C197"/>
      <c r="D197"/>
      <c r="E197"/>
      <c r="CO197" s="27" t="s">
        <v>8</v>
      </c>
      <c r="CP197" s="27" t="s">
        <v>7</v>
      </c>
      <c r="CR197" s="27" t="s">
        <v>7</v>
      </c>
      <c r="CS197" s="27" t="s">
        <v>8</v>
      </c>
      <c r="CT197" s="27" t="s">
        <v>7</v>
      </c>
      <c r="CU197" s="27" t="s">
        <v>8</v>
      </c>
      <c r="CX197" s="27" t="s">
        <v>7</v>
      </c>
      <c r="CY197" s="27" t="s">
        <v>8</v>
      </c>
      <c r="CZ197" s="27" t="s">
        <v>7</v>
      </c>
      <c r="DC197" s="27" t="s">
        <v>8</v>
      </c>
      <c r="DD197" s="27" t="s">
        <v>7</v>
      </c>
      <c r="DE197" s="27" t="s">
        <v>8</v>
      </c>
      <c r="DF197" s="27" t="s">
        <v>7</v>
      </c>
      <c r="DG197" s="27" t="s">
        <v>8</v>
      </c>
      <c r="DH197" s="27" t="s">
        <v>7</v>
      </c>
      <c r="DI197" s="27" t="s">
        <v>8</v>
      </c>
      <c r="DK197" s="27" t="s">
        <v>8</v>
      </c>
      <c r="DO197" s="27" t="s">
        <v>8</v>
      </c>
      <c r="DP197" s="27" t="s">
        <v>7</v>
      </c>
      <c r="DQ197" s="27" t="s">
        <v>8</v>
      </c>
      <c r="DR197" s="27" t="s">
        <v>7</v>
      </c>
      <c r="DS197" s="27" t="s">
        <v>8</v>
      </c>
      <c r="DT197" s="27" t="s">
        <v>7</v>
      </c>
      <c r="DU197" s="27" t="s">
        <v>8</v>
      </c>
      <c r="EV197" s="27" t="s">
        <v>7</v>
      </c>
      <c r="EW197" s="27" t="s">
        <v>8</v>
      </c>
      <c r="FF197" s="27" t="s">
        <v>7</v>
      </c>
      <c r="FG197" s="27" t="s">
        <v>8</v>
      </c>
      <c r="FH197" s="27" t="s">
        <v>7</v>
      </c>
      <c r="FI197" s="27" t="s">
        <v>8</v>
      </c>
      <c r="FT197" s="27" t="s">
        <v>7</v>
      </c>
      <c r="FU197" s="27" t="s">
        <v>8</v>
      </c>
      <c r="GP197" s="27" t="s">
        <v>7</v>
      </c>
      <c r="GR197" s="27" t="s">
        <v>7</v>
      </c>
      <c r="GS197" s="27" t="s">
        <v>8</v>
      </c>
      <c r="GT197" s="27" t="s">
        <v>7</v>
      </c>
      <c r="GU197" s="27" t="s">
        <v>8</v>
      </c>
      <c r="HF197" s="27" t="s">
        <v>7</v>
      </c>
      <c r="HG197" s="27" t="s">
        <v>8</v>
      </c>
      <c r="HX197" s="27" t="s">
        <v>7</v>
      </c>
      <c r="ID197" s="27" t="s">
        <v>7</v>
      </c>
      <c r="IE197" s="27" t="s">
        <v>8</v>
      </c>
      <c r="IF197" s="27" t="s">
        <v>7</v>
      </c>
      <c r="IG197" s="27" t="s">
        <v>8</v>
      </c>
      <c r="IH197" s="27" t="s">
        <v>7</v>
      </c>
      <c r="IL197" s="27" t="s">
        <v>7</v>
      </c>
      <c r="IO197" s="27" t="s">
        <v>8</v>
      </c>
    </row>
    <row r="198" spans="1:252" x14ac:dyDescent="0.25">
      <c r="A198" s="7">
        <v>2215.4748045342858</v>
      </c>
      <c r="B198"/>
      <c r="C198"/>
      <c r="D198"/>
      <c r="E198"/>
      <c r="CO198" s="27" t="s">
        <v>8</v>
      </c>
      <c r="CR198" s="27" t="s">
        <v>7</v>
      </c>
      <c r="CS198" s="27" t="s">
        <v>8</v>
      </c>
      <c r="CT198" s="27" t="s">
        <v>7</v>
      </c>
      <c r="CX198" s="27" t="s">
        <v>7</v>
      </c>
      <c r="CY198" s="27" t="s">
        <v>8</v>
      </c>
      <c r="CZ198" s="27" t="s">
        <v>7</v>
      </c>
      <c r="DC198" s="27" t="s">
        <v>8</v>
      </c>
      <c r="DD198" s="27" t="s">
        <v>7</v>
      </c>
      <c r="DE198" s="27" t="s">
        <v>8</v>
      </c>
      <c r="DF198" s="27" t="s">
        <v>7</v>
      </c>
      <c r="DG198" s="27" t="s">
        <v>8</v>
      </c>
      <c r="DH198" s="27" t="s">
        <v>7</v>
      </c>
      <c r="DI198" s="27" t="s">
        <v>8</v>
      </c>
      <c r="DJ198" s="27" t="s">
        <v>7</v>
      </c>
      <c r="DK198" s="27" t="s">
        <v>8</v>
      </c>
      <c r="DL198" s="27" t="s">
        <v>7</v>
      </c>
      <c r="DM198" s="27" t="s">
        <v>8</v>
      </c>
      <c r="DO198" s="27" t="s">
        <v>8</v>
      </c>
      <c r="DP198" s="27" t="s">
        <v>7</v>
      </c>
      <c r="DR198" s="27" t="s">
        <v>7</v>
      </c>
      <c r="DS198" s="27" t="s">
        <v>8</v>
      </c>
      <c r="DT198" s="27" t="s">
        <v>7</v>
      </c>
      <c r="EV198" s="27" t="s">
        <v>7</v>
      </c>
      <c r="EW198" s="27" t="s">
        <v>8</v>
      </c>
      <c r="FF198" s="27" t="s">
        <v>7</v>
      </c>
      <c r="FG198" s="27" t="s">
        <v>8</v>
      </c>
      <c r="FH198" s="27" t="s">
        <v>7</v>
      </c>
      <c r="FI198" s="27" t="s">
        <v>8</v>
      </c>
      <c r="FT198" s="27" t="s">
        <v>7</v>
      </c>
      <c r="FU198" s="27" t="s">
        <v>8</v>
      </c>
      <c r="GR198" s="27" t="s">
        <v>7</v>
      </c>
      <c r="GS198" s="27" t="s">
        <v>8</v>
      </c>
      <c r="GT198" s="27" t="s">
        <v>7</v>
      </c>
      <c r="HF198" s="27" t="s">
        <v>7</v>
      </c>
      <c r="ID198" s="27" t="s">
        <v>7</v>
      </c>
      <c r="IE198" s="27" t="s">
        <v>8</v>
      </c>
      <c r="IF198" s="27" t="s">
        <v>7</v>
      </c>
      <c r="IL198" s="27" t="s">
        <v>7</v>
      </c>
      <c r="IO198" s="27" t="s">
        <v>8</v>
      </c>
      <c r="IP198" s="27" t="s">
        <v>7</v>
      </c>
    </row>
    <row r="199" spans="1:252" x14ac:dyDescent="0.25">
      <c r="A199" s="7">
        <v>2172.034122092437</v>
      </c>
      <c r="B199"/>
      <c r="C199"/>
      <c r="D199"/>
      <c r="E199"/>
      <c r="CO199" s="27" t="s">
        <v>8</v>
      </c>
      <c r="CR199" s="27" t="s">
        <v>7</v>
      </c>
      <c r="CS199" s="27" t="s">
        <v>8</v>
      </c>
      <c r="CX199" s="27" t="s">
        <v>7</v>
      </c>
      <c r="CY199" s="27" t="s">
        <v>8</v>
      </c>
      <c r="CZ199" s="27" t="s">
        <v>7</v>
      </c>
      <c r="DC199" s="27" t="s">
        <v>8</v>
      </c>
      <c r="DD199" s="27" t="s">
        <v>7</v>
      </c>
      <c r="DE199" s="27" t="s">
        <v>8</v>
      </c>
      <c r="DF199" s="27" t="s">
        <v>7</v>
      </c>
      <c r="DG199" s="27" t="s">
        <v>8</v>
      </c>
      <c r="DH199" s="27" t="s">
        <v>7</v>
      </c>
      <c r="DI199" s="27" t="s">
        <v>8</v>
      </c>
      <c r="DJ199" s="27" t="s">
        <v>7</v>
      </c>
      <c r="DK199" s="27" t="s">
        <v>8</v>
      </c>
      <c r="DL199" s="27" t="s">
        <v>7</v>
      </c>
      <c r="DM199" s="27" t="s">
        <v>8</v>
      </c>
      <c r="DN199" s="27" t="s">
        <v>7</v>
      </c>
      <c r="DO199" s="27" t="s">
        <v>8</v>
      </c>
      <c r="DR199" s="27" t="s">
        <v>7</v>
      </c>
      <c r="DS199" s="27" t="s">
        <v>8</v>
      </c>
      <c r="EV199" s="27" t="s">
        <v>7</v>
      </c>
      <c r="EW199" s="27" t="s">
        <v>8</v>
      </c>
      <c r="FF199" s="27" t="s">
        <v>7</v>
      </c>
      <c r="FG199" s="27" t="s">
        <v>8</v>
      </c>
      <c r="FH199" s="27" t="s">
        <v>7</v>
      </c>
      <c r="FI199" s="27" t="s">
        <v>8</v>
      </c>
      <c r="FT199" s="27" t="s">
        <v>7</v>
      </c>
      <c r="FU199" s="27" t="s">
        <v>8</v>
      </c>
      <c r="GR199" s="27" t="s">
        <v>7</v>
      </c>
      <c r="ID199" s="27" t="s">
        <v>7</v>
      </c>
      <c r="IL199" s="27" t="s">
        <v>7</v>
      </c>
      <c r="IO199" s="27" t="s">
        <v>8</v>
      </c>
      <c r="IP199" s="27" t="s">
        <v>7</v>
      </c>
    </row>
    <row r="200" spans="1:252" x14ac:dyDescent="0.25">
      <c r="A200" s="7">
        <v>2129.4452177376834</v>
      </c>
      <c r="B200"/>
      <c r="C200"/>
      <c r="D200"/>
      <c r="E200"/>
      <c r="CO200" s="27" t="s">
        <v>8</v>
      </c>
      <c r="CR200" s="27" t="s">
        <v>7</v>
      </c>
      <c r="CX200" s="27" t="s">
        <v>7</v>
      </c>
      <c r="CY200" s="27" t="s">
        <v>8</v>
      </c>
      <c r="CZ200" s="27" t="s">
        <v>7</v>
      </c>
      <c r="DC200" s="27" t="s">
        <v>8</v>
      </c>
      <c r="DD200" s="27" t="s">
        <v>7</v>
      </c>
      <c r="DE200" s="27" t="s">
        <v>8</v>
      </c>
      <c r="DF200" s="27" t="s">
        <v>7</v>
      </c>
      <c r="DG200" s="27" t="s">
        <v>8</v>
      </c>
      <c r="DH200" s="27" t="s">
        <v>7</v>
      </c>
      <c r="DJ200" s="27" t="s">
        <v>7</v>
      </c>
      <c r="DK200" s="27" t="s">
        <v>8</v>
      </c>
      <c r="DL200" s="27" t="s">
        <v>7</v>
      </c>
      <c r="DM200" s="27" t="s">
        <v>8</v>
      </c>
      <c r="DN200" s="27" t="s">
        <v>7</v>
      </c>
      <c r="DO200" s="27" t="s">
        <v>8</v>
      </c>
      <c r="DR200" s="27" t="s">
        <v>7</v>
      </c>
      <c r="DS200" s="27" t="s">
        <v>8</v>
      </c>
      <c r="EV200" s="27" t="s">
        <v>7</v>
      </c>
      <c r="EW200" s="27" t="s">
        <v>8</v>
      </c>
      <c r="FF200" s="27" t="s">
        <v>7</v>
      </c>
      <c r="FG200" s="27" t="s">
        <v>8</v>
      </c>
      <c r="FH200" s="27" t="s">
        <v>7</v>
      </c>
      <c r="FI200" s="27" t="s">
        <v>8</v>
      </c>
      <c r="FT200" s="27" t="s">
        <v>7</v>
      </c>
      <c r="IL200" s="27" t="s">
        <v>7</v>
      </c>
      <c r="IM200" s="27" t="s">
        <v>8</v>
      </c>
      <c r="IO200" s="27" t="s">
        <v>8</v>
      </c>
      <c r="IP200" s="27" t="s">
        <v>7</v>
      </c>
    </row>
    <row r="201" spans="1:252" x14ac:dyDescent="0.25">
      <c r="A201" s="7">
        <v>2087.6913899389051</v>
      </c>
      <c r="B201"/>
      <c r="C201"/>
      <c r="D201"/>
      <c r="E201"/>
      <c r="CO201" s="27" t="s">
        <v>8</v>
      </c>
      <c r="CX201" s="27" t="s">
        <v>7</v>
      </c>
      <c r="CY201" s="27" t="s">
        <v>8</v>
      </c>
      <c r="CZ201" s="27" t="s">
        <v>7</v>
      </c>
      <c r="DA201" s="27" t="s">
        <v>8</v>
      </c>
      <c r="DC201" s="27" t="s">
        <v>8</v>
      </c>
      <c r="DD201" s="27" t="s">
        <v>7</v>
      </c>
      <c r="DE201" s="27" t="s">
        <v>8</v>
      </c>
      <c r="DF201" s="27" t="s">
        <v>7</v>
      </c>
      <c r="DJ201" s="27" t="s">
        <v>7</v>
      </c>
      <c r="DK201" s="27" t="s">
        <v>8</v>
      </c>
      <c r="DL201" s="27" t="s">
        <v>7</v>
      </c>
      <c r="DM201" s="27" t="s">
        <v>8</v>
      </c>
      <c r="DN201" s="27" t="s">
        <v>7</v>
      </c>
      <c r="DO201" s="27" t="s">
        <v>8</v>
      </c>
      <c r="DR201" s="27" t="s">
        <v>7</v>
      </c>
      <c r="DS201" s="27" t="s">
        <v>8</v>
      </c>
      <c r="EV201" s="27" t="s">
        <v>7</v>
      </c>
      <c r="EW201" s="27" t="s">
        <v>8</v>
      </c>
      <c r="FF201" s="27" t="s">
        <v>7</v>
      </c>
      <c r="FG201" s="27" t="s">
        <v>8</v>
      </c>
      <c r="FH201" s="27" t="s">
        <v>7</v>
      </c>
      <c r="FI201" s="27" t="s">
        <v>8</v>
      </c>
      <c r="IL201" s="27" t="s">
        <v>7</v>
      </c>
      <c r="IM201" s="27" t="s">
        <v>8</v>
      </c>
      <c r="IN201" s="27" t="s">
        <v>7</v>
      </c>
      <c r="IO201" s="27" t="s">
        <v>8</v>
      </c>
      <c r="IP201" s="27" t="s">
        <v>7</v>
      </c>
    </row>
    <row r="202" spans="1:252" x14ac:dyDescent="0.25">
      <c r="A202" s="7">
        <v>2046.7562646459853</v>
      </c>
      <c r="B202"/>
      <c r="C202"/>
      <c r="D202"/>
      <c r="E202"/>
      <c r="CO202" s="27" t="s">
        <v>8</v>
      </c>
      <c r="CX202" s="27" t="s">
        <v>7</v>
      </c>
      <c r="CY202" s="27" t="s">
        <v>8</v>
      </c>
      <c r="CZ202" s="27" t="s">
        <v>7</v>
      </c>
      <c r="DA202" s="27" t="s">
        <v>8</v>
      </c>
      <c r="DB202" s="27" t="s">
        <v>7</v>
      </c>
      <c r="DC202" s="27" t="s">
        <v>8</v>
      </c>
      <c r="DD202" s="27" t="s">
        <v>7</v>
      </c>
      <c r="DJ202" s="27" t="s">
        <v>7</v>
      </c>
      <c r="DK202" s="27" t="s">
        <v>8</v>
      </c>
      <c r="DL202" s="27" t="s">
        <v>7</v>
      </c>
      <c r="DM202" s="27" t="s">
        <v>8</v>
      </c>
      <c r="DN202" s="27" t="s">
        <v>7</v>
      </c>
      <c r="DR202" s="27" t="s">
        <v>7</v>
      </c>
      <c r="EV202" s="27" t="s">
        <v>7</v>
      </c>
      <c r="EW202" s="27" t="s">
        <v>8</v>
      </c>
      <c r="FF202" s="27" t="s">
        <v>7</v>
      </c>
      <c r="FG202" s="27" t="s">
        <v>8</v>
      </c>
      <c r="FH202" s="27" t="s">
        <v>7</v>
      </c>
      <c r="FI202" s="27" t="s">
        <v>8</v>
      </c>
      <c r="IL202" s="27" t="s">
        <v>7</v>
      </c>
      <c r="IM202" s="27" t="s">
        <v>8</v>
      </c>
      <c r="IN202" s="27" t="s">
        <v>7</v>
      </c>
      <c r="IO202" s="27" t="s">
        <v>8</v>
      </c>
      <c r="IP202" s="27" t="s">
        <v>7</v>
      </c>
    </row>
    <row r="203" spans="1:252" x14ac:dyDescent="0.25">
      <c r="A203" s="7">
        <v>2006.623788868613</v>
      </c>
      <c r="B203"/>
      <c r="C203"/>
      <c r="D203"/>
      <c r="E203"/>
      <c r="CO203" s="27" t="s">
        <v>8</v>
      </c>
      <c r="CX203" s="27" t="s">
        <v>7</v>
      </c>
      <c r="CY203" s="27" t="s">
        <v>8</v>
      </c>
      <c r="CZ203" s="27" t="s">
        <v>7</v>
      </c>
      <c r="DA203" s="27" t="s">
        <v>8</v>
      </c>
      <c r="DB203" s="27" t="s">
        <v>7</v>
      </c>
      <c r="DC203" s="27" t="s">
        <v>8</v>
      </c>
      <c r="DJ203" s="27" t="s">
        <v>7</v>
      </c>
      <c r="DK203" s="27" t="s">
        <v>8</v>
      </c>
      <c r="DL203" s="27" t="s">
        <v>7</v>
      </c>
      <c r="DM203" s="27" t="s">
        <v>8</v>
      </c>
      <c r="EV203" s="27" t="s">
        <v>7</v>
      </c>
      <c r="EW203" s="27" t="s">
        <v>8</v>
      </c>
      <c r="FF203" s="27" t="s">
        <v>7</v>
      </c>
      <c r="FG203" s="27" t="s">
        <v>8</v>
      </c>
      <c r="FH203" s="27" t="s">
        <v>7</v>
      </c>
      <c r="FI203" s="27" t="s">
        <v>8</v>
      </c>
      <c r="IL203" s="27" t="s">
        <v>7</v>
      </c>
      <c r="IN203" s="27" t="s">
        <v>7</v>
      </c>
      <c r="IO203" s="27" t="s">
        <v>8</v>
      </c>
      <c r="IP203" s="27" t="s">
        <v>7</v>
      </c>
    </row>
    <row r="204" spans="1:252" x14ac:dyDescent="0.25">
      <c r="A204" s="7">
        <v>1967.2782243809932</v>
      </c>
      <c r="B204"/>
      <c r="C204"/>
      <c r="D204"/>
      <c r="E204"/>
      <c r="BW204" s="27" t="s">
        <v>8</v>
      </c>
      <c r="CO204" s="27" t="s">
        <v>8</v>
      </c>
      <c r="CX204" s="27" t="s">
        <v>7</v>
      </c>
      <c r="CY204" s="27" t="s">
        <v>8</v>
      </c>
      <c r="CZ204" s="27" t="s">
        <v>7</v>
      </c>
      <c r="DA204" s="27" t="s">
        <v>8</v>
      </c>
      <c r="DB204" s="27" t="s">
        <v>7</v>
      </c>
      <c r="DC204" s="27" t="s">
        <v>8</v>
      </c>
      <c r="DJ204" s="27" t="s">
        <v>7</v>
      </c>
      <c r="DK204" s="27" t="s">
        <v>8</v>
      </c>
      <c r="DL204" s="27" t="s">
        <v>7</v>
      </c>
      <c r="DM204" s="27" t="s">
        <v>8</v>
      </c>
      <c r="EV204" s="27" t="s">
        <v>7</v>
      </c>
      <c r="EW204" s="27" t="s">
        <v>8</v>
      </c>
      <c r="FF204" s="27" t="s">
        <v>7</v>
      </c>
      <c r="FG204" s="27" t="s">
        <v>8</v>
      </c>
      <c r="FH204" s="27" t="s">
        <v>7</v>
      </c>
      <c r="FI204" s="27" t="s">
        <v>8</v>
      </c>
      <c r="IN204" s="27" t="s">
        <v>7</v>
      </c>
      <c r="IP204" s="27" t="s">
        <v>7</v>
      </c>
    </row>
    <row r="205" spans="1:252" x14ac:dyDescent="0.25">
      <c r="A205" s="7">
        <v>1928.7041415499932</v>
      </c>
      <c r="B205"/>
      <c r="C205"/>
      <c r="D205"/>
      <c r="E205"/>
      <c r="BW205" s="27" t="s">
        <v>8</v>
      </c>
      <c r="BX205" s="27" t="s">
        <v>7</v>
      </c>
      <c r="CO205" s="27" t="s">
        <v>8</v>
      </c>
      <c r="CX205" s="27" t="s">
        <v>7</v>
      </c>
      <c r="CY205" s="27" t="s">
        <v>8</v>
      </c>
      <c r="CZ205" s="27" t="s">
        <v>7</v>
      </c>
      <c r="DA205" s="27" t="s">
        <v>8</v>
      </c>
      <c r="DB205" s="27" t="s">
        <v>7</v>
      </c>
      <c r="DC205" s="27" t="s">
        <v>8</v>
      </c>
      <c r="DJ205" s="27" t="s">
        <v>7</v>
      </c>
      <c r="DL205" s="27" t="s">
        <v>7</v>
      </c>
      <c r="DM205" s="27" t="s">
        <v>8</v>
      </c>
      <c r="EV205" s="27" t="s">
        <v>7</v>
      </c>
      <c r="EW205" s="27" t="s">
        <v>8</v>
      </c>
      <c r="FF205" s="27" t="s">
        <v>7</v>
      </c>
      <c r="FH205" s="27" t="s">
        <v>7</v>
      </c>
      <c r="IP205" s="27" t="s">
        <v>7</v>
      </c>
      <c r="IQ205" s="27" t="s">
        <v>8</v>
      </c>
    </row>
    <row r="206" spans="1:252" x14ac:dyDescent="0.25">
      <c r="A206" s="7">
        <v>1890.8864132843071</v>
      </c>
      <c r="B206"/>
      <c r="C206"/>
      <c r="D206"/>
      <c r="E206"/>
      <c r="BW206" s="27" t="s">
        <v>8</v>
      </c>
      <c r="BX206" s="27" t="s">
        <v>7</v>
      </c>
      <c r="CO206" s="27" t="s">
        <v>8</v>
      </c>
      <c r="CX206" s="27" t="s">
        <v>7</v>
      </c>
      <c r="CY206" s="27" t="s">
        <v>8</v>
      </c>
      <c r="CZ206" s="27" t="s">
        <v>7</v>
      </c>
      <c r="DB206" s="27" t="s">
        <v>7</v>
      </c>
      <c r="DC206" s="27" t="s">
        <v>8</v>
      </c>
      <c r="DL206" s="27" t="s">
        <v>7</v>
      </c>
      <c r="DM206" s="27" t="s">
        <v>8</v>
      </c>
      <c r="EV206" s="27" t="s">
        <v>7</v>
      </c>
      <c r="EW206" s="27" t="s">
        <v>8</v>
      </c>
      <c r="IP206" s="27" t="s">
        <v>7</v>
      </c>
      <c r="IQ206" s="27" t="s">
        <v>8</v>
      </c>
      <c r="IR206" s="27" t="s">
        <v>7</v>
      </c>
    </row>
    <row r="207" spans="1:252" x14ac:dyDescent="0.25">
      <c r="A207" s="7">
        <v>1853.8102091022618</v>
      </c>
      <c r="B207"/>
      <c r="C207"/>
      <c r="D207"/>
      <c r="E207"/>
      <c r="BW207" s="27" t="s">
        <v>8</v>
      </c>
      <c r="BX207" s="27" t="s">
        <v>7</v>
      </c>
      <c r="CO207" s="27" t="s">
        <v>8</v>
      </c>
      <c r="CX207" s="27" t="s">
        <v>7</v>
      </c>
      <c r="CY207" s="27" t="s">
        <v>8</v>
      </c>
      <c r="DB207" s="27" t="s">
        <v>7</v>
      </c>
      <c r="DC207" s="27" t="s">
        <v>8</v>
      </c>
      <c r="DL207" s="27" t="s">
        <v>7</v>
      </c>
      <c r="DM207" s="27" t="s">
        <v>8</v>
      </c>
      <c r="EV207" s="27" t="s">
        <v>7</v>
      </c>
      <c r="IP207" s="27" t="s">
        <v>7</v>
      </c>
      <c r="IQ207" s="27" t="s">
        <v>8</v>
      </c>
      <c r="IR207" s="27" t="s">
        <v>7</v>
      </c>
    </row>
    <row r="208" spans="1:252" x14ac:dyDescent="0.25">
      <c r="A208" s="7">
        <v>1817.4609893159429</v>
      </c>
      <c r="B208"/>
      <c r="C208"/>
      <c r="D208"/>
      <c r="E208"/>
      <c r="BW208" s="27" t="s">
        <v>8</v>
      </c>
      <c r="BX208" s="27" t="s">
        <v>7</v>
      </c>
      <c r="CM208" s="27" t="s">
        <v>8</v>
      </c>
      <c r="CO208" s="27" t="s">
        <v>8</v>
      </c>
      <c r="CX208" s="27" t="s">
        <v>7</v>
      </c>
      <c r="CY208" s="27" t="s">
        <v>8</v>
      </c>
      <c r="DB208" s="27" t="s">
        <v>7</v>
      </c>
      <c r="DC208" s="27" t="s">
        <v>8</v>
      </c>
      <c r="DL208" s="27" t="s">
        <v>7</v>
      </c>
      <c r="DM208" s="27" t="s">
        <v>8</v>
      </c>
      <c r="IP208" s="27" t="s">
        <v>7</v>
      </c>
      <c r="IQ208" s="27" t="s">
        <v>8</v>
      </c>
      <c r="IR208" s="27" t="s">
        <v>7</v>
      </c>
    </row>
    <row r="209" spans="1:252" x14ac:dyDescent="0.25">
      <c r="A209" s="7">
        <v>1781.8244993293558</v>
      </c>
      <c r="B209"/>
      <c r="C209"/>
      <c r="D209"/>
      <c r="E209"/>
      <c r="BW209" s="27" t="s">
        <v>8</v>
      </c>
      <c r="BX209" s="27" t="s">
        <v>7</v>
      </c>
      <c r="CM209" s="27" t="s">
        <v>8</v>
      </c>
      <c r="CN209" s="27" t="s">
        <v>7</v>
      </c>
      <c r="CO209" s="27" t="s">
        <v>8</v>
      </c>
      <c r="CX209" s="27" t="s">
        <v>7</v>
      </c>
      <c r="DB209" s="27" t="s">
        <v>7</v>
      </c>
      <c r="DL209" s="27" t="s">
        <v>7</v>
      </c>
      <c r="IP209" s="27" t="s">
        <v>7</v>
      </c>
      <c r="IQ209" s="27" t="s">
        <v>8</v>
      </c>
      <c r="IR209" s="27" t="s">
        <v>7</v>
      </c>
    </row>
    <row r="210" spans="1:252" x14ac:dyDescent="0.25">
      <c r="A210" s="7">
        <v>1746.8867640483879</v>
      </c>
      <c r="B210"/>
      <c r="C210"/>
      <c r="D210"/>
      <c r="E210"/>
      <c r="BW210" s="27" t="s">
        <v>8</v>
      </c>
      <c r="BX210" s="27" t="s">
        <v>7</v>
      </c>
      <c r="CM210" s="27" t="s">
        <v>8</v>
      </c>
      <c r="CN210" s="27" t="s">
        <v>7</v>
      </c>
      <c r="CO210" s="27" t="s">
        <v>8</v>
      </c>
      <c r="IP210" s="27" t="s">
        <v>7</v>
      </c>
      <c r="IQ210" s="27" t="s">
        <v>8</v>
      </c>
      <c r="IR210" s="27" t="s">
        <v>7</v>
      </c>
    </row>
    <row r="211" spans="1:252" x14ac:dyDescent="0.25">
      <c r="A211" s="7">
        <v>1712.6340824003803</v>
      </c>
      <c r="B211"/>
      <c r="C211"/>
      <c r="D211"/>
      <c r="E211"/>
      <c r="BW211" s="27" t="s">
        <v>8</v>
      </c>
      <c r="BX211" s="27" t="s">
        <v>7</v>
      </c>
      <c r="CM211" s="27" t="s">
        <v>8</v>
      </c>
      <c r="CN211" s="27" t="s">
        <v>7</v>
      </c>
      <c r="CO211" s="27" t="s">
        <v>8</v>
      </c>
      <c r="IP211" s="27" t="s">
        <v>7</v>
      </c>
      <c r="IQ211" s="27" t="s">
        <v>8</v>
      </c>
      <c r="IR211" s="27" t="s">
        <v>7</v>
      </c>
    </row>
    <row r="212" spans="1:252" x14ac:dyDescent="0.25">
      <c r="A212" s="7">
        <v>1679.0530219611571</v>
      </c>
      <c r="B212"/>
      <c r="C212"/>
      <c r="D212"/>
      <c r="E212"/>
      <c r="BW212" s="27" t="s">
        <v>8</v>
      </c>
      <c r="BX212" s="27" t="s">
        <v>7</v>
      </c>
      <c r="CA212" s="27" t="s">
        <v>8</v>
      </c>
      <c r="CM212" s="27" t="s">
        <v>8</v>
      </c>
      <c r="CN212" s="27" t="s">
        <v>7</v>
      </c>
      <c r="CO212" s="27" t="s">
        <v>8</v>
      </c>
      <c r="IP212" s="27" t="s">
        <v>7</v>
      </c>
      <c r="IQ212" s="27" t="s">
        <v>8</v>
      </c>
      <c r="IR212" s="27" t="s">
        <v>7</v>
      </c>
    </row>
    <row r="213" spans="1:252" x14ac:dyDescent="0.25">
      <c r="A213" s="7">
        <v>1646.1304136874089</v>
      </c>
      <c r="B213"/>
      <c r="C213"/>
      <c r="D213"/>
      <c r="E213"/>
      <c r="BW213" s="27" t="s">
        <v>8</v>
      </c>
      <c r="BX213" s="27" t="s">
        <v>7</v>
      </c>
      <c r="CA213" s="27" t="s">
        <v>8</v>
      </c>
      <c r="CB213" s="27" t="s">
        <v>7</v>
      </c>
      <c r="CM213" s="27" t="s">
        <v>8</v>
      </c>
      <c r="CN213" s="27" t="s">
        <v>7</v>
      </c>
      <c r="IP213" s="27" t="s">
        <v>7</v>
      </c>
    </row>
    <row r="214" spans="1:252" x14ac:dyDescent="0.25">
      <c r="A214" s="7">
        <v>1613.8533467523616</v>
      </c>
      <c r="B214"/>
      <c r="C214"/>
      <c r="D214"/>
      <c r="E214"/>
      <c r="BW214" s="27" t="s">
        <v>8</v>
      </c>
      <c r="BX214" s="27" t="s">
        <v>7</v>
      </c>
      <c r="BY214" s="27" t="s">
        <v>8</v>
      </c>
      <c r="CA214" s="27" t="s">
        <v>8</v>
      </c>
      <c r="CB214" s="27" t="s">
        <v>7</v>
      </c>
      <c r="CC214" s="27" t="s">
        <v>8</v>
      </c>
      <c r="CK214" s="27" t="s">
        <v>8</v>
      </c>
      <c r="CM214" s="27" t="s">
        <v>8</v>
      </c>
    </row>
    <row r="215" spans="1:252" x14ac:dyDescent="0.25">
      <c r="A215" s="7">
        <v>1582.2091634827075</v>
      </c>
      <c r="B215"/>
      <c r="C215"/>
      <c r="D215"/>
      <c r="E215"/>
      <c r="BW215" s="27" t="s">
        <v>8</v>
      </c>
      <c r="BX215" s="27" t="s">
        <v>7</v>
      </c>
      <c r="BY215" s="27" t="s">
        <v>8</v>
      </c>
      <c r="BZ215" s="27" t="s">
        <v>7</v>
      </c>
      <c r="CA215" s="27" t="s">
        <v>8</v>
      </c>
      <c r="CB215" s="27" t="s">
        <v>7</v>
      </c>
      <c r="CC215" s="27" t="s">
        <v>8</v>
      </c>
      <c r="CD215" s="27" t="s">
        <v>7</v>
      </c>
      <c r="CK215" s="27" t="s">
        <v>8</v>
      </c>
      <c r="CL215" s="27" t="s">
        <v>7</v>
      </c>
      <c r="CM215" s="27" t="s">
        <v>8</v>
      </c>
    </row>
    <row r="216" spans="1:252" x14ac:dyDescent="0.25">
      <c r="A216" s="7">
        <v>1551.1854543948111</v>
      </c>
      <c r="B216"/>
      <c r="C216"/>
      <c r="D216"/>
      <c r="E216"/>
      <c r="BW216" s="27" t="s">
        <v>8</v>
      </c>
      <c r="BX216" s="27" t="s">
        <v>7</v>
      </c>
      <c r="BY216" s="27" t="s">
        <v>8</v>
      </c>
      <c r="BZ216" s="27" t="s">
        <v>7</v>
      </c>
      <c r="CA216" s="27" t="s">
        <v>8</v>
      </c>
      <c r="CB216" s="27" t="s">
        <v>7</v>
      </c>
      <c r="CC216" s="27" t="s">
        <v>8</v>
      </c>
      <c r="CD216" s="27" t="s">
        <v>7</v>
      </c>
      <c r="CK216" s="27" t="s">
        <v>8</v>
      </c>
      <c r="CL216" s="27" t="s">
        <v>7</v>
      </c>
      <c r="CM216" s="27" t="s">
        <v>8</v>
      </c>
    </row>
    <row r="217" spans="1:252" x14ac:dyDescent="0.25">
      <c r="A217" s="7">
        <v>1520.7700533282461</v>
      </c>
      <c r="B217"/>
      <c r="C217"/>
      <c r="D217"/>
      <c r="E217"/>
      <c r="BW217" s="27" t="s">
        <v>8</v>
      </c>
      <c r="BX217" s="27" t="s">
        <v>7</v>
      </c>
      <c r="BY217" s="27" t="s">
        <v>8</v>
      </c>
      <c r="BZ217" s="27" t="s">
        <v>7</v>
      </c>
      <c r="CA217" s="27" t="s">
        <v>8</v>
      </c>
      <c r="CB217" s="27" t="s">
        <v>7</v>
      </c>
      <c r="CC217" s="27" t="s">
        <v>8</v>
      </c>
      <c r="CD217" s="27" t="s">
        <v>7</v>
      </c>
      <c r="CE217" s="27" t="s">
        <v>8</v>
      </c>
      <c r="CK217" s="27" t="s">
        <v>8</v>
      </c>
      <c r="CL217" s="27" t="s">
        <v>7</v>
      </c>
      <c r="CM217" s="27" t="s">
        <v>8</v>
      </c>
    </row>
    <row r="218" spans="1:252" x14ac:dyDescent="0.25">
      <c r="A218" s="7">
        <v>1490.9510326747511</v>
      </c>
      <c r="B218"/>
      <c r="C218"/>
      <c r="D218"/>
      <c r="E218"/>
      <c r="BW218" s="27" t="s">
        <v>8</v>
      </c>
      <c r="BX218" s="27" t="s">
        <v>7</v>
      </c>
      <c r="BY218" s="27" t="s">
        <v>8</v>
      </c>
      <c r="BZ218" s="27" t="s">
        <v>7</v>
      </c>
      <c r="CA218" s="27" t="s">
        <v>8</v>
      </c>
      <c r="CB218" s="27" t="s">
        <v>7</v>
      </c>
      <c r="CC218" s="27" t="s">
        <v>8</v>
      </c>
      <c r="CD218" s="27" t="s">
        <v>7</v>
      </c>
      <c r="CE218" s="27" t="s">
        <v>8</v>
      </c>
      <c r="CF218" s="27" t="s">
        <v>7</v>
      </c>
      <c r="CG218" s="27" t="s">
        <v>8</v>
      </c>
      <c r="CK218" s="27" t="s">
        <v>8</v>
      </c>
      <c r="CL218" s="27" t="s">
        <v>7</v>
      </c>
      <c r="CM218" s="27" t="s">
        <v>8</v>
      </c>
    </row>
    <row r="219" spans="1:252" x14ac:dyDescent="0.25">
      <c r="A219" s="7">
        <v>1461.7166987007363</v>
      </c>
      <c r="B219"/>
      <c r="C219"/>
      <c r="D219"/>
      <c r="E219"/>
      <c r="BW219" s="27" t="s">
        <v>8</v>
      </c>
      <c r="BX219" s="27" t="s">
        <v>7</v>
      </c>
      <c r="BY219" s="27" t="s">
        <v>8</v>
      </c>
      <c r="BZ219" s="27" t="s">
        <v>7</v>
      </c>
      <c r="CA219" s="27" t="s">
        <v>8</v>
      </c>
      <c r="CB219" s="27" t="s">
        <v>7</v>
      </c>
      <c r="CC219" s="27" t="s">
        <v>8</v>
      </c>
      <c r="CD219" s="27" t="s">
        <v>7</v>
      </c>
      <c r="CE219" s="27" t="s">
        <v>8</v>
      </c>
      <c r="CF219" s="27" t="s">
        <v>7</v>
      </c>
      <c r="CG219" s="27" t="s">
        <v>8</v>
      </c>
      <c r="CH219" s="27" t="s">
        <v>7</v>
      </c>
      <c r="CI219" s="27" t="s">
        <v>8</v>
      </c>
      <c r="CK219" s="27" t="s">
        <v>8</v>
      </c>
      <c r="CL219" s="27" t="s">
        <v>7</v>
      </c>
      <c r="CM219" s="27" t="s">
        <v>8</v>
      </c>
    </row>
    <row r="220" spans="1:252" x14ac:dyDescent="0.25">
      <c r="A220" s="7">
        <v>1433.0555869615062</v>
      </c>
      <c r="B220"/>
      <c r="C220"/>
      <c r="D220"/>
      <c r="E220"/>
      <c r="BW220" s="27" t="s">
        <v>8</v>
      </c>
      <c r="BX220" s="27" t="s">
        <v>7</v>
      </c>
      <c r="BY220" s="27" t="s">
        <v>8</v>
      </c>
      <c r="BZ220" s="27" t="s">
        <v>7</v>
      </c>
      <c r="CA220" s="27" t="s">
        <v>8</v>
      </c>
      <c r="CB220" s="27" t="s">
        <v>7</v>
      </c>
      <c r="CC220" s="27" t="s">
        <v>8</v>
      </c>
      <c r="CD220" s="27" t="s">
        <v>7</v>
      </c>
      <c r="CE220" s="27" t="s">
        <v>8</v>
      </c>
      <c r="CF220" s="27" t="s">
        <v>7</v>
      </c>
      <c r="CG220" s="27" t="s">
        <v>8</v>
      </c>
      <c r="CH220" s="27" t="s">
        <v>7</v>
      </c>
      <c r="CI220" s="27" t="s">
        <v>8</v>
      </c>
      <c r="CJ220" s="27" t="s">
        <v>7</v>
      </c>
      <c r="CK220" s="27" t="s">
        <v>8</v>
      </c>
      <c r="CL220" s="27" t="s">
        <v>7</v>
      </c>
    </row>
    <row r="221" spans="1:252" x14ac:dyDescent="0.25">
      <c r="A221" s="7">
        <v>1404.9564578053983</v>
      </c>
      <c r="B221"/>
      <c r="C221"/>
      <c r="D221"/>
      <c r="E221"/>
      <c r="BW221" s="27" t="s">
        <v>8</v>
      </c>
      <c r="BX221" s="27" t="s">
        <v>7</v>
      </c>
      <c r="BY221" s="27" t="s">
        <v>8</v>
      </c>
      <c r="BZ221" s="27" t="s">
        <v>7</v>
      </c>
      <c r="CB221" s="27" t="s">
        <v>7</v>
      </c>
      <c r="CC221" s="27" t="s">
        <v>8</v>
      </c>
      <c r="CD221" s="27" t="s">
        <v>7</v>
      </c>
      <c r="CE221" s="27" t="s">
        <v>8</v>
      </c>
      <c r="CF221" s="27" t="s">
        <v>7</v>
      </c>
      <c r="CG221" s="27" t="s">
        <v>8</v>
      </c>
      <c r="CH221" s="27" t="s">
        <v>7</v>
      </c>
      <c r="CI221" s="27" t="s">
        <v>8</v>
      </c>
      <c r="CJ221" s="27" t="s">
        <v>7</v>
      </c>
      <c r="CK221" s="27" t="s">
        <v>8</v>
      </c>
    </row>
    <row r="222" spans="1:252" x14ac:dyDescent="0.25">
      <c r="A222" s="7">
        <v>1377.4082919660766</v>
      </c>
      <c r="B222"/>
      <c r="C222"/>
      <c r="D222"/>
      <c r="E222"/>
      <c r="BW222" s="27" t="s">
        <v>8</v>
      </c>
      <c r="BX222" s="27" t="s">
        <v>7</v>
      </c>
      <c r="BY222" s="27" t="s">
        <v>8</v>
      </c>
      <c r="CB222" s="27" t="s">
        <v>7</v>
      </c>
      <c r="CC222" s="27" t="s">
        <v>8</v>
      </c>
      <c r="CD222" s="27" t="s">
        <v>7</v>
      </c>
      <c r="CF222" s="27" t="s">
        <v>7</v>
      </c>
      <c r="CG222" s="27" t="s">
        <v>8</v>
      </c>
      <c r="CH222" s="27" t="s">
        <v>7</v>
      </c>
      <c r="CI222" s="27" t="s">
        <v>8</v>
      </c>
      <c r="CJ222" s="27" t="s">
        <v>7</v>
      </c>
      <c r="CK222" s="27" t="s">
        <v>8</v>
      </c>
    </row>
    <row r="223" spans="1:252" x14ac:dyDescent="0.25">
      <c r="A223" s="7">
        <v>1350.4002862412515</v>
      </c>
      <c r="B223"/>
      <c r="C223"/>
      <c r="D223"/>
      <c r="E223"/>
      <c r="BW223" s="27" t="s">
        <v>8</v>
      </c>
      <c r="BX223" s="27" t="s">
        <v>7</v>
      </c>
      <c r="BY223" s="27" t="s">
        <v>8</v>
      </c>
      <c r="CB223" s="27" t="s">
        <v>7</v>
      </c>
      <c r="CF223" s="27" t="s">
        <v>7</v>
      </c>
      <c r="CG223" s="27" t="s">
        <v>8</v>
      </c>
      <c r="CH223" s="27" t="s">
        <v>7</v>
      </c>
      <c r="CI223" s="27" t="s">
        <v>8</v>
      </c>
      <c r="CJ223" s="27" t="s">
        <v>7</v>
      </c>
      <c r="CK223" s="27" t="s">
        <v>8</v>
      </c>
    </row>
    <row r="224" spans="1:252" x14ac:dyDescent="0.25">
      <c r="A224" s="7">
        <v>1323.9218492561288</v>
      </c>
      <c r="B224"/>
      <c r="C224"/>
      <c r="D224"/>
      <c r="E224"/>
      <c r="BW224" s="27" t="s">
        <v>8</v>
      </c>
      <c r="BX224" s="27" t="s">
        <v>7</v>
      </c>
      <c r="BY224" s="27" t="s">
        <v>8</v>
      </c>
      <c r="CF224" s="27" t="s">
        <v>7</v>
      </c>
      <c r="CG224" s="27" t="s">
        <v>8</v>
      </c>
      <c r="CH224" s="27" t="s">
        <v>7</v>
      </c>
      <c r="CI224" s="27" t="s">
        <v>8</v>
      </c>
      <c r="CJ224" s="27" t="s">
        <v>7</v>
      </c>
    </row>
    <row r="225" spans="1:86" x14ac:dyDescent="0.25">
      <c r="A225" s="7">
        <v>1297.9625973099301</v>
      </c>
      <c r="B225"/>
      <c r="C225"/>
      <c r="D225"/>
      <c r="E225"/>
      <c r="BW225" s="27" t="s">
        <v>8</v>
      </c>
      <c r="BX225" s="27" t="s">
        <v>7</v>
      </c>
      <c r="BY225" s="27" t="s">
        <v>8</v>
      </c>
      <c r="CF225" s="27" t="s">
        <v>7</v>
      </c>
      <c r="CG225" s="27" t="s">
        <v>8</v>
      </c>
      <c r="CH225" s="27" t="s">
        <v>7</v>
      </c>
    </row>
    <row r="226" spans="1:86" x14ac:dyDescent="0.25">
      <c r="A226" s="7">
        <v>1272.5123503038531</v>
      </c>
      <c r="B226"/>
      <c r="C226"/>
      <c r="D226"/>
      <c r="E226"/>
      <c r="BW226" s="27" t="s">
        <v>8</v>
      </c>
      <c r="BX226" s="27" t="s">
        <v>7</v>
      </c>
      <c r="BY226" s="27" t="s">
        <v>8</v>
      </c>
      <c r="CF226" s="27" t="s">
        <v>7</v>
      </c>
      <c r="CG226" s="27" t="s">
        <v>8</v>
      </c>
    </row>
    <row r="227" spans="1:86" x14ac:dyDescent="0.25">
      <c r="A227" s="7">
        <v>1247.5611277488756</v>
      </c>
      <c r="B227"/>
      <c r="C227"/>
      <c r="D227"/>
      <c r="E227"/>
      <c r="BU227" s="27" t="s">
        <v>8</v>
      </c>
      <c r="BW227" s="27" t="s">
        <v>8</v>
      </c>
      <c r="BX227" s="27" t="s">
        <v>7</v>
      </c>
      <c r="BY227" s="27" t="s">
        <v>8</v>
      </c>
      <c r="CF227" s="27" t="s">
        <v>7</v>
      </c>
      <c r="CG227" s="27" t="s">
        <v>8</v>
      </c>
    </row>
    <row r="228" spans="1:86" x14ac:dyDescent="0.25">
      <c r="A228" s="7">
        <v>1223.0991448518389</v>
      </c>
      <c r="B228"/>
      <c r="C228"/>
      <c r="D228"/>
      <c r="E228"/>
      <c r="BU228" s="27" t="s">
        <v>8</v>
      </c>
      <c r="BV228" s="27" t="s">
        <v>7</v>
      </c>
      <c r="BW228" s="27" t="s">
        <v>8</v>
      </c>
      <c r="BX228" s="27" t="s">
        <v>7</v>
      </c>
      <c r="BY228" s="27" t="s">
        <v>8</v>
      </c>
      <c r="CF228" s="27" t="s">
        <v>7</v>
      </c>
      <c r="CG228" s="27" t="s">
        <v>8</v>
      </c>
    </row>
    <row r="229" spans="1:86" x14ac:dyDescent="0.25">
      <c r="A229" s="7">
        <v>1199.1168086782734</v>
      </c>
      <c r="B229"/>
      <c r="C229"/>
      <c r="D229"/>
      <c r="E229"/>
      <c r="BU229" s="27" t="s">
        <v>8</v>
      </c>
      <c r="BV229" s="27" t="s">
        <v>7</v>
      </c>
      <c r="BW229" s="27" t="s">
        <v>8</v>
      </c>
      <c r="BX229" s="27" t="s">
        <v>7</v>
      </c>
      <c r="BY229" s="27" t="s">
        <v>8</v>
      </c>
      <c r="CF229" s="27" t="s">
        <v>7</v>
      </c>
      <c r="CG229" s="27" t="s">
        <v>8</v>
      </c>
    </row>
    <row r="230" spans="1:86" x14ac:dyDescent="0.25">
      <c r="A230" s="7">
        <v>1175.6047143904641</v>
      </c>
      <c r="B230"/>
      <c r="C230"/>
      <c r="D230"/>
      <c r="E230"/>
      <c r="BU230" s="27" t="s">
        <v>8</v>
      </c>
      <c r="BV230" s="27" t="s">
        <v>7</v>
      </c>
      <c r="BW230" s="27" t="s">
        <v>8</v>
      </c>
      <c r="BX230" s="27" t="s">
        <v>7</v>
      </c>
      <c r="BY230" s="27" t="s">
        <v>8</v>
      </c>
      <c r="CF230" s="27" t="s">
        <v>7</v>
      </c>
      <c r="CG230" s="27" t="s">
        <v>8</v>
      </c>
    </row>
    <row r="231" spans="1:86" x14ac:dyDescent="0.25">
      <c r="A231" s="7">
        <v>1152.5536415592785</v>
      </c>
      <c r="B231"/>
      <c r="C231"/>
      <c r="D231"/>
      <c r="E231"/>
      <c r="BU231" s="27" t="s">
        <v>8</v>
      </c>
      <c r="BV231" s="27" t="s">
        <v>7</v>
      </c>
      <c r="BW231" s="27" t="s">
        <v>8</v>
      </c>
      <c r="BX231" s="27" t="s">
        <v>7</v>
      </c>
      <c r="BY231" s="27" t="s">
        <v>8</v>
      </c>
      <c r="CF231" s="27" t="s">
        <v>7</v>
      </c>
      <c r="CG231" s="27" t="s">
        <v>8</v>
      </c>
    </row>
    <row r="232" spans="1:86" x14ac:dyDescent="0.25">
      <c r="A232" s="7">
        <v>1129.9545505483122</v>
      </c>
      <c r="B232"/>
      <c r="C232"/>
      <c r="D232"/>
      <c r="E232"/>
      <c r="BU232" s="27" t="s">
        <v>8</v>
      </c>
      <c r="BV232" s="27" t="s">
        <v>7</v>
      </c>
      <c r="BW232" s="27" t="s">
        <v>8</v>
      </c>
      <c r="BX232" s="27" t="s">
        <v>7</v>
      </c>
      <c r="BY232" s="27" t="s">
        <v>8</v>
      </c>
      <c r="CF232" s="27" t="s">
        <v>7</v>
      </c>
      <c r="CG232" s="27" t="s">
        <v>8</v>
      </c>
    </row>
    <row r="233" spans="1:86" x14ac:dyDescent="0.25">
      <c r="A233" s="7">
        <v>1107.7985789689335</v>
      </c>
      <c r="B233"/>
      <c r="C233"/>
      <c r="D233"/>
      <c r="E233"/>
      <c r="BU233" s="27" t="s">
        <v>8</v>
      </c>
      <c r="BV233" s="27" t="s">
        <v>7</v>
      </c>
      <c r="BW233" s="27" t="s">
        <v>8</v>
      </c>
      <c r="BX233" s="27" t="s">
        <v>7</v>
      </c>
      <c r="BY233" s="27" t="s">
        <v>8</v>
      </c>
      <c r="CF233" s="27" t="s">
        <v>7</v>
      </c>
      <c r="CG233" s="27" t="s">
        <v>8</v>
      </c>
    </row>
    <row r="234" spans="1:86" x14ac:dyDescent="0.25">
      <c r="A234" s="7">
        <v>1086.0770382048368</v>
      </c>
      <c r="B234"/>
      <c r="C234"/>
      <c r="D234"/>
      <c r="E234"/>
      <c r="BU234" s="27" t="s">
        <v>8</v>
      </c>
      <c r="BV234" s="27" t="s">
        <v>7</v>
      </c>
      <c r="BW234" s="27" t="s">
        <v>8</v>
      </c>
      <c r="BX234" s="27" t="s">
        <v>7</v>
      </c>
      <c r="CF234" s="27" t="s">
        <v>7</v>
      </c>
    </row>
    <row r="235" spans="1:86" x14ac:dyDescent="0.25">
      <c r="A235" s="7">
        <v>1064.7814100047419</v>
      </c>
      <c r="B235"/>
      <c r="C235"/>
      <c r="D235"/>
      <c r="E235"/>
      <c r="BU235" s="27" t="s">
        <v>8</v>
      </c>
      <c r="BV235" s="27" t="s">
        <v>7</v>
      </c>
      <c r="BW235" s="27" t="s">
        <v>8</v>
      </c>
    </row>
    <row r="236" spans="1:86" x14ac:dyDescent="0.25">
      <c r="A236" s="7">
        <v>1043.9033431419039</v>
      </c>
      <c r="B236"/>
      <c r="C236"/>
      <c r="D236"/>
      <c r="E236"/>
      <c r="BU236" s="27" t="s">
        <v>8</v>
      </c>
      <c r="BV236" s="27" t="s">
        <v>7</v>
      </c>
      <c r="BW236" s="27" t="s">
        <v>8</v>
      </c>
    </row>
    <row r="237" spans="1:86" x14ac:dyDescent="0.25">
      <c r="A237" s="7">
        <v>1023.4346501391215</v>
      </c>
      <c r="B237"/>
      <c r="C237"/>
      <c r="D237"/>
      <c r="E237"/>
      <c r="BU237" s="27" t="s">
        <v>8</v>
      </c>
      <c r="BV237" s="27" t="s">
        <v>7</v>
      </c>
      <c r="BW237" s="27" t="s">
        <v>8</v>
      </c>
    </row>
    <row r="238" spans="1:86" x14ac:dyDescent="0.25">
      <c r="A238" s="7">
        <v>1003.3673040579622</v>
      </c>
      <c r="B238"/>
      <c r="C238"/>
      <c r="D238"/>
      <c r="E238"/>
      <c r="BU238" s="27" t="s">
        <v>8</v>
      </c>
      <c r="BV238" s="27" t="s">
        <v>7</v>
      </c>
      <c r="BW238" s="27" t="s">
        <v>8</v>
      </c>
    </row>
    <row r="239" spans="1:86" x14ac:dyDescent="0.25">
      <c r="A239" s="7">
        <v>983.69343535094333</v>
      </c>
      <c r="B239"/>
      <c r="C239"/>
      <c r="D239"/>
      <c r="E239"/>
      <c r="BU239" s="27" t="s">
        <v>8</v>
      </c>
      <c r="BV239" s="27" t="s">
        <v>7</v>
      </c>
      <c r="BW239" s="27" t="s">
        <v>8</v>
      </c>
    </row>
    <row r="240" spans="1:86" x14ac:dyDescent="0.25">
      <c r="A240" s="7">
        <v>964.40532877543467</v>
      </c>
      <c r="B240"/>
      <c r="C240"/>
      <c r="D240"/>
      <c r="E240"/>
      <c r="BU240" s="27" t="s">
        <v>8</v>
      </c>
      <c r="BV240" s="27" t="s">
        <v>7</v>
      </c>
    </row>
    <row r="241" spans="1:73" x14ac:dyDescent="0.25">
      <c r="A241" s="7">
        <v>945.49542036807316</v>
      </c>
      <c r="B241"/>
      <c r="C241"/>
      <c r="D241"/>
      <c r="E241"/>
      <c r="BU241" s="27" t="s">
        <v>8</v>
      </c>
    </row>
    <row r="242" spans="1:73" x14ac:dyDescent="0.25">
      <c r="A242" s="7">
        <v>926.95629447850308</v>
      </c>
      <c r="B242"/>
      <c r="C242"/>
      <c r="D242"/>
      <c r="E242"/>
      <c r="BU242" s="27" t="s">
        <v>8</v>
      </c>
    </row>
    <row r="243" spans="1:73" x14ac:dyDescent="0.25">
      <c r="A243" s="7">
        <v>908.78068086127746</v>
      </c>
      <c r="B243"/>
      <c r="C243"/>
      <c r="D243"/>
      <c r="E243"/>
      <c r="BU243" s="27" t="s">
        <v>8</v>
      </c>
    </row>
    <row r="244" spans="1:73" x14ac:dyDescent="0.25">
      <c r="A244" s="7">
        <v>890.96145182478176</v>
      </c>
      <c r="B244"/>
      <c r="C244"/>
      <c r="D244"/>
      <c r="E244"/>
      <c r="BU244" s="27" t="s">
        <v>8</v>
      </c>
    </row>
    <row r="245" spans="1:73" x14ac:dyDescent="0.25">
      <c r="A245" s="7">
        <v>873.49161943606055</v>
      </c>
      <c r="B245"/>
      <c r="C245"/>
      <c r="D245"/>
      <c r="E245"/>
      <c r="O245" s="27" t="s">
        <v>8</v>
      </c>
      <c r="BU245" s="27" t="s">
        <v>8</v>
      </c>
    </row>
    <row r="246" spans="1:73" x14ac:dyDescent="0.25">
      <c r="A246" s="7">
        <v>856.36433278045149</v>
      </c>
      <c r="B246"/>
      <c r="C246"/>
      <c r="D246"/>
      <c r="E246"/>
      <c r="O246" s="27" t="s">
        <v>8</v>
      </c>
      <c r="P246" s="27" t="s">
        <v>7</v>
      </c>
      <c r="BU246" s="27" t="s">
        <v>8</v>
      </c>
    </row>
    <row r="247" spans="1:73" x14ac:dyDescent="0.25">
      <c r="A247" s="7">
        <v>839.57287527495248</v>
      </c>
      <c r="B247"/>
      <c r="C247"/>
      <c r="D247"/>
      <c r="E247"/>
      <c r="O247" s="27" t="s">
        <v>8</v>
      </c>
      <c r="P247" s="27" t="s">
        <v>7</v>
      </c>
      <c r="BU247" s="27" t="s">
        <v>8</v>
      </c>
    </row>
    <row r="248" spans="1:73" x14ac:dyDescent="0.25">
      <c r="A248" s="7">
        <v>823.11066203426708</v>
      </c>
      <c r="B248"/>
      <c r="C248"/>
      <c r="D248"/>
      <c r="E248"/>
      <c r="O248" s="27" t="s">
        <v>8</v>
      </c>
      <c r="P248" s="27" t="s">
        <v>7</v>
      </c>
      <c r="BU248" s="27" t="s">
        <v>8</v>
      </c>
    </row>
    <row r="249" spans="1:73" x14ac:dyDescent="0.25">
      <c r="A249" s="7">
        <v>806.97123728849715</v>
      </c>
      <c r="B249"/>
      <c r="C249"/>
      <c r="D249"/>
      <c r="E249"/>
      <c r="O249" s="27" t="s">
        <v>8</v>
      </c>
      <c r="P249" s="27" t="s">
        <v>7</v>
      </c>
      <c r="BU249" s="27" t="s">
        <v>8</v>
      </c>
    </row>
    <row r="250" spans="1:73" x14ac:dyDescent="0.25">
      <c r="A250" s="7">
        <v>791.14827185146783</v>
      </c>
      <c r="B250"/>
      <c r="C250"/>
      <c r="D250"/>
      <c r="E250"/>
      <c r="O250" s="27" t="s">
        <v>8</v>
      </c>
      <c r="P250" s="27" t="s">
        <v>7</v>
      </c>
      <c r="BU250" s="27" t="s">
        <v>8</v>
      </c>
    </row>
    <row r="251" spans="1:73" x14ac:dyDescent="0.25">
      <c r="A251" s="7">
        <v>775.63556063869396</v>
      </c>
      <c r="B251"/>
      <c r="C251"/>
      <c r="D251"/>
      <c r="E251"/>
      <c r="O251" s="27" t="s">
        <v>8</v>
      </c>
      <c r="P251" s="27" t="s">
        <v>7</v>
      </c>
      <c r="BU251" s="27" t="s">
        <v>8</v>
      </c>
    </row>
    <row r="252" spans="1:73" x14ac:dyDescent="0.25">
      <c r="A252" s="7">
        <v>760.42702023401364</v>
      </c>
      <c r="B252"/>
      <c r="C252"/>
      <c r="D252"/>
      <c r="E252"/>
      <c r="O252" s="27" t="s">
        <v>8</v>
      </c>
      <c r="P252" s="27" t="s">
        <v>7</v>
      </c>
      <c r="BU252" s="27" t="s">
        <v>8</v>
      </c>
    </row>
    <row r="253" spans="1:73" x14ac:dyDescent="0.25">
      <c r="A253" s="7">
        <v>745.51668650393492</v>
      </c>
      <c r="B253"/>
      <c r="C253"/>
      <c r="D253"/>
      <c r="E253"/>
      <c r="O253" s="27" t="s">
        <v>8</v>
      </c>
      <c r="P253" s="27" t="s">
        <v>7</v>
      </c>
      <c r="W253" s="27" t="s">
        <v>8</v>
      </c>
      <c r="BU253" s="27" t="s">
        <v>8</v>
      </c>
    </row>
    <row r="254" spans="1:73" x14ac:dyDescent="0.25">
      <c r="A254" s="7">
        <v>730.8987122587597</v>
      </c>
      <c r="B254"/>
      <c r="C254"/>
      <c r="D254"/>
      <c r="E254"/>
      <c r="O254" s="27" t="s">
        <v>8</v>
      </c>
      <c r="P254" s="27" t="s">
        <v>7</v>
      </c>
      <c r="W254" s="27" t="s">
        <v>8</v>
      </c>
      <c r="X254" s="27" t="s">
        <v>7</v>
      </c>
      <c r="BU254" s="27" t="s">
        <v>8</v>
      </c>
    </row>
    <row r="255" spans="1:73" x14ac:dyDescent="0.25">
      <c r="A255" s="7">
        <v>716.56736495956829</v>
      </c>
      <c r="B255"/>
      <c r="C255"/>
      <c r="D255"/>
      <c r="E255"/>
      <c r="O255" s="27" t="s">
        <v>8</v>
      </c>
      <c r="P255" s="27" t="s">
        <v>7</v>
      </c>
      <c r="W255" s="27" t="s">
        <v>8</v>
      </c>
      <c r="X255" s="27" t="s">
        <v>7</v>
      </c>
      <c r="BU255" s="27" t="s">
        <v>8</v>
      </c>
    </row>
    <row r="256" spans="1:73" x14ac:dyDescent="0.25">
      <c r="A256" s="7">
        <v>702.51702447016498</v>
      </c>
      <c r="B256"/>
      <c r="C256"/>
      <c r="D256"/>
      <c r="E256"/>
      <c r="O256" s="27" t="s">
        <v>8</v>
      </c>
      <c r="P256" s="27" t="s">
        <v>7</v>
      </c>
      <c r="W256" s="27" t="s">
        <v>8</v>
      </c>
      <c r="X256" s="27" t="s">
        <v>7</v>
      </c>
      <c r="BU256" s="27" t="s">
        <v>8</v>
      </c>
    </row>
    <row r="257" spans="1:73" x14ac:dyDescent="0.25">
      <c r="A257" s="7">
        <v>688.74218085310292</v>
      </c>
      <c r="B257"/>
      <c r="C257"/>
      <c r="D257"/>
      <c r="E257"/>
      <c r="O257" s="27" t="s">
        <v>8</v>
      </c>
      <c r="P257" s="27" t="s">
        <v>7</v>
      </c>
      <c r="Q257" s="27" t="s">
        <v>8</v>
      </c>
      <c r="S257" s="27" t="s">
        <v>8</v>
      </c>
      <c r="W257" s="27" t="s">
        <v>8</v>
      </c>
      <c r="X257" s="27" t="s">
        <v>7</v>
      </c>
      <c r="BU257" s="27" t="s">
        <v>8</v>
      </c>
    </row>
    <row r="258" spans="1:73" x14ac:dyDescent="0.25">
      <c r="A258" s="7">
        <v>675.23743220892447</v>
      </c>
      <c r="B258"/>
      <c r="C258"/>
      <c r="D258"/>
      <c r="E258"/>
      <c r="O258" s="27" t="s">
        <v>8</v>
      </c>
      <c r="P258" s="27" t="s">
        <v>7</v>
      </c>
      <c r="Q258" s="27" t="s">
        <v>8</v>
      </c>
      <c r="R258" s="27" t="s">
        <v>7</v>
      </c>
      <c r="S258" s="27" t="s">
        <v>8</v>
      </c>
      <c r="T258" s="27" t="s">
        <v>7</v>
      </c>
      <c r="W258" s="27" t="s">
        <v>8</v>
      </c>
      <c r="X258" s="27" t="s">
        <v>7</v>
      </c>
      <c r="BU258" s="27" t="s">
        <v>8</v>
      </c>
    </row>
    <row r="259" spans="1:73" x14ac:dyDescent="0.25">
      <c r="A259" s="7">
        <v>661.9974825577691</v>
      </c>
      <c r="B259"/>
      <c r="C259"/>
      <c r="D259"/>
      <c r="E259"/>
      <c r="O259" s="27" t="s">
        <v>8</v>
      </c>
      <c r="P259" s="27" t="s">
        <v>7</v>
      </c>
      <c r="Q259" s="27" t="s">
        <v>8</v>
      </c>
      <c r="R259" s="27" t="s">
        <v>7</v>
      </c>
      <c r="S259" s="27" t="s">
        <v>8</v>
      </c>
      <c r="T259" s="27" t="s">
        <v>7</v>
      </c>
      <c r="W259" s="27" t="s">
        <v>8</v>
      </c>
      <c r="X259" s="27" t="s">
        <v>7</v>
      </c>
      <c r="BU259" s="27" t="s">
        <v>8</v>
      </c>
    </row>
    <row r="260" spans="1:73" x14ac:dyDescent="0.25">
      <c r="A260" s="7">
        <v>649.0171397625187</v>
      </c>
      <c r="B260"/>
      <c r="C260"/>
      <c r="D260"/>
      <c r="E260"/>
      <c r="O260" s="27" t="s">
        <v>8</v>
      </c>
      <c r="P260" s="27" t="s">
        <v>7</v>
      </c>
      <c r="Q260" s="27" t="s">
        <v>8</v>
      </c>
      <c r="R260" s="27" t="s">
        <v>7</v>
      </c>
      <c r="S260" s="27" t="s">
        <v>8</v>
      </c>
      <c r="T260" s="27" t="s">
        <v>7</v>
      </c>
      <c r="U260" s="27" t="s">
        <v>8</v>
      </c>
      <c r="W260" s="27" t="s">
        <v>8</v>
      </c>
      <c r="X260" s="27" t="s">
        <v>7</v>
      </c>
      <c r="BG260" s="27" t="s">
        <v>8</v>
      </c>
      <c r="BU260" s="27" t="s">
        <v>8</v>
      </c>
    </row>
    <row r="261" spans="1:73" x14ac:dyDescent="0.25">
      <c r="A261" s="7">
        <v>636.29131349266538</v>
      </c>
      <c r="B261"/>
      <c r="C261"/>
      <c r="D261"/>
      <c r="E261"/>
      <c r="O261" s="27" t="s">
        <v>8</v>
      </c>
      <c r="P261" s="27" t="s">
        <v>7</v>
      </c>
      <c r="Q261" s="27" t="s">
        <v>8</v>
      </c>
      <c r="R261" s="27" t="s">
        <v>7</v>
      </c>
      <c r="S261" s="27" t="s">
        <v>8</v>
      </c>
      <c r="T261" s="27" t="s">
        <v>7</v>
      </c>
      <c r="U261" s="27" t="s">
        <v>8</v>
      </c>
      <c r="V261" s="27" t="s">
        <v>7</v>
      </c>
      <c r="W261" s="27" t="s">
        <v>8</v>
      </c>
      <c r="X261" s="27" t="s">
        <v>7</v>
      </c>
      <c r="BG261" s="27" t="s">
        <v>8</v>
      </c>
      <c r="BH261" s="27" t="s">
        <v>7</v>
      </c>
      <c r="BU261" s="27" t="s">
        <v>8</v>
      </c>
    </row>
    <row r="262" spans="1:73" x14ac:dyDescent="0.25">
      <c r="A262" s="7">
        <v>623.81501322810334</v>
      </c>
      <c r="B262"/>
      <c r="C262"/>
      <c r="D262"/>
      <c r="E262"/>
      <c r="I262" s="27" t="s">
        <v>8</v>
      </c>
      <c r="M262" s="27" t="s">
        <v>8</v>
      </c>
      <c r="O262" s="27" t="s">
        <v>8</v>
      </c>
      <c r="P262" s="27" t="s">
        <v>7</v>
      </c>
      <c r="R262" s="27" t="s">
        <v>7</v>
      </c>
      <c r="S262" s="27" t="s">
        <v>8</v>
      </c>
      <c r="T262" s="27" t="s">
        <v>7</v>
      </c>
      <c r="U262" s="27" t="s">
        <v>8</v>
      </c>
      <c r="V262" s="27" t="s">
        <v>7</v>
      </c>
      <c r="W262" s="27" t="s">
        <v>8</v>
      </c>
      <c r="X262" s="27" t="s">
        <v>7</v>
      </c>
      <c r="BG262" s="27" t="s">
        <v>8</v>
      </c>
      <c r="BH262" s="27" t="s">
        <v>7</v>
      </c>
      <c r="BU262" s="27" t="s">
        <v>8</v>
      </c>
    </row>
    <row r="263" spans="1:73" x14ac:dyDescent="0.25">
      <c r="A263" s="7">
        <v>611.58334630206207</v>
      </c>
      <c r="B263"/>
      <c r="C263"/>
      <c r="D263"/>
      <c r="E263"/>
      <c r="I263" s="27" t="s">
        <v>8</v>
      </c>
      <c r="J263" s="27" t="s">
        <v>7</v>
      </c>
      <c r="K263" s="27" t="s">
        <v>8</v>
      </c>
      <c r="M263" s="27" t="s">
        <v>8</v>
      </c>
      <c r="N263" s="27" t="s">
        <v>7</v>
      </c>
      <c r="O263" s="27" t="s">
        <v>8</v>
      </c>
      <c r="R263" s="27" t="s">
        <v>7</v>
      </c>
      <c r="S263" s="27" t="s">
        <v>8</v>
      </c>
      <c r="T263" s="27" t="s">
        <v>7</v>
      </c>
      <c r="V263" s="27" t="s">
        <v>7</v>
      </c>
      <c r="X263" s="27" t="s">
        <v>7</v>
      </c>
      <c r="AQ263" s="27" t="s">
        <v>8</v>
      </c>
      <c r="BG263" s="27" t="s">
        <v>8</v>
      </c>
      <c r="BH263" s="27" t="s">
        <v>7</v>
      </c>
      <c r="BU263" s="27" t="s">
        <v>8</v>
      </c>
    </row>
    <row r="264" spans="1:73" x14ac:dyDescent="0.25">
      <c r="A264" s="7">
        <v>599.59151598241374</v>
      </c>
      <c r="B264"/>
      <c r="C264"/>
      <c r="D264"/>
      <c r="E264"/>
      <c r="I264" s="27" t="s">
        <v>8</v>
      </c>
      <c r="J264" s="27" t="s">
        <v>7</v>
      </c>
      <c r="K264" s="27" t="s">
        <v>8</v>
      </c>
      <c r="L264" s="27" t="s">
        <v>7</v>
      </c>
      <c r="M264" s="27" t="s">
        <v>8</v>
      </c>
      <c r="N264" s="27" t="s">
        <v>7</v>
      </c>
      <c r="O264" s="27" t="s">
        <v>8</v>
      </c>
      <c r="R264" s="27" t="s">
        <v>7</v>
      </c>
      <c r="X264" s="27" t="s">
        <v>7</v>
      </c>
      <c r="AM264" s="27" t="s">
        <v>8</v>
      </c>
      <c r="AQ264" s="27" t="s">
        <v>8</v>
      </c>
      <c r="AR264" s="27" t="s">
        <v>7</v>
      </c>
      <c r="AS264" s="27" t="s">
        <v>8</v>
      </c>
      <c r="AU264" s="27" t="s">
        <v>8</v>
      </c>
      <c r="BG264" s="27" t="s">
        <v>8</v>
      </c>
      <c r="BH264" s="27" t="s">
        <v>7</v>
      </c>
      <c r="BS264" s="27" t="s">
        <v>8</v>
      </c>
      <c r="BU264" s="27" t="s">
        <v>8</v>
      </c>
    </row>
    <row r="265" spans="1:73" x14ac:dyDescent="0.25">
      <c r="A265" s="7">
        <v>587.83481959060168</v>
      </c>
      <c r="B265"/>
      <c r="C265"/>
      <c r="D265"/>
      <c r="E265"/>
      <c r="I265" s="27" t="s">
        <v>8</v>
      </c>
      <c r="J265" s="27" t="s">
        <v>7</v>
      </c>
      <c r="K265" s="27" t="s">
        <v>8</v>
      </c>
      <c r="L265" s="27" t="s">
        <v>7</v>
      </c>
      <c r="M265" s="27" t="s">
        <v>8</v>
      </c>
      <c r="N265" s="27" t="s">
        <v>7</v>
      </c>
      <c r="X265" s="27" t="s">
        <v>7</v>
      </c>
      <c r="AM265" s="27" t="s">
        <v>8</v>
      </c>
      <c r="AN265" s="27" t="s">
        <v>7</v>
      </c>
      <c r="AQ265" s="27" t="s">
        <v>8</v>
      </c>
      <c r="AR265" s="27" t="s">
        <v>7</v>
      </c>
      <c r="AS265" s="27" t="s">
        <v>8</v>
      </c>
      <c r="AT265" s="27" t="s">
        <v>7</v>
      </c>
      <c r="AU265" s="27" t="s">
        <v>8</v>
      </c>
      <c r="AV265" s="27" t="s">
        <v>7</v>
      </c>
      <c r="BG265" s="27" t="s">
        <v>8</v>
      </c>
      <c r="BH265" s="27" t="s">
        <v>7</v>
      </c>
      <c r="BK265" s="27" t="s">
        <v>8</v>
      </c>
      <c r="BS265" s="27" t="s">
        <v>8</v>
      </c>
      <c r="BT265" s="27" t="s">
        <v>7</v>
      </c>
      <c r="BU265" s="27" t="s">
        <v>8</v>
      </c>
    </row>
    <row r="266" spans="1:73" x14ac:dyDescent="0.25">
      <c r="A266" s="7">
        <v>576.30864665745264</v>
      </c>
      <c r="B266"/>
      <c r="C266"/>
      <c r="D266"/>
      <c r="E266"/>
      <c r="I266" s="27" t="s">
        <v>8</v>
      </c>
      <c r="J266" s="27" t="s">
        <v>7</v>
      </c>
      <c r="L266" s="27" t="s">
        <v>7</v>
      </c>
      <c r="M266" s="27" t="s">
        <v>8</v>
      </c>
      <c r="X266" s="27" t="s">
        <v>7</v>
      </c>
      <c r="AM266" s="27" t="s">
        <v>8</v>
      </c>
      <c r="AN266" s="27" t="s">
        <v>7</v>
      </c>
      <c r="AO266" s="27" t="s">
        <v>8</v>
      </c>
      <c r="AQ266" s="27" t="s">
        <v>8</v>
      </c>
      <c r="AR266" s="27" t="s">
        <v>7</v>
      </c>
      <c r="AS266" s="27" t="s">
        <v>8</v>
      </c>
      <c r="AT266" s="27" t="s">
        <v>7</v>
      </c>
      <c r="AU266" s="27" t="s">
        <v>8</v>
      </c>
      <c r="AV266" s="27" t="s">
        <v>7</v>
      </c>
      <c r="BG266" s="27" t="s">
        <v>8</v>
      </c>
      <c r="BH266" s="27" t="s">
        <v>7</v>
      </c>
      <c r="BI266" s="27" t="s">
        <v>8</v>
      </c>
      <c r="BK266" s="27" t="s">
        <v>8</v>
      </c>
      <c r="BL266" s="27" t="s">
        <v>7</v>
      </c>
      <c r="BM266" s="27" t="s">
        <v>8</v>
      </c>
      <c r="BQ266" s="27" t="s">
        <v>8</v>
      </c>
      <c r="BS266" s="27" t="s">
        <v>8</v>
      </c>
      <c r="BT266" s="27" t="s">
        <v>7</v>
      </c>
      <c r="BU266" s="27" t="s">
        <v>8</v>
      </c>
    </row>
    <row r="267" spans="1:73" x14ac:dyDescent="0.25">
      <c r="A267" s="7">
        <v>565.00847711514962</v>
      </c>
      <c r="B267"/>
      <c r="C267"/>
      <c r="D267"/>
      <c r="E267"/>
      <c r="I267" s="27" t="s">
        <v>8</v>
      </c>
      <c r="L267" s="27" t="s">
        <v>7</v>
      </c>
      <c r="X267" s="27" t="s">
        <v>7</v>
      </c>
      <c r="AM267" s="27" t="s">
        <v>8</v>
      </c>
      <c r="AN267" s="27" t="s">
        <v>7</v>
      </c>
      <c r="AO267" s="27" t="s">
        <v>8</v>
      </c>
      <c r="AP267" s="27" t="s">
        <v>7</v>
      </c>
      <c r="AQ267" s="27" t="s">
        <v>8</v>
      </c>
      <c r="AR267" s="27" t="s">
        <v>7</v>
      </c>
      <c r="AT267" s="27" t="s">
        <v>7</v>
      </c>
      <c r="AU267" s="27" t="s">
        <v>8</v>
      </c>
      <c r="AV267" s="27" t="s">
        <v>7</v>
      </c>
      <c r="BC267" s="27" t="s">
        <v>8</v>
      </c>
      <c r="BG267" s="27" t="s">
        <v>8</v>
      </c>
      <c r="BH267" s="27" t="s">
        <v>7</v>
      </c>
      <c r="BI267" s="27" t="s">
        <v>8</v>
      </c>
      <c r="BJ267" s="27" t="s">
        <v>7</v>
      </c>
      <c r="BK267" s="27" t="s">
        <v>8</v>
      </c>
      <c r="BL267" s="27" t="s">
        <v>7</v>
      </c>
      <c r="BM267" s="27" t="s">
        <v>8</v>
      </c>
      <c r="BN267" s="27" t="s">
        <v>7</v>
      </c>
      <c r="BQ267" s="27" t="s">
        <v>8</v>
      </c>
      <c r="BR267" s="27" t="s">
        <v>7</v>
      </c>
      <c r="BS267" s="27" t="s">
        <v>8</v>
      </c>
      <c r="BT267" s="27" t="s">
        <v>7</v>
      </c>
      <c r="BU267" s="27" t="s">
        <v>8</v>
      </c>
    </row>
    <row r="268" spans="1:73" x14ac:dyDescent="0.25">
      <c r="A268" s="7">
        <v>553.92987952465649</v>
      </c>
      <c r="B268"/>
      <c r="C268"/>
      <c r="D268"/>
      <c r="E268"/>
      <c r="I268" s="27" t="s">
        <v>8</v>
      </c>
      <c r="X268" s="27" t="s">
        <v>7</v>
      </c>
      <c r="AA268" s="27" t="s">
        <v>8</v>
      </c>
      <c r="AC268" s="27" t="s">
        <v>8</v>
      </c>
      <c r="AM268" s="27" t="s">
        <v>8</v>
      </c>
      <c r="AN268" s="27" t="s">
        <v>7</v>
      </c>
      <c r="AO268" s="27" t="s">
        <v>8</v>
      </c>
      <c r="AP268" s="27" t="s">
        <v>7</v>
      </c>
      <c r="AQ268" s="27" t="s">
        <v>8</v>
      </c>
      <c r="AT268" s="27" t="s">
        <v>7</v>
      </c>
      <c r="AU268" s="27" t="s">
        <v>8</v>
      </c>
      <c r="AV268" s="27" t="s">
        <v>7</v>
      </c>
      <c r="AW268" s="27" t="s">
        <v>8</v>
      </c>
      <c r="AY268" s="27" t="s">
        <v>8</v>
      </c>
      <c r="BA268" s="27" t="s">
        <v>8</v>
      </c>
      <c r="BC268" s="27" t="s">
        <v>8</v>
      </c>
      <c r="BD268" s="27" t="s">
        <v>7</v>
      </c>
      <c r="BG268" s="27" t="s">
        <v>8</v>
      </c>
      <c r="BH268" s="27" t="s">
        <v>7</v>
      </c>
      <c r="BI268" s="27" t="s">
        <v>8</v>
      </c>
      <c r="BJ268" s="27" t="s">
        <v>7</v>
      </c>
      <c r="BK268" s="27" t="s">
        <v>8</v>
      </c>
      <c r="BL268" s="27" t="s">
        <v>7</v>
      </c>
      <c r="BM268" s="27" t="s">
        <v>8</v>
      </c>
      <c r="BN268" s="27" t="s">
        <v>7</v>
      </c>
      <c r="BQ268" s="27" t="s">
        <v>8</v>
      </c>
      <c r="BR268" s="27" t="s">
        <v>7</v>
      </c>
      <c r="BS268" s="27" t="s">
        <v>8</v>
      </c>
      <c r="BT268" s="27" t="s">
        <v>7</v>
      </c>
    </row>
    <row r="269" spans="1:73" x14ac:dyDescent="0.25">
      <c r="A269" s="7">
        <v>543.06850933789849</v>
      </c>
      <c r="B269"/>
      <c r="C269"/>
      <c r="D269"/>
      <c r="E269" t="s">
        <v>8</v>
      </c>
      <c r="G269" s="27" t="s">
        <v>8</v>
      </c>
      <c r="I269" s="27" t="s">
        <v>8</v>
      </c>
      <c r="X269" s="27" t="s">
        <v>7</v>
      </c>
      <c r="Y269" s="27" t="s">
        <v>8</v>
      </c>
      <c r="AA269" s="27" t="s">
        <v>8</v>
      </c>
      <c r="AB269" s="27" t="s">
        <v>7</v>
      </c>
      <c r="AC269" s="27" t="s">
        <v>8</v>
      </c>
      <c r="AD269" s="27" t="s">
        <v>7</v>
      </c>
      <c r="AK269" s="27" t="s">
        <v>8</v>
      </c>
      <c r="AM269" s="27" t="s">
        <v>8</v>
      </c>
      <c r="AN269" s="27" t="s">
        <v>7</v>
      </c>
      <c r="AO269" s="27" t="s">
        <v>8</v>
      </c>
      <c r="AP269" s="27" t="s">
        <v>7</v>
      </c>
      <c r="AQ269" s="27" t="s">
        <v>8</v>
      </c>
      <c r="AT269" s="27" t="s">
        <v>7</v>
      </c>
      <c r="AU269" s="27" t="s">
        <v>8</v>
      </c>
      <c r="AV269" s="27" t="s">
        <v>7</v>
      </c>
      <c r="AW269" s="27" t="s">
        <v>8</v>
      </c>
      <c r="AX269" s="27" t="s">
        <v>7</v>
      </c>
      <c r="AY269" s="27" t="s">
        <v>8</v>
      </c>
      <c r="AZ269" s="27" t="s">
        <v>7</v>
      </c>
      <c r="BA269" s="27" t="s">
        <v>8</v>
      </c>
      <c r="BB269" s="27" t="s">
        <v>7</v>
      </c>
      <c r="BC269" s="27" t="s">
        <v>8</v>
      </c>
      <c r="BD269" s="27" t="s">
        <v>7</v>
      </c>
      <c r="BG269" s="27" t="s">
        <v>8</v>
      </c>
      <c r="BH269" s="27" t="s">
        <v>7</v>
      </c>
      <c r="BI269" s="27" t="s">
        <v>8</v>
      </c>
      <c r="BJ269" s="27" t="s">
        <v>7</v>
      </c>
      <c r="BK269" s="27" t="s">
        <v>8</v>
      </c>
      <c r="BL269" s="27" t="s">
        <v>7</v>
      </c>
      <c r="BM269" s="27" t="s">
        <v>8</v>
      </c>
      <c r="BN269" s="27" t="s">
        <v>7</v>
      </c>
      <c r="BO269" s="27" t="s">
        <v>8</v>
      </c>
      <c r="BQ269" s="27" t="s">
        <v>8</v>
      </c>
      <c r="BR269" s="27" t="s">
        <v>7</v>
      </c>
      <c r="BS269" s="27" t="s">
        <v>8</v>
      </c>
    </row>
    <row r="270" spans="1:73" x14ac:dyDescent="0.25">
      <c r="A270" s="7">
        <v>532.4201071940181</v>
      </c>
      <c r="B270"/>
      <c r="C270"/>
      <c r="D270"/>
      <c r="E270" t="s">
        <v>8</v>
      </c>
      <c r="F270" s="27" t="s">
        <v>7</v>
      </c>
      <c r="G270" s="27" t="s">
        <v>8</v>
      </c>
      <c r="H270" s="27" t="s">
        <v>7</v>
      </c>
      <c r="I270" s="27" t="s">
        <v>8</v>
      </c>
      <c r="X270" s="27" t="s">
        <v>7</v>
      </c>
      <c r="Y270" s="27" t="s">
        <v>8</v>
      </c>
      <c r="Z270" s="27" t="s">
        <v>7</v>
      </c>
      <c r="AA270" s="27" t="s">
        <v>8</v>
      </c>
      <c r="AB270" s="27" t="s">
        <v>7</v>
      </c>
      <c r="AC270" s="27" t="s">
        <v>8</v>
      </c>
      <c r="AD270" s="27" t="s">
        <v>7</v>
      </c>
      <c r="AK270" s="27" t="s">
        <v>8</v>
      </c>
      <c r="AL270" s="27" t="s">
        <v>7</v>
      </c>
      <c r="AM270" s="27" t="s">
        <v>8</v>
      </c>
      <c r="AN270" s="27" t="s">
        <v>7</v>
      </c>
      <c r="AP270" s="27" t="s">
        <v>7</v>
      </c>
      <c r="AQ270" s="27" t="s">
        <v>8</v>
      </c>
      <c r="AT270" s="27" t="s">
        <v>7</v>
      </c>
      <c r="AV270" s="27" t="s">
        <v>7</v>
      </c>
      <c r="AW270" s="27" t="s">
        <v>8</v>
      </c>
      <c r="AX270" s="27" t="s">
        <v>7</v>
      </c>
      <c r="AY270" s="27" t="s">
        <v>8</v>
      </c>
      <c r="AZ270" s="27" t="s">
        <v>7</v>
      </c>
      <c r="BA270" s="27" t="s">
        <v>8</v>
      </c>
      <c r="BB270" s="27" t="s">
        <v>7</v>
      </c>
      <c r="BC270" s="27" t="s">
        <v>8</v>
      </c>
      <c r="BD270" s="27" t="s">
        <v>7</v>
      </c>
      <c r="BE270" s="27" t="s">
        <v>8</v>
      </c>
      <c r="BG270" s="27" t="s">
        <v>8</v>
      </c>
      <c r="BH270" s="27" t="s">
        <v>7</v>
      </c>
      <c r="BI270" s="27" t="s">
        <v>8</v>
      </c>
      <c r="BJ270" s="27" t="s">
        <v>7</v>
      </c>
      <c r="BK270" s="27" t="s">
        <v>8</v>
      </c>
      <c r="BL270" s="27" t="s">
        <v>7</v>
      </c>
      <c r="BM270" s="27" t="s">
        <v>8</v>
      </c>
      <c r="BN270" s="27" t="s">
        <v>7</v>
      </c>
      <c r="BO270" s="27" t="s">
        <v>8</v>
      </c>
      <c r="BP270" s="27" t="s">
        <v>7</v>
      </c>
      <c r="BQ270" s="27" t="s">
        <v>8</v>
      </c>
      <c r="BR270" s="27" t="s">
        <v>7</v>
      </c>
    </row>
    <row r="271" spans="1:73" x14ac:dyDescent="0.25">
      <c r="A271" s="7">
        <v>521.9804972490374</v>
      </c>
      <c r="B271"/>
      <c r="C271"/>
      <c r="D271"/>
      <c r="E271" t="s">
        <v>8</v>
      </c>
      <c r="F271" s="27" t="s">
        <v>7</v>
      </c>
      <c r="G271" s="27" t="s">
        <v>8</v>
      </c>
      <c r="H271" s="27" t="s">
        <v>7</v>
      </c>
      <c r="I271" s="27" t="s">
        <v>8</v>
      </c>
      <c r="X271" s="27" t="s">
        <v>7</v>
      </c>
      <c r="Y271" s="27" t="s">
        <v>8</v>
      </c>
      <c r="Z271" s="27" t="s">
        <v>7</v>
      </c>
      <c r="AA271" s="27" t="s">
        <v>8</v>
      </c>
      <c r="AB271" s="27" t="s">
        <v>7</v>
      </c>
      <c r="AC271" s="27" t="s">
        <v>8</v>
      </c>
      <c r="AD271" s="27" t="s">
        <v>7</v>
      </c>
      <c r="AE271" s="27" t="s">
        <v>8</v>
      </c>
      <c r="AI271" s="27" t="s">
        <v>8</v>
      </c>
      <c r="AK271" s="27" t="s">
        <v>8</v>
      </c>
      <c r="AL271" s="27" t="s">
        <v>7</v>
      </c>
      <c r="AM271" s="27" t="s">
        <v>8</v>
      </c>
      <c r="AP271" s="27" t="s">
        <v>7</v>
      </c>
      <c r="AQ271" s="27" t="s">
        <v>8</v>
      </c>
      <c r="AV271" s="27" t="s">
        <v>7</v>
      </c>
      <c r="AW271" s="27" t="s">
        <v>8</v>
      </c>
      <c r="AX271" s="27" t="s">
        <v>7</v>
      </c>
      <c r="AY271" s="27" t="s">
        <v>8</v>
      </c>
      <c r="AZ271" s="27" t="s">
        <v>7</v>
      </c>
      <c r="BA271" s="27" t="s">
        <v>8</v>
      </c>
      <c r="BB271" s="27" t="s">
        <v>7</v>
      </c>
      <c r="BC271" s="27" t="s">
        <v>8</v>
      </c>
      <c r="BD271" s="27" t="s">
        <v>7</v>
      </c>
      <c r="BE271" s="27" t="s">
        <v>8</v>
      </c>
      <c r="BF271" s="27" t="s">
        <v>7</v>
      </c>
      <c r="BG271" s="27" t="s">
        <v>8</v>
      </c>
      <c r="BH271" s="27" t="s">
        <v>7</v>
      </c>
      <c r="BI271" s="27" t="s">
        <v>8</v>
      </c>
      <c r="BJ271" s="27" t="s">
        <v>7</v>
      </c>
      <c r="BK271" s="27" t="s">
        <v>8</v>
      </c>
      <c r="BL271" s="27" t="s">
        <v>7</v>
      </c>
      <c r="BM271" s="27" t="s">
        <v>8</v>
      </c>
      <c r="BN271" s="27" t="s">
        <v>7</v>
      </c>
      <c r="BO271" s="27" t="s">
        <v>8</v>
      </c>
      <c r="BP271" s="27" t="s">
        <v>7</v>
      </c>
      <c r="BQ271" s="27" t="s">
        <v>8</v>
      </c>
    </row>
    <row r="272" spans="1:73" x14ac:dyDescent="0.25">
      <c r="A272" s="7">
        <v>511.74558553827194</v>
      </c>
      <c r="B272"/>
      <c r="C272"/>
      <c r="D272"/>
      <c r="E272" t="s">
        <v>8</v>
      </c>
      <c r="F272" s="27" t="s">
        <v>7</v>
      </c>
      <c r="G272" s="27" t="s">
        <v>8</v>
      </c>
      <c r="H272" s="27" t="s">
        <v>7</v>
      </c>
      <c r="I272" s="27" t="s">
        <v>8</v>
      </c>
      <c r="X272" s="27" t="s">
        <v>7</v>
      </c>
      <c r="Y272" s="27" t="s">
        <v>8</v>
      </c>
      <c r="Z272" s="27" t="s">
        <v>7</v>
      </c>
      <c r="AA272" s="27" t="s">
        <v>8</v>
      </c>
      <c r="AB272" s="27" t="s">
        <v>7</v>
      </c>
      <c r="AC272" s="27" t="s">
        <v>8</v>
      </c>
      <c r="AD272" s="27" t="s">
        <v>7</v>
      </c>
      <c r="AE272" s="27" t="s">
        <v>8</v>
      </c>
      <c r="AF272" s="27" t="s">
        <v>7</v>
      </c>
      <c r="AI272" s="27" t="s">
        <v>8</v>
      </c>
      <c r="AJ272" s="27" t="s">
        <v>7</v>
      </c>
      <c r="AK272" s="27" t="s">
        <v>8</v>
      </c>
      <c r="AL272" s="27" t="s">
        <v>7</v>
      </c>
      <c r="AP272" s="27" t="s">
        <v>7</v>
      </c>
      <c r="AQ272" s="27" t="s">
        <v>8</v>
      </c>
      <c r="AV272" s="27" t="s">
        <v>7</v>
      </c>
      <c r="AX272" s="27" t="s">
        <v>7</v>
      </c>
      <c r="AY272" s="27" t="s">
        <v>8</v>
      </c>
      <c r="AZ272" s="27" t="s">
        <v>7</v>
      </c>
      <c r="BA272" s="27" t="s">
        <v>8</v>
      </c>
      <c r="BB272" s="27" t="s">
        <v>7</v>
      </c>
      <c r="BD272" s="27" t="s">
        <v>7</v>
      </c>
      <c r="BE272" s="27" t="s">
        <v>8</v>
      </c>
      <c r="BF272" s="27" t="s">
        <v>7</v>
      </c>
      <c r="BG272" s="27" t="s">
        <v>8</v>
      </c>
      <c r="BH272" s="27" t="s">
        <v>7</v>
      </c>
      <c r="BI272" s="27" t="s">
        <v>8</v>
      </c>
      <c r="BJ272" s="27" t="s">
        <v>7</v>
      </c>
      <c r="BK272" s="27" t="s">
        <v>8</v>
      </c>
      <c r="BL272" s="27" t="s">
        <v>7</v>
      </c>
      <c r="BM272" s="27" t="s">
        <v>8</v>
      </c>
      <c r="BN272" s="27" t="s">
        <v>7</v>
      </c>
      <c r="BP272" s="27" t="s">
        <v>7</v>
      </c>
      <c r="BQ272" s="27" t="s">
        <v>8</v>
      </c>
    </row>
    <row r="273" spans="1:69" x14ac:dyDescent="0.25">
      <c r="A273" s="7">
        <v>501.71135837085484</v>
      </c>
      <c r="B273"/>
      <c r="C273"/>
      <c r="D273"/>
      <c r="E273" t="s">
        <v>8</v>
      </c>
      <c r="F273" s="27" t="s">
        <v>7</v>
      </c>
      <c r="H273" s="27" t="s">
        <v>7</v>
      </c>
      <c r="X273" s="27" t="s">
        <v>7</v>
      </c>
      <c r="Y273" s="27" t="s">
        <v>8</v>
      </c>
      <c r="Z273" s="27" t="s">
        <v>7</v>
      </c>
      <c r="AB273" s="27" t="s">
        <v>7</v>
      </c>
      <c r="AC273" s="27" t="s">
        <v>8</v>
      </c>
      <c r="AD273" s="27" t="s">
        <v>7</v>
      </c>
      <c r="AE273" s="27" t="s">
        <v>8</v>
      </c>
      <c r="AF273" s="27" t="s">
        <v>7</v>
      </c>
      <c r="AI273" s="27" t="s">
        <v>8</v>
      </c>
      <c r="AJ273" s="27" t="s">
        <v>7</v>
      </c>
      <c r="AK273" s="27" t="s">
        <v>8</v>
      </c>
      <c r="AP273" s="27" t="s">
        <v>7</v>
      </c>
      <c r="AX273" s="27" t="s">
        <v>7</v>
      </c>
      <c r="AZ273" s="27" t="s">
        <v>7</v>
      </c>
      <c r="BD273" s="27" t="s">
        <v>7</v>
      </c>
      <c r="BF273" s="27" t="s">
        <v>7</v>
      </c>
      <c r="BH273" s="27" t="s">
        <v>7</v>
      </c>
      <c r="BI273" s="27" t="s">
        <v>8</v>
      </c>
      <c r="BJ273" s="27" t="s">
        <v>7</v>
      </c>
      <c r="BL273" s="27" t="s">
        <v>7</v>
      </c>
      <c r="BM273" s="27" t="s">
        <v>8</v>
      </c>
      <c r="BP273" s="27" t="s">
        <v>7</v>
      </c>
      <c r="BQ273" s="27" t="s">
        <v>8</v>
      </c>
    </row>
    <row r="274" spans="1:69" x14ac:dyDescent="0.25">
      <c r="A274" s="7">
        <v>491.87388075574</v>
      </c>
      <c r="B274"/>
      <c r="C274"/>
      <c r="D274"/>
      <c r="E274" t="s">
        <v>8</v>
      </c>
      <c r="X274" s="27" t="s">
        <v>7</v>
      </c>
      <c r="Y274" s="27" t="s">
        <v>8</v>
      </c>
      <c r="AB274" s="27" t="s">
        <v>7</v>
      </c>
      <c r="AC274" s="27" t="s">
        <v>8</v>
      </c>
      <c r="AD274" s="27" t="s">
        <v>7</v>
      </c>
      <c r="AE274" s="27" t="s">
        <v>8</v>
      </c>
      <c r="AF274" s="27" t="s">
        <v>7</v>
      </c>
      <c r="AI274" s="27" t="s">
        <v>8</v>
      </c>
      <c r="AJ274" s="27" t="s">
        <v>7</v>
      </c>
      <c r="BH274" s="27" t="s">
        <v>7</v>
      </c>
      <c r="BL274" s="27" t="s">
        <v>7</v>
      </c>
      <c r="BM274" s="27" t="s">
        <v>8</v>
      </c>
      <c r="BP274" s="27" t="s">
        <v>7</v>
      </c>
    </row>
    <row r="275" spans="1:69" x14ac:dyDescent="0.25">
      <c r="A275" s="7">
        <v>482.22929485856861</v>
      </c>
      <c r="B275"/>
      <c r="C275"/>
      <c r="D275"/>
      <c r="E275" t="s">
        <v>8</v>
      </c>
      <c r="X275" s="27" t="s">
        <v>7</v>
      </c>
      <c r="AB275" s="27" t="s">
        <v>7</v>
      </c>
      <c r="AC275" s="27" t="s">
        <v>8</v>
      </c>
      <c r="AD275" s="27" t="s">
        <v>7</v>
      </c>
      <c r="AF275" s="27" t="s">
        <v>7</v>
      </c>
      <c r="AI275" s="27" t="s">
        <v>8</v>
      </c>
      <c r="BL275" s="27" t="s">
        <v>7</v>
      </c>
    </row>
    <row r="276" spans="1:69" x14ac:dyDescent="0.25">
      <c r="A276" s="7">
        <v>472.77381848879276</v>
      </c>
      <c r="B276"/>
      <c r="C276"/>
      <c r="D276"/>
      <c r="E276" t="s">
        <v>8</v>
      </c>
      <c r="AB276" s="27" t="s">
        <v>7</v>
      </c>
      <c r="AC276" s="27" t="s">
        <v>8</v>
      </c>
      <c r="AF276" s="27" t="s">
        <v>7</v>
      </c>
      <c r="AI276" s="27" t="s">
        <v>8</v>
      </c>
    </row>
    <row r="277" spans="1:69" x14ac:dyDescent="0.25">
      <c r="A277" s="7">
        <v>463.50374361646345</v>
      </c>
      <c r="B277"/>
      <c r="C277"/>
      <c r="D277"/>
      <c r="E277" t="s">
        <v>8</v>
      </c>
      <c r="AB277" s="27" t="s">
        <v>7</v>
      </c>
      <c r="AC277" s="27" t="s">
        <v>8</v>
      </c>
      <c r="AF277" s="27" t="s">
        <v>7</v>
      </c>
      <c r="AG277" s="27" t="s">
        <v>8</v>
      </c>
      <c r="AI277" s="27" t="s">
        <v>8</v>
      </c>
    </row>
    <row r="278" spans="1:69" x14ac:dyDescent="0.25">
      <c r="A278" s="7">
        <v>454.41543491810143</v>
      </c>
      <c r="B278"/>
      <c r="C278"/>
      <c r="D278"/>
      <c r="E278" t="s">
        <v>8</v>
      </c>
      <c r="AB278" s="27" t="s">
        <v>7</v>
      </c>
      <c r="AC278" s="27" t="s">
        <v>8</v>
      </c>
      <c r="AF278" s="27" t="s">
        <v>7</v>
      </c>
      <c r="AG278" s="27" t="s">
        <v>8</v>
      </c>
      <c r="AH278" s="27" t="s">
        <v>7</v>
      </c>
      <c r="AI278" s="27" t="s">
        <v>8</v>
      </c>
    </row>
    <row r="279" spans="1:69" x14ac:dyDescent="0.25">
      <c r="A279" s="7">
        <v>445.50532835107981</v>
      </c>
      <c r="B279"/>
      <c r="C279"/>
      <c r="D279"/>
      <c r="E279" t="s">
        <v>8</v>
      </c>
      <c r="AB279" s="27" t="s">
        <v>7</v>
      </c>
      <c r="AF279" s="27" t="s">
        <v>7</v>
      </c>
      <c r="AG279" s="27" t="s">
        <v>8</v>
      </c>
      <c r="AH279" s="27" t="s">
        <v>7</v>
      </c>
      <c r="AI279" s="27" t="s">
        <v>8</v>
      </c>
    </row>
    <row r="280" spans="1:69" x14ac:dyDescent="0.25">
      <c r="A280" s="7">
        <v>436.76992975596062</v>
      </c>
      <c r="B280"/>
      <c r="C280"/>
      <c r="D280"/>
      <c r="E280" t="s">
        <v>8</v>
      </c>
      <c r="AF280" s="27" t="s">
        <v>7</v>
      </c>
      <c r="AH280" s="27" t="s">
        <v>7</v>
      </c>
    </row>
    <row r="281" spans="1:69" x14ac:dyDescent="0.25">
      <c r="A281" s="7">
        <v>428.20581348623591</v>
      </c>
      <c r="B281"/>
      <c r="C281"/>
      <c r="D281"/>
      <c r="E281" t="s">
        <v>8</v>
      </c>
    </row>
    <row r="282" spans="1:69" x14ac:dyDescent="0.25">
      <c r="A282" s="7">
        <v>419.80962106493718</v>
      </c>
      <c r="B282"/>
      <c r="C282"/>
      <c r="D282"/>
      <c r="E282" t="s">
        <v>8</v>
      </c>
    </row>
    <row r="283" spans="1:69" x14ac:dyDescent="0.25">
      <c r="A283" s="7">
        <v>411.57805986758547</v>
      </c>
      <c r="B283"/>
      <c r="C283"/>
      <c r="D283"/>
      <c r="E283" t="s">
        <v>8</v>
      </c>
    </row>
    <row r="284" spans="1:69" x14ac:dyDescent="0.25">
      <c r="A284" s="7">
        <v>403.50790183096615</v>
      </c>
      <c r="B284"/>
      <c r="C284"/>
      <c r="D284"/>
      <c r="E284" t="s">
        <v>8</v>
      </c>
    </row>
    <row r="285" spans="1:69" x14ac:dyDescent="0.25">
      <c r="A285" s="7">
        <v>395.59598218722169</v>
      </c>
      <c r="B285"/>
      <c r="C285"/>
      <c r="D285"/>
      <c r="E285" t="s">
        <v>8</v>
      </c>
    </row>
    <row r="286" spans="1:69" x14ac:dyDescent="0.25">
      <c r="A286" s="7">
        <v>387.83919822276636</v>
      </c>
      <c r="B286"/>
      <c r="C286"/>
      <c r="D286"/>
      <c r="E286" t="s">
        <v>8</v>
      </c>
    </row>
    <row r="287" spans="1:69" x14ac:dyDescent="0.25">
      <c r="A287" s="7">
        <v>380.23450806153562</v>
      </c>
      <c r="B287"/>
      <c r="C287"/>
      <c r="D287"/>
      <c r="E287" t="s">
        <v>8</v>
      </c>
    </row>
    <row r="288" spans="1:69" x14ac:dyDescent="0.25">
      <c r="A288" s="7">
        <v>372.77892947209375</v>
      </c>
      <c r="B288"/>
      <c r="C288"/>
      <c r="D288"/>
      <c r="E288" t="s">
        <v>8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59" operator="equal">
      <formula>$U$1</formula>
    </cfRule>
    <cfRule type="cellIs" dxfId="89" priority="960" operator="equal">
      <formula>$S$1</formula>
    </cfRule>
  </conditionalFormatting>
  <conditionalFormatting sqref="D27">
    <cfRule type="cellIs" dxfId="88" priority="957" operator="equal">
      <formula>$S$1</formula>
    </cfRule>
    <cfRule type="cellIs" dxfId="87" priority="958" operator="equal">
      <formula>$U$1</formula>
    </cfRule>
  </conditionalFormatting>
  <conditionalFormatting sqref="C164">
    <cfRule type="cellIs" dxfId="86" priority="955" operator="equal">
      <formula>$U$1</formula>
    </cfRule>
    <cfRule type="cellIs" dxfId="85" priority="956" operator="equal">
      <formula>$S$1</formula>
    </cfRule>
  </conditionalFormatting>
  <conditionalFormatting sqref="D164">
    <cfRule type="cellIs" dxfId="84" priority="953" operator="equal">
      <formula>$S$1</formula>
    </cfRule>
    <cfRule type="cellIs" dxfId="83" priority="954" operator="equal">
      <formula>$U$1</formula>
    </cfRule>
  </conditionalFormatting>
  <conditionalFormatting sqref="C55">
    <cfRule type="cellIs" dxfId="82" priority="951" operator="equal">
      <formula>$U$1</formula>
    </cfRule>
    <cfRule type="cellIs" dxfId="81" priority="952" operator="equal">
      <formula>$S$1</formula>
    </cfRule>
  </conditionalFormatting>
  <conditionalFormatting sqref="D55">
    <cfRule type="cellIs" dxfId="80" priority="949" operator="equal">
      <formula>$S$1</formula>
    </cfRule>
    <cfRule type="cellIs" dxfId="79" priority="950" operator="equal">
      <formula>$U$1</formula>
    </cfRule>
  </conditionalFormatting>
  <conditionalFormatting sqref="C89">
    <cfRule type="cellIs" dxfId="78" priority="947" operator="equal">
      <formula>$U$1</formula>
    </cfRule>
    <cfRule type="cellIs" dxfId="77" priority="948" operator="equal">
      <formula>$S$1</formula>
    </cfRule>
  </conditionalFormatting>
  <conditionalFormatting sqref="D89">
    <cfRule type="cellIs" dxfId="76" priority="945" operator="equal">
      <formula>$S$1</formula>
    </cfRule>
    <cfRule type="cellIs" dxfId="75" priority="946" operator="equal">
      <formula>$U$1</formula>
    </cfRule>
  </conditionalFormatting>
  <conditionalFormatting sqref="C136">
    <cfRule type="cellIs" dxfId="74" priority="943" operator="equal">
      <formula>$U$1</formula>
    </cfRule>
    <cfRule type="cellIs" dxfId="73" priority="944" operator="equal">
      <formula>$S$1</formula>
    </cfRule>
  </conditionalFormatting>
  <conditionalFormatting sqref="D136">
    <cfRule type="cellIs" dxfId="72" priority="941" operator="equal">
      <formula>$S$1</formula>
    </cfRule>
    <cfRule type="cellIs" dxfId="71" priority="942" operator="equal">
      <formula>$U$1</formula>
    </cfRule>
  </conditionalFormatting>
  <conditionalFormatting sqref="C1">
    <cfRule type="cellIs" dxfId="70" priority="94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59" zoomScale="90" zoomScaleNormal="90" workbookViewId="0">
      <pane xSplit="4" topLeftCell="AO1" activePane="topRight" state="frozen"/>
      <selection activeCell="A109" sqref="A109"/>
      <selection pane="topRight" activeCell="CK85" sqref="CK8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7" x14ac:dyDescent="0.25">
      <c r="A49" s="30">
        <v>11146.951777869046</v>
      </c>
      <c r="C49" s="1" t="s">
        <v>11</v>
      </c>
      <c r="D49" s="1" t="s">
        <v>12</v>
      </c>
      <c r="E49"/>
    </row>
    <row r="50" spans="1:57" x14ac:dyDescent="0.25">
      <c r="A50" s="30">
        <v>10616.144550351471</v>
      </c>
      <c r="C50"/>
      <c r="D50"/>
      <c r="E50"/>
    </row>
    <row r="51" spans="1:57" x14ac:dyDescent="0.25">
      <c r="A51" s="30">
        <v>10110.613857477592</v>
      </c>
      <c r="E51"/>
    </row>
    <row r="52" spans="1:57" x14ac:dyDescent="0.25">
      <c r="A52" s="30">
        <v>9629.1560547405643</v>
      </c>
      <c r="C52" s="1" t="s">
        <v>13</v>
      </c>
      <c r="E52"/>
    </row>
    <row r="53" spans="1:57" x14ac:dyDescent="0.25">
      <c r="A53" s="30">
        <v>9170.6248140386324</v>
      </c>
      <c r="C53" s="1">
        <f>C42</f>
        <v>0</v>
      </c>
      <c r="E53"/>
    </row>
    <row r="54" spans="1:57" x14ac:dyDescent="0.25">
      <c r="A54" s="30">
        <v>8733.9283943225073</v>
      </c>
      <c r="C54"/>
      <c r="E54"/>
    </row>
    <row r="55" spans="1:57" x14ac:dyDescent="0.25">
      <c r="A55" s="30">
        <v>8318.027042211912</v>
      </c>
      <c r="C55" s="1" t="s">
        <v>14</v>
      </c>
      <c r="E55"/>
    </row>
    <row r="56" spans="1:57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7" x14ac:dyDescent="0.25">
      <c r="A57" s="30">
        <v>7544.6957298974248</v>
      </c>
      <c r="E57"/>
    </row>
    <row r="58" spans="1:57" x14ac:dyDescent="0.25">
      <c r="A58" s="30">
        <v>7185.4245046642136</v>
      </c>
      <c r="E58"/>
    </row>
    <row r="59" spans="1:57" x14ac:dyDescent="0.25">
      <c r="A59" s="30">
        <v>6843.2614330135366</v>
      </c>
      <c r="E59"/>
    </row>
    <row r="60" spans="1:57" x14ac:dyDescent="0.25">
      <c r="A60" s="30">
        <v>6517.3918409652724</v>
      </c>
      <c r="E60"/>
    </row>
    <row r="61" spans="1:57" x14ac:dyDescent="0.25">
      <c r="A61" s="30">
        <v>6207.0398485383548</v>
      </c>
      <c r="E61"/>
      <c r="BA61" s="27" t="s">
        <v>8</v>
      </c>
    </row>
    <row r="62" spans="1:57" x14ac:dyDescent="0.25">
      <c r="A62" s="30">
        <v>5911.4665224174805</v>
      </c>
      <c r="E62"/>
      <c r="BA62" s="27" t="s">
        <v>8</v>
      </c>
      <c r="BB62" s="27" t="s">
        <v>7</v>
      </c>
      <c r="BC62" s="31" t="s">
        <v>8</v>
      </c>
    </row>
    <row r="63" spans="1:57" x14ac:dyDescent="0.25">
      <c r="A63" s="30">
        <v>5629.9681165880766</v>
      </c>
      <c r="E63"/>
      <c r="BA63" s="27" t="s">
        <v>8</v>
      </c>
      <c r="BB63" s="27" t="s">
        <v>7</v>
      </c>
      <c r="BC63" s="27" t="s">
        <v>8</v>
      </c>
      <c r="BD63" s="31" t="s">
        <v>7</v>
      </c>
    </row>
    <row r="64" spans="1:57" x14ac:dyDescent="0.25">
      <c r="A64" s="30">
        <v>5361.8743967505488</v>
      </c>
      <c r="E64"/>
      <c r="BA64" s="27" t="s">
        <v>8</v>
      </c>
      <c r="BB64" s="27" t="s">
        <v>7</v>
      </c>
      <c r="BC64" s="27" t="s">
        <v>8</v>
      </c>
      <c r="BD64" s="27" t="s">
        <v>7</v>
      </c>
      <c r="BE64" s="31"/>
    </row>
    <row r="65" spans="1:88" x14ac:dyDescent="0.25">
      <c r="A65" s="30">
        <v>5106.5470445243318</v>
      </c>
      <c r="E65"/>
      <c r="BA65" s="27" t="s">
        <v>8</v>
      </c>
      <c r="BB65" s="27" t="s">
        <v>7</v>
      </c>
      <c r="BC65" s="27" t="s">
        <v>8</v>
      </c>
      <c r="BD65" s="27" t="s">
        <v>7</v>
      </c>
      <c r="BF65" s="31"/>
    </row>
    <row r="66" spans="1:88" x14ac:dyDescent="0.25">
      <c r="A66" s="30">
        <v>4863.3781376422203</v>
      </c>
      <c r="E66"/>
      <c r="AY66" s="27" t="s">
        <v>8</v>
      </c>
      <c r="BA66" s="27" t="s">
        <v>8</v>
      </c>
      <c r="BB66" s="27" t="s">
        <v>7</v>
      </c>
      <c r="BC66" s="27" t="s">
        <v>8</v>
      </c>
      <c r="BD66" s="27" t="s">
        <v>7</v>
      </c>
      <c r="BE66" s="27" t="s">
        <v>8</v>
      </c>
      <c r="BG66" s="31"/>
    </row>
    <row r="67" spans="1:88" x14ac:dyDescent="0.25">
      <c r="A67" s="30">
        <v>4631.7887025164</v>
      </c>
      <c r="E67"/>
      <c r="AY67" s="27" t="s">
        <v>8</v>
      </c>
      <c r="AZ67" s="27" t="s">
        <v>7</v>
      </c>
      <c r="BA67" s="27" t="s">
        <v>8</v>
      </c>
      <c r="BB67" s="27" t="s">
        <v>7</v>
      </c>
      <c r="BD67" s="27" t="s">
        <v>7</v>
      </c>
      <c r="BE67" s="27" t="s">
        <v>8</v>
      </c>
      <c r="BF67" s="27" t="s">
        <v>7</v>
      </c>
      <c r="BH67" s="31"/>
    </row>
    <row r="68" spans="1:88" x14ac:dyDescent="0.25">
      <c r="A68" s="30">
        <v>4411.2273357299046</v>
      </c>
      <c r="E68"/>
      <c r="AY68" s="27" t="s">
        <v>8</v>
      </c>
      <c r="AZ68" s="27" t="s">
        <v>7</v>
      </c>
      <c r="BA68" s="27" t="s">
        <v>8</v>
      </c>
      <c r="BD68" s="33" t="s">
        <v>7</v>
      </c>
      <c r="BE68" s="27" t="s">
        <v>8</v>
      </c>
      <c r="BF68" s="27" t="s">
        <v>7</v>
      </c>
      <c r="BI68" s="31"/>
    </row>
    <row r="69" spans="1:88" x14ac:dyDescent="0.25">
      <c r="A69" s="30">
        <v>4201.1688911713372</v>
      </c>
      <c r="E69"/>
      <c r="AY69" s="27" t="s">
        <v>8</v>
      </c>
      <c r="AZ69" s="27" t="s">
        <v>7</v>
      </c>
      <c r="BA69" s="27" t="s">
        <v>8</v>
      </c>
      <c r="BD69" s="27" t="s">
        <v>7</v>
      </c>
      <c r="BF69" s="27" t="s">
        <v>7</v>
      </c>
      <c r="BG69" s="32" t="s">
        <v>8</v>
      </c>
      <c r="BI69" s="32" t="s">
        <v>8</v>
      </c>
      <c r="BJ69" s="31"/>
    </row>
    <row r="70" spans="1:88" x14ac:dyDescent="0.25">
      <c r="A70" s="30">
        <v>4001.1132296869878</v>
      </c>
      <c r="E70"/>
      <c r="AU70" s="27" t="s">
        <v>8</v>
      </c>
      <c r="AY70" s="27" t="s">
        <v>8</v>
      </c>
      <c r="AZ70" s="27" t="s">
        <v>7</v>
      </c>
      <c r="BA70" s="27" t="s">
        <v>8</v>
      </c>
      <c r="BF70" s="27" t="s">
        <v>7</v>
      </c>
      <c r="BG70" s="27" t="s">
        <v>8</v>
      </c>
      <c r="BH70" s="27" t="s">
        <v>7</v>
      </c>
      <c r="BI70" s="27" t="s">
        <v>8</v>
      </c>
      <c r="BJ70" s="27" t="s">
        <v>7</v>
      </c>
      <c r="BK70" s="31" t="s">
        <v>8</v>
      </c>
      <c r="BU70" s="27" t="s">
        <v>8</v>
      </c>
    </row>
    <row r="71" spans="1:88" x14ac:dyDescent="0.25">
      <c r="A71" s="30">
        <v>3810.5840282733216</v>
      </c>
      <c r="C71" s="1" t="s">
        <v>15</v>
      </c>
      <c r="E71"/>
      <c r="AU71" s="27" t="s">
        <v>8</v>
      </c>
      <c r="AV71" s="27" t="s">
        <v>7</v>
      </c>
      <c r="AW71" s="27" t="s">
        <v>8</v>
      </c>
      <c r="AY71" s="27" t="s">
        <v>8</v>
      </c>
      <c r="AZ71" s="27" t="s">
        <v>7</v>
      </c>
      <c r="BA71" s="27" t="s">
        <v>8</v>
      </c>
      <c r="BF71" s="27" t="s">
        <v>7</v>
      </c>
      <c r="BG71" s="27" t="s">
        <v>8</v>
      </c>
      <c r="BH71" s="27" t="s">
        <v>7</v>
      </c>
      <c r="BI71" s="27" t="s">
        <v>8</v>
      </c>
      <c r="BJ71" s="27" t="s">
        <v>7</v>
      </c>
      <c r="BK71" s="27" t="s">
        <v>8</v>
      </c>
      <c r="BL71" s="31" t="s">
        <v>7</v>
      </c>
      <c r="BM71" s="27" t="s">
        <v>8</v>
      </c>
      <c r="BU71" s="27" t="s">
        <v>8</v>
      </c>
      <c r="BV71" s="27" t="s">
        <v>7</v>
      </c>
    </row>
    <row r="72" spans="1:88" x14ac:dyDescent="0.25">
      <c r="A72" s="30">
        <v>3629.1276459745918</v>
      </c>
      <c r="C72" s="7">
        <v>0.11686133436193799</v>
      </c>
      <c r="D72"/>
      <c r="E72"/>
      <c r="AU72" s="27" t="s">
        <v>8</v>
      </c>
      <c r="AV72" s="27" t="s">
        <v>7</v>
      </c>
      <c r="AW72" s="27" t="s">
        <v>8</v>
      </c>
      <c r="AX72" s="27" t="s">
        <v>7</v>
      </c>
      <c r="AY72" s="27" t="s">
        <v>8</v>
      </c>
      <c r="AZ72" s="27" t="s">
        <v>7</v>
      </c>
      <c r="BA72" s="27" t="s">
        <v>8</v>
      </c>
      <c r="BF72" s="27" t="s">
        <v>7</v>
      </c>
      <c r="BG72" s="27" t="s">
        <v>8</v>
      </c>
      <c r="BH72" s="27" t="s">
        <v>7</v>
      </c>
      <c r="BI72" s="27" t="s">
        <v>8</v>
      </c>
      <c r="BJ72" s="27" t="s">
        <v>7</v>
      </c>
      <c r="BK72" s="27" t="s">
        <v>8</v>
      </c>
      <c r="BL72" s="27" t="s">
        <v>7</v>
      </c>
      <c r="BM72" s="31" t="s">
        <v>8</v>
      </c>
      <c r="BN72" s="31" t="s">
        <v>7</v>
      </c>
      <c r="BU72" s="27" t="s">
        <v>8</v>
      </c>
      <c r="BV72" s="27" t="s">
        <v>7</v>
      </c>
    </row>
    <row r="73" spans="1:88" x14ac:dyDescent="0.25">
      <c r="A73" s="30">
        <v>3456.3120437853254</v>
      </c>
      <c r="E73"/>
      <c r="AU73" s="27" t="s">
        <v>8</v>
      </c>
      <c r="AV73" s="27" t="s">
        <v>7</v>
      </c>
      <c r="AW73" s="27" t="s">
        <v>8</v>
      </c>
      <c r="AX73" s="27" t="s">
        <v>7</v>
      </c>
      <c r="AY73" s="27" t="s">
        <v>8</v>
      </c>
      <c r="AZ73" s="27" t="s">
        <v>7</v>
      </c>
      <c r="BA73" s="27" t="s">
        <v>8</v>
      </c>
      <c r="BF73" s="27" t="s">
        <v>7</v>
      </c>
      <c r="BG73" s="27" t="s">
        <v>8</v>
      </c>
      <c r="BH73" s="27" t="s">
        <v>7</v>
      </c>
      <c r="BI73" s="27" t="s">
        <v>8</v>
      </c>
      <c r="BJ73" s="27" t="s">
        <v>7</v>
      </c>
      <c r="BK73" s="27" t="s">
        <v>8</v>
      </c>
      <c r="BL73" s="27" t="s">
        <v>7</v>
      </c>
      <c r="BM73" s="27" t="s">
        <v>8</v>
      </c>
      <c r="BN73" s="27" t="s">
        <v>7</v>
      </c>
      <c r="BO73" s="31"/>
      <c r="BU73" s="27" t="s">
        <v>8</v>
      </c>
      <c r="BV73" s="27" t="s">
        <v>7</v>
      </c>
      <c r="CA73" s="27" t="s">
        <v>8</v>
      </c>
    </row>
    <row r="74" spans="1:88" x14ac:dyDescent="0.25">
      <c r="A74" s="30">
        <v>3291.7257559860241</v>
      </c>
      <c r="C74" s="1" t="s">
        <v>11</v>
      </c>
      <c r="D74" s="1" t="s">
        <v>12</v>
      </c>
      <c r="E74"/>
      <c r="AU74" s="27" t="s">
        <v>8</v>
      </c>
      <c r="AV74" s="27" t="s">
        <v>7</v>
      </c>
      <c r="AW74" s="27" t="s">
        <v>8</v>
      </c>
      <c r="AX74" s="32" t="s">
        <v>7</v>
      </c>
      <c r="AZ74" s="32" t="s">
        <v>7</v>
      </c>
      <c r="BF74" s="27" t="s">
        <v>7</v>
      </c>
      <c r="BG74" s="27" t="s">
        <v>8</v>
      </c>
      <c r="BH74" s="27" t="s">
        <v>7</v>
      </c>
      <c r="BI74" s="27" t="s">
        <v>8</v>
      </c>
      <c r="BJ74" s="27" t="s">
        <v>7</v>
      </c>
      <c r="BL74" s="27" t="s">
        <v>7</v>
      </c>
      <c r="BM74" s="27" t="s">
        <v>8</v>
      </c>
      <c r="BN74" s="27" t="s">
        <v>7</v>
      </c>
      <c r="BP74" s="31"/>
      <c r="BU74" s="27" t="s">
        <v>8</v>
      </c>
      <c r="BV74" s="27" t="s">
        <v>7</v>
      </c>
      <c r="CA74" s="27" t="s">
        <v>8</v>
      </c>
      <c r="CB74" s="27" t="s">
        <v>7</v>
      </c>
      <c r="CC74" s="27" t="s">
        <v>8</v>
      </c>
      <c r="CE74" s="27" t="s">
        <v>8</v>
      </c>
    </row>
    <row r="75" spans="1:88" x14ac:dyDescent="0.25">
      <c r="A75" s="30">
        <v>3134.9769104628799</v>
      </c>
      <c r="C75"/>
      <c r="D75"/>
      <c r="E75"/>
      <c r="AU75" s="27" t="s">
        <v>8</v>
      </c>
      <c r="AV75" s="27" t="s">
        <v>7</v>
      </c>
      <c r="AW75" s="27" t="s">
        <v>8</v>
      </c>
      <c r="BF75" s="27" t="s">
        <v>7</v>
      </c>
      <c r="BG75" s="27" t="s">
        <v>8</v>
      </c>
      <c r="BH75" s="27" t="s">
        <v>7</v>
      </c>
      <c r="BI75" s="27" t="s">
        <v>8</v>
      </c>
      <c r="BL75" s="27" t="s">
        <v>7</v>
      </c>
      <c r="BM75" s="27" t="s">
        <v>8</v>
      </c>
      <c r="BN75" s="27" t="s">
        <v>7</v>
      </c>
      <c r="BQ75" s="31"/>
      <c r="BU75" s="34" t="s">
        <v>8</v>
      </c>
      <c r="BV75" s="27" t="s">
        <v>7</v>
      </c>
      <c r="BW75" s="27" t="s">
        <v>8</v>
      </c>
      <c r="CA75" s="27" t="s">
        <v>8</v>
      </c>
      <c r="CB75" s="27" t="s">
        <v>7</v>
      </c>
      <c r="CC75" s="27" t="s">
        <v>8</v>
      </c>
      <c r="CD75" s="27" t="s">
        <v>7</v>
      </c>
      <c r="CE75" s="27" t="s">
        <v>8</v>
      </c>
      <c r="CF75" s="27" t="s">
        <v>7</v>
      </c>
    </row>
    <row r="76" spans="1:88" x14ac:dyDescent="0.25">
      <c r="A76" s="30">
        <v>2985.6922956789331</v>
      </c>
      <c r="E76"/>
      <c r="AG76" s="27" t="s">
        <v>8</v>
      </c>
      <c r="AM76" s="27" t="s">
        <v>8</v>
      </c>
      <c r="AU76" s="27" t="s">
        <v>8</v>
      </c>
      <c r="AV76" s="27" t="s">
        <v>7</v>
      </c>
      <c r="AW76" s="27" t="s">
        <v>8</v>
      </c>
      <c r="BF76" s="27" t="s">
        <v>7</v>
      </c>
      <c r="BG76" s="27" t="s">
        <v>8</v>
      </c>
      <c r="BH76" s="27" t="s">
        <v>7</v>
      </c>
      <c r="BI76" s="27" t="s">
        <v>8</v>
      </c>
      <c r="BL76" s="27" t="s">
        <v>7</v>
      </c>
      <c r="BM76" s="27" t="s">
        <v>8</v>
      </c>
      <c r="BN76" s="27" t="s">
        <v>7</v>
      </c>
      <c r="BR76" s="31"/>
      <c r="BS76" s="27" t="s">
        <v>8</v>
      </c>
      <c r="BU76" s="27" t="s">
        <v>8</v>
      </c>
      <c r="BV76" s="27" t="s">
        <v>7</v>
      </c>
      <c r="BW76" s="27" t="s">
        <v>8</v>
      </c>
      <c r="BX76" s="27" t="s">
        <v>7</v>
      </c>
      <c r="CA76" s="27" t="s">
        <v>8</v>
      </c>
      <c r="CB76" s="27" t="s">
        <v>7</v>
      </c>
      <c r="CC76" s="27" t="s">
        <v>8</v>
      </c>
      <c r="CD76" s="27" t="s">
        <v>7</v>
      </c>
      <c r="CE76" s="27" t="s">
        <v>8</v>
      </c>
      <c r="CF76" s="27" t="s">
        <v>7</v>
      </c>
    </row>
    <row r="77" spans="1:88" x14ac:dyDescent="0.25">
      <c r="A77" s="30">
        <v>2843.5164720751741</v>
      </c>
      <c r="C77" s="1" t="s">
        <v>13</v>
      </c>
      <c r="E77"/>
      <c r="AG77" s="27" t="s">
        <v>8</v>
      </c>
      <c r="AH77" s="27" t="s">
        <v>7</v>
      </c>
      <c r="AM77" s="27" t="s">
        <v>8</v>
      </c>
      <c r="AN77" s="27" t="s">
        <v>7</v>
      </c>
      <c r="AU77" s="27" t="s">
        <v>8</v>
      </c>
      <c r="AV77" s="27" t="s">
        <v>7</v>
      </c>
      <c r="AW77" s="27" t="s">
        <v>8</v>
      </c>
      <c r="BF77" s="31" t="s">
        <v>7</v>
      </c>
      <c r="BG77" s="27" t="s">
        <v>8</v>
      </c>
      <c r="BH77" s="27" t="s">
        <v>7</v>
      </c>
      <c r="BI77" s="27" t="s">
        <v>8</v>
      </c>
      <c r="BL77" s="27" t="s">
        <v>7</v>
      </c>
      <c r="BN77" s="27" t="s">
        <v>7</v>
      </c>
      <c r="BQ77" s="27" t="s">
        <v>8</v>
      </c>
      <c r="BS77" s="31" t="s">
        <v>8</v>
      </c>
      <c r="BT77" s="27" t="s">
        <v>7</v>
      </c>
      <c r="BU77" s="27" t="s">
        <v>8</v>
      </c>
      <c r="BV77" s="27" t="s">
        <v>7</v>
      </c>
      <c r="BW77" s="27" t="s">
        <v>8</v>
      </c>
      <c r="BX77" s="27" t="s">
        <v>7</v>
      </c>
      <c r="CA77" s="27" t="s">
        <v>8</v>
      </c>
      <c r="CB77" s="27" t="s">
        <v>7</v>
      </c>
      <c r="CD77" s="27" t="s">
        <v>7</v>
      </c>
      <c r="CE77" s="31" t="s">
        <v>8</v>
      </c>
      <c r="CF77" s="27" t="s">
        <v>7</v>
      </c>
    </row>
    <row r="78" spans="1:88" x14ac:dyDescent="0.25">
      <c r="A78" s="30">
        <v>2708.1109257858798</v>
      </c>
      <c r="C78" s="1">
        <f>C67</f>
        <v>0</v>
      </c>
      <c r="E78"/>
      <c r="AG78" s="27" t="s">
        <v>8</v>
      </c>
      <c r="AH78" s="27" t="s">
        <v>7</v>
      </c>
      <c r="AI78" s="27" t="s">
        <v>8</v>
      </c>
      <c r="AK78" s="27" t="s">
        <v>8</v>
      </c>
      <c r="AM78" s="27" t="s">
        <v>8</v>
      </c>
      <c r="AN78" s="27" t="s">
        <v>7</v>
      </c>
      <c r="AU78" s="27" t="s">
        <v>8</v>
      </c>
      <c r="AV78" s="27" t="s">
        <v>7</v>
      </c>
      <c r="BE78" s="31"/>
      <c r="BF78" s="27" t="s">
        <v>7</v>
      </c>
      <c r="BG78" s="27" t="s">
        <v>8</v>
      </c>
      <c r="BH78" s="27" t="s">
        <v>7</v>
      </c>
      <c r="BI78" s="27" t="s">
        <v>8</v>
      </c>
      <c r="BN78" s="27" t="s">
        <v>7</v>
      </c>
      <c r="BQ78" s="27" t="s">
        <v>8</v>
      </c>
      <c r="BR78" s="27" t="s">
        <v>7</v>
      </c>
      <c r="BS78" s="27" t="s">
        <v>8</v>
      </c>
      <c r="BT78" s="27" t="s">
        <v>7</v>
      </c>
      <c r="BU78" s="27" t="s">
        <v>8</v>
      </c>
      <c r="BV78" s="27" t="s">
        <v>7</v>
      </c>
      <c r="BX78" s="27" t="s">
        <v>7</v>
      </c>
      <c r="BY78" s="27" t="s">
        <v>8</v>
      </c>
      <c r="CA78" s="27" t="s">
        <v>8</v>
      </c>
      <c r="CD78" s="31" t="s">
        <v>7</v>
      </c>
      <c r="CF78" s="27" t="s">
        <v>7</v>
      </c>
      <c r="CG78" s="27" t="s">
        <v>8</v>
      </c>
      <c r="CI78" s="27" t="s">
        <v>8</v>
      </c>
    </row>
    <row r="79" spans="1:88" x14ac:dyDescent="0.25">
      <c r="A79" s="30">
        <v>2579.1532626532189</v>
      </c>
      <c r="C79"/>
      <c r="E79"/>
      <c r="AG79" s="27" t="s">
        <v>8</v>
      </c>
      <c r="AH79" s="27" t="s">
        <v>7</v>
      </c>
      <c r="AI79" s="27" t="s">
        <v>8</v>
      </c>
      <c r="AJ79" s="27" t="s">
        <v>7</v>
      </c>
      <c r="AK79" s="27" t="s">
        <v>8</v>
      </c>
      <c r="AL79" s="27" t="s">
        <v>7</v>
      </c>
      <c r="AM79" s="27" t="s">
        <v>8</v>
      </c>
      <c r="AN79" s="27" t="s">
        <v>7</v>
      </c>
      <c r="AS79" s="27" t="s">
        <v>8</v>
      </c>
      <c r="AU79" s="27" t="s">
        <v>8</v>
      </c>
      <c r="BD79" s="31"/>
      <c r="BF79" s="27" t="s">
        <v>7</v>
      </c>
      <c r="BG79" s="27" t="s">
        <v>8</v>
      </c>
      <c r="BH79" s="27" t="s">
        <v>7</v>
      </c>
      <c r="BI79" s="27" t="s">
        <v>8</v>
      </c>
      <c r="BN79" s="27" t="s">
        <v>7</v>
      </c>
      <c r="BQ79" s="34" t="s">
        <v>8</v>
      </c>
      <c r="BR79" s="27" t="s">
        <v>7</v>
      </c>
      <c r="BS79" s="27" t="s">
        <v>8</v>
      </c>
      <c r="BT79" s="27" t="s">
        <v>7</v>
      </c>
      <c r="BU79" s="27" t="s">
        <v>8</v>
      </c>
      <c r="BX79" s="27" t="s">
        <v>7</v>
      </c>
      <c r="BY79" s="27" t="s">
        <v>8</v>
      </c>
      <c r="BZ79" s="27" t="s">
        <v>7</v>
      </c>
      <c r="CA79" s="27" t="s">
        <v>8</v>
      </c>
      <c r="CC79" s="31"/>
      <c r="CF79" s="27" t="s">
        <v>7</v>
      </c>
      <c r="CG79" s="27" t="s">
        <v>8</v>
      </c>
      <c r="CH79" s="27" t="s">
        <v>7</v>
      </c>
      <c r="CI79" s="27" t="s">
        <v>8</v>
      </c>
      <c r="CJ79" s="27" t="s">
        <v>7</v>
      </c>
    </row>
    <row r="80" spans="1:88" x14ac:dyDescent="0.25">
      <c r="A80" s="30">
        <v>2456.3364406221131</v>
      </c>
      <c r="C80" s="1" t="s">
        <v>14</v>
      </c>
      <c r="E80"/>
      <c r="AG80" s="27" t="s">
        <v>8</v>
      </c>
      <c r="AH80" s="27" t="s">
        <v>7</v>
      </c>
      <c r="AI80" s="27" t="s">
        <v>8</v>
      </c>
      <c r="AJ80" s="27" t="s">
        <v>7</v>
      </c>
      <c r="AK80" s="27" t="s">
        <v>8</v>
      </c>
      <c r="AL80" s="27" t="s">
        <v>7</v>
      </c>
      <c r="AM80" s="27" t="s">
        <v>8</v>
      </c>
      <c r="AN80" s="27" t="s">
        <v>7</v>
      </c>
      <c r="AS80" s="34" t="s">
        <v>8</v>
      </c>
      <c r="AT80" s="27" t="s">
        <v>7</v>
      </c>
      <c r="AU80" s="27" t="s">
        <v>8</v>
      </c>
      <c r="BC80" s="31"/>
      <c r="BF80" s="27" t="s">
        <v>7</v>
      </c>
      <c r="BH80" s="27" t="s">
        <v>7</v>
      </c>
      <c r="BI80" s="27" t="s">
        <v>8</v>
      </c>
      <c r="BN80" s="27" t="s">
        <v>7</v>
      </c>
      <c r="BO80" s="27" t="s">
        <v>8</v>
      </c>
      <c r="BQ80" s="27" t="s">
        <v>8</v>
      </c>
      <c r="BR80" s="27" t="s">
        <v>7</v>
      </c>
      <c r="BT80" s="27" t="s">
        <v>7</v>
      </c>
      <c r="BU80" s="27" t="s">
        <v>8</v>
      </c>
      <c r="BW80" s="31"/>
      <c r="BX80" s="27" t="s">
        <v>7</v>
      </c>
      <c r="BY80" s="27" t="s">
        <v>8</v>
      </c>
      <c r="BZ80" s="27" t="s">
        <v>7</v>
      </c>
      <c r="CA80" s="27" t="s">
        <v>8</v>
      </c>
      <c r="CB80" s="31"/>
      <c r="CF80" s="27" t="s">
        <v>7</v>
      </c>
      <c r="CG80" s="27" t="s">
        <v>8</v>
      </c>
      <c r="CH80" s="27" t="s">
        <v>7</v>
      </c>
      <c r="CI80" s="27" t="s">
        <v>8</v>
      </c>
      <c r="CJ80" s="27" t="s">
        <v>7</v>
      </c>
    </row>
    <row r="81" spans="1:89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  <c r="AG81" s="27" t="s">
        <v>8</v>
      </c>
      <c r="AH81" s="27" t="s">
        <v>7</v>
      </c>
      <c r="AJ81" s="27" t="s">
        <v>7</v>
      </c>
      <c r="AK81" s="27" t="s">
        <v>8</v>
      </c>
      <c r="AL81" s="27" t="s">
        <v>7</v>
      </c>
      <c r="AM81" s="27" t="s">
        <v>8</v>
      </c>
      <c r="AN81" s="27" t="s">
        <v>7</v>
      </c>
      <c r="AO81" s="32" t="s">
        <v>8</v>
      </c>
      <c r="AQ81" s="32" t="s">
        <v>8</v>
      </c>
      <c r="AS81" s="27" t="s">
        <v>8</v>
      </c>
      <c r="AT81" s="27" t="s">
        <v>7</v>
      </c>
      <c r="AU81" s="27" t="s">
        <v>8</v>
      </c>
      <c r="BB81" s="31"/>
      <c r="BH81" s="27" t="s">
        <v>7</v>
      </c>
      <c r="BI81" s="27" t="s">
        <v>8</v>
      </c>
      <c r="BN81" s="27" t="s">
        <v>7</v>
      </c>
      <c r="BO81" s="27" t="s">
        <v>8</v>
      </c>
      <c r="BP81" s="27" t="s">
        <v>7</v>
      </c>
      <c r="BQ81" s="27" t="s">
        <v>8</v>
      </c>
      <c r="BT81" s="33" t="s">
        <v>7</v>
      </c>
      <c r="BU81" s="27" t="s">
        <v>8</v>
      </c>
      <c r="BV81" s="31"/>
      <c r="BX81" s="27" t="s">
        <v>7</v>
      </c>
      <c r="BY81" s="27" t="s">
        <v>8</v>
      </c>
      <c r="BZ81" s="27" t="s">
        <v>7</v>
      </c>
      <c r="CA81" s="31" t="s">
        <v>8</v>
      </c>
      <c r="CF81" s="27" t="s">
        <v>7</v>
      </c>
      <c r="CH81" s="27" t="s">
        <v>7</v>
      </c>
      <c r="CI81" s="27" t="s">
        <v>8</v>
      </c>
      <c r="CJ81" s="27" t="s">
        <v>7</v>
      </c>
    </row>
    <row r="82" spans="1:89" x14ac:dyDescent="0.25">
      <c r="A82" s="30">
        <v>2227.9695606549776</v>
      </c>
      <c r="E82"/>
      <c r="AG82" s="27" t="s">
        <v>8</v>
      </c>
      <c r="AJ82" s="32" t="s">
        <v>7</v>
      </c>
      <c r="AL82" s="32" t="s">
        <v>7</v>
      </c>
      <c r="AN82" s="27" t="s">
        <v>7</v>
      </c>
      <c r="AO82" s="27" t="s">
        <v>8</v>
      </c>
      <c r="AP82" s="27" t="s">
        <v>7</v>
      </c>
      <c r="AQ82" s="27" t="s">
        <v>8</v>
      </c>
      <c r="AR82" s="27" t="s">
        <v>7</v>
      </c>
      <c r="AS82" s="27" t="s">
        <v>8</v>
      </c>
      <c r="AT82" s="27" t="s">
        <v>7</v>
      </c>
      <c r="AU82" s="27" t="s">
        <v>8</v>
      </c>
      <c r="BA82" s="31"/>
      <c r="BH82" s="27" t="s">
        <v>7</v>
      </c>
      <c r="BI82" s="27" t="s">
        <v>8</v>
      </c>
      <c r="BN82" s="27" t="s">
        <v>7</v>
      </c>
      <c r="BO82" s="27" t="s">
        <v>8</v>
      </c>
      <c r="BP82" s="27" t="s">
        <v>7</v>
      </c>
      <c r="BQ82" s="27" t="s">
        <v>8</v>
      </c>
      <c r="BT82" s="27" t="s">
        <v>7</v>
      </c>
      <c r="BU82" s="31" t="s">
        <v>8</v>
      </c>
      <c r="BX82" s="27" t="s">
        <v>7</v>
      </c>
      <c r="BZ82" s="31" t="s">
        <v>7</v>
      </c>
      <c r="CH82" s="27" t="s">
        <v>7</v>
      </c>
      <c r="CJ82" s="27" t="s">
        <v>7</v>
      </c>
    </row>
    <row r="83" spans="1:89" x14ac:dyDescent="0.25">
      <c r="A83" s="30">
        <v>2121.8757720523595</v>
      </c>
      <c r="E83"/>
      <c r="AG83" s="27" t="s">
        <v>8</v>
      </c>
      <c r="AN83" s="33" t="s">
        <v>7</v>
      </c>
      <c r="AO83" s="27" t="s">
        <v>8</v>
      </c>
      <c r="AP83" s="27" t="s">
        <v>7</v>
      </c>
      <c r="AQ83" s="27" t="s">
        <v>8</v>
      </c>
      <c r="AR83" s="27" t="s">
        <v>7</v>
      </c>
      <c r="AS83" s="27" t="s">
        <v>8</v>
      </c>
      <c r="AT83" s="27" t="s">
        <v>7</v>
      </c>
      <c r="AU83" s="27" t="s">
        <v>8</v>
      </c>
      <c r="AZ83" s="31"/>
      <c r="BH83" s="27" t="s">
        <v>7</v>
      </c>
      <c r="BI83" s="27" t="s">
        <v>8</v>
      </c>
      <c r="BN83" s="27" t="s">
        <v>7</v>
      </c>
      <c r="BO83" s="27" t="s">
        <v>8</v>
      </c>
      <c r="BP83" s="27" t="s">
        <v>7</v>
      </c>
      <c r="BQ83" s="27" t="s">
        <v>8</v>
      </c>
      <c r="BT83" s="31" t="s">
        <v>7</v>
      </c>
      <c r="CJ83" s="27" t="s">
        <v>7</v>
      </c>
    </row>
    <row r="84" spans="1:89" x14ac:dyDescent="0.25">
      <c r="A84" s="30">
        <v>2020.8340686212948</v>
      </c>
      <c r="E84"/>
      <c r="AG84" s="27" t="s">
        <v>8</v>
      </c>
      <c r="AN84" s="27" t="s">
        <v>7</v>
      </c>
      <c r="AO84" s="27" t="s">
        <v>8</v>
      </c>
      <c r="AP84" s="27" t="s">
        <v>7</v>
      </c>
      <c r="AQ84" s="27" t="s">
        <v>8</v>
      </c>
      <c r="AR84" s="27" t="s">
        <v>7</v>
      </c>
      <c r="AS84" s="27" t="s">
        <v>8</v>
      </c>
      <c r="AT84" s="27" t="s">
        <v>7</v>
      </c>
      <c r="AY84" s="31"/>
      <c r="BH84" s="27" t="s">
        <v>7</v>
      </c>
      <c r="BI84" s="27" t="s">
        <v>8</v>
      </c>
      <c r="BN84" s="27" t="s">
        <v>7</v>
      </c>
      <c r="BO84" s="27" t="s">
        <v>8</v>
      </c>
      <c r="BP84" s="27" t="s">
        <v>7</v>
      </c>
      <c r="BQ84" s="27" t="s">
        <v>8</v>
      </c>
      <c r="CJ84" s="27" t="s">
        <v>7</v>
      </c>
    </row>
    <row r="85" spans="1:89" x14ac:dyDescent="0.25">
      <c r="A85" s="30">
        <v>1924.6038748774236</v>
      </c>
      <c r="E85"/>
      <c r="Y85" s="27" t="s">
        <v>8</v>
      </c>
      <c r="AG85" s="27" t="s">
        <v>8</v>
      </c>
      <c r="AN85" s="27" t="s">
        <v>7</v>
      </c>
      <c r="AO85" s="27" t="s">
        <v>8</v>
      </c>
      <c r="AP85" s="27" t="s">
        <v>7</v>
      </c>
      <c r="AQ85" s="27" t="s">
        <v>8</v>
      </c>
      <c r="AR85" s="27" t="s">
        <v>7</v>
      </c>
      <c r="AS85" s="27" t="s">
        <v>8</v>
      </c>
      <c r="AX85" s="31"/>
      <c r="BH85" s="27" t="s">
        <v>7</v>
      </c>
      <c r="BI85" s="27" t="s">
        <v>8</v>
      </c>
      <c r="BN85" s="32" t="s">
        <v>7</v>
      </c>
      <c r="BP85" s="32" t="s">
        <v>7</v>
      </c>
      <c r="CJ85" s="27" t="s">
        <v>7</v>
      </c>
      <c r="CK85" s="27" t="s">
        <v>8</v>
      </c>
    </row>
    <row r="86" spans="1:89" x14ac:dyDescent="0.25">
      <c r="A86" s="30">
        <v>1832.9560713118319</v>
      </c>
      <c r="E86"/>
      <c r="Y86" s="27" t="s">
        <v>8</v>
      </c>
      <c r="Z86" s="27" t="s">
        <v>7</v>
      </c>
      <c r="AG86" s="27" t="s">
        <v>8</v>
      </c>
      <c r="AN86" s="32" t="s">
        <v>7</v>
      </c>
      <c r="AP86" s="32" t="s">
        <v>7</v>
      </c>
      <c r="AR86" s="32" t="s">
        <v>7</v>
      </c>
      <c r="AW86" s="31"/>
      <c r="BH86" s="27" t="s">
        <v>7</v>
      </c>
      <c r="CJ86" s="27" t="s">
        <v>7</v>
      </c>
      <c r="CK86" s="27" t="s">
        <v>8</v>
      </c>
    </row>
    <row r="87" spans="1:89" x14ac:dyDescent="0.25">
      <c r="A87" s="30">
        <v>1745.6724488684113</v>
      </c>
      <c r="E87"/>
      <c r="Y87" s="27" t="s">
        <v>8</v>
      </c>
      <c r="Z87" s="27" t="s">
        <v>7</v>
      </c>
      <c r="AG87" s="27" t="s">
        <v>8</v>
      </c>
      <c r="AV87" s="31"/>
      <c r="CJ87" s="27" t="s">
        <v>7</v>
      </c>
      <c r="CK87" s="27" t="s">
        <v>8</v>
      </c>
    </row>
    <row r="88" spans="1:89" x14ac:dyDescent="0.25">
      <c r="A88" s="30">
        <v>1662.5451893984869</v>
      </c>
      <c r="E88"/>
      <c r="Y88" s="27" t="s">
        <v>8</v>
      </c>
      <c r="Z88" s="27" t="s">
        <v>7</v>
      </c>
      <c r="AA88" s="27" t="s">
        <v>8</v>
      </c>
      <c r="AG88" s="27" t="s">
        <v>8</v>
      </c>
      <c r="AU88" s="31"/>
      <c r="CJ88" s="27" t="s">
        <v>7</v>
      </c>
    </row>
    <row r="89" spans="1:89" x14ac:dyDescent="0.25">
      <c r="A89" s="30">
        <v>1583.3763708557017</v>
      </c>
      <c r="E89"/>
      <c r="Y89" s="27" t="s">
        <v>8</v>
      </c>
      <c r="Z89" s="27" t="s">
        <v>7</v>
      </c>
      <c r="AA89" s="27" t="s">
        <v>8</v>
      </c>
      <c r="AB89" s="27" t="s">
        <v>7</v>
      </c>
      <c r="AC89" s="27" t="s">
        <v>8</v>
      </c>
      <c r="AG89" s="27" t="s">
        <v>8</v>
      </c>
      <c r="AT89" s="31"/>
    </row>
    <row r="90" spans="1:89" x14ac:dyDescent="0.25">
      <c r="A90" s="30">
        <v>1507.9774960530492</v>
      </c>
      <c r="E90"/>
      <c r="Y90" s="27" t="s">
        <v>8</v>
      </c>
      <c r="Z90" s="27" t="s">
        <v>7</v>
      </c>
      <c r="AA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G90" s="27" t="s">
        <v>8</v>
      </c>
      <c r="AS90" s="31"/>
    </row>
    <row r="91" spans="1:89" x14ac:dyDescent="0.25">
      <c r="A91" s="30">
        <v>1436.1690438600467</v>
      </c>
      <c r="E91"/>
      <c r="Y91" s="27" t="s">
        <v>8</v>
      </c>
      <c r="Z91" s="27" t="s">
        <v>7</v>
      </c>
      <c r="AA91" s="27" t="s">
        <v>8</v>
      </c>
      <c r="AB91" s="27" t="s">
        <v>7</v>
      </c>
      <c r="AC91" s="27" t="s">
        <v>8</v>
      </c>
      <c r="AD91" s="27" t="s">
        <v>7</v>
      </c>
      <c r="AE91" s="27" t="s">
        <v>8</v>
      </c>
      <c r="AF91" s="27" t="s">
        <v>7</v>
      </c>
      <c r="AG91" s="27" t="s">
        <v>8</v>
      </c>
      <c r="AR91" s="31"/>
    </row>
    <row r="92" spans="1:89" x14ac:dyDescent="0.25">
      <c r="A92" s="30">
        <v>1367.780041771473</v>
      </c>
      <c r="E92"/>
      <c r="Y92" s="27" t="s">
        <v>8</v>
      </c>
      <c r="Z92" s="27" t="s">
        <v>7</v>
      </c>
      <c r="AA92" s="27" t="s">
        <v>8</v>
      </c>
      <c r="AB92" s="27" t="s">
        <v>7</v>
      </c>
      <c r="AD92" s="27" t="s">
        <v>7</v>
      </c>
      <c r="AE92" s="27" t="s">
        <v>8</v>
      </c>
      <c r="AF92" s="27" t="s">
        <v>7</v>
      </c>
      <c r="AG92" s="27" t="s">
        <v>8</v>
      </c>
      <c r="AQ92" s="31"/>
    </row>
    <row r="93" spans="1:89" x14ac:dyDescent="0.25">
      <c r="A93" s="30">
        <v>1302.6476588299743</v>
      </c>
      <c r="E93"/>
      <c r="Y93" s="27" t="s">
        <v>8</v>
      </c>
      <c r="Z93" s="27" t="s">
        <v>7</v>
      </c>
      <c r="AA93" s="27" t="s">
        <v>8</v>
      </c>
      <c r="AD93" s="27" t="s">
        <v>7</v>
      </c>
      <c r="AE93" s="27" t="s">
        <v>8</v>
      </c>
      <c r="AF93" s="27" t="s">
        <v>7</v>
      </c>
      <c r="AP93" s="31"/>
    </row>
    <row r="94" spans="1:89" x14ac:dyDescent="0.25">
      <c r="A94" s="30">
        <v>1240.6168179333088</v>
      </c>
      <c r="E94"/>
      <c r="W94" s="27" t="s">
        <v>8</v>
      </c>
      <c r="Y94" s="27" t="s">
        <v>8</v>
      </c>
      <c r="Z94" s="27" t="s">
        <v>7</v>
      </c>
      <c r="AA94" s="27" t="s">
        <v>8</v>
      </c>
      <c r="AD94" s="27" t="s">
        <v>7</v>
      </c>
      <c r="AE94" s="27" t="s">
        <v>8</v>
      </c>
      <c r="AO94" s="31"/>
    </row>
    <row r="95" spans="1:89" x14ac:dyDescent="0.25">
      <c r="A95" s="30">
        <v>1181.5398266031511</v>
      </c>
      <c r="E95"/>
      <c r="W95" s="27" t="s">
        <v>8</v>
      </c>
      <c r="X95" s="27" t="s">
        <v>7</v>
      </c>
      <c r="Y95" s="27" t="s">
        <v>8</v>
      </c>
      <c r="Z95" s="27" t="s">
        <v>7</v>
      </c>
      <c r="AA95" s="27" t="s">
        <v>8</v>
      </c>
      <c r="AD95" s="27" t="s">
        <v>7</v>
      </c>
      <c r="AE95" s="27" t="s">
        <v>8</v>
      </c>
      <c r="AN95" s="31"/>
    </row>
    <row r="96" spans="1:89" x14ac:dyDescent="0.25">
      <c r="A96" s="30">
        <v>1125.2760253363344</v>
      </c>
      <c r="C96" s="1" t="s">
        <v>15</v>
      </c>
      <c r="E96"/>
      <c r="W96" s="27" t="s">
        <v>8</v>
      </c>
      <c r="X96" s="27" t="s">
        <v>7</v>
      </c>
      <c r="Y96" s="27" t="s">
        <v>8</v>
      </c>
      <c r="Z96" s="27" t="s">
        <v>7</v>
      </c>
      <c r="AD96" s="27" t="s">
        <v>7</v>
      </c>
      <c r="AE96" s="27" t="s">
        <v>8</v>
      </c>
      <c r="AM96" s="31"/>
    </row>
    <row r="97" spans="1:38" x14ac:dyDescent="0.25">
      <c r="A97" s="30">
        <v>1071.6914527012709</v>
      </c>
      <c r="C97" s="7">
        <v>0.11686133436193799</v>
      </c>
      <c r="D97"/>
      <c r="E97"/>
      <c r="W97" s="27" t="s">
        <v>8</v>
      </c>
      <c r="X97" s="27" t="s">
        <v>7</v>
      </c>
      <c r="Y97" s="27" t="s">
        <v>8</v>
      </c>
      <c r="AD97" s="27" t="s">
        <v>7</v>
      </c>
      <c r="AL97" s="31"/>
    </row>
    <row r="98" spans="1:38" x14ac:dyDescent="0.25">
      <c r="A98" s="30">
        <v>1020.6585263821628</v>
      </c>
      <c r="E98"/>
      <c r="W98" s="27" t="s">
        <v>8</v>
      </c>
      <c r="X98" s="27" t="s">
        <v>7</v>
      </c>
      <c r="Y98" s="27" t="s">
        <v>8</v>
      </c>
      <c r="AK98" s="31"/>
    </row>
    <row r="99" spans="1:38" x14ac:dyDescent="0.25">
      <c r="A99" s="30">
        <v>972.05573941158355</v>
      </c>
      <c r="C99" s="1" t="s">
        <v>11</v>
      </c>
      <c r="D99" s="1" t="s">
        <v>12</v>
      </c>
      <c r="E99"/>
      <c r="W99" s="27" t="s">
        <v>8</v>
      </c>
      <c r="X99" s="27" t="s">
        <v>7</v>
      </c>
      <c r="AJ99" s="31"/>
    </row>
    <row r="100" spans="1:38" x14ac:dyDescent="0.25">
      <c r="A100" s="30">
        <v>925.76737086817479</v>
      </c>
      <c r="C100"/>
      <c r="D100"/>
      <c r="E100"/>
      <c r="W100" s="27" t="s">
        <v>8</v>
      </c>
      <c r="AI100" s="31"/>
    </row>
    <row r="101" spans="1:38" x14ac:dyDescent="0.25">
      <c r="A101" s="30">
        <v>881.68321035064264</v>
      </c>
      <c r="E101"/>
      <c r="W101" s="27" t="s">
        <v>8</v>
      </c>
      <c r="AH101" s="31"/>
    </row>
    <row r="102" spans="1:38" x14ac:dyDescent="0.25">
      <c r="A102" s="30">
        <v>839.69829557204059</v>
      </c>
      <c r="C102" s="1" t="s">
        <v>13</v>
      </c>
      <c r="E102" t="s">
        <v>8</v>
      </c>
      <c r="W102" s="27" t="s">
        <v>8</v>
      </c>
      <c r="AG102" s="31"/>
    </row>
    <row r="103" spans="1:38" x14ac:dyDescent="0.25">
      <c r="A103" s="30">
        <v>799.71266244956246</v>
      </c>
      <c r="C103" s="1">
        <f>C92</f>
        <v>0</v>
      </c>
      <c r="E103" t="s">
        <v>8</v>
      </c>
      <c r="F103" s="27" t="s">
        <v>7</v>
      </c>
      <c r="G103" s="27" t="s">
        <v>8</v>
      </c>
      <c r="W103" s="27" t="s">
        <v>8</v>
      </c>
      <c r="AF103" s="31"/>
    </row>
    <row r="104" spans="1:38" x14ac:dyDescent="0.25">
      <c r="A104" s="30">
        <v>761.63110709482135</v>
      </c>
      <c r="C104"/>
      <c r="E104" t="s">
        <v>8</v>
      </c>
      <c r="F104" s="27" t="s">
        <v>7</v>
      </c>
      <c r="G104" s="27" t="s">
        <v>8</v>
      </c>
      <c r="H104" s="27" t="s">
        <v>7</v>
      </c>
      <c r="W104" s="27" t="s">
        <v>8</v>
      </c>
      <c r="AE104" s="31"/>
    </row>
    <row r="105" spans="1:38" x14ac:dyDescent="0.25">
      <c r="A105" s="30">
        <v>725.36295913792503</v>
      </c>
      <c r="C105" s="1" t="s">
        <v>14</v>
      </c>
      <c r="E105" t="s">
        <v>8</v>
      </c>
      <c r="F105" s="27" t="s">
        <v>7</v>
      </c>
      <c r="G105" s="27" t="s">
        <v>8</v>
      </c>
      <c r="H105" s="27" t="s">
        <v>7</v>
      </c>
      <c r="I105" s="27" t="s">
        <v>8</v>
      </c>
      <c r="W105" s="27" t="s">
        <v>8</v>
      </c>
      <c r="AD105" s="31"/>
    </row>
    <row r="106" spans="1:38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 t="s">
        <v>8</v>
      </c>
      <c r="F106" s="27" t="s">
        <v>7</v>
      </c>
      <c r="H106" s="27" t="s">
        <v>7</v>
      </c>
      <c r="I106" s="27" t="s">
        <v>8</v>
      </c>
      <c r="J106" s="27" t="s">
        <v>7</v>
      </c>
      <c r="W106" s="27" t="s">
        <v>8</v>
      </c>
      <c r="AC106" s="31"/>
    </row>
    <row r="107" spans="1:38" x14ac:dyDescent="0.25">
      <c r="A107" s="30">
        <v>657.92558651965976</v>
      </c>
      <c r="E107" t="s">
        <v>8</v>
      </c>
      <c r="H107" s="27" t="s">
        <v>7</v>
      </c>
      <c r="I107" s="27" t="s">
        <v>8</v>
      </c>
      <c r="J107" s="27" t="s">
        <v>7</v>
      </c>
      <c r="W107" s="27" t="s">
        <v>8</v>
      </c>
      <c r="AB107" s="31"/>
    </row>
    <row r="108" spans="1:38" x14ac:dyDescent="0.25">
      <c r="A108" s="30">
        <v>626.59579668539027</v>
      </c>
      <c r="E108" t="s">
        <v>8</v>
      </c>
      <c r="H108" s="27" t="s">
        <v>7</v>
      </c>
      <c r="I108" s="27" t="s">
        <v>8</v>
      </c>
      <c r="J108" s="27" t="s">
        <v>7</v>
      </c>
      <c r="Q108" s="27" t="s">
        <v>8</v>
      </c>
      <c r="W108" s="27" t="s">
        <v>8</v>
      </c>
      <c r="AA108" s="31"/>
    </row>
    <row r="109" spans="1:38" x14ac:dyDescent="0.25">
      <c r="A109" s="30">
        <v>596.75790160513361</v>
      </c>
      <c r="E109" t="s">
        <v>8</v>
      </c>
      <c r="H109" s="27" t="s">
        <v>7</v>
      </c>
      <c r="J109" s="27" t="s">
        <v>7</v>
      </c>
      <c r="M109" s="32" t="s">
        <v>8</v>
      </c>
      <c r="O109" s="32" t="s">
        <v>8</v>
      </c>
      <c r="Q109" s="27" t="s">
        <v>8</v>
      </c>
      <c r="R109" s="27" t="s">
        <v>7</v>
      </c>
      <c r="S109" s="27" t="s">
        <v>8</v>
      </c>
      <c r="W109" s="27" t="s">
        <v>8</v>
      </c>
      <c r="Z109" s="31"/>
    </row>
    <row r="110" spans="1:38" x14ac:dyDescent="0.25">
      <c r="A110" s="30">
        <v>568.34085867155579</v>
      </c>
      <c r="E110" t="s">
        <v>8</v>
      </c>
      <c r="J110" s="27" t="s">
        <v>7</v>
      </c>
      <c r="M110" s="27" t="s">
        <v>8</v>
      </c>
      <c r="N110" s="27" t="s">
        <v>7</v>
      </c>
      <c r="O110" s="27" t="s">
        <v>8</v>
      </c>
      <c r="P110" s="27" t="s">
        <v>7</v>
      </c>
      <c r="Q110" s="27" t="s">
        <v>8</v>
      </c>
      <c r="R110" s="27" t="s">
        <v>7</v>
      </c>
      <c r="S110" s="27" t="s">
        <v>8</v>
      </c>
      <c r="T110" s="27" t="s">
        <v>7</v>
      </c>
      <c r="U110" s="27" t="s">
        <v>8</v>
      </c>
      <c r="W110" s="27" t="s">
        <v>8</v>
      </c>
      <c r="Y110" s="31"/>
    </row>
    <row r="111" spans="1:38" x14ac:dyDescent="0.25">
      <c r="A111" s="30">
        <v>541.27700825862451</v>
      </c>
      <c r="C111" s="1" t="str">
        <f>ADDRESS(C121-1,1,1,1)</f>
        <v>$A$84</v>
      </c>
      <c r="D111" s="1" t="str">
        <f>ADDRESS(C121-1,D121,1,1)</f>
        <v>$CK$84</v>
      </c>
      <c r="E111" t="s">
        <v>8</v>
      </c>
      <c r="J111" s="27" t="s">
        <v>7</v>
      </c>
      <c r="K111" s="27" t="s">
        <v>8</v>
      </c>
      <c r="M111" s="27" t="s">
        <v>8</v>
      </c>
      <c r="N111" s="27" t="s">
        <v>7</v>
      </c>
      <c r="O111" s="27" t="s">
        <v>8</v>
      </c>
      <c r="P111" s="27" t="s">
        <v>7</v>
      </c>
      <c r="Q111" s="27" t="s">
        <v>8</v>
      </c>
      <c r="R111" s="27" t="s">
        <v>7</v>
      </c>
      <c r="S111" s="27" t="s">
        <v>8</v>
      </c>
      <c r="T111" s="27" t="s">
        <v>7</v>
      </c>
      <c r="U111" s="27" t="s">
        <v>8</v>
      </c>
      <c r="V111" s="27" t="s">
        <v>7</v>
      </c>
      <c r="W111" s="27" t="s">
        <v>8</v>
      </c>
      <c r="X111" s="31"/>
    </row>
    <row r="112" spans="1:38" x14ac:dyDescent="0.25">
      <c r="A112" s="30">
        <v>515.50191262726139</v>
      </c>
      <c r="C112" s="1" t="str">
        <f>ADDRESS(C121,1,1,1)</f>
        <v>$A$85</v>
      </c>
      <c r="D112" s="1" t="str">
        <f>ADDRESS(C121,D121-1,1,1)</f>
        <v>$CJ$85</v>
      </c>
      <c r="E112" t="s">
        <v>8</v>
      </c>
      <c r="J112" s="27" t="s">
        <v>7</v>
      </c>
      <c r="K112" s="27" t="s">
        <v>8</v>
      </c>
      <c r="L112" s="27" t="s">
        <v>7</v>
      </c>
      <c r="M112" s="27" t="s">
        <v>8</v>
      </c>
      <c r="N112" s="32" t="s">
        <v>7</v>
      </c>
      <c r="P112" s="32" t="s">
        <v>7</v>
      </c>
      <c r="R112" s="27" t="s">
        <v>7</v>
      </c>
      <c r="S112" s="27" t="s">
        <v>8</v>
      </c>
      <c r="T112" s="27" t="s">
        <v>7</v>
      </c>
      <c r="U112" s="27" t="s">
        <v>8</v>
      </c>
      <c r="V112" s="27" t="s">
        <v>7</v>
      </c>
      <c r="W112" s="31" t="s">
        <v>8</v>
      </c>
    </row>
    <row r="113" spans="1:22" x14ac:dyDescent="0.25">
      <c r="A113" s="30">
        <v>490.95420250215363</v>
      </c>
      <c r="C113" s="1" t="str">
        <f>ADDRESS(C121+1,1,1,1)</f>
        <v>$A$86</v>
      </c>
      <c r="D113" s="1" t="str">
        <f>ADDRESS(C121-1,D121+1,1,1)</f>
        <v>$CL$84</v>
      </c>
      <c r="E113" s="1" t="s">
        <v>8</v>
      </c>
      <c r="J113" s="27" t="s">
        <v>7</v>
      </c>
      <c r="K113" s="27" t="s">
        <v>8</v>
      </c>
      <c r="L113" s="27" t="s">
        <v>7</v>
      </c>
      <c r="M113" s="27" t="s">
        <v>8</v>
      </c>
      <c r="R113" s="32" t="s">
        <v>7</v>
      </c>
      <c r="T113" s="32" t="s">
        <v>7</v>
      </c>
      <c r="V113" s="32" t="s">
        <v>7</v>
      </c>
    </row>
    <row r="114" spans="1:22" x14ac:dyDescent="0.25">
      <c r="A114" s="30">
        <v>467.57543095443202</v>
      </c>
      <c r="C114" s="1" t="str">
        <f>ADDRESS(C121,D121,1,1)</f>
        <v>$CK$85</v>
      </c>
      <c r="D114" s="1" t="str">
        <f>ADDRESS(C121+1,D121+1,1,1)</f>
        <v>$CL$86</v>
      </c>
      <c r="E114" s="1" t="s">
        <v>8</v>
      </c>
      <c r="J114" s="27" t="s">
        <v>7</v>
      </c>
      <c r="K114" s="27" t="s">
        <v>8</v>
      </c>
      <c r="L114" s="27" t="s">
        <v>7</v>
      </c>
      <c r="M114" s="27" t="s">
        <v>8</v>
      </c>
    </row>
    <row r="115" spans="1:22" x14ac:dyDescent="0.25">
      <c r="A115" s="30">
        <v>445.30993424231622</v>
      </c>
      <c r="C115" s="1" t="str">
        <f>ADDRESS(C121+1,D121,1,1)</f>
        <v>$CK$86</v>
      </c>
      <c r="E115" s="1" t="s">
        <v>8</v>
      </c>
      <c r="J115" s="32" t="s">
        <v>7</v>
      </c>
      <c r="L115" s="32" t="s">
        <v>7</v>
      </c>
    </row>
    <row r="116" spans="1:22" x14ac:dyDescent="0.25">
      <c r="A116" s="30">
        <v>424.10469927839637</v>
      </c>
      <c r="C116" s="1">
        <f>C117-1</f>
        <v>84</v>
      </c>
      <c r="E116" s="1" t="s">
        <v>8</v>
      </c>
    </row>
    <row r="117" spans="1:22" x14ac:dyDescent="0.25">
      <c r="A117" s="30">
        <v>403.9092374079965</v>
      </c>
      <c r="C117" s="1">
        <f>C121</f>
        <v>85</v>
      </c>
      <c r="D117" s="1">
        <f>D121</f>
        <v>89</v>
      </c>
      <c r="E117" s="1" t="s">
        <v>8</v>
      </c>
    </row>
    <row r="118" spans="1:22" x14ac:dyDescent="0.25">
      <c r="A118" s="30">
        <v>384.6754641980919</v>
      </c>
      <c r="C118" s="1">
        <f>C117+1</f>
        <v>86</v>
      </c>
      <c r="D118" s="1">
        <f>D117+1</f>
        <v>90</v>
      </c>
      <c r="E118" s="1" t="s">
        <v>8</v>
      </c>
    </row>
    <row r="119" spans="1:22" x14ac:dyDescent="0.25">
      <c r="A119" s="30">
        <v>366.35758495056371</v>
      </c>
      <c r="E119" s="1" t="s">
        <v>8</v>
      </c>
    </row>
    <row r="120" spans="1:22" x14ac:dyDescent="0.25">
      <c r="A120" s="30">
        <v>348.91198566720351</v>
      </c>
      <c r="C120" s="1" t="s">
        <v>9</v>
      </c>
      <c r="E120" s="1" t="s">
        <v>8</v>
      </c>
    </row>
    <row r="121" spans="1:22" x14ac:dyDescent="0.25">
      <c r="A121" s="30">
        <v>332.29712920686046</v>
      </c>
      <c r="C121" s="18">
        <v>85</v>
      </c>
      <c r="D121" s="19">
        <v>89</v>
      </c>
      <c r="E121" s="19" t="s">
        <v>8</v>
      </c>
    </row>
    <row r="122" spans="1:22" x14ac:dyDescent="0.25">
      <c r="A122" s="30">
        <v>316.47345638748612</v>
      </c>
      <c r="C122" s="1" t="str">
        <f>INDEX(1:1048576,C117,D117)</f>
        <v>X</v>
      </c>
      <c r="E122" s="1" t="s">
        <v>8</v>
      </c>
    </row>
    <row r="123" spans="1:22" x14ac:dyDescent="0.25">
      <c r="A123" s="30">
        <v>301.40329179760585</v>
      </c>
      <c r="C123" s="1" t="str">
        <f>"R"&amp;C121</f>
        <v>R85</v>
      </c>
      <c r="D123" s="1" t="str">
        <f>"C"&amp;D121</f>
        <v>C89</v>
      </c>
      <c r="E123" s="1" t="s">
        <v>8</v>
      </c>
    </row>
    <row r="124" spans="1:22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</row>
    <row r="125" spans="1:22" x14ac:dyDescent="0.25">
      <c r="A125" s="30">
        <v>273.38167056472184</v>
      </c>
      <c r="E125" s="1" t="s">
        <v>8</v>
      </c>
    </row>
    <row r="126" spans="1:22" x14ac:dyDescent="0.25">
      <c r="A126" s="30">
        <v>260.36349577592557</v>
      </c>
      <c r="C126" s="1" t="s">
        <v>10</v>
      </c>
      <c r="E126" s="1" t="s">
        <v>8</v>
      </c>
    </row>
    <row r="127" spans="1:22" x14ac:dyDescent="0.25">
      <c r="A127" s="30">
        <v>247.96523407231004</v>
      </c>
      <c r="C127" s="30">
        <v>1924.6038748774236</v>
      </c>
      <c r="D127"/>
      <c r="E127" s="1" t="s">
        <v>8</v>
      </c>
    </row>
    <row r="128" spans="1:22" x14ac:dyDescent="0.25">
      <c r="A128" s="30">
        <v>236.15736578315241</v>
      </c>
      <c r="E128" s="1" t="s">
        <v>8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214.20169232031964</v>
      </c>
      <c r="C130" s="6"/>
      <c r="D130" s="6"/>
      <c r="E130" t="s">
        <v>8</v>
      </c>
    </row>
    <row r="131" spans="1:5" x14ac:dyDescent="0.25">
      <c r="A131" s="30">
        <v>204.00161173363773</v>
      </c>
      <c r="E131" t="s">
        <v>8</v>
      </c>
    </row>
    <row r="132" spans="1:5" x14ac:dyDescent="0.25">
      <c r="A132" s="30">
        <v>194.28724927013116</v>
      </c>
      <c r="C132" s="1" t="s">
        <v>13</v>
      </c>
      <c r="E132" t="s">
        <v>8</v>
      </c>
    </row>
    <row r="133" spans="1:5" x14ac:dyDescent="0.25">
      <c r="A133" s="30">
        <v>185.03547549536299</v>
      </c>
      <c r="C133" s="1" t="str">
        <f>C122</f>
        <v>X</v>
      </c>
      <c r="E133" t="s">
        <v>8</v>
      </c>
    </row>
    <row r="134" spans="1:5" x14ac:dyDescent="0.25">
      <c r="A134" s="30">
        <v>176.22426237653616</v>
      </c>
      <c r="C134"/>
      <c r="E134" t="s">
        <v>8</v>
      </c>
    </row>
    <row r="135" spans="1:5" x14ac:dyDescent="0.25">
      <c r="A135" s="30">
        <v>167.83263083479633</v>
      </c>
      <c r="C135" s="1" t="s">
        <v>14</v>
      </c>
      <c r="E135" t="s">
        <v>8</v>
      </c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</row>
    <row r="137" spans="1:5" x14ac:dyDescent="0.25">
      <c r="A137" s="30">
        <v>152.22914361432771</v>
      </c>
      <c r="E137" t="s">
        <v>8</v>
      </c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</row>
    <row r="139" spans="1:5" x14ac:dyDescent="0.25">
      <c r="A139" s="30">
        <v>138.07632073861922</v>
      </c>
      <c r="E139" t="s">
        <v>8</v>
      </c>
    </row>
    <row r="140" spans="1:5" x14ac:dyDescent="0.25">
      <c r="A140" s="30">
        <v>131.50125784630401</v>
      </c>
      <c r="C140" s="1">
        <v>0</v>
      </c>
      <c r="E140" t="s">
        <v>8</v>
      </c>
    </row>
    <row r="141" spans="1:5" x14ac:dyDescent="0.25">
      <c r="A141" s="30">
        <v>125.23929318695619</v>
      </c>
      <c r="C141" s="1">
        <v>1</v>
      </c>
      <c r="E141" t="s">
        <v>8</v>
      </c>
    </row>
    <row r="142" spans="1:5" x14ac:dyDescent="0.25">
      <c r="A142" s="30">
        <v>119.27551732091065</v>
      </c>
      <c r="C142" s="1">
        <v>2</v>
      </c>
      <c r="E142" t="s">
        <v>8</v>
      </c>
    </row>
    <row r="143" spans="1:5" x14ac:dyDescent="0.25">
      <c r="A143" s="30">
        <v>113.59573078181967</v>
      </c>
      <c r="C143" s="1">
        <v>3</v>
      </c>
      <c r="E143" t="s">
        <v>8</v>
      </c>
    </row>
    <row r="144" spans="1:5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74" operator="equal">
      <formula>$U$1</formula>
    </cfRule>
    <cfRule type="cellIs" dxfId="67" priority="975" operator="equal">
      <formula>$S$1</formula>
    </cfRule>
  </conditionalFormatting>
  <conditionalFormatting sqref="D136">
    <cfRule type="cellIs" dxfId="66" priority="972" operator="equal">
      <formula>$S$1</formula>
    </cfRule>
    <cfRule type="cellIs" dxfId="65" priority="973" operator="equal">
      <formula>$U$1</formula>
    </cfRule>
  </conditionalFormatting>
  <conditionalFormatting sqref="C162">
    <cfRule type="cellIs" dxfId="64" priority="970" operator="equal">
      <formula>$U$1</formula>
    </cfRule>
    <cfRule type="cellIs" dxfId="63" priority="971" operator="equal">
      <formula>$S$1</formula>
    </cfRule>
  </conditionalFormatting>
  <conditionalFormatting sqref="D162">
    <cfRule type="cellIs" dxfId="62" priority="968" operator="equal">
      <formula>$S$1</formula>
    </cfRule>
    <cfRule type="cellIs" dxfId="61" priority="969" operator="equal">
      <formula>$U$1</formula>
    </cfRule>
  </conditionalFormatting>
  <conditionalFormatting sqref="C187">
    <cfRule type="cellIs" dxfId="60" priority="966" operator="equal">
      <formula>$U$1</formula>
    </cfRule>
    <cfRule type="cellIs" dxfId="59" priority="967" operator="equal">
      <formula>$S$1</formula>
    </cfRule>
  </conditionalFormatting>
  <conditionalFormatting sqref="D187">
    <cfRule type="cellIs" dxfId="58" priority="964" operator="equal">
      <formula>$S$1</formula>
    </cfRule>
    <cfRule type="cellIs" dxfId="57" priority="965" operator="equal">
      <formula>$U$1</formula>
    </cfRule>
  </conditionalFormatting>
  <conditionalFormatting sqref="C212">
    <cfRule type="cellIs" dxfId="56" priority="962" operator="equal">
      <formula>$U$1</formula>
    </cfRule>
    <cfRule type="cellIs" dxfId="55" priority="963" operator="equal">
      <formula>$S$1</formula>
    </cfRule>
  </conditionalFormatting>
  <conditionalFormatting sqref="D212">
    <cfRule type="cellIs" dxfId="54" priority="960" operator="equal">
      <formula>$S$1</formula>
    </cfRule>
    <cfRule type="cellIs" dxfId="53" priority="961" operator="equal">
      <formula>$U$1</formula>
    </cfRule>
  </conditionalFormatting>
  <conditionalFormatting sqref="C237">
    <cfRule type="cellIs" dxfId="52" priority="958" operator="equal">
      <formula>$U$1</formula>
    </cfRule>
    <cfRule type="cellIs" dxfId="51" priority="959" operator="equal">
      <formula>$S$1</formula>
    </cfRule>
  </conditionalFormatting>
  <conditionalFormatting sqref="D237">
    <cfRule type="cellIs" dxfId="50" priority="956" operator="equal">
      <formula>$S$1</formula>
    </cfRule>
    <cfRule type="cellIs" dxfId="49" priority="957" operator="equal">
      <formula>$U$1</formula>
    </cfRule>
  </conditionalFormatting>
  <conditionalFormatting sqref="C106">
    <cfRule type="cellIs" dxfId="48" priority="954" operator="equal">
      <formula>$U$1</formula>
    </cfRule>
    <cfRule type="cellIs" dxfId="47" priority="955" operator="equal">
      <formula>$S$1</formula>
    </cfRule>
  </conditionalFormatting>
  <conditionalFormatting sqref="D106">
    <cfRule type="cellIs" dxfId="46" priority="952" operator="equal">
      <formula>$S$1</formula>
    </cfRule>
    <cfRule type="cellIs" dxfId="45" priority="953" operator="equal">
      <formula>$U$1</formula>
    </cfRule>
  </conditionalFormatting>
  <conditionalFormatting sqref="C81">
    <cfRule type="cellIs" dxfId="44" priority="950" operator="equal">
      <formula>$U$1</formula>
    </cfRule>
    <cfRule type="cellIs" dxfId="43" priority="951" operator="equal">
      <formula>$S$1</formula>
    </cfRule>
  </conditionalFormatting>
  <conditionalFormatting sqref="D81">
    <cfRule type="cellIs" dxfId="42" priority="948" operator="equal">
      <formula>$S$1</formula>
    </cfRule>
    <cfRule type="cellIs" dxfId="41" priority="949" operator="equal">
      <formula>$U$1</formula>
    </cfRule>
  </conditionalFormatting>
  <conditionalFormatting sqref="C56">
    <cfRule type="cellIs" dxfId="40" priority="946" operator="equal">
      <formula>$U$1</formula>
    </cfRule>
    <cfRule type="cellIs" dxfId="39" priority="947" operator="equal">
      <formula>$S$1</formula>
    </cfRule>
  </conditionalFormatting>
  <conditionalFormatting sqref="D56">
    <cfRule type="cellIs" dxfId="38" priority="944" operator="equal">
      <formula>$S$1</formula>
    </cfRule>
    <cfRule type="cellIs" dxfId="37" priority="945" operator="equal">
      <formula>$U$1</formula>
    </cfRule>
  </conditionalFormatting>
  <conditionalFormatting sqref="C31">
    <cfRule type="cellIs" dxfId="36" priority="942" operator="equal">
      <formula>$U$1</formula>
    </cfRule>
    <cfRule type="cellIs" dxfId="35" priority="943" operator="equal">
      <formula>$S$1</formula>
    </cfRule>
  </conditionalFormatting>
  <conditionalFormatting sqref="D31">
    <cfRule type="cellIs" dxfId="34" priority="940" operator="equal">
      <formula>$S$1</formula>
    </cfRule>
    <cfRule type="cellIs" dxfId="33" priority="94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3" zoomScale="90" zoomScaleNormal="90" workbookViewId="0">
      <pane xSplit="4" topLeftCell="G1" activePane="topRight" state="frozen"/>
      <selection activeCell="A109" sqref="A109"/>
      <selection pane="topRight" activeCell="AD43" sqref="AD43"/>
    </sheetView>
  </sheetViews>
  <sheetFormatPr defaultRowHeight="15" x14ac:dyDescent="0.25"/>
  <cols>
    <col min="1" max="1" width="11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21" x14ac:dyDescent="0.25">
      <c r="A17" s="30">
        <v>20176.194526733954</v>
      </c>
      <c r="C17" s="7">
        <v>0.11167815779424731</v>
      </c>
      <c r="D17"/>
      <c r="E17"/>
    </row>
    <row r="18" spans="1:21" x14ac:dyDescent="0.25">
      <c r="A18" s="30">
        <v>18341.995024303593</v>
      </c>
      <c r="E18"/>
    </row>
    <row r="19" spans="1:21" x14ac:dyDescent="0.25">
      <c r="A19" s="30">
        <v>16674.540931185082</v>
      </c>
      <c r="C19" s="1" t="s">
        <v>11</v>
      </c>
      <c r="D19" s="1" t="s">
        <v>12</v>
      </c>
      <c r="E19"/>
    </row>
    <row r="20" spans="1:21" x14ac:dyDescent="0.25">
      <c r="A20" s="30">
        <v>15158.673573804617</v>
      </c>
      <c r="C20"/>
      <c r="D20"/>
      <c r="E20"/>
    </row>
    <row r="21" spans="1:21" x14ac:dyDescent="0.25">
      <c r="A21" s="30">
        <v>13780.612339822379</v>
      </c>
      <c r="E21"/>
    </row>
    <row r="22" spans="1:21" x14ac:dyDescent="0.25">
      <c r="A22" s="30">
        <v>12527.829399838525</v>
      </c>
      <c r="C22" s="1" t="s">
        <v>13</v>
      </c>
      <c r="E22"/>
    </row>
    <row r="23" spans="1:21" x14ac:dyDescent="0.25">
      <c r="A23" s="30">
        <v>11388.935818035023</v>
      </c>
      <c r="C23" s="1">
        <f>C12</f>
        <v>0</v>
      </c>
      <c r="E23"/>
    </row>
    <row r="24" spans="1:21" x14ac:dyDescent="0.25">
      <c r="A24" s="30">
        <v>10353.578016395475</v>
      </c>
      <c r="C24"/>
      <c r="D24"/>
      <c r="E24"/>
    </row>
    <row r="25" spans="1:21" x14ac:dyDescent="0.25">
      <c r="A25" s="30">
        <v>9412.343651268613</v>
      </c>
      <c r="C25" s="1" t="s">
        <v>14</v>
      </c>
      <c r="E25"/>
    </row>
    <row r="26" spans="1:21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21" x14ac:dyDescent="0.25">
      <c r="A27" s="30">
        <v>7778.7964060071163</v>
      </c>
      <c r="E27"/>
    </row>
    <row r="28" spans="1:21" x14ac:dyDescent="0.25">
      <c r="A28" s="30">
        <v>7071.6330963701048</v>
      </c>
      <c r="E28"/>
    </row>
    <row r="29" spans="1:21" x14ac:dyDescent="0.25">
      <c r="A29" s="30">
        <v>6428.7573603364581</v>
      </c>
      <c r="E29"/>
    </row>
    <row r="30" spans="1:21" x14ac:dyDescent="0.25">
      <c r="A30" s="30">
        <v>5844.3248730331434</v>
      </c>
      <c r="E30"/>
      <c r="S30" s="31" t="s">
        <v>8</v>
      </c>
    </row>
    <row r="31" spans="1:21" x14ac:dyDescent="0.25">
      <c r="A31" s="30">
        <v>5313.0226118483115</v>
      </c>
      <c r="E31"/>
      <c r="S31" s="27" t="s">
        <v>8</v>
      </c>
      <c r="T31" s="31" t="s">
        <v>7</v>
      </c>
    </row>
    <row r="32" spans="1:21" x14ac:dyDescent="0.25">
      <c r="A32" s="30">
        <v>4830.020556225737</v>
      </c>
      <c r="E32"/>
      <c r="Q32" s="27" t="s">
        <v>8</v>
      </c>
      <c r="S32" s="27" t="s">
        <v>8</v>
      </c>
      <c r="T32" s="27" t="s">
        <v>7</v>
      </c>
      <c r="U32" s="31"/>
    </row>
    <row r="33" spans="1:30" x14ac:dyDescent="0.25">
      <c r="A33" s="30">
        <v>4390.927778387033</v>
      </c>
      <c r="E33"/>
      <c r="Q33" s="27" t="s">
        <v>8</v>
      </c>
      <c r="R33" s="27" t="s">
        <v>7</v>
      </c>
      <c r="S33" s="27" t="s">
        <v>8</v>
      </c>
      <c r="T33" s="27" t="s">
        <v>7</v>
      </c>
      <c r="V33" s="31"/>
    </row>
    <row r="34" spans="1:30" x14ac:dyDescent="0.25">
      <c r="A34" s="30">
        <v>3991.7525258063934</v>
      </c>
      <c r="E34"/>
      <c r="O34" s="27" t="s">
        <v>8</v>
      </c>
      <c r="Q34" s="27" t="s">
        <v>8</v>
      </c>
      <c r="R34" s="27" t="s">
        <v>7</v>
      </c>
      <c r="S34" s="27" t="s">
        <v>8</v>
      </c>
      <c r="T34" s="27" t="s">
        <v>7</v>
      </c>
      <c r="U34" s="32" t="s">
        <v>8</v>
      </c>
      <c r="W34" s="32" t="s">
        <v>8</v>
      </c>
      <c r="AA34" s="27" t="s">
        <v>8</v>
      </c>
    </row>
    <row r="35" spans="1:30" x14ac:dyDescent="0.25">
      <c r="A35" s="30">
        <v>3628.8659325512663</v>
      </c>
      <c r="E35"/>
      <c r="O35" s="27" t="s">
        <v>8</v>
      </c>
      <c r="P35" s="27" t="s">
        <v>7</v>
      </c>
      <c r="Q35" s="27" t="s">
        <v>8</v>
      </c>
      <c r="R35" s="27" t="s">
        <v>7</v>
      </c>
      <c r="S35" s="27" t="s">
        <v>8</v>
      </c>
      <c r="T35" s="27" t="s">
        <v>7</v>
      </c>
      <c r="U35" s="27" t="s">
        <v>8</v>
      </c>
      <c r="V35" s="27" t="s">
        <v>7</v>
      </c>
      <c r="W35" s="27" t="s">
        <v>8</v>
      </c>
      <c r="X35" s="31" t="s">
        <v>7</v>
      </c>
      <c r="AA35" s="27" t="s">
        <v>8</v>
      </c>
      <c r="AB35" s="27" t="s">
        <v>7</v>
      </c>
    </row>
    <row r="36" spans="1:30" x14ac:dyDescent="0.25">
      <c r="A36" s="30">
        <v>3298.96902959206</v>
      </c>
      <c r="E36"/>
      <c r="O36" s="34" t="s">
        <v>8</v>
      </c>
      <c r="P36" s="27" t="s">
        <v>7</v>
      </c>
      <c r="Q36" s="27" t="s">
        <v>8</v>
      </c>
      <c r="R36" s="27" t="s">
        <v>7</v>
      </c>
      <c r="T36" s="27" t="s">
        <v>7</v>
      </c>
      <c r="U36" s="27" t="s">
        <v>8</v>
      </c>
      <c r="V36" s="27" t="s">
        <v>7</v>
      </c>
      <c r="W36" s="27" t="s">
        <v>8</v>
      </c>
      <c r="X36" s="27" t="s">
        <v>7</v>
      </c>
      <c r="Y36" s="31"/>
      <c r="AA36" s="34" t="s">
        <v>8</v>
      </c>
      <c r="AB36" s="27" t="s">
        <v>7</v>
      </c>
      <c r="AC36" s="27" t="s">
        <v>8</v>
      </c>
    </row>
    <row r="37" spans="1:30" x14ac:dyDescent="0.25">
      <c r="A37" s="30">
        <v>2999.0627541745998</v>
      </c>
      <c r="E37"/>
      <c r="K37" s="32" t="s">
        <v>8</v>
      </c>
      <c r="M37" s="32" t="s">
        <v>8</v>
      </c>
      <c r="O37" s="27" t="s">
        <v>8</v>
      </c>
      <c r="P37" s="27" t="s">
        <v>7</v>
      </c>
      <c r="Q37" s="27" t="s">
        <v>8</v>
      </c>
      <c r="T37" s="33" t="s">
        <v>7</v>
      </c>
      <c r="U37" s="27" t="s">
        <v>8</v>
      </c>
      <c r="V37" s="27" t="s">
        <v>7</v>
      </c>
      <c r="W37" s="27" t="s">
        <v>8</v>
      </c>
      <c r="X37" s="27" t="s">
        <v>7</v>
      </c>
      <c r="Y37" s="18" t="s">
        <v>8</v>
      </c>
      <c r="Z37" s="31"/>
      <c r="AA37" s="27" t="s">
        <v>8</v>
      </c>
      <c r="AB37" s="27" t="s">
        <v>7</v>
      </c>
      <c r="AC37" s="27" t="s">
        <v>8</v>
      </c>
      <c r="AD37" s="27" t="s">
        <v>7</v>
      </c>
    </row>
    <row r="38" spans="1:30" x14ac:dyDescent="0.25">
      <c r="A38" s="30">
        <v>2726.4206856132723</v>
      </c>
      <c r="E38"/>
      <c r="K38" s="27" t="s">
        <v>8</v>
      </c>
      <c r="L38" s="27" t="s">
        <v>7</v>
      </c>
      <c r="M38" s="27" t="s">
        <v>8</v>
      </c>
      <c r="N38" s="27" t="s">
        <v>7</v>
      </c>
      <c r="O38" s="27" t="s">
        <v>8</v>
      </c>
      <c r="P38" s="27" t="s">
        <v>7</v>
      </c>
      <c r="T38" s="27" t="s">
        <v>7</v>
      </c>
      <c r="U38" s="27" t="s">
        <v>8</v>
      </c>
      <c r="V38" s="27" t="s">
        <v>7</v>
      </c>
      <c r="W38" s="27" t="s">
        <v>8</v>
      </c>
      <c r="X38" s="27" t="s">
        <v>7</v>
      </c>
      <c r="Y38" s="27" t="s">
        <v>8</v>
      </c>
      <c r="Z38" s="27" t="s">
        <v>7</v>
      </c>
      <c r="AA38" s="31" t="s">
        <v>8</v>
      </c>
      <c r="AB38" s="27" t="s">
        <v>7</v>
      </c>
      <c r="AC38" s="27" t="s">
        <v>8</v>
      </c>
      <c r="AD38" s="27" t="s">
        <v>7</v>
      </c>
    </row>
    <row r="39" spans="1:30" x14ac:dyDescent="0.25">
      <c r="A39" s="30">
        <v>2478.564259648429</v>
      </c>
      <c r="E39"/>
      <c r="K39" s="27" t="s">
        <v>8</v>
      </c>
      <c r="L39" s="27" t="s">
        <v>7</v>
      </c>
      <c r="M39" s="27" t="s">
        <v>8</v>
      </c>
      <c r="N39" s="27" t="s">
        <v>7</v>
      </c>
      <c r="O39" s="27" t="s">
        <v>8</v>
      </c>
      <c r="T39" s="27" t="s">
        <v>7</v>
      </c>
      <c r="V39" s="27" t="s">
        <v>7</v>
      </c>
      <c r="W39" s="27" t="s">
        <v>8</v>
      </c>
      <c r="X39" s="27" t="s">
        <v>7</v>
      </c>
      <c r="Y39" s="27" t="s">
        <v>8</v>
      </c>
      <c r="Z39" s="27" t="s">
        <v>7</v>
      </c>
      <c r="AA39" s="27" t="s">
        <v>8</v>
      </c>
      <c r="AB39" s="27" t="s">
        <v>7</v>
      </c>
      <c r="AC39" s="27" t="s">
        <v>8</v>
      </c>
      <c r="AD39" s="27" t="s">
        <v>7</v>
      </c>
    </row>
    <row r="40" spans="1:30" x14ac:dyDescent="0.25">
      <c r="A40" s="30">
        <v>2253.240236044026</v>
      </c>
      <c r="E40"/>
      <c r="K40" s="27" t="s">
        <v>8</v>
      </c>
      <c r="L40" s="27" t="s">
        <v>7</v>
      </c>
      <c r="N40" s="27" t="s">
        <v>7</v>
      </c>
      <c r="O40" s="27" t="s">
        <v>8</v>
      </c>
      <c r="V40" s="27" t="s">
        <v>7</v>
      </c>
      <c r="W40" s="27" t="s">
        <v>8</v>
      </c>
      <c r="X40" s="27" t="s">
        <v>7</v>
      </c>
      <c r="Y40" s="27" t="s">
        <v>8</v>
      </c>
      <c r="Z40" s="27" t="s">
        <v>7</v>
      </c>
      <c r="AB40" s="27" t="s">
        <v>7</v>
      </c>
      <c r="AD40" s="27" t="s">
        <v>7</v>
      </c>
    </row>
    <row r="41" spans="1:30" x14ac:dyDescent="0.25">
      <c r="A41" s="30">
        <v>2048.4002145854779</v>
      </c>
      <c r="E41"/>
      <c r="K41" s="27" t="s">
        <v>8</v>
      </c>
      <c r="N41" s="33" t="s">
        <v>7</v>
      </c>
      <c r="O41" s="27" t="s">
        <v>8</v>
      </c>
      <c r="V41" s="31" t="s">
        <v>7</v>
      </c>
      <c r="W41" s="27" t="s">
        <v>8</v>
      </c>
      <c r="X41" s="27" t="s">
        <v>7</v>
      </c>
      <c r="AD41" s="27" t="s">
        <v>7</v>
      </c>
    </row>
    <row r="42" spans="1:30" x14ac:dyDescent="0.25">
      <c r="A42" s="30">
        <v>1862.1820132595253</v>
      </c>
      <c r="C42" s="1" t="s">
        <v>15</v>
      </c>
      <c r="E42"/>
      <c r="G42" s="27" t="s">
        <v>8</v>
      </c>
      <c r="K42" s="27" t="s">
        <v>8</v>
      </c>
      <c r="N42" s="27" t="s">
        <v>7</v>
      </c>
      <c r="U42" s="31"/>
      <c r="V42" s="27" t="s">
        <v>7</v>
      </c>
      <c r="AD42" s="27" t="s">
        <v>7</v>
      </c>
    </row>
    <row r="43" spans="1:30" x14ac:dyDescent="0.25">
      <c r="A43" s="30">
        <v>1692.8927393268411</v>
      </c>
      <c r="C43" s="7">
        <v>0.11167815779424731</v>
      </c>
      <c r="D43"/>
      <c r="E43"/>
      <c r="G43" s="27" t="s">
        <v>8</v>
      </c>
      <c r="H43" s="27" t="s">
        <v>7</v>
      </c>
      <c r="I43" s="27" t="s">
        <v>8</v>
      </c>
      <c r="K43" s="27" t="s">
        <v>8</v>
      </c>
      <c r="T43" s="31"/>
      <c r="AD43" s="27" t="s">
        <v>7</v>
      </c>
    </row>
    <row r="44" spans="1:30" x14ac:dyDescent="0.25">
      <c r="A44" s="30">
        <v>1538.9933993880372</v>
      </c>
      <c r="E44"/>
      <c r="G44" s="27" t="s">
        <v>8</v>
      </c>
      <c r="H44" s="27" t="s">
        <v>7</v>
      </c>
      <c r="I44" s="27" t="s">
        <v>8</v>
      </c>
      <c r="J44" s="27" t="s">
        <v>7</v>
      </c>
      <c r="K44" s="27" t="s">
        <v>8</v>
      </c>
      <c r="S44" s="31"/>
    </row>
    <row r="45" spans="1:30" x14ac:dyDescent="0.25">
      <c r="A45" s="30">
        <v>1399.0849085345792</v>
      </c>
      <c r="C45" s="1" t="s">
        <v>11</v>
      </c>
      <c r="D45" s="1" t="s">
        <v>12</v>
      </c>
      <c r="E45"/>
      <c r="G45" s="27" t="s">
        <v>8</v>
      </c>
      <c r="H45" s="27" t="s">
        <v>7</v>
      </c>
      <c r="I45" s="27" t="s">
        <v>8</v>
      </c>
      <c r="J45" s="27" t="s">
        <v>7</v>
      </c>
      <c r="K45" s="27" t="s">
        <v>8</v>
      </c>
      <c r="R45" s="31"/>
    </row>
    <row r="46" spans="1:30" x14ac:dyDescent="0.25">
      <c r="A46" s="30">
        <v>1271.8953713950718</v>
      </c>
      <c r="C46"/>
      <c r="D46"/>
      <c r="E46"/>
      <c r="G46" s="27" t="s">
        <v>8</v>
      </c>
      <c r="H46" s="27" t="s">
        <v>7</v>
      </c>
      <c r="I46" s="27" t="s">
        <v>8</v>
      </c>
      <c r="J46" s="27" t="s">
        <v>7</v>
      </c>
      <c r="K46" s="27" t="s">
        <v>8</v>
      </c>
      <c r="Q46" s="31"/>
    </row>
    <row r="47" spans="1:30" x14ac:dyDescent="0.25">
      <c r="A47" s="30">
        <v>1156.2685194500652</v>
      </c>
      <c r="E47"/>
      <c r="G47" s="27" t="s">
        <v>8</v>
      </c>
      <c r="H47" s="32" t="s">
        <v>7</v>
      </c>
      <c r="J47" s="32" t="s">
        <v>7</v>
      </c>
      <c r="P47" s="31"/>
    </row>
    <row r="48" spans="1:30" x14ac:dyDescent="0.25">
      <c r="A48" s="30">
        <v>1051.1531995000591</v>
      </c>
      <c r="C48" s="1" t="s">
        <v>13</v>
      </c>
      <c r="E48"/>
      <c r="G48" s="27" t="s">
        <v>8</v>
      </c>
      <c r="O48" s="31"/>
    </row>
    <row r="49" spans="1:14" x14ac:dyDescent="0.25">
      <c r="A49" s="30">
        <v>955.59381772732638</v>
      </c>
      <c r="C49" s="1">
        <f>C38</f>
        <v>0</v>
      </c>
      <c r="E49"/>
      <c r="G49" s="27" t="s">
        <v>8</v>
      </c>
      <c r="N49" s="31"/>
    </row>
    <row r="50" spans="1:14" x14ac:dyDescent="0.25">
      <c r="A50" s="30">
        <v>868.72165247938756</v>
      </c>
      <c r="C50"/>
      <c r="D50"/>
      <c r="E50" t="s">
        <v>8</v>
      </c>
      <c r="G50" s="27" t="s">
        <v>8</v>
      </c>
      <c r="M50" s="31"/>
    </row>
    <row r="51" spans="1:14" x14ac:dyDescent="0.25">
      <c r="A51" s="30">
        <v>789.74695679944318</v>
      </c>
      <c r="C51" s="1" t="s">
        <v>14</v>
      </c>
      <c r="E51" t="s">
        <v>8</v>
      </c>
      <c r="F51" s="27" t="s">
        <v>7</v>
      </c>
      <c r="G51" s="27" t="s">
        <v>8</v>
      </c>
      <c r="L51" s="31"/>
    </row>
    <row r="52" spans="1:14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 t="s">
        <v>8</v>
      </c>
      <c r="F52" s="27" t="s">
        <v>7</v>
      </c>
      <c r="G52" s="27" t="s">
        <v>8</v>
      </c>
      <c r="K52" s="31"/>
    </row>
    <row r="53" spans="1:14" x14ac:dyDescent="0.25">
      <c r="A53" s="30">
        <v>652.68343537144051</v>
      </c>
      <c r="E53" t="s">
        <v>8</v>
      </c>
      <c r="F53" s="27" t="s">
        <v>7</v>
      </c>
      <c r="G53" s="27" t="s">
        <v>8</v>
      </c>
      <c r="J53" s="31"/>
    </row>
    <row r="54" spans="1:14" x14ac:dyDescent="0.25">
      <c r="A54" s="30">
        <v>593.34857761040041</v>
      </c>
      <c r="E54" t="s">
        <v>8</v>
      </c>
      <c r="F54" s="27" t="s">
        <v>7</v>
      </c>
      <c r="G54" s="27" t="s">
        <v>8</v>
      </c>
      <c r="I54" s="31"/>
    </row>
    <row r="55" spans="1:14" x14ac:dyDescent="0.25">
      <c r="A55" s="30">
        <v>539.40779782763673</v>
      </c>
      <c r="E55" t="s">
        <v>8</v>
      </c>
      <c r="F55" s="27" t="s">
        <v>7</v>
      </c>
      <c r="G55" s="27" t="s">
        <v>8</v>
      </c>
      <c r="H55" s="31"/>
    </row>
    <row r="56" spans="1:14" x14ac:dyDescent="0.25">
      <c r="A56" s="30">
        <v>490.37072529785149</v>
      </c>
      <c r="E56" t="s">
        <v>8</v>
      </c>
      <c r="F56" s="27" t="s">
        <v>7</v>
      </c>
      <c r="G56" s="31" t="s">
        <v>8</v>
      </c>
    </row>
    <row r="57" spans="1:14" x14ac:dyDescent="0.25">
      <c r="A57" s="30">
        <v>445.79156845259223</v>
      </c>
      <c r="E57" t="s">
        <v>8</v>
      </c>
      <c r="F57" s="27" t="s">
        <v>7</v>
      </c>
    </row>
    <row r="58" spans="1:14" x14ac:dyDescent="0.25">
      <c r="A58" s="30">
        <v>405.26506222962928</v>
      </c>
      <c r="E58" t="s">
        <v>8</v>
      </c>
    </row>
    <row r="59" spans="1:14" x14ac:dyDescent="0.25">
      <c r="A59" s="30">
        <v>368.42278384511752</v>
      </c>
      <c r="E59" t="s">
        <v>8</v>
      </c>
    </row>
    <row r="60" spans="1:14" x14ac:dyDescent="0.25">
      <c r="A60" s="30">
        <v>334.92980349556137</v>
      </c>
      <c r="E60" t="s">
        <v>8</v>
      </c>
    </row>
    <row r="61" spans="1:14" x14ac:dyDescent="0.25">
      <c r="A61" s="30">
        <v>304.48163954141938</v>
      </c>
      <c r="E61" t="s">
        <v>8</v>
      </c>
    </row>
    <row r="62" spans="1:14" x14ac:dyDescent="0.25">
      <c r="A62" s="30">
        <v>276.80149049219943</v>
      </c>
      <c r="E62" t="s">
        <v>8</v>
      </c>
    </row>
    <row r="63" spans="1:14" x14ac:dyDescent="0.25">
      <c r="A63" s="30">
        <v>251.63771862927217</v>
      </c>
      <c r="E63" t="s">
        <v>8</v>
      </c>
    </row>
    <row r="64" spans="1:14" x14ac:dyDescent="0.25">
      <c r="A64" s="30">
        <v>228.76156239024741</v>
      </c>
      <c r="E64" t="s">
        <v>8</v>
      </c>
    </row>
    <row r="65" spans="1:5" x14ac:dyDescent="0.25">
      <c r="A65" s="30">
        <v>207.96505671840671</v>
      </c>
      <c r="E65" t="s">
        <v>8</v>
      </c>
    </row>
    <row r="66" spans="1:5" x14ac:dyDescent="0.25">
      <c r="A66" s="30">
        <v>189.05914247127882</v>
      </c>
      <c r="E66" t="s">
        <v>8</v>
      </c>
    </row>
    <row r="67" spans="1:5" x14ac:dyDescent="0.25">
      <c r="A67" s="30">
        <v>171.87194770116255</v>
      </c>
      <c r="C67" s="1" t="s">
        <v>15</v>
      </c>
      <c r="E67" t="s">
        <v>8</v>
      </c>
    </row>
    <row r="68" spans="1:5" x14ac:dyDescent="0.25">
      <c r="A68" s="30">
        <v>156.24722518287504</v>
      </c>
      <c r="C68" s="7">
        <v>0.11167815779424731</v>
      </c>
      <c r="D68"/>
      <c r="E68" t="s">
        <v>8</v>
      </c>
    </row>
    <row r="69" spans="1:5" x14ac:dyDescent="0.25">
      <c r="A69" s="30">
        <v>142.04293198443185</v>
      </c>
      <c r="E69" t="s">
        <v>8</v>
      </c>
    </row>
    <row r="70" spans="1:5" x14ac:dyDescent="0.25">
      <c r="A70" s="30">
        <v>129.1299381676653</v>
      </c>
      <c r="C70" s="1" t="s">
        <v>11</v>
      </c>
      <c r="D70" s="1" t="s">
        <v>12</v>
      </c>
      <c r="E70" t="s">
        <v>8</v>
      </c>
    </row>
    <row r="71" spans="1:5" x14ac:dyDescent="0.25">
      <c r="A71" s="30">
        <v>117.39085287969573</v>
      </c>
      <c r="C71"/>
      <c r="D71"/>
      <c r="E71" t="s">
        <v>8</v>
      </c>
    </row>
    <row r="72" spans="1:5" x14ac:dyDescent="0.25">
      <c r="A72" s="30">
        <v>106.71895716335975</v>
      </c>
      <c r="E72" t="s">
        <v>8</v>
      </c>
    </row>
    <row r="73" spans="1:5" x14ac:dyDescent="0.25">
      <c r="A73" s="30">
        <v>97.017233784872488</v>
      </c>
      <c r="C73" s="1" t="s">
        <v>13</v>
      </c>
      <c r="E73" t="s">
        <v>8</v>
      </c>
    </row>
    <row r="74" spans="1:5" x14ac:dyDescent="0.25">
      <c r="A74" s="30">
        <v>88.197485258974979</v>
      </c>
      <c r="C74" s="1">
        <f>C63</f>
        <v>0</v>
      </c>
      <c r="E74" t="s">
        <v>8</v>
      </c>
    </row>
    <row r="75" spans="1:5" x14ac:dyDescent="0.25">
      <c r="A75" s="30">
        <v>80.179532053613613</v>
      </c>
      <c r="C75"/>
      <c r="D75"/>
      <c r="E75" t="s">
        <v>8</v>
      </c>
    </row>
    <row r="76" spans="1:5" x14ac:dyDescent="0.25">
      <c r="A76" s="30">
        <v>72.890483685103277</v>
      </c>
      <c r="C76" s="1" t="s">
        <v>14</v>
      </c>
      <c r="E76" t="s">
        <v>8</v>
      </c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5" x14ac:dyDescent="0.25">
      <c r="A78" s="30">
        <v>60.240069161242367</v>
      </c>
      <c r="E78" t="s">
        <v>8</v>
      </c>
    </row>
    <row r="79" spans="1:5" x14ac:dyDescent="0.25">
      <c r="A79" s="30">
        <v>54.763699237493057</v>
      </c>
      <c r="E79" t="s">
        <v>8</v>
      </c>
    </row>
    <row r="80" spans="1:5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$A$42</v>
      </c>
      <c r="D111" s="1" t="str">
        <f>ADDRESS(C121-1,D121,1,1)</f>
        <v>$AD$42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$A$43</v>
      </c>
      <c r="D112" s="1" t="str">
        <f>ADDRESS(C121,D121-1,1,1)</f>
        <v>$AC$43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$A$44</v>
      </c>
      <c r="D113" s="1" t="str">
        <f>ADDRESS(C121-1,D121+1,1,1)</f>
        <v>$AE$42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$AD$43</v>
      </c>
      <c r="D114" s="1" t="str">
        <f>ADDRESS(C121+1,D121+1,1,1)</f>
        <v>$AE$44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$AD$44</v>
      </c>
      <c r="E115" s="1" t="s">
        <v>8</v>
      </c>
    </row>
    <row r="116" spans="1:5" x14ac:dyDescent="0.25">
      <c r="A116" s="30">
        <v>1.6105100000000008</v>
      </c>
      <c r="C116" s="1">
        <f>C117-1</f>
        <v>42</v>
      </c>
      <c r="E116" s="1" t="s">
        <v>8</v>
      </c>
    </row>
    <row r="117" spans="1:5" x14ac:dyDescent="0.25">
      <c r="A117" s="30">
        <v>1.4641000000000006</v>
      </c>
      <c r="C117" s="1">
        <f>C121</f>
        <v>43</v>
      </c>
      <c r="D117" s="1">
        <f>D121</f>
        <v>30</v>
      </c>
      <c r="E117" s="1" t="s">
        <v>8</v>
      </c>
    </row>
    <row r="118" spans="1:5" x14ac:dyDescent="0.25">
      <c r="A118" s="30">
        <v>1.3310000000000004</v>
      </c>
      <c r="C118" s="1">
        <f>C117+1</f>
        <v>44</v>
      </c>
      <c r="D118" s="1">
        <f>D117+1</f>
        <v>31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43</v>
      </c>
      <c r="D121" s="19">
        <v>30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R43</v>
      </c>
      <c r="D123" s="1" t="str">
        <f>"C"&amp;D121</f>
        <v>C30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1692.8927393268411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58" operator="equal">
      <formula>$U$1</formula>
    </cfRule>
    <cfRule type="cellIs" dxfId="30" priority="959" operator="equal">
      <formula>$S$1</formula>
    </cfRule>
  </conditionalFormatting>
  <conditionalFormatting sqref="D136">
    <cfRule type="cellIs" dxfId="29" priority="956" operator="equal">
      <formula>$S$1</formula>
    </cfRule>
    <cfRule type="cellIs" dxfId="28" priority="957" operator="equal">
      <formula>$U$1</formula>
    </cfRule>
  </conditionalFormatting>
  <conditionalFormatting sqref="C102">
    <cfRule type="cellIs" dxfId="27" priority="954" operator="equal">
      <formula>$U$1</formula>
    </cfRule>
    <cfRule type="cellIs" dxfId="26" priority="955" operator="equal">
      <formula>$S$1</formula>
    </cfRule>
  </conditionalFormatting>
  <conditionalFormatting sqref="D102">
    <cfRule type="cellIs" dxfId="25" priority="952" operator="equal">
      <formula>$S$1</formula>
    </cfRule>
    <cfRule type="cellIs" dxfId="24" priority="953" operator="equal">
      <formula>$U$1</formula>
    </cfRule>
  </conditionalFormatting>
  <conditionalFormatting sqref="C77">
    <cfRule type="cellIs" dxfId="23" priority="950" operator="equal">
      <formula>$U$1</formula>
    </cfRule>
    <cfRule type="cellIs" dxfId="22" priority="951" operator="equal">
      <formula>$S$1</formula>
    </cfRule>
  </conditionalFormatting>
  <conditionalFormatting sqref="D77">
    <cfRule type="cellIs" dxfId="21" priority="948" operator="equal">
      <formula>$S$1</formula>
    </cfRule>
    <cfRule type="cellIs" dxfId="20" priority="949" operator="equal">
      <formula>$U$1</formula>
    </cfRule>
  </conditionalFormatting>
  <conditionalFormatting sqref="C52">
    <cfRule type="cellIs" dxfId="19" priority="946" operator="equal">
      <formula>$U$1</formula>
    </cfRule>
    <cfRule type="cellIs" dxfId="18" priority="947" operator="equal">
      <formula>$S$1</formula>
    </cfRule>
  </conditionalFormatting>
  <conditionalFormatting sqref="D52">
    <cfRule type="cellIs" dxfId="17" priority="944" operator="equal">
      <formula>$S$1</formula>
    </cfRule>
    <cfRule type="cellIs" dxfId="16" priority="945" operator="equal">
      <formula>$U$1</formula>
    </cfRule>
  </conditionalFormatting>
  <conditionalFormatting sqref="C26">
    <cfRule type="cellIs" dxfId="15" priority="942" operator="equal">
      <formula>$U$1</formula>
    </cfRule>
    <cfRule type="cellIs" dxfId="14" priority="943" operator="equal">
      <formula>$S$1</formula>
    </cfRule>
  </conditionalFormatting>
  <conditionalFormatting sqref="D26">
    <cfRule type="cellIs" dxfId="13" priority="940" operator="equal">
      <formula>$S$1</formula>
    </cfRule>
    <cfRule type="cellIs" dxfId="12" priority="94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4" width="8.7109375" style="1" customWidth="1"/>
    <col min="5" max="5" width="11.28515625" style="1" customWidth="1"/>
    <col min="6" max="6" width="11" style="1" customWidth="1"/>
    <col min="7" max="7" width="9.85546875" style="1" customWidth="1"/>
    <col min="8" max="8" width="9.42578125" style="1" customWidth="1"/>
    <col min="9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2121.8757720523595</v>
      </c>
      <c r="F3" s="30">
        <v>2227.9695606549776</v>
      </c>
      <c r="G3" s="30">
        <v>4001.1132296869878</v>
      </c>
      <c r="H3" s="25">
        <f>IF(G3="","",(3*(G3-F3))+E3)</f>
        <v>7441.30677914839</v>
      </c>
      <c r="I3" s="7"/>
      <c r="J3" s="7">
        <f>(E3+G3)/2</f>
        <v>3061.4945008696736</v>
      </c>
      <c r="K3" s="7">
        <f>H3/2</f>
        <v>3720.653389574195</v>
      </c>
      <c r="M3" s="26">
        <f>IF(OR(J3="",H3=""),"",H3/J3)</f>
        <v>2.4306124923740842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2022-01-28T01:19:08Z</dcterms:modified>
</cp:coreProperties>
</file>