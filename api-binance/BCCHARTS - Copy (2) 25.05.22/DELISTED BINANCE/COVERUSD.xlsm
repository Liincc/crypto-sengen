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23F2B32D-020A-4852-B5DD-A61758358636}" xr6:coauthVersionLast="47" xr6:coauthVersionMax="47" xr10:uidLastSave="{00000000-0000-0000-0000-000000000000}"/>
  <bookViews>
    <workbookView xWindow="-21276" yWindow="3456" windowWidth="18696" windowHeight="12480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757" i="1"/>
  <c r="Q757" i="1" s="1"/>
  <c r="R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S757" i="1"/>
  <c r="T757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22" i="3"/>
  <c r="C133" i="3" s="1"/>
  <c r="C116" i="3"/>
  <c r="C118" i="5"/>
  <c r="C102" i="5"/>
  <c r="C118" i="3"/>
  <c r="D31" i="4"/>
  <c r="C122" i="4"/>
  <c r="C133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D136" i="2"/>
  <c r="C136" i="2"/>
  <c r="C138" i="2"/>
  <c r="C2" i="1" l="1"/>
  <c r="D2" i="1"/>
  <c r="D136" i="5"/>
  <c r="C136" i="5"/>
  <c r="C138" i="5" s="1"/>
  <c r="D136" i="4"/>
  <c r="C136" i="4"/>
  <c r="C136" i="3"/>
  <c r="D136" i="3"/>
  <c r="R756" i="1"/>
  <c r="C138" i="3" l="1"/>
  <c r="C138" i="4"/>
  <c r="R755" i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S666" i="1" l="1"/>
  <c r="T666" i="1" s="1"/>
  <c r="R665" i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S651" i="1" l="1"/>
  <c r="T651" i="1" s="1"/>
  <c r="R650" i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S642" i="1" l="1"/>
  <c r="T642" i="1" s="1"/>
  <c r="R641" i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S594" i="1" l="1"/>
  <c r="T594" i="1" s="1"/>
  <c r="R593" i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S373" i="1" l="1"/>
  <c r="T373" i="1" s="1"/>
  <c r="R372" i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S306" i="1" l="1"/>
  <c r="T306" i="1" s="1"/>
  <c r="R305" i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S258" i="1" l="1"/>
  <c r="T258" i="1" s="1"/>
  <c r="R257" i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S39" i="1" l="1"/>
  <c r="T39" i="1" s="1"/>
  <c r="R38" i="1"/>
  <c r="R37" i="1" l="1"/>
  <c r="S38" i="1"/>
  <c r="T38" i="1" s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S24" i="1" l="1"/>
  <c r="T24" i="1" s="1"/>
  <c r="R23" i="1"/>
  <c r="S23" i="1" l="1"/>
  <c r="T23" i="1" s="1"/>
  <c r="R22" i="1"/>
  <c r="R21" i="1" l="1"/>
  <c r="S22" i="1"/>
  <c r="T22" i="1" s="1"/>
  <c r="R20" i="1" l="1"/>
  <c r="S21" i="1"/>
  <c r="T21" i="1" s="1"/>
  <c r="S20" i="1" l="1"/>
  <c r="T20" i="1" s="1"/>
  <c r="R19" i="1"/>
  <c r="R18" i="1" l="1"/>
  <c r="S19" i="1"/>
  <c r="T19" i="1" s="1"/>
  <c r="S18" i="1" l="1"/>
  <c r="T18" i="1" s="1"/>
  <c r="R17" i="1"/>
  <c r="R16" i="1" l="1"/>
  <c r="S17" i="1"/>
  <c r="T17" i="1" s="1"/>
  <c r="R15" i="1" l="1"/>
  <c r="S16" i="1"/>
  <c r="T16" i="1" s="1"/>
  <c r="R14" i="1" l="1"/>
  <c r="S15" i="1"/>
  <c r="T15" i="1" s="1"/>
  <c r="R13" i="1" l="1"/>
  <c r="S14" i="1"/>
  <c r="T14" i="1" s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<sst xmlns="http://schemas.openxmlformats.org/spreadsheetml/2006/main" count="5640" uniqueCount="34">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</sst>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44193</c:v>
                </c:pt>
                <c:pt idx="378">
                  <c:v>44192</c:v>
                </c:pt>
                <c:pt idx="379">
                  <c:v>44191</c:v>
                </c:pt>
                <c:pt idx="380">
                  <c:v>44190</c:v>
                </c:pt>
                <c:pt idx="381">
                  <c:v>44189</c:v>
                </c:pt>
                <c:pt idx="382">
                  <c:v>44188</c:v>
                </c:pt>
                <c:pt idx="383">
                  <c:v>44187</c:v>
                </c:pt>
                <c:pt idx="384">
                  <c:v>44186</c:v>
                </c:pt>
                <c:pt idx="385">
                  <c:v>44185</c:v>
                </c:pt>
                <c:pt idx="386">
                  <c:v>44184</c:v>
                </c:pt>
                <c:pt idx="387">
                  <c:v>44183</c:v>
                </c:pt>
                <c:pt idx="388">
                  <c:v>44182</c:v>
                </c:pt>
                <c:pt idx="389">
                  <c:v>44181</c:v>
                </c:pt>
                <c:pt idx="390">
                  <c:v>44180</c:v>
                </c:pt>
                <c:pt idx="391">
                  <c:v>44179</c:v>
                </c:pt>
                <c:pt idx="392">
                  <c:v>44178</c:v>
                </c:pt>
                <c:pt idx="393">
                  <c:v>44177</c:v>
                </c:pt>
                <c:pt idx="394">
                  <c:v>44176</c:v>
                </c:pt>
                <c:pt idx="395">
                  <c:v>44175</c:v>
                </c:pt>
                <c:pt idx="396">
                  <c:v>44174</c:v>
                </c:pt>
                <c:pt idx="397">
                  <c:v>44173</c:v>
                </c:pt>
                <c:pt idx="398">
                  <c:v>44172</c:v>
                </c:pt>
                <c:pt idx="399">
                  <c:v>44171</c:v>
                </c:pt>
                <c:pt idx="400">
                  <c:v>44170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193.6</c:v>
                </c:pt>
                <c:pt idx="1">
                  <c:v>193.6</c:v>
                </c:pt>
                <c:pt idx="2">
                  <c:v>193.6</c:v>
                </c:pt>
                <c:pt idx="3">
                  <c:v>193.6</c:v>
                </c:pt>
                <c:pt idx="4">
                  <c:v>193.6</c:v>
                </c:pt>
                <c:pt idx="5">
                  <c:v>193.6</c:v>
                </c:pt>
                <c:pt idx="6">
                  <c:v>193.6</c:v>
                </c:pt>
                <c:pt idx="7">
                  <c:v>193.6</c:v>
                </c:pt>
                <c:pt idx="8">
                  <c:v>193.6</c:v>
                </c:pt>
                <c:pt idx="9">
                  <c:v>193.6</c:v>
                </c:pt>
                <c:pt idx="10">
                  <c:v>193.6</c:v>
                </c:pt>
                <c:pt idx="11">
                  <c:v>193.6</c:v>
                </c:pt>
                <c:pt idx="12">
                  <c:v>193.6</c:v>
                </c:pt>
                <c:pt idx="13">
                  <c:v>193.6</c:v>
                </c:pt>
                <c:pt idx="14">
                  <c:v>193.6</c:v>
                </c:pt>
                <c:pt idx="15">
                  <c:v>193.6</c:v>
                </c:pt>
                <c:pt idx="16">
                  <c:v>193.6</c:v>
                </c:pt>
                <c:pt idx="17">
                  <c:v>193.6</c:v>
                </c:pt>
                <c:pt idx="18">
                  <c:v>193.6</c:v>
                </c:pt>
                <c:pt idx="19">
                  <c:v>193.6</c:v>
                </c:pt>
                <c:pt idx="20">
                  <c:v>193.6</c:v>
                </c:pt>
                <c:pt idx="21">
                  <c:v>193.6</c:v>
                </c:pt>
                <c:pt idx="22">
                  <c:v>193.6</c:v>
                </c:pt>
                <c:pt idx="23">
                  <c:v>193.6</c:v>
                </c:pt>
                <c:pt idx="24">
                  <c:v>193.6</c:v>
                </c:pt>
                <c:pt idx="25">
                  <c:v>193.6</c:v>
                </c:pt>
                <c:pt idx="26">
                  <c:v>193.6</c:v>
                </c:pt>
                <c:pt idx="27">
                  <c:v>193.6</c:v>
                </c:pt>
                <c:pt idx="28">
                  <c:v>193.6</c:v>
                </c:pt>
                <c:pt idx="29">
                  <c:v>193.6</c:v>
                </c:pt>
                <c:pt idx="30">
                  <c:v>193.6</c:v>
                </c:pt>
                <c:pt idx="31">
                  <c:v>193.6</c:v>
                </c:pt>
                <c:pt idx="32">
                  <c:v>193.6</c:v>
                </c:pt>
                <c:pt idx="33">
                  <c:v>193.6</c:v>
                </c:pt>
                <c:pt idx="34">
                  <c:v>193.6</c:v>
                </c:pt>
                <c:pt idx="35">
                  <c:v>193.6</c:v>
                </c:pt>
                <c:pt idx="36">
                  <c:v>193.6</c:v>
                </c:pt>
                <c:pt idx="37">
                  <c:v>193.6</c:v>
                </c:pt>
                <c:pt idx="38">
                  <c:v>193.6</c:v>
                </c:pt>
                <c:pt idx="39">
                  <c:v>193.6</c:v>
                </c:pt>
                <c:pt idx="40">
                  <c:v>193.6</c:v>
                </c:pt>
                <c:pt idx="41">
                  <c:v>193.6</c:v>
                </c:pt>
                <c:pt idx="42">
                  <c:v>193.6</c:v>
                </c:pt>
                <c:pt idx="43">
                  <c:v>193.6</c:v>
                </c:pt>
                <c:pt idx="44">
                  <c:v>193.6</c:v>
                </c:pt>
                <c:pt idx="45">
                  <c:v>193.6</c:v>
                </c:pt>
                <c:pt idx="46">
                  <c:v>193.6</c:v>
                </c:pt>
                <c:pt idx="47">
                  <c:v>193.6</c:v>
                </c:pt>
                <c:pt idx="48">
                  <c:v>193.6</c:v>
                </c:pt>
                <c:pt idx="49">
                  <c:v>193.6</c:v>
                </c:pt>
                <c:pt idx="50">
                  <c:v>193.6</c:v>
                </c:pt>
                <c:pt idx="51">
                  <c:v>193.6</c:v>
                </c:pt>
                <c:pt idx="52">
                  <c:v>193.6</c:v>
                </c:pt>
                <c:pt idx="53">
                  <c:v>193.6</c:v>
                </c:pt>
                <c:pt idx="54">
                  <c:v>193.6</c:v>
                </c:pt>
                <c:pt idx="55">
                  <c:v>193.6</c:v>
                </c:pt>
                <c:pt idx="56">
                  <c:v>193.6</c:v>
                </c:pt>
                <c:pt idx="57">
                  <c:v>193.6</c:v>
                </c:pt>
                <c:pt idx="58">
                  <c:v>193.6</c:v>
                </c:pt>
                <c:pt idx="59">
                  <c:v>193.6</c:v>
                </c:pt>
                <c:pt idx="60">
                  <c:v>193.6</c:v>
                </c:pt>
                <c:pt idx="61">
                  <c:v>193.6</c:v>
                </c:pt>
                <c:pt idx="62">
                  <c:v>193.6</c:v>
                </c:pt>
                <c:pt idx="63">
                  <c:v>193.6</c:v>
                </c:pt>
                <c:pt idx="64">
                  <c:v>193.6</c:v>
                </c:pt>
                <c:pt idx="65">
                  <c:v>193.6</c:v>
                </c:pt>
                <c:pt idx="66">
                  <c:v>193.6</c:v>
                </c:pt>
                <c:pt idx="67">
                  <c:v>193.6</c:v>
                </c:pt>
                <c:pt idx="68">
                  <c:v>193.6</c:v>
                </c:pt>
                <c:pt idx="69">
                  <c:v>193.6</c:v>
                </c:pt>
                <c:pt idx="70">
                  <c:v>193.6</c:v>
                </c:pt>
                <c:pt idx="71">
                  <c:v>193.6</c:v>
                </c:pt>
                <c:pt idx="72">
                  <c:v>193.6</c:v>
                </c:pt>
                <c:pt idx="73">
                  <c:v>193.6</c:v>
                </c:pt>
                <c:pt idx="74">
                  <c:v>193.6</c:v>
                </c:pt>
                <c:pt idx="75">
                  <c:v>193.6</c:v>
                </c:pt>
                <c:pt idx="76">
                  <c:v>193.6</c:v>
                </c:pt>
                <c:pt idx="77">
                  <c:v>193.6</c:v>
                </c:pt>
                <c:pt idx="78">
                  <c:v>193.6</c:v>
                </c:pt>
                <c:pt idx="79">
                  <c:v>193.6</c:v>
                </c:pt>
                <c:pt idx="80">
                  <c:v>193.6</c:v>
                </c:pt>
                <c:pt idx="81">
                  <c:v>193.6</c:v>
                </c:pt>
                <c:pt idx="82">
                  <c:v>193.6</c:v>
                </c:pt>
                <c:pt idx="83">
                  <c:v>193.6</c:v>
                </c:pt>
                <c:pt idx="84">
                  <c:v>193.6</c:v>
                </c:pt>
                <c:pt idx="85">
                  <c:v>193.6</c:v>
                </c:pt>
                <c:pt idx="86">
                  <c:v>193.6</c:v>
                </c:pt>
                <c:pt idx="87">
                  <c:v>193.6</c:v>
                </c:pt>
                <c:pt idx="88">
                  <c:v>193.6</c:v>
                </c:pt>
                <c:pt idx="89">
                  <c:v>193.6</c:v>
                </c:pt>
                <c:pt idx="90">
                  <c:v>193.6</c:v>
                </c:pt>
                <c:pt idx="91">
                  <c:v>193.6</c:v>
                </c:pt>
                <c:pt idx="92">
                  <c:v>193.6</c:v>
                </c:pt>
                <c:pt idx="93">
                  <c:v>193.6</c:v>
                </c:pt>
                <c:pt idx="94">
                  <c:v>193.6</c:v>
                </c:pt>
                <c:pt idx="95">
                  <c:v>193.6</c:v>
                </c:pt>
                <c:pt idx="96">
                  <c:v>193.6</c:v>
                </c:pt>
                <c:pt idx="97">
                  <c:v>193.6</c:v>
                </c:pt>
                <c:pt idx="98">
                  <c:v>193.6</c:v>
                </c:pt>
                <c:pt idx="99">
                  <c:v>193.6</c:v>
                </c:pt>
                <c:pt idx="100">
                  <c:v>193.6</c:v>
                </c:pt>
                <c:pt idx="101">
                  <c:v>193.6</c:v>
                </c:pt>
                <c:pt idx="102">
                  <c:v>193.6</c:v>
                </c:pt>
                <c:pt idx="103">
                  <c:v>193.6</c:v>
                </c:pt>
                <c:pt idx="104">
                  <c:v>193.6</c:v>
                </c:pt>
                <c:pt idx="105">
                  <c:v>193.6</c:v>
                </c:pt>
                <c:pt idx="106">
                  <c:v>193.6</c:v>
                </c:pt>
                <c:pt idx="107">
                  <c:v>193.6</c:v>
                </c:pt>
                <c:pt idx="108">
                  <c:v>193.6</c:v>
                </c:pt>
                <c:pt idx="109">
                  <c:v>193.6</c:v>
                </c:pt>
                <c:pt idx="110">
                  <c:v>193.6</c:v>
                </c:pt>
                <c:pt idx="111">
                  <c:v>193.6</c:v>
                </c:pt>
                <c:pt idx="112">
                  <c:v>193.6</c:v>
                </c:pt>
                <c:pt idx="113">
                  <c:v>193.6</c:v>
                </c:pt>
                <c:pt idx="114">
                  <c:v>193.6</c:v>
                </c:pt>
                <c:pt idx="115">
                  <c:v>193.6</c:v>
                </c:pt>
                <c:pt idx="116">
                  <c:v>193.6</c:v>
                </c:pt>
                <c:pt idx="117">
                  <c:v>202.5</c:v>
                </c:pt>
                <c:pt idx="118">
                  <c:v>206.5</c:v>
                </c:pt>
                <c:pt idx="119">
                  <c:v>227.1</c:v>
                </c:pt>
                <c:pt idx="120">
                  <c:v>227.6</c:v>
                </c:pt>
                <c:pt idx="121">
                  <c:v>162.9</c:v>
                </c:pt>
                <c:pt idx="122">
                  <c:v>176</c:v>
                </c:pt>
                <c:pt idx="123">
                  <c:v>188</c:v>
                </c:pt>
                <c:pt idx="124">
                  <c:v>224.7</c:v>
                </c:pt>
                <c:pt idx="125">
                  <c:v>245.2</c:v>
                </c:pt>
                <c:pt idx="126">
                  <c:v>305.89999999999998</c:v>
                </c:pt>
                <c:pt idx="127">
                  <c:v>152.30000000000001</c:v>
                </c:pt>
                <c:pt idx="128">
                  <c:v>159.4</c:v>
                </c:pt>
                <c:pt idx="129">
                  <c:v>153.6</c:v>
                </c:pt>
                <c:pt idx="130">
                  <c:v>152.4</c:v>
                </c:pt>
                <c:pt idx="131">
                  <c:v>170.4</c:v>
                </c:pt>
                <c:pt idx="132">
                  <c:v>162.80000000000001</c:v>
                </c:pt>
                <c:pt idx="133">
                  <c:v>161.1</c:v>
                </c:pt>
                <c:pt idx="134">
                  <c:v>212.5</c:v>
                </c:pt>
                <c:pt idx="135">
                  <c:v>227.1</c:v>
                </c:pt>
                <c:pt idx="136">
                  <c:v>267.39999999999998</c:v>
                </c:pt>
                <c:pt idx="137">
                  <c:v>269</c:v>
                </c:pt>
                <c:pt idx="138">
                  <c:v>273.5</c:v>
                </c:pt>
                <c:pt idx="139">
                  <c:v>286.5</c:v>
                </c:pt>
                <c:pt idx="140">
                  <c:v>308.8</c:v>
                </c:pt>
                <c:pt idx="141">
                  <c:v>303.60000000000002</c:v>
                </c:pt>
                <c:pt idx="142">
                  <c:v>307.3</c:v>
                </c:pt>
                <c:pt idx="143">
                  <c:v>307.89999999999998</c:v>
                </c:pt>
                <c:pt idx="144">
                  <c:v>314.39999999999998</c:v>
                </c:pt>
                <c:pt idx="145">
                  <c:v>303.10000000000002</c:v>
                </c:pt>
                <c:pt idx="146">
                  <c:v>310.44</c:v>
                </c:pt>
                <c:pt idx="147">
                  <c:v>312</c:v>
                </c:pt>
                <c:pt idx="148">
                  <c:v>331</c:v>
                </c:pt>
                <c:pt idx="149">
                  <c:v>327.01</c:v>
                </c:pt>
                <c:pt idx="150">
                  <c:v>328.93</c:v>
                </c:pt>
                <c:pt idx="151">
                  <c:v>329.99</c:v>
                </c:pt>
                <c:pt idx="152">
                  <c:v>331.58</c:v>
                </c:pt>
                <c:pt idx="153">
                  <c:v>322.38</c:v>
                </c:pt>
                <c:pt idx="154">
                  <c:v>309.18</c:v>
                </c:pt>
                <c:pt idx="155">
                  <c:v>332</c:v>
                </c:pt>
                <c:pt idx="156">
                  <c:v>351.17</c:v>
                </c:pt>
                <c:pt idx="157">
                  <c:v>345.59</c:v>
                </c:pt>
                <c:pt idx="158">
                  <c:v>350.83</c:v>
                </c:pt>
                <c:pt idx="159">
                  <c:v>327.99</c:v>
                </c:pt>
                <c:pt idx="160">
                  <c:v>283.43</c:v>
                </c:pt>
                <c:pt idx="161">
                  <c:v>299</c:v>
                </c:pt>
                <c:pt idx="162">
                  <c:v>274.67</c:v>
                </c:pt>
                <c:pt idx="163">
                  <c:v>266.62</c:v>
                </c:pt>
                <c:pt idx="164">
                  <c:v>270</c:v>
                </c:pt>
                <c:pt idx="165">
                  <c:v>273.2</c:v>
                </c:pt>
                <c:pt idx="166">
                  <c:v>296.36</c:v>
                </c:pt>
                <c:pt idx="167">
                  <c:v>235.15</c:v>
                </c:pt>
                <c:pt idx="168">
                  <c:v>224.84</c:v>
                </c:pt>
                <c:pt idx="169">
                  <c:v>230.09</c:v>
                </c:pt>
                <c:pt idx="170">
                  <c:v>234</c:v>
                </c:pt>
                <c:pt idx="171">
                  <c:v>242.51</c:v>
                </c:pt>
                <c:pt idx="172">
                  <c:v>235.55</c:v>
                </c:pt>
                <c:pt idx="173">
                  <c:v>232.88</c:v>
                </c:pt>
                <c:pt idx="174">
                  <c:v>232.86</c:v>
                </c:pt>
                <c:pt idx="175">
                  <c:v>235.87</c:v>
                </c:pt>
                <c:pt idx="176">
                  <c:v>233.36</c:v>
                </c:pt>
                <c:pt idx="177">
                  <c:v>238.77</c:v>
                </c:pt>
                <c:pt idx="178">
                  <c:v>221.06</c:v>
                </c:pt>
                <c:pt idx="179">
                  <c:v>217.3</c:v>
                </c:pt>
                <c:pt idx="180">
                  <c:v>183.1</c:v>
                </c:pt>
                <c:pt idx="181">
                  <c:v>186.36</c:v>
                </c:pt>
                <c:pt idx="182">
                  <c:v>169.13</c:v>
                </c:pt>
                <c:pt idx="183">
                  <c:v>186.81</c:v>
                </c:pt>
                <c:pt idx="184">
                  <c:v>225.9</c:v>
                </c:pt>
                <c:pt idx="185">
                  <c:v>168.96</c:v>
                </c:pt>
                <c:pt idx="186">
                  <c:v>166.87</c:v>
                </c:pt>
                <c:pt idx="187">
                  <c:v>179.49</c:v>
                </c:pt>
                <c:pt idx="188">
                  <c:v>177</c:v>
                </c:pt>
                <c:pt idx="189">
                  <c:v>180.16</c:v>
                </c:pt>
                <c:pt idx="190">
                  <c:v>182.7</c:v>
                </c:pt>
                <c:pt idx="191">
                  <c:v>181.54</c:v>
                </c:pt>
                <c:pt idx="192">
                  <c:v>174.66</c:v>
                </c:pt>
                <c:pt idx="193">
                  <c:v>183.65</c:v>
                </c:pt>
                <c:pt idx="194">
                  <c:v>176.97</c:v>
                </c:pt>
                <c:pt idx="195">
                  <c:v>200.34</c:v>
                </c:pt>
                <c:pt idx="196">
                  <c:v>187.66</c:v>
                </c:pt>
                <c:pt idx="197">
                  <c:v>175.21</c:v>
                </c:pt>
                <c:pt idx="198">
                  <c:v>178</c:v>
                </c:pt>
                <c:pt idx="199">
                  <c:v>172.9</c:v>
                </c:pt>
                <c:pt idx="200">
                  <c:v>160.97999999999999</c:v>
                </c:pt>
                <c:pt idx="201">
                  <c:v>161.26</c:v>
                </c:pt>
                <c:pt idx="202">
                  <c:v>174.75</c:v>
                </c:pt>
                <c:pt idx="203">
                  <c:v>178.09</c:v>
                </c:pt>
                <c:pt idx="204">
                  <c:v>175.19</c:v>
                </c:pt>
                <c:pt idx="205">
                  <c:v>174.74</c:v>
                </c:pt>
                <c:pt idx="206">
                  <c:v>158.94999999999999</c:v>
                </c:pt>
                <c:pt idx="207">
                  <c:v>163.82</c:v>
                </c:pt>
                <c:pt idx="208">
                  <c:v>183.8</c:v>
                </c:pt>
                <c:pt idx="209">
                  <c:v>185</c:v>
                </c:pt>
                <c:pt idx="210">
                  <c:v>178.2</c:v>
                </c:pt>
                <c:pt idx="211">
                  <c:v>186.43</c:v>
                </c:pt>
                <c:pt idx="212">
                  <c:v>221.48</c:v>
                </c:pt>
                <c:pt idx="213">
                  <c:v>225.49</c:v>
                </c:pt>
                <c:pt idx="214">
                  <c:v>224.12</c:v>
                </c:pt>
                <c:pt idx="215">
                  <c:v>249.05</c:v>
                </c:pt>
                <c:pt idx="216">
                  <c:v>249.94</c:v>
                </c:pt>
                <c:pt idx="217">
                  <c:v>289.61</c:v>
                </c:pt>
                <c:pt idx="218">
                  <c:v>240.05</c:v>
                </c:pt>
                <c:pt idx="219">
                  <c:v>221.97</c:v>
                </c:pt>
                <c:pt idx="220">
                  <c:v>212.55</c:v>
                </c:pt>
                <c:pt idx="221">
                  <c:v>216.96</c:v>
                </c:pt>
                <c:pt idx="222">
                  <c:v>230.01</c:v>
                </c:pt>
                <c:pt idx="223">
                  <c:v>246.9</c:v>
                </c:pt>
                <c:pt idx="224">
                  <c:v>237.13</c:v>
                </c:pt>
                <c:pt idx="225">
                  <c:v>245.5</c:v>
                </c:pt>
                <c:pt idx="226">
                  <c:v>263.3</c:v>
                </c:pt>
                <c:pt idx="227">
                  <c:v>259.99</c:v>
                </c:pt>
                <c:pt idx="228">
                  <c:v>261.14</c:v>
                </c:pt>
                <c:pt idx="229">
                  <c:v>292</c:v>
                </c:pt>
                <c:pt idx="230">
                  <c:v>293</c:v>
                </c:pt>
                <c:pt idx="231">
                  <c:v>293</c:v>
                </c:pt>
                <c:pt idx="232">
                  <c:v>317.99</c:v>
                </c:pt>
                <c:pt idx="233">
                  <c:v>227.4</c:v>
                </c:pt>
                <c:pt idx="234">
                  <c:v>218.05</c:v>
                </c:pt>
                <c:pt idx="235">
                  <c:v>237.1</c:v>
                </c:pt>
                <c:pt idx="236">
                  <c:v>268.99</c:v>
                </c:pt>
                <c:pt idx="237">
                  <c:v>276.39999999999998</c:v>
                </c:pt>
                <c:pt idx="238">
                  <c:v>264.87</c:v>
                </c:pt>
                <c:pt idx="239">
                  <c:v>279.37</c:v>
                </c:pt>
                <c:pt idx="240">
                  <c:v>228.97</c:v>
                </c:pt>
                <c:pt idx="241">
                  <c:v>261.97000000000003</c:v>
                </c:pt>
                <c:pt idx="242">
                  <c:v>267.14999999999998</c:v>
                </c:pt>
                <c:pt idx="243">
                  <c:v>320.70999999999998</c:v>
                </c:pt>
                <c:pt idx="244">
                  <c:v>293.58999999999997</c:v>
                </c:pt>
                <c:pt idx="245">
                  <c:v>416.56</c:v>
                </c:pt>
                <c:pt idx="246">
                  <c:v>420.58</c:v>
                </c:pt>
                <c:pt idx="247">
                  <c:v>437.64</c:v>
                </c:pt>
                <c:pt idx="248">
                  <c:v>439.13</c:v>
                </c:pt>
                <c:pt idx="249">
                  <c:v>513.9</c:v>
                </c:pt>
                <c:pt idx="250">
                  <c:v>485.75</c:v>
                </c:pt>
                <c:pt idx="251">
                  <c:v>494.24</c:v>
                </c:pt>
                <c:pt idx="252">
                  <c:v>575.94000000000005</c:v>
                </c:pt>
                <c:pt idx="253">
                  <c:v>553</c:v>
                </c:pt>
                <c:pt idx="254">
                  <c:v>599.42999999999995</c:v>
                </c:pt>
                <c:pt idx="255">
                  <c:v>608.97</c:v>
                </c:pt>
                <c:pt idx="256">
                  <c:v>595.63</c:v>
                </c:pt>
                <c:pt idx="257">
                  <c:v>599.51</c:v>
                </c:pt>
                <c:pt idx="258">
                  <c:v>637.54</c:v>
                </c:pt>
                <c:pt idx="259">
                  <c:v>594.16</c:v>
                </c:pt>
                <c:pt idx="260">
                  <c:v>671.13</c:v>
                </c:pt>
                <c:pt idx="261">
                  <c:v>690.17</c:v>
                </c:pt>
                <c:pt idx="262">
                  <c:v>652.01</c:v>
                </c:pt>
                <c:pt idx="263">
                  <c:v>688.93</c:v>
                </c:pt>
                <c:pt idx="264">
                  <c:v>750</c:v>
                </c:pt>
                <c:pt idx="265">
                  <c:v>603.99</c:v>
                </c:pt>
                <c:pt idx="266">
                  <c:v>504.29</c:v>
                </c:pt>
                <c:pt idx="267">
                  <c:v>471.53</c:v>
                </c:pt>
                <c:pt idx="268">
                  <c:v>391.08</c:v>
                </c:pt>
                <c:pt idx="269">
                  <c:v>387.37</c:v>
                </c:pt>
                <c:pt idx="270">
                  <c:v>400.37</c:v>
                </c:pt>
                <c:pt idx="271">
                  <c:v>398.69</c:v>
                </c:pt>
                <c:pt idx="272">
                  <c:v>414.09</c:v>
                </c:pt>
                <c:pt idx="273">
                  <c:v>432.7</c:v>
                </c:pt>
                <c:pt idx="274">
                  <c:v>429.24</c:v>
                </c:pt>
                <c:pt idx="275">
                  <c:v>460.74</c:v>
                </c:pt>
                <c:pt idx="276">
                  <c:v>478.01</c:v>
                </c:pt>
                <c:pt idx="277">
                  <c:v>492.61</c:v>
                </c:pt>
                <c:pt idx="278">
                  <c:v>512.16</c:v>
                </c:pt>
                <c:pt idx="279">
                  <c:v>454.31</c:v>
                </c:pt>
                <c:pt idx="280">
                  <c:v>459.54</c:v>
                </c:pt>
                <c:pt idx="281">
                  <c:v>442.04</c:v>
                </c:pt>
                <c:pt idx="282">
                  <c:v>466.01</c:v>
                </c:pt>
                <c:pt idx="283">
                  <c:v>430.24</c:v>
                </c:pt>
                <c:pt idx="284">
                  <c:v>444.25</c:v>
                </c:pt>
                <c:pt idx="285">
                  <c:v>489.39</c:v>
                </c:pt>
                <c:pt idx="286">
                  <c:v>425.01</c:v>
                </c:pt>
                <c:pt idx="287">
                  <c:v>446.3</c:v>
                </c:pt>
                <c:pt idx="288">
                  <c:v>488.43</c:v>
                </c:pt>
                <c:pt idx="289">
                  <c:v>516.66</c:v>
                </c:pt>
                <c:pt idx="290">
                  <c:v>515.61</c:v>
                </c:pt>
                <c:pt idx="291">
                  <c:v>561.07000000000005</c:v>
                </c:pt>
                <c:pt idx="292">
                  <c:v>569.33000000000004</c:v>
                </c:pt>
                <c:pt idx="293">
                  <c:v>591.99</c:v>
                </c:pt>
                <c:pt idx="294">
                  <c:v>572.12</c:v>
                </c:pt>
                <c:pt idx="295">
                  <c:v>573.19000000000005</c:v>
                </c:pt>
                <c:pt idx="296">
                  <c:v>582.69000000000005</c:v>
                </c:pt>
                <c:pt idx="297">
                  <c:v>620.33000000000004</c:v>
                </c:pt>
                <c:pt idx="298">
                  <c:v>607.6</c:v>
                </c:pt>
                <c:pt idx="299">
                  <c:v>570</c:v>
                </c:pt>
                <c:pt idx="300">
                  <c:v>615.85</c:v>
                </c:pt>
                <c:pt idx="301">
                  <c:v>651.26</c:v>
                </c:pt>
                <c:pt idx="302">
                  <c:v>631.86</c:v>
                </c:pt>
                <c:pt idx="303">
                  <c:v>643.49</c:v>
                </c:pt>
                <c:pt idx="304">
                  <c:v>612</c:v>
                </c:pt>
                <c:pt idx="305">
                  <c:v>617.20000000000005</c:v>
                </c:pt>
                <c:pt idx="306">
                  <c:v>627.33000000000004</c:v>
                </c:pt>
                <c:pt idx="307">
                  <c:v>632.01</c:v>
                </c:pt>
                <c:pt idx="308">
                  <c:v>568</c:v>
                </c:pt>
                <c:pt idx="309">
                  <c:v>539</c:v>
                </c:pt>
                <c:pt idx="310">
                  <c:v>603.09</c:v>
                </c:pt>
                <c:pt idx="311">
                  <c:v>612.63</c:v>
                </c:pt>
                <c:pt idx="312">
                  <c:v>605.82000000000005</c:v>
                </c:pt>
                <c:pt idx="313">
                  <c:v>547.79</c:v>
                </c:pt>
                <c:pt idx="314">
                  <c:v>514.04</c:v>
                </c:pt>
                <c:pt idx="315">
                  <c:v>537</c:v>
                </c:pt>
                <c:pt idx="316">
                  <c:v>516.71</c:v>
                </c:pt>
                <c:pt idx="317">
                  <c:v>525</c:v>
                </c:pt>
                <c:pt idx="318">
                  <c:v>586.46</c:v>
                </c:pt>
                <c:pt idx="319">
                  <c:v>642.97</c:v>
                </c:pt>
                <c:pt idx="320">
                  <c:v>852.61</c:v>
                </c:pt>
                <c:pt idx="321">
                  <c:v>946.39</c:v>
                </c:pt>
                <c:pt idx="322">
                  <c:v>972.81</c:v>
                </c:pt>
                <c:pt idx="323">
                  <c:v>1010.34</c:v>
                </c:pt>
                <c:pt idx="324">
                  <c:v>844.78</c:v>
                </c:pt>
                <c:pt idx="325">
                  <c:v>936.68</c:v>
                </c:pt>
                <c:pt idx="326">
                  <c:v>899.46</c:v>
                </c:pt>
                <c:pt idx="327">
                  <c:v>919.34</c:v>
                </c:pt>
                <c:pt idx="328">
                  <c:v>1041.96</c:v>
                </c:pt>
                <c:pt idx="329">
                  <c:v>1078.49</c:v>
                </c:pt>
                <c:pt idx="330">
                  <c:v>1203.99</c:v>
                </c:pt>
                <c:pt idx="331">
                  <c:v>1309.97</c:v>
                </c:pt>
                <c:pt idx="332">
                  <c:v>1329.65</c:v>
                </c:pt>
                <c:pt idx="333">
                  <c:v>1322.74</c:v>
                </c:pt>
                <c:pt idx="334">
                  <c:v>1518.51</c:v>
                </c:pt>
                <c:pt idx="335">
                  <c:v>1637.61</c:v>
                </c:pt>
                <c:pt idx="336">
                  <c:v>1686</c:v>
                </c:pt>
                <c:pt idx="337">
                  <c:v>1520.17</c:v>
                </c:pt>
                <c:pt idx="338">
                  <c:v>1595.17</c:v>
                </c:pt>
                <c:pt idx="339">
                  <c:v>1150.03</c:v>
                </c:pt>
                <c:pt idx="340">
                  <c:v>1140.8499999999999</c:v>
                </c:pt>
                <c:pt idx="341">
                  <c:v>895.3</c:v>
                </c:pt>
                <c:pt idx="342">
                  <c:v>766</c:v>
                </c:pt>
                <c:pt idx="343">
                  <c:v>754.66</c:v>
                </c:pt>
                <c:pt idx="344">
                  <c:v>709.54</c:v>
                </c:pt>
                <c:pt idx="345">
                  <c:v>622.13</c:v>
                </c:pt>
                <c:pt idx="346">
                  <c:v>603.41999999999996</c:v>
                </c:pt>
                <c:pt idx="347">
                  <c:v>670.22</c:v>
                </c:pt>
                <c:pt idx="348">
                  <c:v>617.66999999999996</c:v>
                </c:pt>
                <c:pt idx="349">
                  <c:v>522.41</c:v>
                </c:pt>
                <c:pt idx="350">
                  <c:v>516.51</c:v>
                </c:pt>
                <c:pt idx="351">
                  <c:v>480.03</c:v>
                </c:pt>
                <c:pt idx="352">
                  <c:v>512.66</c:v>
                </c:pt>
                <c:pt idx="353">
                  <c:v>514.51</c:v>
                </c:pt>
                <c:pt idx="354">
                  <c:v>436.77</c:v>
                </c:pt>
                <c:pt idx="355">
                  <c:v>428.92</c:v>
                </c:pt>
                <c:pt idx="356">
                  <c:v>385</c:v>
                </c:pt>
                <c:pt idx="357">
                  <c:v>422.99</c:v>
                </c:pt>
                <c:pt idx="358">
                  <c:v>454.6</c:v>
                </c:pt>
                <c:pt idx="359">
                  <c:v>484.38</c:v>
                </c:pt>
                <c:pt idx="360">
                  <c:v>482.81</c:v>
                </c:pt>
                <c:pt idx="361">
                  <c:v>530</c:v>
                </c:pt>
                <c:pt idx="362">
                  <c:v>491.57</c:v>
                </c:pt>
                <c:pt idx="363">
                  <c:v>596.28</c:v>
                </c:pt>
                <c:pt idx="364">
                  <c:v>558.99</c:v>
                </c:pt>
                <c:pt idx="365">
                  <c:v>438</c:v>
                </c:pt>
                <c:pt idx="366">
                  <c:v>397.7</c:v>
                </c:pt>
                <c:pt idx="367">
                  <c:v>452.62</c:v>
                </c:pt>
                <c:pt idx="368">
                  <c:v>358.8</c:v>
                </c:pt>
                <c:pt idx="369">
                  <c:v>386</c:v>
                </c:pt>
                <c:pt idx="370">
                  <c:v>349.99</c:v>
                </c:pt>
                <c:pt idx="371">
                  <c:v>335</c:v>
                </c:pt>
                <c:pt idx="372">
                  <c:v>371.98</c:v>
                </c:pt>
                <c:pt idx="373">
                  <c:v>405.33</c:v>
                </c:pt>
                <c:pt idx="374">
                  <c:v>433.1</c:v>
                </c:pt>
                <c:pt idx="375">
                  <c:v>448.02</c:v>
                </c:pt>
                <c:pt idx="376">
                  <c:v>480.35</c:v>
                </c:pt>
                <c:pt idx="377">
                  <c:v>70.13</c:v>
                </c:pt>
                <c:pt idx="378">
                  <c:v>840</c:v>
                </c:pt>
                <c:pt idx="379">
                  <c:v>678.52</c:v>
                </c:pt>
                <c:pt idx="380">
                  <c:v>748.98</c:v>
                </c:pt>
                <c:pt idx="381">
                  <c:v>854</c:v>
                </c:pt>
                <c:pt idx="382">
                  <c:v>727.12</c:v>
                </c:pt>
                <c:pt idx="383">
                  <c:v>936.46</c:v>
                </c:pt>
                <c:pt idx="384">
                  <c:v>808.23</c:v>
                </c:pt>
                <c:pt idx="385">
                  <c:v>858.02</c:v>
                </c:pt>
                <c:pt idx="386">
                  <c:v>962.52</c:v>
                </c:pt>
                <c:pt idx="387">
                  <c:v>1104.28</c:v>
                </c:pt>
                <c:pt idx="388">
                  <c:v>1027.17</c:v>
                </c:pt>
                <c:pt idx="389">
                  <c:v>1100</c:v>
                </c:pt>
                <c:pt idx="390">
                  <c:v>1255</c:v>
                </c:pt>
                <c:pt idx="391">
                  <c:v>1343.61</c:v>
                </c:pt>
                <c:pt idx="392">
                  <c:v>1262.28</c:v>
                </c:pt>
                <c:pt idx="393">
                  <c:v>1211.8900000000001</c:v>
                </c:pt>
                <c:pt idx="394">
                  <c:v>1313.79</c:v>
                </c:pt>
                <c:pt idx="395">
                  <c:v>1395.98</c:v>
                </c:pt>
                <c:pt idx="396">
                  <c:v>1100.1099999999999</c:v>
                </c:pt>
                <c:pt idx="397">
                  <c:v>733</c:v>
                </c:pt>
                <c:pt idx="398">
                  <c:v>800</c:v>
                </c:pt>
                <c:pt idx="399">
                  <c:v>950.97</c:v>
                </c:pt>
                <c:pt idx="400">
                  <c:v>747.05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590-A20A-CBA9D6E5AFA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44193</c:v>
                </c:pt>
                <c:pt idx="378">
                  <c:v>44192</c:v>
                </c:pt>
                <c:pt idx="379">
                  <c:v>44191</c:v>
                </c:pt>
                <c:pt idx="380">
                  <c:v>44190</c:v>
                </c:pt>
                <c:pt idx="381">
                  <c:v>44189</c:v>
                </c:pt>
                <c:pt idx="382">
                  <c:v>44188</c:v>
                </c:pt>
                <c:pt idx="383">
                  <c:v>44187</c:v>
                </c:pt>
                <c:pt idx="384">
                  <c:v>44186</c:v>
                </c:pt>
                <c:pt idx="385">
                  <c:v>44185</c:v>
                </c:pt>
                <c:pt idx="386">
                  <c:v>44184</c:v>
                </c:pt>
                <c:pt idx="387">
                  <c:v>44183</c:v>
                </c:pt>
                <c:pt idx="388">
                  <c:v>44182</c:v>
                </c:pt>
                <c:pt idx="389">
                  <c:v>44181</c:v>
                </c:pt>
                <c:pt idx="390">
                  <c:v>44180</c:v>
                </c:pt>
                <c:pt idx="391">
                  <c:v>44179</c:v>
                </c:pt>
                <c:pt idx="392">
                  <c:v>44178</c:v>
                </c:pt>
                <c:pt idx="393">
                  <c:v>44177</c:v>
                </c:pt>
                <c:pt idx="394">
                  <c:v>44176</c:v>
                </c:pt>
                <c:pt idx="395">
                  <c:v>44175</c:v>
                </c:pt>
                <c:pt idx="396">
                  <c:v>44174</c:v>
                </c:pt>
                <c:pt idx="397">
                  <c:v>44173</c:v>
                </c:pt>
                <c:pt idx="398">
                  <c:v>44172</c:v>
                </c:pt>
                <c:pt idx="399">
                  <c:v>44171</c:v>
                </c:pt>
                <c:pt idx="400">
                  <c:v>44170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-6.0259867036022664E-3</c:v>
                </c:pt>
                <c:pt idx="1">
                  <c:v>-6.0259867036022664E-3</c:v>
                </c:pt>
                <c:pt idx="2">
                  <c:v>-6.0259867036022664E-3</c:v>
                </c:pt>
                <c:pt idx="3">
                  <c:v>-6.0259867036022664E-3</c:v>
                </c:pt>
                <c:pt idx="4">
                  <c:v>-6.0259867036022664E-3</c:v>
                </c:pt>
                <c:pt idx="5">
                  <c:v>-6.0259867036022664E-3</c:v>
                </c:pt>
                <c:pt idx="6">
                  <c:v>-6.0259867036022664E-3</c:v>
                </c:pt>
                <c:pt idx="7">
                  <c:v>-6.0259867036022664E-3</c:v>
                </c:pt>
                <c:pt idx="8">
                  <c:v>-6.0259867036022664E-3</c:v>
                </c:pt>
                <c:pt idx="9">
                  <c:v>-6.0259867036022664E-3</c:v>
                </c:pt>
                <c:pt idx="10">
                  <c:v>-6.0259867036022664E-3</c:v>
                </c:pt>
                <c:pt idx="11">
                  <c:v>-6.0259867036022664E-3</c:v>
                </c:pt>
                <c:pt idx="12">
                  <c:v>-6.0259867036022664E-3</c:v>
                </c:pt>
                <c:pt idx="13">
                  <c:v>-6.0259867036022664E-3</c:v>
                </c:pt>
                <c:pt idx="14">
                  <c:v>-6.0259867036022664E-3</c:v>
                </c:pt>
                <c:pt idx="15">
                  <c:v>-6.0259867036022664E-3</c:v>
                </c:pt>
                <c:pt idx="16">
                  <c:v>-6.0259867036022664E-3</c:v>
                </c:pt>
                <c:pt idx="17">
                  <c:v>-6.0259867036022664E-3</c:v>
                </c:pt>
                <c:pt idx="18">
                  <c:v>-6.0259867036022664E-3</c:v>
                </c:pt>
                <c:pt idx="19">
                  <c:v>-6.0259867036022664E-3</c:v>
                </c:pt>
                <c:pt idx="20">
                  <c:v>-6.0259867036022664E-3</c:v>
                </c:pt>
                <c:pt idx="21">
                  <c:v>-6.0259867036022664E-3</c:v>
                </c:pt>
                <c:pt idx="22">
                  <c:v>-6.0259867036022664E-3</c:v>
                </c:pt>
                <c:pt idx="23">
                  <c:v>-6.0259867036022664E-3</c:v>
                </c:pt>
                <c:pt idx="24">
                  <c:v>-6.0259867036022664E-3</c:v>
                </c:pt>
                <c:pt idx="25">
                  <c:v>-6.0259867036022664E-3</c:v>
                </c:pt>
                <c:pt idx="26">
                  <c:v>-6.0259867036022664E-3</c:v>
                </c:pt>
                <c:pt idx="27">
                  <c:v>-6.0259867036022664E-3</c:v>
                </c:pt>
                <c:pt idx="28">
                  <c:v>-6.0259867036022664E-3</c:v>
                </c:pt>
                <c:pt idx="29">
                  <c:v>-6.0259867036022664E-3</c:v>
                </c:pt>
                <c:pt idx="30">
                  <c:v>-6.0259867036022664E-3</c:v>
                </c:pt>
                <c:pt idx="31">
                  <c:v>-6.0259867036022664E-3</c:v>
                </c:pt>
                <c:pt idx="32">
                  <c:v>-6.0259867036022664E-3</c:v>
                </c:pt>
                <c:pt idx="33">
                  <c:v>-6.0259867036022664E-3</c:v>
                </c:pt>
                <c:pt idx="34">
                  <c:v>-6.0259867036022664E-3</c:v>
                </c:pt>
                <c:pt idx="35">
                  <c:v>-6.0259867036022664E-3</c:v>
                </c:pt>
                <c:pt idx="36">
                  <c:v>-6.0259867036022664E-3</c:v>
                </c:pt>
                <c:pt idx="37">
                  <c:v>-6.0259867036022664E-3</c:v>
                </c:pt>
                <c:pt idx="38">
                  <c:v>-6.0259867036022664E-3</c:v>
                </c:pt>
                <c:pt idx="39">
                  <c:v>-6.0259867036022664E-3</c:v>
                </c:pt>
                <c:pt idx="40">
                  <c:v>-6.0259867036022664E-3</c:v>
                </c:pt>
                <c:pt idx="41">
                  <c:v>-6.0259867036022664E-3</c:v>
                </c:pt>
                <c:pt idx="42">
                  <c:v>-6.0259867036022664E-3</c:v>
                </c:pt>
                <c:pt idx="43">
                  <c:v>-6.0259867036022664E-3</c:v>
                </c:pt>
                <c:pt idx="44">
                  <c:v>-6.0259867036022664E-3</c:v>
                </c:pt>
                <c:pt idx="45">
                  <c:v>-6.0259867036022664E-3</c:v>
                </c:pt>
                <c:pt idx="46">
                  <c:v>-6.0259867036022664E-3</c:v>
                </c:pt>
                <c:pt idx="47">
                  <c:v>-6.0259867036022664E-3</c:v>
                </c:pt>
                <c:pt idx="48">
                  <c:v>-6.0259867036022664E-3</c:v>
                </c:pt>
                <c:pt idx="49">
                  <c:v>-6.0259867036022664E-3</c:v>
                </c:pt>
                <c:pt idx="50">
                  <c:v>-6.0259867036022664E-3</c:v>
                </c:pt>
                <c:pt idx="51">
                  <c:v>-6.0259867036022664E-3</c:v>
                </c:pt>
                <c:pt idx="52">
                  <c:v>-6.0259867036022664E-3</c:v>
                </c:pt>
                <c:pt idx="53">
                  <c:v>-6.0259867036022664E-3</c:v>
                </c:pt>
                <c:pt idx="54">
                  <c:v>-6.0259867036022664E-3</c:v>
                </c:pt>
                <c:pt idx="55">
                  <c:v>-6.0259867036022664E-3</c:v>
                </c:pt>
                <c:pt idx="56">
                  <c:v>-6.0259867036022664E-3</c:v>
                </c:pt>
                <c:pt idx="57">
                  <c:v>-6.0259867036022664E-3</c:v>
                </c:pt>
                <c:pt idx="58">
                  <c:v>-6.0259867036022664E-3</c:v>
                </c:pt>
                <c:pt idx="59">
                  <c:v>-6.0259867036022664E-3</c:v>
                </c:pt>
                <c:pt idx="60">
                  <c:v>-6.0259867036022664E-3</c:v>
                </c:pt>
                <c:pt idx="61">
                  <c:v>-6.0259867036022664E-3</c:v>
                </c:pt>
                <c:pt idx="62">
                  <c:v>-6.0259867036022664E-3</c:v>
                </c:pt>
                <c:pt idx="63">
                  <c:v>-6.0259867036022664E-3</c:v>
                </c:pt>
                <c:pt idx="64">
                  <c:v>-6.0259867036022664E-3</c:v>
                </c:pt>
                <c:pt idx="65">
                  <c:v>-6.0259867036022664E-3</c:v>
                </c:pt>
                <c:pt idx="66">
                  <c:v>-6.0259867036022664E-3</c:v>
                </c:pt>
                <c:pt idx="67">
                  <c:v>-6.0259867036022664E-3</c:v>
                </c:pt>
                <c:pt idx="68">
                  <c:v>-6.0259867036022664E-3</c:v>
                </c:pt>
                <c:pt idx="69">
                  <c:v>-6.0259867036022664E-3</c:v>
                </c:pt>
                <c:pt idx="70">
                  <c:v>-6.0259867036022664E-3</c:v>
                </c:pt>
                <c:pt idx="71">
                  <c:v>-6.0259867036022664E-3</c:v>
                </c:pt>
                <c:pt idx="72">
                  <c:v>-6.0259867036022664E-3</c:v>
                </c:pt>
                <c:pt idx="73">
                  <c:v>-6.0259867036022664E-3</c:v>
                </c:pt>
                <c:pt idx="74">
                  <c:v>-6.0259867036022664E-3</c:v>
                </c:pt>
                <c:pt idx="75">
                  <c:v>-6.0259867036022664E-3</c:v>
                </c:pt>
                <c:pt idx="76">
                  <c:v>-6.0259867036022664E-3</c:v>
                </c:pt>
                <c:pt idx="77">
                  <c:v>-6.0259867036022664E-3</c:v>
                </c:pt>
                <c:pt idx="78">
                  <c:v>-6.0259867036022664E-3</c:v>
                </c:pt>
                <c:pt idx="79">
                  <c:v>-6.0259867036022664E-3</c:v>
                </c:pt>
                <c:pt idx="80">
                  <c:v>-6.0259867036022664E-3</c:v>
                </c:pt>
                <c:pt idx="81">
                  <c:v>-6.0259867036022664E-3</c:v>
                </c:pt>
                <c:pt idx="82">
                  <c:v>-6.0259867036022664E-3</c:v>
                </c:pt>
                <c:pt idx="83">
                  <c:v>-6.0259867036022664E-3</c:v>
                </c:pt>
                <c:pt idx="84">
                  <c:v>-6.0259867036022664E-3</c:v>
                </c:pt>
                <c:pt idx="85">
                  <c:v>-6.0259867036022664E-3</c:v>
                </c:pt>
                <c:pt idx="86">
                  <c:v>-6.0259867036022664E-3</c:v>
                </c:pt>
                <c:pt idx="87">
                  <c:v>-6.0259867036022664E-3</c:v>
                </c:pt>
                <c:pt idx="88">
                  <c:v>-6.0259867036022664E-3</c:v>
                </c:pt>
                <c:pt idx="89">
                  <c:v>-6.0259867036022664E-3</c:v>
                </c:pt>
                <c:pt idx="90">
                  <c:v>-6.0259867036022664E-3</c:v>
                </c:pt>
                <c:pt idx="91">
                  <c:v>-6.0259867036022664E-3</c:v>
                </c:pt>
                <c:pt idx="92">
                  <c:v>-6.0259867036022664E-3</c:v>
                </c:pt>
                <c:pt idx="93">
                  <c:v>-6.0259867036022664E-3</c:v>
                </c:pt>
                <c:pt idx="94">
                  <c:v>-6.0259867036022664E-3</c:v>
                </c:pt>
                <c:pt idx="95">
                  <c:v>-6.0259867036022664E-3</c:v>
                </c:pt>
                <c:pt idx="96">
                  <c:v>-6.0259867036022664E-3</c:v>
                </c:pt>
                <c:pt idx="97">
                  <c:v>-6.0259867036022664E-3</c:v>
                </c:pt>
                <c:pt idx="98">
                  <c:v>-6.0259867036022664E-3</c:v>
                </c:pt>
                <c:pt idx="99">
                  <c:v>-6.0259867036022664E-3</c:v>
                </c:pt>
                <c:pt idx="100">
                  <c:v>-6.0259867036022664E-3</c:v>
                </c:pt>
                <c:pt idx="101">
                  <c:v>-6.0259867036022664E-3</c:v>
                </c:pt>
                <c:pt idx="102">
                  <c:v>-6.0259867036022664E-3</c:v>
                </c:pt>
                <c:pt idx="103">
                  <c:v>-6.0259867036022664E-3</c:v>
                </c:pt>
                <c:pt idx="104">
                  <c:v>-6.0259867036022664E-3</c:v>
                </c:pt>
                <c:pt idx="105">
                  <c:v>-6.0259867036022664E-3</c:v>
                </c:pt>
                <c:pt idx="106">
                  <c:v>-6.0259867036022664E-3</c:v>
                </c:pt>
                <c:pt idx="107">
                  <c:v>-6.0259867036022664E-3</c:v>
                </c:pt>
                <c:pt idx="108">
                  <c:v>-6.0259867036022664E-3</c:v>
                </c:pt>
                <c:pt idx="109">
                  <c:v>-6.0259867036022664E-3</c:v>
                </c:pt>
                <c:pt idx="110">
                  <c:v>-6.0259867036022664E-3</c:v>
                </c:pt>
                <c:pt idx="111">
                  <c:v>-6.0259867036022664E-3</c:v>
                </c:pt>
                <c:pt idx="112">
                  <c:v>-6.0259867036022664E-3</c:v>
                </c:pt>
                <c:pt idx="113">
                  <c:v>-6.0259867036022664E-3</c:v>
                </c:pt>
                <c:pt idx="114">
                  <c:v>-6.0259867036022664E-3</c:v>
                </c:pt>
                <c:pt idx="115">
                  <c:v>-6.0259867036022664E-3</c:v>
                </c:pt>
                <c:pt idx="116">
                  <c:v>-6.0259867036022664E-3</c:v>
                </c:pt>
                <c:pt idx="117">
                  <c:v>-5.9802007476142428E-3</c:v>
                </c:pt>
                <c:pt idx="118">
                  <c:v>-5.912348401768088E-3</c:v>
                </c:pt>
                <c:pt idx="119">
                  <c:v>-5.7674288594912202E-3</c:v>
                </c:pt>
                <c:pt idx="120">
                  <c:v>-5.6257814609077987E-3</c:v>
                </c:pt>
                <c:pt idx="121">
                  <c:v>-4.5470490225841299E-3</c:v>
                </c:pt>
                <c:pt idx="122">
                  <c:v>-4.385675554216783E-3</c:v>
                </c:pt>
                <c:pt idx="123">
                  <c:v>-4.219554635849436E-3</c:v>
                </c:pt>
                <c:pt idx="124">
                  <c:v>-3.8256087364104924E-3</c:v>
                </c:pt>
                <c:pt idx="125">
                  <c:v>-3.2060724675024464E-3</c:v>
                </c:pt>
                <c:pt idx="126">
                  <c:v>-2.2707706748153291E-3</c:v>
                </c:pt>
                <c:pt idx="127">
                  <c:v>-2.3105336580602439E-3</c:v>
                </c:pt>
                <c:pt idx="128">
                  <c:v>-2.3105336580602439E-3</c:v>
                </c:pt>
                <c:pt idx="129">
                  <c:v>-2.3113483403282855E-3</c:v>
                </c:pt>
                <c:pt idx="130">
                  <c:v>-2.27904364598618E-3</c:v>
                </c:pt>
                <c:pt idx="131">
                  <c:v>-2.2301058518878194E-3</c:v>
                </c:pt>
                <c:pt idx="132">
                  <c:v>-2.2106265514058917E-3</c:v>
                </c:pt>
                <c:pt idx="133">
                  <c:v>-2.1412123954571679E-3</c:v>
                </c:pt>
                <c:pt idx="134">
                  <c:v>-1.9769417280284533E-3</c:v>
                </c:pt>
                <c:pt idx="135">
                  <c:v>-1.9257133309914163E-3</c:v>
                </c:pt>
                <c:pt idx="136">
                  <c:v>-1.7880372988335854E-3</c:v>
                </c:pt>
                <c:pt idx="137">
                  <c:v>-1.7931000345478708E-3</c:v>
                </c:pt>
                <c:pt idx="138">
                  <c:v>-1.788263317526594E-3</c:v>
                </c:pt>
                <c:pt idx="139">
                  <c:v>-1.7594225032242685E-3</c:v>
                </c:pt>
                <c:pt idx="140">
                  <c:v>-1.7930359250974543E-3</c:v>
                </c:pt>
                <c:pt idx="141">
                  <c:v>-1.7971019416191936E-3</c:v>
                </c:pt>
                <c:pt idx="142">
                  <c:v>-1.7847114362892443E-3</c:v>
                </c:pt>
                <c:pt idx="143">
                  <c:v>-1.7860567943774799E-3</c:v>
                </c:pt>
                <c:pt idx="144">
                  <c:v>-1.7782320368290925E-3</c:v>
                </c:pt>
                <c:pt idx="145">
                  <c:v>-1.7822380188097734E-3</c:v>
                </c:pt>
                <c:pt idx="146">
                  <c:v>-1.7738740582585641E-3</c:v>
                </c:pt>
                <c:pt idx="147">
                  <c:v>-1.7796226571195027E-3</c:v>
                </c:pt>
                <c:pt idx="148">
                  <c:v>-1.7734461536501735E-3</c:v>
                </c:pt>
                <c:pt idx="149">
                  <c:v>-1.7734461536501735E-3</c:v>
                </c:pt>
                <c:pt idx="150">
                  <c:v>-1.7718829263085331E-3</c:v>
                </c:pt>
                <c:pt idx="151">
                  <c:v>-1.7419186002975053E-3</c:v>
                </c:pt>
                <c:pt idx="152">
                  <c:v>-1.734644181029613E-3</c:v>
                </c:pt>
                <c:pt idx="153">
                  <c:v>-1.7417581434721271E-3</c:v>
                </c:pt>
                <c:pt idx="154">
                  <c:v>-1.7522554765024203E-3</c:v>
                </c:pt>
                <c:pt idx="155">
                  <c:v>-1.7372045783242934E-3</c:v>
                </c:pt>
                <c:pt idx="156">
                  <c:v>-1.7172319591930954E-3</c:v>
                </c:pt>
                <c:pt idx="157">
                  <c:v>-1.7163392459438051E-3</c:v>
                </c:pt>
                <c:pt idx="158">
                  <c:v>-1.689036313503805E-3</c:v>
                </c:pt>
                <c:pt idx="159">
                  <c:v>-1.7248230943714786E-3</c:v>
                </c:pt>
                <c:pt idx="160">
                  <c:v>-1.7957619226052594E-3</c:v>
                </c:pt>
                <c:pt idx="161">
                  <c:v>-1.7804712014025329E-3</c:v>
                </c:pt>
                <c:pt idx="162">
                  <c:v>-1.8123252242674053E-3</c:v>
                </c:pt>
                <c:pt idx="163">
                  <c:v>-1.8257439088682041E-3</c:v>
                </c:pt>
                <c:pt idx="164">
                  <c:v>-1.8215149208047952E-3</c:v>
                </c:pt>
                <c:pt idx="165">
                  <c:v>-1.7873850076937418E-3</c:v>
                </c:pt>
                <c:pt idx="166">
                  <c:v>-1.7090429361363271E-3</c:v>
                </c:pt>
                <c:pt idx="167">
                  <c:v>-1.6950803382803482E-3</c:v>
                </c:pt>
                <c:pt idx="168">
                  <c:v>-1.700784721343258E-3</c:v>
                </c:pt>
                <c:pt idx="169">
                  <c:v>-1.6929736091900042E-3</c:v>
                </c:pt>
                <c:pt idx="170">
                  <c:v>-1.6880724043726967E-3</c:v>
                </c:pt>
                <c:pt idx="171">
                  <c:v>-1.6735238347819926E-3</c:v>
                </c:pt>
                <c:pt idx="172">
                  <c:v>-1.6703817128938107E-3</c:v>
                </c:pt>
                <c:pt idx="173">
                  <c:v>-1.6865869225880551E-3</c:v>
                </c:pt>
                <c:pt idx="174">
                  <c:v>-1.6884457721482999E-3</c:v>
                </c:pt>
                <c:pt idx="175">
                  <c:v>-1.6813302207455002E-3</c:v>
                </c:pt>
                <c:pt idx="176">
                  <c:v>-1.6809645338536818E-3</c:v>
                </c:pt>
                <c:pt idx="177">
                  <c:v>-1.6133955223086149E-3</c:v>
                </c:pt>
                <c:pt idx="178">
                  <c:v>-1.6142453866683359E-3</c:v>
                </c:pt>
                <c:pt idx="179">
                  <c:v>-1.5812622413937812E-3</c:v>
                </c:pt>
                <c:pt idx="180">
                  <c:v>-1.5070623263448684E-3</c:v>
                </c:pt>
                <c:pt idx="181">
                  <c:v>-1.5005736735456546E-3</c:v>
                </c:pt>
                <c:pt idx="182">
                  <c:v>-1.5120743418937696E-3</c:v>
                </c:pt>
                <c:pt idx="183">
                  <c:v>-1.4929065841503787E-3</c:v>
                </c:pt>
                <c:pt idx="184">
                  <c:v>-1.4268583978586085E-3</c:v>
                </c:pt>
                <c:pt idx="185">
                  <c:v>-1.3845083807126957E-3</c:v>
                </c:pt>
                <c:pt idx="186">
                  <c:v>-1.3850173399981775E-3</c:v>
                </c:pt>
                <c:pt idx="187">
                  <c:v>-1.3802522362304788E-3</c:v>
                </c:pt>
                <c:pt idx="188">
                  <c:v>-1.3808726492774794E-3</c:v>
                </c:pt>
                <c:pt idx="189">
                  <c:v>-1.3808770185553922E-3</c:v>
                </c:pt>
                <c:pt idx="190">
                  <c:v>-1.3781004697020706E-3</c:v>
                </c:pt>
                <c:pt idx="191">
                  <c:v>-1.3807855049240883E-3</c:v>
                </c:pt>
                <c:pt idx="192">
                  <c:v>-1.3814116774977187E-3</c:v>
                </c:pt>
                <c:pt idx="193">
                  <c:v>-1.3791774719246878E-3</c:v>
                </c:pt>
                <c:pt idx="194">
                  <c:v>-1.3776142120808384E-3</c:v>
                </c:pt>
                <c:pt idx="195">
                  <c:v>-1.369967414614562E-3</c:v>
                </c:pt>
                <c:pt idx="196">
                  <c:v>-1.371580303128883E-3</c:v>
                </c:pt>
                <c:pt idx="197">
                  <c:v>-1.3797111783563211E-3</c:v>
                </c:pt>
                <c:pt idx="198">
                  <c:v>-1.3833354152146032E-3</c:v>
                </c:pt>
                <c:pt idx="199">
                  <c:v>-1.3924881049434824E-3</c:v>
                </c:pt>
                <c:pt idx="200">
                  <c:v>-1.4021257523183614E-3</c:v>
                </c:pt>
                <c:pt idx="201">
                  <c:v>-1.4033135780347373E-3</c:v>
                </c:pt>
                <c:pt idx="202">
                  <c:v>-1.3901562575691481E-3</c:v>
                </c:pt>
                <c:pt idx="203">
                  <c:v>-1.3961054629397362E-3</c:v>
                </c:pt>
                <c:pt idx="204">
                  <c:v>-1.4011764395075498E-3</c:v>
                </c:pt>
                <c:pt idx="205">
                  <c:v>-1.4001721183586973E-3</c:v>
                </c:pt>
                <c:pt idx="206">
                  <c:v>-1.4076050226655111E-3</c:v>
                </c:pt>
                <c:pt idx="207">
                  <c:v>-1.4050206609201874E-3</c:v>
                </c:pt>
                <c:pt idx="208">
                  <c:v>-1.388705804269167E-3</c:v>
                </c:pt>
                <c:pt idx="209">
                  <c:v>-1.3866513789821298E-3</c:v>
                </c:pt>
                <c:pt idx="210">
                  <c:v>-1.3848962710828279E-3</c:v>
                </c:pt>
                <c:pt idx="211">
                  <c:v>-1.3819769627918294E-3</c:v>
                </c:pt>
                <c:pt idx="212">
                  <c:v>-1.372929212191804E-3</c:v>
                </c:pt>
                <c:pt idx="213">
                  <c:v>-1.3772547138335949E-3</c:v>
                </c:pt>
                <c:pt idx="214">
                  <c:v>-1.3740439980865892E-3</c:v>
                </c:pt>
                <c:pt idx="215">
                  <c:v>-1.3662299311521448E-3</c:v>
                </c:pt>
                <c:pt idx="216">
                  <c:v>-1.3653324996200538E-3</c:v>
                </c:pt>
                <c:pt idx="217">
                  <c:v>-1.3401459725190116E-3</c:v>
                </c:pt>
                <c:pt idx="218">
                  <c:v>-1.3540730660868763E-3</c:v>
                </c:pt>
                <c:pt idx="219">
                  <c:v>-1.3642285314622168E-3</c:v>
                </c:pt>
                <c:pt idx="220">
                  <c:v>-1.3694530364908755E-3</c:v>
                </c:pt>
                <c:pt idx="221">
                  <c:v>-1.3705572464579618E-3</c:v>
                </c:pt>
                <c:pt idx="222">
                  <c:v>-1.3675634012020109E-3</c:v>
                </c:pt>
                <c:pt idx="223">
                  <c:v>-1.3647499551043729E-3</c:v>
                </c:pt>
                <c:pt idx="224">
                  <c:v>-1.3681465937491464E-3</c:v>
                </c:pt>
                <c:pt idx="225">
                  <c:v>-1.3732315998527429E-3</c:v>
                </c:pt>
                <c:pt idx="226">
                  <c:v>-1.365571450232749E-3</c:v>
                </c:pt>
                <c:pt idx="227">
                  <c:v>-1.3658297687703653E-3</c:v>
                </c:pt>
                <c:pt idx="228">
                  <c:v>-1.3578600787184244E-3</c:v>
                </c:pt>
                <c:pt idx="229">
                  <c:v>-1.3485010085583879E-3</c:v>
                </c:pt>
                <c:pt idx="230">
                  <c:v>-1.3469933534277759E-3</c:v>
                </c:pt>
                <c:pt idx="231">
                  <c:v>-1.3373643457573095E-3</c:v>
                </c:pt>
                <c:pt idx="232">
                  <c:v>-1.2742502890817336E-3</c:v>
                </c:pt>
                <c:pt idx="233">
                  <c:v>-1.2778909585209146E-3</c:v>
                </c:pt>
                <c:pt idx="234">
                  <c:v>-1.2808463847993237E-3</c:v>
                </c:pt>
                <c:pt idx="235">
                  <c:v>-1.2785015917750559E-3</c:v>
                </c:pt>
                <c:pt idx="236">
                  <c:v>-1.2759259041671726E-3</c:v>
                </c:pt>
                <c:pt idx="237">
                  <c:v>-1.274796376266445E-3</c:v>
                </c:pt>
                <c:pt idx="238">
                  <c:v>-1.2760216494772556E-3</c:v>
                </c:pt>
                <c:pt idx="239">
                  <c:v>-1.274882598932038E-3</c:v>
                </c:pt>
                <c:pt idx="240">
                  <c:v>-1.2794955343136169E-3</c:v>
                </c:pt>
                <c:pt idx="241">
                  <c:v>-1.2797686075784692E-3</c:v>
                </c:pt>
                <c:pt idx="242">
                  <c:v>-1.2806005839543807E-3</c:v>
                </c:pt>
                <c:pt idx="243">
                  <c:v>-1.2775187627262023E-3</c:v>
                </c:pt>
                <c:pt idx="244">
                  <c:v>-1.2836817504538417E-3</c:v>
                </c:pt>
                <c:pt idx="245">
                  <c:v>-1.2722570257250772E-3</c:v>
                </c:pt>
                <c:pt idx="246">
                  <c:v>-1.2690077062746427E-3</c:v>
                </c:pt>
                <c:pt idx="247">
                  <c:v>-1.2656637118478864E-3</c:v>
                </c:pt>
                <c:pt idx="248">
                  <c:v>-1.257039048511455E-3</c:v>
                </c:pt>
                <c:pt idx="249">
                  <c:v>-1.2486838544116957E-3</c:v>
                </c:pt>
                <c:pt idx="250">
                  <c:v>-1.2467267920348295E-3</c:v>
                </c:pt>
                <c:pt idx="251">
                  <c:v>-1.2437228289033755E-3</c:v>
                </c:pt>
                <c:pt idx="252">
                  <c:v>-1.2329564195354735E-3</c:v>
                </c:pt>
                <c:pt idx="253">
                  <c:v>-1.2354765253569909E-3</c:v>
                </c:pt>
                <c:pt idx="254">
                  <c:v>-1.2301279397165688E-3</c:v>
                </c:pt>
                <c:pt idx="255">
                  <c:v>-1.2333976352801766E-3</c:v>
                </c:pt>
                <c:pt idx="256">
                  <c:v>-1.2336816162142993E-3</c:v>
                </c:pt>
                <c:pt idx="257">
                  <c:v>-1.239185668639712E-3</c:v>
                </c:pt>
                <c:pt idx="258">
                  <c:v>-1.2338992319276584E-3</c:v>
                </c:pt>
                <c:pt idx="259">
                  <c:v>-1.2375989798349744E-3</c:v>
                </c:pt>
                <c:pt idx="260">
                  <c:v>-1.2305227175868423E-3</c:v>
                </c:pt>
                <c:pt idx="261">
                  <c:v>-1.2177036446761975E-3</c:v>
                </c:pt>
                <c:pt idx="262">
                  <c:v>-1.2313922923477977E-3</c:v>
                </c:pt>
                <c:pt idx="263">
                  <c:v>-1.2219098828238197E-3</c:v>
                </c:pt>
                <c:pt idx="264">
                  <c:v>-1.2121438662602503E-3</c:v>
                </c:pt>
                <c:pt idx="265">
                  <c:v>-1.3065414897602504E-3</c:v>
                </c:pt>
                <c:pt idx="266">
                  <c:v>-1.3231065507018102E-3</c:v>
                </c:pt>
                <c:pt idx="267">
                  <c:v>-1.329339548170134E-3</c:v>
                </c:pt>
                <c:pt idx="268">
                  <c:v>-1.3400752726701341E-3</c:v>
                </c:pt>
                <c:pt idx="269">
                  <c:v>-1.3395898062443028E-3</c:v>
                </c:pt>
                <c:pt idx="270">
                  <c:v>-1.3417872009636265E-3</c:v>
                </c:pt>
                <c:pt idx="271">
                  <c:v>-1.3526578264697888E-3</c:v>
                </c:pt>
                <c:pt idx="272">
                  <c:v>-1.3469498556041557E-3</c:v>
                </c:pt>
                <c:pt idx="273">
                  <c:v>-1.3435063248851248E-3</c:v>
                </c:pt>
                <c:pt idx="274">
                  <c:v>-1.3516952266990705E-3</c:v>
                </c:pt>
                <c:pt idx="275">
                  <c:v>-1.3475952138909187E-3</c:v>
                </c:pt>
                <c:pt idx="276">
                  <c:v>-1.3545898960807645E-3</c:v>
                </c:pt>
                <c:pt idx="277">
                  <c:v>-1.3437748605383379E-3</c:v>
                </c:pt>
                <c:pt idx="278">
                  <c:v>-1.3406527617064251E-3</c:v>
                </c:pt>
                <c:pt idx="279">
                  <c:v>-1.3508326664333338E-3</c:v>
                </c:pt>
                <c:pt idx="280">
                  <c:v>-1.3562446345430068E-3</c:v>
                </c:pt>
                <c:pt idx="281">
                  <c:v>-1.3541344304592925E-3</c:v>
                </c:pt>
                <c:pt idx="282">
                  <c:v>-1.340174469808899E-3</c:v>
                </c:pt>
                <c:pt idx="283">
                  <c:v>-1.348632365313756E-3</c:v>
                </c:pt>
                <c:pt idx="284">
                  <c:v>-1.3367902559804428E-3</c:v>
                </c:pt>
                <c:pt idx="285">
                  <c:v>-1.3218822290618441E-3</c:v>
                </c:pt>
                <c:pt idx="286">
                  <c:v>-1.3311941349421572E-3</c:v>
                </c:pt>
                <c:pt idx="287">
                  <c:v>-1.3442409735045233E-3</c:v>
                </c:pt>
                <c:pt idx="288">
                  <c:v>-1.3254415554646325E-3</c:v>
                </c:pt>
                <c:pt idx="289">
                  <c:v>-1.3149111051792702E-3</c:v>
                </c:pt>
                <c:pt idx="290">
                  <c:v>-1.3044416802989159E-3</c:v>
                </c:pt>
                <c:pt idx="291">
                  <c:v>-1.2934591832844545E-3</c:v>
                </c:pt>
                <c:pt idx="292">
                  <c:v>-1.2930994286469491E-3</c:v>
                </c:pt>
                <c:pt idx="293">
                  <c:v>-1.2898129194497702E-3</c:v>
                </c:pt>
                <c:pt idx="294">
                  <c:v>-1.2953030923546108E-3</c:v>
                </c:pt>
                <c:pt idx="295">
                  <c:v>-1.2918318542874967E-3</c:v>
                </c:pt>
                <c:pt idx="296">
                  <c:v>-1.2868807770251467E-3</c:v>
                </c:pt>
                <c:pt idx="297">
                  <c:v>-1.2871445070145099E-3</c:v>
                </c:pt>
                <c:pt idx="298">
                  <c:v>-1.2892966973674022E-3</c:v>
                </c:pt>
                <c:pt idx="299">
                  <c:v>-1.2884416112337964E-3</c:v>
                </c:pt>
                <c:pt idx="300">
                  <c:v>-1.2823750194951196E-3</c:v>
                </c:pt>
                <c:pt idx="301">
                  <c:v>-1.2758401582402775E-3</c:v>
                </c:pt>
                <c:pt idx="302">
                  <c:v>-1.2754177440727191E-3</c:v>
                </c:pt>
                <c:pt idx="303">
                  <c:v>-1.2605182038628541E-3</c:v>
                </c:pt>
                <c:pt idx="304">
                  <c:v>-1.2549739489673766E-3</c:v>
                </c:pt>
                <c:pt idx="305">
                  <c:v>-1.2496562712673764E-3</c:v>
                </c:pt>
                <c:pt idx="306">
                  <c:v>-1.2463576692780642E-3</c:v>
                </c:pt>
                <c:pt idx="307">
                  <c:v>-1.2425046350902243E-3</c:v>
                </c:pt>
                <c:pt idx="308">
                  <c:v>-1.2550995556933242E-3</c:v>
                </c:pt>
                <c:pt idx="309">
                  <c:v>-1.2611617232344203E-3</c:v>
                </c:pt>
                <c:pt idx="310">
                  <c:v>-1.2491264940951042E-3</c:v>
                </c:pt>
                <c:pt idx="311">
                  <c:v>-1.2468767014033847E-3</c:v>
                </c:pt>
                <c:pt idx="312">
                  <c:v>-1.2488021672901954E-3</c:v>
                </c:pt>
                <c:pt idx="313">
                  <c:v>-1.2437244200639692E-3</c:v>
                </c:pt>
                <c:pt idx="314">
                  <c:v>-1.2713868858592399E-3</c:v>
                </c:pt>
                <c:pt idx="315">
                  <c:v>-1.2586930503375145E-3</c:v>
                </c:pt>
                <c:pt idx="316">
                  <c:v>-1.2772385135055144E-3</c:v>
                </c:pt>
                <c:pt idx="317">
                  <c:v>-1.2568378394430147E-3</c:v>
                </c:pt>
                <c:pt idx="318">
                  <c:v>-1.2324402675311032E-3</c:v>
                </c:pt>
                <c:pt idx="319">
                  <c:v>-1.2107173037508058E-3</c:v>
                </c:pt>
                <c:pt idx="320">
                  <c:v>-1.1669353222917313E-3</c:v>
                </c:pt>
                <c:pt idx="321">
                  <c:v>-1.1602568767407442E-3</c:v>
                </c:pt>
                <c:pt idx="322">
                  <c:v>-1.1559588417414488E-3</c:v>
                </c:pt>
                <c:pt idx="323">
                  <c:v>-1.1522238764303241E-3</c:v>
                </c:pt>
                <c:pt idx="324">
                  <c:v>-1.1567829699935305E-3</c:v>
                </c:pt>
                <c:pt idx="325">
                  <c:v>-1.1551617787417634E-3</c:v>
                </c:pt>
                <c:pt idx="326">
                  <c:v>-1.1571102051858822E-3</c:v>
                </c:pt>
                <c:pt idx="327">
                  <c:v>-1.1583558022629976E-3</c:v>
                </c:pt>
                <c:pt idx="328">
                  <c:v>-1.1461200305497548E-3</c:v>
                </c:pt>
                <c:pt idx="329">
                  <c:v>-1.1426293502592739E-3</c:v>
                </c:pt>
                <c:pt idx="330">
                  <c:v>-1.1472429362543082E-3</c:v>
                </c:pt>
                <c:pt idx="331">
                  <c:v>-1.1491589252342043E-3</c:v>
                </c:pt>
                <c:pt idx="332">
                  <c:v>-1.1494491887038072E-3</c:v>
                </c:pt>
                <c:pt idx="333">
                  <c:v>-1.1498908368756076E-3</c:v>
                </c:pt>
                <c:pt idx="334">
                  <c:v>-1.1385644022598145E-3</c:v>
                </c:pt>
                <c:pt idx="335">
                  <c:v>-1.1316001938506471E-3</c:v>
                </c:pt>
                <c:pt idx="336">
                  <c:v>-1.1418311062957422E-3</c:v>
                </c:pt>
                <c:pt idx="337">
                  <c:v>-1.1600091955766946E-3</c:v>
                </c:pt>
                <c:pt idx="338">
                  <c:v>-1.1720420548614542E-3</c:v>
                </c:pt>
                <c:pt idx="339">
                  <c:v>-1.1982701257181776E-3</c:v>
                </c:pt>
                <c:pt idx="340">
                  <c:v>-1.2148222839634788E-3</c:v>
                </c:pt>
                <c:pt idx="341">
                  <c:v>-1.2285631776788753E-3</c:v>
                </c:pt>
                <c:pt idx="342">
                  <c:v>-1.2442119178436445E-3</c:v>
                </c:pt>
                <c:pt idx="343">
                  <c:v>-1.2371041519323102E-3</c:v>
                </c:pt>
                <c:pt idx="344">
                  <c:v>-1.2434144358631437E-3</c:v>
                </c:pt>
                <c:pt idx="345">
                  <c:v>-1.2516727888135875E-3</c:v>
                </c:pt>
                <c:pt idx="346">
                  <c:v>-1.2608356274624317E-3</c:v>
                </c:pt>
                <c:pt idx="347">
                  <c:v>-1.2524714771917924E-3</c:v>
                </c:pt>
                <c:pt idx="348">
                  <c:v>-1.2406590585605267E-3</c:v>
                </c:pt>
                <c:pt idx="349">
                  <c:v>-1.2556323371730629E-3</c:v>
                </c:pt>
                <c:pt idx="350">
                  <c:v>-1.2532664690389703E-3</c:v>
                </c:pt>
                <c:pt idx="351">
                  <c:v>-1.2554562198033112E-3</c:v>
                </c:pt>
                <c:pt idx="352">
                  <c:v>-1.2539217370996021E-3</c:v>
                </c:pt>
                <c:pt idx="353">
                  <c:v>-1.2469971665785447E-3</c:v>
                </c:pt>
                <c:pt idx="354">
                  <c:v>-1.2584865996338136E-3</c:v>
                </c:pt>
                <c:pt idx="355">
                  <c:v>-1.2495946175489947E-3</c:v>
                </c:pt>
                <c:pt idx="356">
                  <c:v>-1.260401986751568E-3</c:v>
                </c:pt>
                <c:pt idx="357">
                  <c:v>-1.2502169837715605E-3</c:v>
                </c:pt>
                <c:pt idx="358">
                  <c:v>-1.2538911423331646E-3</c:v>
                </c:pt>
                <c:pt idx="359">
                  <c:v>-1.2425975459265212E-3</c:v>
                </c:pt>
                <c:pt idx="360">
                  <c:v>-1.2323636438473068E-3</c:v>
                </c:pt>
                <c:pt idx="361">
                  <c:v>-1.2143043553860533E-3</c:v>
                </c:pt>
                <c:pt idx="362">
                  <c:v>-1.2264946215141781E-3</c:v>
                </c:pt>
                <c:pt idx="363">
                  <c:v>-1.2026574025294184E-3</c:v>
                </c:pt>
                <c:pt idx="364">
                  <c:v>-1.2285718724562417E-3</c:v>
                </c:pt>
                <c:pt idx="365">
                  <c:v>-1.2378678879633172E-3</c:v>
                </c:pt>
                <c:pt idx="366">
                  <c:v>-1.2485329668365181E-3</c:v>
                </c:pt>
                <c:pt idx="367">
                  <c:v>-1.2290650697483847E-3</c:v>
                </c:pt>
                <c:pt idx="368">
                  <c:v>-1.2503931853779439E-3</c:v>
                </c:pt>
                <c:pt idx="369">
                  <c:v>-1.2373623455038459E-3</c:v>
                </c:pt>
                <c:pt idx="370">
                  <c:v>-1.2384553676726431E-3</c:v>
                </c:pt>
                <c:pt idx="371">
                  <c:v>-1.2474356636168508E-3</c:v>
                </c:pt>
                <c:pt idx="372">
                  <c:v>-1.2364133809165431E-3</c:v>
                </c:pt>
                <c:pt idx="373">
                  <c:v>-1.2488099202873839E-3</c:v>
                </c:pt>
                <c:pt idx="374">
                  <c:v>-1.2317919014007586E-3</c:v>
                </c:pt>
                <c:pt idx="375">
                  <c:v>-1.2358651417672653E-3</c:v>
                </c:pt>
                <c:pt idx="376">
                  <c:v>-1.2195268489245497E-3</c:v>
                </c:pt>
                <c:pt idx="377">
                  <c:v>-1.1460207093740224E-3</c:v>
                </c:pt>
                <c:pt idx="378">
                  <c:v>4.8162723044325568E-5</c:v>
                </c:pt>
                <c:pt idx="379">
                  <c:v>4.3267223840236986E-5</c:v>
                </c:pt>
                <c:pt idx="380">
                  <c:v>5.636534084159548E-5</c:v>
                </c:pt>
                <c:pt idx="381">
                  <c:v>7.0410422883243883E-5</c:v>
                </c:pt>
                <c:pt idx="382">
                  <c:v>5.0886440964501615E-5</c:v>
                </c:pt>
                <c:pt idx="383">
                  <c:v>6.34731982061352E-5</c:v>
                </c:pt>
                <c:pt idx="384">
                  <c:v>3.9098299036289035E-5</c:v>
                </c:pt>
                <c:pt idx="385">
                  <c:v>5.993037764538092E-5</c:v>
                </c:pt>
                <c:pt idx="386">
                  <c:v>7.9534750904130923E-5</c:v>
                </c:pt>
                <c:pt idx="387">
                  <c:v>1.0795693700829502E-4</c:v>
                </c:pt>
                <c:pt idx="388">
                  <c:v>9.0732043488449466E-5</c:v>
                </c:pt>
                <c:pt idx="389">
                  <c:v>1.0319694179910261E-4</c:v>
                </c:pt>
                <c:pt idx="390">
                  <c:v>1.4287675991139125E-4</c:v>
                </c:pt>
                <c:pt idx="391">
                  <c:v>1.5794745940659306E-4</c:v>
                </c:pt>
                <c:pt idx="392">
                  <c:v>1.3184742941777362E-4</c:v>
                </c:pt>
                <c:pt idx="393">
                  <c:v>1.5595368688982653E-4</c:v>
                </c:pt>
                <c:pt idx="394">
                  <c:v>1.7267397659830305E-4</c:v>
                </c:pt>
                <c:pt idx="395">
                  <c:v>1.7616248737134957E-4</c:v>
                </c:pt>
                <c:pt idx="396">
                  <c:v>1.0148110989249301E-4</c:v>
                </c:pt>
                <c:pt idx="397">
                  <c:v>3.4012136044365395E-5</c:v>
                </c:pt>
                <c:pt idx="398">
                  <c:v>4.8882788130372641E-5</c:v>
                </c:pt>
                <c:pt idx="399">
                  <c:v>7.5179969030377594E-5</c:v>
                </c:pt>
                <c:pt idx="400">
                  <c:v>3.1919242699463429E-5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5C-4590-A20A-CBA9D6E5A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9827743"/>
        <c:axId val="1899827327"/>
      </c:lineChart>
      <c:dateAx>
        <c:axId val="18998277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827327"/>
        <c:crosses val="autoZero"/>
        <c:auto val="1"/>
        <c:lblOffset val="100"/>
        <c:baseTimeUnit val="days"/>
      </c:dateAx>
      <c:valAx>
        <c:axId val="189982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82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C7AA6-3788-42BD-BDC6-B4EF10F83899}">
  <sheetPr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43EACD-0485-4044-8F79-1116A640E0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7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MAX(C3:C1903)</f>
        <v>1700</v>
      </c>
      <c r="D2" s="4">
        <f>MIN(D3:D1903)</f>
        <v>50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44579</v>
      </c>
      <c r="B5">
        <v>193.6</v>
      </c>
      <c r="C5">
        <v>193.6</v>
      </c>
      <c r="D5">
        <v>193.6</v>
      </c>
      <c r="E5">
        <v>193.6</v>
      </c>
      <c r="F5">
        <v>0</v>
      </c>
      <c r="G5">
        <v>193.6</v>
      </c>
      <c r="L5" t="s">
        <v>7</v>
      </c>
      <c r="M5" t="s">
        <v>7</v>
      </c>
      <c r="N5" t="s">
        <v>7</v>
      </c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-602598.67036022665</v>
      </c>
      <c r="S5">
        <f t="shared" ref="S5" si="3">R5/100000</f>
        <v>-6.0259867036022667</v>
      </c>
      <c r="T5">
        <f t="shared" ref="T5" si="4">S5/1000</f>
        <v>-6.0259867036022664E-3</v>
      </c>
    </row>
    <row r="6" spans="1:20" x14ac:dyDescent="0.25">
      <c r="A6" s="5">
        <v>44578</v>
      </c>
      <c r="B6">
        <v>193.6</v>
      </c>
      <c r="C6">
        <v>193.6</v>
      </c>
      <c r="D6">
        <v>193.6</v>
      </c>
      <c r="E6">
        <v>193.6</v>
      </c>
      <c r="F6">
        <v>0</v>
      </c>
      <c r="G6">
        <v>193.6</v>
      </c>
      <c r="L6" t="s">
        <v>7</v>
      </c>
      <c r="M6" t="s">
        <v>7</v>
      </c>
      <c r="N6" t="s">
        <v>7</v>
      </c>
      <c r="P6">
        <f t="shared" ref="P6" si="5">IF(C6=D6,0,((E6-D6)-(C6-E6))/(C6-D6))</f>
        <v>0</v>
      </c>
      <c r="Q6">
        <f t="shared" ref="Q6" si="6">F6*P6</f>
        <v>0</v>
      </c>
      <c r="R6">
        <f t="shared" ref="R6" si="7">R7+Q6</f>
        <v>-602598.67036022665</v>
      </c>
      <c r="S6">
        <f t="shared" ref="S6" si="8">R6/100000</f>
        <v>-6.0259867036022667</v>
      </c>
      <c r="T6">
        <f t="shared" ref="T6" si="9">S6/1000</f>
        <v>-6.0259867036022664E-3</v>
      </c>
    </row>
    <row r="7" spans="1:20" x14ac:dyDescent="0.25">
      <c r="A7" s="5">
        <v>44577</v>
      </c>
      <c r="B7">
        <v>193.6</v>
      </c>
      <c r="C7">
        <v>193.6</v>
      </c>
      <c r="D7">
        <v>193.6</v>
      </c>
      <c r="E7">
        <v>193.6</v>
      </c>
      <c r="F7">
        <v>0</v>
      </c>
      <c r="G7">
        <v>193.6</v>
      </c>
      <c r="L7" t="s">
        <v>7</v>
      </c>
      <c r="M7" t="s">
        <v>7</v>
      </c>
      <c r="N7" t="s">
        <v>7</v>
      </c>
      <c r="P7">
        <f t="shared" ref="P7" si="10">IF(C7=D7,0,((E7-D7)-(C7-E7))/(C7-D7))</f>
        <v>0</v>
      </c>
      <c r="Q7">
        <f t="shared" ref="Q7" si="11">F7*P7</f>
        <v>0</v>
      </c>
      <c r="R7">
        <f t="shared" ref="R7" si="12">R8+Q7</f>
        <v>-602598.67036022665</v>
      </c>
      <c r="S7">
        <f t="shared" ref="S7" si="13">R7/100000</f>
        <v>-6.0259867036022667</v>
      </c>
      <c r="T7">
        <f t="shared" ref="T7" si="14">S7/1000</f>
        <v>-6.0259867036022664E-3</v>
      </c>
    </row>
    <row r="8" spans="1:20" x14ac:dyDescent="0.25">
      <c r="A8" s="5">
        <v>44576</v>
      </c>
      <c r="B8">
        <v>193.6</v>
      </c>
      <c r="C8">
        <v>193.6</v>
      </c>
      <c r="D8">
        <v>193.6</v>
      </c>
      <c r="E8">
        <v>193.6</v>
      </c>
      <c r="F8">
        <v>0</v>
      </c>
      <c r="G8">
        <v>193.6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</v>
      </c>
      <c r="Q8">
        <f t="shared" ref="Q8" si="16">F8*P8</f>
        <v>0</v>
      </c>
      <c r="R8">
        <f t="shared" ref="R8" si="17">R9+Q8</f>
        <v>-602598.67036022665</v>
      </c>
      <c r="S8">
        <f t="shared" ref="S8" si="18">R8/100000</f>
        <v>-6.0259867036022667</v>
      </c>
      <c r="T8">
        <f t="shared" ref="T8" si="19">S8/1000</f>
        <v>-6.0259867036022664E-3</v>
      </c>
    </row>
    <row r="9" spans="1:20" x14ac:dyDescent="0.25">
      <c r="A9" s="5">
        <v>44575</v>
      </c>
      <c r="B9">
        <v>193.6</v>
      </c>
      <c r="C9">
        <v>193.6</v>
      </c>
      <c r="D9">
        <v>193.6</v>
      </c>
      <c r="E9">
        <v>193.6</v>
      </c>
      <c r="F9">
        <v>0</v>
      </c>
      <c r="G9">
        <v>193.6</v>
      </c>
      <c r="L9" t="s">
        <v>7</v>
      </c>
      <c r="M9" t="s">
        <v>7</v>
      </c>
      <c r="N9" t="s">
        <v>7</v>
      </c>
      <c r="P9">
        <f t="shared" ref="P9" si="20">IF(C9=D9,0,((E9-D9)-(C9-E9))/(C9-D9))</f>
        <v>0</v>
      </c>
      <c r="Q9">
        <f t="shared" ref="Q9" si="21">F9*P9</f>
        <v>0</v>
      </c>
      <c r="R9">
        <f t="shared" ref="R9" si="22">R10+Q9</f>
        <v>-602598.67036022665</v>
      </c>
      <c r="S9">
        <f t="shared" ref="S9" si="23">R9/100000</f>
        <v>-6.0259867036022667</v>
      </c>
      <c r="T9">
        <f t="shared" ref="T9" si="24">S9/1000</f>
        <v>-6.0259867036022664E-3</v>
      </c>
    </row>
    <row r="10" spans="1:20" x14ac:dyDescent="0.25">
      <c r="A10" s="5">
        <v>44574</v>
      </c>
      <c r="B10">
        <v>193.6</v>
      </c>
      <c r="C10">
        <v>193.6</v>
      </c>
      <c r="D10">
        <v>193.6</v>
      </c>
      <c r="E10">
        <v>193.6</v>
      </c>
      <c r="F10">
        <v>0</v>
      </c>
      <c r="G10">
        <v>193.6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</v>
      </c>
      <c r="Q10">
        <f t="shared" ref="Q10" si="26">F10*P10</f>
        <v>0</v>
      </c>
      <c r="R10">
        <f t="shared" ref="R10" si="27">R11+Q10</f>
        <v>-602598.67036022665</v>
      </c>
      <c r="S10">
        <f t="shared" ref="S10" si="28">R10/100000</f>
        <v>-6.0259867036022667</v>
      </c>
      <c r="T10">
        <f t="shared" ref="T10" si="29">S10/1000</f>
        <v>-6.0259867036022664E-3</v>
      </c>
    </row>
    <row r="11" spans="1:20" x14ac:dyDescent="0.25">
      <c r="A11" s="5">
        <v>44573</v>
      </c>
      <c r="B11">
        <v>193.6</v>
      </c>
      <c r="C11">
        <v>193.6</v>
      </c>
      <c r="D11">
        <v>193.6</v>
      </c>
      <c r="E11">
        <v>193.6</v>
      </c>
      <c r="F11">
        <v>0</v>
      </c>
      <c r="G11">
        <v>193.6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0</v>
      </c>
      <c r="Q11">
        <f t="shared" ref="Q11" si="31">F11*P11</f>
        <v>0</v>
      </c>
      <c r="R11">
        <f t="shared" ref="R11" si="32">R12+Q11</f>
        <v>-602598.67036022665</v>
      </c>
      <c r="S11">
        <f t="shared" ref="S11" si="33">R11/100000</f>
        <v>-6.0259867036022667</v>
      </c>
      <c r="T11">
        <f t="shared" ref="T11" si="34">S11/1000</f>
        <v>-6.0259867036022664E-3</v>
      </c>
    </row>
    <row r="12" spans="1:20" x14ac:dyDescent="0.25">
      <c r="A12" s="5">
        <v>44572</v>
      </c>
      <c r="B12">
        <v>193.6</v>
      </c>
      <c r="C12">
        <v>193.6</v>
      </c>
      <c r="D12">
        <v>193.6</v>
      </c>
      <c r="E12">
        <v>193.6</v>
      </c>
      <c r="F12">
        <v>0</v>
      </c>
      <c r="G12">
        <v>193.6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0</v>
      </c>
      <c r="Q12">
        <f t="shared" ref="Q12" si="36">F12*P12</f>
        <v>0</v>
      </c>
      <c r="R12">
        <f t="shared" ref="R12" si="37">R13+Q12</f>
        <v>-602598.67036022665</v>
      </c>
      <c r="S12">
        <f t="shared" ref="S12" si="38">R12/100000</f>
        <v>-6.0259867036022667</v>
      </c>
      <c r="T12">
        <f t="shared" ref="T12" si="39">S12/1000</f>
        <v>-6.0259867036022664E-3</v>
      </c>
    </row>
    <row r="13" spans="1:20" x14ac:dyDescent="0.25">
      <c r="A13" s="5">
        <v>44571</v>
      </c>
      <c r="B13">
        <v>193.6</v>
      </c>
      <c r="C13">
        <v>193.6</v>
      </c>
      <c r="D13">
        <v>193.6</v>
      </c>
      <c r="E13">
        <v>193.6</v>
      </c>
      <c r="F13">
        <v>0</v>
      </c>
      <c r="G13">
        <v>193.6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</v>
      </c>
      <c r="Q13">
        <f t="shared" ref="Q13" si="41">F13*P13</f>
        <v>0</v>
      </c>
      <c r="R13">
        <f t="shared" ref="R13" si="42">R14+Q13</f>
        <v>-602598.67036022665</v>
      </c>
      <c r="S13">
        <f t="shared" ref="S13" si="43">R13/100000</f>
        <v>-6.0259867036022667</v>
      </c>
      <c r="T13">
        <f t="shared" ref="T13" si="44">S13/1000</f>
        <v>-6.0259867036022664E-3</v>
      </c>
    </row>
    <row r="14" spans="1:20" x14ac:dyDescent="0.25">
      <c r="A14" s="5">
        <v>44570</v>
      </c>
      <c r="B14">
        <v>193.6</v>
      </c>
      <c r="C14">
        <v>193.6</v>
      </c>
      <c r="D14">
        <v>193.6</v>
      </c>
      <c r="E14">
        <v>193.6</v>
      </c>
      <c r="F14">
        <v>0</v>
      </c>
      <c r="G14">
        <v>193.6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</v>
      </c>
      <c r="Q14">
        <f t="shared" ref="Q14" si="46">F14*P14</f>
        <v>0</v>
      </c>
      <c r="R14">
        <f t="shared" ref="R14" si="47">R15+Q14</f>
        <v>-602598.67036022665</v>
      </c>
      <c r="S14">
        <f t="shared" ref="S14" si="48">R14/100000</f>
        <v>-6.0259867036022667</v>
      </c>
      <c r="T14">
        <f t="shared" ref="T14" si="49">S14/1000</f>
        <v>-6.0259867036022664E-3</v>
      </c>
    </row>
    <row r="15" spans="1:20" x14ac:dyDescent="0.25">
      <c r="A15" s="5">
        <v>44569</v>
      </c>
      <c r="B15">
        <v>193.6</v>
      </c>
      <c r="C15">
        <v>193.6</v>
      </c>
      <c r="D15">
        <v>193.6</v>
      </c>
      <c r="E15">
        <v>193.6</v>
      </c>
      <c r="F15">
        <v>0</v>
      </c>
      <c r="G15">
        <v>193.6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0</v>
      </c>
      <c r="Q15">
        <f t="shared" ref="Q15" si="51">F15*P15</f>
        <v>0</v>
      </c>
      <c r="R15">
        <f t="shared" ref="R15" si="52">R16+Q15</f>
        <v>-602598.67036022665</v>
      </c>
      <c r="S15">
        <f t="shared" ref="S15" si="53">R15/100000</f>
        <v>-6.0259867036022667</v>
      </c>
      <c r="T15">
        <f t="shared" ref="T15" si="54">S15/1000</f>
        <v>-6.0259867036022664E-3</v>
      </c>
    </row>
    <row r="16" spans="1:20" x14ac:dyDescent="0.25">
      <c r="A16" s="5">
        <v>44568</v>
      </c>
      <c r="B16">
        <v>193.6</v>
      </c>
      <c r="C16">
        <v>193.6</v>
      </c>
      <c r="D16">
        <v>193.6</v>
      </c>
      <c r="E16">
        <v>193.6</v>
      </c>
      <c r="F16">
        <v>0</v>
      </c>
      <c r="G16">
        <v>193.6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</v>
      </c>
      <c r="Q16">
        <f t="shared" ref="Q16" si="56">F16*P16</f>
        <v>0</v>
      </c>
      <c r="R16">
        <f t="shared" ref="R16" si="57">R17+Q16</f>
        <v>-602598.67036022665</v>
      </c>
      <c r="S16">
        <f t="shared" ref="S16" si="58">R16/100000</f>
        <v>-6.0259867036022667</v>
      </c>
      <c r="T16">
        <f t="shared" ref="T16" si="59">S16/1000</f>
        <v>-6.0259867036022664E-3</v>
      </c>
    </row>
    <row r="17" spans="1:20" x14ac:dyDescent="0.25">
      <c r="A17" s="5">
        <v>44567</v>
      </c>
      <c r="B17">
        <v>193.6</v>
      </c>
      <c r="C17">
        <v>193.6</v>
      </c>
      <c r="D17">
        <v>193.6</v>
      </c>
      <c r="E17">
        <v>193.6</v>
      </c>
      <c r="F17">
        <v>0</v>
      </c>
      <c r="G17">
        <v>193.6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</v>
      </c>
      <c r="Q17">
        <f t="shared" ref="Q17" si="61">F17*P17</f>
        <v>0</v>
      </c>
      <c r="R17">
        <f t="shared" ref="R17" si="62">R18+Q17</f>
        <v>-602598.67036022665</v>
      </c>
      <c r="S17">
        <f t="shared" ref="S17" si="63">R17/100000</f>
        <v>-6.0259867036022667</v>
      </c>
      <c r="T17">
        <f t="shared" ref="T17" si="64">S17/1000</f>
        <v>-6.0259867036022664E-3</v>
      </c>
    </row>
    <row r="18" spans="1:20" x14ac:dyDescent="0.25">
      <c r="A18" s="5">
        <v>44566</v>
      </c>
      <c r="B18">
        <v>193.6</v>
      </c>
      <c r="C18">
        <v>193.6</v>
      </c>
      <c r="D18">
        <v>193.6</v>
      </c>
      <c r="E18">
        <v>193.6</v>
      </c>
      <c r="F18">
        <v>0</v>
      </c>
      <c r="G18">
        <v>193.6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</v>
      </c>
      <c r="Q18">
        <f t="shared" ref="Q18" si="66">F18*P18</f>
        <v>0</v>
      </c>
      <c r="R18">
        <f t="shared" ref="R18" si="67">R19+Q18</f>
        <v>-602598.67036022665</v>
      </c>
      <c r="S18">
        <f t="shared" ref="S18" si="68">R18/100000</f>
        <v>-6.0259867036022667</v>
      </c>
      <c r="T18">
        <f t="shared" ref="T18" si="69">S18/1000</f>
        <v>-6.0259867036022664E-3</v>
      </c>
    </row>
    <row r="19" spans="1:20" x14ac:dyDescent="0.25">
      <c r="A19" s="5">
        <v>44565</v>
      </c>
      <c r="B19">
        <v>193.6</v>
      </c>
      <c r="C19">
        <v>193.6</v>
      </c>
      <c r="D19">
        <v>193.6</v>
      </c>
      <c r="E19">
        <v>193.6</v>
      </c>
      <c r="F19">
        <v>0</v>
      </c>
      <c r="G19">
        <v>193.6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0</v>
      </c>
      <c r="Q19">
        <f t="shared" ref="Q19" si="71">F19*P19</f>
        <v>0</v>
      </c>
      <c r="R19">
        <f t="shared" ref="R19" si="72">R20+Q19</f>
        <v>-602598.67036022665</v>
      </c>
      <c r="S19">
        <f t="shared" ref="S19" si="73">R19/100000</f>
        <v>-6.0259867036022667</v>
      </c>
      <c r="T19">
        <f t="shared" ref="T19" si="74">S19/1000</f>
        <v>-6.0259867036022664E-3</v>
      </c>
    </row>
    <row r="20" spans="1:20" x14ac:dyDescent="0.25">
      <c r="A20" s="5">
        <v>44564</v>
      </c>
      <c r="B20">
        <v>193.6</v>
      </c>
      <c r="C20">
        <v>193.6</v>
      </c>
      <c r="D20">
        <v>193.6</v>
      </c>
      <c r="E20">
        <v>193.6</v>
      </c>
      <c r="F20">
        <v>0</v>
      </c>
      <c r="G20">
        <v>193.6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</v>
      </c>
      <c r="Q20">
        <f t="shared" ref="Q20" si="76">F20*P20</f>
        <v>0</v>
      </c>
      <c r="R20">
        <f t="shared" ref="R20" si="77">R21+Q20</f>
        <v>-602598.67036022665</v>
      </c>
      <c r="S20">
        <f t="shared" ref="S20" si="78">R20/100000</f>
        <v>-6.0259867036022667</v>
      </c>
      <c r="T20">
        <f t="shared" ref="T20" si="79">S20/1000</f>
        <v>-6.0259867036022664E-3</v>
      </c>
    </row>
    <row r="21" spans="1:20" x14ac:dyDescent="0.25">
      <c r="A21" s="5">
        <v>44563</v>
      </c>
      <c r="B21">
        <v>193.6</v>
      </c>
      <c r="C21">
        <v>193.6</v>
      </c>
      <c r="D21">
        <v>193.6</v>
      </c>
      <c r="E21">
        <v>193.6</v>
      </c>
      <c r="F21">
        <v>0</v>
      </c>
      <c r="G21">
        <v>193.6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</v>
      </c>
      <c r="Q21">
        <f t="shared" ref="Q21" si="81">F21*P21</f>
        <v>0</v>
      </c>
      <c r="R21">
        <f t="shared" ref="R21" si="82">R22+Q21</f>
        <v>-602598.67036022665</v>
      </c>
      <c r="S21">
        <f t="shared" ref="S21" si="83">R21/100000</f>
        <v>-6.0259867036022667</v>
      </c>
      <c r="T21">
        <f t="shared" ref="T21" si="84">S21/1000</f>
        <v>-6.0259867036022664E-3</v>
      </c>
    </row>
    <row r="22" spans="1:20" x14ac:dyDescent="0.25">
      <c r="A22" s="5">
        <v>44562</v>
      </c>
      <c r="B22">
        <v>193.6</v>
      </c>
      <c r="C22">
        <v>193.6</v>
      </c>
      <c r="D22">
        <v>193.6</v>
      </c>
      <c r="E22">
        <v>193.6</v>
      </c>
      <c r="F22">
        <v>0</v>
      </c>
      <c r="G22">
        <v>193.6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</v>
      </c>
      <c r="Q22">
        <f t="shared" ref="Q22" si="86">F22*P22</f>
        <v>0</v>
      </c>
      <c r="R22">
        <f t="shared" ref="R22" si="87">R23+Q22</f>
        <v>-602598.67036022665</v>
      </c>
      <c r="S22">
        <f t="shared" ref="S22" si="88">R22/100000</f>
        <v>-6.0259867036022667</v>
      </c>
      <c r="T22">
        <f t="shared" ref="T22" si="89">S22/1000</f>
        <v>-6.0259867036022664E-3</v>
      </c>
    </row>
    <row r="23" spans="1:20" x14ac:dyDescent="0.25">
      <c r="A23" s="5">
        <v>44561</v>
      </c>
      <c r="B23">
        <v>193.6</v>
      </c>
      <c r="C23">
        <v>193.6</v>
      </c>
      <c r="D23">
        <v>193.6</v>
      </c>
      <c r="E23">
        <v>193.6</v>
      </c>
      <c r="F23">
        <v>0</v>
      </c>
      <c r="G23">
        <v>193.6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</v>
      </c>
      <c r="Q23">
        <f t="shared" ref="Q23" si="91">F23*P23</f>
        <v>0</v>
      </c>
      <c r="R23">
        <f t="shared" ref="R23" si="92">R24+Q23</f>
        <v>-602598.67036022665</v>
      </c>
      <c r="S23">
        <f t="shared" ref="S23" si="93">R23/100000</f>
        <v>-6.0259867036022667</v>
      </c>
      <c r="T23">
        <f t="shared" ref="T23" si="94">S23/1000</f>
        <v>-6.0259867036022664E-3</v>
      </c>
    </row>
    <row r="24" spans="1:20" x14ac:dyDescent="0.25">
      <c r="A24" s="5">
        <v>44560</v>
      </c>
      <c r="B24">
        <v>193.6</v>
      </c>
      <c r="C24">
        <v>193.6</v>
      </c>
      <c r="D24">
        <v>193.6</v>
      </c>
      <c r="E24">
        <v>193.6</v>
      </c>
      <c r="F24">
        <v>0</v>
      </c>
      <c r="G24">
        <v>193.6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</v>
      </c>
      <c r="Q24">
        <f t="shared" ref="Q24" si="96">F24*P24</f>
        <v>0</v>
      </c>
      <c r="R24">
        <f t="shared" ref="R24" si="97">R25+Q24</f>
        <v>-602598.67036022665</v>
      </c>
      <c r="S24">
        <f t="shared" ref="S24" si="98">R24/100000</f>
        <v>-6.0259867036022667</v>
      </c>
      <c r="T24">
        <f t="shared" ref="T24" si="99">S24/1000</f>
        <v>-6.0259867036022664E-3</v>
      </c>
    </row>
    <row r="25" spans="1:20" x14ac:dyDescent="0.25">
      <c r="A25" s="5">
        <v>44559</v>
      </c>
      <c r="B25">
        <v>193.6</v>
      </c>
      <c r="C25">
        <v>193.6</v>
      </c>
      <c r="D25">
        <v>193.6</v>
      </c>
      <c r="E25">
        <v>193.6</v>
      </c>
      <c r="F25">
        <v>0</v>
      </c>
      <c r="G25">
        <v>193.6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</v>
      </c>
      <c r="Q25">
        <f t="shared" ref="Q25" si="101">F25*P25</f>
        <v>0</v>
      </c>
      <c r="R25">
        <f t="shared" ref="R25" si="102">R26+Q25</f>
        <v>-602598.67036022665</v>
      </c>
      <c r="S25">
        <f t="shared" ref="S25" si="103">R25/100000</f>
        <v>-6.0259867036022667</v>
      </c>
      <c r="T25">
        <f t="shared" ref="T25" si="104">S25/1000</f>
        <v>-6.0259867036022664E-3</v>
      </c>
    </row>
    <row r="26" spans="1:20" x14ac:dyDescent="0.25">
      <c r="A26" s="5">
        <v>44558</v>
      </c>
      <c r="B26">
        <v>193.6</v>
      </c>
      <c r="C26">
        <v>193.6</v>
      </c>
      <c r="D26">
        <v>193.6</v>
      </c>
      <c r="E26">
        <v>193.6</v>
      </c>
      <c r="F26">
        <v>0</v>
      </c>
      <c r="G26">
        <v>193.6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</v>
      </c>
      <c r="Q26">
        <f t="shared" ref="Q26" si="106">F26*P26</f>
        <v>0</v>
      </c>
      <c r="R26">
        <f t="shared" ref="R26" si="107">R27+Q26</f>
        <v>-602598.67036022665</v>
      </c>
      <c r="S26">
        <f t="shared" ref="S26" si="108">R26/100000</f>
        <v>-6.0259867036022667</v>
      </c>
      <c r="T26">
        <f t="shared" ref="T26" si="109">S26/1000</f>
        <v>-6.0259867036022664E-3</v>
      </c>
    </row>
    <row r="27" spans="1:20" x14ac:dyDescent="0.25">
      <c r="A27" s="5">
        <v>44557</v>
      </c>
      <c r="B27">
        <v>193.6</v>
      </c>
      <c r="C27">
        <v>193.6</v>
      </c>
      <c r="D27">
        <v>193.6</v>
      </c>
      <c r="E27">
        <v>193.6</v>
      </c>
      <c r="F27">
        <v>0</v>
      </c>
      <c r="G27">
        <v>193.6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0</v>
      </c>
      <c r="Q27">
        <f t="shared" ref="Q27" si="111">F27*P27</f>
        <v>0</v>
      </c>
      <c r="R27">
        <f t="shared" ref="R27" si="112">R28+Q27</f>
        <v>-602598.67036022665</v>
      </c>
      <c r="S27">
        <f t="shared" ref="S27" si="113">R27/100000</f>
        <v>-6.0259867036022667</v>
      </c>
      <c r="T27">
        <f t="shared" ref="T27" si="114">S27/1000</f>
        <v>-6.0259867036022664E-3</v>
      </c>
    </row>
    <row r="28" spans="1:20" x14ac:dyDescent="0.25">
      <c r="A28" s="5">
        <v>44556</v>
      </c>
      <c r="B28">
        <v>193.6</v>
      </c>
      <c r="C28">
        <v>193.6</v>
      </c>
      <c r="D28">
        <v>193.6</v>
      </c>
      <c r="E28">
        <v>193.6</v>
      </c>
      <c r="F28">
        <v>0</v>
      </c>
      <c r="G28">
        <v>193.6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0</v>
      </c>
      <c r="Q28">
        <f t="shared" ref="Q28" si="116">F28*P28</f>
        <v>0</v>
      </c>
      <c r="R28">
        <f t="shared" ref="R28" si="117">R29+Q28</f>
        <v>-602598.67036022665</v>
      </c>
      <c r="S28">
        <f t="shared" ref="S28" si="118">R28/100000</f>
        <v>-6.0259867036022667</v>
      </c>
      <c r="T28">
        <f t="shared" ref="T28" si="119">S28/1000</f>
        <v>-6.0259867036022664E-3</v>
      </c>
    </row>
    <row r="29" spans="1:20" x14ac:dyDescent="0.25">
      <c r="A29" s="5">
        <v>44555</v>
      </c>
      <c r="B29">
        <v>193.6</v>
      </c>
      <c r="C29">
        <v>193.6</v>
      </c>
      <c r="D29">
        <v>193.6</v>
      </c>
      <c r="E29">
        <v>193.6</v>
      </c>
      <c r="F29">
        <v>0</v>
      </c>
      <c r="G29">
        <v>193.6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</v>
      </c>
      <c r="Q29">
        <f t="shared" ref="Q29" si="121">F29*P29</f>
        <v>0</v>
      </c>
      <c r="R29">
        <f t="shared" ref="R29" si="122">R30+Q29</f>
        <v>-602598.67036022665</v>
      </c>
      <c r="S29">
        <f t="shared" ref="S29" si="123">R29/100000</f>
        <v>-6.0259867036022667</v>
      </c>
      <c r="T29">
        <f t="shared" ref="T29" si="124">S29/1000</f>
        <v>-6.0259867036022664E-3</v>
      </c>
    </row>
    <row r="30" spans="1:20" x14ac:dyDescent="0.25">
      <c r="A30" s="5">
        <v>44554</v>
      </c>
      <c r="B30">
        <v>193.6</v>
      </c>
      <c r="C30">
        <v>193.6</v>
      </c>
      <c r="D30">
        <v>193.6</v>
      </c>
      <c r="E30">
        <v>193.6</v>
      </c>
      <c r="F30">
        <v>0</v>
      </c>
      <c r="G30">
        <v>193.6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</v>
      </c>
      <c r="Q30">
        <f t="shared" ref="Q30" si="126">F30*P30</f>
        <v>0</v>
      </c>
      <c r="R30">
        <f t="shared" ref="R30" si="127">R31+Q30</f>
        <v>-602598.67036022665</v>
      </c>
      <c r="S30">
        <f t="shared" ref="S30" si="128">R30/100000</f>
        <v>-6.0259867036022667</v>
      </c>
      <c r="T30">
        <f t="shared" ref="T30" si="129">S30/1000</f>
        <v>-6.0259867036022664E-3</v>
      </c>
    </row>
    <row r="31" spans="1:20" x14ac:dyDescent="0.25">
      <c r="A31" s="5">
        <v>44553</v>
      </c>
      <c r="B31">
        <v>193.6</v>
      </c>
      <c r="C31">
        <v>193.6</v>
      </c>
      <c r="D31">
        <v>193.6</v>
      </c>
      <c r="E31">
        <v>193.6</v>
      </c>
      <c r="F31">
        <v>0</v>
      </c>
      <c r="G31">
        <v>193.6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</v>
      </c>
      <c r="Q31">
        <f t="shared" ref="Q31" si="131">F31*P31</f>
        <v>0</v>
      </c>
      <c r="R31">
        <f t="shared" ref="R31" si="132">R32+Q31</f>
        <v>-602598.67036022665</v>
      </c>
      <c r="S31">
        <f t="shared" ref="S31" si="133">R31/100000</f>
        <v>-6.0259867036022667</v>
      </c>
      <c r="T31">
        <f t="shared" ref="T31" si="134">S31/1000</f>
        <v>-6.0259867036022664E-3</v>
      </c>
    </row>
    <row r="32" spans="1:20" x14ac:dyDescent="0.25">
      <c r="A32" s="5">
        <v>44552</v>
      </c>
      <c r="B32">
        <v>193.6</v>
      </c>
      <c r="C32">
        <v>193.6</v>
      </c>
      <c r="D32">
        <v>193.6</v>
      </c>
      <c r="E32">
        <v>193.6</v>
      </c>
      <c r="F32">
        <v>0</v>
      </c>
      <c r="G32">
        <v>193.6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0</v>
      </c>
      <c r="Q32">
        <f t="shared" ref="Q32" si="136">F32*P32</f>
        <v>0</v>
      </c>
      <c r="R32">
        <f t="shared" ref="R32" si="137">R33+Q32</f>
        <v>-602598.67036022665</v>
      </c>
      <c r="S32">
        <f t="shared" ref="S32" si="138">R32/100000</f>
        <v>-6.0259867036022667</v>
      </c>
      <c r="T32">
        <f t="shared" ref="T32" si="139">S32/1000</f>
        <v>-6.0259867036022664E-3</v>
      </c>
    </row>
    <row r="33" spans="1:20" x14ac:dyDescent="0.25">
      <c r="A33" s="5">
        <v>44551</v>
      </c>
      <c r="B33">
        <v>193.6</v>
      </c>
      <c r="C33">
        <v>193.6</v>
      </c>
      <c r="D33">
        <v>193.6</v>
      </c>
      <c r="E33">
        <v>193.6</v>
      </c>
      <c r="F33">
        <v>0</v>
      </c>
      <c r="G33">
        <v>193.6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</v>
      </c>
      <c r="Q33">
        <f t="shared" ref="Q33" si="141">F33*P33</f>
        <v>0</v>
      </c>
      <c r="R33">
        <f t="shared" ref="R33" si="142">R34+Q33</f>
        <v>-602598.67036022665</v>
      </c>
      <c r="S33">
        <f t="shared" ref="S33" si="143">R33/100000</f>
        <v>-6.0259867036022667</v>
      </c>
      <c r="T33">
        <f t="shared" ref="T33" si="144">S33/1000</f>
        <v>-6.0259867036022664E-3</v>
      </c>
    </row>
    <row r="34" spans="1:20" x14ac:dyDescent="0.25">
      <c r="A34" s="5">
        <v>44550</v>
      </c>
      <c r="B34">
        <v>193.6</v>
      </c>
      <c r="C34">
        <v>193.6</v>
      </c>
      <c r="D34">
        <v>193.6</v>
      </c>
      <c r="E34">
        <v>193.6</v>
      </c>
      <c r="F34">
        <v>0</v>
      </c>
      <c r="G34">
        <v>193.6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</v>
      </c>
      <c r="Q34">
        <f t="shared" ref="Q34" si="146">F34*P34</f>
        <v>0</v>
      </c>
      <c r="R34">
        <f t="shared" ref="R34" si="147">R35+Q34</f>
        <v>-602598.67036022665</v>
      </c>
      <c r="S34">
        <f t="shared" ref="S34" si="148">R34/100000</f>
        <v>-6.0259867036022667</v>
      </c>
      <c r="T34">
        <f t="shared" ref="T34" si="149">S34/1000</f>
        <v>-6.0259867036022664E-3</v>
      </c>
    </row>
    <row r="35" spans="1:20" x14ac:dyDescent="0.25">
      <c r="A35" s="5">
        <v>44549</v>
      </c>
      <c r="B35">
        <v>193.6</v>
      </c>
      <c r="C35">
        <v>193.6</v>
      </c>
      <c r="D35">
        <v>193.6</v>
      </c>
      <c r="E35">
        <v>193.6</v>
      </c>
      <c r="F35">
        <v>0</v>
      </c>
      <c r="G35">
        <v>193.6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0</v>
      </c>
      <c r="Q35">
        <f t="shared" ref="Q35" si="151">F35*P35</f>
        <v>0</v>
      </c>
      <c r="R35">
        <f t="shared" ref="R35" si="152">R36+Q35</f>
        <v>-602598.67036022665</v>
      </c>
      <c r="S35">
        <f t="shared" ref="S35" si="153">R35/100000</f>
        <v>-6.0259867036022667</v>
      </c>
      <c r="T35">
        <f t="shared" ref="T35" si="154">S35/1000</f>
        <v>-6.0259867036022664E-3</v>
      </c>
    </row>
    <row r="36" spans="1:20" x14ac:dyDescent="0.25">
      <c r="A36" s="5">
        <v>44548</v>
      </c>
      <c r="B36">
        <v>193.6</v>
      </c>
      <c r="C36">
        <v>193.6</v>
      </c>
      <c r="D36">
        <v>193.6</v>
      </c>
      <c r="E36">
        <v>193.6</v>
      </c>
      <c r="F36">
        <v>0</v>
      </c>
      <c r="G36">
        <v>193.6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0</v>
      </c>
      <c r="Q36">
        <f t="shared" ref="Q36" si="156">F36*P36</f>
        <v>0</v>
      </c>
      <c r="R36">
        <f t="shared" ref="R36" si="157">R37+Q36</f>
        <v>-602598.67036022665</v>
      </c>
      <c r="S36">
        <f t="shared" ref="S36" si="158">R36/100000</f>
        <v>-6.0259867036022667</v>
      </c>
      <c r="T36">
        <f t="shared" ref="T36" si="159">S36/1000</f>
        <v>-6.0259867036022664E-3</v>
      </c>
    </row>
    <row r="37" spans="1:20" x14ac:dyDescent="0.25">
      <c r="A37" s="5">
        <v>44547</v>
      </c>
      <c r="B37">
        <v>193.6</v>
      </c>
      <c r="C37">
        <v>193.6</v>
      </c>
      <c r="D37">
        <v>193.6</v>
      </c>
      <c r="E37">
        <v>193.6</v>
      </c>
      <c r="F37">
        <v>0</v>
      </c>
      <c r="G37">
        <v>193.6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</v>
      </c>
      <c r="Q37">
        <f t="shared" ref="Q37" si="161">F37*P37</f>
        <v>0</v>
      </c>
      <c r="R37">
        <f t="shared" ref="R37" si="162">R38+Q37</f>
        <v>-602598.67036022665</v>
      </c>
      <c r="S37">
        <f t="shared" ref="S37" si="163">R37/100000</f>
        <v>-6.0259867036022667</v>
      </c>
      <c r="T37">
        <f t="shared" ref="T37" si="164">S37/1000</f>
        <v>-6.0259867036022664E-3</v>
      </c>
    </row>
    <row r="38" spans="1:20" x14ac:dyDescent="0.25">
      <c r="A38" s="5">
        <v>44546</v>
      </c>
      <c r="B38">
        <v>193.6</v>
      </c>
      <c r="C38">
        <v>193.6</v>
      </c>
      <c r="D38">
        <v>193.6</v>
      </c>
      <c r="E38">
        <v>193.6</v>
      </c>
      <c r="F38">
        <v>0</v>
      </c>
      <c r="G38">
        <v>193.6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0</v>
      </c>
      <c r="Q38">
        <f t="shared" ref="Q38" si="166">F38*P38</f>
        <v>0</v>
      </c>
      <c r="R38">
        <f t="shared" ref="R38" si="167">R39+Q38</f>
        <v>-602598.67036022665</v>
      </c>
      <c r="S38">
        <f t="shared" ref="S38" si="168">R38/100000</f>
        <v>-6.0259867036022667</v>
      </c>
      <c r="T38">
        <f t="shared" ref="T38" si="169">S38/1000</f>
        <v>-6.0259867036022664E-3</v>
      </c>
    </row>
    <row r="39" spans="1:20" x14ac:dyDescent="0.25">
      <c r="A39" s="5">
        <v>44545</v>
      </c>
      <c r="B39">
        <v>193.6</v>
      </c>
      <c r="C39">
        <v>193.6</v>
      </c>
      <c r="D39">
        <v>193.6</v>
      </c>
      <c r="E39">
        <v>193.6</v>
      </c>
      <c r="F39">
        <v>0</v>
      </c>
      <c r="G39">
        <v>193.6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0</v>
      </c>
      <c r="Q39">
        <f t="shared" ref="Q39" si="171">F39*P39</f>
        <v>0</v>
      </c>
      <c r="R39">
        <f t="shared" ref="R39" si="172">R40+Q39</f>
        <v>-602598.67036022665</v>
      </c>
      <c r="S39">
        <f t="shared" ref="S39" si="173">R39/100000</f>
        <v>-6.0259867036022667</v>
      </c>
      <c r="T39">
        <f t="shared" ref="T39" si="174">S39/1000</f>
        <v>-6.0259867036022664E-3</v>
      </c>
    </row>
    <row r="40" spans="1:20" x14ac:dyDescent="0.25">
      <c r="A40" s="5">
        <v>44544</v>
      </c>
      <c r="B40">
        <v>193.6</v>
      </c>
      <c r="C40">
        <v>193.6</v>
      </c>
      <c r="D40">
        <v>193.6</v>
      </c>
      <c r="E40">
        <v>193.6</v>
      </c>
      <c r="F40">
        <v>0</v>
      </c>
      <c r="G40">
        <v>193.6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</v>
      </c>
      <c r="Q40">
        <f t="shared" ref="Q40" si="176">F40*P40</f>
        <v>0</v>
      </c>
      <c r="R40">
        <f t="shared" ref="R40" si="177">R41+Q40</f>
        <v>-602598.67036022665</v>
      </c>
      <c r="S40">
        <f t="shared" ref="S40" si="178">R40/100000</f>
        <v>-6.0259867036022667</v>
      </c>
      <c r="T40">
        <f t="shared" ref="T40" si="179">S40/1000</f>
        <v>-6.0259867036022664E-3</v>
      </c>
    </row>
    <row r="41" spans="1:20" x14ac:dyDescent="0.25">
      <c r="A41" s="5">
        <v>44543</v>
      </c>
      <c r="B41">
        <v>193.6</v>
      </c>
      <c r="C41">
        <v>193.6</v>
      </c>
      <c r="D41">
        <v>193.6</v>
      </c>
      <c r="E41">
        <v>193.6</v>
      </c>
      <c r="F41">
        <v>0</v>
      </c>
      <c r="G41">
        <v>193.6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0</v>
      </c>
      <c r="Q41">
        <f t="shared" ref="Q41" si="181">F41*P41</f>
        <v>0</v>
      </c>
      <c r="R41">
        <f t="shared" ref="R41" si="182">R42+Q41</f>
        <v>-602598.67036022665</v>
      </c>
      <c r="S41">
        <f t="shared" ref="S41" si="183">R41/100000</f>
        <v>-6.0259867036022667</v>
      </c>
      <c r="T41">
        <f t="shared" ref="T41" si="184">S41/1000</f>
        <v>-6.0259867036022664E-3</v>
      </c>
    </row>
    <row r="42" spans="1:20" x14ac:dyDescent="0.25">
      <c r="A42" s="5">
        <v>44542</v>
      </c>
      <c r="B42">
        <v>193.6</v>
      </c>
      <c r="C42">
        <v>193.6</v>
      </c>
      <c r="D42">
        <v>193.6</v>
      </c>
      <c r="E42">
        <v>193.6</v>
      </c>
      <c r="F42">
        <v>0</v>
      </c>
      <c r="G42">
        <v>193.6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</v>
      </c>
      <c r="Q42">
        <f t="shared" ref="Q42" si="186">F42*P42</f>
        <v>0</v>
      </c>
      <c r="R42">
        <f t="shared" ref="R42" si="187">R43+Q42</f>
        <v>-602598.67036022665</v>
      </c>
      <c r="S42">
        <f t="shared" ref="S42" si="188">R42/100000</f>
        <v>-6.0259867036022667</v>
      </c>
      <c r="T42">
        <f t="shared" ref="T42" si="189">S42/1000</f>
        <v>-6.0259867036022664E-3</v>
      </c>
    </row>
    <row r="43" spans="1:20" x14ac:dyDescent="0.25">
      <c r="A43" s="5">
        <v>44541</v>
      </c>
      <c r="B43">
        <v>193.6</v>
      </c>
      <c r="C43">
        <v>193.6</v>
      </c>
      <c r="D43">
        <v>193.6</v>
      </c>
      <c r="E43">
        <v>193.6</v>
      </c>
      <c r="F43">
        <v>0</v>
      </c>
      <c r="G43">
        <v>193.6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</v>
      </c>
      <c r="Q43">
        <f t="shared" ref="Q43" si="191">F43*P43</f>
        <v>0</v>
      </c>
      <c r="R43">
        <f t="shared" ref="R43" si="192">R44+Q43</f>
        <v>-602598.67036022665</v>
      </c>
      <c r="S43">
        <f t="shared" ref="S43" si="193">R43/100000</f>
        <v>-6.0259867036022667</v>
      </c>
      <c r="T43">
        <f t="shared" ref="T43" si="194">S43/1000</f>
        <v>-6.0259867036022664E-3</v>
      </c>
    </row>
    <row r="44" spans="1:20" x14ac:dyDescent="0.25">
      <c r="A44" s="5">
        <v>44540</v>
      </c>
      <c r="B44">
        <v>193.6</v>
      </c>
      <c r="C44">
        <v>193.6</v>
      </c>
      <c r="D44">
        <v>193.6</v>
      </c>
      <c r="E44">
        <v>193.6</v>
      </c>
      <c r="F44">
        <v>0</v>
      </c>
      <c r="G44">
        <v>193.6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0</v>
      </c>
      <c r="Q44">
        <f t="shared" ref="Q44" si="196">F44*P44</f>
        <v>0</v>
      </c>
      <c r="R44">
        <f t="shared" ref="R44" si="197">R45+Q44</f>
        <v>-602598.67036022665</v>
      </c>
      <c r="S44">
        <f t="shared" ref="S44" si="198">R44/100000</f>
        <v>-6.0259867036022667</v>
      </c>
      <c r="T44">
        <f t="shared" ref="T44" si="199">S44/1000</f>
        <v>-6.0259867036022664E-3</v>
      </c>
    </row>
    <row r="45" spans="1:20" x14ac:dyDescent="0.25">
      <c r="A45" s="5">
        <v>44539</v>
      </c>
      <c r="B45">
        <v>193.6</v>
      </c>
      <c r="C45">
        <v>193.6</v>
      </c>
      <c r="D45">
        <v>193.6</v>
      </c>
      <c r="E45">
        <v>193.6</v>
      </c>
      <c r="F45">
        <v>0</v>
      </c>
      <c r="G45">
        <v>193.6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</v>
      </c>
      <c r="Q45">
        <f t="shared" ref="Q45" si="201">F45*P45</f>
        <v>0</v>
      </c>
      <c r="R45">
        <f t="shared" ref="R45" si="202">R46+Q45</f>
        <v>-602598.67036022665</v>
      </c>
      <c r="S45">
        <f t="shared" ref="S45" si="203">R45/100000</f>
        <v>-6.0259867036022667</v>
      </c>
      <c r="T45">
        <f t="shared" ref="T45" si="204">S45/1000</f>
        <v>-6.0259867036022664E-3</v>
      </c>
    </row>
    <row r="46" spans="1:20" x14ac:dyDescent="0.25">
      <c r="A46" s="5">
        <v>44538</v>
      </c>
      <c r="B46">
        <v>193.6</v>
      </c>
      <c r="C46">
        <v>193.6</v>
      </c>
      <c r="D46">
        <v>193.6</v>
      </c>
      <c r="E46">
        <v>193.6</v>
      </c>
      <c r="F46">
        <v>0</v>
      </c>
      <c r="G46">
        <v>193.6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</v>
      </c>
      <c r="Q46">
        <f t="shared" ref="Q46" si="206">F46*P46</f>
        <v>0</v>
      </c>
      <c r="R46">
        <f t="shared" ref="R46" si="207">R47+Q46</f>
        <v>-602598.67036022665</v>
      </c>
      <c r="S46">
        <f t="shared" ref="S46" si="208">R46/100000</f>
        <v>-6.0259867036022667</v>
      </c>
      <c r="T46">
        <f t="shared" ref="T46" si="209">S46/1000</f>
        <v>-6.0259867036022664E-3</v>
      </c>
    </row>
    <row r="47" spans="1:20" x14ac:dyDescent="0.25">
      <c r="A47" s="5">
        <v>44537</v>
      </c>
      <c r="B47">
        <v>193.6</v>
      </c>
      <c r="C47">
        <v>193.6</v>
      </c>
      <c r="D47">
        <v>193.6</v>
      </c>
      <c r="E47">
        <v>193.6</v>
      </c>
      <c r="F47">
        <v>0</v>
      </c>
      <c r="G47">
        <v>193.6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0</v>
      </c>
      <c r="Q47">
        <f t="shared" ref="Q47" si="211">F47*P47</f>
        <v>0</v>
      </c>
      <c r="R47">
        <f t="shared" ref="R47" si="212">R48+Q47</f>
        <v>-602598.67036022665</v>
      </c>
      <c r="S47">
        <f t="shared" ref="S47" si="213">R47/100000</f>
        <v>-6.0259867036022667</v>
      </c>
      <c r="T47">
        <f t="shared" ref="T47" si="214">S47/1000</f>
        <v>-6.0259867036022664E-3</v>
      </c>
    </row>
    <row r="48" spans="1:20" x14ac:dyDescent="0.25">
      <c r="A48" s="5">
        <v>44536</v>
      </c>
      <c r="B48">
        <v>193.6</v>
      </c>
      <c r="C48">
        <v>193.6</v>
      </c>
      <c r="D48">
        <v>193.6</v>
      </c>
      <c r="E48">
        <v>193.6</v>
      </c>
      <c r="F48">
        <v>0</v>
      </c>
      <c r="G48">
        <v>193.6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</v>
      </c>
      <c r="Q48">
        <f t="shared" ref="Q48" si="216">F48*P48</f>
        <v>0</v>
      </c>
      <c r="R48">
        <f t="shared" ref="R48" si="217">R49+Q48</f>
        <v>-602598.67036022665</v>
      </c>
      <c r="S48">
        <f t="shared" ref="S48" si="218">R48/100000</f>
        <v>-6.0259867036022667</v>
      </c>
      <c r="T48">
        <f t="shared" ref="T48" si="219">S48/1000</f>
        <v>-6.0259867036022664E-3</v>
      </c>
    </row>
    <row r="49" spans="1:20" x14ac:dyDescent="0.25">
      <c r="A49" s="5">
        <v>44535</v>
      </c>
      <c r="B49">
        <v>193.6</v>
      </c>
      <c r="C49">
        <v>193.6</v>
      </c>
      <c r="D49">
        <v>193.6</v>
      </c>
      <c r="E49">
        <v>193.6</v>
      </c>
      <c r="F49">
        <v>0</v>
      </c>
      <c r="G49">
        <v>193.6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</v>
      </c>
      <c r="Q49">
        <f t="shared" ref="Q49" si="221">F49*P49</f>
        <v>0</v>
      </c>
      <c r="R49">
        <f t="shared" ref="R49" si="222">R50+Q49</f>
        <v>-602598.67036022665</v>
      </c>
      <c r="S49">
        <f t="shared" ref="S49" si="223">R49/100000</f>
        <v>-6.0259867036022667</v>
      </c>
      <c r="T49">
        <f t="shared" ref="T49" si="224">S49/1000</f>
        <v>-6.0259867036022664E-3</v>
      </c>
    </row>
    <row r="50" spans="1:20" x14ac:dyDescent="0.25">
      <c r="A50" s="5">
        <v>44534</v>
      </c>
      <c r="B50">
        <v>193.6</v>
      </c>
      <c r="C50">
        <v>193.6</v>
      </c>
      <c r="D50">
        <v>193.6</v>
      </c>
      <c r="E50">
        <v>193.6</v>
      </c>
      <c r="F50">
        <v>0</v>
      </c>
      <c r="G50">
        <v>193.6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0</v>
      </c>
      <c r="Q50">
        <f t="shared" ref="Q50" si="226">F50*P50</f>
        <v>0</v>
      </c>
      <c r="R50">
        <f t="shared" ref="R50" si="227">R51+Q50</f>
        <v>-602598.67036022665</v>
      </c>
      <c r="S50">
        <f t="shared" ref="S50" si="228">R50/100000</f>
        <v>-6.0259867036022667</v>
      </c>
      <c r="T50">
        <f t="shared" ref="T50" si="229">S50/1000</f>
        <v>-6.0259867036022664E-3</v>
      </c>
    </row>
    <row r="51" spans="1:20" x14ac:dyDescent="0.25">
      <c r="A51" s="5">
        <v>44533</v>
      </c>
      <c r="B51">
        <v>193.6</v>
      </c>
      <c r="C51">
        <v>193.6</v>
      </c>
      <c r="D51">
        <v>193.6</v>
      </c>
      <c r="E51">
        <v>193.6</v>
      </c>
      <c r="F51">
        <v>0</v>
      </c>
      <c r="G51">
        <v>193.6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</v>
      </c>
      <c r="Q51">
        <f t="shared" ref="Q51" si="231">F51*P51</f>
        <v>0</v>
      </c>
      <c r="R51">
        <f t="shared" ref="R51" si="232">R52+Q51</f>
        <v>-602598.67036022665</v>
      </c>
      <c r="S51">
        <f t="shared" ref="S51" si="233">R51/100000</f>
        <v>-6.0259867036022667</v>
      </c>
      <c r="T51">
        <f t="shared" ref="T51" si="234">S51/1000</f>
        <v>-6.0259867036022664E-3</v>
      </c>
    </row>
    <row r="52" spans="1:20" x14ac:dyDescent="0.25">
      <c r="A52" s="5">
        <v>44532</v>
      </c>
      <c r="B52">
        <v>193.6</v>
      </c>
      <c r="C52">
        <v>193.6</v>
      </c>
      <c r="D52">
        <v>193.6</v>
      </c>
      <c r="E52">
        <v>193.6</v>
      </c>
      <c r="F52">
        <v>0</v>
      </c>
      <c r="G52">
        <v>193.6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</v>
      </c>
      <c r="Q52">
        <f t="shared" ref="Q52" si="236">F52*P52</f>
        <v>0</v>
      </c>
      <c r="R52">
        <f t="shared" ref="R52" si="237">R53+Q52</f>
        <v>-602598.67036022665</v>
      </c>
      <c r="S52">
        <f t="shared" ref="S52" si="238">R52/100000</f>
        <v>-6.0259867036022667</v>
      </c>
      <c r="T52">
        <f t="shared" ref="T52" si="239">S52/1000</f>
        <v>-6.0259867036022664E-3</v>
      </c>
    </row>
    <row r="53" spans="1:20" x14ac:dyDescent="0.25">
      <c r="A53" s="5">
        <v>44531</v>
      </c>
      <c r="B53">
        <v>193.6</v>
      </c>
      <c r="C53">
        <v>193.6</v>
      </c>
      <c r="D53">
        <v>193.6</v>
      </c>
      <c r="E53">
        <v>193.6</v>
      </c>
      <c r="F53">
        <v>0</v>
      </c>
      <c r="G53">
        <v>193.6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0</v>
      </c>
      <c r="Q53">
        <f t="shared" ref="Q53" si="241">F53*P53</f>
        <v>0</v>
      </c>
      <c r="R53">
        <f t="shared" ref="R53" si="242">R54+Q53</f>
        <v>-602598.67036022665</v>
      </c>
      <c r="S53">
        <f t="shared" ref="S53" si="243">R53/100000</f>
        <v>-6.0259867036022667</v>
      </c>
      <c r="T53">
        <f t="shared" ref="T53" si="244">S53/1000</f>
        <v>-6.0259867036022664E-3</v>
      </c>
    </row>
    <row r="54" spans="1:20" x14ac:dyDescent="0.25">
      <c r="A54" s="5">
        <v>44530</v>
      </c>
      <c r="B54">
        <v>193.6</v>
      </c>
      <c r="C54">
        <v>193.6</v>
      </c>
      <c r="D54">
        <v>193.6</v>
      </c>
      <c r="E54">
        <v>193.6</v>
      </c>
      <c r="F54">
        <v>0</v>
      </c>
      <c r="G54">
        <v>193.6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0</v>
      </c>
      <c r="Q54">
        <f t="shared" ref="Q54" si="246">F54*P54</f>
        <v>0</v>
      </c>
      <c r="R54">
        <f t="shared" ref="R54" si="247">R55+Q54</f>
        <v>-602598.67036022665</v>
      </c>
      <c r="S54">
        <f t="shared" ref="S54" si="248">R54/100000</f>
        <v>-6.0259867036022667</v>
      </c>
      <c r="T54">
        <f t="shared" ref="T54" si="249">S54/1000</f>
        <v>-6.0259867036022664E-3</v>
      </c>
    </row>
    <row r="55" spans="1:20" x14ac:dyDescent="0.25">
      <c r="A55" s="5">
        <v>44529</v>
      </c>
      <c r="B55">
        <v>193.6</v>
      </c>
      <c r="C55">
        <v>193.6</v>
      </c>
      <c r="D55">
        <v>193.6</v>
      </c>
      <c r="E55">
        <v>193.6</v>
      </c>
      <c r="F55">
        <v>0</v>
      </c>
      <c r="G55">
        <v>193.6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</v>
      </c>
      <c r="Q55">
        <f t="shared" ref="Q55" si="251">F55*P55</f>
        <v>0</v>
      </c>
      <c r="R55">
        <f t="shared" ref="R55" si="252">R56+Q55</f>
        <v>-602598.67036022665</v>
      </c>
      <c r="S55">
        <f t="shared" ref="S55" si="253">R55/100000</f>
        <v>-6.0259867036022667</v>
      </c>
      <c r="T55">
        <f t="shared" ref="T55" si="254">S55/1000</f>
        <v>-6.0259867036022664E-3</v>
      </c>
    </row>
    <row r="56" spans="1:20" x14ac:dyDescent="0.25">
      <c r="A56" s="5">
        <v>44528</v>
      </c>
      <c r="B56">
        <v>193.6</v>
      </c>
      <c r="C56">
        <v>193.6</v>
      </c>
      <c r="D56">
        <v>193.6</v>
      </c>
      <c r="E56">
        <v>193.6</v>
      </c>
      <c r="F56">
        <v>0</v>
      </c>
      <c r="G56">
        <v>193.6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0</v>
      </c>
      <c r="Q56">
        <f t="shared" ref="Q56" si="256">F56*P56</f>
        <v>0</v>
      </c>
      <c r="R56">
        <f t="shared" ref="R56" si="257">R57+Q56</f>
        <v>-602598.67036022665</v>
      </c>
      <c r="S56">
        <f t="shared" ref="S56" si="258">R56/100000</f>
        <v>-6.0259867036022667</v>
      </c>
      <c r="T56">
        <f t="shared" ref="T56" si="259">S56/1000</f>
        <v>-6.0259867036022664E-3</v>
      </c>
    </row>
    <row r="57" spans="1:20" x14ac:dyDescent="0.25">
      <c r="A57" s="5">
        <v>44527</v>
      </c>
      <c r="B57">
        <v>193.6</v>
      </c>
      <c r="C57">
        <v>193.6</v>
      </c>
      <c r="D57">
        <v>193.6</v>
      </c>
      <c r="E57">
        <v>193.6</v>
      </c>
      <c r="F57">
        <v>0</v>
      </c>
      <c r="G57">
        <v>193.6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</v>
      </c>
      <c r="Q57">
        <f t="shared" ref="Q57" si="261">F57*P57</f>
        <v>0</v>
      </c>
      <c r="R57">
        <f t="shared" ref="R57" si="262">R58+Q57</f>
        <v>-602598.67036022665</v>
      </c>
      <c r="S57">
        <f t="shared" ref="S57" si="263">R57/100000</f>
        <v>-6.0259867036022667</v>
      </c>
      <c r="T57">
        <f t="shared" ref="T57" si="264">S57/1000</f>
        <v>-6.0259867036022664E-3</v>
      </c>
    </row>
    <row r="58" spans="1:20" x14ac:dyDescent="0.25">
      <c r="A58" s="5">
        <v>44526</v>
      </c>
      <c r="B58">
        <v>193.6</v>
      </c>
      <c r="C58">
        <v>193.6</v>
      </c>
      <c r="D58">
        <v>193.6</v>
      </c>
      <c r="E58">
        <v>193.6</v>
      </c>
      <c r="F58">
        <v>0</v>
      </c>
      <c r="G58">
        <v>193.6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0</v>
      </c>
      <c r="Q58">
        <f t="shared" ref="Q58" si="266">F58*P58</f>
        <v>0</v>
      </c>
      <c r="R58">
        <f t="shared" ref="R58" si="267">R59+Q58</f>
        <v>-602598.67036022665</v>
      </c>
      <c r="S58">
        <f t="shared" ref="S58" si="268">R58/100000</f>
        <v>-6.0259867036022667</v>
      </c>
      <c r="T58">
        <f t="shared" ref="T58" si="269">S58/1000</f>
        <v>-6.0259867036022664E-3</v>
      </c>
    </row>
    <row r="59" spans="1:20" x14ac:dyDescent="0.25">
      <c r="A59" s="5">
        <v>44525</v>
      </c>
      <c r="B59">
        <v>193.6</v>
      </c>
      <c r="C59">
        <v>193.6</v>
      </c>
      <c r="D59">
        <v>193.6</v>
      </c>
      <c r="E59">
        <v>193.6</v>
      </c>
      <c r="F59">
        <v>0</v>
      </c>
      <c r="G59">
        <v>193.6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</v>
      </c>
      <c r="Q59">
        <f t="shared" ref="Q59" si="271">F59*P59</f>
        <v>0</v>
      </c>
      <c r="R59">
        <f t="shared" ref="R59" si="272">R60+Q59</f>
        <v>-602598.67036022665</v>
      </c>
      <c r="S59">
        <f t="shared" ref="S59" si="273">R59/100000</f>
        <v>-6.0259867036022667</v>
      </c>
      <c r="T59">
        <f t="shared" ref="T59" si="274">S59/1000</f>
        <v>-6.0259867036022664E-3</v>
      </c>
    </row>
    <row r="60" spans="1:20" x14ac:dyDescent="0.25">
      <c r="A60" s="5">
        <v>44524</v>
      </c>
      <c r="B60">
        <v>193.6</v>
      </c>
      <c r="C60">
        <v>193.6</v>
      </c>
      <c r="D60">
        <v>193.6</v>
      </c>
      <c r="E60">
        <v>193.6</v>
      </c>
      <c r="F60">
        <v>0</v>
      </c>
      <c r="G60">
        <v>193.6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0</v>
      </c>
      <c r="Q60">
        <f t="shared" ref="Q60" si="276">F60*P60</f>
        <v>0</v>
      </c>
      <c r="R60">
        <f t="shared" ref="R60" si="277">R61+Q60</f>
        <v>-602598.67036022665</v>
      </c>
      <c r="S60">
        <f t="shared" ref="S60" si="278">R60/100000</f>
        <v>-6.0259867036022667</v>
      </c>
      <c r="T60">
        <f t="shared" ref="T60" si="279">S60/1000</f>
        <v>-6.0259867036022664E-3</v>
      </c>
    </row>
    <row r="61" spans="1:20" x14ac:dyDescent="0.25">
      <c r="A61" s="5">
        <v>44523</v>
      </c>
      <c r="B61">
        <v>193.6</v>
      </c>
      <c r="C61">
        <v>193.6</v>
      </c>
      <c r="D61">
        <v>193.6</v>
      </c>
      <c r="E61">
        <v>193.6</v>
      </c>
      <c r="F61">
        <v>0</v>
      </c>
      <c r="G61">
        <v>193.6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</v>
      </c>
      <c r="Q61">
        <f t="shared" ref="Q61" si="281">F61*P61</f>
        <v>0</v>
      </c>
      <c r="R61">
        <f t="shared" ref="R61" si="282">R62+Q61</f>
        <v>-602598.67036022665</v>
      </c>
      <c r="S61">
        <f t="shared" ref="S61" si="283">R61/100000</f>
        <v>-6.0259867036022667</v>
      </c>
      <c r="T61">
        <f t="shared" ref="T61" si="284">S61/1000</f>
        <v>-6.0259867036022664E-3</v>
      </c>
    </row>
    <row r="62" spans="1:20" x14ac:dyDescent="0.25">
      <c r="A62" s="5">
        <v>44522</v>
      </c>
      <c r="B62">
        <v>193.6</v>
      </c>
      <c r="C62">
        <v>193.6</v>
      </c>
      <c r="D62">
        <v>193.6</v>
      </c>
      <c r="E62">
        <v>193.6</v>
      </c>
      <c r="F62">
        <v>0</v>
      </c>
      <c r="G62">
        <v>193.6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0</v>
      </c>
      <c r="Q62">
        <f t="shared" ref="Q62" si="286">F62*P62</f>
        <v>0</v>
      </c>
      <c r="R62">
        <f t="shared" ref="R62" si="287">R63+Q62</f>
        <v>-602598.67036022665</v>
      </c>
      <c r="S62">
        <f t="shared" ref="S62" si="288">R62/100000</f>
        <v>-6.0259867036022667</v>
      </c>
      <c r="T62">
        <f t="shared" ref="T62" si="289">S62/1000</f>
        <v>-6.0259867036022664E-3</v>
      </c>
    </row>
    <row r="63" spans="1:20" x14ac:dyDescent="0.25">
      <c r="A63" s="5">
        <v>44521</v>
      </c>
      <c r="B63">
        <v>193.6</v>
      </c>
      <c r="C63">
        <v>193.6</v>
      </c>
      <c r="D63">
        <v>193.6</v>
      </c>
      <c r="E63">
        <v>193.6</v>
      </c>
      <c r="F63">
        <v>0</v>
      </c>
      <c r="G63">
        <v>193.6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</v>
      </c>
      <c r="Q63">
        <f t="shared" ref="Q63" si="291">F63*P63</f>
        <v>0</v>
      </c>
      <c r="R63">
        <f t="shared" ref="R63" si="292">R64+Q63</f>
        <v>-602598.67036022665</v>
      </c>
      <c r="S63">
        <f t="shared" ref="S63" si="293">R63/100000</f>
        <v>-6.0259867036022667</v>
      </c>
      <c r="T63">
        <f t="shared" ref="T63" si="294">S63/1000</f>
        <v>-6.0259867036022664E-3</v>
      </c>
    </row>
    <row r="64" spans="1:20" x14ac:dyDescent="0.25">
      <c r="A64" s="5">
        <v>44520</v>
      </c>
      <c r="B64">
        <v>193.6</v>
      </c>
      <c r="C64">
        <v>193.6</v>
      </c>
      <c r="D64">
        <v>193.6</v>
      </c>
      <c r="E64">
        <v>193.6</v>
      </c>
      <c r="F64">
        <v>0</v>
      </c>
      <c r="G64">
        <v>193.6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</v>
      </c>
      <c r="Q64">
        <f t="shared" ref="Q64" si="296">F64*P64</f>
        <v>0</v>
      </c>
      <c r="R64">
        <f t="shared" ref="R64" si="297">R65+Q64</f>
        <v>-602598.67036022665</v>
      </c>
      <c r="S64">
        <f t="shared" ref="S64" si="298">R64/100000</f>
        <v>-6.0259867036022667</v>
      </c>
      <c r="T64">
        <f t="shared" ref="T64" si="299">S64/1000</f>
        <v>-6.0259867036022664E-3</v>
      </c>
    </row>
    <row r="65" spans="1:20" x14ac:dyDescent="0.25">
      <c r="A65" s="5">
        <v>44519</v>
      </c>
      <c r="B65">
        <v>193.6</v>
      </c>
      <c r="C65">
        <v>193.6</v>
      </c>
      <c r="D65">
        <v>193.6</v>
      </c>
      <c r="E65">
        <v>193.6</v>
      </c>
      <c r="F65">
        <v>0</v>
      </c>
      <c r="G65">
        <v>193.6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</v>
      </c>
      <c r="Q65">
        <f t="shared" ref="Q65" si="301">F65*P65</f>
        <v>0</v>
      </c>
      <c r="R65">
        <f t="shared" ref="R65" si="302">R66+Q65</f>
        <v>-602598.67036022665</v>
      </c>
      <c r="S65">
        <f t="shared" ref="S65" si="303">R65/100000</f>
        <v>-6.0259867036022667</v>
      </c>
      <c r="T65">
        <f t="shared" ref="T65" si="304">S65/1000</f>
        <v>-6.0259867036022664E-3</v>
      </c>
    </row>
    <row r="66" spans="1:20" x14ac:dyDescent="0.25">
      <c r="A66" s="5">
        <v>44518</v>
      </c>
      <c r="B66">
        <v>193.6</v>
      </c>
      <c r="C66">
        <v>193.6</v>
      </c>
      <c r="D66">
        <v>193.6</v>
      </c>
      <c r="E66">
        <v>193.6</v>
      </c>
      <c r="F66">
        <v>0</v>
      </c>
      <c r="G66">
        <v>193.6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0</v>
      </c>
      <c r="Q66">
        <f t="shared" ref="Q66" si="306">F66*P66</f>
        <v>0</v>
      </c>
      <c r="R66">
        <f t="shared" ref="R66" si="307">R67+Q66</f>
        <v>-602598.67036022665</v>
      </c>
      <c r="S66">
        <f t="shared" ref="S66" si="308">R66/100000</f>
        <v>-6.0259867036022667</v>
      </c>
      <c r="T66">
        <f t="shared" ref="T66" si="309">S66/1000</f>
        <v>-6.0259867036022664E-3</v>
      </c>
    </row>
    <row r="67" spans="1:20" x14ac:dyDescent="0.25">
      <c r="A67" s="5">
        <v>44517</v>
      </c>
      <c r="B67">
        <v>193.6</v>
      </c>
      <c r="C67">
        <v>193.6</v>
      </c>
      <c r="D67">
        <v>193.6</v>
      </c>
      <c r="E67">
        <v>193.6</v>
      </c>
      <c r="F67">
        <v>0</v>
      </c>
      <c r="G67">
        <v>193.6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0</v>
      </c>
      <c r="Q67">
        <f t="shared" ref="Q67" si="311">F67*P67</f>
        <v>0</v>
      </c>
      <c r="R67">
        <f t="shared" ref="R67" si="312">R68+Q67</f>
        <v>-602598.67036022665</v>
      </c>
      <c r="S67">
        <f t="shared" ref="S67" si="313">R67/100000</f>
        <v>-6.0259867036022667</v>
      </c>
      <c r="T67">
        <f t="shared" ref="T67" si="314">S67/1000</f>
        <v>-6.0259867036022664E-3</v>
      </c>
    </row>
    <row r="68" spans="1:20" x14ac:dyDescent="0.25">
      <c r="A68" s="5">
        <v>44516</v>
      </c>
      <c r="B68">
        <v>193.6</v>
      </c>
      <c r="C68">
        <v>193.6</v>
      </c>
      <c r="D68">
        <v>193.6</v>
      </c>
      <c r="E68">
        <v>193.6</v>
      </c>
      <c r="F68">
        <v>0</v>
      </c>
      <c r="G68">
        <v>193.6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</v>
      </c>
      <c r="Q68">
        <f t="shared" ref="Q68" si="316">F68*P68</f>
        <v>0</v>
      </c>
      <c r="R68">
        <f t="shared" ref="R68" si="317">R69+Q68</f>
        <v>-602598.67036022665</v>
      </c>
      <c r="S68">
        <f t="shared" ref="S68" si="318">R68/100000</f>
        <v>-6.0259867036022667</v>
      </c>
      <c r="T68">
        <f t="shared" ref="T68" si="319">S68/1000</f>
        <v>-6.0259867036022664E-3</v>
      </c>
    </row>
    <row r="69" spans="1:20" x14ac:dyDescent="0.25">
      <c r="A69" s="5">
        <v>44515</v>
      </c>
      <c r="B69">
        <v>193.6</v>
      </c>
      <c r="C69">
        <v>193.6</v>
      </c>
      <c r="D69">
        <v>193.6</v>
      </c>
      <c r="E69">
        <v>193.6</v>
      </c>
      <c r="F69">
        <v>0</v>
      </c>
      <c r="G69">
        <v>193.6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</v>
      </c>
      <c r="Q69">
        <f t="shared" ref="Q69" si="321">F69*P69</f>
        <v>0</v>
      </c>
      <c r="R69">
        <f t="shared" ref="R69" si="322">R70+Q69</f>
        <v>-602598.67036022665</v>
      </c>
      <c r="S69">
        <f t="shared" ref="S69" si="323">R69/100000</f>
        <v>-6.0259867036022667</v>
      </c>
      <c r="T69">
        <f t="shared" ref="T69" si="324">S69/1000</f>
        <v>-6.0259867036022664E-3</v>
      </c>
    </row>
    <row r="70" spans="1:20" x14ac:dyDescent="0.25">
      <c r="A70" s="5">
        <v>44514</v>
      </c>
      <c r="B70">
        <v>193.6</v>
      </c>
      <c r="C70">
        <v>193.6</v>
      </c>
      <c r="D70">
        <v>193.6</v>
      </c>
      <c r="E70">
        <v>193.6</v>
      </c>
      <c r="F70">
        <v>0</v>
      </c>
      <c r="G70">
        <v>193.6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</v>
      </c>
      <c r="Q70">
        <f t="shared" ref="Q70" si="326">F70*P70</f>
        <v>0</v>
      </c>
      <c r="R70">
        <f t="shared" ref="R70" si="327">R71+Q70</f>
        <v>-602598.67036022665</v>
      </c>
      <c r="S70">
        <f t="shared" ref="S70" si="328">R70/100000</f>
        <v>-6.0259867036022667</v>
      </c>
      <c r="T70">
        <f t="shared" ref="T70" si="329">S70/1000</f>
        <v>-6.0259867036022664E-3</v>
      </c>
    </row>
    <row r="71" spans="1:20" x14ac:dyDescent="0.25">
      <c r="A71" s="5">
        <v>44513</v>
      </c>
      <c r="B71">
        <v>193.6</v>
      </c>
      <c r="C71">
        <v>193.6</v>
      </c>
      <c r="D71">
        <v>193.6</v>
      </c>
      <c r="E71">
        <v>193.6</v>
      </c>
      <c r="F71">
        <v>0</v>
      </c>
      <c r="G71">
        <v>193.6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0</v>
      </c>
      <c r="Q71">
        <f t="shared" ref="Q71" si="331">F71*P71</f>
        <v>0</v>
      </c>
      <c r="R71">
        <f t="shared" ref="R71" si="332">R72+Q71</f>
        <v>-602598.67036022665</v>
      </c>
      <c r="S71">
        <f t="shared" ref="S71" si="333">R71/100000</f>
        <v>-6.0259867036022667</v>
      </c>
      <c r="T71">
        <f t="shared" ref="T71" si="334">S71/1000</f>
        <v>-6.0259867036022664E-3</v>
      </c>
    </row>
    <row r="72" spans="1:20" x14ac:dyDescent="0.25">
      <c r="A72" s="5">
        <v>44512</v>
      </c>
      <c r="B72">
        <v>193.6</v>
      </c>
      <c r="C72">
        <v>193.6</v>
      </c>
      <c r="D72">
        <v>193.6</v>
      </c>
      <c r="E72">
        <v>193.6</v>
      </c>
      <c r="F72">
        <v>0</v>
      </c>
      <c r="G72">
        <v>193.6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0</v>
      </c>
      <c r="Q72">
        <f t="shared" ref="Q72" si="336">F72*P72</f>
        <v>0</v>
      </c>
      <c r="R72">
        <f t="shared" ref="R72" si="337">R73+Q72</f>
        <v>-602598.67036022665</v>
      </c>
      <c r="S72">
        <f t="shared" ref="S72" si="338">R72/100000</f>
        <v>-6.0259867036022667</v>
      </c>
      <c r="T72">
        <f t="shared" ref="T72" si="339">S72/1000</f>
        <v>-6.0259867036022664E-3</v>
      </c>
    </row>
    <row r="73" spans="1:20" x14ac:dyDescent="0.25">
      <c r="A73" s="5">
        <v>44511</v>
      </c>
      <c r="B73">
        <v>193.6</v>
      </c>
      <c r="C73">
        <v>193.6</v>
      </c>
      <c r="D73">
        <v>193.6</v>
      </c>
      <c r="E73">
        <v>193.6</v>
      </c>
      <c r="F73">
        <v>0</v>
      </c>
      <c r="G73">
        <v>193.6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</v>
      </c>
      <c r="Q73">
        <f t="shared" ref="Q73" si="341">F73*P73</f>
        <v>0</v>
      </c>
      <c r="R73">
        <f t="shared" ref="R73" si="342">R74+Q73</f>
        <v>-602598.67036022665</v>
      </c>
      <c r="S73">
        <f t="shared" ref="S73" si="343">R73/100000</f>
        <v>-6.0259867036022667</v>
      </c>
      <c r="T73">
        <f t="shared" ref="T73" si="344">S73/1000</f>
        <v>-6.0259867036022664E-3</v>
      </c>
    </row>
    <row r="74" spans="1:20" x14ac:dyDescent="0.25">
      <c r="A74" s="5">
        <v>44510</v>
      </c>
      <c r="B74">
        <v>193.6</v>
      </c>
      <c r="C74">
        <v>193.6</v>
      </c>
      <c r="D74">
        <v>193.6</v>
      </c>
      <c r="E74">
        <v>193.6</v>
      </c>
      <c r="F74">
        <v>0</v>
      </c>
      <c r="G74">
        <v>193.6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</v>
      </c>
      <c r="Q74">
        <f t="shared" ref="Q74" si="346">F74*P74</f>
        <v>0</v>
      </c>
      <c r="R74">
        <f t="shared" ref="R74" si="347">R75+Q74</f>
        <v>-602598.67036022665</v>
      </c>
      <c r="S74">
        <f t="shared" ref="S74" si="348">R74/100000</f>
        <v>-6.0259867036022667</v>
      </c>
      <c r="T74">
        <f t="shared" ref="T74" si="349">S74/1000</f>
        <v>-6.0259867036022664E-3</v>
      </c>
    </row>
    <row r="75" spans="1:20" x14ac:dyDescent="0.25">
      <c r="A75" s="5">
        <v>44509</v>
      </c>
      <c r="B75">
        <v>193.6</v>
      </c>
      <c r="C75">
        <v>193.6</v>
      </c>
      <c r="D75">
        <v>193.6</v>
      </c>
      <c r="E75">
        <v>193.6</v>
      </c>
      <c r="F75">
        <v>0</v>
      </c>
      <c r="G75">
        <v>193.6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0</v>
      </c>
      <c r="Q75">
        <f t="shared" ref="Q75" si="351">F75*P75</f>
        <v>0</v>
      </c>
      <c r="R75">
        <f t="shared" ref="R75" si="352">R76+Q75</f>
        <v>-602598.67036022665</v>
      </c>
      <c r="S75">
        <f t="shared" ref="S75" si="353">R75/100000</f>
        <v>-6.0259867036022667</v>
      </c>
      <c r="T75">
        <f t="shared" ref="T75" si="354">S75/1000</f>
        <v>-6.0259867036022664E-3</v>
      </c>
    </row>
    <row r="76" spans="1:20" x14ac:dyDescent="0.25">
      <c r="A76" s="5">
        <v>44508</v>
      </c>
      <c r="B76">
        <v>193.6</v>
      </c>
      <c r="C76">
        <v>193.6</v>
      </c>
      <c r="D76">
        <v>193.6</v>
      </c>
      <c r="E76">
        <v>193.6</v>
      </c>
      <c r="F76">
        <v>0</v>
      </c>
      <c r="G76">
        <v>193.6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</v>
      </c>
      <c r="Q76">
        <f t="shared" ref="Q76" si="356">F76*P76</f>
        <v>0</v>
      </c>
      <c r="R76">
        <f t="shared" ref="R76" si="357">R77+Q76</f>
        <v>-602598.67036022665</v>
      </c>
      <c r="S76">
        <f t="shared" ref="S76" si="358">R76/100000</f>
        <v>-6.0259867036022667</v>
      </c>
      <c r="T76">
        <f t="shared" ref="T76" si="359">S76/1000</f>
        <v>-6.0259867036022664E-3</v>
      </c>
    </row>
    <row r="77" spans="1:20" x14ac:dyDescent="0.25">
      <c r="A77" s="5">
        <v>44507</v>
      </c>
      <c r="B77">
        <v>193.6</v>
      </c>
      <c r="C77">
        <v>193.6</v>
      </c>
      <c r="D77">
        <v>193.6</v>
      </c>
      <c r="E77">
        <v>193.6</v>
      </c>
      <c r="F77">
        <v>0</v>
      </c>
      <c r="G77">
        <v>193.6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</v>
      </c>
      <c r="Q77">
        <f t="shared" ref="Q77" si="361">F77*P77</f>
        <v>0</v>
      </c>
      <c r="R77">
        <f t="shared" ref="R77" si="362">R78+Q77</f>
        <v>-602598.67036022665</v>
      </c>
      <c r="S77">
        <f t="shared" ref="S77" si="363">R77/100000</f>
        <v>-6.0259867036022667</v>
      </c>
      <c r="T77">
        <f t="shared" ref="T77" si="364">S77/1000</f>
        <v>-6.0259867036022664E-3</v>
      </c>
    </row>
    <row r="78" spans="1:20" x14ac:dyDescent="0.25">
      <c r="A78" s="5">
        <v>44506</v>
      </c>
      <c r="B78">
        <v>193.6</v>
      </c>
      <c r="C78">
        <v>193.6</v>
      </c>
      <c r="D78">
        <v>193.6</v>
      </c>
      <c r="E78">
        <v>193.6</v>
      </c>
      <c r="F78">
        <v>0</v>
      </c>
      <c r="G78">
        <v>193.6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0</v>
      </c>
      <c r="Q78">
        <f t="shared" ref="Q78" si="366">F78*P78</f>
        <v>0</v>
      </c>
      <c r="R78">
        <f t="shared" ref="R78" si="367">R79+Q78</f>
        <v>-602598.67036022665</v>
      </c>
      <c r="S78">
        <f t="shared" ref="S78" si="368">R78/100000</f>
        <v>-6.0259867036022667</v>
      </c>
      <c r="T78">
        <f t="shared" ref="T78" si="369">S78/1000</f>
        <v>-6.0259867036022664E-3</v>
      </c>
    </row>
    <row r="79" spans="1:20" x14ac:dyDescent="0.25">
      <c r="A79" s="5">
        <v>44505</v>
      </c>
      <c r="B79">
        <v>193.6</v>
      </c>
      <c r="C79">
        <v>193.6</v>
      </c>
      <c r="D79">
        <v>193.6</v>
      </c>
      <c r="E79">
        <v>193.6</v>
      </c>
      <c r="F79">
        <v>0</v>
      </c>
      <c r="G79">
        <v>193.6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</v>
      </c>
      <c r="Q79">
        <f t="shared" ref="Q79" si="371">F79*P79</f>
        <v>0</v>
      </c>
      <c r="R79">
        <f t="shared" ref="R79" si="372">R80+Q79</f>
        <v>-602598.67036022665</v>
      </c>
      <c r="S79">
        <f t="shared" ref="S79" si="373">R79/100000</f>
        <v>-6.0259867036022667</v>
      </c>
      <c r="T79">
        <f t="shared" ref="T79" si="374">S79/1000</f>
        <v>-6.0259867036022664E-3</v>
      </c>
    </row>
    <row r="80" spans="1:20" x14ac:dyDescent="0.25">
      <c r="A80" s="5">
        <v>44504</v>
      </c>
      <c r="B80">
        <v>193.6</v>
      </c>
      <c r="C80">
        <v>193.6</v>
      </c>
      <c r="D80">
        <v>193.6</v>
      </c>
      <c r="E80">
        <v>193.6</v>
      </c>
      <c r="F80">
        <v>0</v>
      </c>
      <c r="G80">
        <v>193.6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</v>
      </c>
      <c r="Q80">
        <f t="shared" ref="Q80" si="376">F80*P80</f>
        <v>0</v>
      </c>
      <c r="R80">
        <f t="shared" ref="R80" si="377">R81+Q80</f>
        <v>-602598.67036022665</v>
      </c>
      <c r="S80">
        <f t="shared" ref="S80" si="378">R80/100000</f>
        <v>-6.0259867036022667</v>
      </c>
      <c r="T80">
        <f t="shared" ref="T80" si="379">S80/1000</f>
        <v>-6.0259867036022664E-3</v>
      </c>
    </row>
    <row r="81" spans="1:20" x14ac:dyDescent="0.25">
      <c r="A81" s="5">
        <v>44503</v>
      </c>
      <c r="B81">
        <v>193.6</v>
      </c>
      <c r="C81">
        <v>193.6</v>
      </c>
      <c r="D81">
        <v>193.6</v>
      </c>
      <c r="E81">
        <v>193.6</v>
      </c>
      <c r="F81">
        <v>0</v>
      </c>
      <c r="G81">
        <v>193.6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</v>
      </c>
      <c r="Q81">
        <f t="shared" ref="Q81" si="381">F81*P81</f>
        <v>0</v>
      </c>
      <c r="R81">
        <f t="shared" ref="R81" si="382">R82+Q81</f>
        <v>-602598.67036022665</v>
      </c>
      <c r="S81">
        <f t="shared" ref="S81" si="383">R81/100000</f>
        <v>-6.0259867036022667</v>
      </c>
      <c r="T81">
        <f t="shared" ref="T81" si="384">S81/1000</f>
        <v>-6.0259867036022664E-3</v>
      </c>
    </row>
    <row r="82" spans="1:20" x14ac:dyDescent="0.25">
      <c r="A82" s="5">
        <v>44502</v>
      </c>
      <c r="B82">
        <v>193.6</v>
      </c>
      <c r="C82">
        <v>193.6</v>
      </c>
      <c r="D82">
        <v>193.6</v>
      </c>
      <c r="E82">
        <v>193.6</v>
      </c>
      <c r="F82">
        <v>0</v>
      </c>
      <c r="G82">
        <v>193.6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</v>
      </c>
      <c r="Q82">
        <f t="shared" ref="Q82" si="386">F82*P82</f>
        <v>0</v>
      </c>
      <c r="R82">
        <f t="shared" ref="R82" si="387">R83+Q82</f>
        <v>-602598.67036022665</v>
      </c>
      <c r="S82">
        <f t="shared" ref="S82" si="388">R82/100000</f>
        <v>-6.0259867036022667</v>
      </c>
      <c r="T82">
        <f t="shared" ref="T82" si="389">S82/1000</f>
        <v>-6.0259867036022664E-3</v>
      </c>
    </row>
    <row r="83" spans="1:20" x14ac:dyDescent="0.25">
      <c r="A83" s="5">
        <v>44501</v>
      </c>
      <c r="B83">
        <v>193.6</v>
      </c>
      <c r="C83">
        <v>193.6</v>
      </c>
      <c r="D83">
        <v>193.6</v>
      </c>
      <c r="E83">
        <v>193.6</v>
      </c>
      <c r="F83">
        <v>0</v>
      </c>
      <c r="G83">
        <v>193.6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0</v>
      </c>
      <c r="Q83">
        <f t="shared" ref="Q83" si="391">F83*P83</f>
        <v>0</v>
      </c>
      <c r="R83">
        <f t="shared" ref="R83" si="392">R84+Q83</f>
        <v>-602598.67036022665</v>
      </c>
      <c r="S83">
        <f t="shared" ref="S83" si="393">R83/100000</f>
        <v>-6.0259867036022667</v>
      </c>
      <c r="T83">
        <f t="shared" ref="T83" si="394">S83/1000</f>
        <v>-6.0259867036022664E-3</v>
      </c>
    </row>
    <row r="84" spans="1:20" x14ac:dyDescent="0.25">
      <c r="A84" s="5">
        <v>44500</v>
      </c>
      <c r="B84">
        <v>193.6</v>
      </c>
      <c r="C84">
        <v>193.6</v>
      </c>
      <c r="D84">
        <v>193.6</v>
      </c>
      <c r="E84">
        <v>193.6</v>
      </c>
      <c r="F84">
        <v>0</v>
      </c>
      <c r="G84">
        <v>193.6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0</v>
      </c>
      <c r="Q84">
        <f t="shared" ref="Q84" si="396">F84*P84</f>
        <v>0</v>
      </c>
      <c r="R84">
        <f t="shared" ref="R84" si="397">R85+Q84</f>
        <v>-602598.67036022665</v>
      </c>
      <c r="S84">
        <f t="shared" ref="S84" si="398">R84/100000</f>
        <v>-6.0259867036022667</v>
      </c>
      <c r="T84">
        <f t="shared" ref="T84" si="399">S84/1000</f>
        <v>-6.0259867036022664E-3</v>
      </c>
    </row>
    <row r="85" spans="1:20" x14ac:dyDescent="0.25">
      <c r="A85" s="5">
        <v>44499</v>
      </c>
      <c r="B85">
        <v>193.6</v>
      </c>
      <c r="C85">
        <v>193.6</v>
      </c>
      <c r="D85">
        <v>193.6</v>
      </c>
      <c r="E85">
        <v>193.6</v>
      </c>
      <c r="F85">
        <v>0</v>
      </c>
      <c r="G85">
        <v>193.6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</v>
      </c>
      <c r="Q85">
        <f t="shared" ref="Q85" si="401">F85*P85</f>
        <v>0</v>
      </c>
      <c r="R85">
        <f t="shared" ref="R85" si="402">R86+Q85</f>
        <v>-602598.67036022665</v>
      </c>
      <c r="S85">
        <f t="shared" ref="S85" si="403">R85/100000</f>
        <v>-6.0259867036022667</v>
      </c>
      <c r="T85">
        <f t="shared" ref="T85" si="404">S85/1000</f>
        <v>-6.0259867036022664E-3</v>
      </c>
    </row>
    <row r="86" spans="1:20" x14ac:dyDescent="0.25">
      <c r="A86" s="5">
        <v>44498</v>
      </c>
      <c r="B86">
        <v>193.6</v>
      </c>
      <c r="C86">
        <v>193.6</v>
      </c>
      <c r="D86">
        <v>193.6</v>
      </c>
      <c r="E86">
        <v>193.6</v>
      </c>
      <c r="F86">
        <v>0</v>
      </c>
      <c r="G86">
        <v>193.6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</v>
      </c>
      <c r="Q86">
        <f t="shared" ref="Q86" si="406">F86*P86</f>
        <v>0</v>
      </c>
      <c r="R86">
        <f t="shared" ref="R86" si="407">R87+Q86</f>
        <v>-602598.67036022665</v>
      </c>
      <c r="S86">
        <f t="shared" ref="S86" si="408">R86/100000</f>
        <v>-6.0259867036022667</v>
      </c>
      <c r="T86">
        <f t="shared" ref="T86" si="409">S86/1000</f>
        <v>-6.0259867036022664E-3</v>
      </c>
    </row>
    <row r="87" spans="1:20" x14ac:dyDescent="0.25">
      <c r="A87" s="5">
        <v>44497</v>
      </c>
      <c r="B87">
        <v>193.6</v>
      </c>
      <c r="C87">
        <v>193.6</v>
      </c>
      <c r="D87">
        <v>193.6</v>
      </c>
      <c r="E87">
        <v>193.6</v>
      </c>
      <c r="F87">
        <v>0</v>
      </c>
      <c r="G87">
        <v>193.6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</v>
      </c>
      <c r="Q87">
        <f t="shared" ref="Q87" si="411">F87*P87</f>
        <v>0</v>
      </c>
      <c r="R87">
        <f t="shared" ref="R87" si="412">R88+Q87</f>
        <v>-602598.67036022665</v>
      </c>
      <c r="S87">
        <f t="shared" ref="S87" si="413">R87/100000</f>
        <v>-6.0259867036022667</v>
      </c>
      <c r="T87">
        <f t="shared" ref="T87" si="414">S87/1000</f>
        <v>-6.0259867036022664E-3</v>
      </c>
    </row>
    <row r="88" spans="1:20" x14ac:dyDescent="0.25">
      <c r="A88" s="5">
        <v>44496</v>
      </c>
      <c r="B88">
        <v>193.6</v>
      </c>
      <c r="C88">
        <v>193.6</v>
      </c>
      <c r="D88">
        <v>193.6</v>
      </c>
      <c r="E88">
        <v>193.6</v>
      </c>
      <c r="F88">
        <v>0</v>
      </c>
      <c r="G88">
        <v>193.6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0</v>
      </c>
      <c r="Q88">
        <f t="shared" ref="Q88" si="416">F88*P88</f>
        <v>0</v>
      </c>
      <c r="R88">
        <f t="shared" ref="R88" si="417">R89+Q88</f>
        <v>-602598.67036022665</v>
      </c>
      <c r="S88">
        <f t="shared" ref="S88" si="418">R88/100000</f>
        <v>-6.0259867036022667</v>
      </c>
      <c r="T88">
        <f t="shared" ref="T88" si="419">S88/1000</f>
        <v>-6.0259867036022664E-3</v>
      </c>
    </row>
    <row r="89" spans="1:20" x14ac:dyDescent="0.25">
      <c r="A89" s="5">
        <v>44495</v>
      </c>
      <c r="B89">
        <v>193.6</v>
      </c>
      <c r="C89">
        <v>193.6</v>
      </c>
      <c r="D89">
        <v>193.6</v>
      </c>
      <c r="E89">
        <v>193.6</v>
      </c>
      <c r="F89">
        <v>0</v>
      </c>
      <c r="G89">
        <v>193.6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</v>
      </c>
      <c r="Q89">
        <f t="shared" ref="Q89" si="421">F89*P89</f>
        <v>0</v>
      </c>
      <c r="R89">
        <f t="shared" ref="R89" si="422">R90+Q89</f>
        <v>-602598.67036022665</v>
      </c>
      <c r="S89">
        <f t="shared" ref="S89" si="423">R89/100000</f>
        <v>-6.0259867036022667</v>
      </c>
      <c r="T89">
        <f t="shared" ref="T89" si="424">S89/1000</f>
        <v>-6.0259867036022664E-3</v>
      </c>
    </row>
    <row r="90" spans="1:20" x14ac:dyDescent="0.25">
      <c r="A90" s="5">
        <v>44494</v>
      </c>
      <c r="B90">
        <v>193.6</v>
      </c>
      <c r="C90">
        <v>193.6</v>
      </c>
      <c r="D90">
        <v>193.6</v>
      </c>
      <c r="E90">
        <v>193.6</v>
      </c>
      <c r="F90">
        <v>0</v>
      </c>
      <c r="G90">
        <v>193.6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</v>
      </c>
      <c r="Q90">
        <f t="shared" ref="Q90" si="426">F90*P90</f>
        <v>0</v>
      </c>
      <c r="R90">
        <f t="shared" ref="R90" si="427">R91+Q90</f>
        <v>-602598.67036022665</v>
      </c>
      <c r="S90">
        <f t="shared" ref="S90" si="428">R90/100000</f>
        <v>-6.0259867036022667</v>
      </c>
      <c r="T90">
        <f t="shared" ref="T90" si="429">S90/1000</f>
        <v>-6.0259867036022664E-3</v>
      </c>
    </row>
    <row r="91" spans="1:20" x14ac:dyDescent="0.25">
      <c r="A91" s="5">
        <v>44493</v>
      </c>
      <c r="B91">
        <v>193.6</v>
      </c>
      <c r="C91">
        <v>193.6</v>
      </c>
      <c r="D91">
        <v>193.6</v>
      </c>
      <c r="E91">
        <v>193.6</v>
      </c>
      <c r="F91">
        <v>0</v>
      </c>
      <c r="G91">
        <v>193.6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0</v>
      </c>
      <c r="Q91">
        <f t="shared" ref="Q91" si="431">F91*P91</f>
        <v>0</v>
      </c>
      <c r="R91">
        <f t="shared" ref="R91" si="432">R92+Q91</f>
        <v>-602598.67036022665</v>
      </c>
      <c r="S91">
        <f t="shared" ref="S91" si="433">R91/100000</f>
        <v>-6.0259867036022667</v>
      </c>
      <c r="T91">
        <f t="shared" ref="T91" si="434">S91/1000</f>
        <v>-6.0259867036022664E-3</v>
      </c>
    </row>
    <row r="92" spans="1:20" x14ac:dyDescent="0.25">
      <c r="A92" s="5">
        <v>44492</v>
      </c>
      <c r="B92">
        <v>193.6</v>
      </c>
      <c r="C92">
        <v>193.6</v>
      </c>
      <c r="D92">
        <v>193.6</v>
      </c>
      <c r="E92">
        <v>193.6</v>
      </c>
      <c r="F92">
        <v>0</v>
      </c>
      <c r="G92">
        <v>193.6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</v>
      </c>
      <c r="Q92">
        <f t="shared" ref="Q92" si="436">F92*P92</f>
        <v>0</v>
      </c>
      <c r="R92">
        <f t="shared" ref="R92" si="437">R93+Q92</f>
        <v>-602598.67036022665</v>
      </c>
      <c r="S92">
        <f t="shared" ref="S92" si="438">R92/100000</f>
        <v>-6.0259867036022667</v>
      </c>
      <c r="T92">
        <f t="shared" ref="T92" si="439">S92/1000</f>
        <v>-6.0259867036022664E-3</v>
      </c>
    </row>
    <row r="93" spans="1:20" x14ac:dyDescent="0.25">
      <c r="A93" s="5">
        <v>44491</v>
      </c>
      <c r="B93">
        <v>193.6</v>
      </c>
      <c r="C93">
        <v>193.6</v>
      </c>
      <c r="D93">
        <v>193.6</v>
      </c>
      <c r="E93">
        <v>193.6</v>
      </c>
      <c r="F93">
        <v>0</v>
      </c>
      <c r="G93">
        <v>193.6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</v>
      </c>
      <c r="Q93">
        <f t="shared" ref="Q93" si="441">F93*P93</f>
        <v>0</v>
      </c>
      <c r="R93">
        <f t="shared" ref="R93" si="442">R94+Q93</f>
        <v>-602598.67036022665</v>
      </c>
      <c r="S93">
        <f t="shared" ref="S93" si="443">R93/100000</f>
        <v>-6.0259867036022667</v>
      </c>
      <c r="T93">
        <f t="shared" ref="T93" si="444">S93/1000</f>
        <v>-6.0259867036022664E-3</v>
      </c>
    </row>
    <row r="94" spans="1:20" x14ac:dyDescent="0.25">
      <c r="A94" s="5">
        <v>44490</v>
      </c>
      <c r="B94">
        <v>193.6</v>
      </c>
      <c r="C94">
        <v>193.6</v>
      </c>
      <c r="D94">
        <v>193.6</v>
      </c>
      <c r="E94">
        <v>193.6</v>
      </c>
      <c r="F94">
        <v>0</v>
      </c>
      <c r="G94">
        <v>193.6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</v>
      </c>
      <c r="Q94">
        <f t="shared" ref="Q94" si="446">F94*P94</f>
        <v>0</v>
      </c>
      <c r="R94">
        <f t="shared" ref="R94" si="447">R95+Q94</f>
        <v>-602598.67036022665</v>
      </c>
      <c r="S94">
        <f t="shared" ref="S94" si="448">R94/100000</f>
        <v>-6.0259867036022667</v>
      </c>
      <c r="T94">
        <f t="shared" ref="T94" si="449">S94/1000</f>
        <v>-6.0259867036022664E-3</v>
      </c>
    </row>
    <row r="95" spans="1:20" x14ac:dyDescent="0.25">
      <c r="A95" s="5">
        <v>44489</v>
      </c>
      <c r="B95">
        <v>193.6</v>
      </c>
      <c r="C95">
        <v>193.6</v>
      </c>
      <c r="D95">
        <v>193.6</v>
      </c>
      <c r="E95">
        <v>193.6</v>
      </c>
      <c r="F95">
        <v>0</v>
      </c>
      <c r="G95">
        <v>193.6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</v>
      </c>
      <c r="Q95">
        <f t="shared" ref="Q95" si="451">F95*P95</f>
        <v>0</v>
      </c>
      <c r="R95">
        <f t="shared" ref="R95" si="452">R96+Q95</f>
        <v>-602598.67036022665</v>
      </c>
      <c r="S95">
        <f t="shared" ref="S95" si="453">R95/100000</f>
        <v>-6.0259867036022667</v>
      </c>
      <c r="T95">
        <f t="shared" ref="T95" si="454">S95/1000</f>
        <v>-6.0259867036022664E-3</v>
      </c>
    </row>
    <row r="96" spans="1:20" x14ac:dyDescent="0.25">
      <c r="A96" s="5">
        <v>44488</v>
      </c>
      <c r="B96">
        <v>193.6</v>
      </c>
      <c r="C96">
        <v>193.6</v>
      </c>
      <c r="D96">
        <v>193.6</v>
      </c>
      <c r="E96">
        <v>193.6</v>
      </c>
      <c r="F96">
        <v>0</v>
      </c>
      <c r="G96">
        <v>193.6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</v>
      </c>
      <c r="Q96">
        <f t="shared" ref="Q96" si="456">F96*P96</f>
        <v>0</v>
      </c>
      <c r="R96">
        <f t="shared" ref="R96" si="457">R97+Q96</f>
        <v>-602598.67036022665</v>
      </c>
      <c r="S96">
        <f t="shared" ref="S96" si="458">R96/100000</f>
        <v>-6.0259867036022667</v>
      </c>
      <c r="T96">
        <f t="shared" ref="T96" si="459">S96/1000</f>
        <v>-6.0259867036022664E-3</v>
      </c>
    </row>
    <row r="97" spans="1:20" x14ac:dyDescent="0.25">
      <c r="A97" s="5">
        <v>44487</v>
      </c>
      <c r="B97">
        <v>193.6</v>
      </c>
      <c r="C97">
        <v>193.6</v>
      </c>
      <c r="D97">
        <v>193.6</v>
      </c>
      <c r="E97">
        <v>193.6</v>
      </c>
      <c r="F97">
        <v>0</v>
      </c>
      <c r="G97">
        <v>193.6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0</v>
      </c>
      <c r="Q97">
        <f t="shared" ref="Q97" si="461">F97*P97</f>
        <v>0</v>
      </c>
      <c r="R97">
        <f t="shared" ref="R97" si="462">R98+Q97</f>
        <v>-602598.67036022665</v>
      </c>
      <c r="S97">
        <f t="shared" ref="S97" si="463">R97/100000</f>
        <v>-6.0259867036022667</v>
      </c>
      <c r="T97">
        <f t="shared" ref="T97" si="464">S97/1000</f>
        <v>-6.0259867036022664E-3</v>
      </c>
    </row>
    <row r="98" spans="1:20" x14ac:dyDescent="0.25">
      <c r="A98" s="5">
        <v>44486</v>
      </c>
      <c r="B98">
        <v>193.6</v>
      </c>
      <c r="C98">
        <v>193.6</v>
      </c>
      <c r="D98">
        <v>193.6</v>
      </c>
      <c r="E98">
        <v>193.6</v>
      </c>
      <c r="F98">
        <v>0</v>
      </c>
      <c r="G98">
        <v>193.6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0</v>
      </c>
      <c r="Q98">
        <f t="shared" ref="Q98" si="466">F98*P98</f>
        <v>0</v>
      </c>
      <c r="R98">
        <f t="shared" ref="R98" si="467">R99+Q98</f>
        <v>-602598.67036022665</v>
      </c>
      <c r="S98">
        <f t="shared" ref="S98" si="468">R98/100000</f>
        <v>-6.0259867036022667</v>
      </c>
      <c r="T98">
        <f t="shared" ref="T98" si="469">S98/1000</f>
        <v>-6.0259867036022664E-3</v>
      </c>
    </row>
    <row r="99" spans="1:20" x14ac:dyDescent="0.25">
      <c r="A99" s="5">
        <v>44485</v>
      </c>
      <c r="B99">
        <v>193.6</v>
      </c>
      <c r="C99">
        <v>193.6</v>
      </c>
      <c r="D99">
        <v>193.6</v>
      </c>
      <c r="E99">
        <v>193.6</v>
      </c>
      <c r="F99">
        <v>0</v>
      </c>
      <c r="G99">
        <v>193.6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</v>
      </c>
      <c r="Q99">
        <f t="shared" ref="Q99" si="471">F99*P99</f>
        <v>0</v>
      </c>
      <c r="R99">
        <f t="shared" ref="R99" si="472">R100+Q99</f>
        <v>-602598.67036022665</v>
      </c>
      <c r="S99">
        <f t="shared" ref="S99" si="473">R99/100000</f>
        <v>-6.0259867036022667</v>
      </c>
      <c r="T99">
        <f t="shared" ref="T99" si="474">S99/1000</f>
        <v>-6.0259867036022664E-3</v>
      </c>
    </row>
    <row r="100" spans="1:20" x14ac:dyDescent="0.25">
      <c r="A100" s="5">
        <v>44484</v>
      </c>
      <c r="B100">
        <v>193.6</v>
      </c>
      <c r="C100">
        <v>193.6</v>
      </c>
      <c r="D100">
        <v>193.6</v>
      </c>
      <c r="E100">
        <v>193.6</v>
      </c>
      <c r="F100">
        <v>0</v>
      </c>
      <c r="G100">
        <v>193.6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0</v>
      </c>
      <c r="Q100">
        <f t="shared" ref="Q100" si="476">F100*P100</f>
        <v>0</v>
      </c>
      <c r="R100">
        <f t="shared" ref="R100" si="477">R101+Q100</f>
        <v>-602598.67036022665</v>
      </c>
      <c r="S100">
        <f t="shared" ref="S100" si="478">R100/100000</f>
        <v>-6.0259867036022667</v>
      </c>
      <c r="T100">
        <f t="shared" ref="T100" si="479">S100/1000</f>
        <v>-6.0259867036022664E-3</v>
      </c>
    </row>
    <row r="101" spans="1:20" x14ac:dyDescent="0.25">
      <c r="A101" s="5">
        <v>44483</v>
      </c>
      <c r="B101">
        <v>193.6</v>
      </c>
      <c r="C101">
        <v>193.6</v>
      </c>
      <c r="D101">
        <v>193.6</v>
      </c>
      <c r="E101">
        <v>193.6</v>
      </c>
      <c r="F101">
        <v>0</v>
      </c>
      <c r="G101">
        <v>193.6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</v>
      </c>
      <c r="Q101">
        <f t="shared" ref="Q101" si="481">F101*P101</f>
        <v>0</v>
      </c>
      <c r="R101">
        <f t="shared" ref="R101" si="482">R102+Q101</f>
        <v>-602598.67036022665</v>
      </c>
      <c r="S101">
        <f t="shared" ref="S101" si="483">R101/100000</f>
        <v>-6.0259867036022667</v>
      </c>
      <c r="T101">
        <f t="shared" ref="T101" si="484">S101/1000</f>
        <v>-6.0259867036022664E-3</v>
      </c>
    </row>
    <row r="102" spans="1:20" x14ac:dyDescent="0.25">
      <c r="A102" s="5">
        <v>44482</v>
      </c>
      <c r="B102">
        <v>193.6</v>
      </c>
      <c r="C102">
        <v>193.6</v>
      </c>
      <c r="D102">
        <v>193.6</v>
      </c>
      <c r="E102">
        <v>193.6</v>
      </c>
      <c r="F102">
        <v>0</v>
      </c>
      <c r="G102">
        <v>193.6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0</v>
      </c>
      <c r="Q102">
        <f t="shared" ref="Q102" si="486">F102*P102</f>
        <v>0</v>
      </c>
      <c r="R102">
        <f t="shared" ref="R102" si="487">R103+Q102</f>
        <v>-602598.67036022665</v>
      </c>
      <c r="S102">
        <f t="shared" ref="S102" si="488">R102/100000</f>
        <v>-6.0259867036022667</v>
      </c>
      <c r="T102">
        <f t="shared" ref="T102" si="489">S102/1000</f>
        <v>-6.0259867036022664E-3</v>
      </c>
    </row>
    <row r="103" spans="1:20" x14ac:dyDescent="0.25">
      <c r="A103" s="5">
        <v>44481</v>
      </c>
      <c r="B103">
        <v>193.6</v>
      </c>
      <c r="C103">
        <v>193.6</v>
      </c>
      <c r="D103">
        <v>193.6</v>
      </c>
      <c r="E103">
        <v>193.6</v>
      </c>
      <c r="F103">
        <v>0</v>
      </c>
      <c r="G103">
        <v>193.6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0</v>
      </c>
      <c r="Q103">
        <f t="shared" ref="Q103" si="491">F103*P103</f>
        <v>0</v>
      </c>
      <c r="R103">
        <f t="shared" ref="R103" si="492">R104+Q103</f>
        <v>-602598.67036022665</v>
      </c>
      <c r="S103">
        <f t="shared" ref="S103" si="493">R103/100000</f>
        <v>-6.0259867036022667</v>
      </c>
      <c r="T103">
        <f t="shared" ref="T103" si="494">S103/1000</f>
        <v>-6.0259867036022664E-3</v>
      </c>
    </row>
    <row r="104" spans="1:20" x14ac:dyDescent="0.25">
      <c r="A104" s="5">
        <v>44480</v>
      </c>
      <c r="B104">
        <v>193.6</v>
      </c>
      <c r="C104">
        <v>193.6</v>
      </c>
      <c r="D104">
        <v>193.6</v>
      </c>
      <c r="E104">
        <v>193.6</v>
      </c>
      <c r="F104">
        <v>0</v>
      </c>
      <c r="G104">
        <v>193.6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</v>
      </c>
      <c r="Q104">
        <f t="shared" ref="Q104" si="496">F104*P104</f>
        <v>0</v>
      </c>
      <c r="R104">
        <f t="shared" ref="R104" si="497">R105+Q104</f>
        <v>-602598.67036022665</v>
      </c>
      <c r="S104">
        <f t="shared" ref="S104" si="498">R104/100000</f>
        <v>-6.0259867036022667</v>
      </c>
      <c r="T104">
        <f t="shared" ref="T104" si="499">S104/1000</f>
        <v>-6.0259867036022664E-3</v>
      </c>
    </row>
    <row r="105" spans="1:20" x14ac:dyDescent="0.25">
      <c r="A105" s="5">
        <v>44479</v>
      </c>
      <c r="B105">
        <v>193.6</v>
      </c>
      <c r="C105">
        <v>193.6</v>
      </c>
      <c r="D105">
        <v>193.6</v>
      </c>
      <c r="E105">
        <v>193.6</v>
      </c>
      <c r="F105">
        <v>0</v>
      </c>
      <c r="G105">
        <v>193.6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</v>
      </c>
      <c r="Q105">
        <f t="shared" ref="Q105" si="501">F105*P105</f>
        <v>0</v>
      </c>
      <c r="R105">
        <f t="shared" ref="R105" si="502">R106+Q105</f>
        <v>-602598.67036022665</v>
      </c>
      <c r="S105">
        <f t="shared" ref="S105" si="503">R105/100000</f>
        <v>-6.0259867036022667</v>
      </c>
      <c r="T105">
        <f t="shared" ref="T105" si="504">S105/1000</f>
        <v>-6.0259867036022664E-3</v>
      </c>
    </row>
    <row r="106" spans="1:20" x14ac:dyDescent="0.25">
      <c r="A106" s="5">
        <v>44478</v>
      </c>
      <c r="B106">
        <v>193.6</v>
      </c>
      <c r="C106">
        <v>193.6</v>
      </c>
      <c r="D106">
        <v>193.6</v>
      </c>
      <c r="E106">
        <v>193.6</v>
      </c>
      <c r="F106">
        <v>0</v>
      </c>
      <c r="G106">
        <v>193.6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</v>
      </c>
      <c r="Q106">
        <f t="shared" ref="Q106" si="506">F106*P106</f>
        <v>0</v>
      </c>
      <c r="R106">
        <f t="shared" ref="R106" si="507">R107+Q106</f>
        <v>-602598.67036022665</v>
      </c>
      <c r="S106">
        <f t="shared" ref="S106" si="508">R106/100000</f>
        <v>-6.0259867036022667</v>
      </c>
      <c r="T106">
        <f t="shared" ref="T106" si="509">S106/1000</f>
        <v>-6.0259867036022664E-3</v>
      </c>
    </row>
    <row r="107" spans="1:20" x14ac:dyDescent="0.25">
      <c r="A107" s="5">
        <v>44477</v>
      </c>
      <c r="B107">
        <v>193.6</v>
      </c>
      <c r="C107">
        <v>193.6</v>
      </c>
      <c r="D107">
        <v>193.6</v>
      </c>
      <c r="E107">
        <v>193.6</v>
      </c>
      <c r="F107">
        <v>0</v>
      </c>
      <c r="G107">
        <v>193.6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0</v>
      </c>
      <c r="Q107">
        <f t="shared" ref="Q107" si="511">F107*P107</f>
        <v>0</v>
      </c>
      <c r="R107">
        <f t="shared" ref="R107" si="512">R108+Q107</f>
        <v>-602598.67036022665</v>
      </c>
      <c r="S107">
        <f t="shared" ref="S107" si="513">R107/100000</f>
        <v>-6.0259867036022667</v>
      </c>
      <c r="T107">
        <f t="shared" ref="T107" si="514">S107/1000</f>
        <v>-6.0259867036022664E-3</v>
      </c>
    </row>
    <row r="108" spans="1:20" x14ac:dyDescent="0.25">
      <c r="A108" s="5">
        <v>44476</v>
      </c>
      <c r="B108">
        <v>193.6</v>
      </c>
      <c r="C108">
        <v>193.6</v>
      </c>
      <c r="D108">
        <v>193.6</v>
      </c>
      <c r="E108">
        <v>193.6</v>
      </c>
      <c r="F108">
        <v>0</v>
      </c>
      <c r="G108">
        <v>193.6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0</v>
      </c>
      <c r="Q108">
        <f t="shared" ref="Q108" si="516">F108*P108</f>
        <v>0</v>
      </c>
      <c r="R108">
        <f t="shared" ref="R108" si="517">R109+Q108</f>
        <v>-602598.67036022665</v>
      </c>
      <c r="S108">
        <f t="shared" ref="S108" si="518">R108/100000</f>
        <v>-6.0259867036022667</v>
      </c>
      <c r="T108">
        <f t="shared" ref="T108" si="519">S108/1000</f>
        <v>-6.0259867036022664E-3</v>
      </c>
    </row>
    <row r="109" spans="1:20" x14ac:dyDescent="0.25">
      <c r="A109" s="5">
        <v>44475</v>
      </c>
      <c r="B109">
        <v>193.6</v>
      </c>
      <c r="C109">
        <v>193.6</v>
      </c>
      <c r="D109">
        <v>193.6</v>
      </c>
      <c r="E109">
        <v>193.6</v>
      </c>
      <c r="F109">
        <v>0</v>
      </c>
      <c r="G109">
        <v>193.6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</v>
      </c>
      <c r="Q109">
        <f t="shared" ref="Q109" si="521">F109*P109</f>
        <v>0</v>
      </c>
      <c r="R109">
        <f t="shared" ref="R109" si="522">R110+Q109</f>
        <v>-602598.67036022665</v>
      </c>
      <c r="S109">
        <f t="shared" ref="S109" si="523">R109/100000</f>
        <v>-6.0259867036022667</v>
      </c>
      <c r="T109">
        <f t="shared" ref="T109" si="524">S109/1000</f>
        <v>-6.0259867036022664E-3</v>
      </c>
    </row>
    <row r="110" spans="1:20" x14ac:dyDescent="0.25">
      <c r="A110" s="5">
        <v>44474</v>
      </c>
      <c r="B110">
        <v>193.6</v>
      </c>
      <c r="C110">
        <v>193.6</v>
      </c>
      <c r="D110">
        <v>193.6</v>
      </c>
      <c r="E110">
        <v>193.6</v>
      </c>
      <c r="F110">
        <v>0</v>
      </c>
      <c r="G110">
        <v>193.6</v>
      </c>
      <c r="L110" t="s">
        <v>7</v>
      </c>
      <c r="M110" t="s">
        <v>7</v>
      </c>
      <c r="N110" t="s">
        <v>7</v>
      </c>
      <c r="P110">
        <f t="shared" ref="P110" si="525">IF(C110=D110,0,((E110-D110)-(C110-E110))/(C110-D110))</f>
        <v>0</v>
      </c>
      <c r="Q110">
        <f t="shared" ref="Q110" si="526">F110*P110</f>
        <v>0</v>
      </c>
      <c r="R110">
        <f t="shared" ref="R110" si="527">R111+Q110</f>
        <v>-602598.67036022665</v>
      </c>
      <c r="S110">
        <f t="shared" ref="S110" si="528">R110/100000</f>
        <v>-6.0259867036022667</v>
      </c>
      <c r="T110">
        <f t="shared" ref="T110" si="529">S110/1000</f>
        <v>-6.0259867036022664E-3</v>
      </c>
    </row>
    <row r="111" spans="1:20" x14ac:dyDescent="0.25">
      <c r="A111" s="5">
        <v>44473</v>
      </c>
      <c r="B111">
        <v>193.6</v>
      </c>
      <c r="C111">
        <v>193.6</v>
      </c>
      <c r="D111">
        <v>193.6</v>
      </c>
      <c r="E111">
        <v>193.6</v>
      </c>
      <c r="F111">
        <v>0</v>
      </c>
      <c r="G111">
        <v>193.6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</v>
      </c>
      <c r="Q111">
        <f t="shared" ref="Q111" si="531">F111*P111</f>
        <v>0</v>
      </c>
      <c r="R111">
        <f t="shared" ref="R111" si="532">R112+Q111</f>
        <v>-602598.67036022665</v>
      </c>
      <c r="S111">
        <f t="shared" ref="S111" si="533">R111/100000</f>
        <v>-6.0259867036022667</v>
      </c>
      <c r="T111">
        <f t="shared" ref="T111" si="534">S111/1000</f>
        <v>-6.0259867036022664E-3</v>
      </c>
    </row>
    <row r="112" spans="1:20" x14ac:dyDescent="0.25">
      <c r="A112" s="5">
        <v>44472</v>
      </c>
      <c r="B112">
        <v>193.6</v>
      </c>
      <c r="C112">
        <v>193.6</v>
      </c>
      <c r="D112">
        <v>193.6</v>
      </c>
      <c r="E112">
        <v>193.6</v>
      </c>
      <c r="F112">
        <v>0</v>
      </c>
      <c r="G112">
        <v>193.6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</v>
      </c>
      <c r="Q112">
        <f t="shared" ref="Q112" si="536">F112*P112</f>
        <v>0</v>
      </c>
      <c r="R112">
        <f t="shared" ref="R112" si="537">R113+Q112</f>
        <v>-602598.67036022665</v>
      </c>
      <c r="S112">
        <f t="shared" ref="S112" si="538">R112/100000</f>
        <v>-6.0259867036022667</v>
      </c>
      <c r="T112">
        <f t="shared" ref="T112" si="539">S112/1000</f>
        <v>-6.0259867036022664E-3</v>
      </c>
    </row>
    <row r="113" spans="1:20" x14ac:dyDescent="0.25">
      <c r="A113" s="5">
        <v>44471</v>
      </c>
      <c r="B113">
        <v>193.6</v>
      </c>
      <c r="C113">
        <v>193.6</v>
      </c>
      <c r="D113">
        <v>193.6</v>
      </c>
      <c r="E113">
        <v>193.6</v>
      </c>
      <c r="F113">
        <v>0</v>
      </c>
      <c r="G113">
        <v>193.6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0</v>
      </c>
      <c r="Q113">
        <f t="shared" ref="Q113" si="541">F113*P113</f>
        <v>0</v>
      </c>
      <c r="R113">
        <f t="shared" ref="R113" si="542">R114+Q113</f>
        <v>-602598.67036022665</v>
      </c>
      <c r="S113">
        <f t="shared" ref="S113" si="543">R113/100000</f>
        <v>-6.0259867036022667</v>
      </c>
      <c r="T113">
        <f t="shared" ref="T113" si="544">S113/1000</f>
        <v>-6.0259867036022664E-3</v>
      </c>
    </row>
    <row r="114" spans="1:20" x14ac:dyDescent="0.25">
      <c r="A114" s="5">
        <v>44470</v>
      </c>
      <c r="B114">
        <v>193.6</v>
      </c>
      <c r="C114">
        <v>193.6</v>
      </c>
      <c r="D114">
        <v>193.6</v>
      </c>
      <c r="E114">
        <v>193.6</v>
      </c>
      <c r="F114">
        <v>0</v>
      </c>
      <c r="G114">
        <v>193.6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0</v>
      </c>
      <c r="Q114">
        <f t="shared" ref="Q114" si="546">F114*P114</f>
        <v>0</v>
      </c>
      <c r="R114">
        <f t="shared" ref="R114" si="547">R115+Q114</f>
        <v>-602598.67036022665</v>
      </c>
      <c r="S114">
        <f t="shared" ref="S114" si="548">R114/100000</f>
        <v>-6.0259867036022667</v>
      </c>
      <c r="T114">
        <f t="shared" ref="T114" si="549">S114/1000</f>
        <v>-6.0259867036022664E-3</v>
      </c>
    </row>
    <row r="115" spans="1:20" x14ac:dyDescent="0.25">
      <c r="A115" s="5">
        <v>44469</v>
      </c>
      <c r="B115">
        <v>193.6</v>
      </c>
      <c r="C115">
        <v>193.6</v>
      </c>
      <c r="D115">
        <v>193.6</v>
      </c>
      <c r="E115">
        <v>193.6</v>
      </c>
      <c r="F115">
        <v>0</v>
      </c>
      <c r="G115">
        <v>193.6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0</v>
      </c>
      <c r="Q115">
        <f t="shared" ref="Q115" si="551">F115*P115</f>
        <v>0</v>
      </c>
      <c r="R115">
        <f t="shared" ref="R115" si="552">R116+Q115</f>
        <v>-602598.67036022665</v>
      </c>
      <c r="S115">
        <f t="shared" ref="S115" si="553">R115/100000</f>
        <v>-6.0259867036022667</v>
      </c>
      <c r="T115">
        <f t="shared" ref="T115" si="554">S115/1000</f>
        <v>-6.0259867036022664E-3</v>
      </c>
    </row>
    <row r="116" spans="1:20" x14ac:dyDescent="0.25">
      <c r="A116" s="5">
        <v>44468</v>
      </c>
      <c r="B116">
        <v>193.6</v>
      </c>
      <c r="C116">
        <v>193.6</v>
      </c>
      <c r="D116">
        <v>193.6</v>
      </c>
      <c r="E116">
        <v>193.6</v>
      </c>
      <c r="F116">
        <v>0</v>
      </c>
      <c r="G116">
        <v>193.6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0</v>
      </c>
      <c r="Q116">
        <f t="shared" ref="Q116" si="556">F116*P116</f>
        <v>0</v>
      </c>
      <c r="R116">
        <f t="shared" ref="R116" si="557">R117+Q116</f>
        <v>-602598.67036022665</v>
      </c>
      <c r="S116">
        <f t="shared" ref="S116" si="558">R116/100000</f>
        <v>-6.0259867036022667</v>
      </c>
      <c r="T116">
        <f t="shared" ref="T116" si="559">S116/1000</f>
        <v>-6.0259867036022664E-3</v>
      </c>
    </row>
    <row r="117" spans="1:20" x14ac:dyDescent="0.25">
      <c r="A117" s="5">
        <v>44467</v>
      </c>
      <c r="B117">
        <v>193.6</v>
      </c>
      <c r="C117">
        <v>193.6</v>
      </c>
      <c r="D117">
        <v>193.6</v>
      </c>
      <c r="E117">
        <v>193.6</v>
      </c>
      <c r="F117">
        <v>0</v>
      </c>
      <c r="G117">
        <v>193.6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</v>
      </c>
      <c r="Q117">
        <f t="shared" ref="Q117" si="561">F117*P117</f>
        <v>0</v>
      </c>
      <c r="R117">
        <f t="shared" ref="R117" si="562">R118+Q117</f>
        <v>-602598.67036022665</v>
      </c>
      <c r="S117">
        <f t="shared" ref="S117" si="563">R117/100000</f>
        <v>-6.0259867036022667</v>
      </c>
      <c r="T117">
        <f t="shared" ref="T117" si="564">S117/1000</f>
        <v>-6.0259867036022664E-3</v>
      </c>
    </row>
    <row r="118" spans="1:20" x14ac:dyDescent="0.25">
      <c r="A118" s="5">
        <v>44466</v>
      </c>
      <c r="B118">
        <v>193.6</v>
      </c>
      <c r="C118">
        <v>193.6</v>
      </c>
      <c r="D118">
        <v>193.6</v>
      </c>
      <c r="E118">
        <v>193.6</v>
      </c>
      <c r="F118">
        <v>0</v>
      </c>
      <c r="G118">
        <v>193.6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</v>
      </c>
      <c r="Q118">
        <f t="shared" ref="Q118" si="566">F118*P118</f>
        <v>0</v>
      </c>
      <c r="R118">
        <f t="shared" ref="R118" si="567">R119+Q118</f>
        <v>-602598.67036022665</v>
      </c>
      <c r="S118">
        <f t="shared" ref="S118" si="568">R118/100000</f>
        <v>-6.0259867036022667</v>
      </c>
      <c r="T118">
        <f t="shared" ref="T118" si="569">S118/1000</f>
        <v>-6.0259867036022664E-3</v>
      </c>
    </row>
    <row r="119" spans="1:20" x14ac:dyDescent="0.25">
      <c r="A119" s="5">
        <v>44465</v>
      </c>
      <c r="B119">
        <v>193.6</v>
      </c>
      <c r="C119">
        <v>193.6</v>
      </c>
      <c r="D119">
        <v>193.6</v>
      </c>
      <c r="E119">
        <v>193.6</v>
      </c>
      <c r="F119">
        <v>0</v>
      </c>
      <c r="G119">
        <v>193.6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</v>
      </c>
      <c r="Q119">
        <f t="shared" ref="Q119" si="571">F119*P119</f>
        <v>0</v>
      </c>
      <c r="R119">
        <f t="shared" ref="R119" si="572">R120+Q119</f>
        <v>-602598.67036022665</v>
      </c>
      <c r="S119">
        <f t="shared" ref="S119" si="573">R119/100000</f>
        <v>-6.0259867036022667</v>
      </c>
      <c r="T119">
        <f t="shared" ref="T119" si="574">S119/1000</f>
        <v>-6.0259867036022664E-3</v>
      </c>
    </row>
    <row r="120" spans="1:20" x14ac:dyDescent="0.25">
      <c r="A120" s="5">
        <v>44464</v>
      </c>
      <c r="B120">
        <v>193.6</v>
      </c>
      <c r="C120">
        <v>193.6</v>
      </c>
      <c r="D120">
        <v>193.6</v>
      </c>
      <c r="E120">
        <v>193.6</v>
      </c>
      <c r="F120">
        <v>0</v>
      </c>
      <c r="G120">
        <v>193.6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</v>
      </c>
      <c r="Q120">
        <f t="shared" ref="Q120" si="576">F120*P120</f>
        <v>0</v>
      </c>
      <c r="R120">
        <f t="shared" ref="R120" si="577">R121+Q120</f>
        <v>-602598.67036022665</v>
      </c>
      <c r="S120">
        <f t="shared" ref="S120" si="578">R120/100000</f>
        <v>-6.0259867036022667</v>
      </c>
      <c r="T120">
        <f t="shared" ref="T120" si="579">S120/1000</f>
        <v>-6.0259867036022664E-3</v>
      </c>
    </row>
    <row r="121" spans="1:20" x14ac:dyDescent="0.25">
      <c r="A121" s="5">
        <v>44463</v>
      </c>
      <c r="B121">
        <v>202.8</v>
      </c>
      <c r="C121">
        <v>206.1</v>
      </c>
      <c r="D121">
        <v>189.4</v>
      </c>
      <c r="E121">
        <v>193.6</v>
      </c>
      <c r="F121">
        <v>9212.3549999999996</v>
      </c>
      <c r="G121">
        <v>193.6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-0.49700598802395313</v>
      </c>
      <c r="Q121">
        <f t="shared" ref="Q121" si="581">F121*P121</f>
        <v>-4578.5955988024043</v>
      </c>
      <c r="R121">
        <f t="shared" ref="R121" si="582">R122+Q121</f>
        <v>-602598.67036022665</v>
      </c>
      <c r="S121">
        <f t="shared" ref="S121" si="583">R121/100000</f>
        <v>-6.0259867036022667</v>
      </c>
      <c r="T121">
        <f t="shared" ref="T121" si="584">S121/1000</f>
        <v>-6.0259867036022664E-3</v>
      </c>
    </row>
    <row r="122" spans="1:20" x14ac:dyDescent="0.25">
      <c r="A122" s="5">
        <v>44462</v>
      </c>
      <c r="B122">
        <v>206.5</v>
      </c>
      <c r="C122">
        <v>214.8</v>
      </c>
      <c r="D122">
        <v>195.3</v>
      </c>
      <c r="E122">
        <v>202.5</v>
      </c>
      <c r="F122">
        <v>25943.544000000002</v>
      </c>
      <c r="G122">
        <v>202.5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-0.26153846153846272</v>
      </c>
      <c r="Q122">
        <f t="shared" ref="Q122" si="586">F122*P122</f>
        <v>-6785.2345846154158</v>
      </c>
      <c r="R122">
        <f t="shared" ref="R122" si="587">R123+Q122</f>
        <v>-598020.07476142421</v>
      </c>
      <c r="S122">
        <f t="shared" ref="S122" si="588">R122/100000</f>
        <v>-5.9802007476142425</v>
      </c>
      <c r="T122">
        <f t="shared" ref="T122" si="589">S122/1000</f>
        <v>-5.9802007476142428E-3</v>
      </c>
    </row>
    <row r="123" spans="1:20" x14ac:dyDescent="0.25">
      <c r="A123" s="5">
        <v>44461</v>
      </c>
      <c r="B123">
        <v>227.1</v>
      </c>
      <c r="C123">
        <v>240</v>
      </c>
      <c r="D123">
        <v>185.1</v>
      </c>
      <c r="E123">
        <v>206.5</v>
      </c>
      <c r="F123">
        <v>65752.751000000004</v>
      </c>
      <c r="G123">
        <v>206.5</v>
      </c>
      <c r="L123" t="s">
        <v>7</v>
      </c>
      <c r="M123" t="s">
        <v>7</v>
      </c>
      <c r="N123" t="s">
        <v>7</v>
      </c>
      <c r="P123">
        <f t="shared" ref="P123" si="590">IF(C123=D123,0,((E123-D123)-(C123-E123))/(C123-D123))</f>
        <v>-0.22040072859744977</v>
      </c>
      <c r="Q123">
        <f t="shared" ref="Q123" si="591">F123*P123</f>
        <v>-14491.954227686696</v>
      </c>
      <c r="R123">
        <f t="shared" ref="R123" si="592">R124+Q123</f>
        <v>-591234.84017680876</v>
      </c>
      <c r="S123">
        <f t="shared" ref="S123" si="593">R123/100000</f>
        <v>-5.9123484017680878</v>
      </c>
      <c r="T123">
        <f t="shared" ref="T123" si="594">S123/1000</f>
        <v>-5.912348401768088E-3</v>
      </c>
    </row>
    <row r="124" spans="1:20" x14ac:dyDescent="0.25">
      <c r="A124" s="5">
        <v>44460</v>
      </c>
      <c r="B124">
        <v>192.4</v>
      </c>
      <c r="C124">
        <v>277</v>
      </c>
      <c r="D124">
        <v>181.7</v>
      </c>
      <c r="E124">
        <v>227.1</v>
      </c>
      <c r="F124">
        <v>299977.71299999999</v>
      </c>
      <c r="G124">
        <v>227.1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-4.7219307450157393E-2</v>
      </c>
      <c r="Q124">
        <f t="shared" ref="Q124" si="596">F124*P124</f>
        <v>-14164.739858342076</v>
      </c>
      <c r="R124">
        <f t="shared" ref="R124" si="597">R125+Q124</f>
        <v>-576742.88594912202</v>
      </c>
      <c r="S124">
        <f t="shared" ref="S124" si="598">R124/100000</f>
        <v>-5.7674288594912202</v>
      </c>
      <c r="T124">
        <f t="shared" ref="T124" si="599">S124/1000</f>
        <v>-5.7674288594912202E-3</v>
      </c>
    </row>
    <row r="125" spans="1:20" x14ac:dyDescent="0.25">
      <c r="A125" s="5">
        <v>44459</v>
      </c>
      <c r="B125">
        <v>163</v>
      </c>
      <c r="C125">
        <v>348.2</v>
      </c>
      <c r="D125">
        <v>158.5</v>
      </c>
      <c r="E125">
        <v>227.6</v>
      </c>
      <c r="F125">
        <v>397350.57</v>
      </c>
      <c r="G125">
        <v>227.6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-0.27148128624143386</v>
      </c>
      <c r="Q125">
        <f t="shared" ref="Q125" si="601">F125*P125</f>
        <v>-107873.2438323669</v>
      </c>
      <c r="R125">
        <f t="shared" ref="R125" si="602">R126+Q125</f>
        <v>-562578.14609077992</v>
      </c>
      <c r="S125">
        <f t="shared" ref="S125" si="603">R125/100000</f>
        <v>-5.625781460907799</v>
      </c>
      <c r="T125">
        <f t="shared" ref="T125" si="604">S125/1000</f>
        <v>-5.6257814609077987E-3</v>
      </c>
    </row>
    <row r="126" spans="1:20" x14ac:dyDescent="0.25">
      <c r="A126" s="5">
        <v>44458</v>
      </c>
      <c r="B126">
        <v>175.7</v>
      </c>
      <c r="C126">
        <v>179.6</v>
      </c>
      <c r="D126">
        <v>160</v>
      </c>
      <c r="E126">
        <v>162.9</v>
      </c>
      <c r="F126">
        <v>22919.71</v>
      </c>
      <c r="G126">
        <v>162.9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-0.70408163265306056</v>
      </c>
      <c r="Q126">
        <f t="shared" ref="Q126" si="606">F126*P126</f>
        <v>-16137.346836734678</v>
      </c>
      <c r="R126">
        <f t="shared" ref="R126" si="607">R127+Q126</f>
        <v>-454704.90225841297</v>
      </c>
      <c r="S126">
        <f t="shared" ref="S126" si="608">R126/100000</f>
        <v>-4.5470490225841296</v>
      </c>
      <c r="T126">
        <f t="shared" ref="T126" si="609">S126/1000</f>
        <v>-4.5470490225841299E-3</v>
      </c>
    </row>
    <row r="127" spans="1:20" x14ac:dyDescent="0.25">
      <c r="A127" s="5">
        <v>44457</v>
      </c>
      <c r="B127">
        <v>187.9</v>
      </c>
      <c r="C127">
        <v>194.5</v>
      </c>
      <c r="D127">
        <v>170</v>
      </c>
      <c r="E127">
        <v>176</v>
      </c>
      <c r="F127">
        <v>32559.7</v>
      </c>
      <c r="G127">
        <v>176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-0.51020408163265307</v>
      </c>
      <c r="Q127">
        <f t="shared" ref="Q127" si="611">F127*P127</f>
        <v>-16612.091836734693</v>
      </c>
      <c r="R127">
        <f t="shared" ref="R127" si="612">R128+Q127</f>
        <v>-438567.55542167829</v>
      </c>
      <c r="S127">
        <f t="shared" ref="S127" si="613">R127/100000</f>
        <v>-4.3856755542167827</v>
      </c>
      <c r="T127">
        <f t="shared" ref="T127" si="614">S127/1000</f>
        <v>-4.385675554216783E-3</v>
      </c>
    </row>
    <row r="128" spans="1:20" x14ac:dyDescent="0.25">
      <c r="A128" s="5">
        <v>44456</v>
      </c>
      <c r="B128">
        <v>224.9</v>
      </c>
      <c r="C128">
        <v>235.6</v>
      </c>
      <c r="D128">
        <v>175</v>
      </c>
      <c r="E128">
        <v>188</v>
      </c>
      <c r="F128">
        <v>68997.460999999996</v>
      </c>
      <c r="G128">
        <v>188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-0.57095709570957087</v>
      </c>
      <c r="Q128">
        <f t="shared" ref="Q128" si="616">F128*P128</f>
        <v>-39394.589943894382</v>
      </c>
      <c r="R128">
        <f t="shared" ref="R128" si="617">R129+Q128</f>
        <v>-421955.46358494362</v>
      </c>
      <c r="S128">
        <f t="shared" ref="S128" si="618">R128/100000</f>
        <v>-4.2195546358494358</v>
      </c>
      <c r="T128">
        <f t="shared" ref="T128" si="619">S128/1000</f>
        <v>-4.219554635849436E-3</v>
      </c>
    </row>
    <row r="129" spans="1:20" x14ac:dyDescent="0.25">
      <c r="A129" s="5">
        <v>44455</v>
      </c>
      <c r="B129">
        <v>245.1</v>
      </c>
      <c r="C129">
        <v>256</v>
      </c>
      <c r="D129">
        <v>221.2</v>
      </c>
      <c r="E129">
        <v>224.7</v>
      </c>
      <c r="F129">
        <v>77553.460999999996</v>
      </c>
      <c r="G129">
        <v>224.7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-0.79885057471264376</v>
      </c>
      <c r="Q129">
        <f t="shared" ref="Q129" si="621">F129*P129</f>
        <v>-61953.626890804597</v>
      </c>
      <c r="R129">
        <f t="shared" ref="R129" si="622">R130+Q129</f>
        <v>-382560.87364104926</v>
      </c>
      <c r="S129">
        <f t="shared" ref="S129" si="623">R129/100000</f>
        <v>-3.8256087364104925</v>
      </c>
      <c r="T129">
        <f t="shared" ref="T129" si="624">S129/1000</f>
        <v>-3.8256087364104924E-3</v>
      </c>
    </row>
    <row r="130" spans="1:20" x14ac:dyDescent="0.25">
      <c r="A130" s="5">
        <v>44454</v>
      </c>
      <c r="B130">
        <v>306.7</v>
      </c>
      <c r="C130">
        <v>314.8</v>
      </c>
      <c r="D130">
        <v>233.3</v>
      </c>
      <c r="E130">
        <v>245.2</v>
      </c>
      <c r="F130">
        <v>132109.35200000001</v>
      </c>
      <c r="G130">
        <v>245.2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-0.70797546012269996</v>
      </c>
      <c r="Q130">
        <f t="shared" ref="Q130" si="626">F130*P130</f>
        <v>-93530.179268711741</v>
      </c>
      <c r="R130">
        <f t="shared" ref="R130" si="627">R131+Q130</f>
        <v>-320607.24675024464</v>
      </c>
      <c r="S130">
        <f t="shared" ref="S130" si="628">R130/100000</f>
        <v>-3.2060724675024463</v>
      </c>
      <c r="T130">
        <f t="shared" ref="T130" si="629">S130/1000</f>
        <v>-3.2060724675024464E-3</v>
      </c>
    </row>
    <row r="131" spans="1:20" x14ac:dyDescent="0.25">
      <c r="A131" s="5">
        <v>44453</v>
      </c>
      <c r="B131">
        <v>152.30000000000001</v>
      </c>
      <c r="C131">
        <v>458</v>
      </c>
      <c r="D131">
        <v>151.19999999999999</v>
      </c>
      <c r="E131">
        <v>305.89999999999998</v>
      </c>
      <c r="F131">
        <v>469203.20228999999</v>
      </c>
      <c r="G131">
        <v>305.89999999999998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8.4745762711863296E-3</v>
      </c>
      <c r="Q131">
        <f t="shared" ref="Q131" si="631">F131*P131</f>
        <v>3976.2983244914731</v>
      </c>
      <c r="R131">
        <f t="shared" ref="R131" si="632">R132+Q131</f>
        <v>-227077.06748153293</v>
      </c>
      <c r="S131">
        <f t="shared" ref="S131" si="633">R131/100000</f>
        <v>-2.2707706748153291</v>
      </c>
      <c r="T131">
        <f t="shared" ref="T131" si="634">S131/1000</f>
        <v>-2.2707706748153291E-3</v>
      </c>
    </row>
    <row r="132" spans="1:20" x14ac:dyDescent="0.25">
      <c r="A132" s="5">
        <v>44452</v>
      </c>
      <c r="B132">
        <v>159.1</v>
      </c>
      <c r="C132">
        <v>160.6</v>
      </c>
      <c r="D132">
        <v>144</v>
      </c>
      <c r="E132">
        <v>152.30000000000001</v>
      </c>
      <c r="F132">
        <v>6337.4989999999998</v>
      </c>
      <c r="G132">
        <v>152.30000000000001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1.7121511705062661E-15</v>
      </c>
      <c r="Q132">
        <f t="shared" ref="Q132" si="636">F132*P132</f>
        <v>1.085075633093229E-11</v>
      </c>
      <c r="R132">
        <f t="shared" ref="R132" si="637">R133+Q132</f>
        <v>-231053.36580602441</v>
      </c>
      <c r="S132">
        <f t="shared" ref="S132" si="638">R132/100000</f>
        <v>-2.310533658060244</v>
      </c>
      <c r="T132">
        <f t="shared" ref="T132" si="639">S132/1000</f>
        <v>-2.3105336580602439E-3</v>
      </c>
    </row>
    <row r="133" spans="1:20" x14ac:dyDescent="0.25">
      <c r="A133" s="5">
        <v>44451</v>
      </c>
      <c r="B133">
        <v>153.5</v>
      </c>
      <c r="C133">
        <v>169</v>
      </c>
      <c r="D133">
        <v>149.6</v>
      </c>
      <c r="E133">
        <v>159.4</v>
      </c>
      <c r="F133">
        <v>7902.4179999999997</v>
      </c>
      <c r="G133">
        <v>159.4</v>
      </c>
      <c r="L133" t="s">
        <v>8</v>
      </c>
      <c r="M133" t="s">
        <v>8</v>
      </c>
      <c r="N133" t="s">
        <v>7</v>
      </c>
      <c r="P133">
        <f t="shared" ref="P133" si="640">IF(C133=D133,0,((E133-D133)-(C133-E133))/(C133-D133))</f>
        <v>1.030927835051634E-2</v>
      </c>
      <c r="Q133">
        <f t="shared" ref="Q133" si="641">F133*P133</f>
        <v>81.468226804130623</v>
      </c>
      <c r="R133">
        <f t="shared" ref="R133" si="642">R134+Q133</f>
        <v>-231053.36580602441</v>
      </c>
      <c r="S133">
        <f t="shared" ref="S133" si="643">R133/100000</f>
        <v>-2.310533658060244</v>
      </c>
      <c r="T133">
        <f t="shared" ref="T133" si="644">S133/1000</f>
        <v>-2.3105336580602439E-3</v>
      </c>
    </row>
    <row r="134" spans="1:20" x14ac:dyDescent="0.25">
      <c r="A134" s="5">
        <v>44450</v>
      </c>
      <c r="B134">
        <v>152.4</v>
      </c>
      <c r="C134">
        <v>164.5</v>
      </c>
      <c r="D134">
        <v>149.30000000000001</v>
      </c>
      <c r="E134">
        <v>153.6</v>
      </c>
      <c r="F134">
        <v>7439.8689999999997</v>
      </c>
      <c r="G134">
        <v>153.6</v>
      </c>
      <c r="L134" t="s">
        <v>8</v>
      </c>
      <c r="M134" t="s">
        <v>7</v>
      </c>
      <c r="N134" t="s">
        <v>7</v>
      </c>
      <c r="P134">
        <f t="shared" ref="P134" si="645">IF(C134=D134,0,((E134-D134)-(C134-E134))/(C134-D134))</f>
        <v>-0.43421052631579127</v>
      </c>
      <c r="Q134">
        <f t="shared" ref="Q134" si="646">F134*P134</f>
        <v>-3230.4694342105395</v>
      </c>
      <c r="R134">
        <f t="shared" ref="R134" si="647">R135+Q134</f>
        <v>-231134.83403282854</v>
      </c>
      <c r="S134">
        <f t="shared" ref="S134" si="648">R134/100000</f>
        <v>-2.3113483403282853</v>
      </c>
      <c r="T134">
        <f t="shared" ref="T134" si="649">S134/1000</f>
        <v>-2.3113483403282855E-3</v>
      </c>
    </row>
    <row r="135" spans="1:20" x14ac:dyDescent="0.25">
      <c r="A135" s="5">
        <v>44449</v>
      </c>
      <c r="B135">
        <v>170.5</v>
      </c>
      <c r="C135">
        <v>179.1</v>
      </c>
      <c r="D135">
        <v>142.5</v>
      </c>
      <c r="E135">
        <v>152.4</v>
      </c>
      <c r="F135">
        <v>10661.448</v>
      </c>
      <c r="G135">
        <v>152.4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-0.45901639344262257</v>
      </c>
      <c r="Q135">
        <f t="shared" ref="Q135" si="651">F135*P135</f>
        <v>-4893.7794098360619</v>
      </c>
      <c r="R135">
        <f t="shared" ref="R135" si="652">R136+Q135</f>
        <v>-227904.36459861801</v>
      </c>
      <c r="S135">
        <f t="shared" ref="S135" si="653">R135/100000</f>
        <v>-2.2790436459861803</v>
      </c>
      <c r="T135">
        <f t="shared" ref="T135" si="654">S135/1000</f>
        <v>-2.27904364598618E-3</v>
      </c>
    </row>
    <row r="136" spans="1:20" x14ac:dyDescent="0.25">
      <c r="A136" s="5">
        <v>44448</v>
      </c>
      <c r="B136">
        <v>162.80000000000001</v>
      </c>
      <c r="C136">
        <v>185</v>
      </c>
      <c r="D136">
        <v>160.1</v>
      </c>
      <c r="E136">
        <v>170.4</v>
      </c>
      <c r="F136">
        <v>11279.874</v>
      </c>
      <c r="G136">
        <v>170.4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-0.17269076305220812</v>
      </c>
      <c r="Q136">
        <f t="shared" ref="Q136" si="656">F136*P136</f>
        <v>-1947.930048192763</v>
      </c>
      <c r="R136">
        <f t="shared" ref="R136" si="657">R137+Q136</f>
        <v>-223010.58518878193</v>
      </c>
      <c r="S136">
        <f t="shared" ref="S136" si="658">R136/100000</f>
        <v>-2.2301058518878194</v>
      </c>
      <c r="T136">
        <f t="shared" ref="T136" si="659">S136/1000</f>
        <v>-2.2301058518878194E-3</v>
      </c>
    </row>
    <row r="137" spans="1:20" x14ac:dyDescent="0.25">
      <c r="A137" s="5">
        <v>44447</v>
      </c>
      <c r="B137">
        <v>161.19999999999999</v>
      </c>
      <c r="C137">
        <v>190.7</v>
      </c>
      <c r="D137">
        <v>147.6</v>
      </c>
      <c r="E137">
        <v>162.80000000000001</v>
      </c>
      <c r="F137">
        <v>23557.08757</v>
      </c>
      <c r="G137">
        <v>162.80000000000001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-0.29466357308584601</v>
      </c>
      <c r="Q137">
        <f t="shared" ref="Q137" si="661">F137*P137</f>
        <v>-6941.4155948723692</v>
      </c>
      <c r="R137">
        <f t="shared" ref="R137" si="662">R138+Q137</f>
        <v>-221062.65514058917</v>
      </c>
      <c r="S137">
        <f t="shared" ref="S137" si="663">R137/100000</f>
        <v>-2.2106265514058916</v>
      </c>
      <c r="T137">
        <f t="shared" ref="T137" si="664">S137/1000</f>
        <v>-2.2106265514058917E-3</v>
      </c>
    </row>
    <row r="138" spans="1:20" x14ac:dyDescent="0.25">
      <c r="A138" s="5">
        <v>44446</v>
      </c>
      <c r="B138">
        <v>212.5</v>
      </c>
      <c r="C138">
        <v>214.9</v>
      </c>
      <c r="D138">
        <v>155</v>
      </c>
      <c r="E138">
        <v>161.1</v>
      </c>
      <c r="F138">
        <v>20628.53874</v>
      </c>
      <c r="G138">
        <v>161.1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-0.79632721202003365</v>
      </c>
      <c r="Q138">
        <f t="shared" ref="Q138" si="666">F138*P138</f>
        <v>-16427.066742871459</v>
      </c>
      <c r="R138">
        <f t="shared" ref="R138" si="667">R139+Q138</f>
        <v>-214121.23954571679</v>
      </c>
      <c r="S138">
        <f t="shared" ref="S138" si="668">R138/100000</f>
        <v>-2.1412123954571678</v>
      </c>
      <c r="T138">
        <f t="shared" ref="T138" si="669">S138/1000</f>
        <v>-2.1412123954571679E-3</v>
      </c>
    </row>
    <row r="139" spans="1:20" x14ac:dyDescent="0.25">
      <c r="A139" s="5">
        <v>44445</v>
      </c>
      <c r="B139">
        <v>227.1</v>
      </c>
      <c r="C139">
        <v>230</v>
      </c>
      <c r="D139">
        <v>203</v>
      </c>
      <c r="E139">
        <v>212.5</v>
      </c>
      <c r="F139">
        <v>17289.583999999999</v>
      </c>
      <c r="G139">
        <v>212.5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-0.29629629629629628</v>
      </c>
      <c r="Q139">
        <f t="shared" ref="Q139" si="671">F139*P139</f>
        <v>-5122.839703703703</v>
      </c>
      <c r="R139">
        <f t="shared" ref="R139" si="672">R140+Q139</f>
        <v>-197694.17280284534</v>
      </c>
      <c r="S139">
        <f t="shared" ref="S139" si="673">R139/100000</f>
        <v>-1.9769417280284534</v>
      </c>
      <c r="T139">
        <f t="shared" ref="T139" si="674">S139/1000</f>
        <v>-1.9769417280284533E-3</v>
      </c>
    </row>
    <row r="140" spans="1:20" x14ac:dyDescent="0.25">
      <c r="A140" s="5">
        <v>44444</v>
      </c>
      <c r="B140">
        <v>267.3</v>
      </c>
      <c r="C140">
        <v>273.89999999999998</v>
      </c>
      <c r="D140">
        <v>199.2</v>
      </c>
      <c r="E140">
        <v>227.1</v>
      </c>
      <c r="F140">
        <v>54414.812709999998</v>
      </c>
      <c r="G140">
        <v>227.1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-0.25301204819277084</v>
      </c>
      <c r="Q140">
        <f t="shared" ref="Q140" si="676">F140*P140</f>
        <v>-13767.60321578312</v>
      </c>
      <c r="R140">
        <f t="shared" ref="R140" si="677">R141+Q140</f>
        <v>-192571.33309914163</v>
      </c>
      <c r="S140">
        <f t="shared" ref="S140" si="678">R140/100000</f>
        <v>-1.9257133309914163</v>
      </c>
      <c r="T140">
        <f t="shared" ref="T140" si="679">S140/1000</f>
        <v>-1.9257133309914163E-3</v>
      </c>
    </row>
    <row r="141" spans="1:20" x14ac:dyDescent="0.25">
      <c r="A141" s="5">
        <v>44443</v>
      </c>
      <c r="B141">
        <v>268</v>
      </c>
      <c r="C141">
        <v>271.8</v>
      </c>
      <c r="D141">
        <v>260.60000000000002</v>
      </c>
      <c r="E141">
        <v>267.39999999999998</v>
      </c>
      <c r="F141">
        <v>2362.61</v>
      </c>
      <c r="G141">
        <v>267.39999999999998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0.21428571428570739</v>
      </c>
      <c r="Q141">
        <f t="shared" ref="Q141" si="681">F141*P141</f>
        <v>506.27357142855516</v>
      </c>
      <c r="R141">
        <f t="shared" ref="R141" si="682">R142+Q141</f>
        <v>-178803.72988335852</v>
      </c>
      <c r="S141">
        <f t="shared" ref="S141" si="683">R141/100000</f>
        <v>-1.7880372988335853</v>
      </c>
      <c r="T141">
        <f t="shared" ref="T141" si="684">S141/1000</f>
        <v>-1.7880372988335854E-3</v>
      </c>
    </row>
    <row r="142" spans="1:20" x14ac:dyDescent="0.25">
      <c r="A142" s="5">
        <v>44442</v>
      </c>
      <c r="B142">
        <v>273.5</v>
      </c>
      <c r="C142">
        <v>277.10000000000002</v>
      </c>
      <c r="D142">
        <v>263</v>
      </c>
      <c r="E142">
        <v>269</v>
      </c>
      <c r="F142">
        <v>3247.51</v>
      </c>
      <c r="G142">
        <v>269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-0.14893617021276734</v>
      </c>
      <c r="Q142">
        <f t="shared" ref="Q142" si="686">F142*P142</f>
        <v>-483.6717021276641</v>
      </c>
      <c r="R142">
        <f t="shared" ref="R142" si="687">R143+Q142</f>
        <v>-179310.00345478707</v>
      </c>
      <c r="S142">
        <f t="shared" ref="S142" si="688">R142/100000</f>
        <v>-1.7931000345478707</v>
      </c>
      <c r="T142">
        <f t="shared" ref="T142" si="689">S142/1000</f>
        <v>-1.7931000345478708E-3</v>
      </c>
    </row>
    <row r="143" spans="1:20" x14ac:dyDescent="0.25">
      <c r="A143" s="5">
        <v>44441</v>
      </c>
      <c r="B143">
        <v>286.7</v>
      </c>
      <c r="C143">
        <v>287.2</v>
      </c>
      <c r="D143">
        <v>270</v>
      </c>
      <c r="E143">
        <v>273.5</v>
      </c>
      <c r="F143">
        <v>4863.3530000000001</v>
      </c>
      <c r="G143">
        <v>273.5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-0.59302325581395321</v>
      </c>
      <c r="Q143">
        <f t="shared" ref="Q143" si="691">F143*P143</f>
        <v>-2884.0814302325566</v>
      </c>
      <c r="R143">
        <f t="shared" ref="R143" si="692">R144+Q143</f>
        <v>-178826.3317526594</v>
      </c>
      <c r="S143">
        <f t="shared" ref="S143" si="693">R143/100000</f>
        <v>-1.7882633175265941</v>
      </c>
      <c r="T143">
        <f t="shared" ref="T143" si="694">S143/1000</f>
        <v>-1.788263317526594E-3</v>
      </c>
    </row>
    <row r="144" spans="1:20" x14ac:dyDescent="0.25">
      <c r="A144" s="5">
        <v>44440</v>
      </c>
      <c r="B144">
        <v>308.89999999999998</v>
      </c>
      <c r="C144">
        <v>311.3</v>
      </c>
      <c r="D144">
        <v>247.9</v>
      </c>
      <c r="E144">
        <v>286.5</v>
      </c>
      <c r="F144">
        <v>15442.68802</v>
      </c>
      <c r="G144">
        <v>286.5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0.21766561514195554</v>
      </c>
      <c r="Q144">
        <f t="shared" ref="Q144" si="696">F144*P144</f>
        <v>3361.3421873186071</v>
      </c>
      <c r="R144">
        <f t="shared" ref="R144" si="697">R145+Q144</f>
        <v>-175942.25032242684</v>
      </c>
      <c r="S144">
        <f t="shared" ref="S144" si="698">R144/100000</f>
        <v>-1.7594225032242685</v>
      </c>
      <c r="T144">
        <f t="shared" ref="T144" si="699">S144/1000</f>
        <v>-1.7594225032242685E-3</v>
      </c>
    </row>
    <row r="145" spans="1:20" x14ac:dyDescent="0.25">
      <c r="A145" s="5">
        <v>44439</v>
      </c>
      <c r="B145">
        <v>303.60000000000002</v>
      </c>
      <c r="C145">
        <v>313.8</v>
      </c>
      <c r="D145">
        <v>300</v>
      </c>
      <c r="E145">
        <v>308.8</v>
      </c>
      <c r="F145">
        <v>1476.606</v>
      </c>
      <c r="G145">
        <v>308.8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0.27536231884058032</v>
      </c>
      <c r="Q145">
        <f t="shared" ref="Q145" si="701">F145*P145</f>
        <v>406.60165217391392</v>
      </c>
      <c r="R145">
        <f t="shared" ref="R145" si="702">R146+Q145</f>
        <v>-179303.59250974545</v>
      </c>
      <c r="S145">
        <f t="shared" ref="S145" si="703">R145/100000</f>
        <v>-1.7930359250974544</v>
      </c>
      <c r="T145">
        <f t="shared" ref="T145" si="704">S145/1000</f>
        <v>-1.7930359250974543E-3</v>
      </c>
    </row>
    <row r="146" spans="1:20" x14ac:dyDescent="0.25">
      <c r="A146" s="5">
        <v>44438</v>
      </c>
      <c r="B146">
        <v>307.2</v>
      </c>
      <c r="C146">
        <v>320</v>
      </c>
      <c r="D146">
        <v>300.3</v>
      </c>
      <c r="E146">
        <v>303.60000000000002</v>
      </c>
      <c r="F146">
        <v>1863.3050000000001</v>
      </c>
      <c r="G146">
        <v>303.60000000000002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-0.66497461928933876</v>
      </c>
      <c r="Q146">
        <f t="shared" ref="Q146" si="706">F146*P146</f>
        <v>-1239.0505329949215</v>
      </c>
      <c r="R146">
        <f t="shared" ref="R146" si="707">R147+Q146</f>
        <v>-179710.19416191935</v>
      </c>
      <c r="S146">
        <f t="shared" ref="S146" si="708">R146/100000</f>
        <v>-1.7971019416191936</v>
      </c>
      <c r="T146">
        <f t="shared" ref="T146" si="709">S146/1000</f>
        <v>-1.7971019416191936E-3</v>
      </c>
    </row>
    <row r="147" spans="1:20" x14ac:dyDescent="0.25">
      <c r="A147" s="5">
        <v>44437</v>
      </c>
      <c r="B147">
        <v>306.2</v>
      </c>
      <c r="C147">
        <v>313.60000000000002</v>
      </c>
      <c r="D147">
        <v>300</v>
      </c>
      <c r="E147">
        <v>307.3</v>
      </c>
      <c r="F147">
        <v>1829.6869999999999</v>
      </c>
      <c r="G147">
        <v>307.3</v>
      </c>
      <c r="L147" t="s">
        <v>8</v>
      </c>
      <c r="M147" t="s">
        <v>7</v>
      </c>
      <c r="N147" t="s">
        <v>8</v>
      </c>
      <c r="P147">
        <f t="shared" ref="P147" si="710">IF(C147=D147,0,((E147-D147)-(C147-E147))/(C147-D147))</f>
        <v>7.352941176470576E-2</v>
      </c>
      <c r="Q147">
        <f t="shared" ref="Q147" si="711">F147*P147</f>
        <v>134.53580882352918</v>
      </c>
      <c r="R147">
        <f t="shared" ref="R147" si="712">R148+Q147</f>
        <v>-178471.14362892444</v>
      </c>
      <c r="S147">
        <f t="shared" ref="S147" si="713">R147/100000</f>
        <v>-1.7847114362892444</v>
      </c>
      <c r="T147">
        <f t="shared" ref="T147" si="714">S147/1000</f>
        <v>-1.7847114362892443E-3</v>
      </c>
    </row>
    <row r="148" spans="1:20" x14ac:dyDescent="0.25">
      <c r="A148" s="5">
        <v>44436</v>
      </c>
      <c r="B148">
        <v>314.3</v>
      </c>
      <c r="C148">
        <v>320</v>
      </c>
      <c r="D148">
        <v>304.5</v>
      </c>
      <c r="E148">
        <v>307.89999999999998</v>
      </c>
      <c r="F148">
        <v>1394.066</v>
      </c>
      <c r="G148">
        <v>307.89999999999998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-0.56129032258064815</v>
      </c>
      <c r="Q148">
        <f t="shared" ref="Q148" si="716">F148*P148</f>
        <v>-782.4757548387139</v>
      </c>
      <c r="R148">
        <f t="shared" ref="R148" si="717">R149+Q148</f>
        <v>-178605.67943774798</v>
      </c>
      <c r="S148">
        <f t="shared" ref="S148" si="718">R148/100000</f>
        <v>-1.7860567943774799</v>
      </c>
      <c r="T148">
        <f t="shared" ref="T148" si="719">S148/1000</f>
        <v>-1.7860567943774799E-3</v>
      </c>
    </row>
    <row r="149" spans="1:20" x14ac:dyDescent="0.25">
      <c r="A149" s="5">
        <v>44435</v>
      </c>
      <c r="B149">
        <v>304.60000000000002</v>
      </c>
      <c r="C149">
        <v>329.77</v>
      </c>
      <c r="D149">
        <v>291</v>
      </c>
      <c r="E149">
        <v>314.39999999999998</v>
      </c>
      <c r="F149">
        <v>1934.14597</v>
      </c>
      <c r="G149">
        <v>314.39999999999998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0.20711890637090474</v>
      </c>
      <c r="Q149">
        <f t="shared" ref="Q149" si="721">F149*P149</f>
        <v>400.59819806809276</v>
      </c>
      <c r="R149">
        <f t="shared" ref="R149" si="722">R150+Q149</f>
        <v>-177823.20368290925</v>
      </c>
      <c r="S149">
        <f t="shared" ref="S149" si="723">R149/100000</f>
        <v>-1.7782320368290925</v>
      </c>
      <c r="T149">
        <f t="shared" ref="T149" si="724">S149/1000</f>
        <v>-1.7782320368290925E-3</v>
      </c>
    </row>
    <row r="150" spans="1:20" x14ac:dyDescent="0.25">
      <c r="A150" s="5">
        <v>44434</v>
      </c>
      <c r="B150">
        <v>310.45</v>
      </c>
      <c r="C150">
        <v>329.27</v>
      </c>
      <c r="D150">
        <v>290</v>
      </c>
      <c r="E150">
        <v>303.10000000000002</v>
      </c>
      <c r="F150">
        <v>2513.0277799999999</v>
      </c>
      <c r="G150">
        <v>303.10000000000002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-0.33282403870639016</v>
      </c>
      <c r="Q150">
        <f t="shared" ref="Q150" si="726">F150*P150</f>
        <v>-836.39605512095375</v>
      </c>
      <c r="R150">
        <f t="shared" ref="R150" si="727">R151+Q150</f>
        <v>-178223.80188097735</v>
      </c>
      <c r="S150">
        <f t="shared" ref="S150" si="728">R150/100000</f>
        <v>-1.7822380188097735</v>
      </c>
      <c r="T150">
        <f t="shared" ref="T150" si="729">S150/1000</f>
        <v>-1.7822380188097734E-3</v>
      </c>
    </row>
    <row r="151" spans="1:20" x14ac:dyDescent="0.25">
      <c r="A151" s="5">
        <v>44433</v>
      </c>
      <c r="B151">
        <v>312</v>
      </c>
      <c r="C151">
        <v>320.98</v>
      </c>
      <c r="D151">
        <v>292</v>
      </c>
      <c r="E151">
        <v>310.44</v>
      </c>
      <c r="F151">
        <v>2108.7898100000002</v>
      </c>
      <c r="G151">
        <v>310.44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0.2726017943409238</v>
      </c>
      <c r="Q151">
        <f t="shared" ref="Q151" si="731">F151*P151</f>
        <v>574.85988609385583</v>
      </c>
      <c r="R151">
        <f t="shared" ref="R151" si="732">R152+Q151</f>
        <v>-177387.4058258564</v>
      </c>
      <c r="S151">
        <f t="shared" ref="S151" si="733">R151/100000</f>
        <v>-1.7738740582585641</v>
      </c>
      <c r="T151">
        <f t="shared" ref="T151" si="734">S151/1000</f>
        <v>-1.7738740582585641E-3</v>
      </c>
    </row>
    <row r="152" spans="1:20" x14ac:dyDescent="0.25">
      <c r="A152" s="5">
        <v>44432</v>
      </c>
      <c r="B152">
        <v>330.73</v>
      </c>
      <c r="C152">
        <v>336.01</v>
      </c>
      <c r="D152">
        <v>301.58</v>
      </c>
      <c r="E152">
        <v>312</v>
      </c>
      <c r="F152">
        <v>1564.80511</v>
      </c>
      <c r="G152">
        <v>312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-0.39471391228579644</v>
      </c>
      <c r="Q152">
        <f t="shared" ref="Q152" si="736">F152*P152</f>
        <v>-617.65034693290602</v>
      </c>
      <c r="R152">
        <f t="shared" ref="R152" si="737">R153+Q152</f>
        <v>-177962.26571195025</v>
      </c>
      <c r="S152">
        <f t="shared" ref="S152" si="738">R152/100000</f>
        <v>-1.7796226571195026</v>
      </c>
      <c r="T152">
        <f t="shared" ref="T152" si="739">S152/1000</f>
        <v>-1.7796226571195027E-3</v>
      </c>
    </row>
    <row r="153" spans="1:20" x14ac:dyDescent="0.25">
      <c r="A153" s="5">
        <v>44431</v>
      </c>
      <c r="B153">
        <v>327.16000000000003</v>
      </c>
      <c r="C153">
        <v>338</v>
      </c>
      <c r="D153">
        <v>324</v>
      </c>
      <c r="E153">
        <v>331</v>
      </c>
      <c r="F153">
        <v>2203.7358599999998</v>
      </c>
      <c r="G153">
        <v>331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</v>
      </c>
      <c r="Q153">
        <f t="shared" ref="Q153" si="741">F153*P153</f>
        <v>0</v>
      </c>
      <c r="R153">
        <f t="shared" ref="R153" si="742">R154+Q153</f>
        <v>-177344.61536501735</v>
      </c>
      <c r="S153">
        <f t="shared" ref="S153" si="743">R153/100000</f>
        <v>-1.7734461536501736</v>
      </c>
      <c r="T153">
        <f t="shared" ref="T153" si="744">S153/1000</f>
        <v>-1.7734461536501735E-3</v>
      </c>
    </row>
    <row r="154" spans="1:20" x14ac:dyDescent="0.25">
      <c r="A154" s="5">
        <v>44430</v>
      </c>
      <c r="B154">
        <v>328.93</v>
      </c>
      <c r="C154">
        <v>334.61</v>
      </c>
      <c r="D154">
        <v>325.10000000000002</v>
      </c>
      <c r="E154">
        <v>327.01</v>
      </c>
      <c r="F154">
        <v>261.27051</v>
      </c>
      <c r="G154">
        <v>327.01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-0.59831756046267714</v>
      </c>
      <c r="Q154">
        <f t="shared" ref="Q154" si="746">F154*P154</f>
        <v>-156.3227341640395</v>
      </c>
      <c r="R154">
        <f t="shared" ref="R154" si="747">R155+Q154</f>
        <v>-177344.61536501735</v>
      </c>
      <c r="S154">
        <f t="shared" ref="S154" si="748">R154/100000</f>
        <v>-1.7734461536501736</v>
      </c>
      <c r="T154">
        <f t="shared" ref="T154" si="749">S154/1000</f>
        <v>-1.7734461536501735E-3</v>
      </c>
    </row>
    <row r="155" spans="1:20" x14ac:dyDescent="0.25">
      <c r="A155" s="5">
        <v>44429</v>
      </c>
      <c r="B155">
        <v>329.33</v>
      </c>
      <c r="C155">
        <v>360</v>
      </c>
      <c r="D155">
        <v>320.10000000000002</v>
      </c>
      <c r="E155">
        <v>328.93</v>
      </c>
      <c r="F155">
        <v>5375.7941000000001</v>
      </c>
      <c r="G155">
        <v>328.93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-0.55739348370927377</v>
      </c>
      <c r="Q155">
        <f t="shared" ref="Q155" si="751">F155*P155</f>
        <v>-2996.4326011027601</v>
      </c>
      <c r="R155">
        <f t="shared" ref="R155" si="752">R156+Q155</f>
        <v>-177188.29263085331</v>
      </c>
      <c r="S155">
        <f t="shared" ref="S155" si="753">R155/100000</f>
        <v>-1.7718829263085332</v>
      </c>
      <c r="T155">
        <f t="shared" ref="T155" si="754">S155/1000</f>
        <v>-1.7718829263085331E-3</v>
      </c>
    </row>
    <row r="156" spans="1:20" x14ac:dyDescent="0.25">
      <c r="A156" s="5">
        <v>44428</v>
      </c>
      <c r="B156">
        <v>331.59</v>
      </c>
      <c r="C156">
        <v>344</v>
      </c>
      <c r="D156">
        <v>322.79000000000002</v>
      </c>
      <c r="E156">
        <v>329.99</v>
      </c>
      <c r="F156">
        <v>2265.6451200000001</v>
      </c>
      <c r="G156">
        <v>329.99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-0.3210749646393215</v>
      </c>
      <c r="Q156">
        <f t="shared" ref="Q156" si="756">F156*P156</f>
        <v>-727.4419267892514</v>
      </c>
      <c r="R156">
        <f t="shared" ref="R156" si="757">R157+Q156</f>
        <v>-174191.86002975053</v>
      </c>
      <c r="S156">
        <f t="shared" ref="S156" si="758">R156/100000</f>
        <v>-1.7419186002975053</v>
      </c>
      <c r="T156">
        <f t="shared" ref="T156" si="759">S156/1000</f>
        <v>-1.7419186002975053E-3</v>
      </c>
    </row>
    <row r="157" spans="1:20" x14ac:dyDescent="0.25">
      <c r="A157" s="5">
        <v>44427</v>
      </c>
      <c r="B157">
        <v>324</v>
      </c>
      <c r="C157">
        <v>345</v>
      </c>
      <c r="D157">
        <v>310</v>
      </c>
      <c r="E157">
        <v>331.58</v>
      </c>
      <c r="F157">
        <v>3051.3319299999998</v>
      </c>
      <c r="G157">
        <v>331.58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0.23314285714285624</v>
      </c>
      <c r="Q157">
        <f t="shared" ref="Q157" si="761">F157*P157</f>
        <v>711.39624425142574</v>
      </c>
      <c r="R157">
        <f t="shared" ref="R157" si="762">R158+Q157</f>
        <v>-173464.4181029613</v>
      </c>
      <c r="S157">
        <f t="shared" ref="S157" si="763">R157/100000</f>
        <v>-1.7346441810296129</v>
      </c>
      <c r="T157">
        <f t="shared" ref="T157" si="764">S157/1000</f>
        <v>-1.734644181029613E-3</v>
      </c>
    </row>
    <row r="158" spans="1:20" x14ac:dyDescent="0.25">
      <c r="A158" s="5">
        <v>44426</v>
      </c>
      <c r="B158">
        <v>307.95999999999998</v>
      </c>
      <c r="C158">
        <v>337.8</v>
      </c>
      <c r="D158">
        <v>290</v>
      </c>
      <c r="E158">
        <v>322.38</v>
      </c>
      <c r="F158">
        <v>2958.5643799999998</v>
      </c>
      <c r="G158">
        <v>322.38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0.35481171548117102</v>
      </c>
      <c r="Q158">
        <f t="shared" ref="Q158" si="766">F158*P158</f>
        <v>1049.7333030292871</v>
      </c>
      <c r="R158">
        <f t="shared" ref="R158" si="767">R159+Q158</f>
        <v>-174175.81434721273</v>
      </c>
      <c r="S158">
        <f t="shared" ref="S158" si="768">R158/100000</f>
        <v>-1.7417581434721272</v>
      </c>
      <c r="T158">
        <f t="shared" ref="T158" si="769">S158/1000</f>
        <v>-1.7417581434721271E-3</v>
      </c>
    </row>
    <row r="159" spans="1:20" x14ac:dyDescent="0.25">
      <c r="A159" s="5">
        <v>44425</v>
      </c>
      <c r="B159">
        <v>332</v>
      </c>
      <c r="C159">
        <v>335.1</v>
      </c>
      <c r="D159">
        <v>302</v>
      </c>
      <c r="E159">
        <v>309.18</v>
      </c>
      <c r="F159">
        <v>2658.4030400000001</v>
      </c>
      <c r="G159">
        <v>309.18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-0.56616314199395756</v>
      </c>
      <c r="Q159">
        <f t="shared" ref="Q159" si="771">F159*P159</f>
        <v>-1505.0898178126886</v>
      </c>
      <c r="R159">
        <f t="shared" ref="R159" si="772">R160+Q159</f>
        <v>-175225.54765024202</v>
      </c>
      <c r="S159">
        <f t="shared" ref="S159" si="773">R159/100000</f>
        <v>-1.7522554765024203</v>
      </c>
      <c r="T159">
        <f t="shared" ref="T159" si="774">S159/1000</f>
        <v>-1.7522554765024203E-3</v>
      </c>
    </row>
    <row r="160" spans="1:20" x14ac:dyDescent="0.25">
      <c r="A160" s="5">
        <v>44424</v>
      </c>
      <c r="B160">
        <v>351.18</v>
      </c>
      <c r="C160">
        <v>354.47</v>
      </c>
      <c r="D160">
        <v>329.34</v>
      </c>
      <c r="E160">
        <v>332</v>
      </c>
      <c r="F160">
        <v>2533.62907</v>
      </c>
      <c r="G160">
        <v>332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-0.78830083565459452</v>
      </c>
      <c r="Q160">
        <f t="shared" ref="Q160" si="776">F160*P160</f>
        <v>-1997.2619131197732</v>
      </c>
      <c r="R160">
        <f t="shared" ref="R160" si="777">R161+Q160</f>
        <v>-173720.45783242933</v>
      </c>
      <c r="S160">
        <f t="shared" ref="S160" si="778">R160/100000</f>
        <v>-1.7372045783242933</v>
      </c>
      <c r="T160">
        <f t="shared" ref="T160" si="779">S160/1000</f>
        <v>-1.7372045783242934E-3</v>
      </c>
    </row>
    <row r="161" spans="1:20" x14ac:dyDescent="0.25">
      <c r="A161" s="5">
        <v>44423</v>
      </c>
      <c r="B161">
        <v>345.08</v>
      </c>
      <c r="C161">
        <v>367</v>
      </c>
      <c r="D161">
        <v>336</v>
      </c>
      <c r="E161">
        <v>351.17</v>
      </c>
      <c r="F161">
        <v>4193.0470800000003</v>
      </c>
      <c r="G161">
        <v>351.17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-2.1290322580644134E-2</v>
      </c>
      <c r="Q161">
        <f t="shared" ref="Q161" si="781">F161*P161</f>
        <v>-89.271324929027955</v>
      </c>
      <c r="R161">
        <f t="shared" ref="R161" si="782">R162+Q161</f>
        <v>-171723.19591930954</v>
      </c>
      <c r="S161">
        <f t="shared" ref="S161" si="783">R161/100000</f>
        <v>-1.7172319591930953</v>
      </c>
      <c r="T161">
        <f t="shared" ref="T161" si="784">S161/1000</f>
        <v>-1.7172319591930954E-3</v>
      </c>
    </row>
    <row r="162" spans="1:20" x14ac:dyDescent="0.25">
      <c r="A162" s="5">
        <v>44422</v>
      </c>
      <c r="B162">
        <v>350.83</v>
      </c>
      <c r="C162">
        <v>375</v>
      </c>
      <c r="D162">
        <v>337.6</v>
      </c>
      <c r="E162">
        <v>345.59</v>
      </c>
      <c r="F162">
        <v>4767.17868</v>
      </c>
      <c r="G162">
        <v>345.59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-0.57272727272727497</v>
      </c>
      <c r="Q162">
        <f t="shared" ref="Q162" si="786">F162*P162</f>
        <v>-2730.2932440000109</v>
      </c>
      <c r="R162">
        <f t="shared" ref="R162" si="787">R163+Q162</f>
        <v>-171633.92459438051</v>
      </c>
      <c r="S162">
        <f t="shared" ref="S162" si="788">R162/100000</f>
        <v>-1.7163392459438052</v>
      </c>
      <c r="T162">
        <f t="shared" ref="T162" si="789">S162/1000</f>
        <v>-1.7163392459438051E-3</v>
      </c>
    </row>
    <row r="163" spans="1:20" x14ac:dyDescent="0.25">
      <c r="A163" s="5">
        <v>44421</v>
      </c>
      <c r="B163">
        <v>327.92</v>
      </c>
      <c r="C163">
        <v>365</v>
      </c>
      <c r="D163">
        <v>316</v>
      </c>
      <c r="E163">
        <v>350.83</v>
      </c>
      <c r="F163">
        <v>8487.6682600000004</v>
      </c>
      <c r="G163">
        <v>350.83</v>
      </c>
      <c r="L163" t="s">
        <v>8</v>
      </c>
      <c r="M163" t="s">
        <v>8</v>
      </c>
      <c r="N163" t="s">
        <v>7</v>
      </c>
      <c r="P163">
        <f t="shared" ref="P163" si="790">IF(C163=D163,0,((E163-D163)-(C163-E163))/(C163-D163))</f>
        <v>0.42163265306122383</v>
      </c>
      <c r="Q163">
        <f t="shared" ref="Q163" si="791">F163*P163</f>
        <v>3578.6780867673415</v>
      </c>
      <c r="R163">
        <f t="shared" ref="R163" si="792">R164+Q163</f>
        <v>-168903.63135038051</v>
      </c>
      <c r="S163">
        <f t="shared" ref="S163" si="793">R163/100000</f>
        <v>-1.6890363135038051</v>
      </c>
      <c r="T163">
        <f t="shared" ref="T163" si="794">S163/1000</f>
        <v>-1.689036313503805E-3</v>
      </c>
    </row>
    <row r="164" spans="1:20" x14ac:dyDescent="0.25">
      <c r="A164" s="5">
        <v>44420</v>
      </c>
      <c r="B164">
        <v>283</v>
      </c>
      <c r="C164">
        <v>350.5</v>
      </c>
      <c r="D164">
        <v>269.27</v>
      </c>
      <c r="E164">
        <v>327.99</v>
      </c>
      <c r="F164">
        <v>15913.728300000001</v>
      </c>
      <c r="G164">
        <v>327.99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0.44577126677335993</v>
      </c>
      <c r="Q164">
        <f t="shared" ref="Q164" si="796">F164*P164</f>
        <v>7093.8828233780678</v>
      </c>
      <c r="R164">
        <f t="shared" ref="R164" si="797">R165+Q164</f>
        <v>-172482.30943714787</v>
      </c>
      <c r="S164">
        <f t="shared" ref="S164" si="798">R164/100000</f>
        <v>-1.7248230943714786</v>
      </c>
      <c r="T164">
        <f t="shared" ref="T164" si="799">S164/1000</f>
        <v>-1.7248230943714786E-3</v>
      </c>
    </row>
    <row r="165" spans="1:20" x14ac:dyDescent="0.25">
      <c r="A165" s="5">
        <v>44419</v>
      </c>
      <c r="B165">
        <v>298.99</v>
      </c>
      <c r="C165">
        <v>298.99</v>
      </c>
      <c r="D165">
        <v>278.45</v>
      </c>
      <c r="E165">
        <v>283.43</v>
      </c>
      <c r="F165">
        <v>2968.5388800000001</v>
      </c>
      <c r="G165">
        <v>283.43</v>
      </c>
      <c r="L165" t="s">
        <v>7</v>
      </c>
      <c r="M165" t="s">
        <v>8</v>
      </c>
      <c r="N165" t="s">
        <v>7</v>
      </c>
      <c r="P165">
        <f t="shared" ref="P165" si="800">IF(C165=D165,0,((E165-D165)-(C165-E165))/(C165-D165))</f>
        <v>-0.51509250243427329</v>
      </c>
      <c r="Q165">
        <f t="shared" ref="Q165" si="801">F165*P165</f>
        <v>-1529.0721202726349</v>
      </c>
      <c r="R165">
        <f t="shared" ref="R165" si="802">R166+Q165</f>
        <v>-179576.19226052595</v>
      </c>
      <c r="S165">
        <f t="shared" ref="S165" si="803">R165/100000</f>
        <v>-1.7957619226052595</v>
      </c>
      <c r="T165">
        <f t="shared" ref="T165" si="804">S165/1000</f>
        <v>-1.7957619226052594E-3</v>
      </c>
    </row>
    <row r="166" spans="1:20" x14ac:dyDescent="0.25">
      <c r="A166" s="5">
        <v>44418</v>
      </c>
      <c r="B166">
        <v>274.67</v>
      </c>
      <c r="C166">
        <v>303</v>
      </c>
      <c r="D166">
        <v>266.22000000000003</v>
      </c>
      <c r="E166">
        <v>299</v>
      </c>
      <c r="F166">
        <v>4070.85115</v>
      </c>
      <c r="G166">
        <v>299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0.78249048395867304</v>
      </c>
      <c r="Q166">
        <f t="shared" ref="Q166" si="806">F166*P166</f>
        <v>3185.4022864872209</v>
      </c>
      <c r="R166">
        <f t="shared" ref="R166" si="807">R167+Q166</f>
        <v>-178047.1201402533</v>
      </c>
      <c r="S166">
        <f t="shared" ref="S166" si="808">R166/100000</f>
        <v>-1.780471201402533</v>
      </c>
      <c r="T166">
        <f t="shared" ref="T166" si="809">S166/1000</f>
        <v>-1.7804712014025329E-3</v>
      </c>
    </row>
    <row r="167" spans="1:20" x14ac:dyDescent="0.25">
      <c r="A167" s="5">
        <v>44417</v>
      </c>
      <c r="B167">
        <v>266.76</v>
      </c>
      <c r="C167">
        <v>283.5</v>
      </c>
      <c r="D167">
        <v>252.21</v>
      </c>
      <c r="E167">
        <v>274.67</v>
      </c>
      <c r="F167">
        <v>3080.48893</v>
      </c>
      <c r="G167">
        <v>274.67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0.43560242889102035</v>
      </c>
      <c r="Q167">
        <f t="shared" ref="Q167" si="811">F167*P167</f>
        <v>1341.8684600799004</v>
      </c>
      <c r="R167">
        <f t="shared" ref="R167" si="812">R168+Q167</f>
        <v>-181232.52242674053</v>
      </c>
      <c r="S167">
        <f t="shared" ref="S167" si="813">R167/100000</f>
        <v>-1.8123252242674053</v>
      </c>
      <c r="T167">
        <f t="shared" ref="T167" si="814">S167/1000</f>
        <v>-1.8123252242674053E-3</v>
      </c>
    </row>
    <row r="168" spans="1:20" x14ac:dyDescent="0.25">
      <c r="A168" s="5">
        <v>44416</v>
      </c>
      <c r="B168">
        <v>270</v>
      </c>
      <c r="C168">
        <v>277.19</v>
      </c>
      <c r="D168">
        <v>260</v>
      </c>
      <c r="E168">
        <v>266.62</v>
      </c>
      <c r="F168">
        <v>1840.4127800000001</v>
      </c>
      <c r="G168">
        <v>266.62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-0.22978475858056946</v>
      </c>
      <c r="Q168">
        <f t="shared" ref="Q168" si="816">F168*P168</f>
        <v>-422.89880634089474</v>
      </c>
      <c r="R168">
        <f t="shared" ref="R168" si="817">R169+Q168</f>
        <v>-182574.39088682042</v>
      </c>
      <c r="S168">
        <f t="shared" ref="S168" si="818">R168/100000</f>
        <v>-1.8257439088682041</v>
      </c>
      <c r="T168">
        <f t="shared" ref="T168" si="819">S168/1000</f>
        <v>-1.8257439088682041E-3</v>
      </c>
    </row>
    <row r="169" spans="1:20" x14ac:dyDescent="0.25">
      <c r="A169" s="5">
        <v>44415</v>
      </c>
      <c r="B169">
        <v>273.11</v>
      </c>
      <c r="C169">
        <v>288.26</v>
      </c>
      <c r="D169">
        <v>268.99</v>
      </c>
      <c r="E169">
        <v>270</v>
      </c>
      <c r="F169">
        <v>3812.6575400000002</v>
      </c>
      <c r="G169">
        <v>270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-0.89517384535547573</v>
      </c>
      <c r="Q169">
        <f t="shared" ref="Q169" si="821">F169*P169</f>
        <v>-3412.9913111053488</v>
      </c>
      <c r="R169">
        <f t="shared" ref="R169" si="822">R170+Q169</f>
        <v>-182151.49208047951</v>
      </c>
      <c r="S169">
        <f t="shared" ref="S169" si="823">R169/100000</f>
        <v>-1.8215149208047952</v>
      </c>
      <c r="T169">
        <f t="shared" ref="T169" si="824">S169/1000</f>
        <v>-1.8215149208047952E-3</v>
      </c>
    </row>
    <row r="170" spans="1:20" x14ac:dyDescent="0.25">
      <c r="A170" s="5">
        <v>44414</v>
      </c>
      <c r="B170">
        <v>298.06</v>
      </c>
      <c r="C170">
        <v>313.7</v>
      </c>
      <c r="D170">
        <v>261.10000000000002</v>
      </c>
      <c r="E170">
        <v>273.2</v>
      </c>
      <c r="F170">
        <v>14509.83438</v>
      </c>
      <c r="G170">
        <v>273.2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-0.53992395437262453</v>
      </c>
      <c r="Q170">
        <f t="shared" ref="Q170" si="826">F170*P170</f>
        <v>-7834.2071557414592</v>
      </c>
      <c r="R170">
        <f t="shared" ref="R170" si="827">R171+Q170</f>
        <v>-178738.50076937416</v>
      </c>
      <c r="S170">
        <f t="shared" ref="S170" si="828">R170/100000</f>
        <v>-1.7873850076937416</v>
      </c>
      <c r="T170">
        <f t="shared" ref="T170" si="829">S170/1000</f>
        <v>-1.7873850076937418E-3</v>
      </c>
    </row>
    <row r="171" spans="1:20" x14ac:dyDescent="0.25">
      <c r="A171" s="5">
        <v>44413</v>
      </c>
      <c r="B171">
        <v>234.98</v>
      </c>
      <c r="C171">
        <v>371.59</v>
      </c>
      <c r="D171">
        <v>228</v>
      </c>
      <c r="E171">
        <v>296.36</v>
      </c>
      <c r="F171">
        <v>29183.252199999999</v>
      </c>
      <c r="G171">
        <v>296.36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-4.7844557420432823E-2</v>
      </c>
      <c r="Q171">
        <f t="shared" ref="Q171" si="831">F171*P171</f>
        <v>-1396.2597855978725</v>
      </c>
      <c r="R171">
        <f t="shared" ref="R171" si="832">R172+Q171</f>
        <v>-170904.2936136327</v>
      </c>
      <c r="S171">
        <f t="shared" ref="S171" si="833">R171/100000</f>
        <v>-1.7090429361363271</v>
      </c>
      <c r="T171">
        <f t="shared" ref="T171" si="834">S171/1000</f>
        <v>-1.7090429361363271E-3</v>
      </c>
    </row>
    <row r="172" spans="1:20" x14ac:dyDescent="0.25">
      <c r="A172" s="5">
        <v>44412</v>
      </c>
      <c r="B172">
        <v>224.76</v>
      </c>
      <c r="C172">
        <v>239.4</v>
      </c>
      <c r="D172">
        <v>222.01</v>
      </c>
      <c r="E172">
        <v>235.15</v>
      </c>
      <c r="F172">
        <v>1115.85176</v>
      </c>
      <c r="G172">
        <v>235.15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0.51121334100057547</v>
      </c>
      <c r="Q172">
        <f t="shared" ref="Q172" si="836">F172*P172</f>
        <v>570.43830629097226</v>
      </c>
      <c r="R172">
        <f t="shared" ref="R172" si="837">R173+Q172</f>
        <v>-169508.03382803482</v>
      </c>
      <c r="S172">
        <f t="shared" ref="S172" si="838">R172/100000</f>
        <v>-1.6950803382803483</v>
      </c>
      <c r="T172">
        <f t="shared" ref="T172" si="839">S172/1000</f>
        <v>-1.6950803382803482E-3</v>
      </c>
    </row>
    <row r="173" spans="1:20" x14ac:dyDescent="0.25">
      <c r="A173" s="5">
        <v>44411</v>
      </c>
      <c r="B173">
        <v>230.16</v>
      </c>
      <c r="C173">
        <v>240</v>
      </c>
      <c r="D173">
        <v>220.79</v>
      </c>
      <c r="E173">
        <v>224.84</v>
      </c>
      <c r="F173">
        <v>1350.59824</v>
      </c>
      <c r="G173">
        <v>224.84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-0.57834461218115463</v>
      </c>
      <c r="Q173">
        <f t="shared" ref="Q173" si="841">F173*P173</f>
        <v>-781.11121532535003</v>
      </c>
      <c r="R173">
        <f t="shared" ref="R173" si="842">R174+Q173</f>
        <v>-170078.4721343258</v>
      </c>
      <c r="S173">
        <f t="shared" ref="S173" si="843">R173/100000</f>
        <v>-1.7007847213432581</v>
      </c>
      <c r="T173">
        <f t="shared" ref="T173" si="844">S173/1000</f>
        <v>-1.700784721343258E-3</v>
      </c>
    </row>
    <row r="174" spans="1:20" x14ac:dyDescent="0.25">
      <c r="A174" s="5">
        <v>44410</v>
      </c>
      <c r="B174">
        <v>232.88</v>
      </c>
      <c r="C174">
        <v>239.49</v>
      </c>
      <c r="D174">
        <v>227.01</v>
      </c>
      <c r="E174">
        <v>230.09</v>
      </c>
      <c r="F174">
        <v>967.83285000000001</v>
      </c>
      <c r="G174">
        <v>230.09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-0.50641025641025517</v>
      </c>
      <c r="Q174">
        <f t="shared" ref="Q174" si="846">F174*P174</f>
        <v>-490.12048173076801</v>
      </c>
      <c r="R174">
        <f t="shared" ref="R174" si="847">R175+Q174</f>
        <v>-169297.36091900044</v>
      </c>
      <c r="S174">
        <f t="shared" ref="S174" si="848">R174/100000</f>
        <v>-1.6929736091900043</v>
      </c>
      <c r="T174">
        <f t="shared" ref="T174" si="849">S174/1000</f>
        <v>-1.6929736091900042E-3</v>
      </c>
    </row>
    <row r="175" spans="1:20" x14ac:dyDescent="0.25">
      <c r="A175" s="5">
        <v>44409</v>
      </c>
      <c r="B175">
        <v>242.51</v>
      </c>
      <c r="C175">
        <v>250.35</v>
      </c>
      <c r="D175">
        <v>232.6</v>
      </c>
      <c r="E175">
        <v>234</v>
      </c>
      <c r="F175">
        <v>1727.33853</v>
      </c>
      <c r="G175">
        <v>234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-0.84225352112675989</v>
      </c>
      <c r="Q175">
        <f t="shared" ref="Q175" si="851">F175*P175</f>
        <v>-1454.8569590704215</v>
      </c>
      <c r="R175">
        <f t="shared" ref="R175" si="852">R176+Q175</f>
        <v>-168807.24043726968</v>
      </c>
      <c r="S175">
        <f t="shared" ref="S175" si="853">R175/100000</f>
        <v>-1.6880724043726967</v>
      </c>
      <c r="T175">
        <f t="shared" ref="T175" si="854">S175/1000</f>
        <v>-1.6880724043726967E-3</v>
      </c>
    </row>
    <row r="176" spans="1:20" x14ac:dyDescent="0.25">
      <c r="A176" s="5">
        <v>44408</v>
      </c>
      <c r="B176">
        <v>235.55</v>
      </c>
      <c r="C176">
        <v>255</v>
      </c>
      <c r="D176">
        <v>233</v>
      </c>
      <c r="E176">
        <v>242.51</v>
      </c>
      <c r="F176">
        <v>2319.6873000000001</v>
      </c>
      <c r="G176">
        <v>242.51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-0.13545454545454627</v>
      </c>
      <c r="Q176">
        <f t="shared" ref="Q176" si="856">F176*P176</f>
        <v>-314.21218881818373</v>
      </c>
      <c r="R176">
        <f t="shared" ref="R176" si="857">R177+Q176</f>
        <v>-167352.38347819925</v>
      </c>
      <c r="S176">
        <f t="shared" ref="S176" si="858">R176/100000</f>
        <v>-1.6735238347819925</v>
      </c>
      <c r="T176">
        <f t="shared" ref="T176" si="859">S176/1000</f>
        <v>-1.6735238347819926E-3</v>
      </c>
    </row>
    <row r="177" spans="1:20" x14ac:dyDescent="0.25">
      <c r="A177" s="5">
        <v>44407</v>
      </c>
      <c r="B177">
        <v>232.88</v>
      </c>
      <c r="C177">
        <v>236.99</v>
      </c>
      <c r="D177">
        <v>220.31</v>
      </c>
      <c r="E177">
        <v>235.55</v>
      </c>
      <c r="F177">
        <v>1958.7166500000001</v>
      </c>
      <c r="G177">
        <v>235.55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0.82733812949640317</v>
      </c>
      <c r="Q177">
        <f t="shared" ref="Q177" si="861">F177*P177</f>
        <v>1620.5209694244611</v>
      </c>
      <c r="R177">
        <f t="shared" ref="R177" si="862">R178+Q177</f>
        <v>-167038.17128938108</v>
      </c>
      <c r="S177">
        <f t="shared" ref="S177" si="863">R177/100000</f>
        <v>-1.6703817128938108</v>
      </c>
      <c r="T177">
        <f t="shared" ref="T177" si="864">S177/1000</f>
        <v>-1.6703817128938107E-3</v>
      </c>
    </row>
    <row r="178" spans="1:20" x14ac:dyDescent="0.25">
      <c r="A178" s="5">
        <v>44406</v>
      </c>
      <c r="B178">
        <v>233.99</v>
      </c>
      <c r="C178">
        <v>237</v>
      </c>
      <c r="D178">
        <v>227.19</v>
      </c>
      <c r="E178">
        <v>232.88</v>
      </c>
      <c r="F178">
        <v>1161.48498</v>
      </c>
      <c r="G178">
        <v>232.88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0.16004077471967307</v>
      </c>
      <c r="Q178">
        <f t="shared" ref="Q178" si="866">F178*P178</f>
        <v>185.88495602446397</v>
      </c>
      <c r="R178">
        <f t="shared" ref="R178" si="867">R179+Q178</f>
        <v>-168658.69225880553</v>
      </c>
      <c r="S178">
        <f t="shared" ref="S178" si="868">R178/100000</f>
        <v>-1.6865869225880552</v>
      </c>
      <c r="T178">
        <f t="shared" ref="T178" si="869">S178/1000</f>
        <v>-1.6865869225880551E-3</v>
      </c>
    </row>
    <row r="179" spans="1:20" x14ac:dyDescent="0.25">
      <c r="A179" s="5">
        <v>44405</v>
      </c>
      <c r="B179">
        <v>235.89</v>
      </c>
      <c r="C179">
        <v>240</v>
      </c>
      <c r="D179">
        <v>230</v>
      </c>
      <c r="E179">
        <v>232.86</v>
      </c>
      <c r="F179">
        <v>1662.5120099999999</v>
      </c>
      <c r="G179">
        <v>232.86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-0.42799999999999727</v>
      </c>
      <c r="Q179">
        <f t="shared" ref="Q179" si="871">F179*P179</f>
        <v>-711.55514027999538</v>
      </c>
      <c r="R179">
        <f t="shared" ref="R179" si="872">R180+Q179</f>
        <v>-168844.57721483</v>
      </c>
      <c r="S179">
        <f t="shared" ref="S179" si="873">R179/100000</f>
        <v>-1.6884457721482999</v>
      </c>
      <c r="T179">
        <f t="shared" ref="T179" si="874">S179/1000</f>
        <v>-1.6884457721482999E-3</v>
      </c>
    </row>
    <row r="180" spans="1:20" x14ac:dyDescent="0.25">
      <c r="A180" s="5">
        <v>44404</v>
      </c>
      <c r="B180">
        <v>232.65</v>
      </c>
      <c r="C180">
        <v>247</v>
      </c>
      <c r="D180">
        <v>225</v>
      </c>
      <c r="E180">
        <v>235.87</v>
      </c>
      <c r="F180">
        <v>3094.2737000000002</v>
      </c>
      <c r="G180">
        <v>235.87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-1.1818181818181405E-2</v>
      </c>
      <c r="Q180">
        <f t="shared" ref="Q180" si="876">F180*P180</f>
        <v>-36.568689181816907</v>
      </c>
      <c r="R180">
        <f t="shared" ref="R180" si="877">R181+Q180</f>
        <v>-168133.02207455001</v>
      </c>
      <c r="S180">
        <f t="shared" ref="S180" si="878">R180/100000</f>
        <v>-1.6813302207455001</v>
      </c>
      <c r="T180">
        <f t="shared" ref="T180" si="879">S180/1000</f>
        <v>-1.6813302207455002E-3</v>
      </c>
    </row>
    <row r="181" spans="1:20" x14ac:dyDescent="0.25">
      <c r="A181" s="5">
        <v>44403</v>
      </c>
      <c r="B181">
        <v>238.78</v>
      </c>
      <c r="C181">
        <v>286.89</v>
      </c>
      <c r="D181">
        <v>229.42</v>
      </c>
      <c r="E181">
        <v>233.36</v>
      </c>
      <c r="F181">
        <v>7830.5930500000004</v>
      </c>
      <c r="G181">
        <v>233.36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-0.86288498346963538</v>
      </c>
      <c r="Q181">
        <f t="shared" ref="Q181" si="881">F181*P181</f>
        <v>-6756.9011545066924</v>
      </c>
      <c r="R181">
        <f t="shared" ref="R181" si="882">R182+Q181</f>
        <v>-168096.45338536819</v>
      </c>
      <c r="S181">
        <f t="shared" ref="S181" si="883">R181/100000</f>
        <v>-1.6809645338536818</v>
      </c>
      <c r="T181">
        <f t="shared" ref="T181" si="884">S181/1000</f>
        <v>-1.6809645338536818E-3</v>
      </c>
    </row>
    <row r="182" spans="1:20" x14ac:dyDescent="0.25">
      <c r="A182" s="5">
        <v>44402</v>
      </c>
      <c r="B182">
        <v>220.83</v>
      </c>
      <c r="C182">
        <v>260</v>
      </c>
      <c r="D182">
        <v>217</v>
      </c>
      <c r="E182">
        <v>238.77</v>
      </c>
      <c r="F182">
        <v>6767.4384200000004</v>
      </c>
      <c r="G182">
        <v>238.77</v>
      </c>
      <c r="L182" t="s">
        <v>8</v>
      </c>
      <c r="M182" t="s">
        <v>8</v>
      </c>
      <c r="N182" t="s">
        <v>7</v>
      </c>
      <c r="P182">
        <f t="shared" ref="P182" si="885">IF(C182=D182,0,((E182-D182)-(C182-E182))/(C182-D182))</f>
        <v>1.2558139534884197E-2</v>
      </c>
      <c r="Q182">
        <f t="shared" ref="Q182" si="886">F182*P182</f>
        <v>84.986435972096245</v>
      </c>
      <c r="R182">
        <f t="shared" ref="R182" si="887">R183+Q182</f>
        <v>-161339.5522308615</v>
      </c>
      <c r="S182">
        <f t="shared" ref="S182" si="888">R182/100000</f>
        <v>-1.6133955223086149</v>
      </c>
      <c r="T182">
        <f t="shared" ref="T182:T188" si="889">S182/1000</f>
        <v>-1.6133955223086149E-3</v>
      </c>
    </row>
    <row r="183" spans="1:20" x14ac:dyDescent="0.25">
      <c r="A183" s="5">
        <v>44401</v>
      </c>
      <c r="B183">
        <v>218.29</v>
      </c>
      <c r="C183">
        <v>245</v>
      </c>
      <c r="D183">
        <v>206.25</v>
      </c>
      <c r="E183">
        <v>221.06</v>
      </c>
      <c r="F183">
        <v>13998.87053</v>
      </c>
      <c r="G183">
        <v>221.06</v>
      </c>
      <c r="L183" t="s">
        <v>7</v>
      </c>
      <c r="M183" t="s">
        <v>7</v>
      </c>
      <c r="N183" t="s">
        <v>7</v>
      </c>
      <c r="P183">
        <f t="shared" ref="P183" si="890">IF(C183=D183,0,((E183-D183)-(C183-E183))/(C183-D183))</f>
        <v>-0.23561290322580633</v>
      </c>
      <c r="Q183">
        <f t="shared" ref="Q183" si="891">F183*P183</f>
        <v>-3298.3145274554822</v>
      </c>
      <c r="R183">
        <f t="shared" ref="R183" si="892">R184+Q183</f>
        <v>-161424.5386668336</v>
      </c>
      <c r="S183">
        <f t="shared" ref="S183" si="893">R183/100000</f>
        <v>-1.6142453866683359</v>
      </c>
      <c r="T183">
        <f t="shared" si="889"/>
        <v>-1.6142453866683359E-3</v>
      </c>
    </row>
    <row r="184" spans="1:20" x14ac:dyDescent="0.25">
      <c r="A184" s="5">
        <v>44400</v>
      </c>
      <c r="B184">
        <v>183.11</v>
      </c>
      <c r="C184">
        <v>285.77999999999997</v>
      </c>
      <c r="D184">
        <v>180</v>
      </c>
      <c r="E184">
        <v>217.3</v>
      </c>
      <c r="F184">
        <v>25172.761429999999</v>
      </c>
      <c r="G184">
        <v>217.3</v>
      </c>
      <c r="L184" t="s">
        <v>8</v>
      </c>
      <c r="M184" t="s">
        <v>8</v>
      </c>
      <c r="N184" t="s">
        <v>8</v>
      </c>
      <c r="P184">
        <f t="shared" ref="P184" si="894">IF(C184=D184,0,((E184-D184)-(C184-E184))/(C184-D184))</f>
        <v>-0.29476271506901075</v>
      </c>
      <c r="Q184">
        <f t="shared" ref="Q184" si="895">F184*P184</f>
        <v>-7419.9915048912735</v>
      </c>
      <c r="R184">
        <f t="shared" ref="R184" si="896">R185+Q184</f>
        <v>-158126.22413937812</v>
      </c>
      <c r="S184">
        <f t="shared" ref="S184" si="897">R184/100000</f>
        <v>-1.5812622413937811</v>
      </c>
      <c r="T184">
        <f t="shared" si="889"/>
        <v>-1.5812622413937812E-3</v>
      </c>
    </row>
    <row r="185" spans="1:20" x14ac:dyDescent="0.25">
      <c r="A185" s="5">
        <v>44399</v>
      </c>
      <c r="B185">
        <v>186</v>
      </c>
      <c r="C185">
        <v>192</v>
      </c>
      <c r="D185">
        <v>178.01</v>
      </c>
      <c r="E185">
        <v>183.1</v>
      </c>
      <c r="F185">
        <v>2382.57881</v>
      </c>
      <c r="G185">
        <v>183.1</v>
      </c>
      <c r="L185" t="s">
        <v>7</v>
      </c>
      <c r="M185" t="s">
        <v>8</v>
      </c>
      <c r="N185" t="s">
        <v>7</v>
      </c>
      <c r="P185">
        <f t="shared" ref="P185" si="898">IF(C185=D185,0,((E185-D185)-(C185-E185))/(C185-D185))</f>
        <v>-0.27233738384560396</v>
      </c>
      <c r="Q185">
        <f t="shared" ref="Q185" si="899">F185*P185</f>
        <v>-648.86527992137235</v>
      </c>
      <c r="R185">
        <f t="shared" ref="R185" si="900">R186+Q185</f>
        <v>-150706.23263448683</v>
      </c>
      <c r="S185">
        <f t="shared" ref="S185" si="901">R185/100000</f>
        <v>-1.5070623263448684</v>
      </c>
      <c r="T185">
        <f t="shared" si="889"/>
        <v>-1.5070623263448684E-3</v>
      </c>
    </row>
    <row r="186" spans="1:20" x14ac:dyDescent="0.25">
      <c r="A186" s="5">
        <v>44398</v>
      </c>
      <c r="B186">
        <v>170.28</v>
      </c>
      <c r="C186">
        <v>197.99</v>
      </c>
      <c r="D186">
        <v>166.69</v>
      </c>
      <c r="E186">
        <v>186.36</v>
      </c>
      <c r="F186">
        <v>4477.2502400000003</v>
      </c>
      <c r="G186">
        <v>186.36</v>
      </c>
      <c r="L186" t="s">
        <v>8</v>
      </c>
      <c r="M186" t="s">
        <v>8</v>
      </c>
      <c r="N186" t="s">
        <v>7</v>
      </c>
      <c r="P186">
        <f t="shared" ref="P186" si="902">IF(C186=D186,0,((E186-D186)-(C186-E186))/(C186-D186))</f>
        <v>0.25686900958466508</v>
      </c>
      <c r="Q186">
        <f t="shared" ref="Q186" si="903">F186*P186</f>
        <v>1150.0668348115041</v>
      </c>
      <c r="R186">
        <f t="shared" ref="R186" si="904">R187+Q186</f>
        <v>-150057.36735456547</v>
      </c>
      <c r="S186">
        <f t="shared" ref="S186" si="905">R186/100000</f>
        <v>-1.5005736735456547</v>
      </c>
      <c r="T186">
        <f t="shared" si="889"/>
        <v>-1.5005736735456546E-3</v>
      </c>
    </row>
    <row r="187" spans="1:20" x14ac:dyDescent="0.25">
      <c r="A187" s="5">
        <v>44397</v>
      </c>
      <c r="B187">
        <v>186.83</v>
      </c>
      <c r="C187">
        <v>189.7</v>
      </c>
      <c r="D187">
        <v>166.7</v>
      </c>
      <c r="E187">
        <v>169.13</v>
      </c>
      <c r="F187">
        <v>2430.3110700000002</v>
      </c>
      <c r="G187">
        <v>169.13</v>
      </c>
      <c r="L187" t="s">
        <v>7</v>
      </c>
      <c r="M187" t="s">
        <v>7</v>
      </c>
      <c r="N187" t="s">
        <v>7</v>
      </c>
      <c r="P187">
        <f t="shared" ref="P187" si="906">IF(C187=D187,0,((E187-D187)-(C187-E187))/(C187-D187))</f>
        <v>-0.78869565217391246</v>
      </c>
      <c r="Q187">
        <f t="shared" ref="Q187" si="907">F187*P187</f>
        <v>-1916.7757743391292</v>
      </c>
      <c r="R187">
        <f t="shared" ref="R187" si="908">R188+Q187</f>
        <v>-151207.43418937697</v>
      </c>
      <c r="S187">
        <f t="shared" ref="S187" si="909">R187/100000</f>
        <v>-1.5120743418937697</v>
      </c>
      <c r="T187">
        <f t="shared" si="889"/>
        <v>-1.5120743418937696E-3</v>
      </c>
    </row>
    <row r="188" spans="1:20" x14ac:dyDescent="0.25">
      <c r="A188" s="5">
        <v>44396</v>
      </c>
      <c r="B188">
        <v>224.93</v>
      </c>
      <c r="C188">
        <v>238.79</v>
      </c>
      <c r="D188">
        <v>175</v>
      </c>
      <c r="E188">
        <v>186.81</v>
      </c>
      <c r="F188">
        <v>10488.458559999999</v>
      </c>
      <c r="G188">
        <v>0</v>
      </c>
      <c r="L188" t="s">
        <v>7</v>
      </c>
      <c r="M188" t="s">
        <v>7</v>
      </c>
      <c r="N188" t="s">
        <v>7</v>
      </c>
      <c r="P188">
        <f t="shared" ref="P188" si="910">IF(C188=D188,0,((E188-D188)-(C188-E188))/(C188-D188))</f>
        <v>-0.62972252704185594</v>
      </c>
      <c r="Q188">
        <f t="shared" ref="Q188" si="911">F188*P188</f>
        <v>-6604.8186291769853</v>
      </c>
      <c r="R188">
        <f t="shared" ref="R188" si="912">R189+Q188</f>
        <v>-149290.65841503785</v>
      </c>
      <c r="S188">
        <f t="shared" ref="S188" si="913">R188/100000</f>
        <v>-1.4929065841503786</v>
      </c>
      <c r="T188">
        <f t="shared" si="889"/>
        <v>-1.4929065841503787E-3</v>
      </c>
    </row>
    <row r="189" spans="1:20" x14ac:dyDescent="0.25">
      <c r="A189" s="5">
        <v>44395</v>
      </c>
      <c r="B189">
        <v>168.93</v>
      </c>
      <c r="C189">
        <v>295.06</v>
      </c>
      <c r="D189">
        <v>168.93</v>
      </c>
      <c r="E189">
        <v>225.9</v>
      </c>
      <c r="F189">
        <v>43819.587059999998</v>
      </c>
      <c r="G189">
        <v>0</v>
      </c>
      <c r="L189" t="s">
        <v>8</v>
      </c>
      <c r="M189" t="s">
        <v>8</v>
      </c>
      <c r="N189" t="s">
        <v>8</v>
      </c>
      <c r="P189">
        <f t="shared" ref="P189:P252" si="914">IF(C189=D189,0,((E189-D189)-(C189-E189))/(C189-D189))</f>
        <v>-9.6646317291683173E-2</v>
      </c>
      <c r="Q189">
        <f t="shared" ref="Q189:Q252" si="915">F189*P189</f>
        <v>-4235.0017145912943</v>
      </c>
      <c r="R189">
        <f t="shared" ref="R189:R252" si="916">R190+Q189</f>
        <v>-142685.83978586085</v>
      </c>
      <c r="S189">
        <f t="shared" ref="S189:S252" si="917">R189/100000</f>
        <v>-1.4268583978586085</v>
      </c>
      <c r="T189">
        <f t="shared" ref="T189:T252" si="918">S189/1000</f>
        <v>-1.4268583978586085E-3</v>
      </c>
    </row>
    <row r="190" spans="1:20" x14ac:dyDescent="0.25">
      <c r="A190" s="5">
        <v>44394</v>
      </c>
      <c r="B190">
        <v>166.87</v>
      </c>
      <c r="C190">
        <v>171.99</v>
      </c>
      <c r="D190">
        <v>164</v>
      </c>
      <c r="E190">
        <v>168.96</v>
      </c>
      <c r="F190">
        <v>210.70386999999999</v>
      </c>
      <c r="G190">
        <v>0</v>
      </c>
      <c r="L190" t="s">
        <v>7</v>
      </c>
      <c r="M190" t="s">
        <v>7</v>
      </c>
      <c r="N190" t="s">
        <v>8</v>
      </c>
      <c r="P190">
        <f t="shared" si="914"/>
        <v>0.2415519399249067</v>
      </c>
      <c r="Q190">
        <f t="shared" si="915"/>
        <v>50.895928548185353</v>
      </c>
      <c r="R190">
        <f t="shared" si="916"/>
        <v>-138450.83807126957</v>
      </c>
      <c r="S190">
        <f t="shared" si="917"/>
        <v>-1.3845083807126957</v>
      </c>
      <c r="T190">
        <f t="shared" si="918"/>
        <v>-1.3845083807126957E-3</v>
      </c>
    </row>
    <row r="191" spans="1:20" x14ac:dyDescent="0.25">
      <c r="A191" s="5">
        <v>44393</v>
      </c>
      <c r="B191">
        <v>179.49</v>
      </c>
      <c r="C191">
        <v>179.67</v>
      </c>
      <c r="D191">
        <v>163.19999999999999</v>
      </c>
      <c r="E191">
        <v>166.87</v>
      </c>
      <c r="F191">
        <v>859.59757999999999</v>
      </c>
      <c r="G191">
        <v>0</v>
      </c>
      <c r="L191" t="s">
        <v>7</v>
      </c>
      <c r="M191" t="s">
        <v>7</v>
      </c>
      <c r="N191" t="s">
        <v>8</v>
      </c>
      <c r="P191">
        <f t="shared" si="914"/>
        <v>-0.55434122647237205</v>
      </c>
      <c r="Q191">
        <f t="shared" si="915"/>
        <v>-476.51037676988295</v>
      </c>
      <c r="R191">
        <f t="shared" si="916"/>
        <v>-138501.73399981775</v>
      </c>
      <c r="S191">
        <f t="shared" si="917"/>
        <v>-1.3850173399981776</v>
      </c>
      <c r="T191">
        <f t="shared" si="918"/>
        <v>-1.3850173399981775E-3</v>
      </c>
    </row>
    <row r="192" spans="1:20" x14ac:dyDescent="0.25">
      <c r="A192" s="5">
        <v>44392</v>
      </c>
      <c r="B192">
        <v>178.37</v>
      </c>
      <c r="C192">
        <v>184.6</v>
      </c>
      <c r="D192">
        <v>173.43</v>
      </c>
      <c r="E192">
        <v>179.49</v>
      </c>
      <c r="F192">
        <v>729.47513000000004</v>
      </c>
      <c r="G192">
        <v>0</v>
      </c>
      <c r="L192" t="s">
        <v>8</v>
      </c>
      <c r="M192" t="s">
        <v>7</v>
      </c>
      <c r="N192" t="s">
        <v>8</v>
      </c>
      <c r="P192">
        <f t="shared" si="914"/>
        <v>8.5049239033126056E-2</v>
      </c>
      <c r="Q192">
        <f t="shared" si="915"/>
        <v>62.041304700090706</v>
      </c>
      <c r="R192">
        <f t="shared" si="916"/>
        <v>-138025.22362304787</v>
      </c>
      <c r="S192">
        <f t="shared" si="917"/>
        <v>-1.3802522362304788</v>
      </c>
      <c r="T192">
        <f t="shared" si="918"/>
        <v>-1.3802522362304788E-3</v>
      </c>
    </row>
    <row r="193" spans="1:20" x14ac:dyDescent="0.25">
      <c r="A193" s="5">
        <v>44391</v>
      </c>
      <c r="B193">
        <v>180.16</v>
      </c>
      <c r="C193">
        <v>183.99</v>
      </c>
      <c r="D193">
        <v>170</v>
      </c>
      <c r="E193">
        <v>177</v>
      </c>
      <c r="F193">
        <v>611.26197999999999</v>
      </c>
      <c r="G193">
        <v>0</v>
      </c>
      <c r="L193" t="s">
        <v>8</v>
      </c>
      <c r="M193" t="s">
        <v>7</v>
      </c>
      <c r="N193" t="s">
        <v>8</v>
      </c>
      <c r="P193">
        <f t="shared" si="914"/>
        <v>7.1479628305867748E-4</v>
      </c>
      <c r="Q193">
        <f t="shared" si="915"/>
        <v>0.43692779127908765</v>
      </c>
      <c r="R193">
        <f t="shared" si="916"/>
        <v>-138087.26492774795</v>
      </c>
      <c r="S193">
        <f t="shared" si="917"/>
        <v>-1.3808726492774794</v>
      </c>
      <c r="T193">
        <f t="shared" si="918"/>
        <v>-1.3808726492774794E-3</v>
      </c>
    </row>
    <row r="194" spans="1:20" x14ac:dyDescent="0.25">
      <c r="A194" s="5">
        <v>44390</v>
      </c>
      <c r="B194">
        <v>181.79</v>
      </c>
      <c r="C194">
        <v>194.89</v>
      </c>
      <c r="D194">
        <v>172.01</v>
      </c>
      <c r="E194">
        <v>180.16</v>
      </c>
      <c r="F194">
        <v>965.46258</v>
      </c>
      <c r="G194">
        <v>0</v>
      </c>
      <c r="L194" t="s">
        <v>7</v>
      </c>
      <c r="M194" t="s">
        <v>7</v>
      </c>
      <c r="N194" t="s">
        <v>8</v>
      </c>
      <c r="P194">
        <f t="shared" si="914"/>
        <v>-0.28758741258741194</v>
      </c>
      <c r="Q194">
        <f t="shared" si="915"/>
        <v>-277.65488533216723</v>
      </c>
      <c r="R194">
        <f t="shared" si="916"/>
        <v>-138087.70185553923</v>
      </c>
      <c r="S194">
        <f t="shared" si="917"/>
        <v>-1.3808770185553922</v>
      </c>
      <c r="T194">
        <f t="shared" si="918"/>
        <v>-1.3808770185553922E-3</v>
      </c>
    </row>
    <row r="195" spans="1:20" x14ac:dyDescent="0.25">
      <c r="A195" s="5">
        <v>44389</v>
      </c>
      <c r="B195">
        <v>181.47</v>
      </c>
      <c r="C195">
        <v>185.99</v>
      </c>
      <c r="D195">
        <v>173.5</v>
      </c>
      <c r="E195">
        <v>182.7</v>
      </c>
      <c r="F195">
        <v>567.44653000000005</v>
      </c>
      <c r="G195">
        <v>0</v>
      </c>
      <c r="L195" t="s">
        <v>7</v>
      </c>
      <c r="M195" t="s">
        <v>7</v>
      </c>
      <c r="N195" t="s">
        <v>8</v>
      </c>
      <c r="P195">
        <f t="shared" si="914"/>
        <v>0.47317854283426453</v>
      </c>
      <c r="Q195">
        <f t="shared" si="915"/>
        <v>268.50352220175978</v>
      </c>
      <c r="R195">
        <f t="shared" si="916"/>
        <v>-137810.04697020707</v>
      </c>
      <c r="S195">
        <f t="shared" si="917"/>
        <v>-1.3781004697020707</v>
      </c>
      <c r="T195">
        <f t="shared" si="918"/>
        <v>-1.3781004697020706E-3</v>
      </c>
    </row>
    <row r="196" spans="1:20" x14ac:dyDescent="0.25">
      <c r="A196" s="5">
        <v>44388</v>
      </c>
      <c r="B196">
        <v>174.85</v>
      </c>
      <c r="C196">
        <v>188.32</v>
      </c>
      <c r="D196">
        <v>172.62</v>
      </c>
      <c r="E196">
        <v>181.54</v>
      </c>
      <c r="F196">
        <v>459.38828999999998</v>
      </c>
      <c r="G196">
        <v>0</v>
      </c>
      <c r="L196" t="s">
        <v>8</v>
      </c>
      <c r="M196" t="s">
        <v>7</v>
      </c>
      <c r="N196" t="s">
        <v>8</v>
      </c>
      <c r="P196">
        <f t="shared" si="914"/>
        <v>0.13630573248407565</v>
      </c>
      <c r="Q196">
        <f t="shared" si="915"/>
        <v>62.617257363056964</v>
      </c>
      <c r="R196">
        <f t="shared" si="916"/>
        <v>-138078.55049240883</v>
      </c>
      <c r="S196">
        <f t="shared" si="917"/>
        <v>-1.3807855049240882</v>
      </c>
      <c r="T196">
        <f t="shared" si="918"/>
        <v>-1.3807855049240883E-3</v>
      </c>
    </row>
    <row r="197" spans="1:20" x14ac:dyDescent="0.25">
      <c r="A197" s="5">
        <v>44387</v>
      </c>
      <c r="B197">
        <v>183.76</v>
      </c>
      <c r="C197">
        <v>184.71</v>
      </c>
      <c r="D197">
        <v>172.14</v>
      </c>
      <c r="E197">
        <v>174.66</v>
      </c>
      <c r="F197">
        <v>372.96100999999999</v>
      </c>
      <c r="G197">
        <v>0</v>
      </c>
      <c r="L197" t="s">
        <v>7</v>
      </c>
      <c r="M197" t="s">
        <v>7</v>
      </c>
      <c r="N197" t="s">
        <v>8</v>
      </c>
      <c r="P197">
        <f t="shared" si="914"/>
        <v>-0.59904534606205162</v>
      </c>
      <c r="Q197">
        <f t="shared" si="915"/>
        <v>-223.4205573031023</v>
      </c>
      <c r="R197">
        <f t="shared" si="916"/>
        <v>-138141.16774977188</v>
      </c>
      <c r="S197">
        <f t="shared" si="917"/>
        <v>-1.3814116774977188</v>
      </c>
      <c r="T197">
        <f t="shared" si="918"/>
        <v>-1.3814116774977187E-3</v>
      </c>
    </row>
    <row r="198" spans="1:20" x14ac:dyDescent="0.25">
      <c r="A198" s="5">
        <v>44386</v>
      </c>
      <c r="B198">
        <v>178.39</v>
      </c>
      <c r="C198">
        <v>205.83</v>
      </c>
      <c r="D198">
        <v>171.28</v>
      </c>
      <c r="E198">
        <v>183.65</v>
      </c>
      <c r="F198">
        <v>550.56704999999999</v>
      </c>
      <c r="G198">
        <v>0</v>
      </c>
      <c r="L198" t="s">
        <v>8</v>
      </c>
      <c r="M198" t="s">
        <v>8</v>
      </c>
      <c r="N198" t="s">
        <v>8</v>
      </c>
      <c r="P198">
        <f t="shared" si="914"/>
        <v>-0.28393632416787262</v>
      </c>
      <c r="Q198">
        <f t="shared" si="915"/>
        <v>-156.32598438494932</v>
      </c>
      <c r="R198">
        <f t="shared" si="916"/>
        <v>-137917.74719246879</v>
      </c>
      <c r="S198">
        <f t="shared" si="917"/>
        <v>-1.3791774719246879</v>
      </c>
      <c r="T198">
        <f t="shared" si="918"/>
        <v>-1.3791774719246878E-3</v>
      </c>
    </row>
    <row r="199" spans="1:20" x14ac:dyDescent="0.25">
      <c r="A199" s="5">
        <v>44385</v>
      </c>
      <c r="B199">
        <v>200.31</v>
      </c>
      <c r="C199">
        <v>200.72</v>
      </c>
      <c r="D199">
        <v>171.69</v>
      </c>
      <c r="E199">
        <v>176.97</v>
      </c>
      <c r="F199">
        <v>1201.87618</v>
      </c>
      <c r="G199">
        <v>0</v>
      </c>
      <c r="L199" t="s">
        <v>7</v>
      </c>
      <c r="M199" t="s">
        <v>7</v>
      </c>
      <c r="N199" t="s">
        <v>8</v>
      </c>
      <c r="P199">
        <f t="shared" si="914"/>
        <v>-0.63623837409576289</v>
      </c>
      <c r="Q199">
        <f t="shared" si="915"/>
        <v>-764.6797466276264</v>
      </c>
      <c r="R199">
        <f t="shared" si="916"/>
        <v>-137761.42120808383</v>
      </c>
      <c r="S199">
        <f t="shared" si="917"/>
        <v>-1.3776142120808383</v>
      </c>
      <c r="T199">
        <f t="shared" si="918"/>
        <v>-1.3776142120808384E-3</v>
      </c>
    </row>
    <row r="200" spans="1:20" x14ac:dyDescent="0.25">
      <c r="A200" s="5">
        <v>44384</v>
      </c>
      <c r="B200">
        <v>187.26</v>
      </c>
      <c r="C200">
        <v>215</v>
      </c>
      <c r="D200">
        <v>182.53</v>
      </c>
      <c r="E200">
        <v>200.34</v>
      </c>
      <c r="F200">
        <v>1662.5552399999999</v>
      </c>
      <c r="G200">
        <v>0</v>
      </c>
      <c r="L200" t="s">
        <v>8</v>
      </c>
      <c r="M200" t="s">
        <v>8</v>
      </c>
      <c r="N200" t="s">
        <v>8</v>
      </c>
      <c r="P200">
        <f t="shared" si="914"/>
        <v>9.7012627040345106E-2</v>
      </c>
      <c r="Q200">
        <f t="shared" si="915"/>
        <v>161.28885143209143</v>
      </c>
      <c r="R200">
        <f t="shared" si="916"/>
        <v>-136996.7414614562</v>
      </c>
      <c r="S200">
        <f t="shared" si="917"/>
        <v>-1.369967414614562</v>
      </c>
      <c r="T200">
        <f t="shared" si="918"/>
        <v>-1.369967414614562E-3</v>
      </c>
    </row>
    <row r="201" spans="1:20" x14ac:dyDescent="0.25">
      <c r="A201" s="5">
        <v>44383</v>
      </c>
      <c r="B201">
        <v>175.19</v>
      </c>
      <c r="C201">
        <v>190.54</v>
      </c>
      <c r="D201">
        <v>175.16</v>
      </c>
      <c r="E201">
        <v>187.66</v>
      </c>
      <c r="F201">
        <v>1299.92579</v>
      </c>
      <c r="G201">
        <v>0</v>
      </c>
      <c r="L201" t="s">
        <v>8</v>
      </c>
      <c r="M201" t="s">
        <v>8</v>
      </c>
      <c r="N201" t="s">
        <v>7</v>
      </c>
      <c r="P201">
        <f t="shared" si="914"/>
        <v>0.62548764629388864</v>
      </c>
      <c r="Q201">
        <f t="shared" si="915"/>
        <v>813.0875227438238</v>
      </c>
      <c r="R201">
        <f t="shared" si="916"/>
        <v>-137158.0303128883</v>
      </c>
      <c r="S201">
        <f t="shared" si="917"/>
        <v>-1.3715803031288829</v>
      </c>
      <c r="T201">
        <f t="shared" si="918"/>
        <v>-1.371580303128883E-3</v>
      </c>
    </row>
    <row r="202" spans="1:20" x14ac:dyDescent="0.25">
      <c r="A202" s="5">
        <v>44382</v>
      </c>
      <c r="B202">
        <v>178</v>
      </c>
      <c r="C202">
        <v>180</v>
      </c>
      <c r="D202">
        <v>165.45</v>
      </c>
      <c r="E202">
        <v>175.21</v>
      </c>
      <c r="F202">
        <v>1061.0190399999999</v>
      </c>
      <c r="G202">
        <v>0</v>
      </c>
      <c r="L202" t="s">
        <v>7</v>
      </c>
      <c r="M202" t="s">
        <v>7</v>
      </c>
      <c r="N202" t="s">
        <v>7</v>
      </c>
      <c r="P202">
        <f t="shared" si="914"/>
        <v>0.34158075601374732</v>
      </c>
      <c r="Q202">
        <f t="shared" si="915"/>
        <v>362.4236858281804</v>
      </c>
      <c r="R202">
        <f t="shared" si="916"/>
        <v>-137971.11783563212</v>
      </c>
      <c r="S202">
        <f t="shared" si="917"/>
        <v>-1.3797111783563212</v>
      </c>
      <c r="T202">
        <f t="shared" si="918"/>
        <v>-1.3797111783563211E-3</v>
      </c>
    </row>
    <row r="203" spans="1:20" x14ac:dyDescent="0.25">
      <c r="A203" s="5">
        <v>44381</v>
      </c>
      <c r="B203">
        <v>172.9</v>
      </c>
      <c r="C203">
        <v>180.49</v>
      </c>
      <c r="D203">
        <v>166.57</v>
      </c>
      <c r="E203">
        <v>178</v>
      </c>
      <c r="F203">
        <v>1425.11679</v>
      </c>
      <c r="G203">
        <v>0</v>
      </c>
      <c r="L203" t="s">
        <v>8</v>
      </c>
      <c r="M203" t="s">
        <v>7</v>
      </c>
      <c r="N203" t="s">
        <v>7</v>
      </c>
      <c r="P203">
        <f t="shared" si="914"/>
        <v>0.64224137931034397</v>
      </c>
      <c r="Q203">
        <f t="shared" si="915"/>
        <v>915.26897288792986</v>
      </c>
      <c r="R203">
        <f t="shared" si="916"/>
        <v>-138333.54152146031</v>
      </c>
      <c r="S203">
        <f t="shared" si="917"/>
        <v>-1.3833354152146031</v>
      </c>
      <c r="T203">
        <f t="shared" si="918"/>
        <v>-1.3833354152146032E-3</v>
      </c>
    </row>
    <row r="204" spans="1:20" x14ac:dyDescent="0.25">
      <c r="A204" s="5">
        <v>44380</v>
      </c>
      <c r="B204">
        <v>161.28</v>
      </c>
      <c r="C204">
        <v>173.7</v>
      </c>
      <c r="D204">
        <v>161.28</v>
      </c>
      <c r="E204">
        <v>172.9</v>
      </c>
      <c r="F204">
        <v>1106.28078</v>
      </c>
      <c r="G204">
        <v>0</v>
      </c>
      <c r="L204" t="s">
        <v>8</v>
      </c>
      <c r="M204" t="s">
        <v>7</v>
      </c>
      <c r="N204" t="s">
        <v>7</v>
      </c>
      <c r="P204">
        <f t="shared" si="914"/>
        <v>0.87117552334943904</v>
      </c>
      <c r="Q204">
        <f t="shared" si="915"/>
        <v>963.76473748792569</v>
      </c>
      <c r="R204">
        <f t="shared" si="916"/>
        <v>-139248.81049434823</v>
      </c>
      <c r="S204">
        <f t="shared" si="917"/>
        <v>-1.3924881049434823</v>
      </c>
      <c r="T204">
        <f t="shared" si="918"/>
        <v>-1.3924881049434824E-3</v>
      </c>
    </row>
    <row r="205" spans="1:20" x14ac:dyDescent="0.25">
      <c r="A205" s="5">
        <v>44379</v>
      </c>
      <c r="B205">
        <v>160.33000000000001</v>
      </c>
      <c r="C205">
        <v>165.17</v>
      </c>
      <c r="D205">
        <v>156.01</v>
      </c>
      <c r="E205">
        <v>160.97999999999999</v>
      </c>
      <c r="F205">
        <v>1394.93379</v>
      </c>
      <c r="G205">
        <v>0</v>
      </c>
      <c r="L205" t="s">
        <v>7</v>
      </c>
      <c r="M205" t="s">
        <v>7</v>
      </c>
      <c r="N205" t="s">
        <v>7</v>
      </c>
      <c r="P205">
        <f t="shared" si="914"/>
        <v>8.5152838427947755E-2</v>
      </c>
      <c r="Q205">
        <f t="shared" si="915"/>
        <v>118.78257163755481</v>
      </c>
      <c r="R205">
        <f t="shared" si="916"/>
        <v>-140212.57523183615</v>
      </c>
      <c r="S205">
        <f t="shared" si="917"/>
        <v>-1.4021257523183615</v>
      </c>
      <c r="T205">
        <f t="shared" si="918"/>
        <v>-1.4021257523183614E-3</v>
      </c>
    </row>
    <row r="206" spans="1:20" x14ac:dyDescent="0.25">
      <c r="A206" s="5">
        <v>44378</v>
      </c>
      <c r="B206">
        <v>174.75</v>
      </c>
      <c r="C206">
        <v>177.28</v>
      </c>
      <c r="D206">
        <v>159.96</v>
      </c>
      <c r="E206">
        <v>161.26</v>
      </c>
      <c r="F206">
        <v>1548.1303700000001</v>
      </c>
      <c r="G206">
        <v>0</v>
      </c>
      <c r="L206" t="s">
        <v>7</v>
      </c>
      <c r="M206" t="s">
        <v>7</v>
      </c>
      <c r="N206" t="s">
        <v>7</v>
      </c>
      <c r="P206">
        <f t="shared" si="914"/>
        <v>-0.84988452655889335</v>
      </c>
      <c r="Q206">
        <f t="shared" si="915"/>
        <v>-1315.7320465588944</v>
      </c>
      <c r="R206">
        <f t="shared" si="916"/>
        <v>-140331.35780347371</v>
      </c>
      <c r="S206">
        <f t="shared" si="917"/>
        <v>-1.4033135780347372</v>
      </c>
      <c r="T206">
        <f t="shared" si="918"/>
        <v>-1.4033135780347373E-3</v>
      </c>
    </row>
    <row r="207" spans="1:20" x14ac:dyDescent="0.25">
      <c r="A207" s="5">
        <v>44377</v>
      </c>
      <c r="B207">
        <v>178.05</v>
      </c>
      <c r="C207">
        <v>180</v>
      </c>
      <c r="D207">
        <v>163</v>
      </c>
      <c r="E207">
        <v>174.75</v>
      </c>
      <c r="F207">
        <v>1555.9460200000001</v>
      </c>
      <c r="G207">
        <v>0</v>
      </c>
      <c r="L207" t="s">
        <v>7</v>
      </c>
      <c r="M207" t="s">
        <v>7</v>
      </c>
      <c r="N207" t="s">
        <v>7</v>
      </c>
      <c r="P207">
        <f t="shared" si="914"/>
        <v>0.38235294117647056</v>
      </c>
      <c r="Q207">
        <f t="shared" si="915"/>
        <v>594.92053705882347</v>
      </c>
      <c r="R207">
        <f t="shared" si="916"/>
        <v>-139015.62575691481</v>
      </c>
      <c r="S207">
        <f t="shared" si="917"/>
        <v>-1.3901562575691482</v>
      </c>
      <c r="T207">
        <f t="shared" si="918"/>
        <v>-1.3901562575691481E-3</v>
      </c>
    </row>
    <row r="208" spans="1:20" x14ac:dyDescent="0.25">
      <c r="A208" s="5">
        <v>44376</v>
      </c>
      <c r="B208">
        <v>174.99</v>
      </c>
      <c r="C208">
        <v>184.59</v>
      </c>
      <c r="D208">
        <v>166.57</v>
      </c>
      <c r="E208">
        <v>178.09</v>
      </c>
      <c r="F208">
        <v>1820.2987599999999</v>
      </c>
      <c r="G208">
        <v>0</v>
      </c>
      <c r="L208" t="s">
        <v>7</v>
      </c>
      <c r="M208" t="s">
        <v>7</v>
      </c>
      <c r="N208" t="s">
        <v>7</v>
      </c>
      <c r="P208">
        <f t="shared" si="914"/>
        <v>0.2785793562708106</v>
      </c>
      <c r="Q208">
        <f t="shared" si="915"/>
        <v>507.09765678135471</v>
      </c>
      <c r="R208">
        <f t="shared" si="916"/>
        <v>-139610.54629397363</v>
      </c>
      <c r="S208">
        <f t="shared" si="917"/>
        <v>-1.3961054629397363</v>
      </c>
      <c r="T208">
        <f t="shared" si="918"/>
        <v>-1.3961054629397362E-3</v>
      </c>
    </row>
    <row r="209" spans="1:20" x14ac:dyDescent="0.25">
      <c r="A209" s="5">
        <v>44375</v>
      </c>
      <c r="B209">
        <v>174.74</v>
      </c>
      <c r="C209">
        <v>185</v>
      </c>
      <c r="D209">
        <v>166.7</v>
      </c>
      <c r="E209">
        <v>175.19</v>
      </c>
      <c r="F209">
        <v>1392.3543199999999</v>
      </c>
      <c r="G209">
        <v>0</v>
      </c>
      <c r="L209" t="s">
        <v>8</v>
      </c>
      <c r="M209" t="s">
        <v>7</v>
      </c>
      <c r="N209" t="s">
        <v>7</v>
      </c>
      <c r="P209">
        <f t="shared" si="914"/>
        <v>-7.2131147540983195E-2</v>
      </c>
      <c r="Q209">
        <f t="shared" si="915"/>
        <v>-100.43211488524533</v>
      </c>
      <c r="R209">
        <f t="shared" si="916"/>
        <v>-140117.64395075498</v>
      </c>
      <c r="S209">
        <f t="shared" si="917"/>
        <v>-1.4011764395075499</v>
      </c>
      <c r="T209">
        <f t="shared" si="918"/>
        <v>-1.4011764395075498E-3</v>
      </c>
    </row>
    <row r="210" spans="1:20" x14ac:dyDescent="0.25">
      <c r="A210" s="5">
        <v>44374</v>
      </c>
      <c r="B210">
        <v>158.97</v>
      </c>
      <c r="C210">
        <v>177.43</v>
      </c>
      <c r="D210">
        <v>157.47</v>
      </c>
      <c r="E210">
        <v>174.74</v>
      </c>
      <c r="F210">
        <v>1017.56358</v>
      </c>
      <c r="G210">
        <v>0</v>
      </c>
      <c r="L210" t="s">
        <v>8</v>
      </c>
      <c r="M210" t="s">
        <v>7</v>
      </c>
      <c r="N210" t="s">
        <v>7</v>
      </c>
      <c r="P210">
        <f t="shared" si="914"/>
        <v>0.73046092184368772</v>
      </c>
      <c r="Q210">
        <f t="shared" si="915"/>
        <v>743.29043068136309</v>
      </c>
      <c r="R210">
        <f t="shared" si="916"/>
        <v>-140017.21183586973</v>
      </c>
      <c r="S210">
        <f t="shared" si="917"/>
        <v>-1.4001721183586973</v>
      </c>
      <c r="T210">
        <f t="shared" si="918"/>
        <v>-1.4001721183586973E-3</v>
      </c>
    </row>
    <row r="211" spans="1:20" x14ac:dyDescent="0.25">
      <c r="A211" s="5">
        <v>44373</v>
      </c>
      <c r="B211">
        <v>163.68</v>
      </c>
      <c r="C211">
        <v>168.3</v>
      </c>
      <c r="D211">
        <v>153.01</v>
      </c>
      <c r="E211">
        <v>158.94999999999999</v>
      </c>
      <c r="F211">
        <v>1158.7944600000001</v>
      </c>
      <c r="G211">
        <v>0</v>
      </c>
      <c r="L211" t="s">
        <v>7</v>
      </c>
      <c r="M211" t="s">
        <v>7</v>
      </c>
      <c r="N211" t="s">
        <v>7</v>
      </c>
      <c r="P211">
        <f t="shared" si="914"/>
        <v>-0.22302158273381428</v>
      </c>
      <c r="Q211">
        <f t="shared" si="915"/>
        <v>-258.43617453237567</v>
      </c>
      <c r="R211">
        <f t="shared" si="916"/>
        <v>-140760.50226655111</v>
      </c>
      <c r="S211">
        <f t="shared" si="917"/>
        <v>-1.407605022665511</v>
      </c>
      <c r="T211">
        <f t="shared" si="918"/>
        <v>-1.4076050226655111E-3</v>
      </c>
    </row>
    <row r="212" spans="1:20" x14ac:dyDescent="0.25">
      <c r="A212" s="5">
        <v>44372</v>
      </c>
      <c r="B212">
        <v>183.8</v>
      </c>
      <c r="C212">
        <v>205</v>
      </c>
      <c r="D212">
        <v>162.37</v>
      </c>
      <c r="E212">
        <v>163.82</v>
      </c>
      <c r="F212">
        <v>1750.57221</v>
      </c>
      <c r="G212">
        <v>0</v>
      </c>
      <c r="L212" t="s">
        <v>7</v>
      </c>
      <c r="M212" t="s">
        <v>8</v>
      </c>
      <c r="N212" t="s">
        <v>7</v>
      </c>
      <c r="P212">
        <f t="shared" si="914"/>
        <v>-0.93197278911564674</v>
      </c>
      <c r="Q212">
        <f t="shared" si="915"/>
        <v>-1631.4856651020416</v>
      </c>
      <c r="R212">
        <f t="shared" si="916"/>
        <v>-140502.06609201874</v>
      </c>
      <c r="S212">
        <f t="shared" si="917"/>
        <v>-1.4050206609201874</v>
      </c>
      <c r="T212">
        <f t="shared" si="918"/>
        <v>-1.4050206609201874E-3</v>
      </c>
    </row>
    <row r="213" spans="1:20" x14ac:dyDescent="0.25">
      <c r="A213" s="5">
        <v>44371</v>
      </c>
      <c r="B213">
        <v>185</v>
      </c>
      <c r="C213">
        <v>190.9</v>
      </c>
      <c r="D213">
        <v>180.1</v>
      </c>
      <c r="E213">
        <v>183.8</v>
      </c>
      <c r="F213">
        <v>652.58214999999996</v>
      </c>
      <c r="G213">
        <v>0</v>
      </c>
      <c r="L213" t="s">
        <v>7</v>
      </c>
      <c r="M213" t="s">
        <v>8</v>
      </c>
      <c r="N213" t="s">
        <v>7</v>
      </c>
      <c r="P213">
        <f t="shared" si="914"/>
        <v>-0.31481481481481238</v>
      </c>
      <c r="Q213">
        <f t="shared" si="915"/>
        <v>-205.4425287037021</v>
      </c>
      <c r="R213">
        <f t="shared" si="916"/>
        <v>-138870.58042691668</v>
      </c>
      <c r="S213">
        <f t="shared" si="917"/>
        <v>-1.3887058042691669</v>
      </c>
      <c r="T213">
        <f t="shared" si="918"/>
        <v>-1.388705804269167E-3</v>
      </c>
    </row>
    <row r="214" spans="1:20" x14ac:dyDescent="0.25">
      <c r="A214" s="5">
        <v>44370</v>
      </c>
      <c r="B214">
        <v>178.2</v>
      </c>
      <c r="C214">
        <v>199.99</v>
      </c>
      <c r="D214">
        <v>175.64</v>
      </c>
      <c r="E214">
        <v>185</v>
      </c>
      <c r="F214">
        <v>759.09195999999997</v>
      </c>
      <c r="G214">
        <v>0</v>
      </c>
      <c r="L214" t="s">
        <v>8</v>
      </c>
      <c r="M214" t="s">
        <v>8</v>
      </c>
      <c r="N214" t="s">
        <v>7</v>
      </c>
      <c r="P214">
        <f t="shared" si="914"/>
        <v>-0.23121149897330556</v>
      </c>
      <c r="Q214">
        <f t="shared" si="915"/>
        <v>-175.5107899301845</v>
      </c>
      <c r="R214">
        <f t="shared" si="916"/>
        <v>-138665.13789821297</v>
      </c>
      <c r="S214">
        <f t="shared" si="917"/>
        <v>-1.3866513789821298</v>
      </c>
      <c r="T214">
        <f t="shared" si="918"/>
        <v>-1.3866513789821298E-3</v>
      </c>
    </row>
    <row r="215" spans="1:20" x14ac:dyDescent="0.25">
      <c r="A215" s="5">
        <v>44369</v>
      </c>
      <c r="B215">
        <v>184.57</v>
      </c>
      <c r="C215">
        <v>210</v>
      </c>
      <c r="D215">
        <v>155.01</v>
      </c>
      <c r="E215">
        <v>178.2</v>
      </c>
      <c r="F215">
        <v>1864.4920199999999</v>
      </c>
      <c r="G215">
        <v>0</v>
      </c>
      <c r="L215" t="s">
        <v>7</v>
      </c>
      <c r="M215" t="s">
        <v>7</v>
      </c>
      <c r="N215" t="s">
        <v>7</v>
      </c>
      <c r="P215">
        <f t="shared" si="914"/>
        <v>-0.15657392253136956</v>
      </c>
      <c r="Q215">
        <f t="shared" si="915"/>
        <v>-291.93082909983673</v>
      </c>
      <c r="R215">
        <f t="shared" si="916"/>
        <v>-138489.62710828279</v>
      </c>
      <c r="S215">
        <f t="shared" si="917"/>
        <v>-1.3848962710828279</v>
      </c>
      <c r="T215">
        <f t="shared" si="918"/>
        <v>-1.3848962710828279E-3</v>
      </c>
    </row>
    <row r="216" spans="1:20" x14ac:dyDescent="0.25">
      <c r="A216" s="5">
        <v>44368</v>
      </c>
      <c r="B216">
        <v>222</v>
      </c>
      <c r="C216">
        <v>222</v>
      </c>
      <c r="D216">
        <v>182.81</v>
      </c>
      <c r="E216">
        <v>186.43</v>
      </c>
      <c r="F216">
        <v>1109.8007700000001</v>
      </c>
      <c r="G216">
        <v>0</v>
      </c>
      <c r="L216" t="s">
        <v>7</v>
      </c>
      <c r="M216" t="s">
        <v>7</v>
      </c>
      <c r="N216" t="s">
        <v>7</v>
      </c>
      <c r="P216">
        <f t="shared" si="914"/>
        <v>-0.81525899464148999</v>
      </c>
      <c r="Q216">
        <f t="shared" si="915"/>
        <v>-904.77506000255153</v>
      </c>
      <c r="R216">
        <f t="shared" si="916"/>
        <v>-138197.69627918294</v>
      </c>
      <c r="S216">
        <f t="shared" si="917"/>
        <v>-1.3819769627918295</v>
      </c>
      <c r="T216">
        <f t="shared" si="918"/>
        <v>-1.3819769627918294E-3</v>
      </c>
    </row>
    <row r="217" spans="1:20" x14ac:dyDescent="0.25">
      <c r="A217" s="5">
        <v>44367</v>
      </c>
      <c r="B217">
        <v>225.5</v>
      </c>
      <c r="C217">
        <v>228</v>
      </c>
      <c r="D217">
        <v>206.56</v>
      </c>
      <c r="E217">
        <v>221.48</v>
      </c>
      <c r="F217">
        <v>1104.0328</v>
      </c>
      <c r="G217">
        <v>0</v>
      </c>
      <c r="L217" t="s">
        <v>7</v>
      </c>
      <c r="M217" t="s">
        <v>7</v>
      </c>
      <c r="N217" t="s">
        <v>7</v>
      </c>
      <c r="P217">
        <f t="shared" si="914"/>
        <v>0.39179104477611837</v>
      </c>
      <c r="Q217">
        <f t="shared" si="915"/>
        <v>432.55016417910332</v>
      </c>
      <c r="R217">
        <f t="shared" si="916"/>
        <v>-137292.9212191804</v>
      </c>
      <c r="S217">
        <f t="shared" si="917"/>
        <v>-1.372929212191804</v>
      </c>
      <c r="T217">
        <f t="shared" si="918"/>
        <v>-1.372929212191804E-3</v>
      </c>
    </row>
    <row r="218" spans="1:20" x14ac:dyDescent="0.25">
      <c r="A218" s="5">
        <v>44366</v>
      </c>
      <c r="B218">
        <v>225.22</v>
      </c>
      <c r="C218">
        <v>233.59</v>
      </c>
      <c r="D218">
        <v>221.4</v>
      </c>
      <c r="E218">
        <v>225.49</v>
      </c>
      <c r="F218">
        <v>976.02556000000004</v>
      </c>
      <c r="G218">
        <v>0</v>
      </c>
      <c r="L218" t="s">
        <v>7</v>
      </c>
      <c r="M218" t="s">
        <v>7</v>
      </c>
      <c r="N218" t="s">
        <v>7</v>
      </c>
      <c r="P218">
        <f t="shared" si="914"/>
        <v>-0.32895816242821918</v>
      </c>
      <c r="Q218">
        <f t="shared" si="915"/>
        <v>-321.07157470057359</v>
      </c>
      <c r="R218">
        <f t="shared" si="916"/>
        <v>-137725.47138335949</v>
      </c>
      <c r="S218">
        <f t="shared" si="917"/>
        <v>-1.3772547138335949</v>
      </c>
      <c r="T218">
        <f t="shared" si="918"/>
        <v>-1.3772547138335949E-3</v>
      </c>
    </row>
    <row r="219" spans="1:20" x14ac:dyDescent="0.25">
      <c r="A219" s="5">
        <v>44365</v>
      </c>
      <c r="B219">
        <v>249.06</v>
      </c>
      <c r="C219">
        <v>251.51</v>
      </c>
      <c r="D219">
        <v>219.11</v>
      </c>
      <c r="E219">
        <v>224.12</v>
      </c>
      <c r="F219">
        <v>1131.25902</v>
      </c>
      <c r="G219">
        <v>0</v>
      </c>
      <c r="L219" t="s">
        <v>7</v>
      </c>
      <c r="M219" t="s">
        <v>7</v>
      </c>
      <c r="N219" t="s">
        <v>7</v>
      </c>
      <c r="P219">
        <f t="shared" si="914"/>
        <v>-0.6907407407407411</v>
      </c>
      <c r="Q219">
        <f t="shared" si="915"/>
        <v>-781.40669344444484</v>
      </c>
      <c r="R219">
        <f t="shared" si="916"/>
        <v>-137404.39980865893</v>
      </c>
      <c r="S219">
        <f t="shared" si="917"/>
        <v>-1.3740439980865893</v>
      </c>
      <c r="T219">
        <f t="shared" si="918"/>
        <v>-1.3740439980865892E-3</v>
      </c>
    </row>
    <row r="220" spans="1:20" x14ac:dyDescent="0.25">
      <c r="A220" s="5">
        <v>44364</v>
      </c>
      <c r="B220">
        <v>248.04</v>
      </c>
      <c r="C220">
        <v>259.3</v>
      </c>
      <c r="D220">
        <v>239.98</v>
      </c>
      <c r="E220">
        <v>249.05</v>
      </c>
      <c r="F220">
        <v>1469.354</v>
      </c>
      <c r="G220">
        <v>0</v>
      </c>
      <c r="L220" t="s">
        <v>7</v>
      </c>
      <c r="M220" t="s">
        <v>7</v>
      </c>
      <c r="N220" t="s">
        <v>7</v>
      </c>
      <c r="P220">
        <f t="shared" si="914"/>
        <v>-6.1076604554864238E-2</v>
      </c>
      <c r="Q220">
        <f t="shared" si="915"/>
        <v>-89.743153209107987</v>
      </c>
      <c r="R220">
        <f t="shared" si="916"/>
        <v>-136622.99311521449</v>
      </c>
      <c r="S220">
        <f t="shared" si="917"/>
        <v>-1.3662299311521449</v>
      </c>
      <c r="T220">
        <f t="shared" si="918"/>
        <v>-1.3662299311521448E-3</v>
      </c>
    </row>
    <row r="221" spans="1:20" x14ac:dyDescent="0.25">
      <c r="A221" s="5">
        <v>44363</v>
      </c>
      <c r="B221">
        <v>289.22000000000003</v>
      </c>
      <c r="C221">
        <v>290</v>
      </c>
      <c r="D221">
        <v>245.87</v>
      </c>
      <c r="E221">
        <v>249.94</v>
      </c>
      <c r="F221">
        <v>3088.3063099999999</v>
      </c>
      <c r="G221">
        <v>0</v>
      </c>
      <c r="L221" t="s">
        <v>7</v>
      </c>
      <c r="M221" t="s">
        <v>7</v>
      </c>
      <c r="N221" t="s">
        <v>7</v>
      </c>
      <c r="P221">
        <f t="shared" si="914"/>
        <v>-0.81554498073872683</v>
      </c>
      <c r="Q221">
        <f t="shared" si="915"/>
        <v>-2518.6527101042384</v>
      </c>
      <c r="R221">
        <f t="shared" si="916"/>
        <v>-136533.24996200539</v>
      </c>
      <c r="S221">
        <f t="shared" si="917"/>
        <v>-1.3653324996200538</v>
      </c>
      <c r="T221">
        <f t="shared" si="918"/>
        <v>-1.3653324996200538E-3</v>
      </c>
    </row>
    <row r="222" spans="1:20" x14ac:dyDescent="0.25">
      <c r="A222" s="5">
        <v>44362</v>
      </c>
      <c r="B222">
        <v>242.47</v>
      </c>
      <c r="C222">
        <v>335</v>
      </c>
      <c r="D222">
        <v>236.51</v>
      </c>
      <c r="E222">
        <v>289.61</v>
      </c>
      <c r="F222">
        <v>17790.913690000001</v>
      </c>
      <c r="G222">
        <v>0</v>
      </c>
      <c r="L222" t="s">
        <v>8</v>
      </c>
      <c r="M222" t="s">
        <v>8</v>
      </c>
      <c r="N222" t="s">
        <v>8</v>
      </c>
      <c r="P222">
        <f t="shared" si="914"/>
        <v>7.8282059092293993E-2</v>
      </c>
      <c r="Q222">
        <f t="shared" si="915"/>
        <v>1392.7093567864822</v>
      </c>
      <c r="R222">
        <f t="shared" si="916"/>
        <v>-134014.59725190114</v>
      </c>
      <c r="S222">
        <f t="shared" si="917"/>
        <v>-1.3401459725190115</v>
      </c>
      <c r="T222">
        <f t="shared" si="918"/>
        <v>-1.3401459725190116E-3</v>
      </c>
    </row>
    <row r="223" spans="1:20" x14ac:dyDescent="0.25">
      <c r="A223" s="5">
        <v>44361</v>
      </c>
      <c r="B223">
        <v>224.38</v>
      </c>
      <c r="C223">
        <v>244.18</v>
      </c>
      <c r="D223">
        <v>217.01</v>
      </c>
      <c r="E223">
        <v>240.05</v>
      </c>
      <c r="F223">
        <v>1459.14328</v>
      </c>
      <c r="G223">
        <v>0</v>
      </c>
      <c r="L223" t="s">
        <v>8</v>
      </c>
      <c r="M223" t="s">
        <v>8</v>
      </c>
      <c r="N223" t="s">
        <v>7</v>
      </c>
      <c r="P223">
        <f t="shared" si="914"/>
        <v>0.69598822230401225</v>
      </c>
      <c r="Q223">
        <f t="shared" si="915"/>
        <v>1015.5465375340456</v>
      </c>
      <c r="R223">
        <f t="shared" si="916"/>
        <v>-135407.30660868762</v>
      </c>
      <c r="S223">
        <f t="shared" si="917"/>
        <v>-1.3540730660868763</v>
      </c>
      <c r="T223">
        <f t="shared" si="918"/>
        <v>-1.3540730660868763E-3</v>
      </c>
    </row>
    <row r="224" spans="1:20" x14ac:dyDescent="0.25">
      <c r="A224" s="5">
        <v>44360</v>
      </c>
      <c r="B224">
        <v>212.55</v>
      </c>
      <c r="C224">
        <v>227</v>
      </c>
      <c r="D224">
        <v>204.11</v>
      </c>
      <c r="E224">
        <v>221.97</v>
      </c>
      <c r="F224">
        <v>932.10382000000004</v>
      </c>
      <c r="G224">
        <v>0</v>
      </c>
      <c r="L224" t="s">
        <v>8</v>
      </c>
      <c r="M224" t="s">
        <v>7</v>
      </c>
      <c r="N224" t="s">
        <v>7</v>
      </c>
      <c r="P224">
        <f t="shared" si="914"/>
        <v>0.56050677151594541</v>
      </c>
      <c r="Q224">
        <f t="shared" si="915"/>
        <v>522.45050286587991</v>
      </c>
      <c r="R224">
        <f t="shared" si="916"/>
        <v>-136422.85314622166</v>
      </c>
      <c r="S224">
        <f t="shared" si="917"/>
        <v>-1.3642285314622167</v>
      </c>
      <c r="T224">
        <f t="shared" si="918"/>
        <v>-1.3642285314622168E-3</v>
      </c>
    </row>
    <row r="225" spans="1:20" x14ac:dyDescent="0.25">
      <c r="A225" s="5">
        <v>44359</v>
      </c>
      <c r="B225">
        <v>216.97</v>
      </c>
      <c r="C225">
        <v>222.24</v>
      </c>
      <c r="D225">
        <v>200</v>
      </c>
      <c r="E225">
        <v>212.55</v>
      </c>
      <c r="F225">
        <v>858.65837999999997</v>
      </c>
      <c r="G225">
        <v>0</v>
      </c>
      <c r="L225" t="s">
        <v>7</v>
      </c>
      <c r="M225" t="s">
        <v>7</v>
      </c>
      <c r="N225" t="s">
        <v>7</v>
      </c>
      <c r="P225">
        <f t="shared" si="914"/>
        <v>0.12859712230215883</v>
      </c>
      <c r="Q225">
        <f t="shared" si="915"/>
        <v>110.42099670863357</v>
      </c>
      <c r="R225">
        <f t="shared" si="916"/>
        <v>-136945.30364908755</v>
      </c>
      <c r="S225">
        <f t="shared" si="917"/>
        <v>-1.3694530364908755</v>
      </c>
      <c r="T225">
        <f t="shared" si="918"/>
        <v>-1.3694530364908755E-3</v>
      </c>
    </row>
    <row r="226" spans="1:20" x14ac:dyDescent="0.25">
      <c r="A226" s="5">
        <v>44358</v>
      </c>
      <c r="B226">
        <v>230</v>
      </c>
      <c r="C226">
        <v>231.95</v>
      </c>
      <c r="D226">
        <v>215.65</v>
      </c>
      <c r="E226">
        <v>216.96</v>
      </c>
      <c r="F226">
        <v>356.72278999999997</v>
      </c>
      <c r="G226">
        <v>0</v>
      </c>
      <c r="L226" t="s">
        <v>7</v>
      </c>
      <c r="M226" t="s">
        <v>8</v>
      </c>
      <c r="N226" t="s">
        <v>7</v>
      </c>
      <c r="P226">
        <f t="shared" si="914"/>
        <v>-0.83926380368098119</v>
      </c>
      <c r="Q226">
        <f t="shared" si="915"/>
        <v>-299.38452559509187</v>
      </c>
      <c r="R226">
        <f t="shared" si="916"/>
        <v>-137055.72464579617</v>
      </c>
      <c r="S226">
        <f t="shared" si="917"/>
        <v>-1.3705572464579618</v>
      </c>
      <c r="T226">
        <f t="shared" si="918"/>
        <v>-1.3705572464579618E-3</v>
      </c>
    </row>
    <row r="227" spans="1:20" x14ac:dyDescent="0.25">
      <c r="A227" s="5">
        <v>44357</v>
      </c>
      <c r="B227">
        <v>246.9</v>
      </c>
      <c r="C227">
        <v>249.11</v>
      </c>
      <c r="D227">
        <v>223.71</v>
      </c>
      <c r="E227">
        <v>230.01</v>
      </c>
      <c r="F227">
        <v>558.29321000000004</v>
      </c>
      <c r="G227">
        <v>0</v>
      </c>
      <c r="L227" t="s">
        <v>7</v>
      </c>
      <c r="M227" t="s">
        <v>8</v>
      </c>
      <c r="N227" t="s">
        <v>7</v>
      </c>
      <c r="P227">
        <f t="shared" si="914"/>
        <v>-0.50393700787401718</v>
      </c>
      <c r="Q227">
        <f t="shared" si="915"/>
        <v>-281.34460976378034</v>
      </c>
      <c r="R227">
        <f t="shared" si="916"/>
        <v>-136756.34012020109</v>
      </c>
      <c r="S227">
        <f t="shared" si="917"/>
        <v>-1.3675634012020108</v>
      </c>
      <c r="T227">
        <f t="shared" si="918"/>
        <v>-1.3675634012020109E-3</v>
      </c>
    </row>
    <row r="228" spans="1:20" x14ac:dyDescent="0.25">
      <c r="A228" s="5">
        <v>44356</v>
      </c>
      <c r="B228">
        <v>239.23</v>
      </c>
      <c r="C228">
        <v>251.46</v>
      </c>
      <c r="D228">
        <v>229.84</v>
      </c>
      <c r="E228">
        <v>246.9</v>
      </c>
      <c r="F228">
        <v>587.48262</v>
      </c>
      <c r="G228">
        <v>0</v>
      </c>
      <c r="L228" t="s">
        <v>8</v>
      </c>
      <c r="M228" t="s">
        <v>8</v>
      </c>
      <c r="N228" t="s">
        <v>7</v>
      </c>
      <c r="P228">
        <f t="shared" si="914"/>
        <v>0.57816836262719695</v>
      </c>
      <c r="Q228">
        <f t="shared" si="915"/>
        <v>339.66386447733572</v>
      </c>
      <c r="R228">
        <f t="shared" si="916"/>
        <v>-136474.99551043729</v>
      </c>
      <c r="S228">
        <f t="shared" si="917"/>
        <v>-1.3647499551043729</v>
      </c>
      <c r="T228">
        <f t="shared" si="918"/>
        <v>-1.3647499551043729E-3</v>
      </c>
    </row>
    <row r="229" spans="1:20" x14ac:dyDescent="0.25">
      <c r="A229" s="5">
        <v>44355</v>
      </c>
      <c r="B229">
        <v>245.92</v>
      </c>
      <c r="C229">
        <v>252.36</v>
      </c>
      <c r="D229">
        <v>210.93</v>
      </c>
      <c r="E229">
        <v>237.13</v>
      </c>
      <c r="F229">
        <v>1920.4357600000001</v>
      </c>
      <c r="G229">
        <v>0</v>
      </c>
      <c r="L229" t="s">
        <v>7</v>
      </c>
      <c r="M229" t="s">
        <v>7</v>
      </c>
      <c r="N229" t="s">
        <v>7</v>
      </c>
      <c r="P229">
        <f t="shared" si="914"/>
        <v>0.26478397296644868</v>
      </c>
      <c r="Q229">
        <f t="shared" si="915"/>
        <v>508.50061035964131</v>
      </c>
      <c r="R229">
        <f t="shared" si="916"/>
        <v>-136814.65937491463</v>
      </c>
      <c r="S229">
        <f t="shared" si="917"/>
        <v>-1.3681465937491464</v>
      </c>
      <c r="T229">
        <f t="shared" si="918"/>
        <v>-1.3681465937491464E-3</v>
      </c>
    </row>
    <row r="230" spans="1:20" x14ac:dyDescent="0.25">
      <c r="A230" s="5">
        <v>44354</v>
      </c>
      <c r="B230">
        <v>263.58</v>
      </c>
      <c r="C230">
        <v>271.70999999999998</v>
      </c>
      <c r="D230">
        <v>240</v>
      </c>
      <c r="E230">
        <v>245.5</v>
      </c>
      <c r="F230">
        <v>1172.8795</v>
      </c>
      <c r="G230">
        <v>0</v>
      </c>
      <c r="L230" t="s">
        <v>7</v>
      </c>
      <c r="M230" t="s">
        <v>7</v>
      </c>
      <c r="N230" t="s">
        <v>7</v>
      </c>
      <c r="P230">
        <f t="shared" si="914"/>
        <v>-0.65310627562283174</v>
      </c>
      <c r="Q230">
        <f t="shared" si="915"/>
        <v>-766.01496199936912</v>
      </c>
      <c r="R230">
        <f t="shared" si="916"/>
        <v>-137323.15998527428</v>
      </c>
      <c r="S230">
        <f t="shared" si="917"/>
        <v>-1.3732315998527429</v>
      </c>
      <c r="T230">
        <f t="shared" si="918"/>
        <v>-1.3732315998527429E-3</v>
      </c>
    </row>
    <row r="231" spans="1:20" x14ac:dyDescent="0.25">
      <c r="A231" s="5">
        <v>44353</v>
      </c>
      <c r="B231">
        <v>259.99</v>
      </c>
      <c r="C231">
        <v>271.11</v>
      </c>
      <c r="D231">
        <v>255</v>
      </c>
      <c r="E231">
        <v>263.3</v>
      </c>
      <c r="F231">
        <v>849.28809000000001</v>
      </c>
      <c r="G231">
        <v>0</v>
      </c>
      <c r="L231" t="s">
        <v>7</v>
      </c>
      <c r="M231" t="s">
        <v>7</v>
      </c>
      <c r="N231" t="s">
        <v>7</v>
      </c>
      <c r="P231">
        <f t="shared" si="914"/>
        <v>3.0415890751086822E-2</v>
      </c>
      <c r="Q231">
        <f t="shared" si="915"/>
        <v>25.831853761639191</v>
      </c>
      <c r="R231">
        <f t="shared" si="916"/>
        <v>-136557.1450232749</v>
      </c>
      <c r="S231">
        <f t="shared" si="917"/>
        <v>-1.365571450232749</v>
      </c>
      <c r="T231">
        <f t="shared" si="918"/>
        <v>-1.365571450232749E-3</v>
      </c>
    </row>
    <row r="232" spans="1:20" x14ac:dyDescent="0.25">
      <c r="A232" s="5">
        <v>44352</v>
      </c>
      <c r="B232">
        <v>258.47000000000003</v>
      </c>
      <c r="C232">
        <v>285</v>
      </c>
      <c r="D232">
        <v>251</v>
      </c>
      <c r="E232">
        <v>259.99</v>
      </c>
      <c r="F232">
        <v>1691.4448299999999</v>
      </c>
      <c r="G232">
        <v>0</v>
      </c>
      <c r="L232" t="s">
        <v>8</v>
      </c>
      <c r="M232" t="s">
        <v>7</v>
      </c>
      <c r="N232" t="s">
        <v>7</v>
      </c>
      <c r="P232">
        <f t="shared" si="914"/>
        <v>-0.47117647058823475</v>
      </c>
      <c r="Q232">
        <f t="shared" si="915"/>
        <v>-796.96900519411668</v>
      </c>
      <c r="R232">
        <f t="shared" si="916"/>
        <v>-136582.97687703653</v>
      </c>
      <c r="S232">
        <f t="shared" si="917"/>
        <v>-1.3658297687703653</v>
      </c>
      <c r="T232">
        <f t="shared" si="918"/>
        <v>-1.3658297687703653E-3</v>
      </c>
    </row>
    <row r="233" spans="1:20" x14ac:dyDescent="0.25">
      <c r="A233" s="5">
        <v>44351</v>
      </c>
      <c r="B233">
        <v>291.45</v>
      </c>
      <c r="C233">
        <v>294.79000000000002</v>
      </c>
      <c r="D233">
        <v>250.4</v>
      </c>
      <c r="E233">
        <v>261.14</v>
      </c>
      <c r="F233">
        <v>1813.39644</v>
      </c>
      <c r="G233">
        <v>0</v>
      </c>
      <c r="L233" t="s">
        <v>7</v>
      </c>
      <c r="M233" t="s">
        <v>7</v>
      </c>
      <c r="N233" t="s">
        <v>7</v>
      </c>
      <c r="P233">
        <f t="shared" si="914"/>
        <v>-0.51610723135841508</v>
      </c>
      <c r="Q233">
        <f t="shared" si="915"/>
        <v>-935.90701600360626</v>
      </c>
      <c r="R233">
        <f t="shared" si="916"/>
        <v>-135786.00787184242</v>
      </c>
      <c r="S233">
        <f t="shared" si="917"/>
        <v>-1.3578600787184243</v>
      </c>
      <c r="T233">
        <f t="shared" si="918"/>
        <v>-1.3578600787184244E-3</v>
      </c>
    </row>
    <row r="234" spans="1:20" x14ac:dyDescent="0.25">
      <c r="A234" s="5">
        <v>44350</v>
      </c>
      <c r="B234">
        <v>293</v>
      </c>
      <c r="C234">
        <v>305</v>
      </c>
      <c r="D234">
        <v>280.5</v>
      </c>
      <c r="E234">
        <v>292</v>
      </c>
      <c r="F234">
        <v>2462.5033800000001</v>
      </c>
      <c r="G234">
        <v>0</v>
      </c>
      <c r="L234" t="s">
        <v>7</v>
      </c>
      <c r="M234" t="s">
        <v>7</v>
      </c>
      <c r="N234" t="s">
        <v>7</v>
      </c>
      <c r="P234">
        <f t="shared" si="914"/>
        <v>-6.1224489795918366E-2</v>
      </c>
      <c r="Q234">
        <f t="shared" si="915"/>
        <v>-150.76551306122448</v>
      </c>
      <c r="R234">
        <f t="shared" si="916"/>
        <v>-134850.1008558388</v>
      </c>
      <c r="S234">
        <f t="shared" si="917"/>
        <v>-1.3485010085583879</v>
      </c>
      <c r="T234">
        <f t="shared" si="918"/>
        <v>-1.3485010085583879E-3</v>
      </c>
    </row>
    <row r="235" spans="1:20" x14ac:dyDescent="0.25">
      <c r="A235" s="5">
        <v>44349</v>
      </c>
      <c r="B235">
        <v>295.67</v>
      </c>
      <c r="C235">
        <v>314.99</v>
      </c>
      <c r="D235">
        <v>280.25</v>
      </c>
      <c r="E235">
        <v>293</v>
      </c>
      <c r="F235">
        <v>3620.2567800000002</v>
      </c>
      <c r="G235">
        <v>0</v>
      </c>
      <c r="L235" t="s">
        <v>8</v>
      </c>
      <c r="M235" t="s">
        <v>7</v>
      </c>
      <c r="N235" t="s">
        <v>7</v>
      </c>
      <c r="P235">
        <f t="shared" si="914"/>
        <v>-0.26597582037996564</v>
      </c>
      <c r="Q235">
        <f t="shared" si="915"/>
        <v>-962.90076704663284</v>
      </c>
      <c r="R235">
        <f t="shared" si="916"/>
        <v>-134699.33534277757</v>
      </c>
      <c r="S235">
        <f t="shared" si="917"/>
        <v>-1.3469933534277758</v>
      </c>
      <c r="T235">
        <f t="shared" si="918"/>
        <v>-1.3469933534277759E-3</v>
      </c>
    </row>
    <row r="236" spans="1:20" x14ac:dyDescent="0.25">
      <c r="A236" s="5">
        <v>44348</v>
      </c>
      <c r="B236">
        <v>319.93</v>
      </c>
      <c r="C236">
        <v>350</v>
      </c>
      <c r="D236">
        <v>265.74</v>
      </c>
      <c r="E236">
        <v>293</v>
      </c>
      <c r="F236">
        <v>17881.608660000002</v>
      </c>
      <c r="G236">
        <v>0</v>
      </c>
      <c r="L236" t="s">
        <v>7</v>
      </c>
      <c r="M236" t="s">
        <v>7</v>
      </c>
      <c r="N236" t="s">
        <v>7</v>
      </c>
      <c r="P236">
        <f t="shared" si="914"/>
        <v>-0.35295513885592228</v>
      </c>
      <c r="Q236">
        <f t="shared" si="915"/>
        <v>-6311.405667557563</v>
      </c>
      <c r="R236">
        <f t="shared" si="916"/>
        <v>-133736.43457573093</v>
      </c>
      <c r="S236">
        <f t="shared" si="917"/>
        <v>-1.3373643457573094</v>
      </c>
      <c r="T236">
        <f t="shared" si="918"/>
        <v>-1.3373643457573095E-3</v>
      </c>
    </row>
    <row r="237" spans="1:20" x14ac:dyDescent="0.25">
      <c r="A237" s="5">
        <v>44347</v>
      </c>
      <c r="B237">
        <v>227.39</v>
      </c>
      <c r="C237">
        <v>406</v>
      </c>
      <c r="D237">
        <v>218.46</v>
      </c>
      <c r="E237">
        <v>317.99</v>
      </c>
      <c r="F237">
        <v>5926.8328700000002</v>
      </c>
      <c r="G237">
        <v>0</v>
      </c>
      <c r="L237" t="s">
        <v>8</v>
      </c>
      <c r="M237" t="s">
        <v>8</v>
      </c>
      <c r="N237" t="s">
        <v>8</v>
      </c>
      <c r="P237">
        <f t="shared" si="914"/>
        <v>6.142689559560633E-2</v>
      </c>
      <c r="Q237">
        <f t="shared" si="915"/>
        <v>364.06694391809782</v>
      </c>
      <c r="R237">
        <f t="shared" si="916"/>
        <v>-127425.02890817336</v>
      </c>
      <c r="S237">
        <f t="shared" si="917"/>
        <v>-1.2742502890817335</v>
      </c>
      <c r="T237">
        <f t="shared" si="918"/>
        <v>-1.2742502890817336E-3</v>
      </c>
    </row>
    <row r="238" spans="1:20" x14ac:dyDescent="0.25">
      <c r="A238" s="5">
        <v>44346</v>
      </c>
      <c r="B238">
        <v>214.17</v>
      </c>
      <c r="C238">
        <v>232.16</v>
      </c>
      <c r="D238">
        <v>204</v>
      </c>
      <c r="E238">
        <v>227.4</v>
      </c>
      <c r="F238">
        <v>446.48500000000001</v>
      </c>
      <c r="G238">
        <v>0</v>
      </c>
      <c r="L238" t="s">
        <v>7</v>
      </c>
      <c r="M238" t="s">
        <v>7</v>
      </c>
      <c r="N238" t="s">
        <v>7</v>
      </c>
      <c r="P238">
        <f t="shared" si="914"/>
        <v>0.66193181818181879</v>
      </c>
      <c r="Q238">
        <f t="shared" si="915"/>
        <v>295.54262784090935</v>
      </c>
      <c r="R238">
        <f t="shared" si="916"/>
        <v>-127789.09585209146</v>
      </c>
      <c r="S238">
        <f t="shared" si="917"/>
        <v>-1.2778909585209146</v>
      </c>
      <c r="T238">
        <f t="shared" si="918"/>
        <v>-1.2778909585209146E-3</v>
      </c>
    </row>
    <row r="239" spans="1:20" x14ac:dyDescent="0.25">
      <c r="A239" s="5">
        <v>44345</v>
      </c>
      <c r="B239">
        <v>239.27</v>
      </c>
      <c r="C239">
        <v>248</v>
      </c>
      <c r="D239">
        <v>206.01</v>
      </c>
      <c r="E239">
        <v>218.05</v>
      </c>
      <c r="F239">
        <v>549.73679000000004</v>
      </c>
      <c r="G239">
        <v>0</v>
      </c>
      <c r="L239" t="s">
        <v>7</v>
      </c>
      <c r="M239" t="s">
        <v>7</v>
      </c>
      <c r="N239" t="s">
        <v>7</v>
      </c>
      <c r="P239">
        <f t="shared" si="914"/>
        <v>-0.42653012622052783</v>
      </c>
      <c r="Q239">
        <f t="shared" si="915"/>
        <v>-234.47930242676782</v>
      </c>
      <c r="R239">
        <f t="shared" si="916"/>
        <v>-128084.63847993237</v>
      </c>
      <c r="S239">
        <f t="shared" si="917"/>
        <v>-1.2808463847993237</v>
      </c>
      <c r="T239">
        <f t="shared" si="918"/>
        <v>-1.2808463847993237E-3</v>
      </c>
    </row>
    <row r="240" spans="1:20" x14ac:dyDescent="0.25">
      <c r="A240" s="5">
        <v>44344</v>
      </c>
      <c r="B240">
        <v>265.01</v>
      </c>
      <c r="C240">
        <v>271.08</v>
      </c>
      <c r="D240">
        <v>217.55</v>
      </c>
      <c r="E240">
        <v>237.1</v>
      </c>
      <c r="F240">
        <v>955.4855</v>
      </c>
      <c r="G240">
        <v>0</v>
      </c>
      <c r="L240" t="s">
        <v>7</v>
      </c>
      <c r="M240" t="s">
        <v>7</v>
      </c>
      <c r="N240" t="s">
        <v>8</v>
      </c>
      <c r="P240">
        <f t="shared" si="914"/>
        <v>-0.26956846628059061</v>
      </c>
      <c r="Q240">
        <f t="shared" si="915"/>
        <v>-257.56876078834324</v>
      </c>
      <c r="R240">
        <f t="shared" si="916"/>
        <v>-127850.1591775056</v>
      </c>
      <c r="S240">
        <f t="shared" si="917"/>
        <v>-1.278501591775056</v>
      </c>
      <c r="T240">
        <f t="shared" si="918"/>
        <v>-1.2785015917750559E-3</v>
      </c>
    </row>
    <row r="241" spans="1:20" x14ac:dyDescent="0.25">
      <c r="A241" s="5">
        <v>44343</v>
      </c>
      <c r="B241">
        <v>276.39999999999998</v>
      </c>
      <c r="C241">
        <v>287.99</v>
      </c>
      <c r="D241">
        <v>255.01</v>
      </c>
      <c r="E241">
        <v>268.99</v>
      </c>
      <c r="F241">
        <v>742.06832999999995</v>
      </c>
      <c r="G241">
        <v>0</v>
      </c>
      <c r="L241" t="s">
        <v>8</v>
      </c>
      <c r="M241" t="s">
        <v>8</v>
      </c>
      <c r="N241" t="s">
        <v>8</v>
      </c>
      <c r="P241">
        <f t="shared" si="914"/>
        <v>-0.15221346270466887</v>
      </c>
      <c r="Q241">
        <f t="shared" si="915"/>
        <v>-112.95279007277091</v>
      </c>
      <c r="R241">
        <f t="shared" si="916"/>
        <v>-127592.59041671726</v>
      </c>
      <c r="S241">
        <f t="shared" si="917"/>
        <v>-1.2759259041671727</v>
      </c>
      <c r="T241">
        <f t="shared" si="918"/>
        <v>-1.2759259041671726E-3</v>
      </c>
    </row>
    <row r="242" spans="1:20" x14ac:dyDescent="0.25">
      <c r="A242" s="5">
        <v>44342</v>
      </c>
      <c r="B242">
        <v>264.93</v>
      </c>
      <c r="C242">
        <v>295</v>
      </c>
      <c r="D242">
        <v>253.19</v>
      </c>
      <c r="E242">
        <v>276.39999999999998</v>
      </c>
      <c r="F242">
        <v>1111.2510400000001</v>
      </c>
      <c r="G242">
        <v>0</v>
      </c>
      <c r="L242" t="s">
        <v>7</v>
      </c>
      <c r="M242" t="s">
        <v>8</v>
      </c>
      <c r="N242" t="s">
        <v>8</v>
      </c>
      <c r="P242">
        <f t="shared" si="914"/>
        <v>0.11026070318105613</v>
      </c>
      <c r="Q242">
        <f t="shared" si="915"/>
        <v>122.52732108107995</v>
      </c>
      <c r="R242">
        <f t="shared" si="916"/>
        <v>-127479.63762664449</v>
      </c>
      <c r="S242">
        <f t="shared" si="917"/>
        <v>-1.2747963762664449</v>
      </c>
      <c r="T242">
        <f t="shared" si="918"/>
        <v>-1.274796376266445E-3</v>
      </c>
    </row>
    <row r="243" spans="1:20" x14ac:dyDescent="0.25">
      <c r="A243" s="5">
        <v>44341</v>
      </c>
      <c r="B243">
        <v>276.32</v>
      </c>
      <c r="C243">
        <v>299.97000000000003</v>
      </c>
      <c r="D243">
        <v>240.06</v>
      </c>
      <c r="E243">
        <v>264.87</v>
      </c>
      <c r="F243">
        <v>663.17316000000005</v>
      </c>
      <c r="G243">
        <v>0</v>
      </c>
      <c r="L243" t="s">
        <v>8</v>
      </c>
      <c r="M243" t="s">
        <v>7</v>
      </c>
      <c r="N243" t="s">
        <v>8</v>
      </c>
      <c r="P243">
        <f t="shared" si="914"/>
        <v>-0.17175763645468228</v>
      </c>
      <c r="Q243">
        <f t="shared" si="915"/>
        <v>-113.90505452178286</v>
      </c>
      <c r="R243">
        <f t="shared" si="916"/>
        <v>-127602.16494772557</v>
      </c>
      <c r="S243">
        <f t="shared" si="917"/>
        <v>-1.2760216494772556</v>
      </c>
      <c r="T243">
        <f t="shared" si="918"/>
        <v>-1.2760216494772556E-3</v>
      </c>
    </row>
    <row r="244" spans="1:20" x14ac:dyDescent="0.25">
      <c r="A244" s="5">
        <v>44340</v>
      </c>
      <c r="B244">
        <v>228.96</v>
      </c>
      <c r="C244">
        <v>292.72000000000003</v>
      </c>
      <c r="D244">
        <v>225.08</v>
      </c>
      <c r="E244">
        <v>279.37</v>
      </c>
      <c r="F244">
        <v>762.13715000000002</v>
      </c>
      <c r="G244">
        <v>0</v>
      </c>
      <c r="L244" t="s">
        <v>8</v>
      </c>
      <c r="M244" t="s">
        <v>8</v>
      </c>
      <c r="N244" t="s">
        <v>8</v>
      </c>
      <c r="P244">
        <f t="shared" si="914"/>
        <v>0.60526315789473628</v>
      </c>
      <c r="Q244">
        <f t="shared" si="915"/>
        <v>461.29353815789432</v>
      </c>
      <c r="R244">
        <f t="shared" si="916"/>
        <v>-127488.25989320379</v>
      </c>
      <c r="S244">
        <f t="shared" si="917"/>
        <v>-1.274882598932038</v>
      </c>
      <c r="T244">
        <f t="shared" si="918"/>
        <v>-1.274882598932038E-3</v>
      </c>
    </row>
    <row r="245" spans="1:20" x14ac:dyDescent="0.25">
      <c r="A245" s="5">
        <v>44339</v>
      </c>
      <c r="B245">
        <v>261.95</v>
      </c>
      <c r="C245">
        <v>264.94</v>
      </c>
      <c r="D245">
        <v>191.82</v>
      </c>
      <c r="E245">
        <v>228.97</v>
      </c>
      <c r="F245">
        <v>1692.1285700000001</v>
      </c>
      <c r="G245">
        <v>0</v>
      </c>
      <c r="L245" t="s">
        <v>7</v>
      </c>
      <c r="M245" t="s">
        <v>7</v>
      </c>
      <c r="N245" t="s">
        <v>7</v>
      </c>
      <c r="P245">
        <f t="shared" si="914"/>
        <v>1.6137855579868802E-2</v>
      </c>
      <c r="Q245">
        <f t="shared" si="915"/>
        <v>27.307326485229918</v>
      </c>
      <c r="R245">
        <f t="shared" si="916"/>
        <v>-127949.5534313617</v>
      </c>
      <c r="S245">
        <f t="shared" si="917"/>
        <v>-1.279495534313617</v>
      </c>
      <c r="T245">
        <f t="shared" si="918"/>
        <v>-1.2794955343136169E-3</v>
      </c>
    </row>
    <row r="246" spans="1:20" x14ac:dyDescent="0.25">
      <c r="A246" s="5">
        <v>44338</v>
      </c>
      <c r="B246">
        <v>267.14999999999998</v>
      </c>
      <c r="C246">
        <v>283.99</v>
      </c>
      <c r="D246">
        <v>236</v>
      </c>
      <c r="E246">
        <v>261.97000000000003</v>
      </c>
      <c r="F246">
        <v>1010.79864</v>
      </c>
      <c r="G246">
        <v>0</v>
      </c>
      <c r="L246" t="s">
        <v>8</v>
      </c>
      <c r="M246" t="s">
        <v>8</v>
      </c>
      <c r="N246" t="s">
        <v>7</v>
      </c>
      <c r="P246">
        <f t="shared" si="914"/>
        <v>8.2308814336320993E-2</v>
      </c>
      <c r="Q246">
        <f t="shared" si="915"/>
        <v>83.197637591165758</v>
      </c>
      <c r="R246">
        <f t="shared" si="916"/>
        <v>-127976.86075784692</v>
      </c>
      <c r="S246">
        <f t="shared" si="917"/>
        <v>-1.2797686075784693</v>
      </c>
      <c r="T246">
        <f t="shared" si="918"/>
        <v>-1.2797686075784692E-3</v>
      </c>
    </row>
    <row r="247" spans="1:20" x14ac:dyDescent="0.25">
      <c r="A247" s="5">
        <v>44337</v>
      </c>
      <c r="B247">
        <v>320.70999999999998</v>
      </c>
      <c r="C247">
        <v>337.82</v>
      </c>
      <c r="D247">
        <v>220</v>
      </c>
      <c r="E247">
        <v>267.14999999999998</v>
      </c>
      <c r="F247">
        <v>1543.7932699999999</v>
      </c>
      <c r="G247">
        <v>0</v>
      </c>
      <c r="L247" t="s">
        <v>7</v>
      </c>
      <c r="M247" t="s">
        <v>7</v>
      </c>
      <c r="N247" t="s">
        <v>7</v>
      </c>
      <c r="P247">
        <f t="shared" si="914"/>
        <v>-0.19962654897301002</v>
      </c>
      <c r="Q247">
        <f t="shared" si="915"/>
        <v>-308.18212281785827</v>
      </c>
      <c r="R247">
        <f t="shared" si="916"/>
        <v>-128060.05839543809</v>
      </c>
      <c r="S247">
        <f t="shared" si="917"/>
        <v>-1.2806005839543808</v>
      </c>
      <c r="T247">
        <f t="shared" si="918"/>
        <v>-1.2806005839543807E-3</v>
      </c>
    </row>
    <row r="248" spans="1:20" x14ac:dyDescent="0.25">
      <c r="A248" s="5">
        <v>44336</v>
      </c>
      <c r="B248">
        <v>293.60000000000002</v>
      </c>
      <c r="C248">
        <v>348.45</v>
      </c>
      <c r="D248">
        <v>258</v>
      </c>
      <c r="E248">
        <v>320.70999999999998</v>
      </c>
      <c r="F248">
        <v>1594.05845</v>
      </c>
      <c r="G248">
        <v>0</v>
      </c>
      <c r="L248" t="s">
        <v>8</v>
      </c>
      <c r="M248" t="s">
        <v>8</v>
      </c>
      <c r="N248" t="s">
        <v>7</v>
      </c>
      <c r="P248">
        <f t="shared" si="914"/>
        <v>0.38662244333886098</v>
      </c>
      <c r="Q248">
        <f t="shared" si="915"/>
        <v>616.29877276395757</v>
      </c>
      <c r="R248">
        <f t="shared" si="916"/>
        <v>-127751.87627262023</v>
      </c>
      <c r="S248">
        <f t="shared" si="917"/>
        <v>-1.2775187627262024</v>
      </c>
      <c r="T248">
        <f t="shared" si="918"/>
        <v>-1.2775187627262023E-3</v>
      </c>
    </row>
    <row r="249" spans="1:20" x14ac:dyDescent="0.25">
      <c r="A249" s="5">
        <v>44335</v>
      </c>
      <c r="B249">
        <v>418.1</v>
      </c>
      <c r="C249">
        <v>431.91</v>
      </c>
      <c r="D249">
        <v>253.74</v>
      </c>
      <c r="E249">
        <v>293.58999999999997</v>
      </c>
      <c r="F249">
        <v>2067.17092</v>
      </c>
      <c r="G249">
        <v>0</v>
      </c>
      <c r="L249" t="s">
        <v>7</v>
      </c>
      <c r="M249" t="s">
        <v>7</v>
      </c>
      <c r="N249" t="s">
        <v>7</v>
      </c>
      <c r="P249">
        <f t="shared" si="914"/>
        <v>-0.55267441207835255</v>
      </c>
      <c r="Q249">
        <f t="shared" si="915"/>
        <v>-1142.4724728764672</v>
      </c>
      <c r="R249">
        <f t="shared" si="916"/>
        <v>-128368.17504538418</v>
      </c>
      <c r="S249">
        <f t="shared" si="917"/>
        <v>-1.2836817504538418</v>
      </c>
      <c r="T249">
        <f t="shared" si="918"/>
        <v>-1.2836817504538417E-3</v>
      </c>
    </row>
    <row r="250" spans="1:20" x14ac:dyDescent="0.25">
      <c r="A250" s="5">
        <v>44334</v>
      </c>
      <c r="B250">
        <v>422.46</v>
      </c>
      <c r="C250">
        <v>453.28</v>
      </c>
      <c r="D250">
        <v>399.17</v>
      </c>
      <c r="E250">
        <v>416.56</v>
      </c>
      <c r="F250">
        <v>909.57411000000002</v>
      </c>
      <c r="G250">
        <v>0</v>
      </c>
      <c r="L250" t="s">
        <v>7</v>
      </c>
      <c r="M250" t="s">
        <v>7</v>
      </c>
      <c r="N250" t="s">
        <v>7</v>
      </c>
      <c r="P250">
        <f t="shared" si="914"/>
        <v>-0.35723526150434298</v>
      </c>
      <c r="Q250">
        <f t="shared" si="915"/>
        <v>-324.93194504343006</v>
      </c>
      <c r="R250">
        <f t="shared" si="916"/>
        <v>-127225.70257250771</v>
      </c>
      <c r="S250">
        <f t="shared" si="917"/>
        <v>-1.2722570257250772</v>
      </c>
      <c r="T250">
        <f t="shared" si="918"/>
        <v>-1.2722570257250772E-3</v>
      </c>
    </row>
    <row r="251" spans="1:20" x14ac:dyDescent="0.25">
      <c r="A251" s="5">
        <v>44333</v>
      </c>
      <c r="B251">
        <v>437.64</v>
      </c>
      <c r="C251">
        <v>454.67</v>
      </c>
      <c r="D251">
        <v>405</v>
      </c>
      <c r="E251">
        <v>420.58</v>
      </c>
      <c r="F251">
        <v>897.33226999999999</v>
      </c>
      <c r="G251">
        <v>0</v>
      </c>
      <c r="L251" t="s">
        <v>7</v>
      </c>
      <c r="M251" t="s">
        <v>7</v>
      </c>
      <c r="N251" t="s">
        <v>7</v>
      </c>
      <c r="P251">
        <f t="shared" si="914"/>
        <v>-0.37265955305013171</v>
      </c>
      <c r="Q251">
        <f t="shared" si="915"/>
        <v>-334.39944267566011</v>
      </c>
      <c r="R251">
        <f t="shared" si="916"/>
        <v>-126900.77062746428</v>
      </c>
      <c r="S251">
        <f t="shared" si="917"/>
        <v>-1.2690077062746428</v>
      </c>
      <c r="T251">
        <f t="shared" si="918"/>
        <v>-1.2690077062746427E-3</v>
      </c>
    </row>
    <row r="252" spans="1:20" x14ac:dyDescent="0.25">
      <c r="A252" s="5">
        <v>44332</v>
      </c>
      <c r="B252">
        <v>440.05</v>
      </c>
      <c r="C252">
        <v>525</v>
      </c>
      <c r="D252">
        <v>422.78</v>
      </c>
      <c r="E252">
        <v>437.64</v>
      </c>
      <c r="F252">
        <v>1216.0180499999999</v>
      </c>
      <c r="G252">
        <v>0</v>
      </c>
      <c r="L252" t="s">
        <v>7</v>
      </c>
      <c r="M252" t="s">
        <v>7</v>
      </c>
      <c r="N252" t="s">
        <v>7</v>
      </c>
      <c r="P252">
        <f t="shared" si="914"/>
        <v>-0.70925454901193485</v>
      </c>
      <c r="Q252">
        <f t="shared" si="915"/>
        <v>-862.46633364312243</v>
      </c>
      <c r="R252">
        <f t="shared" si="916"/>
        <v>-126566.37118478863</v>
      </c>
      <c r="S252">
        <f t="shared" si="917"/>
        <v>-1.2656637118478864</v>
      </c>
      <c r="T252">
        <f t="shared" si="918"/>
        <v>-1.2656637118478864E-3</v>
      </c>
    </row>
    <row r="253" spans="1:20" x14ac:dyDescent="0.25">
      <c r="A253" s="5">
        <v>44331</v>
      </c>
      <c r="B253">
        <v>510.22</v>
      </c>
      <c r="C253">
        <v>520.96</v>
      </c>
      <c r="D253">
        <v>429.46</v>
      </c>
      <c r="E253">
        <v>439.13</v>
      </c>
      <c r="F253">
        <v>1059.4515799999999</v>
      </c>
      <c r="G253">
        <v>0</v>
      </c>
      <c r="L253" t="s">
        <v>7</v>
      </c>
      <c r="M253" t="s">
        <v>7</v>
      </c>
      <c r="N253" t="s">
        <v>7</v>
      </c>
      <c r="P253">
        <f t="shared" ref="P253:P316" si="919">IF(C253=D253,0,((E253-D253)-(C253-E253))/(C253-D253))</f>
        <v>-0.78863387978142052</v>
      </c>
      <c r="Q253">
        <f t="shared" ref="Q253:Q316" si="920">F253*P253</f>
        <v>-835.51940997595591</v>
      </c>
      <c r="R253">
        <f t="shared" ref="R253:R316" si="921">R254+Q253</f>
        <v>-125703.9048511455</v>
      </c>
      <c r="S253">
        <f t="shared" ref="S253:S316" si="922">R253/100000</f>
        <v>-1.2570390485114551</v>
      </c>
      <c r="T253">
        <f t="shared" ref="T253:T316" si="923">S253/1000</f>
        <v>-1.257039048511455E-3</v>
      </c>
    </row>
    <row r="254" spans="1:20" x14ac:dyDescent="0.25">
      <c r="A254" s="5">
        <v>44330</v>
      </c>
      <c r="B254">
        <v>485.76</v>
      </c>
      <c r="C254">
        <v>580</v>
      </c>
      <c r="D254">
        <v>472.15</v>
      </c>
      <c r="E254">
        <v>513.9</v>
      </c>
      <c r="F254">
        <v>866.81386999999995</v>
      </c>
      <c r="G254">
        <v>0</v>
      </c>
      <c r="L254" t="s">
        <v>8</v>
      </c>
      <c r="M254" t="s">
        <v>8</v>
      </c>
      <c r="N254" t="s">
        <v>7</v>
      </c>
      <c r="P254">
        <f t="shared" si="919"/>
        <v>-0.22577654149281426</v>
      </c>
      <c r="Q254">
        <f t="shared" si="920"/>
        <v>-195.7062376866019</v>
      </c>
      <c r="R254">
        <f t="shared" si="921"/>
        <v>-124868.38544116955</v>
      </c>
      <c r="S254">
        <f t="shared" si="922"/>
        <v>-1.2486838544116956</v>
      </c>
      <c r="T254">
        <f t="shared" si="923"/>
        <v>-1.2486838544116957E-3</v>
      </c>
    </row>
    <row r="255" spans="1:20" x14ac:dyDescent="0.25">
      <c r="A255" s="5">
        <v>44329</v>
      </c>
      <c r="B255">
        <v>494.21</v>
      </c>
      <c r="C255">
        <v>528.89</v>
      </c>
      <c r="D255">
        <v>454.4</v>
      </c>
      <c r="E255">
        <v>485.75</v>
      </c>
      <c r="F255">
        <v>1897.9237800000001</v>
      </c>
      <c r="G255">
        <v>0</v>
      </c>
      <c r="L255" t="s">
        <v>7</v>
      </c>
      <c r="M255" t="s">
        <v>7</v>
      </c>
      <c r="N255" t="s">
        <v>7</v>
      </c>
      <c r="P255">
        <f t="shared" si="919"/>
        <v>-0.15827627869512637</v>
      </c>
      <c r="Q255">
        <f t="shared" si="920"/>
        <v>-300.39631314538769</v>
      </c>
      <c r="R255">
        <f t="shared" si="921"/>
        <v>-124672.67920348294</v>
      </c>
      <c r="S255">
        <f t="shared" si="922"/>
        <v>-1.2467267920348295</v>
      </c>
      <c r="T255">
        <f t="shared" si="923"/>
        <v>-1.2467267920348295E-3</v>
      </c>
    </row>
    <row r="256" spans="1:20" x14ac:dyDescent="0.25">
      <c r="A256" s="5">
        <v>44328</v>
      </c>
      <c r="B256">
        <v>580.61</v>
      </c>
      <c r="C256">
        <v>596.63</v>
      </c>
      <c r="D256">
        <v>491.39</v>
      </c>
      <c r="E256">
        <v>494.24</v>
      </c>
      <c r="F256">
        <v>1138.2930699999999</v>
      </c>
      <c r="G256">
        <v>0</v>
      </c>
      <c r="L256" t="s">
        <v>7</v>
      </c>
      <c r="M256" t="s">
        <v>7</v>
      </c>
      <c r="N256" t="s">
        <v>7</v>
      </c>
      <c r="P256">
        <f t="shared" si="919"/>
        <v>-0.94583808437856287</v>
      </c>
      <c r="Q256">
        <f t="shared" si="920"/>
        <v>-1076.6409367901933</v>
      </c>
      <c r="R256">
        <f t="shared" si="921"/>
        <v>-124372.28289033755</v>
      </c>
      <c r="S256">
        <f t="shared" si="922"/>
        <v>-1.2437228289033755</v>
      </c>
      <c r="T256">
        <f t="shared" si="923"/>
        <v>-1.2437228289033755E-3</v>
      </c>
    </row>
    <row r="257" spans="1:20" x14ac:dyDescent="0.25">
      <c r="A257" s="5">
        <v>44327</v>
      </c>
      <c r="B257">
        <v>553</v>
      </c>
      <c r="C257">
        <v>609.63</v>
      </c>
      <c r="D257">
        <v>525</v>
      </c>
      <c r="E257">
        <v>575.94000000000005</v>
      </c>
      <c r="F257">
        <v>1236.3858299999999</v>
      </c>
      <c r="G257">
        <v>0</v>
      </c>
      <c r="L257" t="s">
        <v>8</v>
      </c>
      <c r="M257" t="s">
        <v>7</v>
      </c>
      <c r="N257" t="s">
        <v>7</v>
      </c>
      <c r="P257">
        <f t="shared" si="919"/>
        <v>0.2038284296348826</v>
      </c>
      <c r="Q257">
        <f t="shared" si="920"/>
        <v>252.01058215172091</v>
      </c>
      <c r="R257">
        <f t="shared" si="921"/>
        <v>-123295.64195354735</v>
      </c>
      <c r="S257">
        <f t="shared" si="922"/>
        <v>-1.2329564195354736</v>
      </c>
      <c r="T257">
        <f t="shared" si="923"/>
        <v>-1.2329564195354735E-3</v>
      </c>
    </row>
    <row r="258" spans="1:20" x14ac:dyDescent="0.25">
      <c r="A258" s="5">
        <v>44326</v>
      </c>
      <c r="B258">
        <v>600</v>
      </c>
      <c r="C258">
        <v>622</v>
      </c>
      <c r="D258">
        <v>525.32000000000005</v>
      </c>
      <c r="E258">
        <v>553</v>
      </c>
      <c r="F258">
        <v>1251.4551300000001</v>
      </c>
      <c r="G258">
        <v>0</v>
      </c>
      <c r="L258" t="s">
        <v>7</v>
      </c>
      <c r="M258" t="s">
        <v>7</v>
      </c>
      <c r="N258" t="s">
        <v>7</v>
      </c>
      <c r="P258">
        <f t="shared" si="919"/>
        <v>-0.42738932561026138</v>
      </c>
      <c r="Q258">
        <f t="shared" si="920"/>
        <v>-534.85856404220203</v>
      </c>
      <c r="R258">
        <f t="shared" si="921"/>
        <v>-123547.65253569908</v>
      </c>
      <c r="S258">
        <f t="shared" si="922"/>
        <v>-1.2354765253569908</v>
      </c>
      <c r="T258">
        <f t="shared" si="923"/>
        <v>-1.2354765253569909E-3</v>
      </c>
    </row>
    <row r="259" spans="1:20" x14ac:dyDescent="0.25">
      <c r="A259" s="5">
        <v>44325</v>
      </c>
      <c r="B259">
        <v>608.97</v>
      </c>
      <c r="C259">
        <v>617.99</v>
      </c>
      <c r="D259">
        <v>557.62</v>
      </c>
      <c r="E259">
        <v>599.42999999999995</v>
      </c>
      <c r="F259">
        <v>848.99579000000006</v>
      </c>
      <c r="G259">
        <v>0</v>
      </c>
      <c r="L259" t="s">
        <v>7</v>
      </c>
      <c r="M259" t="s">
        <v>7</v>
      </c>
      <c r="N259" t="s">
        <v>8</v>
      </c>
      <c r="P259">
        <f t="shared" si="919"/>
        <v>0.38512506211694358</v>
      </c>
      <c r="Q259">
        <f t="shared" si="920"/>
        <v>326.96955636077359</v>
      </c>
      <c r="R259">
        <f t="shared" si="921"/>
        <v>-123012.79397165688</v>
      </c>
      <c r="S259">
        <f t="shared" si="922"/>
        <v>-1.2301279397165688</v>
      </c>
      <c r="T259">
        <f t="shared" si="923"/>
        <v>-1.2301279397165688E-3</v>
      </c>
    </row>
    <row r="260" spans="1:20" x14ac:dyDescent="0.25">
      <c r="A260" s="5">
        <v>44324</v>
      </c>
      <c r="B260">
        <v>595.64</v>
      </c>
      <c r="C260">
        <v>624</v>
      </c>
      <c r="D260">
        <v>592.76</v>
      </c>
      <c r="E260">
        <v>608.97</v>
      </c>
      <c r="F260">
        <v>751.82749000000001</v>
      </c>
      <c r="G260">
        <v>0</v>
      </c>
      <c r="L260" t="s">
        <v>8</v>
      </c>
      <c r="M260" t="s">
        <v>7</v>
      </c>
      <c r="N260" t="s">
        <v>8</v>
      </c>
      <c r="P260">
        <f t="shared" si="919"/>
        <v>3.7772087067863745E-2</v>
      </c>
      <c r="Q260">
        <f t="shared" si="920"/>
        <v>28.398093412293459</v>
      </c>
      <c r="R260">
        <f t="shared" si="921"/>
        <v>-123339.76352801765</v>
      </c>
      <c r="S260">
        <f t="shared" si="922"/>
        <v>-1.2333976352801765</v>
      </c>
      <c r="T260">
        <f t="shared" si="923"/>
        <v>-1.2333976352801766E-3</v>
      </c>
    </row>
    <row r="261" spans="1:20" x14ac:dyDescent="0.25">
      <c r="A261" s="5">
        <v>44323</v>
      </c>
      <c r="B261">
        <v>603.42999999999995</v>
      </c>
      <c r="C261">
        <v>613.25</v>
      </c>
      <c r="D261">
        <v>555.67999999999995</v>
      </c>
      <c r="E261">
        <v>595.63</v>
      </c>
      <c r="F261">
        <v>1419.0250699999999</v>
      </c>
      <c r="G261">
        <v>0</v>
      </c>
      <c r="L261" t="s">
        <v>7</v>
      </c>
      <c r="M261" t="s">
        <v>7</v>
      </c>
      <c r="N261" t="s">
        <v>8</v>
      </c>
      <c r="P261">
        <f t="shared" si="919"/>
        <v>0.38787562966823036</v>
      </c>
      <c r="Q261">
        <f t="shared" si="920"/>
        <v>550.40524254125467</v>
      </c>
      <c r="R261">
        <f t="shared" si="921"/>
        <v>-123368.16162142994</v>
      </c>
      <c r="S261">
        <f t="shared" si="922"/>
        <v>-1.2336816162142994</v>
      </c>
      <c r="T261">
        <f t="shared" si="923"/>
        <v>-1.2336816162142993E-3</v>
      </c>
    </row>
    <row r="262" spans="1:20" x14ac:dyDescent="0.25">
      <c r="A262" s="5">
        <v>44322</v>
      </c>
      <c r="B262">
        <v>638.80999999999995</v>
      </c>
      <c r="C262">
        <v>660.12</v>
      </c>
      <c r="D262">
        <v>575</v>
      </c>
      <c r="E262">
        <v>599.51</v>
      </c>
      <c r="F262">
        <v>1246.48613</v>
      </c>
      <c r="G262">
        <v>0</v>
      </c>
      <c r="L262" t="s">
        <v>7</v>
      </c>
      <c r="M262" t="s">
        <v>8</v>
      </c>
      <c r="N262" t="s">
        <v>8</v>
      </c>
      <c r="P262">
        <f t="shared" si="919"/>
        <v>-0.42410714285714313</v>
      </c>
      <c r="Q262">
        <f t="shared" si="920"/>
        <v>-528.64367120535746</v>
      </c>
      <c r="R262">
        <f t="shared" si="921"/>
        <v>-123918.56686397119</v>
      </c>
      <c r="S262">
        <f t="shared" si="922"/>
        <v>-1.239185668639712</v>
      </c>
      <c r="T262">
        <f t="shared" si="923"/>
        <v>-1.239185668639712E-3</v>
      </c>
    </row>
    <row r="263" spans="1:20" x14ac:dyDescent="0.25">
      <c r="A263" s="5">
        <v>44321</v>
      </c>
      <c r="B263">
        <v>595.55999999999995</v>
      </c>
      <c r="C263">
        <v>669.15</v>
      </c>
      <c r="D263">
        <v>582.49</v>
      </c>
      <c r="E263">
        <v>637.54</v>
      </c>
      <c r="F263">
        <v>1367.8334199999999</v>
      </c>
      <c r="G263">
        <v>0</v>
      </c>
      <c r="L263" t="s">
        <v>8</v>
      </c>
      <c r="M263" t="s">
        <v>8</v>
      </c>
      <c r="N263" t="s">
        <v>8</v>
      </c>
      <c r="P263">
        <f t="shared" si="919"/>
        <v>0.27048234479575295</v>
      </c>
      <c r="Q263">
        <f t="shared" si="920"/>
        <v>369.97479073159394</v>
      </c>
      <c r="R263">
        <f t="shared" si="921"/>
        <v>-123389.92319276584</v>
      </c>
      <c r="S263">
        <f t="shared" si="922"/>
        <v>-1.2338992319276585</v>
      </c>
      <c r="T263">
        <f t="shared" si="923"/>
        <v>-1.2338992319276584E-3</v>
      </c>
    </row>
    <row r="264" spans="1:20" x14ac:dyDescent="0.25">
      <c r="A264" s="5">
        <v>44320</v>
      </c>
      <c r="B264">
        <v>671.13</v>
      </c>
      <c r="C264">
        <v>671.14</v>
      </c>
      <c r="D264">
        <v>552.29999999999995</v>
      </c>
      <c r="E264">
        <v>594.16</v>
      </c>
      <c r="F264">
        <v>2394.4846400000001</v>
      </c>
      <c r="G264">
        <v>0</v>
      </c>
      <c r="L264" t="s">
        <v>7</v>
      </c>
      <c r="M264" t="s">
        <v>7</v>
      </c>
      <c r="N264" t="s">
        <v>8</v>
      </c>
      <c r="P264">
        <f t="shared" si="919"/>
        <v>-0.29552339279703799</v>
      </c>
      <c r="Q264">
        <f t="shared" si="920"/>
        <v>-707.62622481319409</v>
      </c>
      <c r="R264">
        <f t="shared" si="921"/>
        <v>-123759.89798349743</v>
      </c>
      <c r="S264">
        <f t="shared" si="922"/>
        <v>-1.2375989798349742</v>
      </c>
      <c r="T264">
        <f t="shared" si="923"/>
        <v>-1.2375989798349744E-3</v>
      </c>
    </row>
    <row r="265" spans="1:20" x14ac:dyDescent="0.25">
      <c r="A265" s="5">
        <v>44319</v>
      </c>
      <c r="B265">
        <v>691.54</v>
      </c>
      <c r="C265">
        <v>785</v>
      </c>
      <c r="D265">
        <v>652.54</v>
      </c>
      <c r="E265">
        <v>671.13</v>
      </c>
      <c r="F265">
        <v>1782.1309799999999</v>
      </c>
      <c r="G265">
        <v>0</v>
      </c>
      <c r="L265" t="s">
        <v>8</v>
      </c>
      <c r="M265" t="s">
        <v>8</v>
      </c>
      <c r="N265" t="s">
        <v>8</v>
      </c>
      <c r="P265">
        <f t="shared" si="919"/>
        <v>-0.71931149026121055</v>
      </c>
      <c r="Q265">
        <f t="shared" si="920"/>
        <v>-1281.9072910644716</v>
      </c>
      <c r="R265">
        <f t="shared" si="921"/>
        <v>-123052.27175868423</v>
      </c>
      <c r="S265">
        <f t="shared" si="922"/>
        <v>-1.2305227175868423</v>
      </c>
      <c r="T265">
        <f t="shared" si="923"/>
        <v>-1.2305227175868423E-3</v>
      </c>
    </row>
    <row r="266" spans="1:20" x14ac:dyDescent="0.25">
      <c r="A266" s="5">
        <v>44318</v>
      </c>
      <c r="B266">
        <v>655.94</v>
      </c>
      <c r="C266">
        <v>705</v>
      </c>
      <c r="D266">
        <v>610</v>
      </c>
      <c r="E266">
        <v>690.17</v>
      </c>
      <c r="F266">
        <v>1990.23803</v>
      </c>
      <c r="G266">
        <v>0</v>
      </c>
      <c r="L266" t="s">
        <v>7</v>
      </c>
      <c r="M266" t="s">
        <v>7</v>
      </c>
      <c r="N266" t="s">
        <v>8</v>
      </c>
      <c r="P266">
        <f t="shared" si="919"/>
        <v>0.68778947368420962</v>
      </c>
      <c r="Q266">
        <f t="shared" si="920"/>
        <v>1368.8647671599981</v>
      </c>
      <c r="R266">
        <f t="shared" si="921"/>
        <v>-121770.36446761976</v>
      </c>
      <c r="S266">
        <f t="shared" si="922"/>
        <v>-1.2177036446761975</v>
      </c>
      <c r="T266">
        <f t="shared" si="923"/>
        <v>-1.2177036446761975E-3</v>
      </c>
    </row>
    <row r="267" spans="1:20" x14ac:dyDescent="0.25">
      <c r="A267" s="5">
        <v>44317</v>
      </c>
      <c r="B267">
        <v>683.99</v>
      </c>
      <c r="C267">
        <v>710.23</v>
      </c>
      <c r="D267">
        <v>630.99</v>
      </c>
      <c r="E267">
        <v>652.01</v>
      </c>
      <c r="F267">
        <v>2019.85519</v>
      </c>
      <c r="G267">
        <v>0</v>
      </c>
      <c r="L267" t="s">
        <v>7</v>
      </c>
      <c r="M267" t="s">
        <v>8</v>
      </c>
      <c r="N267" t="s">
        <v>8</v>
      </c>
      <c r="P267">
        <f t="shared" si="919"/>
        <v>-0.46945986875315548</v>
      </c>
      <c r="Q267">
        <f t="shared" si="920"/>
        <v>-948.24095239777989</v>
      </c>
      <c r="R267">
        <f t="shared" si="921"/>
        <v>-123139.22923477976</v>
      </c>
      <c r="S267">
        <f t="shared" si="922"/>
        <v>-1.2313922923477976</v>
      </c>
      <c r="T267">
        <f t="shared" si="923"/>
        <v>-1.2313922923477977E-3</v>
      </c>
    </row>
    <row r="268" spans="1:20" x14ac:dyDescent="0.25">
      <c r="A268" s="5">
        <v>44316</v>
      </c>
      <c r="B268">
        <v>749.99</v>
      </c>
      <c r="C268">
        <v>750</v>
      </c>
      <c r="D268">
        <v>657.66</v>
      </c>
      <c r="E268">
        <v>688.93</v>
      </c>
      <c r="F268">
        <v>3026.1542599999998</v>
      </c>
      <c r="G268">
        <v>0</v>
      </c>
      <c r="L268" t="s">
        <v>7</v>
      </c>
      <c r="M268" t="s">
        <v>8</v>
      </c>
      <c r="N268" t="s">
        <v>8</v>
      </c>
      <c r="P268">
        <f t="shared" si="919"/>
        <v>-0.32272038119991397</v>
      </c>
      <c r="Q268">
        <f t="shared" si="920"/>
        <v>-976.60165635694352</v>
      </c>
      <c r="R268">
        <f t="shared" si="921"/>
        <v>-122190.98828238198</v>
      </c>
      <c r="S268">
        <f t="shared" si="922"/>
        <v>-1.2219098828238197</v>
      </c>
      <c r="T268">
        <f t="shared" si="923"/>
        <v>-1.2219098828238197E-3</v>
      </c>
    </row>
    <row r="269" spans="1:20" x14ac:dyDescent="0.25">
      <c r="A269" s="5">
        <v>44315</v>
      </c>
      <c r="B269">
        <v>603.97</v>
      </c>
      <c r="C269">
        <v>750</v>
      </c>
      <c r="D269">
        <v>554.44000000000005</v>
      </c>
      <c r="E269">
        <v>750</v>
      </c>
      <c r="F269">
        <v>9439.7623500000009</v>
      </c>
      <c r="G269">
        <v>0</v>
      </c>
      <c r="L269" t="s">
        <v>8</v>
      </c>
      <c r="M269" t="s">
        <v>8</v>
      </c>
      <c r="N269" t="s">
        <v>8</v>
      </c>
      <c r="P269">
        <f t="shared" si="919"/>
        <v>1</v>
      </c>
      <c r="Q269">
        <f t="shared" si="920"/>
        <v>9439.7623500000009</v>
      </c>
      <c r="R269">
        <f t="shared" si="921"/>
        <v>-121214.38662602504</v>
      </c>
      <c r="S269">
        <f t="shared" si="922"/>
        <v>-1.2121438662602504</v>
      </c>
      <c r="T269">
        <f t="shared" si="923"/>
        <v>-1.2121438662602503E-3</v>
      </c>
    </row>
    <row r="270" spans="1:20" x14ac:dyDescent="0.25">
      <c r="A270" s="5">
        <v>44314</v>
      </c>
      <c r="B270">
        <v>503.02</v>
      </c>
      <c r="C270">
        <v>617.70000000000005</v>
      </c>
      <c r="D270">
        <v>460</v>
      </c>
      <c r="E270">
        <v>603.99</v>
      </c>
      <c r="F270">
        <v>2005.1505299999999</v>
      </c>
      <c r="G270">
        <v>0</v>
      </c>
      <c r="L270" t="s">
        <v>8</v>
      </c>
      <c r="M270" t="s">
        <v>8</v>
      </c>
      <c r="N270" t="s">
        <v>8</v>
      </c>
      <c r="P270">
        <f t="shared" si="919"/>
        <v>0.82612555485098249</v>
      </c>
      <c r="Q270">
        <f t="shared" si="920"/>
        <v>1656.5060941559916</v>
      </c>
      <c r="R270">
        <f t="shared" si="921"/>
        <v>-130654.14897602504</v>
      </c>
      <c r="S270">
        <f t="shared" si="922"/>
        <v>-1.3065414897602503</v>
      </c>
      <c r="T270">
        <f t="shared" si="923"/>
        <v>-1.3065414897602504E-3</v>
      </c>
    </row>
    <row r="271" spans="1:20" x14ac:dyDescent="0.25">
      <c r="A271" s="5">
        <v>44313</v>
      </c>
      <c r="B271">
        <v>467.78</v>
      </c>
      <c r="C271">
        <v>516</v>
      </c>
      <c r="D271">
        <v>450.02</v>
      </c>
      <c r="E271">
        <v>504.29</v>
      </c>
      <c r="F271">
        <v>966.29034999999999</v>
      </c>
      <c r="G271">
        <v>0</v>
      </c>
      <c r="L271" t="s">
        <v>8</v>
      </c>
      <c r="M271" t="s">
        <v>8</v>
      </c>
      <c r="N271" t="s">
        <v>8</v>
      </c>
      <c r="P271">
        <f t="shared" si="919"/>
        <v>0.64504395271294401</v>
      </c>
      <c r="Q271">
        <f t="shared" si="920"/>
        <v>623.29974683237413</v>
      </c>
      <c r="R271">
        <f t="shared" si="921"/>
        <v>-132310.65507018103</v>
      </c>
      <c r="S271">
        <f t="shared" si="922"/>
        <v>-1.3231065507018103</v>
      </c>
      <c r="T271">
        <f t="shared" si="923"/>
        <v>-1.3231065507018102E-3</v>
      </c>
    </row>
    <row r="272" spans="1:20" x14ac:dyDescent="0.25">
      <c r="A272" s="5">
        <v>44312</v>
      </c>
      <c r="B272">
        <v>391.07</v>
      </c>
      <c r="C272">
        <v>471.53</v>
      </c>
      <c r="D272">
        <v>391.07</v>
      </c>
      <c r="E272">
        <v>471.53</v>
      </c>
      <c r="F272">
        <v>1073.5724499999999</v>
      </c>
      <c r="G272">
        <v>0</v>
      </c>
      <c r="L272" t="s">
        <v>8</v>
      </c>
      <c r="M272" t="s">
        <v>8</v>
      </c>
      <c r="N272" t="s">
        <v>8</v>
      </c>
      <c r="P272">
        <f t="shared" si="919"/>
        <v>1</v>
      </c>
      <c r="Q272">
        <f t="shared" si="920"/>
        <v>1073.5724499999999</v>
      </c>
      <c r="R272">
        <f t="shared" si="921"/>
        <v>-132933.95481701341</v>
      </c>
      <c r="S272">
        <f t="shared" si="922"/>
        <v>-1.329339548170134</v>
      </c>
      <c r="T272">
        <f t="shared" si="923"/>
        <v>-1.329339548170134E-3</v>
      </c>
    </row>
    <row r="273" spans="1:20" x14ac:dyDescent="0.25">
      <c r="A273" s="5">
        <v>44311</v>
      </c>
      <c r="B273">
        <v>387.37</v>
      </c>
      <c r="C273">
        <v>410.18</v>
      </c>
      <c r="D273">
        <v>374.99</v>
      </c>
      <c r="E273">
        <v>391.08</v>
      </c>
      <c r="F273">
        <v>567.56025</v>
      </c>
      <c r="G273">
        <v>0</v>
      </c>
      <c r="L273" t="s">
        <v>7</v>
      </c>
      <c r="M273" t="s">
        <v>8</v>
      </c>
      <c r="N273" t="s">
        <v>7</v>
      </c>
      <c r="P273">
        <f t="shared" si="919"/>
        <v>-8.5535663540779988E-2</v>
      </c>
      <c r="Q273">
        <f t="shared" si="920"/>
        <v>-48.546642583120978</v>
      </c>
      <c r="R273">
        <f t="shared" si="921"/>
        <v>-134007.52726701341</v>
      </c>
      <c r="S273">
        <f t="shared" si="922"/>
        <v>-1.3400752726701342</v>
      </c>
      <c r="T273">
        <f t="shared" si="923"/>
        <v>-1.3400752726701341E-3</v>
      </c>
    </row>
    <row r="274" spans="1:20" x14ac:dyDescent="0.25">
      <c r="A274" s="5">
        <v>44310</v>
      </c>
      <c r="B274">
        <v>400.37</v>
      </c>
      <c r="C274">
        <v>403.99</v>
      </c>
      <c r="D274">
        <v>359.64</v>
      </c>
      <c r="E274">
        <v>387.37</v>
      </c>
      <c r="F274">
        <v>877.17782</v>
      </c>
      <c r="G274">
        <v>0</v>
      </c>
      <c r="L274" t="s">
        <v>8</v>
      </c>
      <c r="M274" t="s">
        <v>8</v>
      </c>
      <c r="N274" t="s">
        <v>7</v>
      </c>
      <c r="P274">
        <f t="shared" si="919"/>
        <v>0.25050732807215348</v>
      </c>
      <c r="Q274">
        <f t="shared" si="920"/>
        <v>219.73947193235639</v>
      </c>
      <c r="R274">
        <f t="shared" si="921"/>
        <v>-133958.98062443029</v>
      </c>
      <c r="S274">
        <f t="shared" si="922"/>
        <v>-1.3395898062443028</v>
      </c>
      <c r="T274">
        <f t="shared" si="923"/>
        <v>-1.3395898062443028E-3</v>
      </c>
    </row>
    <row r="275" spans="1:20" x14ac:dyDescent="0.25">
      <c r="A275" s="5">
        <v>44309</v>
      </c>
      <c r="B275">
        <v>399.05</v>
      </c>
      <c r="C275">
        <v>407.07</v>
      </c>
      <c r="D275">
        <v>313.44</v>
      </c>
      <c r="E275">
        <v>400.37</v>
      </c>
      <c r="F275">
        <v>1268.62354</v>
      </c>
      <c r="G275">
        <v>0</v>
      </c>
      <c r="L275" t="s">
        <v>7</v>
      </c>
      <c r="M275" t="s">
        <v>7</v>
      </c>
      <c r="N275" t="s">
        <v>7</v>
      </c>
      <c r="P275">
        <f t="shared" si="919"/>
        <v>0.85688347751788985</v>
      </c>
      <c r="Q275">
        <f t="shared" si="920"/>
        <v>1087.062550616256</v>
      </c>
      <c r="R275">
        <f t="shared" si="921"/>
        <v>-134178.72009636264</v>
      </c>
      <c r="S275">
        <f t="shared" si="922"/>
        <v>-1.3417872009636265</v>
      </c>
      <c r="T275">
        <f t="shared" si="923"/>
        <v>-1.3417872009636265E-3</v>
      </c>
    </row>
    <row r="276" spans="1:20" x14ac:dyDescent="0.25">
      <c r="A276" s="5">
        <v>44308</v>
      </c>
      <c r="B276">
        <v>414.11</v>
      </c>
      <c r="C276">
        <v>436.01</v>
      </c>
      <c r="D276">
        <v>389.57</v>
      </c>
      <c r="E276">
        <v>398.69</v>
      </c>
      <c r="F276">
        <v>939.99350000000004</v>
      </c>
      <c r="G276">
        <v>0</v>
      </c>
      <c r="L276" t="s">
        <v>7</v>
      </c>
      <c r="M276" t="s">
        <v>7</v>
      </c>
      <c r="N276" t="s">
        <v>7</v>
      </c>
      <c r="P276">
        <f t="shared" si="919"/>
        <v>-0.60723514211886287</v>
      </c>
      <c r="Q276">
        <f t="shared" si="920"/>
        <v>-570.7970865633074</v>
      </c>
      <c r="R276">
        <f t="shared" si="921"/>
        <v>-135265.78264697889</v>
      </c>
      <c r="S276">
        <f t="shared" si="922"/>
        <v>-1.3526578264697888</v>
      </c>
      <c r="T276">
        <f t="shared" si="923"/>
        <v>-1.3526578264697888E-3</v>
      </c>
    </row>
    <row r="277" spans="1:20" x14ac:dyDescent="0.25">
      <c r="A277" s="5">
        <v>44307</v>
      </c>
      <c r="B277">
        <v>432.69</v>
      </c>
      <c r="C277">
        <v>445</v>
      </c>
      <c r="D277">
        <v>397.13</v>
      </c>
      <c r="E277">
        <v>414.09</v>
      </c>
      <c r="F277">
        <v>1181.66176</v>
      </c>
      <c r="G277">
        <v>0</v>
      </c>
      <c r="L277" t="s">
        <v>8</v>
      </c>
      <c r="M277" t="s">
        <v>7</v>
      </c>
      <c r="N277" t="s">
        <v>7</v>
      </c>
      <c r="P277">
        <f t="shared" si="919"/>
        <v>-0.29141424691873918</v>
      </c>
      <c r="Q277">
        <f t="shared" si="920"/>
        <v>-344.35307190307191</v>
      </c>
      <c r="R277">
        <f t="shared" si="921"/>
        <v>-134694.98556041557</v>
      </c>
      <c r="S277">
        <f t="shared" si="922"/>
        <v>-1.3469498556041557</v>
      </c>
      <c r="T277">
        <f t="shared" si="923"/>
        <v>-1.3469498556041557E-3</v>
      </c>
    </row>
    <row r="278" spans="1:20" x14ac:dyDescent="0.25">
      <c r="A278" s="5">
        <v>44306</v>
      </c>
      <c r="B278">
        <v>429.99</v>
      </c>
      <c r="C278">
        <v>437.01</v>
      </c>
      <c r="D278">
        <v>393.34</v>
      </c>
      <c r="E278">
        <v>432.7</v>
      </c>
      <c r="F278">
        <v>1020.28343</v>
      </c>
      <c r="G278">
        <v>0</v>
      </c>
      <c r="L278" t="s">
        <v>7</v>
      </c>
      <c r="M278" t="s">
        <v>7</v>
      </c>
      <c r="N278" t="s">
        <v>7</v>
      </c>
      <c r="P278">
        <f t="shared" si="919"/>
        <v>0.80261048774902677</v>
      </c>
      <c r="Q278">
        <f t="shared" si="920"/>
        <v>818.89018139454993</v>
      </c>
      <c r="R278">
        <f t="shared" si="921"/>
        <v>-134350.63248851249</v>
      </c>
      <c r="S278">
        <f t="shared" si="922"/>
        <v>-1.3435063248851249</v>
      </c>
      <c r="T278">
        <f t="shared" si="923"/>
        <v>-1.3435063248851248E-3</v>
      </c>
    </row>
    <row r="279" spans="1:20" x14ac:dyDescent="0.25">
      <c r="A279" s="5">
        <v>44305</v>
      </c>
      <c r="B279">
        <v>463.42</v>
      </c>
      <c r="C279">
        <v>479</v>
      </c>
      <c r="D279">
        <v>400</v>
      </c>
      <c r="E279">
        <v>429.24</v>
      </c>
      <c r="F279">
        <v>1578.46497</v>
      </c>
      <c r="G279">
        <v>0</v>
      </c>
      <c r="L279" t="s">
        <v>8</v>
      </c>
      <c r="M279" t="s">
        <v>8</v>
      </c>
      <c r="N279" t="s">
        <v>7</v>
      </c>
      <c r="P279">
        <f t="shared" si="919"/>
        <v>-0.25974683544303773</v>
      </c>
      <c r="Q279">
        <f t="shared" si="920"/>
        <v>-410.00128081518949</v>
      </c>
      <c r="R279">
        <f t="shared" si="921"/>
        <v>-135169.52266990705</v>
      </c>
      <c r="S279">
        <f t="shared" si="922"/>
        <v>-1.3516952266990705</v>
      </c>
      <c r="T279">
        <f t="shared" si="923"/>
        <v>-1.3516952266990705E-3</v>
      </c>
    </row>
    <row r="280" spans="1:20" x14ac:dyDescent="0.25">
      <c r="A280" s="5">
        <v>44304</v>
      </c>
      <c r="B280">
        <v>478.01</v>
      </c>
      <c r="C280">
        <v>485.12</v>
      </c>
      <c r="D280">
        <v>402</v>
      </c>
      <c r="E280">
        <v>460.74</v>
      </c>
      <c r="F280">
        <v>1692.0779500000001</v>
      </c>
      <c r="G280">
        <v>0</v>
      </c>
      <c r="L280" t="s">
        <v>7</v>
      </c>
      <c r="M280" t="s">
        <v>7</v>
      </c>
      <c r="N280" t="s">
        <v>7</v>
      </c>
      <c r="P280">
        <f t="shared" si="919"/>
        <v>0.41337824831568831</v>
      </c>
      <c r="Q280">
        <f t="shared" si="920"/>
        <v>699.46821898460087</v>
      </c>
      <c r="R280">
        <f t="shared" si="921"/>
        <v>-134759.52138909185</v>
      </c>
      <c r="S280">
        <f t="shared" si="922"/>
        <v>-1.3475952138909186</v>
      </c>
      <c r="T280">
        <f t="shared" si="923"/>
        <v>-1.3475952138909187E-3</v>
      </c>
    </row>
    <row r="281" spans="1:20" x14ac:dyDescent="0.25">
      <c r="A281" s="5">
        <v>44303</v>
      </c>
      <c r="B281">
        <v>492.62</v>
      </c>
      <c r="C281">
        <v>550</v>
      </c>
      <c r="D281">
        <v>473.35</v>
      </c>
      <c r="E281">
        <v>478.01</v>
      </c>
      <c r="F281">
        <v>1231.2081900000001</v>
      </c>
      <c r="G281">
        <v>0</v>
      </c>
      <c r="L281" t="s">
        <v>8</v>
      </c>
      <c r="M281" t="s">
        <v>8</v>
      </c>
      <c r="N281" t="s">
        <v>8</v>
      </c>
      <c r="P281">
        <f t="shared" si="919"/>
        <v>-0.87840834964122716</v>
      </c>
      <c r="Q281">
        <f t="shared" si="920"/>
        <v>-1081.5035542426624</v>
      </c>
      <c r="R281">
        <f t="shared" si="921"/>
        <v>-135458.98960807646</v>
      </c>
      <c r="S281">
        <f t="shared" si="922"/>
        <v>-1.3545898960807645</v>
      </c>
      <c r="T281">
        <f t="shared" si="923"/>
        <v>-1.3545898960807645E-3</v>
      </c>
    </row>
    <row r="282" spans="1:20" x14ac:dyDescent="0.25">
      <c r="A282" s="5">
        <v>44302</v>
      </c>
      <c r="B282">
        <v>513.99</v>
      </c>
      <c r="C282">
        <v>534</v>
      </c>
      <c r="D282">
        <v>465</v>
      </c>
      <c r="E282">
        <v>492.61</v>
      </c>
      <c r="F282">
        <v>1563.3150900000001</v>
      </c>
      <c r="G282">
        <v>0</v>
      </c>
      <c r="L282" t="s">
        <v>7</v>
      </c>
      <c r="M282" t="s">
        <v>8</v>
      </c>
      <c r="N282" t="s">
        <v>7</v>
      </c>
      <c r="P282">
        <f t="shared" si="919"/>
        <v>-0.19971014492753583</v>
      </c>
      <c r="Q282">
        <f t="shared" si="920"/>
        <v>-312.20988319130373</v>
      </c>
      <c r="R282">
        <f t="shared" si="921"/>
        <v>-134377.4860538338</v>
      </c>
      <c r="S282">
        <f t="shared" si="922"/>
        <v>-1.3437748605383379</v>
      </c>
      <c r="T282">
        <f t="shared" si="923"/>
        <v>-1.3437748605383379E-3</v>
      </c>
    </row>
    <row r="283" spans="1:20" x14ac:dyDescent="0.25">
      <c r="A283" s="5">
        <v>44301</v>
      </c>
      <c r="B283">
        <v>454.31</v>
      </c>
      <c r="C283">
        <v>538</v>
      </c>
      <c r="D283">
        <v>450</v>
      </c>
      <c r="E283">
        <v>512.16</v>
      </c>
      <c r="F283">
        <v>2466.49674</v>
      </c>
      <c r="G283">
        <v>0</v>
      </c>
      <c r="L283" t="s">
        <v>8</v>
      </c>
      <c r="M283" t="s">
        <v>8</v>
      </c>
      <c r="N283" t="s">
        <v>7</v>
      </c>
      <c r="P283">
        <f t="shared" si="919"/>
        <v>0.412727272727272</v>
      </c>
      <c r="Q283">
        <f t="shared" si="920"/>
        <v>1017.9904726909073</v>
      </c>
      <c r="R283">
        <f t="shared" si="921"/>
        <v>-134065.27617064249</v>
      </c>
      <c r="S283">
        <f t="shared" si="922"/>
        <v>-1.340652761706425</v>
      </c>
      <c r="T283">
        <f t="shared" si="923"/>
        <v>-1.3406527617064251E-3</v>
      </c>
    </row>
    <row r="284" spans="1:20" x14ac:dyDescent="0.25">
      <c r="A284" s="5">
        <v>44300</v>
      </c>
      <c r="B284">
        <v>457.27</v>
      </c>
      <c r="C284">
        <v>468.63</v>
      </c>
      <c r="D284">
        <v>426.14</v>
      </c>
      <c r="E284">
        <v>454.31</v>
      </c>
      <c r="F284">
        <v>1660.3214800000001</v>
      </c>
      <c r="G284">
        <v>0</v>
      </c>
      <c r="L284" t="s">
        <v>7</v>
      </c>
      <c r="M284" t="s">
        <v>8</v>
      </c>
      <c r="N284" t="s">
        <v>7</v>
      </c>
      <c r="P284">
        <f t="shared" si="919"/>
        <v>0.32595904918804469</v>
      </c>
      <c r="Q284">
        <f t="shared" si="920"/>
        <v>541.19681096728721</v>
      </c>
      <c r="R284">
        <f t="shared" si="921"/>
        <v>-135083.26664333339</v>
      </c>
      <c r="S284">
        <f t="shared" si="922"/>
        <v>-1.3508326664333339</v>
      </c>
      <c r="T284">
        <f t="shared" si="923"/>
        <v>-1.3508326664333338E-3</v>
      </c>
    </row>
    <row r="285" spans="1:20" x14ac:dyDescent="0.25">
      <c r="A285" s="5">
        <v>44299</v>
      </c>
      <c r="B285">
        <v>443.39</v>
      </c>
      <c r="C285">
        <v>483</v>
      </c>
      <c r="D285">
        <v>441</v>
      </c>
      <c r="E285">
        <v>459.54</v>
      </c>
      <c r="F285">
        <v>1801.39373</v>
      </c>
      <c r="G285">
        <v>0</v>
      </c>
      <c r="L285" t="s">
        <v>7</v>
      </c>
      <c r="M285" t="s">
        <v>8</v>
      </c>
      <c r="N285" t="s">
        <v>7</v>
      </c>
      <c r="P285">
        <f t="shared" si="919"/>
        <v>-0.11714285714285617</v>
      </c>
      <c r="Q285">
        <f t="shared" si="920"/>
        <v>-211.02040837142684</v>
      </c>
      <c r="R285">
        <f t="shared" si="921"/>
        <v>-135624.46345430068</v>
      </c>
      <c r="S285">
        <f t="shared" si="922"/>
        <v>-1.3562446345430068</v>
      </c>
      <c r="T285">
        <f t="shared" si="923"/>
        <v>-1.3562446345430068E-3</v>
      </c>
    </row>
    <row r="286" spans="1:20" x14ac:dyDescent="0.25">
      <c r="A286" s="5">
        <v>44298</v>
      </c>
      <c r="B286">
        <v>468.96</v>
      </c>
      <c r="C286">
        <v>494.8</v>
      </c>
      <c r="D286">
        <v>432.53</v>
      </c>
      <c r="E286">
        <v>442.04</v>
      </c>
      <c r="F286">
        <v>2009.91156</v>
      </c>
      <c r="G286">
        <v>0</v>
      </c>
      <c r="L286" t="s">
        <v>8</v>
      </c>
      <c r="M286" t="s">
        <v>8</v>
      </c>
      <c r="N286" t="s">
        <v>7</v>
      </c>
      <c r="P286">
        <f t="shared" si="919"/>
        <v>-0.69455596595471203</v>
      </c>
      <c r="Q286">
        <f t="shared" si="920"/>
        <v>-1395.9960650393421</v>
      </c>
      <c r="R286">
        <f t="shared" si="921"/>
        <v>-135413.44304592925</v>
      </c>
      <c r="S286">
        <f t="shared" si="922"/>
        <v>-1.3541344304592924</v>
      </c>
      <c r="T286">
        <f t="shared" si="923"/>
        <v>-1.3541344304592925E-3</v>
      </c>
    </row>
    <row r="287" spans="1:20" x14ac:dyDescent="0.25">
      <c r="A287" s="5">
        <v>44297</v>
      </c>
      <c r="B287">
        <v>430.23</v>
      </c>
      <c r="C287">
        <v>474</v>
      </c>
      <c r="D287">
        <v>428.29</v>
      </c>
      <c r="E287">
        <v>466.01</v>
      </c>
      <c r="F287">
        <v>1300.40499</v>
      </c>
      <c r="G287">
        <v>0</v>
      </c>
      <c r="L287" t="s">
        <v>8</v>
      </c>
      <c r="M287" t="s">
        <v>7</v>
      </c>
      <c r="N287" t="s">
        <v>7</v>
      </c>
      <c r="P287">
        <f t="shared" si="919"/>
        <v>0.65040472544300976</v>
      </c>
      <c r="Q287">
        <f t="shared" si="920"/>
        <v>845.78955048566979</v>
      </c>
      <c r="R287">
        <f t="shared" si="921"/>
        <v>-134017.44698088992</v>
      </c>
      <c r="S287">
        <f t="shared" si="922"/>
        <v>-1.3401744698088991</v>
      </c>
      <c r="T287">
        <f t="shared" si="923"/>
        <v>-1.340174469808899E-3</v>
      </c>
    </row>
    <row r="288" spans="1:20" x14ac:dyDescent="0.25">
      <c r="A288" s="5">
        <v>44296</v>
      </c>
      <c r="B288">
        <v>443.58</v>
      </c>
      <c r="C288">
        <v>454.99</v>
      </c>
      <c r="D288">
        <v>422</v>
      </c>
      <c r="E288">
        <v>430.24</v>
      </c>
      <c r="F288">
        <v>2366.2700599999998</v>
      </c>
      <c r="G288">
        <v>0</v>
      </c>
      <c r="L288" t="s">
        <v>7</v>
      </c>
      <c r="M288" t="s">
        <v>7</v>
      </c>
      <c r="N288" t="s">
        <v>7</v>
      </c>
      <c r="P288">
        <f t="shared" si="919"/>
        <v>-0.50045468323734421</v>
      </c>
      <c r="Q288">
        <f t="shared" si="920"/>
        <v>-1184.2109333313115</v>
      </c>
      <c r="R288">
        <f t="shared" si="921"/>
        <v>-134863.23653137559</v>
      </c>
      <c r="S288">
        <f t="shared" si="922"/>
        <v>-1.348632365313756</v>
      </c>
      <c r="T288">
        <f t="shared" si="923"/>
        <v>-1.348632365313756E-3</v>
      </c>
    </row>
    <row r="289" spans="1:20" x14ac:dyDescent="0.25">
      <c r="A289" s="5">
        <v>44295</v>
      </c>
      <c r="B289">
        <v>488.2</v>
      </c>
      <c r="C289">
        <v>500</v>
      </c>
      <c r="D289">
        <v>430.64</v>
      </c>
      <c r="E289">
        <v>444.25</v>
      </c>
      <c r="F289">
        <v>2453.7749100000001</v>
      </c>
      <c r="G289">
        <v>0</v>
      </c>
      <c r="L289" t="s">
        <v>7</v>
      </c>
      <c r="M289" t="s">
        <v>8</v>
      </c>
      <c r="N289" t="s">
        <v>7</v>
      </c>
      <c r="P289">
        <f t="shared" si="919"/>
        <v>-0.6075547866205302</v>
      </c>
      <c r="Q289">
        <f t="shared" si="920"/>
        <v>-1490.8026918598607</v>
      </c>
      <c r="R289">
        <f t="shared" si="921"/>
        <v>-133679.02559804427</v>
      </c>
      <c r="S289">
        <f t="shared" si="922"/>
        <v>-1.3367902559804428</v>
      </c>
      <c r="T289">
        <f t="shared" si="923"/>
        <v>-1.3367902559804428E-3</v>
      </c>
    </row>
    <row r="290" spans="1:20" x14ac:dyDescent="0.25">
      <c r="A290" s="5">
        <v>44294</v>
      </c>
      <c r="B290">
        <v>424.87</v>
      </c>
      <c r="C290">
        <v>514</v>
      </c>
      <c r="D290">
        <v>422.01</v>
      </c>
      <c r="E290">
        <v>489.39</v>
      </c>
      <c r="F290">
        <v>2002.8108999999999</v>
      </c>
      <c r="G290">
        <v>0</v>
      </c>
      <c r="L290" t="s">
        <v>8</v>
      </c>
      <c r="M290" t="s">
        <v>8</v>
      </c>
      <c r="N290" t="s">
        <v>7</v>
      </c>
      <c r="P290">
        <f t="shared" si="919"/>
        <v>0.46494184150451112</v>
      </c>
      <c r="Q290">
        <f t="shared" si="920"/>
        <v>931.19058803130724</v>
      </c>
      <c r="R290">
        <f t="shared" si="921"/>
        <v>-132188.22290618441</v>
      </c>
      <c r="S290">
        <f t="shared" si="922"/>
        <v>-1.3218822290618442</v>
      </c>
      <c r="T290">
        <f t="shared" si="923"/>
        <v>-1.3218822290618441E-3</v>
      </c>
    </row>
    <row r="291" spans="1:20" x14ac:dyDescent="0.25">
      <c r="A291" s="5">
        <v>44293</v>
      </c>
      <c r="B291">
        <v>445.73</v>
      </c>
      <c r="C291">
        <v>453.67</v>
      </c>
      <c r="D291">
        <v>375.23</v>
      </c>
      <c r="E291">
        <v>425.01</v>
      </c>
      <c r="F291">
        <v>4845.6156099999998</v>
      </c>
      <c r="G291">
        <v>0</v>
      </c>
      <c r="L291" t="s">
        <v>7</v>
      </c>
      <c r="M291" t="s">
        <v>7</v>
      </c>
      <c r="N291" t="s">
        <v>7</v>
      </c>
      <c r="P291">
        <f t="shared" si="919"/>
        <v>0.26925038245792898</v>
      </c>
      <c r="Q291">
        <f t="shared" si="920"/>
        <v>1304.6838562366108</v>
      </c>
      <c r="R291">
        <f t="shared" si="921"/>
        <v>-133119.41349421573</v>
      </c>
      <c r="S291">
        <f t="shared" si="922"/>
        <v>-1.3311941349421572</v>
      </c>
      <c r="T291">
        <f t="shared" si="923"/>
        <v>-1.3311941349421572E-3</v>
      </c>
    </row>
    <row r="292" spans="1:20" x14ac:dyDescent="0.25">
      <c r="A292" s="5">
        <v>44292</v>
      </c>
      <c r="B292">
        <v>490.67</v>
      </c>
      <c r="C292">
        <v>503.39</v>
      </c>
      <c r="D292">
        <v>443</v>
      </c>
      <c r="E292">
        <v>446.3</v>
      </c>
      <c r="F292">
        <v>2110.6095099999998</v>
      </c>
      <c r="G292">
        <v>0</v>
      </c>
      <c r="L292" t="s">
        <v>7</v>
      </c>
      <c r="M292" t="s">
        <v>7</v>
      </c>
      <c r="N292" t="s">
        <v>7</v>
      </c>
      <c r="P292">
        <f t="shared" si="919"/>
        <v>-0.89071038251366075</v>
      </c>
      <c r="Q292">
        <f t="shared" si="920"/>
        <v>-1879.94180398907</v>
      </c>
      <c r="R292">
        <f t="shared" si="921"/>
        <v>-134424.09735045233</v>
      </c>
      <c r="S292">
        <f t="shared" si="922"/>
        <v>-1.3442409735045233</v>
      </c>
      <c r="T292">
        <f t="shared" si="923"/>
        <v>-1.3442409735045233E-3</v>
      </c>
    </row>
    <row r="293" spans="1:20" x14ac:dyDescent="0.25">
      <c r="A293" s="5">
        <v>44291</v>
      </c>
      <c r="B293">
        <v>517.08000000000004</v>
      </c>
      <c r="C293">
        <v>540</v>
      </c>
      <c r="D293">
        <v>475.03</v>
      </c>
      <c r="E293">
        <v>488.43</v>
      </c>
      <c r="F293">
        <v>1792.4112</v>
      </c>
      <c r="G293">
        <v>0</v>
      </c>
      <c r="L293" t="s">
        <v>7</v>
      </c>
      <c r="M293" t="s">
        <v>7</v>
      </c>
      <c r="N293" t="s">
        <v>7</v>
      </c>
      <c r="P293">
        <f t="shared" si="919"/>
        <v>-0.58750192396490597</v>
      </c>
      <c r="Q293">
        <f t="shared" si="920"/>
        <v>-1053.0450285362458</v>
      </c>
      <c r="R293">
        <f t="shared" si="921"/>
        <v>-132544.15554646327</v>
      </c>
      <c r="S293">
        <f t="shared" si="922"/>
        <v>-1.3254415554646326</v>
      </c>
      <c r="T293">
        <f t="shared" si="923"/>
        <v>-1.3254415554646325E-3</v>
      </c>
    </row>
    <row r="294" spans="1:20" x14ac:dyDescent="0.25">
      <c r="A294" s="5">
        <v>44290</v>
      </c>
      <c r="B294">
        <v>515.61</v>
      </c>
      <c r="C294">
        <v>570</v>
      </c>
      <c r="D294">
        <v>502.81</v>
      </c>
      <c r="E294">
        <v>516.66</v>
      </c>
      <c r="F294">
        <v>1781.31339</v>
      </c>
      <c r="G294">
        <v>0</v>
      </c>
      <c r="L294" t="s">
        <v>7</v>
      </c>
      <c r="M294" t="s">
        <v>7</v>
      </c>
      <c r="N294" t="s">
        <v>7</v>
      </c>
      <c r="P294">
        <f t="shared" si="919"/>
        <v>-0.58773627027831621</v>
      </c>
      <c r="Q294">
        <f t="shared" si="920"/>
        <v>-1046.9424880354236</v>
      </c>
      <c r="R294">
        <f t="shared" si="921"/>
        <v>-131491.11051792701</v>
      </c>
      <c r="S294">
        <f t="shared" si="922"/>
        <v>-1.3149111051792701</v>
      </c>
      <c r="T294">
        <f t="shared" si="923"/>
        <v>-1.3149111051792702E-3</v>
      </c>
    </row>
    <row r="295" spans="1:20" x14ac:dyDescent="0.25">
      <c r="A295" s="5">
        <v>44289</v>
      </c>
      <c r="B295">
        <v>561.05999999999995</v>
      </c>
      <c r="C295">
        <v>580</v>
      </c>
      <c r="D295">
        <v>515</v>
      </c>
      <c r="E295">
        <v>515.61</v>
      </c>
      <c r="F295">
        <v>1119.2573</v>
      </c>
      <c r="G295">
        <v>0</v>
      </c>
      <c r="L295" t="s">
        <v>7</v>
      </c>
      <c r="M295" t="s">
        <v>7</v>
      </c>
      <c r="N295" t="s">
        <v>7</v>
      </c>
      <c r="P295">
        <f t="shared" si="919"/>
        <v>-0.9812307692307688</v>
      </c>
      <c r="Q295">
        <f t="shared" si="920"/>
        <v>-1098.2497014461533</v>
      </c>
      <c r="R295">
        <f t="shared" si="921"/>
        <v>-130444.16802989159</v>
      </c>
      <c r="S295">
        <f t="shared" si="922"/>
        <v>-1.3044416802989158</v>
      </c>
      <c r="T295">
        <f t="shared" si="923"/>
        <v>-1.3044416802989159E-3</v>
      </c>
    </row>
    <row r="296" spans="1:20" x14ac:dyDescent="0.25">
      <c r="A296" s="5">
        <v>44288</v>
      </c>
      <c r="B296">
        <v>569.91999999999996</v>
      </c>
      <c r="C296">
        <v>584.9</v>
      </c>
      <c r="D296">
        <v>538.72</v>
      </c>
      <c r="E296">
        <v>561.07000000000005</v>
      </c>
      <c r="F296">
        <v>1122.5317</v>
      </c>
      <c r="G296">
        <v>0</v>
      </c>
      <c r="L296" t="s">
        <v>7</v>
      </c>
      <c r="M296" t="s">
        <v>7</v>
      </c>
      <c r="N296" t="s">
        <v>7</v>
      </c>
      <c r="P296">
        <f t="shared" si="919"/>
        <v>-3.2048505846684845E-2</v>
      </c>
      <c r="Q296">
        <f t="shared" si="920"/>
        <v>-35.975463750539078</v>
      </c>
      <c r="R296">
        <f t="shared" si="921"/>
        <v>-129345.91832844543</v>
      </c>
      <c r="S296">
        <f t="shared" si="922"/>
        <v>-1.2934591832844544</v>
      </c>
      <c r="T296">
        <f t="shared" si="923"/>
        <v>-1.2934591832844545E-3</v>
      </c>
    </row>
    <row r="297" spans="1:20" x14ac:dyDescent="0.25">
      <c r="A297" s="5">
        <v>44287</v>
      </c>
      <c r="B297">
        <v>594.71</v>
      </c>
      <c r="C297">
        <v>598.85</v>
      </c>
      <c r="D297">
        <v>551</v>
      </c>
      <c r="E297">
        <v>569.33000000000004</v>
      </c>
      <c r="F297">
        <v>1405.35715</v>
      </c>
      <c r="G297">
        <v>0</v>
      </c>
      <c r="L297" t="s">
        <v>7</v>
      </c>
      <c r="M297" t="s">
        <v>7</v>
      </c>
      <c r="N297" t="s">
        <v>8</v>
      </c>
      <c r="P297">
        <f t="shared" si="919"/>
        <v>-0.23385579937303941</v>
      </c>
      <c r="Q297">
        <f t="shared" si="920"/>
        <v>-328.65091971786649</v>
      </c>
      <c r="R297">
        <f t="shared" si="921"/>
        <v>-129309.94286469489</v>
      </c>
      <c r="S297">
        <f t="shared" si="922"/>
        <v>-1.293099428646949</v>
      </c>
      <c r="T297">
        <f t="shared" si="923"/>
        <v>-1.2930994286469491E-3</v>
      </c>
    </row>
    <row r="298" spans="1:20" x14ac:dyDescent="0.25">
      <c r="A298" s="5">
        <v>44286</v>
      </c>
      <c r="B298">
        <v>574.99</v>
      </c>
      <c r="C298">
        <v>608.57000000000005</v>
      </c>
      <c r="D298">
        <v>554.03</v>
      </c>
      <c r="E298">
        <v>591.99</v>
      </c>
      <c r="F298">
        <v>1400.5333499999999</v>
      </c>
      <c r="G298">
        <v>0</v>
      </c>
      <c r="L298" t="s">
        <v>8</v>
      </c>
      <c r="M298" t="s">
        <v>7</v>
      </c>
      <c r="N298" t="s">
        <v>8</v>
      </c>
      <c r="P298">
        <f t="shared" si="919"/>
        <v>0.39200586725339137</v>
      </c>
      <c r="Q298">
        <f t="shared" si="920"/>
        <v>549.01729048404752</v>
      </c>
      <c r="R298">
        <f t="shared" si="921"/>
        <v>-128981.29194497703</v>
      </c>
      <c r="S298">
        <f t="shared" si="922"/>
        <v>-1.2898129194497703</v>
      </c>
      <c r="T298">
        <f t="shared" si="923"/>
        <v>-1.2898129194497702E-3</v>
      </c>
    </row>
    <row r="299" spans="1:20" x14ac:dyDescent="0.25">
      <c r="A299" s="5">
        <v>44285</v>
      </c>
      <c r="B299">
        <v>573.19000000000005</v>
      </c>
      <c r="C299">
        <v>588.84</v>
      </c>
      <c r="D299">
        <v>565</v>
      </c>
      <c r="E299">
        <v>572.12</v>
      </c>
      <c r="F299">
        <v>862.02412000000004</v>
      </c>
      <c r="G299">
        <v>0</v>
      </c>
      <c r="L299" t="s">
        <v>7</v>
      </c>
      <c r="M299" t="s">
        <v>7</v>
      </c>
      <c r="N299" t="s">
        <v>8</v>
      </c>
      <c r="P299">
        <f t="shared" si="919"/>
        <v>-0.40268456375838968</v>
      </c>
      <c r="Q299">
        <f t="shared" si="920"/>
        <v>-347.12380671140977</v>
      </c>
      <c r="R299">
        <f t="shared" si="921"/>
        <v>-129530.30923546107</v>
      </c>
      <c r="S299">
        <f t="shared" si="922"/>
        <v>-1.2953030923546107</v>
      </c>
      <c r="T299">
        <f t="shared" si="923"/>
        <v>-1.2953030923546108E-3</v>
      </c>
    </row>
    <row r="300" spans="1:20" x14ac:dyDescent="0.25">
      <c r="A300" s="5">
        <v>44284</v>
      </c>
      <c r="B300">
        <v>581.67999999999995</v>
      </c>
      <c r="C300">
        <v>600</v>
      </c>
      <c r="D300">
        <v>560</v>
      </c>
      <c r="E300">
        <v>573.19000000000005</v>
      </c>
      <c r="F300">
        <v>1454.06087</v>
      </c>
      <c r="G300">
        <v>0</v>
      </c>
      <c r="L300" t="s">
        <v>8</v>
      </c>
      <c r="M300" t="s">
        <v>7</v>
      </c>
      <c r="N300" t="s">
        <v>8</v>
      </c>
      <c r="P300">
        <f t="shared" si="919"/>
        <v>-0.34049999999999725</v>
      </c>
      <c r="Q300">
        <f t="shared" si="920"/>
        <v>-495.10772623499599</v>
      </c>
      <c r="R300">
        <f t="shared" si="921"/>
        <v>-129183.18542874967</v>
      </c>
      <c r="S300">
        <f t="shared" si="922"/>
        <v>-1.2918318542874967</v>
      </c>
      <c r="T300">
        <f t="shared" si="923"/>
        <v>-1.2918318542874967E-3</v>
      </c>
    </row>
    <row r="301" spans="1:20" x14ac:dyDescent="0.25">
      <c r="A301" s="5">
        <v>44283</v>
      </c>
      <c r="B301">
        <v>616.70000000000005</v>
      </c>
      <c r="C301">
        <v>622.79</v>
      </c>
      <c r="D301">
        <v>541</v>
      </c>
      <c r="E301">
        <v>582.69000000000005</v>
      </c>
      <c r="F301">
        <v>1356.6337000000001</v>
      </c>
      <c r="G301">
        <v>0</v>
      </c>
      <c r="L301" t="s">
        <v>7</v>
      </c>
      <c r="M301" t="s">
        <v>7</v>
      </c>
      <c r="N301" t="s">
        <v>8</v>
      </c>
      <c r="P301">
        <f t="shared" si="919"/>
        <v>1.9440029343442307E-2</v>
      </c>
      <c r="Q301">
        <f t="shared" si="920"/>
        <v>26.372998936302711</v>
      </c>
      <c r="R301">
        <f t="shared" si="921"/>
        <v>-128688.07770251467</v>
      </c>
      <c r="S301">
        <f t="shared" si="922"/>
        <v>-1.2868807770251467</v>
      </c>
      <c r="T301">
        <f t="shared" si="923"/>
        <v>-1.2868807770251467E-3</v>
      </c>
    </row>
    <row r="302" spans="1:20" x14ac:dyDescent="0.25">
      <c r="A302" s="5">
        <v>44282</v>
      </c>
      <c r="B302">
        <v>607.53</v>
      </c>
      <c r="C302">
        <v>628.54999999999995</v>
      </c>
      <c r="D302">
        <v>597.09</v>
      </c>
      <c r="E302">
        <v>620.33000000000004</v>
      </c>
      <c r="F302">
        <v>450.78501</v>
      </c>
      <c r="G302">
        <v>0</v>
      </c>
      <c r="L302" t="s">
        <v>7</v>
      </c>
      <c r="M302" t="s">
        <v>7</v>
      </c>
      <c r="N302" t="s">
        <v>8</v>
      </c>
      <c r="P302">
        <f t="shared" si="919"/>
        <v>0.47743165924984526</v>
      </c>
      <c r="Q302">
        <f t="shared" si="920"/>
        <v>215.2190352892581</v>
      </c>
      <c r="R302">
        <f t="shared" si="921"/>
        <v>-128714.45070145097</v>
      </c>
      <c r="S302">
        <f t="shared" si="922"/>
        <v>-1.2871445070145098</v>
      </c>
      <c r="T302">
        <f t="shared" si="923"/>
        <v>-1.2871445070145099E-3</v>
      </c>
    </row>
    <row r="303" spans="1:20" x14ac:dyDescent="0.25">
      <c r="A303" s="5">
        <v>44281</v>
      </c>
      <c r="B303">
        <v>573.17999999999995</v>
      </c>
      <c r="C303">
        <v>649</v>
      </c>
      <c r="D303">
        <v>573.17999999999995</v>
      </c>
      <c r="E303">
        <v>607.6</v>
      </c>
      <c r="F303">
        <v>928.83425</v>
      </c>
      <c r="G303">
        <v>0</v>
      </c>
      <c r="L303" t="s">
        <v>8</v>
      </c>
      <c r="M303" t="s">
        <v>7</v>
      </c>
      <c r="N303" t="s">
        <v>8</v>
      </c>
      <c r="P303">
        <f t="shared" si="919"/>
        <v>-9.2060142442625961E-2</v>
      </c>
      <c r="Q303">
        <f t="shared" si="920"/>
        <v>-85.508613360589649</v>
      </c>
      <c r="R303">
        <f t="shared" si="921"/>
        <v>-128929.66973674024</v>
      </c>
      <c r="S303">
        <f t="shared" si="922"/>
        <v>-1.2892966973674023</v>
      </c>
      <c r="T303">
        <f t="shared" si="923"/>
        <v>-1.2892966973674022E-3</v>
      </c>
    </row>
    <row r="304" spans="1:20" x14ac:dyDescent="0.25">
      <c r="A304" s="5">
        <v>44280</v>
      </c>
      <c r="B304">
        <v>614.23</v>
      </c>
      <c r="C304">
        <v>618.95000000000005</v>
      </c>
      <c r="D304">
        <v>560</v>
      </c>
      <c r="E304">
        <v>570</v>
      </c>
      <c r="F304">
        <v>918.16580999999996</v>
      </c>
      <c r="G304">
        <v>0</v>
      </c>
      <c r="L304" t="s">
        <v>7</v>
      </c>
      <c r="M304" t="s">
        <v>7</v>
      </c>
      <c r="N304" t="s">
        <v>8</v>
      </c>
      <c r="P304">
        <f t="shared" si="919"/>
        <v>-0.66072943172179843</v>
      </c>
      <c r="Q304">
        <f t="shared" si="920"/>
        <v>-606.65917386768479</v>
      </c>
      <c r="R304">
        <f t="shared" si="921"/>
        <v>-128844.16112337964</v>
      </c>
      <c r="S304">
        <f t="shared" si="922"/>
        <v>-1.2884416112337964</v>
      </c>
      <c r="T304">
        <f t="shared" si="923"/>
        <v>-1.2884416112337964E-3</v>
      </c>
    </row>
    <row r="305" spans="1:20" x14ac:dyDescent="0.25">
      <c r="A305" s="5">
        <v>44279</v>
      </c>
      <c r="B305">
        <v>651.26</v>
      </c>
      <c r="C305">
        <v>695</v>
      </c>
      <c r="D305">
        <v>600</v>
      </c>
      <c r="E305">
        <v>615.85</v>
      </c>
      <c r="F305">
        <v>980.74536999999998</v>
      </c>
      <c r="G305">
        <v>0</v>
      </c>
      <c r="L305" t="s">
        <v>7</v>
      </c>
      <c r="M305" t="s">
        <v>7</v>
      </c>
      <c r="N305" t="s">
        <v>8</v>
      </c>
      <c r="P305">
        <f t="shared" si="919"/>
        <v>-0.66631578947368375</v>
      </c>
      <c r="Q305">
        <f t="shared" si="920"/>
        <v>-653.48612548421011</v>
      </c>
      <c r="R305">
        <f t="shared" si="921"/>
        <v>-128237.50194951196</v>
      </c>
      <c r="S305">
        <f t="shared" si="922"/>
        <v>-1.2823750194951196</v>
      </c>
      <c r="T305">
        <f t="shared" si="923"/>
        <v>-1.2823750194951196E-3</v>
      </c>
    </row>
    <row r="306" spans="1:20" x14ac:dyDescent="0.25">
      <c r="A306" s="5">
        <v>44278</v>
      </c>
      <c r="B306">
        <v>631.86</v>
      </c>
      <c r="C306">
        <v>690.01</v>
      </c>
      <c r="D306">
        <v>615.26</v>
      </c>
      <c r="E306">
        <v>651.26</v>
      </c>
      <c r="F306">
        <v>1148.1985099999999</v>
      </c>
      <c r="G306">
        <v>0</v>
      </c>
      <c r="L306" t="s">
        <v>7</v>
      </c>
      <c r="M306" t="s">
        <v>7</v>
      </c>
      <c r="N306" t="s">
        <v>8</v>
      </c>
      <c r="P306">
        <f t="shared" si="919"/>
        <v>-3.678929765886288E-2</v>
      </c>
      <c r="Q306">
        <f t="shared" si="920"/>
        <v>-42.241416755852846</v>
      </c>
      <c r="R306">
        <f t="shared" si="921"/>
        <v>-127584.01582402775</v>
      </c>
      <c r="S306">
        <f t="shared" si="922"/>
        <v>-1.2758401582402776</v>
      </c>
      <c r="T306">
        <f t="shared" si="923"/>
        <v>-1.2758401582402775E-3</v>
      </c>
    </row>
    <row r="307" spans="1:20" x14ac:dyDescent="0.25">
      <c r="A307" s="5">
        <v>44277</v>
      </c>
      <c r="B307">
        <v>643.49</v>
      </c>
      <c r="C307">
        <v>750</v>
      </c>
      <c r="D307">
        <v>602</v>
      </c>
      <c r="E307">
        <v>631.86</v>
      </c>
      <c r="F307">
        <v>2497.8839499999999</v>
      </c>
      <c r="G307">
        <v>0</v>
      </c>
      <c r="L307" t="s">
        <v>8</v>
      </c>
      <c r="M307" t="s">
        <v>7</v>
      </c>
      <c r="N307" t="s">
        <v>8</v>
      </c>
      <c r="P307">
        <f t="shared" si="919"/>
        <v>-0.59648648648648628</v>
      </c>
      <c r="Q307">
        <f t="shared" si="920"/>
        <v>-1489.9540209864858</v>
      </c>
      <c r="R307">
        <f t="shared" si="921"/>
        <v>-127541.77440727189</v>
      </c>
      <c r="S307">
        <f t="shared" si="922"/>
        <v>-1.275417744072719</v>
      </c>
      <c r="T307">
        <f t="shared" si="923"/>
        <v>-1.2754177440727191E-3</v>
      </c>
    </row>
    <row r="308" spans="1:20" x14ac:dyDescent="0.25">
      <c r="A308" s="5">
        <v>44276</v>
      </c>
      <c r="B308">
        <v>612.48</v>
      </c>
      <c r="C308">
        <v>733</v>
      </c>
      <c r="D308">
        <v>599</v>
      </c>
      <c r="E308">
        <v>643.49</v>
      </c>
      <c r="F308">
        <v>1650.2224699999999</v>
      </c>
      <c r="G308">
        <v>0</v>
      </c>
      <c r="L308" t="s">
        <v>8</v>
      </c>
      <c r="M308" t="s">
        <v>8</v>
      </c>
      <c r="N308" t="s">
        <v>8</v>
      </c>
      <c r="P308">
        <f t="shared" si="919"/>
        <v>-0.3359701492537312</v>
      </c>
      <c r="Q308">
        <f t="shared" si="920"/>
        <v>-554.42548954776089</v>
      </c>
      <c r="R308">
        <f t="shared" si="921"/>
        <v>-126051.82038628541</v>
      </c>
      <c r="S308">
        <f t="shared" si="922"/>
        <v>-1.2605182038628542</v>
      </c>
      <c r="T308">
        <f t="shared" si="923"/>
        <v>-1.2605182038628541E-3</v>
      </c>
    </row>
    <row r="309" spans="1:20" x14ac:dyDescent="0.25">
      <c r="A309" s="5">
        <v>44275</v>
      </c>
      <c r="B309">
        <v>616.19000000000005</v>
      </c>
      <c r="C309">
        <v>640.77</v>
      </c>
      <c r="D309">
        <v>612</v>
      </c>
      <c r="E309">
        <v>612</v>
      </c>
      <c r="F309">
        <v>531.76777000000004</v>
      </c>
      <c r="G309">
        <v>0</v>
      </c>
      <c r="L309" t="s">
        <v>8</v>
      </c>
      <c r="M309" t="s">
        <v>8</v>
      </c>
      <c r="N309" t="s">
        <v>8</v>
      </c>
      <c r="P309">
        <f t="shared" si="919"/>
        <v>-1</v>
      </c>
      <c r="Q309">
        <f t="shared" si="920"/>
        <v>-531.76777000000004</v>
      </c>
      <c r="R309">
        <f t="shared" si="921"/>
        <v>-125497.39489673765</v>
      </c>
      <c r="S309">
        <f t="shared" si="922"/>
        <v>-1.2549739489673766</v>
      </c>
      <c r="T309">
        <f t="shared" si="923"/>
        <v>-1.2549739489673766E-3</v>
      </c>
    </row>
    <row r="310" spans="1:20" x14ac:dyDescent="0.25">
      <c r="A310" s="5">
        <v>44274</v>
      </c>
      <c r="B310">
        <v>627.33000000000004</v>
      </c>
      <c r="C310">
        <v>659</v>
      </c>
      <c r="D310">
        <v>596.03</v>
      </c>
      <c r="E310">
        <v>617.20000000000005</v>
      </c>
      <c r="F310">
        <v>1006.84909</v>
      </c>
      <c r="G310">
        <v>0</v>
      </c>
      <c r="L310" t="s">
        <v>7</v>
      </c>
      <c r="M310" t="s">
        <v>8</v>
      </c>
      <c r="N310" t="s">
        <v>8</v>
      </c>
      <c r="P310">
        <f t="shared" si="919"/>
        <v>-0.32761632523423651</v>
      </c>
      <c r="Q310">
        <f t="shared" si="920"/>
        <v>-329.86019893123506</v>
      </c>
      <c r="R310">
        <f t="shared" si="921"/>
        <v>-124965.62712673764</v>
      </c>
      <c r="S310">
        <f t="shared" si="922"/>
        <v>-1.2496562712673764</v>
      </c>
      <c r="T310">
        <f t="shared" si="923"/>
        <v>-1.2496562712673764E-3</v>
      </c>
    </row>
    <row r="311" spans="1:20" x14ac:dyDescent="0.25">
      <c r="A311" s="5">
        <v>44273</v>
      </c>
      <c r="B311">
        <v>633.95000000000005</v>
      </c>
      <c r="C311">
        <v>675</v>
      </c>
      <c r="D311">
        <v>600</v>
      </c>
      <c r="E311">
        <v>627.33000000000004</v>
      </c>
      <c r="F311">
        <v>1420.73532</v>
      </c>
      <c r="G311">
        <v>0</v>
      </c>
      <c r="L311" t="s">
        <v>8</v>
      </c>
      <c r="M311" t="s">
        <v>8</v>
      </c>
      <c r="N311" t="s">
        <v>8</v>
      </c>
      <c r="P311">
        <f t="shared" si="919"/>
        <v>-0.27119999999999889</v>
      </c>
      <c r="Q311">
        <f t="shared" si="920"/>
        <v>-385.30341878399844</v>
      </c>
      <c r="R311">
        <f t="shared" si="921"/>
        <v>-124635.76692780641</v>
      </c>
      <c r="S311">
        <f t="shared" si="922"/>
        <v>-1.2463576692780642</v>
      </c>
      <c r="T311">
        <f t="shared" si="923"/>
        <v>-1.2463576692780642E-3</v>
      </c>
    </row>
    <row r="312" spans="1:20" x14ac:dyDescent="0.25">
      <c r="A312" s="5">
        <v>44272</v>
      </c>
      <c r="B312">
        <v>564.83000000000004</v>
      </c>
      <c r="C312">
        <v>650</v>
      </c>
      <c r="D312">
        <v>550</v>
      </c>
      <c r="E312">
        <v>632.01</v>
      </c>
      <c r="F312">
        <v>1967.3415500000001</v>
      </c>
      <c r="G312">
        <v>0</v>
      </c>
      <c r="L312" t="s">
        <v>8</v>
      </c>
      <c r="M312" t="s">
        <v>8</v>
      </c>
      <c r="N312" t="s">
        <v>8</v>
      </c>
      <c r="P312">
        <f t="shared" si="919"/>
        <v>0.64019999999999977</v>
      </c>
      <c r="Q312">
        <f t="shared" si="920"/>
        <v>1259.4920603099997</v>
      </c>
      <c r="R312">
        <f t="shared" si="921"/>
        <v>-124250.46350902242</v>
      </c>
      <c r="S312">
        <f t="shared" si="922"/>
        <v>-1.2425046350902242</v>
      </c>
      <c r="T312">
        <f t="shared" si="923"/>
        <v>-1.2425046350902243E-3</v>
      </c>
    </row>
    <row r="313" spans="1:20" x14ac:dyDescent="0.25">
      <c r="A313" s="5">
        <v>44271</v>
      </c>
      <c r="B313">
        <v>539.01</v>
      </c>
      <c r="C313">
        <v>580.19000000000005</v>
      </c>
      <c r="D313">
        <v>526</v>
      </c>
      <c r="E313">
        <v>568</v>
      </c>
      <c r="F313">
        <v>1102.00892</v>
      </c>
      <c r="G313">
        <v>0</v>
      </c>
      <c r="L313" t="s">
        <v>8</v>
      </c>
      <c r="M313" t="s">
        <v>7</v>
      </c>
      <c r="N313" t="s">
        <v>8</v>
      </c>
      <c r="P313">
        <f t="shared" si="919"/>
        <v>0.55010149474072556</v>
      </c>
      <c r="Q313">
        <f t="shared" si="920"/>
        <v>606.21675410961268</v>
      </c>
      <c r="R313">
        <f t="shared" si="921"/>
        <v>-125509.95556933242</v>
      </c>
      <c r="S313">
        <f t="shared" si="922"/>
        <v>-1.2550995556933242</v>
      </c>
      <c r="T313">
        <f t="shared" si="923"/>
        <v>-1.2550995556933242E-3</v>
      </c>
    </row>
    <row r="314" spans="1:20" x14ac:dyDescent="0.25">
      <c r="A314" s="5">
        <v>44270</v>
      </c>
      <c r="B314">
        <v>600.04999999999995</v>
      </c>
      <c r="C314">
        <v>637</v>
      </c>
      <c r="D314">
        <v>520</v>
      </c>
      <c r="E314">
        <v>539</v>
      </c>
      <c r="F314">
        <v>1782.4326699999999</v>
      </c>
      <c r="G314">
        <v>0</v>
      </c>
      <c r="L314" t="s">
        <v>7</v>
      </c>
      <c r="M314" t="s">
        <v>7</v>
      </c>
      <c r="N314" t="s">
        <v>8</v>
      </c>
      <c r="P314">
        <f t="shared" si="919"/>
        <v>-0.67521367521367526</v>
      </c>
      <c r="Q314">
        <f t="shared" si="920"/>
        <v>-1203.5229139316239</v>
      </c>
      <c r="R314">
        <f t="shared" si="921"/>
        <v>-126116.17232344204</v>
      </c>
      <c r="S314">
        <f t="shared" si="922"/>
        <v>-1.2611617232344203</v>
      </c>
      <c r="T314">
        <f t="shared" si="923"/>
        <v>-1.2611617232344203E-3</v>
      </c>
    </row>
    <row r="315" spans="1:20" x14ac:dyDescent="0.25">
      <c r="A315" s="5">
        <v>44269</v>
      </c>
      <c r="B315">
        <v>612.62</v>
      </c>
      <c r="C315">
        <v>640.04</v>
      </c>
      <c r="D315">
        <v>577</v>
      </c>
      <c r="E315">
        <v>603.09</v>
      </c>
      <c r="F315">
        <v>1305.9570100000001</v>
      </c>
      <c r="G315">
        <v>0</v>
      </c>
      <c r="L315" t="s">
        <v>8</v>
      </c>
      <c r="M315" t="s">
        <v>7</v>
      </c>
      <c r="N315" t="s">
        <v>8</v>
      </c>
      <c r="P315">
        <f t="shared" si="919"/>
        <v>-0.17227157360405942</v>
      </c>
      <c r="Q315">
        <f t="shared" si="920"/>
        <v>-224.97926917195238</v>
      </c>
      <c r="R315">
        <f t="shared" si="921"/>
        <v>-124912.64940951041</v>
      </c>
      <c r="S315">
        <f t="shared" si="922"/>
        <v>-1.2491264940951041</v>
      </c>
      <c r="T315">
        <f t="shared" si="923"/>
        <v>-1.2491264940951042E-3</v>
      </c>
    </row>
    <row r="316" spans="1:20" x14ac:dyDescent="0.25">
      <c r="A316" s="5">
        <v>44268</v>
      </c>
      <c r="B316">
        <v>605.82000000000005</v>
      </c>
      <c r="C316">
        <v>645</v>
      </c>
      <c r="D316">
        <v>571</v>
      </c>
      <c r="E316">
        <v>612.63</v>
      </c>
      <c r="F316">
        <v>1538.7092399999999</v>
      </c>
      <c r="G316">
        <v>0</v>
      </c>
      <c r="L316" t="s">
        <v>7</v>
      </c>
      <c r="M316" t="s">
        <v>7</v>
      </c>
      <c r="N316" t="s">
        <v>8</v>
      </c>
      <c r="P316">
        <f t="shared" si="919"/>
        <v>0.12513513513513502</v>
      </c>
      <c r="Q316">
        <f t="shared" si="920"/>
        <v>192.54658868108089</v>
      </c>
      <c r="R316">
        <f t="shared" si="921"/>
        <v>-124687.67014033846</v>
      </c>
      <c r="S316">
        <f t="shared" si="922"/>
        <v>-1.2468767014033846</v>
      </c>
      <c r="T316">
        <f t="shared" si="923"/>
        <v>-1.2468767014033847E-3</v>
      </c>
    </row>
    <row r="317" spans="1:20" x14ac:dyDescent="0.25">
      <c r="A317" s="5">
        <v>44267</v>
      </c>
      <c r="B317">
        <v>547.79999999999995</v>
      </c>
      <c r="C317">
        <v>694.99</v>
      </c>
      <c r="D317">
        <v>533.92999999999995</v>
      </c>
      <c r="E317">
        <v>605.82000000000005</v>
      </c>
      <c r="F317">
        <v>4732.76602</v>
      </c>
      <c r="G317">
        <v>0</v>
      </c>
      <c r="L317" t="s">
        <v>8</v>
      </c>
      <c r="M317" t="s">
        <v>8</v>
      </c>
      <c r="N317" t="s">
        <v>8</v>
      </c>
      <c r="P317">
        <f t="shared" ref="P317:P380" si="924">IF(C317=D317,0,((E317-D317)-(C317-E317))/(C317-D317))</f>
        <v>-0.10728920899043744</v>
      </c>
      <c r="Q317">
        <f t="shared" ref="Q317:Q380" si="925">F317*P317</f>
        <v>-507.7747226226208</v>
      </c>
      <c r="R317">
        <f t="shared" ref="R317:R380" si="926">R318+Q317</f>
        <v>-124880.21672901955</v>
      </c>
      <c r="S317">
        <f t="shared" ref="S317:S380" si="927">R317/100000</f>
        <v>-1.2488021672901954</v>
      </c>
      <c r="T317">
        <f t="shared" ref="T317:T380" si="928">S317/1000</f>
        <v>-1.2488021672901954E-3</v>
      </c>
    </row>
    <row r="318" spans="1:20" x14ac:dyDescent="0.25">
      <c r="A318" s="5">
        <v>44266</v>
      </c>
      <c r="B318">
        <v>513.92999999999995</v>
      </c>
      <c r="C318">
        <v>549.9</v>
      </c>
      <c r="D318">
        <v>500</v>
      </c>
      <c r="E318">
        <v>547.79</v>
      </c>
      <c r="F318">
        <v>3021.79738</v>
      </c>
      <c r="G318">
        <v>0</v>
      </c>
      <c r="L318" t="s">
        <v>7</v>
      </c>
      <c r="M318" t="s">
        <v>7</v>
      </c>
      <c r="N318" t="s">
        <v>7</v>
      </c>
      <c r="P318">
        <f t="shared" si="924"/>
        <v>0.91543086172344634</v>
      </c>
      <c r="Q318">
        <f t="shared" si="925"/>
        <v>2766.2465795270523</v>
      </c>
      <c r="R318">
        <f t="shared" si="926"/>
        <v>-124372.44200639693</v>
      </c>
      <c r="S318">
        <f t="shared" si="927"/>
        <v>-1.2437244200639692</v>
      </c>
      <c r="T318">
        <f t="shared" si="928"/>
        <v>-1.2437244200639692E-3</v>
      </c>
    </row>
    <row r="319" spans="1:20" x14ac:dyDescent="0.25">
      <c r="A319" s="5">
        <v>44265</v>
      </c>
      <c r="B319">
        <v>537.01</v>
      </c>
      <c r="C319">
        <v>550.54</v>
      </c>
      <c r="D319">
        <v>500</v>
      </c>
      <c r="E319">
        <v>514.04</v>
      </c>
      <c r="F319">
        <v>2856.3955799999999</v>
      </c>
      <c r="G319">
        <v>0</v>
      </c>
      <c r="L319" t="s">
        <v>8</v>
      </c>
      <c r="M319" t="s">
        <v>7</v>
      </c>
      <c r="N319" t="s">
        <v>7</v>
      </c>
      <c r="P319">
        <f t="shared" si="924"/>
        <v>-0.44440047487139006</v>
      </c>
      <c r="Q319">
        <f t="shared" si="925"/>
        <v>-1269.3835521725396</v>
      </c>
      <c r="R319">
        <f t="shared" si="926"/>
        <v>-127138.68858592398</v>
      </c>
      <c r="S319">
        <f t="shared" si="927"/>
        <v>-1.2713868858592399</v>
      </c>
      <c r="T319">
        <f t="shared" si="928"/>
        <v>-1.2713868858592399E-3</v>
      </c>
    </row>
    <row r="320" spans="1:20" x14ac:dyDescent="0.25">
      <c r="A320" s="5">
        <v>44264</v>
      </c>
      <c r="B320">
        <v>516.71</v>
      </c>
      <c r="C320">
        <v>550</v>
      </c>
      <c r="D320">
        <v>500</v>
      </c>
      <c r="E320">
        <v>537</v>
      </c>
      <c r="F320">
        <v>3863.63816</v>
      </c>
      <c r="G320">
        <v>0</v>
      </c>
      <c r="L320" t="s">
        <v>7</v>
      </c>
      <c r="M320" t="s">
        <v>7</v>
      </c>
      <c r="N320" t="s">
        <v>7</v>
      </c>
      <c r="P320">
        <f t="shared" si="924"/>
        <v>0.48</v>
      </c>
      <c r="Q320">
        <f t="shared" si="925"/>
        <v>1854.5463167999999</v>
      </c>
      <c r="R320">
        <f t="shared" si="926"/>
        <v>-125869.30503375144</v>
      </c>
      <c r="S320">
        <f t="shared" si="927"/>
        <v>-1.2586930503375144</v>
      </c>
      <c r="T320">
        <f t="shared" si="928"/>
        <v>-1.2586930503375145E-3</v>
      </c>
    </row>
    <row r="321" spans="1:20" x14ac:dyDescent="0.25">
      <c r="A321" s="5">
        <v>44263</v>
      </c>
      <c r="B321">
        <v>525.46</v>
      </c>
      <c r="C321">
        <v>544.72</v>
      </c>
      <c r="D321">
        <v>510</v>
      </c>
      <c r="E321">
        <v>516.71</v>
      </c>
      <c r="F321">
        <v>3325.4056500000002</v>
      </c>
      <c r="G321">
        <v>0</v>
      </c>
      <c r="L321" t="s">
        <v>8</v>
      </c>
      <c r="M321" t="s">
        <v>7</v>
      </c>
      <c r="N321" t="s">
        <v>7</v>
      </c>
      <c r="P321">
        <f t="shared" si="924"/>
        <v>-0.61347926267280928</v>
      </c>
      <c r="Q321">
        <f t="shared" si="925"/>
        <v>-2040.0674062499941</v>
      </c>
      <c r="R321">
        <f t="shared" si="926"/>
        <v>-127723.85135055144</v>
      </c>
      <c r="S321">
        <f t="shared" si="927"/>
        <v>-1.2772385135055144</v>
      </c>
      <c r="T321">
        <f t="shared" si="928"/>
        <v>-1.2772385135055144E-3</v>
      </c>
    </row>
    <row r="322" spans="1:20" x14ac:dyDescent="0.25">
      <c r="A322" s="5">
        <v>44262</v>
      </c>
      <c r="B322">
        <v>586.46</v>
      </c>
      <c r="C322">
        <v>603</v>
      </c>
      <c r="D322">
        <v>478.58</v>
      </c>
      <c r="E322">
        <v>525</v>
      </c>
      <c r="F322">
        <v>9612.2415999999994</v>
      </c>
      <c r="G322">
        <v>0</v>
      </c>
      <c r="L322" t="s">
        <v>7</v>
      </c>
      <c r="M322" t="s">
        <v>7</v>
      </c>
      <c r="N322" t="s">
        <v>7</v>
      </c>
      <c r="P322">
        <f t="shared" si="924"/>
        <v>-0.25381771419385935</v>
      </c>
      <c r="Q322">
        <f t="shared" si="925"/>
        <v>-2439.757191191125</v>
      </c>
      <c r="R322">
        <f t="shared" si="926"/>
        <v>-125683.78394430145</v>
      </c>
      <c r="S322">
        <f t="shared" si="927"/>
        <v>-1.2568378394430146</v>
      </c>
      <c r="T322">
        <f t="shared" si="928"/>
        <v>-1.2568378394430147E-3</v>
      </c>
    </row>
    <row r="323" spans="1:20" x14ac:dyDescent="0.25">
      <c r="A323" s="5">
        <v>44261</v>
      </c>
      <c r="B323">
        <v>646.20000000000005</v>
      </c>
      <c r="C323">
        <v>669</v>
      </c>
      <c r="D323">
        <v>548</v>
      </c>
      <c r="E323">
        <v>586.46</v>
      </c>
      <c r="F323">
        <v>5962.9732700000004</v>
      </c>
      <c r="G323">
        <v>0</v>
      </c>
      <c r="L323" t="s">
        <v>8</v>
      </c>
      <c r="M323" t="s">
        <v>8</v>
      </c>
      <c r="N323" t="s">
        <v>7</v>
      </c>
      <c r="P323">
        <f t="shared" si="924"/>
        <v>-0.36429752066115645</v>
      </c>
      <c r="Q323">
        <f t="shared" si="925"/>
        <v>-2172.2963780297487</v>
      </c>
      <c r="R323">
        <f t="shared" si="926"/>
        <v>-123244.02675311033</v>
      </c>
      <c r="S323">
        <f t="shared" si="927"/>
        <v>-1.2324402675311033</v>
      </c>
      <c r="T323">
        <f t="shared" si="928"/>
        <v>-1.2324402675311032E-3</v>
      </c>
    </row>
    <row r="324" spans="1:20" x14ac:dyDescent="0.25">
      <c r="A324" s="5">
        <v>44260</v>
      </c>
      <c r="B324">
        <v>855.85</v>
      </c>
      <c r="C324">
        <v>858.73</v>
      </c>
      <c r="D324">
        <v>535.46</v>
      </c>
      <c r="E324">
        <v>642.97</v>
      </c>
      <c r="F324">
        <v>13074.73547</v>
      </c>
      <c r="G324">
        <v>0</v>
      </c>
      <c r="L324" t="s">
        <v>7</v>
      </c>
      <c r="M324" t="s">
        <v>7</v>
      </c>
      <c r="N324" t="s">
        <v>7</v>
      </c>
      <c r="P324">
        <f t="shared" si="924"/>
        <v>-0.33485940545055221</v>
      </c>
      <c r="Q324">
        <f t="shared" si="925"/>
        <v>-4378.1981459074459</v>
      </c>
      <c r="R324">
        <f t="shared" si="926"/>
        <v>-121071.73037508059</v>
      </c>
      <c r="S324">
        <f t="shared" si="927"/>
        <v>-1.2107173037508059</v>
      </c>
      <c r="T324">
        <f t="shared" si="928"/>
        <v>-1.2107173037508058E-3</v>
      </c>
    </row>
    <row r="325" spans="1:20" x14ac:dyDescent="0.25">
      <c r="A325" s="5">
        <v>44259</v>
      </c>
      <c r="B325">
        <v>946</v>
      </c>
      <c r="C325">
        <v>957.53</v>
      </c>
      <c r="D325">
        <v>847.62</v>
      </c>
      <c r="E325">
        <v>852.61</v>
      </c>
      <c r="F325">
        <v>734.54213000000004</v>
      </c>
      <c r="G325">
        <v>0</v>
      </c>
      <c r="L325" t="s">
        <v>7</v>
      </c>
      <c r="M325" t="s">
        <v>7</v>
      </c>
      <c r="N325" t="s">
        <v>7</v>
      </c>
      <c r="P325">
        <f t="shared" si="924"/>
        <v>-0.90919843508324971</v>
      </c>
      <c r="Q325">
        <f t="shared" si="925"/>
        <v>-667.84455509871702</v>
      </c>
      <c r="R325">
        <f t="shared" si="926"/>
        <v>-116693.53222917314</v>
      </c>
      <c r="S325">
        <f t="shared" si="927"/>
        <v>-1.1669353222917314</v>
      </c>
      <c r="T325">
        <f t="shared" si="928"/>
        <v>-1.1669353222917313E-3</v>
      </c>
    </row>
    <row r="326" spans="1:20" x14ac:dyDescent="0.25">
      <c r="A326" s="5">
        <v>44258</v>
      </c>
      <c r="B326">
        <v>972.79</v>
      </c>
      <c r="C326">
        <v>1042.21</v>
      </c>
      <c r="D326">
        <v>940.01</v>
      </c>
      <c r="E326">
        <v>946.39</v>
      </c>
      <c r="F326">
        <v>491.12162000000001</v>
      </c>
      <c r="G326">
        <v>0</v>
      </c>
      <c r="L326" t="s">
        <v>7</v>
      </c>
      <c r="M326" t="s">
        <v>8</v>
      </c>
      <c r="N326" t="s">
        <v>7</v>
      </c>
      <c r="P326">
        <f t="shared" si="924"/>
        <v>-0.87514677103718219</v>
      </c>
      <c r="Q326">
        <f t="shared" si="925"/>
        <v>-429.80349992955001</v>
      </c>
      <c r="R326">
        <f t="shared" si="926"/>
        <v>-116025.68767407442</v>
      </c>
      <c r="S326">
        <f t="shared" si="927"/>
        <v>-1.1602568767407442</v>
      </c>
      <c r="T326">
        <f t="shared" si="928"/>
        <v>-1.1602568767407442E-3</v>
      </c>
    </row>
    <row r="327" spans="1:20" x14ac:dyDescent="0.25">
      <c r="A327" s="5">
        <v>44257</v>
      </c>
      <c r="B327">
        <v>1011.49</v>
      </c>
      <c r="C327">
        <v>1035</v>
      </c>
      <c r="D327">
        <v>953.29</v>
      </c>
      <c r="E327">
        <v>972.81</v>
      </c>
      <c r="F327">
        <v>715.21915999999999</v>
      </c>
      <c r="G327">
        <v>0</v>
      </c>
      <c r="L327" t="s">
        <v>7</v>
      </c>
      <c r="M327" t="s">
        <v>8</v>
      </c>
      <c r="N327" t="s">
        <v>7</v>
      </c>
      <c r="P327">
        <f t="shared" si="924"/>
        <v>-0.52221270346346904</v>
      </c>
      <c r="Q327">
        <f t="shared" si="925"/>
        <v>-373.49653111247142</v>
      </c>
      <c r="R327">
        <f t="shared" si="926"/>
        <v>-115595.88417414487</v>
      </c>
      <c r="S327">
        <f t="shared" si="927"/>
        <v>-1.1559588417414488</v>
      </c>
      <c r="T327">
        <f t="shared" si="928"/>
        <v>-1.1559588417414488E-3</v>
      </c>
    </row>
    <row r="328" spans="1:20" x14ac:dyDescent="0.25">
      <c r="A328" s="5">
        <v>44256</v>
      </c>
      <c r="B328">
        <v>848.34</v>
      </c>
      <c r="C328">
        <v>1030.0999999999999</v>
      </c>
      <c r="D328">
        <v>838.98</v>
      </c>
      <c r="E328">
        <v>1010.34</v>
      </c>
      <c r="F328">
        <v>574.75855000000001</v>
      </c>
      <c r="G328">
        <v>0</v>
      </c>
      <c r="L328" t="s">
        <v>8</v>
      </c>
      <c r="M328" t="s">
        <v>8</v>
      </c>
      <c r="N328" t="s">
        <v>7</v>
      </c>
      <c r="P328">
        <f t="shared" si="924"/>
        <v>0.79321892005023142</v>
      </c>
      <c r="Q328">
        <f t="shared" si="925"/>
        <v>455.90935632063696</v>
      </c>
      <c r="R328">
        <f t="shared" si="926"/>
        <v>-115222.3876430324</v>
      </c>
      <c r="S328">
        <f t="shared" si="927"/>
        <v>-1.1522238764303241</v>
      </c>
      <c r="T328">
        <f t="shared" si="928"/>
        <v>-1.1522238764303241E-3</v>
      </c>
    </row>
    <row r="329" spans="1:20" x14ac:dyDescent="0.25">
      <c r="A329" s="5">
        <v>44255</v>
      </c>
      <c r="B329">
        <v>936.78</v>
      </c>
      <c r="C329">
        <v>953.36</v>
      </c>
      <c r="D329">
        <v>793.49</v>
      </c>
      <c r="E329">
        <v>844.78</v>
      </c>
      <c r="F329">
        <v>452.39980000000003</v>
      </c>
      <c r="G329">
        <v>0</v>
      </c>
      <c r="L329" t="s">
        <v>7</v>
      </c>
      <c r="M329" t="s">
        <v>7</v>
      </c>
      <c r="N329" t="s">
        <v>7</v>
      </c>
      <c r="P329">
        <f t="shared" si="924"/>
        <v>-0.35835366235066041</v>
      </c>
      <c r="Q329">
        <f t="shared" si="925"/>
        <v>-162.11912517670632</v>
      </c>
      <c r="R329">
        <f t="shared" si="926"/>
        <v>-115678.29699935304</v>
      </c>
      <c r="S329">
        <f t="shared" si="927"/>
        <v>-1.1567829699935304</v>
      </c>
      <c r="T329">
        <f t="shared" si="928"/>
        <v>-1.1567829699935305E-3</v>
      </c>
    </row>
    <row r="330" spans="1:20" x14ac:dyDescent="0.25">
      <c r="A330" s="5">
        <v>44254</v>
      </c>
      <c r="B330">
        <v>908.45</v>
      </c>
      <c r="C330">
        <v>968.02</v>
      </c>
      <c r="D330">
        <v>872.46</v>
      </c>
      <c r="E330">
        <v>936.68</v>
      </c>
      <c r="F330">
        <v>566.27625</v>
      </c>
      <c r="G330">
        <v>0</v>
      </c>
      <c r="L330" t="s">
        <v>8</v>
      </c>
      <c r="M330" t="s">
        <v>7</v>
      </c>
      <c r="N330" t="s">
        <v>7</v>
      </c>
      <c r="P330">
        <f t="shared" si="924"/>
        <v>0.34407701967350252</v>
      </c>
      <c r="Q330">
        <f t="shared" si="925"/>
        <v>194.84264441188722</v>
      </c>
      <c r="R330">
        <f t="shared" si="926"/>
        <v>-115516.17787417634</v>
      </c>
      <c r="S330">
        <f t="shared" si="927"/>
        <v>-1.1551617787417634</v>
      </c>
      <c r="T330">
        <f t="shared" si="928"/>
        <v>-1.1551617787417634E-3</v>
      </c>
    </row>
    <row r="331" spans="1:20" x14ac:dyDescent="0.25">
      <c r="A331" s="5">
        <v>44253</v>
      </c>
      <c r="B331">
        <v>916.61</v>
      </c>
      <c r="C331">
        <v>964.79</v>
      </c>
      <c r="D331">
        <v>824.74</v>
      </c>
      <c r="E331">
        <v>899.46</v>
      </c>
      <c r="F331">
        <v>1857.7835</v>
      </c>
      <c r="G331">
        <v>0</v>
      </c>
      <c r="L331" t="s">
        <v>7</v>
      </c>
      <c r="M331" t="s">
        <v>7</v>
      </c>
      <c r="N331" t="s">
        <v>7</v>
      </c>
      <c r="P331">
        <f t="shared" si="924"/>
        <v>6.7047483041771536E-2</v>
      </c>
      <c r="Q331">
        <f t="shared" si="925"/>
        <v>124.55970771153297</v>
      </c>
      <c r="R331">
        <f t="shared" si="926"/>
        <v>-115711.02051858822</v>
      </c>
      <c r="S331">
        <f t="shared" si="927"/>
        <v>-1.1571102051858821</v>
      </c>
      <c r="T331">
        <f t="shared" si="928"/>
        <v>-1.1571102051858822E-3</v>
      </c>
    </row>
    <row r="332" spans="1:20" x14ac:dyDescent="0.25">
      <c r="A332" s="5">
        <v>44252</v>
      </c>
      <c r="B332">
        <v>1041.97</v>
      </c>
      <c r="C332">
        <v>1185</v>
      </c>
      <c r="D332">
        <v>905</v>
      </c>
      <c r="E332">
        <v>919.34</v>
      </c>
      <c r="F332">
        <v>1363.2086899999999</v>
      </c>
      <c r="G332">
        <v>0</v>
      </c>
      <c r="L332" t="s">
        <v>7</v>
      </c>
      <c r="M332" t="s">
        <v>7</v>
      </c>
      <c r="N332" t="s">
        <v>8</v>
      </c>
      <c r="P332">
        <f t="shared" si="924"/>
        <v>-0.89757142857142835</v>
      </c>
      <c r="Q332">
        <f t="shared" si="925"/>
        <v>-1223.5771713242852</v>
      </c>
      <c r="R332">
        <f t="shared" si="926"/>
        <v>-115835.58022629976</v>
      </c>
      <c r="S332">
        <f t="shared" si="927"/>
        <v>-1.1583558022629976</v>
      </c>
      <c r="T332">
        <f t="shared" si="928"/>
        <v>-1.1583558022629976E-3</v>
      </c>
    </row>
    <row r="333" spans="1:20" x14ac:dyDescent="0.25">
      <c r="A333" s="5">
        <v>44251</v>
      </c>
      <c r="B333">
        <v>1083.94</v>
      </c>
      <c r="C333">
        <v>1200</v>
      </c>
      <c r="D333">
        <v>973.93</v>
      </c>
      <c r="E333">
        <v>1041.96</v>
      </c>
      <c r="F333">
        <v>876.72268999999994</v>
      </c>
      <c r="G333">
        <v>0</v>
      </c>
      <c r="L333" t="s">
        <v>8</v>
      </c>
      <c r="M333" t="s">
        <v>8</v>
      </c>
      <c r="N333" t="s">
        <v>8</v>
      </c>
      <c r="P333">
        <f t="shared" si="924"/>
        <v>-0.39815101517229112</v>
      </c>
      <c r="Q333">
        <f t="shared" si="925"/>
        <v>-349.06802904808188</v>
      </c>
      <c r="R333">
        <f t="shared" si="926"/>
        <v>-114612.00305497547</v>
      </c>
      <c r="S333">
        <f t="shared" si="927"/>
        <v>-1.1461200305497548</v>
      </c>
      <c r="T333">
        <f t="shared" si="928"/>
        <v>-1.1461200305497548E-3</v>
      </c>
    </row>
    <row r="334" spans="1:20" x14ac:dyDescent="0.25">
      <c r="A334" s="5">
        <v>44250</v>
      </c>
      <c r="B334">
        <v>1203.97</v>
      </c>
      <c r="C334">
        <v>1203.97</v>
      </c>
      <c r="D334">
        <v>829</v>
      </c>
      <c r="E334">
        <v>1078.49</v>
      </c>
      <c r="F334">
        <v>1395.01358</v>
      </c>
      <c r="G334">
        <v>0</v>
      </c>
      <c r="L334" t="s">
        <v>7</v>
      </c>
      <c r="M334" t="s">
        <v>7</v>
      </c>
      <c r="N334" t="s">
        <v>7</v>
      </c>
      <c r="P334">
        <f t="shared" si="924"/>
        <v>0.33071979091660664</v>
      </c>
      <c r="Q334">
        <f t="shared" si="925"/>
        <v>461.35859950342694</v>
      </c>
      <c r="R334">
        <f t="shared" si="926"/>
        <v>-114262.93502592739</v>
      </c>
      <c r="S334">
        <f t="shared" si="927"/>
        <v>-1.1426293502592739</v>
      </c>
      <c r="T334">
        <f t="shared" si="928"/>
        <v>-1.1426293502592739E-3</v>
      </c>
    </row>
    <row r="335" spans="1:20" x14ac:dyDescent="0.25">
      <c r="A335" s="5">
        <v>44249</v>
      </c>
      <c r="B335">
        <v>1309.97</v>
      </c>
      <c r="C335">
        <v>1394.39</v>
      </c>
      <c r="D335">
        <v>950</v>
      </c>
      <c r="E335">
        <v>1203.99</v>
      </c>
      <c r="F335">
        <v>1338.96264</v>
      </c>
      <c r="G335">
        <v>0</v>
      </c>
      <c r="L335" t="s">
        <v>7</v>
      </c>
      <c r="M335" t="s">
        <v>7</v>
      </c>
      <c r="N335" t="s">
        <v>7</v>
      </c>
      <c r="P335">
        <f t="shared" si="924"/>
        <v>0.14309502914106956</v>
      </c>
      <c r="Q335">
        <f t="shared" si="925"/>
        <v>191.59889798960342</v>
      </c>
      <c r="R335">
        <f t="shared" si="926"/>
        <v>-114724.29362543082</v>
      </c>
      <c r="S335">
        <f t="shared" si="927"/>
        <v>-1.1472429362543082</v>
      </c>
      <c r="T335">
        <f t="shared" si="928"/>
        <v>-1.1472429362543082E-3</v>
      </c>
    </row>
    <row r="336" spans="1:20" x14ac:dyDescent="0.25">
      <c r="A336" s="5">
        <v>44248</v>
      </c>
      <c r="B336">
        <v>1323.63</v>
      </c>
      <c r="C336">
        <v>1385.17</v>
      </c>
      <c r="D336">
        <v>1230.55</v>
      </c>
      <c r="E336">
        <v>1309.97</v>
      </c>
      <c r="F336">
        <v>1063.5198499999999</v>
      </c>
      <c r="G336">
        <v>0</v>
      </c>
      <c r="L336" t="s">
        <v>8</v>
      </c>
      <c r="M336" t="s">
        <v>7</v>
      </c>
      <c r="N336" t="s">
        <v>7</v>
      </c>
      <c r="P336">
        <f t="shared" si="924"/>
        <v>2.7292717630319648E-2</v>
      </c>
      <c r="Q336">
        <f t="shared" si="925"/>
        <v>29.026346960289906</v>
      </c>
      <c r="R336">
        <f t="shared" si="926"/>
        <v>-114915.89252342042</v>
      </c>
      <c r="S336">
        <f t="shared" si="927"/>
        <v>-1.1491589252342043</v>
      </c>
      <c r="T336">
        <f t="shared" si="928"/>
        <v>-1.1491589252342043E-3</v>
      </c>
    </row>
    <row r="337" spans="1:20" x14ac:dyDescent="0.25">
      <c r="A337" s="5">
        <v>44247</v>
      </c>
      <c r="B337">
        <v>1322.7</v>
      </c>
      <c r="C337">
        <v>1440.4</v>
      </c>
      <c r="D337">
        <v>1209.9000000000001</v>
      </c>
      <c r="E337">
        <v>1329.65</v>
      </c>
      <c r="F337">
        <v>1131.11004</v>
      </c>
      <c r="G337">
        <v>0</v>
      </c>
      <c r="L337" t="s">
        <v>7</v>
      </c>
      <c r="M337" t="s">
        <v>7</v>
      </c>
      <c r="N337" t="s">
        <v>7</v>
      </c>
      <c r="P337">
        <f t="shared" si="924"/>
        <v>3.9045553145336226E-2</v>
      </c>
      <c r="Q337">
        <f t="shared" si="925"/>
        <v>44.164817180043386</v>
      </c>
      <c r="R337">
        <f t="shared" si="926"/>
        <v>-114944.91887038072</v>
      </c>
      <c r="S337">
        <f t="shared" si="927"/>
        <v>-1.1494491887038072</v>
      </c>
      <c r="T337">
        <f t="shared" si="928"/>
        <v>-1.1494491887038072E-3</v>
      </c>
    </row>
    <row r="338" spans="1:20" x14ac:dyDescent="0.25">
      <c r="A338" s="5">
        <v>44246</v>
      </c>
      <c r="B338">
        <v>1518.51</v>
      </c>
      <c r="C338">
        <v>1558.51</v>
      </c>
      <c r="D338">
        <v>1292.95</v>
      </c>
      <c r="E338">
        <v>1322.74</v>
      </c>
      <c r="F338">
        <v>1460.26215</v>
      </c>
      <c r="G338">
        <v>0</v>
      </c>
      <c r="L338" t="s">
        <v>7</v>
      </c>
      <c r="M338" t="s">
        <v>7</v>
      </c>
      <c r="N338" t="s">
        <v>8</v>
      </c>
      <c r="P338">
        <f t="shared" si="924"/>
        <v>-0.7756439222774516</v>
      </c>
      <c r="Q338">
        <f t="shared" si="925"/>
        <v>-1132.6434615793044</v>
      </c>
      <c r="R338">
        <f t="shared" si="926"/>
        <v>-114989.08368756076</v>
      </c>
      <c r="S338">
        <f t="shared" si="927"/>
        <v>-1.1498908368756076</v>
      </c>
      <c r="T338">
        <f t="shared" si="928"/>
        <v>-1.1498908368756076E-3</v>
      </c>
    </row>
    <row r="339" spans="1:20" x14ac:dyDescent="0.25">
      <c r="A339" s="5">
        <v>44245</v>
      </c>
      <c r="B339">
        <v>1626.19</v>
      </c>
      <c r="C339">
        <v>1659.04</v>
      </c>
      <c r="D339">
        <v>1500</v>
      </c>
      <c r="E339">
        <v>1518.51</v>
      </c>
      <c r="F339">
        <v>907.70997</v>
      </c>
      <c r="G339">
        <v>0</v>
      </c>
      <c r="L339" t="s">
        <v>8</v>
      </c>
      <c r="M339" t="s">
        <v>7</v>
      </c>
      <c r="N339" t="s">
        <v>8</v>
      </c>
      <c r="P339">
        <f t="shared" si="924"/>
        <v>-0.76722837022132806</v>
      </c>
      <c r="Q339">
        <f t="shared" si="925"/>
        <v>-696.42084091675054</v>
      </c>
      <c r="R339">
        <f t="shared" si="926"/>
        <v>-113856.44022598145</v>
      </c>
      <c r="S339">
        <f t="shared" si="927"/>
        <v>-1.1385644022598145</v>
      </c>
      <c r="T339">
        <f t="shared" si="928"/>
        <v>-1.1385644022598145E-3</v>
      </c>
    </row>
    <row r="340" spans="1:20" x14ac:dyDescent="0.25">
      <c r="A340" s="5">
        <v>44244</v>
      </c>
      <c r="B340">
        <v>1686</v>
      </c>
      <c r="C340">
        <v>1695</v>
      </c>
      <c r="D340">
        <v>1370</v>
      </c>
      <c r="E340">
        <v>1637.61</v>
      </c>
      <c r="F340">
        <v>1581.69848</v>
      </c>
      <c r="G340">
        <v>0</v>
      </c>
      <c r="L340" t="s">
        <v>7</v>
      </c>
      <c r="M340" t="s">
        <v>7</v>
      </c>
      <c r="N340" t="s">
        <v>8</v>
      </c>
      <c r="P340">
        <f t="shared" si="924"/>
        <v>0.64683076923076865</v>
      </c>
      <c r="Q340">
        <f t="shared" si="925"/>
        <v>1023.0912445095375</v>
      </c>
      <c r="R340">
        <f t="shared" si="926"/>
        <v>-113160.0193850647</v>
      </c>
      <c r="S340">
        <f t="shared" si="927"/>
        <v>-1.131600193850647</v>
      </c>
      <c r="T340">
        <f t="shared" si="928"/>
        <v>-1.1316001938506471E-3</v>
      </c>
    </row>
    <row r="341" spans="1:20" x14ac:dyDescent="0.25">
      <c r="A341" s="5">
        <v>44243</v>
      </c>
      <c r="B341">
        <v>1520.18</v>
      </c>
      <c r="C341">
        <v>1699</v>
      </c>
      <c r="D341">
        <v>1300</v>
      </c>
      <c r="E341">
        <v>1686</v>
      </c>
      <c r="F341">
        <v>1944.51947</v>
      </c>
      <c r="G341">
        <v>0</v>
      </c>
      <c r="L341" t="s">
        <v>8</v>
      </c>
      <c r="M341" t="s">
        <v>8</v>
      </c>
      <c r="N341" t="s">
        <v>8</v>
      </c>
      <c r="P341">
        <f t="shared" si="924"/>
        <v>0.93483709273182958</v>
      </c>
      <c r="Q341">
        <f t="shared" si="925"/>
        <v>1817.8089280952381</v>
      </c>
      <c r="R341">
        <f t="shared" si="926"/>
        <v>-114183.11062957424</v>
      </c>
      <c r="S341">
        <f t="shared" si="927"/>
        <v>-1.1418311062957422</v>
      </c>
      <c r="T341">
        <f t="shared" si="928"/>
        <v>-1.1418311062957422E-3</v>
      </c>
    </row>
    <row r="342" spans="1:20" x14ac:dyDescent="0.25">
      <c r="A342" s="5">
        <v>44242</v>
      </c>
      <c r="B342">
        <v>1595.18</v>
      </c>
      <c r="C342">
        <v>1659.8</v>
      </c>
      <c r="D342">
        <v>1216.1099999999999</v>
      </c>
      <c r="E342">
        <v>1520.17</v>
      </c>
      <c r="F342">
        <v>3246.8888499999998</v>
      </c>
      <c r="G342">
        <v>0</v>
      </c>
      <c r="L342" t="s">
        <v>7</v>
      </c>
      <c r="M342" t="s">
        <v>7</v>
      </c>
      <c r="N342" t="s">
        <v>7</v>
      </c>
      <c r="P342">
        <f t="shared" si="924"/>
        <v>0.37059658770763432</v>
      </c>
      <c r="Q342">
        <f t="shared" si="925"/>
        <v>1203.285928475965</v>
      </c>
      <c r="R342">
        <f t="shared" si="926"/>
        <v>-116000.91955766948</v>
      </c>
      <c r="S342">
        <f t="shared" si="927"/>
        <v>-1.1600091955766947</v>
      </c>
      <c r="T342">
        <f t="shared" si="928"/>
        <v>-1.1600091955766946E-3</v>
      </c>
    </row>
    <row r="343" spans="1:20" x14ac:dyDescent="0.25">
      <c r="A343" s="5">
        <v>44241</v>
      </c>
      <c r="B343">
        <v>1150.04</v>
      </c>
      <c r="C343">
        <v>1700</v>
      </c>
      <c r="D343">
        <v>1119.92</v>
      </c>
      <c r="E343">
        <v>1595.17</v>
      </c>
      <c r="F343">
        <v>4107.3320400000002</v>
      </c>
      <c r="G343">
        <v>0</v>
      </c>
      <c r="L343" t="s">
        <v>8</v>
      </c>
      <c r="M343" t="s">
        <v>8</v>
      </c>
      <c r="N343" t="s">
        <v>8</v>
      </c>
      <c r="P343">
        <f t="shared" si="924"/>
        <v>0.63856709419390445</v>
      </c>
      <c r="Q343">
        <f t="shared" si="925"/>
        <v>2622.807085672322</v>
      </c>
      <c r="R343">
        <f t="shared" si="926"/>
        <v>-117204.20548614544</v>
      </c>
      <c r="S343">
        <f t="shared" si="927"/>
        <v>-1.1720420548614543</v>
      </c>
      <c r="T343">
        <f t="shared" si="928"/>
        <v>-1.1720420548614542E-3</v>
      </c>
    </row>
    <row r="344" spans="1:20" x14ac:dyDescent="0.25">
      <c r="A344" s="5">
        <v>44240</v>
      </c>
      <c r="B344">
        <v>1140.8699999999999</v>
      </c>
      <c r="C344">
        <v>1190.71</v>
      </c>
      <c r="D344">
        <v>905</v>
      </c>
      <c r="E344">
        <v>1150.03</v>
      </c>
      <c r="F344">
        <v>2314.2241899999999</v>
      </c>
      <c r="G344">
        <v>0</v>
      </c>
      <c r="L344" t="s">
        <v>7</v>
      </c>
      <c r="M344" t="s">
        <v>7</v>
      </c>
      <c r="N344" t="s">
        <v>8</v>
      </c>
      <c r="P344">
        <f t="shared" si="924"/>
        <v>0.71523572853592765</v>
      </c>
      <c r="Q344">
        <f t="shared" si="925"/>
        <v>1655.2158245301171</v>
      </c>
      <c r="R344">
        <f t="shared" si="926"/>
        <v>-119827.01257181776</v>
      </c>
      <c r="S344">
        <f t="shared" si="927"/>
        <v>-1.1982701257181776</v>
      </c>
      <c r="T344">
        <f t="shared" si="928"/>
        <v>-1.1982701257181776E-3</v>
      </c>
    </row>
    <row r="345" spans="1:20" x14ac:dyDescent="0.25">
      <c r="A345" s="5">
        <v>44239</v>
      </c>
      <c r="B345">
        <v>895.31</v>
      </c>
      <c r="C345">
        <v>1250</v>
      </c>
      <c r="D345">
        <v>870.63</v>
      </c>
      <c r="E345">
        <v>1140.8499999999999</v>
      </c>
      <c r="F345">
        <v>3236.4083000000001</v>
      </c>
      <c r="G345">
        <v>0</v>
      </c>
      <c r="L345" t="s">
        <v>8</v>
      </c>
      <c r="M345" t="s">
        <v>8</v>
      </c>
      <c r="N345" t="s">
        <v>8</v>
      </c>
      <c r="P345">
        <f t="shared" si="924"/>
        <v>0.42457231726283001</v>
      </c>
      <c r="Q345">
        <f t="shared" si="925"/>
        <v>1374.0893715396564</v>
      </c>
      <c r="R345">
        <f t="shared" si="926"/>
        <v>-121482.22839634787</v>
      </c>
      <c r="S345">
        <f t="shared" si="927"/>
        <v>-1.2148222839634788</v>
      </c>
      <c r="T345">
        <f t="shared" si="928"/>
        <v>-1.2148222839634788E-3</v>
      </c>
    </row>
    <row r="346" spans="1:20" x14ac:dyDescent="0.25">
      <c r="A346" s="5">
        <v>44238</v>
      </c>
      <c r="B346">
        <v>766</v>
      </c>
      <c r="C346">
        <v>896</v>
      </c>
      <c r="D346">
        <v>766</v>
      </c>
      <c r="E346">
        <v>895.3</v>
      </c>
      <c r="F346">
        <v>1581.9099699999999</v>
      </c>
      <c r="G346">
        <v>0</v>
      </c>
      <c r="L346" t="s">
        <v>8</v>
      </c>
      <c r="M346" t="s">
        <v>8</v>
      </c>
      <c r="N346" t="s">
        <v>8</v>
      </c>
      <c r="P346">
        <f t="shared" si="924"/>
        <v>0.98923076923076858</v>
      </c>
      <c r="Q346">
        <f t="shared" si="925"/>
        <v>1564.874016476922</v>
      </c>
      <c r="R346">
        <f t="shared" si="926"/>
        <v>-122856.31776788752</v>
      </c>
      <c r="S346">
        <f t="shared" si="927"/>
        <v>-1.2285631776788752</v>
      </c>
      <c r="T346">
        <f t="shared" si="928"/>
        <v>-1.2285631776788753E-3</v>
      </c>
    </row>
    <row r="347" spans="1:20" x14ac:dyDescent="0.25">
      <c r="A347" s="5">
        <v>44237</v>
      </c>
      <c r="B347">
        <v>756.04</v>
      </c>
      <c r="C347">
        <v>869</v>
      </c>
      <c r="D347">
        <v>716.54</v>
      </c>
      <c r="E347">
        <v>766</v>
      </c>
      <c r="F347">
        <v>2024.00073</v>
      </c>
      <c r="G347">
        <v>0</v>
      </c>
      <c r="L347" t="s">
        <v>8</v>
      </c>
      <c r="M347" t="s">
        <v>8</v>
      </c>
      <c r="N347" t="s">
        <v>8</v>
      </c>
      <c r="P347">
        <f t="shared" si="924"/>
        <v>-0.35117407844680537</v>
      </c>
      <c r="Q347">
        <f t="shared" si="925"/>
        <v>-710.77659113341133</v>
      </c>
      <c r="R347">
        <f t="shared" si="926"/>
        <v>-124421.19178436445</v>
      </c>
      <c r="S347">
        <f t="shared" si="927"/>
        <v>-1.2442119178436444</v>
      </c>
      <c r="T347">
        <f t="shared" si="928"/>
        <v>-1.2442119178436445E-3</v>
      </c>
    </row>
    <row r="348" spans="1:20" x14ac:dyDescent="0.25">
      <c r="A348" s="5">
        <v>44236</v>
      </c>
      <c r="B348">
        <v>709.54</v>
      </c>
      <c r="C348">
        <v>780</v>
      </c>
      <c r="D348">
        <v>679.46</v>
      </c>
      <c r="E348">
        <v>754.66</v>
      </c>
      <c r="F348">
        <v>1272.43471</v>
      </c>
      <c r="G348">
        <v>0</v>
      </c>
      <c r="L348" t="s">
        <v>8</v>
      </c>
      <c r="M348" t="s">
        <v>8</v>
      </c>
      <c r="N348" t="s">
        <v>7</v>
      </c>
      <c r="P348">
        <f t="shared" si="924"/>
        <v>0.49592202108613403</v>
      </c>
      <c r="Q348">
        <f t="shared" si="925"/>
        <v>631.02839308334887</v>
      </c>
      <c r="R348">
        <f t="shared" si="926"/>
        <v>-123710.41519323103</v>
      </c>
      <c r="S348">
        <f t="shared" si="927"/>
        <v>-1.2371041519323103</v>
      </c>
      <c r="T348">
        <f t="shared" si="928"/>
        <v>-1.2371041519323102E-3</v>
      </c>
    </row>
    <row r="349" spans="1:20" x14ac:dyDescent="0.25">
      <c r="A349" s="5">
        <v>44235</v>
      </c>
      <c r="B349">
        <v>622.13</v>
      </c>
      <c r="C349">
        <v>739</v>
      </c>
      <c r="D349">
        <v>610.5</v>
      </c>
      <c r="E349">
        <v>709.54</v>
      </c>
      <c r="F349">
        <v>1525.1485399999999</v>
      </c>
      <c r="G349">
        <v>0</v>
      </c>
      <c r="L349" t="s">
        <v>8</v>
      </c>
      <c r="M349" t="s">
        <v>8</v>
      </c>
      <c r="N349" t="s">
        <v>7</v>
      </c>
      <c r="P349">
        <f t="shared" si="924"/>
        <v>0.54147859922178931</v>
      </c>
      <c r="Q349">
        <f t="shared" si="925"/>
        <v>825.83529504435705</v>
      </c>
      <c r="R349">
        <f t="shared" si="926"/>
        <v>-124341.44358631439</v>
      </c>
      <c r="S349">
        <f t="shared" si="927"/>
        <v>-1.2434144358631438</v>
      </c>
      <c r="T349">
        <f t="shared" si="928"/>
        <v>-1.2434144358631437E-3</v>
      </c>
    </row>
    <row r="350" spans="1:20" x14ac:dyDescent="0.25">
      <c r="A350" s="5">
        <v>44234</v>
      </c>
      <c r="B350">
        <v>603.41999999999996</v>
      </c>
      <c r="C350">
        <v>643</v>
      </c>
      <c r="D350">
        <v>549.11</v>
      </c>
      <c r="E350">
        <v>622.13</v>
      </c>
      <c r="F350">
        <v>1649.66236</v>
      </c>
      <c r="G350">
        <v>0</v>
      </c>
      <c r="L350" t="s">
        <v>7</v>
      </c>
      <c r="M350" t="s">
        <v>7</v>
      </c>
      <c r="N350" t="s">
        <v>7</v>
      </c>
      <c r="P350">
        <f t="shared" si="924"/>
        <v>0.5554372137607837</v>
      </c>
      <c r="Q350">
        <f t="shared" si="925"/>
        <v>916.28386488443891</v>
      </c>
      <c r="R350">
        <f t="shared" si="926"/>
        <v>-125167.27888135874</v>
      </c>
      <c r="S350">
        <f t="shared" si="927"/>
        <v>-1.2516727888135875</v>
      </c>
      <c r="T350">
        <f t="shared" si="928"/>
        <v>-1.2516727888135875E-3</v>
      </c>
    </row>
    <row r="351" spans="1:20" x14ac:dyDescent="0.25">
      <c r="A351" s="5">
        <v>44233</v>
      </c>
      <c r="B351">
        <v>670.22</v>
      </c>
      <c r="C351">
        <v>679.01</v>
      </c>
      <c r="D351">
        <v>580</v>
      </c>
      <c r="E351">
        <v>603.41999999999996</v>
      </c>
      <c r="F351">
        <v>1587.37688</v>
      </c>
      <c r="G351">
        <v>0</v>
      </c>
      <c r="L351" t="s">
        <v>7</v>
      </c>
      <c r="M351" t="s">
        <v>7</v>
      </c>
      <c r="N351" t="s">
        <v>7</v>
      </c>
      <c r="P351">
        <f t="shared" si="924"/>
        <v>-0.52691647308352774</v>
      </c>
      <c r="Q351">
        <f t="shared" si="925"/>
        <v>-836.4150270639343</v>
      </c>
      <c r="R351">
        <f t="shared" si="926"/>
        <v>-126083.56274624317</v>
      </c>
      <c r="S351">
        <f t="shared" si="927"/>
        <v>-1.2608356274624317</v>
      </c>
      <c r="T351">
        <f t="shared" si="928"/>
        <v>-1.2608356274624317E-3</v>
      </c>
    </row>
    <row r="352" spans="1:20" x14ac:dyDescent="0.25">
      <c r="A352" s="5">
        <v>44232</v>
      </c>
      <c r="B352">
        <v>618.88</v>
      </c>
      <c r="C352">
        <v>800</v>
      </c>
      <c r="D352">
        <v>618.16999999999996</v>
      </c>
      <c r="E352">
        <v>670.22</v>
      </c>
      <c r="F352">
        <v>2763.2215099999999</v>
      </c>
      <c r="G352">
        <v>0</v>
      </c>
      <c r="L352" t="s">
        <v>8</v>
      </c>
      <c r="M352" t="s">
        <v>8</v>
      </c>
      <c r="N352" t="s">
        <v>8</v>
      </c>
      <c r="P352">
        <f t="shared" si="924"/>
        <v>-0.42748721333113288</v>
      </c>
      <c r="Q352">
        <f t="shared" si="925"/>
        <v>-1181.241863126545</v>
      </c>
      <c r="R352">
        <f t="shared" si="926"/>
        <v>-125247.14771917924</v>
      </c>
      <c r="S352">
        <f t="shared" si="927"/>
        <v>-1.2524714771917924</v>
      </c>
      <c r="T352">
        <f t="shared" si="928"/>
        <v>-1.2524714771917924E-3</v>
      </c>
    </row>
    <row r="353" spans="1:20" x14ac:dyDescent="0.25">
      <c r="A353" s="5">
        <v>44231</v>
      </c>
      <c r="B353">
        <v>525.46</v>
      </c>
      <c r="C353">
        <v>649.38</v>
      </c>
      <c r="D353">
        <v>517.6</v>
      </c>
      <c r="E353">
        <v>617.66999999999996</v>
      </c>
      <c r="F353">
        <v>2886.4521</v>
      </c>
      <c r="G353">
        <v>0</v>
      </c>
      <c r="L353" t="s">
        <v>8</v>
      </c>
      <c r="M353" t="s">
        <v>8</v>
      </c>
      <c r="N353" t="s">
        <v>8</v>
      </c>
      <c r="P353">
        <f t="shared" si="924"/>
        <v>0.51874336014569677</v>
      </c>
      <c r="Q353">
        <f t="shared" si="925"/>
        <v>1497.3278612536028</v>
      </c>
      <c r="R353">
        <f t="shared" si="926"/>
        <v>-124065.90585605269</v>
      </c>
      <c r="S353">
        <f t="shared" si="927"/>
        <v>-1.2406590585605268</v>
      </c>
      <c r="T353">
        <f t="shared" si="928"/>
        <v>-1.2406590585605267E-3</v>
      </c>
    </row>
    <row r="354" spans="1:20" x14ac:dyDescent="0.25">
      <c r="A354" s="5">
        <v>44230</v>
      </c>
      <c r="B354">
        <v>517</v>
      </c>
      <c r="C354">
        <v>545</v>
      </c>
      <c r="D354">
        <v>508.13</v>
      </c>
      <c r="E354">
        <v>522.41</v>
      </c>
      <c r="F354">
        <v>1049.6938399999999</v>
      </c>
      <c r="G354">
        <v>0</v>
      </c>
      <c r="L354" t="s">
        <v>7</v>
      </c>
      <c r="M354" t="s">
        <v>8</v>
      </c>
      <c r="N354" t="s">
        <v>8</v>
      </c>
      <c r="P354">
        <f t="shared" si="924"/>
        <v>-0.22538649308380954</v>
      </c>
      <c r="Q354">
        <f t="shared" si="925"/>
        <v>-236.58681340927745</v>
      </c>
      <c r="R354">
        <f t="shared" si="926"/>
        <v>-125563.2337173063</v>
      </c>
      <c r="S354">
        <f t="shared" si="927"/>
        <v>-1.2556323371730629</v>
      </c>
      <c r="T354">
        <f t="shared" si="928"/>
        <v>-1.2556323371730629E-3</v>
      </c>
    </row>
    <row r="355" spans="1:20" x14ac:dyDescent="0.25">
      <c r="A355" s="5">
        <v>44229</v>
      </c>
      <c r="B355">
        <v>480.03</v>
      </c>
      <c r="C355">
        <v>544.92999999999995</v>
      </c>
      <c r="D355">
        <v>479</v>
      </c>
      <c r="E355">
        <v>516.51</v>
      </c>
      <c r="F355">
        <v>1588.2317700000001</v>
      </c>
      <c r="G355">
        <v>0</v>
      </c>
      <c r="L355" t="s">
        <v>8</v>
      </c>
      <c r="M355" t="s">
        <v>8</v>
      </c>
      <c r="N355" t="s">
        <v>8</v>
      </c>
      <c r="P355">
        <f t="shared" si="924"/>
        <v>0.13787350219930289</v>
      </c>
      <c r="Q355">
        <f t="shared" si="925"/>
        <v>218.97507643409773</v>
      </c>
      <c r="R355">
        <f t="shared" si="926"/>
        <v>-125326.64690389702</v>
      </c>
      <c r="S355">
        <f t="shared" si="927"/>
        <v>-1.2532664690389703</v>
      </c>
      <c r="T355">
        <f t="shared" si="928"/>
        <v>-1.2532664690389703E-3</v>
      </c>
    </row>
    <row r="356" spans="1:20" x14ac:dyDescent="0.25">
      <c r="A356" s="5">
        <v>44228</v>
      </c>
      <c r="B356">
        <v>510</v>
      </c>
      <c r="C356">
        <v>510</v>
      </c>
      <c r="D356">
        <v>455</v>
      </c>
      <c r="E356">
        <v>480.03</v>
      </c>
      <c r="F356">
        <v>1708.4321600000001</v>
      </c>
      <c r="G356">
        <v>0</v>
      </c>
      <c r="L356" t="s">
        <v>7</v>
      </c>
      <c r="M356" t="s">
        <v>7</v>
      </c>
      <c r="N356" t="s">
        <v>8</v>
      </c>
      <c r="P356">
        <f t="shared" si="924"/>
        <v>-8.981818181818281E-2</v>
      </c>
      <c r="Q356">
        <f t="shared" si="925"/>
        <v>-153.44827037091079</v>
      </c>
      <c r="R356">
        <f t="shared" si="926"/>
        <v>-125545.62198033113</v>
      </c>
      <c r="S356">
        <f t="shared" si="927"/>
        <v>-1.2554562198033112</v>
      </c>
      <c r="T356">
        <f t="shared" si="928"/>
        <v>-1.2554562198033112E-3</v>
      </c>
    </row>
    <row r="357" spans="1:20" x14ac:dyDescent="0.25">
      <c r="A357" s="5">
        <v>44227</v>
      </c>
      <c r="B357">
        <v>515.33000000000004</v>
      </c>
      <c r="C357">
        <v>558.69000000000005</v>
      </c>
      <c r="D357">
        <v>493.63</v>
      </c>
      <c r="E357">
        <v>512.66</v>
      </c>
      <c r="F357">
        <v>1668.56503</v>
      </c>
      <c r="G357">
        <v>0</v>
      </c>
      <c r="L357" t="s">
        <v>8</v>
      </c>
      <c r="M357" t="s">
        <v>8</v>
      </c>
      <c r="N357" t="s">
        <v>8</v>
      </c>
      <c r="P357">
        <f t="shared" si="924"/>
        <v>-0.41500153704273118</v>
      </c>
      <c r="Q357">
        <f t="shared" si="925"/>
        <v>-692.4570521057509</v>
      </c>
      <c r="R357">
        <f t="shared" si="926"/>
        <v>-125392.17370996022</v>
      </c>
      <c r="S357">
        <f t="shared" si="927"/>
        <v>-1.2539217370996021</v>
      </c>
      <c r="T357">
        <f t="shared" si="928"/>
        <v>-1.2539217370996021E-3</v>
      </c>
    </row>
    <row r="358" spans="1:20" x14ac:dyDescent="0.25">
      <c r="A358" s="5">
        <v>44226</v>
      </c>
      <c r="B358">
        <v>436.77</v>
      </c>
      <c r="C358">
        <v>536.58000000000004</v>
      </c>
      <c r="D358">
        <v>432</v>
      </c>
      <c r="E358">
        <v>514.51</v>
      </c>
      <c r="F358">
        <v>1988.0292999999999</v>
      </c>
      <c r="G358">
        <v>0</v>
      </c>
      <c r="L358" t="s">
        <v>8</v>
      </c>
      <c r="M358" t="s">
        <v>8</v>
      </c>
      <c r="N358" t="s">
        <v>7</v>
      </c>
      <c r="P358">
        <f t="shared" si="924"/>
        <v>0.57793077070185428</v>
      </c>
      <c r="Q358">
        <f t="shared" si="925"/>
        <v>1148.9433055268678</v>
      </c>
      <c r="R358">
        <f t="shared" si="926"/>
        <v>-124699.71665785447</v>
      </c>
      <c r="S358">
        <f t="shared" si="927"/>
        <v>-1.2469971665785446</v>
      </c>
      <c r="T358">
        <f t="shared" si="928"/>
        <v>-1.2469971665785447E-3</v>
      </c>
    </row>
    <row r="359" spans="1:20" x14ac:dyDescent="0.25">
      <c r="A359" s="5">
        <v>44225</v>
      </c>
      <c r="B359">
        <v>428.93</v>
      </c>
      <c r="C359">
        <v>466.12</v>
      </c>
      <c r="D359">
        <v>424.49</v>
      </c>
      <c r="E359">
        <v>436.77</v>
      </c>
      <c r="F359">
        <v>2168.5601299999998</v>
      </c>
      <c r="G359">
        <v>0</v>
      </c>
      <c r="L359" t="s">
        <v>8</v>
      </c>
      <c r="M359" t="s">
        <v>8</v>
      </c>
      <c r="N359" t="s">
        <v>7</v>
      </c>
      <c r="P359">
        <f t="shared" si="924"/>
        <v>-0.41004083593562457</v>
      </c>
      <c r="Q359">
        <f t="shared" si="925"/>
        <v>-889.19820848186657</v>
      </c>
      <c r="R359">
        <f t="shared" si="926"/>
        <v>-125848.65996338135</v>
      </c>
      <c r="S359">
        <f t="shared" si="927"/>
        <v>-1.2584865996338135</v>
      </c>
      <c r="T359">
        <f t="shared" si="928"/>
        <v>-1.2584865996338136E-3</v>
      </c>
    </row>
    <row r="360" spans="1:20" x14ac:dyDescent="0.25">
      <c r="A360" s="5">
        <v>44224</v>
      </c>
      <c r="B360">
        <v>388.45</v>
      </c>
      <c r="C360">
        <v>446.84</v>
      </c>
      <c r="D360">
        <v>380</v>
      </c>
      <c r="E360">
        <v>428.92</v>
      </c>
      <c r="F360">
        <v>2330.2082500000001</v>
      </c>
      <c r="G360">
        <v>0</v>
      </c>
      <c r="L360" t="s">
        <v>8</v>
      </c>
      <c r="M360" t="s">
        <v>8</v>
      </c>
      <c r="N360" t="s">
        <v>7</v>
      </c>
      <c r="P360">
        <f t="shared" si="924"/>
        <v>0.46379413524835528</v>
      </c>
      <c r="Q360">
        <f t="shared" si="925"/>
        <v>1080.7369202573334</v>
      </c>
      <c r="R360">
        <f t="shared" si="926"/>
        <v>-124959.46175489947</v>
      </c>
      <c r="S360">
        <f t="shared" si="927"/>
        <v>-1.2495946175489947</v>
      </c>
      <c r="T360">
        <f t="shared" si="928"/>
        <v>-1.2495946175489947E-3</v>
      </c>
    </row>
    <row r="361" spans="1:20" x14ac:dyDescent="0.25">
      <c r="A361" s="5">
        <v>44223</v>
      </c>
      <c r="B361">
        <v>422.45</v>
      </c>
      <c r="C361">
        <v>423.01</v>
      </c>
      <c r="D361">
        <v>369.99</v>
      </c>
      <c r="E361">
        <v>385</v>
      </c>
      <c r="F361">
        <v>2347.8645999999999</v>
      </c>
      <c r="G361">
        <v>0</v>
      </c>
      <c r="L361" t="s">
        <v>7</v>
      </c>
      <c r="M361" t="s">
        <v>7</v>
      </c>
      <c r="N361" t="s">
        <v>7</v>
      </c>
      <c r="P361">
        <f t="shared" si="924"/>
        <v>-0.43379856657864974</v>
      </c>
      <c r="Q361">
        <f t="shared" si="925"/>
        <v>-1018.5002980007548</v>
      </c>
      <c r="R361">
        <f t="shared" si="926"/>
        <v>-126040.1986751568</v>
      </c>
      <c r="S361">
        <f t="shared" si="927"/>
        <v>-1.2604019867515681</v>
      </c>
      <c r="T361">
        <f t="shared" si="928"/>
        <v>-1.260401986751568E-3</v>
      </c>
    </row>
    <row r="362" spans="1:20" x14ac:dyDescent="0.25">
      <c r="A362" s="5">
        <v>44222</v>
      </c>
      <c r="B362">
        <v>452.55</v>
      </c>
      <c r="C362">
        <v>456.04</v>
      </c>
      <c r="D362">
        <v>379.99</v>
      </c>
      <c r="E362">
        <v>422.99</v>
      </c>
      <c r="F362">
        <v>2808.2387800000001</v>
      </c>
      <c r="G362">
        <v>0</v>
      </c>
      <c r="L362" t="s">
        <v>7</v>
      </c>
      <c r="M362" t="s">
        <v>7</v>
      </c>
      <c r="N362" t="s">
        <v>7</v>
      </c>
      <c r="P362">
        <f t="shared" si="924"/>
        <v>0.13083497698882299</v>
      </c>
      <c r="Q362">
        <f t="shared" si="925"/>
        <v>367.41585616042033</v>
      </c>
      <c r="R362">
        <f t="shared" si="926"/>
        <v>-125021.69837715605</v>
      </c>
      <c r="S362">
        <f t="shared" si="927"/>
        <v>-1.2502169837715604</v>
      </c>
      <c r="T362">
        <f t="shared" si="928"/>
        <v>-1.2502169837715605E-3</v>
      </c>
    </row>
    <row r="363" spans="1:20" x14ac:dyDescent="0.25">
      <c r="A363" s="5">
        <v>44221</v>
      </c>
      <c r="B363">
        <v>485.01</v>
      </c>
      <c r="C363">
        <v>505</v>
      </c>
      <c r="D363">
        <v>441.78</v>
      </c>
      <c r="E363">
        <v>454.6</v>
      </c>
      <c r="F363">
        <v>1899.8966600000001</v>
      </c>
      <c r="G363">
        <v>0</v>
      </c>
      <c r="L363" t="s">
        <v>7</v>
      </c>
      <c r="M363" t="s">
        <v>7</v>
      </c>
      <c r="N363" t="s">
        <v>7</v>
      </c>
      <c r="P363">
        <f t="shared" si="924"/>
        <v>-0.59443214172730008</v>
      </c>
      <c r="Q363">
        <f t="shared" si="925"/>
        <v>-1129.3596406643442</v>
      </c>
      <c r="R363">
        <f t="shared" si="926"/>
        <v>-125389.11423331648</v>
      </c>
      <c r="S363">
        <f t="shared" si="927"/>
        <v>-1.2538911423331647</v>
      </c>
      <c r="T363">
        <f t="shared" si="928"/>
        <v>-1.2538911423331646E-3</v>
      </c>
    </row>
    <row r="364" spans="1:20" x14ac:dyDescent="0.25">
      <c r="A364" s="5">
        <v>44220</v>
      </c>
      <c r="B364">
        <v>486.03</v>
      </c>
      <c r="C364">
        <v>526</v>
      </c>
      <c r="D364">
        <v>470</v>
      </c>
      <c r="E364">
        <v>484.38</v>
      </c>
      <c r="F364">
        <v>2103.88589</v>
      </c>
      <c r="G364">
        <v>0</v>
      </c>
      <c r="L364" t="s">
        <v>7</v>
      </c>
      <c r="M364" t="s">
        <v>8</v>
      </c>
      <c r="N364" t="s">
        <v>7</v>
      </c>
      <c r="P364">
        <f t="shared" si="924"/>
        <v>-0.4864285714285716</v>
      </c>
      <c r="Q364">
        <f t="shared" si="925"/>
        <v>-1023.3902079214289</v>
      </c>
      <c r="R364">
        <f t="shared" si="926"/>
        <v>-124259.75459265213</v>
      </c>
      <c r="S364">
        <f t="shared" si="927"/>
        <v>-1.2425975459265213</v>
      </c>
      <c r="T364">
        <f t="shared" si="928"/>
        <v>-1.2425975459265212E-3</v>
      </c>
    </row>
    <row r="365" spans="1:20" x14ac:dyDescent="0.25">
      <c r="A365" s="5">
        <v>44219</v>
      </c>
      <c r="B365">
        <v>527.01</v>
      </c>
      <c r="C365">
        <v>547</v>
      </c>
      <c r="D365">
        <v>480</v>
      </c>
      <c r="E365">
        <v>482.81</v>
      </c>
      <c r="F365">
        <v>1971.28108</v>
      </c>
      <c r="G365">
        <v>0</v>
      </c>
      <c r="L365" t="s">
        <v>8</v>
      </c>
      <c r="M365" t="s">
        <v>8</v>
      </c>
      <c r="N365" t="s">
        <v>7</v>
      </c>
      <c r="P365">
        <f t="shared" si="924"/>
        <v>-0.91611940298507455</v>
      </c>
      <c r="Q365">
        <f t="shared" si="925"/>
        <v>-1805.928846125373</v>
      </c>
      <c r="R365">
        <f t="shared" si="926"/>
        <v>-123236.3643847307</v>
      </c>
      <c r="S365">
        <f t="shared" si="927"/>
        <v>-1.2323636438473069</v>
      </c>
      <c r="T365">
        <f t="shared" si="928"/>
        <v>-1.2323636438473068E-3</v>
      </c>
    </row>
    <row r="366" spans="1:20" x14ac:dyDescent="0.25">
      <c r="A366" s="5">
        <v>44218</v>
      </c>
      <c r="B366">
        <v>491.56</v>
      </c>
      <c r="C366">
        <v>560</v>
      </c>
      <c r="D366">
        <v>432</v>
      </c>
      <c r="E366">
        <v>530</v>
      </c>
      <c r="F366">
        <v>2294.6383300000002</v>
      </c>
      <c r="G366">
        <v>0</v>
      </c>
      <c r="L366" t="s">
        <v>7</v>
      </c>
      <c r="M366" t="s">
        <v>7</v>
      </c>
      <c r="N366" t="s">
        <v>7</v>
      </c>
      <c r="P366">
        <f t="shared" si="924"/>
        <v>0.53125</v>
      </c>
      <c r="Q366">
        <f t="shared" si="925"/>
        <v>1219.0266128125002</v>
      </c>
      <c r="R366">
        <f t="shared" si="926"/>
        <v>-121430.43553860532</v>
      </c>
      <c r="S366">
        <f t="shared" si="927"/>
        <v>-1.2143043553860533</v>
      </c>
      <c r="T366">
        <f t="shared" si="928"/>
        <v>-1.2143043553860533E-3</v>
      </c>
    </row>
    <row r="367" spans="1:20" x14ac:dyDescent="0.25">
      <c r="A367" s="5">
        <v>44217</v>
      </c>
      <c r="B367">
        <v>593.83000000000004</v>
      </c>
      <c r="C367">
        <v>648.99</v>
      </c>
      <c r="D367">
        <v>469.99</v>
      </c>
      <c r="E367">
        <v>491.57</v>
      </c>
      <c r="F367">
        <v>3141.0940799999998</v>
      </c>
      <c r="G367">
        <v>0</v>
      </c>
      <c r="L367" t="s">
        <v>7</v>
      </c>
      <c r="M367" t="s">
        <v>8</v>
      </c>
      <c r="N367" t="s">
        <v>7</v>
      </c>
      <c r="P367">
        <f t="shared" si="924"/>
        <v>-0.75888268156424599</v>
      </c>
      <c r="Q367">
        <f t="shared" si="925"/>
        <v>-2383.7218984759779</v>
      </c>
      <c r="R367">
        <f t="shared" si="926"/>
        <v>-122649.46215141781</v>
      </c>
      <c r="S367">
        <f t="shared" si="927"/>
        <v>-1.2264946215141781</v>
      </c>
      <c r="T367">
        <f t="shared" si="928"/>
        <v>-1.2264946215141781E-3</v>
      </c>
    </row>
    <row r="368" spans="1:20" x14ac:dyDescent="0.25">
      <c r="A368" s="5">
        <v>44216</v>
      </c>
      <c r="B368">
        <v>558.98</v>
      </c>
      <c r="C368">
        <v>600</v>
      </c>
      <c r="D368">
        <v>481</v>
      </c>
      <c r="E368">
        <v>596.28</v>
      </c>
      <c r="F368">
        <v>2764.27207</v>
      </c>
      <c r="G368">
        <v>0</v>
      </c>
      <c r="L368" t="s">
        <v>7</v>
      </c>
      <c r="M368" t="s">
        <v>7</v>
      </c>
      <c r="N368" t="s">
        <v>7</v>
      </c>
      <c r="P368">
        <f t="shared" si="924"/>
        <v>0.93747899159663817</v>
      </c>
      <c r="Q368">
        <f t="shared" si="925"/>
        <v>2591.4469926823517</v>
      </c>
      <c r="R368">
        <f t="shared" si="926"/>
        <v>-120265.74025294183</v>
      </c>
      <c r="S368">
        <f t="shared" si="927"/>
        <v>-1.2026574025294183</v>
      </c>
      <c r="T368">
        <f t="shared" si="928"/>
        <v>-1.2026574025294184E-3</v>
      </c>
    </row>
    <row r="369" spans="1:20" x14ac:dyDescent="0.25">
      <c r="A369" s="5">
        <v>44215</v>
      </c>
      <c r="B369">
        <v>438.41</v>
      </c>
      <c r="C369">
        <v>658</v>
      </c>
      <c r="D369">
        <v>429.32</v>
      </c>
      <c r="E369">
        <v>558.99</v>
      </c>
      <c r="F369">
        <v>6933.5056299999997</v>
      </c>
      <c r="G369">
        <v>0</v>
      </c>
      <c r="L369" t="s">
        <v>8</v>
      </c>
      <c r="M369" t="s">
        <v>8</v>
      </c>
      <c r="N369" t="s">
        <v>8</v>
      </c>
      <c r="P369">
        <f t="shared" si="924"/>
        <v>0.1340738149379046</v>
      </c>
      <c r="Q369">
        <f t="shared" si="925"/>
        <v>929.60155070753956</v>
      </c>
      <c r="R369">
        <f t="shared" si="926"/>
        <v>-122857.18724562418</v>
      </c>
      <c r="S369">
        <f t="shared" si="927"/>
        <v>-1.2285718724562418</v>
      </c>
      <c r="T369">
        <f t="shared" si="928"/>
        <v>-1.2285718724562417E-3</v>
      </c>
    </row>
    <row r="370" spans="1:20" x14ac:dyDescent="0.25">
      <c r="A370" s="5">
        <v>44214</v>
      </c>
      <c r="B370">
        <v>395.75</v>
      </c>
      <c r="C370">
        <v>460</v>
      </c>
      <c r="D370">
        <v>391.49</v>
      </c>
      <c r="E370">
        <v>438</v>
      </c>
      <c r="F370">
        <v>2981.0875299999998</v>
      </c>
      <c r="G370">
        <v>0</v>
      </c>
      <c r="L370" t="s">
        <v>8</v>
      </c>
      <c r="M370" t="s">
        <v>7</v>
      </c>
      <c r="N370" t="s">
        <v>8</v>
      </c>
      <c r="P370">
        <f t="shared" si="924"/>
        <v>0.35775799153408255</v>
      </c>
      <c r="Q370">
        <f t="shared" si="925"/>
        <v>1066.5078873200989</v>
      </c>
      <c r="R370">
        <f t="shared" si="926"/>
        <v>-123786.78879633172</v>
      </c>
      <c r="S370">
        <f t="shared" si="927"/>
        <v>-1.2378678879633171</v>
      </c>
      <c r="T370">
        <f t="shared" si="928"/>
        <v>-1.2378678879633172E-3</v>
      </c>
    </row>
    <row r="371" spans="1:20" x14ac:dyDescent="0.25">
      <c r="A371" s="5">
        <v>44213</v>
      </c>
      <c r="B371">
        <v>450.07</v>
      </c>
      <c r="C371">
        <v>452.16</v>
      </c>
      <c r="D371">
        <v>389.8</v>
      </c>
      <c r="E371">
        <v>397.7</v>
      </c>
      <c r="F371">
        <v>2607.4271100000001</v>
      </c>
      <c r="G371">
        <v>0</v>
      </c>
      <c r="L371" t="s">
        <v>7</v>
      </c>
      <c r="M371" t="s">
        <v>7</v>
      </c>
      <c r="N371" t="s">
        <v>8</v>
      </c>
      <c r="P371">
        <f t="shared" si="924"/>
        <v>-0.74663245670301559</v>
      </c>
      <c r="Q371">
        <f t="shared" si="925"/>
        <v>-1946.7897088133441</v>
      </c>
      <c r="R371">
        <f t="shared" si="926"/>
        <v>-124853.29668365182</v>
      </c>
      <c r="S371">
        <f t="shared" si="927"/>
        <v>-1.2485329668365182</v>
      </c>
      <c r="T371">
        <f t="shared" si="928"/>
        <v>-1.2485329668365181E-3</v>
      </c>
    </row>
    <row r="372" spans="1:20" x14ac:dyDescent="0.25">
      <c r="A372" s="5">
        <v>44212</v>
      </c>
      <c r="B372">
        <v>361</v>
      </c>
      <c r="C372">
        <v>475</v>
      </c>
      <c r="D372">
        <v>357</v>
      </c>
      <c r="E372">
        <v>452.62</v>
      </c>
      <c r="F372">
        <v>3436.2611200000001</v>
      </c>
      <c r="G372">
        <v>0</v>
      </c>
      <c r="L372" t="s">
        <v>8</v>
      </c>
      <c r="M372" t="s">
        <v>8</v>
      </c>
      <c r="N372" t="s">
        <v>8</v>
      </c>
      <c r="P372">
        <f t="shared" si="924"/>
        <v>0.62067796610169501</v>
      </c>
      <c r="Q372">
        <f t="shared" si="925"/>
        <v>2132.8115629559325</v>
      </c>
      <c r="R372">
        <f t="shared" si="926"/>
        <v>-122906.50697483847</v>
      </c>
      <c r="S372">
        <f t="shared" si="927"/>
        <v>-1.2290650697483847</v>
      </c>
      <c r="T372">
        <f t="shared" si="928"/>
        <v>-1.2290650697483847E-3</v>
      </c>
    </row>
    <row r="373" spans="1:20" x14ac:dyDescent="0.25">
      <c r="A373" s="5">
        <v>44211</v>
      </c>
      <c r="B373">
        <v>388.99</v>
      </c>
      <c r="C373">
        <v>415</v>
      </c>
      <c r="D373">
        <v>338.21</v>
      </c>
      <c r="E373">
        <v>358.8</v>
      </c>
      <c r="F373">
        <v>2809.9921199999999</v>
      </c>
      <c r="G373">
        <v>0</v>
      </c>
      <c r="L373" t="s">
        <v>7</v>
      </c>
      <c r="M373" t="s">
        <v>7</v>
      </c>
      <c r="N373" t="s">
        <v>8</v>
      </c>
      <c r="P373">
        <f t="shared" si="924"/>
        <v>-0.46373225680427071</v>
      </c>
      <c r="Q373">
        <f t="shared" si="925"/>
        <v>-1303.0839874098169</v>
      </c>
      <c r="R373">
        <f t="shared" si="926"/>
        <v>-125039.3185377944</v>
      </c>
      <c r="S373">
        <f t="shared" si="927"/>
        <v>-1.250393185377944</v>
      </c>
      <c r="T373">
        <f t="shared" si="928"/>
        <v>-1.2503931853779439E-3</v>
      </c>
    </row>
    <row r="374" spans="1:20" x14ac:dyDescent="0.25">
      <c r="A374" s="5">
        <v>44210</v>
      </c>
      <c r="B374">
        <v>350</v>
      </c>
      <c r="C374">
        <v>419.92</v>
      </c>
      <c r="D374">
        <v>349.99</v>
      </c>
      <c r="E374">
        <v>386</v>
      </c>
      <c r="F374">
        <v>3657.1789600000002</v>
      </c>
      <c r="G374">
        <v>0</v>
      </c>
      <c r="L374" t="s">
        <v>8</v>
      </c>
      <c r="M374" t="s">
        <v>8</v>
      </c>
      <c r="N374" t="s">
        <v>8</v>
      </c>
      <c r="P374">
        <f t="shared" si="924"/>
        <v>2.9887029887029525E-2</v>
      </c>
      <c r="Q374">
        <f t="shared" si="925"/>
        <v>109.30221687973557</v>
      </c>
      <c r="R374">
        <f t="shared" si="926"/>
        <v>-123736.23455038459</v>
      </c>
      <c r="S374">
        <f t="shared" si="927"/>
        <v>-1.2373623455038458</v>
      </c>
      <c r="T374">
        <f t="shared" si="928"/>
        <v>-1.2373623455038459E-3</v>
      </c>
    </row>
    <row r="375" spans="1:20" x14ac:dyDescent="0.25">
      <c r="A375" s="5">
        <v>44209</v>
      </c>
      <c r="B375">
        <v>334.99</v>
      </c>
      <c r="C375">
        <v>377</v>
      </c>
      <c r="D375">
        <v>300</v>
      </c>
      <c r="E375">
        <v>349.99</v>
      </c>
      <c r="F375">
        <v>3009.0634799999998</v>
      </c>
      <c r="G375">
        <v>0</v>
      </c>
      <c r="L375" t="s">
        <v>7</v>
      </c>
      <c r="M375" t="s">
        <v>7</v>
      </c>
      <c r="N375" t="s">
        <v>7</v>
      </c>
      <c r="P375">
        <f t="shared" si="924"/>
        <v>0.29844155844155867</v>
      </c>
      <c r="Q375">
        <f t="shared" si="925"/>
        <v>898.02959442077986</v>
      </c>
      <c r="R375">
        <f t="shared" si="926"/>
        <v>-123845.53676726432</v>
      </c>
      <c r="S375">
        <f t="shared" si="927"/>
        <v>-1.2384553676726431</v>
      </c>
      <c r="T375">
        <f t="shared" si="928"/>
        <v>-1.2384553676726431E-3</v>
      </c>
    </row>
    <row r="376" spans="1:20" x14ac:dyDescent="0.25">
      <c r="A376" s="5">
        <v>44208</v>
      </c>
      <c r="B376">
        <v>363.4</v>
      </c>
      <c r="C376">
        <v>385</v>
      </c>
      <c r="D376">
        <v>320.02</v>
      </c>
      <c r="E376">
        <v>335</v>
      </c>
      <c r="F376">
        <v>2045.1968300000001</v>
      </c>
      <c r="G376">
        <v>0</v>
      </c>
      <c r="L376" t="s">
        <v>8</v>
      </c>
      <c r="M376" t="s">
        <v>8</v>
      </c>
      <c r="N376" t="s">
        <v>7</v>
      </c>
      <c r="P376">
        <f t="shared" si="924"/>
        <v>-0.53893505694059662</v>
      </c>
      <c r="Q376">
        <f t="shared" si="925"/>
        <v>-1102.2282700307778</v>
      </c>
      <c r="R376">
        <f t="shared" si="926"/>
        <v>-124743.56636168509</v>
      </c>
      <c r="S376">
        <f t="shared" si="927"/>
        <v>-1.2474356636168509</v>
      </c>
      <c r="T376">
        <f t="shared" si="928"/>
        <v>-1.2474356636168508E-3</v>
      </c>
    </row>
    <row r="377" spans="1:20" x14ac:dyDescent="0.25">
      <c r="A377" s="5">
        <v>44207</v>
      </c>
      <c r="B377">
        <v>405.33</v>
      </c>
      <c r="C377">
        <v>405.55</v>
      </c>
      <c r="D377">
        <v>290.32</v>
      </c>
      <c r="E377">
        <v>371.98</v>
      </c>
      <c r="F377">
        <v>2970.3747800000001</v>
      </c>
      <c r="G377">
        <v>0</v>
      </c>
      <c r="L377" t="s">
        <v>7</v>
      </c>
      <c r="M377" t="s">
        <v>7</v>
      </c>
      <c r="N377" t="s">
        <v>7</v>
      </c>
      <c r="P377">
        <f t="shared" si="924"/>
        <v>0.41733923457432981</v>
      </c>
      <c r="Q377">
        <f t="shared" si="925"/>
        <v>1239.6539370840933</v>
      </c>
      <c r="R377">
        <f t="shared" si="926"/>
        <v>-123641.33809165431</v>
      </c>
      <c r="S377">
        <f t="shared" si="927"/>
        <v>-1.2364133809165432</v>
      </c>
      <c r="T377">
        <f t="shared" si="928"/>
        <v>-1.2364133809165431E-3</v>
      </c>
    </row>
    <row r="378" spans="1:20" x14ac:dyDescent="0.25">
      <c r="A378" s="5">
        <v>44206</v>
      </c>
      <c r="B378">
        <v>433.11</v>
      </c>
      <c r="C378">
        <v>490</v>
      </c>
      <c r="D378">
        <v>371.79</v>
      </c>
      <c r="E378">
        <v>405.33</v>
      </c>
      <c r="F378">
        <v>3934.4807599999999</v>
      </c>
      <c r="G378">
        <v>0</v>
      </c>
      <c r="L378" t="s">
        <v>8</v>
      </c>
      <c r="M378" t="s">
        <v>8</v>
      </c>
      <c r="N378" t="s">
        <v>7</v>
      </c>
      <c r="P378">
        <f t="shared" si="924"/>
        <v>-0.43253531850097338</v>
      </c>
      <c r="Q378">
        <f t="shared" si="925"/>
        <v>-1701.8018886625518</v>
      </c>
      <c r="R378">
        <f t="shared" si="926"/>
        <v>-124880.9920287384</v>
      </c>
      <c r="S378">
        <f t="shared" si="927"/>
        <v>-1.2488099202873839</v>
      </c>
      <c r="T378">
        <f t="shared" si="928"/>
        <v>-1.2488099202873839E-3</v>
      </c>
    </row>
    <row r="379" spans="1:20" x14ac:dyDescent="0.25">
      <c r="A379" s="5">
        <v>44205</v>
      </c>
      <c r="B379">
        <v>448.02</v>
      </c>
      <c r="C379">
        <v>495</v>
      </c>
      <c r="D379">
        <v>361.63</v>
      </c>
      <c r="E379">
        <v>433.1</v>
      </c>
      <c r="F379">
        <v>5676.5733300000002</v>
      </c>
      <c r="G379">
        <v>0</v>
      </c>
      <c r="L379" t="s">
        <v>7</v>
      </c>
      <c r="M379" t="s">
        <v>7</v>
      </c>
      <c r="N379" t="s">
        <v>7</v>
      </c>
      <c r="P379">
        <f t="shared" si="924"/>
        <v>7.1755267301492467E-2</v>
      </c>
      <c r="Q379">
        <f t="shared" si="925"/>
        <v>407.32403665067324</v>
      </c>
      <c r="R379">
        <f t="shared" si="926"/>
        <v>-123179.19014007585</v>
      </c>
      <c r="S379">
        <f t="shared" si="927"/>
        <v>-1.2317919014007586</v>
      </c>
      <c r="T379">
        <f t="shared" si="928"/>
        <v>-1.2317919014007586E-3</v>
      </c>
    </row>
    <row r="380" spans="1:20" x14ac:dyDescent="0.25">
      <c r="A380" s="5">
        <v>44204</v>
      </c>
      <c r="B380">
        <v>480.33</v>
      </c>
      <c r="C380">
        <v>527.1</v>
      </c>
      <c r="D380">
        <v>410</v>
      </c>
      <c r="E380">
        <v>448.02</v>
      </c>
      <c r="F380">
        <v>4659.5569699999996</v>
      </c>
      <c r="G380">
        <v>0</v>
      </c>
      <c r="L380" t="s">
        <v>7</v>
      </c>
      <c r="M380" t="s">
        <v>7</v>
      </c>
      <c r="N380" t="s">
        <v>7</v>
      </c>
      <c r="P380">
        <f t="shared" si="924"/>
        <v>-0.35064047822374084</v>
      </c>
      <c r="Q380">
        <f t="shared" si="925"/>
        <v>-1633.8292842715648</v>
      </c>
      <c r="R380">
        <f t="shared" si="926"/>
        <v>-123586.51417672653</v>
      </c>
      <c r="S380">
        <f t="shared" si="927"/>
        <v>-1.2358651417672653</v>
      </c>
      <c r="T380">
        <f t="shared" si="928"/>
        <v>-1.2358651417672653E-3</v>
      </c>
    </row>
    <row r="381" spans="1:20" x14ac:dyDescent="0.25">
      <c r="A381" s="5">
        <v>44203</v>
      </c>
      <c r="B381">
        <v>300</v>
      </c>
      <c r="C381">
        <v>1400</v>
      </c>
      <c r="D381">
        <v>300</v>
      </c>
      <c r="E381">
        <v>480.35</v>
      </c>
      <c r="F381">
        <v>10936.93406</v>
      </c>
      <c r="G381">
        <v>0</v>
      </c>
      <c r="L381" t="s">
        <v>8</v>
      </c>
      <c r="M381" t="s">
        <v>8</v>
      </c>
      <c r="N381" t="s">
        <v>8</v>
      </c>
      <c r="P381">
        <f t="shared" ref="P381:P444" si="929">IF(C381=D381,0,((E381-D381)-(C381-E381))/(C381-D381))</f>
        <v>-0.67209090909090907</v>
      </c>
      <c r="Q381">
        <f t="shared" ref="Q381:Q444" si="930">F381*P381</f>
        <v>-7350.6139550527269</v>
      </c>
      <c r="R381">
        <f t="shared" ref="R381:R444" si="931">R382+Q381</f>
        <v>-121952.68489245497</v>
      </c>
      <c r="S381">
        <f t="shared" ref="S381:S444" si="932">R381/100000</f>
        <v>-1.2195268489245497</v>
      </c>
      <c r="T381">
        <f t="shared" ref="T381:T444" si="933">S381/1000</f>
        <v>-1.2195268489245497E-3</v>
      </c>
    </row>
    <row r="382" spans="1:20" x14ac:dyDescent="0.25">
      <c r="A382" s="5">
        <v>44193</v>
      </c>
      <c r="B382">
        <v>842.88</v>
      </c>
      <c r="C382">
        <v>929.99</v>
      </c>
      <c r="D382">
        <v>50</v>
      </c>
      <c r="E382">
        <v>70.13</v>
      </c>
      <c r="F382">
        <v>125143.73414</v>
      </c>
      <c r="G382">
        <v>0</v>
      </c>
      <c r="L382" t="s">
        <v>7</v>
      </c>
      <c r="M382" t="s">
        <v>7</v>
      </c>
      <c r="N382" t="s">
        <v>7</v>
      </c>
      <c r="P382">
        <f t="shared" si="929"/>
        <v>-0.95424948010772848</v>
      </c>
      <c r="Q382">
        <f t="shared" si="930"/>
        <v>-119418.34324183479</v>
      </c>
      <c r="R382">
        <f t="shared" si="931"/>
        <v>-114602.07093740224</v>
      </c>
      <c r="S382">
        <f t="shared" si="932"/>
        <v>-1.1460207093740225</v>
      </c>
      <c r="T382">
        <f t="shared" si="933"/>
        <v>-1.1460207093740224E-3</v>
      </c>
    </row>
    <row r="383" spans="1:20" x14ac:dyDescent="0.25">
      <c r="A383" s="5">
        <v>44192</v>
      </c>
      <c r="B383">
        <v>679.58</v>
      </c>
      <c r="C383">
        <v>970</v>
      </c>
      <c r="D383">
        <v>676.5</v>
      </c>
      <c r="E383">
        <v>840</v>
      </c>
      <c r="F383">
        <v>4289.0418399999999</v>
      </c>
      <c r="G383">
        <v>0</v>
      </c>
      <c r="L383" t="s">
        <v>8</v>
      </c>
      <c r="M383" t="s">
        <v>8</v>
      </c>
      <c r="N383" t="s">
        <v>8</v>
      </c>
      <c r="P383">
        <f t="shared" si="929"/>
        <v>0.11413969335604771</v>
      </c>
      <c r="Q383">
        <f t="shared" si="930"/>
        <v>489.54992040885861</v>
      </c>
      <c r="R383">
        <f t="shared" si="931"/>
        <v>4816.2723044325567</v>
      </c>
      <c r="S383">
        <f t="shared" si="932"/>
        <v>4.8162723044325569E-2</v>
      </c>
      <c r="T383">
        <f t="shared" si="933"/>
        <v>4.8162723044325568E-5</v>
      </c>
    </row>
    <row r="384" spans="1:20" x14ac:dyDescent="0.25">
      <c r="A384" s="5">
        <v>44191</v>
      </c>
      <c r="B384">
        <v>750.47</v>
      </c>
      <c r="C384">
        <v>764</v>
      </c>
      <c r="D384">
        <v>658</v>
      </c>
      <c r="E384">
        <v>678.52</v>
      </c>
      <c r="F384">
        <v>2137.3158899999999</v>
      </c>
      <c r="G384">
        <v>0</v>
      </c>
      <c r="L384" t="s">
        <v>7</v>
      </c>
      <c r="M384" t="s">
        <v>7</v>
      </c>
      <c r="N384" t="s">
        <v>8</v>
      </c>
      <c r="P384">
        <f t="shared" si="929"/>
        <v>-0.61283018867924566</v>
      </c>
      <c r="Q384">
        <f t="shared" si="930"/>
        <v>-1309.8117001358498</v>
      </c>
      <c r="R384">
        <f t="shared" si="931"/>
        <v>4326.7223840236984</v>
      </c>
      <c r="S384">
        <f t="shared" si="932"/>
        <v>4.3267223840236985E-2</v>
      </c>
      <c r="T384">
        <f t="shared" si="933"/>
        <v>4.3267223840236986E-5</v>
      </c>
    </row>
    <row r="385" spans="1:20" x14ac:dyDescent="0.25">
      <c r="A385" s="5">
        <v>44190</v>
      </c>
      <c r="B385">
        <v>853.99</v>
      </c>
      <c r="C385">
        <v>870.86</v>
      </c>
      <c r="D385">
        <v>734</v>
      </c>
      <c r="E385">
        <v>748.98</v>
      </c>
      <c r="F385">
        <v>1798.1383800000001</v>
      </c>
      <c r="G385">
        <v>0</v>
      </c>
      <c r="L385" t="s">
        <v>7</v>
      </c>
      <c r="M385" t="s">
        <v>8</v>
      </c>
      <c r="N385" t="s">
        <v>8</v>
      </c>
      <c r="P385">
        <f t="shared" si="929"/>
        <v>-0.78109016513225171</v>
      </c>
      <c r="Q385">
        <f t="shared" si="930"/>
        <v>-1404.5082041648398</v>
      </c>
      <c r="R385">
        <f t="shared" si="931"/>
        <v>5636.534084159548</v>
      </c>
      <c r="S385">
        <f t="shared" si="932"/>
        <v>5.6365340841595481E-2</v>
      </c>
      <c r="T385">
        <f t="shared" si="933"/>
        <v>5.636534084159548E-5</v>
      </c>
    </row>
    <row r="386" spans="1:20" x14ac:dyDescent="0.25">
      <c r="A386" s="5">
        <v>44189</v>
      </c>
      <c r="B386">
        <v>720.17</v>
      </c>
      <c r="C386">
        <v>872</v>
      </c>
      <c r="D386">
        <v>670.05</v>
      </c>
      <c r="E386">
        <v>854</v>
      </c>
      <c r="F386">
        <v>2375.9374200000002</v>
      </c>
      <c r="G386">
        <v>0</v>
      </c>
      <c r="L386" t="s">
        <v>8</v>
      </c>
      <c r="M386" t="s">
        <v>8</v>
      </c>
      <c r="N386" t="s">
        <v>8</v>
      </c>
      <c r="P386">
        <f t="shared" si="929"/>
        <v>0.82173805397375588</v>
      </c>
      <c r="Q386">
        <f t="shared" si="930"/>
        <v>1952.3981918742265</v>
      </c>
      <c r="R386">
        <f t="shared" si="931"/>
        <v>7041.0422883243882</v>
      </c>
      <c r="S386">
        <f t="shared" si="932"/>
        <v>7.0410422883243881E-2</v>
      </c>
      <c r="T386">
        <f t="shared" si="933"/>
        <v>7.0410422883243883E-5</v>
      </c>
    </row>
    <row r="387" spans="1:20" x14ac:dyDescent="0.25">
      <c r="A387" s="5">
        <v>44188</v>
      </c>
      <c r="B387">
        <v>936.48</v>
      </c>
      <c r="C387">
        <v>942.85</v>
      </c>
      <c r="D387">
        <v>638</v>
      </c>
      <c r="E387">
        <v>727.12</v>
      </c>
      <c r="F387">
        <v>3030.62392</v>
      </c>
      <c r="G387">
        <v>0</v>
      </c>
      <c r="L387" t="s">
        <v>7</v>
      </c>
      <c r="M387" t="s">
        <v>7</v>
      </c>
      <c r="N387" t="s">
        <v>7</v>
      </c>
      <c r="P387">
        <f t="shared" si="929"/>
        <v>-0.41531900934886012</v>
      </c>
      <c r="Q387">
        <f t="shared" si="930"/>
        <v>-1258.6757241633591</v>
      </c>
      <c r="R387">
        <f t="shared" si="931"/>
        <v>5088.6440964501617</v>
      </c>
      <c r="S387">
        <f t="shared" si="932"/>
        <v>5.0886440964501616E-2</v>
      </c>
      <c r="T387">
        <f t="shared" si="933"/>
        <v>5.0886440964501615E-5</v>
      </c>
    </row>
    <row r="388" spans="1:20" x14ac:dyDescent="0.25">
      <c r="A388" s="5">
        <v>44187</v>
      </c>
      <c r="B388">
        <v>813.84</v>
      </c>
      <c r="C388">
        <v>981</v>
      </c>
      <c r="D388">
        <v>760</v>
      </c>
      <c r="E388">
        <v>936.46</v>
      </c>
      <c r="F388">
        <v>4083.4238300000002</v>
      </c>
      <c r="G388">
        <v>0</v>
      </c>
      <c r="L388" t="s">
        <v>7</v>
      </c>
      <c r="M388" t="s">
        <v>7</v>
      </c>
      <c r="N388" t="s">
        <v>7</v>
      </c>
      <c r="P388">
        <f t="shared" si="929"/>
        <v>0.59692307692307722</v>
      </c>
      <c r="Q388">
        <f t="shared" si="930"/>
        <v>2437.4899169846167</v>
      </c>
      <c r="R388">
        <f t="shared" si="931"/>
        <v>6347.3198206135203</v>
      </c>
      <c r="S388">
        <f t="shared" si="932"/>
        <v>6.3473198206135201E-2</v>
      </c>
      <c r="T388">
        <f t="shared" si="933"/>
        <v>6.34731982061352E-5</v>
      </c>
    </row>
    <row r="389" spans="1:20" x14ac:dyDescent="0.25">
      <c r="A389" s="5">
        <v>44186</v>
      </c>
      <c r="B389">
        <v>858.02</v>
      </c>
      <c r="C389">
        <v>959</v>
      </c>
      <c r="D389">
        <v>770.7</v>
      </c>
      <c r="E389">
        <v>808.23</v>
      </c>
      <c r="F389">
        <v>3464.04133</v>
      </c>
      <c r="G389">
        <v>0</v>
      </c>
      <c r="L389" t="s">
        <v>7</v>
      </c>
      <c r="M389" t="s">
        <v>7</v>
      </c>
      <c r="N389" t="s">
        <v>7</v>
      </c>
      <c r="P389">
        <f t="shared" si="929"/>
        <v>-0.60138077535847068</v>
      </c>
      <c r="Q389">
        <f t="shared" si="930"/>
        <v>-2083.2078609091882</v>
      </c>
      <c r="R389">
        <f t="shared" si="931"/>
        <v>3909.829903628904</v>
      </c>
      <c r="S389">
        <f t="shared" si="932"/>
        <v>3.9098299036289037E-2</v>
      </c>
      <c r="T389">
        <f t="shared" si="933"/>
        <v>3.9098299036289035E-5</v>
      </c>
    </row>
    <row r="390" spans="1:20" x14ac:dyDescent="0.25">
      <c r="A390" s="5">
        <v>44185</v>
      </c>
      <c r="B390">
        <v>966.06</v>
      </c>
      <c r="C390">
        <v>1021</v>
      </c>
      <c r="D390">
        <v>813</v>
      </c>
      <c r="E390">
        <v>858.02</v>
      </c>
      <c r="F390">
        <v>3456.8579500000001</v>
      </c>
      <c r="G390">
        <v>0</v>
      </c>
      <c r="L390" t="s">
        <v>7</v>
      </c>
      <c r="M390" t="s">
        <v>7</v>
      </c>
      <c r="N390" t="s">
        <v>7</v>
      </c>
      <c r="P390">
        <f t="shared" si="929"/>
        <v>-0.5671153846153848</v>
      </c>
      <c r="Q390">
        <f t="shared" si="930"/>
        <v>-1960.4373258750006</v>
      </c>
      <c r="R390">
        <f t="shared" si="931"/>
        <v>5993.0377645380922</v>
      </c>
      <c r="S390">
        <f t="shared" si="932"/>
        <v>5.9930377645380922E-2</v>
      </c>
      <c r="T390">
        <f t="shared" si="933"/>
        <v>5.993037764538092E-5</v>
      </c>
    </row>
    <row r="391" spans="1:20" x14ac:dyDescent="0.25">
      <c r="A391" s="5">
        <v>44184</v>
      </c>
      <c r="B391">
        <v>1104.28</v>
      </c>
      <c r="C391">
        <v>1145</v>
      </c>
      <c r="D391">
        <v>950</v>
      </c>
      <c r="E391">
        <v>962.52</v>
      </c>
      <c r="F391">
        <v>3260.9592200000002</v>
      </c>
      <c r="G391">
        <v>0</v>
      </c>
      <c r="L391" t="s">
        <v>7</v>
      </c>
      <c r="M391" t="s">
        <v>7</v>
      </c>
      <c r="N391" t="s">
        <v>7</v>
      </c>
      <c r="P391">
        <f t="shared" si="929"/>
        <v>-0.87158974358974373</v>
      </c>
      <c r="Q391">
        <f t="shared" si="930"/>
        <v>-2842.2186104164107</v>
      </c>
      <c r="R391">
        <f t="shared" si="931"/>
        <v>7953.4750904130924</v>
      </c>
      <c r="S391">
        <f t="shared" si="932"/>
        <v>7.9534750904130924E-2</v>
      </c>
      <c r="T391">
        <f t="shared" si="933"/>
        <v>7.9534750904130923E-5</v>
      </c>
    </row>
    <row r="392" spans="1:20" x14ac:dyDescent="0.25">
      <c r="A392" s="5">
        <v>44183</v>
      </c>
      <c r="B392">
        <v>1021.85</v>
      </c>
      <c r="C392">
        <v>1184.79</v>
      </c>
      <c r="D392">
        <v>940</v>
      </c>
      <c r="E392">
        <v>1104.28</v>
      </c>
      <c r="F392">
        <v>5033.4029899999996</v>
      </c>
      <c r="G392">
        <v>0</v>
      </c>
      <c r="L392" t="s">
        <v>8</v>
      </c>
      <c r="M392" t="s">
        <v>8</v>
      </c>
      <c r="N392" t="s">
        <v>7</v>
      </c>
      <c r="P392">
        <f t="shared" si="929"/>
        <v>0.34221169165407084</v>
      </c>
      <c r="Q392">
        <f t="shared" si="930"/>
        <v>1722.489351984558</v>
      </c>
      <c r="R392">
        <f t="shared" si="931"/>
        <v>10795.693700829503</v>
      </c>
      <c r="S392">
        <f t="shared" si="932"/>
        <v>0.10795693700829502</v>
      </c>
      <c r="T392">
        <f t="shared" si="933"/>
        <v>1.0795693700829502E-4</v>
      </c>
    </row>
    <row r="393" spans="1:20" x14ac:dyDescent="0.25">
      <c r="A393" s="5">
        <v>44182</v>
      </c>
      <c r="B393">
        <v>1099.29</v>
      </c>
      <c r="C393">
        <v>1192</v>
      </c>
      <c r="D393">
        <v>920.25</v>
      </c>
      <c r="E393">
        <v>1027.17</v>
      </c>
      <c r="F393">
        <v>5849.3112000000001</v>
      </c>
      <c r="G393">
        <v>0</v>
      </c>
      <c r="L393" t="s">
        <v>7</v>
      </c>
      <c r="M393" t="s">
        <v>7</v>
      </c>
      <c r="N393" t="s">
        <v>7</v>
      </c>
      <c r="P393">
        <f t="shared" si="929"/>
        <v>-0.21310027598895992</v>
      </c>
      <c r="Q393">
        <f t="shared" si="930"/>
        <v>-1246.4898310653143</v>
      </c>
      <c r="R393">
        <f t="shared" si="931"/>
        <v>9073.2043488449453</v>
      </c>
      <c r="S393">
        <f t="shared" si="932"/>
        <v>9.073204348844946E-2</v>
      </c>
      <c r="T393">
        <f t="shared" si="933"/>
        <v>9.0732043488449466E-5</v>
      </c>
    </row>
    <row r="394" spans="1:20" x14ac:dyDescent="0.25">
      <c r="A394" s="5">
        <v>44181</v>
      </c>
      <c r="B394">
        <v>1254</v>
      </c>
      <c r="C394">
        <v>1300</v>
      </c>
      <c r="D394">
        <v>1069.3800000000001</v>
      </c>
      <c r="E394">
        <v>1100</v>
      </c>
      <c r="F394">
        <v>5402.6211199999998</v>
      </c>
      <c r="G394">
        <v>0</v>
      </c>
      <c r="L394" t="s">
        <v>7</v>
      </c>
      <c r="M394" t="s">
        <v>7</v>
      </c>
      <c r="N394" t="s">
        <v>8</v>
      </c>
      <c r="P394">
        <f t="shared" si="929"/>
        <v>-0.73445494753273866</v>
      </c>
      <c r="Q394">
        <f t="shared" si="930"/>
        <v>-3967.9818112288658</v>
      </c>
      <c r="R394">
        <f t="shared" si="931"/>
        <v>10319.694179910261</v>
      </c>
      <c r="S394">
        <f t="shared" si="932"/>
        <v>0.1031969417991026</v>
      </c>
      <c r="T394">
        <f t="shared" si="933"/>
        <v>1.0319694179910261E-4</v>
      </c>
    </row>
    <row r="395" spans="1:20" x14ac:dyDescent="0.25">
      <c r="A395" s="5">
        <v>44180</v>
      </c>
      <c r="B395">
        <v>1343.61</v>
      </c>
      <c r="C395">
        <v>1450</v>
      </c>
      <c r="D395">
        <v>1161.3499999999999</v>
      </c>
      <c r="E395">
        <v>1255</v>
      </c>
      <c r="F395">
        <v>4292.2125400000004</v>
      </c>
      <c r="G395">
        <v>0</v>
      </c>
      <c r="L395" t="s">
        <v>7</v>
      </c>
      <c r="M395" t="s">
        <v>8</v>
      </c>
      <c r="N395" t="s">
        <v>8</v>
      </c>
      <c r="P395">
        <f t="shared" si="929"/>
        <v>-0.35111727005023341</v>
      </c>
      <c r="Q395">
        <f t="shared" si="930"/>
        <v>-1507.0699495201784</v>
      </c>
      <c r="R395">
        <f t="shared" si="931"/>
        <v>14287.675991139127</v>
      </c>
      <c r="S395">
        <f t="shared" si="932"/>
        <v>0.14287675991139126</v>
      </c>
      <c r="T395">
        <f t="shared" si="933"/>
        <v>1.4287675991139125E-4</v>
      </c>
    </row>
    <row r="396" spans="1:20" x14ac:dyDescent="0.25">
      <c r="A396" s="5">
        <v>44179</v>
      </c>
      <c r="B396">
        <v>1262.5</v>
      </c>
      <c r="C396">
        <v>1358.59</v>
      </c>
      <c r="D396">
        <v>1205.02</v>
      </c>
      <c r="E396">
        <v>1343.61</v>
      </c>
      <c r="F396">
        <v>3242.6030300000002</v>
      </c>
      <c r="G396">
        <v>0</v>
      </c>
      <c r="L396" t="s">
        <v>7</v>
      </c>
      <c r="M396" t="s">
        <v>8</v>
      </c>
      <c r="N396" t="s">
        <v>8</v>
      </c>
      <c r="P396">
        <f t="shared" si="929"/>
        <v>0.80490981311454024</v>
      </c>
      <c r="Q396">
        <f t="shared" si="930"/>
        <v>2610.0029988819419</v>
      </c>
      <c r="R396">
        <f t="shared" si="931"/>
        <v>15794.745940659306</v>
      </c>
      <c r="S396">
        <f t="shared" si="932"/>
        <v>0.15794745940659305</v>
      </c>
      <c r="T396">
        <f t="shared" si="933"/>
        <v>1.5794745940659306E-4</v>
      </c>
    </row>
    <row r="397" spans="1:20" x14ac:dyDescent="0.25">
      <c r="A397" s="5">
        <v>44178</v>
      </c>
      <c r="B397">
        <v>1211.8900000000001</v>
      </c>
      <c r="C397">
        <v>1427</v>
      </c>
      <c r="D397">
        <v>1200</v>
      </c>
      <c r="E397">
        <v>1262.28</v>
      </c>
      <c r="F397">
        <v>5341.7809900000002</v>
      </c>
      <c r="G397">
        <v>0</v>
      </c>
      <c r="L397" t="s">
        <v>8</v>
      </c>
      <c r="M397" t="s">
        <v>8</v>
      </c>
      <c r="N397" t="s">
        <v>8</v>
      </c>
      <c r="P397">
        <f t="shared" si="929"/>
        <v>-0.45127753303964779</v>
      </c>
      <c r="Q397">
        <f t="shared" si="930"/>
        <v>-2410.6257472052876</v>
      </c>
      <c r="R397">
        <f t="shared" si="931"/>
        <v>13184.742941777364</v>
      </c>
      <c r="S397">
        <f t="shared" si="932"/>
        <v>0.13184742941777364</v>
      </c>
      <c r="T397">
        <f t="shared" si="933"/>
        <v>1.3184742941777362E-4</v>
      </c>
    </row>
    <row r="398" spans="1:20" x14ac:dyDescent="0.25">
      <c r="A398" s="5">
        <v>44177</v>
      </c>
      <c r="B398">
        <v>1311.17</v>
      </c>
      <c r="C398">
        <v>1365.01</v>
      </c>
      <c r="D398">
        <v>1130.01</v>
      </c>
      <c r="E398">
        <v>1211.8900000000001</v>
      </c>
      <c r="F398">
        <v>5515.5363299999999</v>
      </c>
      <c r="G398">
        <v>0</v>
      </c>
      <c r="L398" t="s">
        <v>8</v>
      </c>
      <c r="M398" t="s">
        <v>7</v>
      </c>
      <c r="N398" t="s">
        <v>8</v>
      </c>
      <c r="P398">
        <f t="shared" si="929"/>
        <v>-0.30314893617021182</v>
      </c>
      <c r="Q398">
        <f t="shared" si="930"/>
        <v>-1672.0289708476544</v>
      </c>
      <c r="R398">
        <f t="shared" si="931"/>
        <v>15595.368688982651</v>
      </c>
      <c r="S398">
        <f t="shared" si="932"/>
        <v>0.15595368688982653</v>
      </c>
      <c r="T398">
        <f t="shared" si="933"/>
        <v>1.5595368688982653E-4</v>
      </c>
    </row>
    <row r="399" spans="1:20" x14ac:dyDescent="0.25">
      <c r="A399" s="5">
        <v>44176</v>
      </c>
      <c r="B399">
        <v>1399.75</v>
      </c>
      <c r="C399">
        <v>1499.99</v>
      </c>
      <c r="D399">
        <v>1140</v>
      </c>
      <c r="E399">
        <v>1313.79</v>
      </c>
      <c r="F399">
        <v>10119.49229</v>
      </c>
      <c r="G399">
        <v>0</v>
      </c>
      <c r="L399" t="s">
        <v>7</v>
      </c>
      <c r="M399" t="s">
        <v>7</v>
      </c>
      <c r="N399" t="s">
        <v>8</v>
      </c>
      <c r="P399">
        <f t="shared" si="929"/>
        <v>-3.4473179810550522E-2</v>
      </c>
      <c r="Q399">
        <f t="shared" si="930"/>
        <v>-348.85107730464966</v>
      </c>
      <c r="R399">
        <f t="shared" si="931"/>
        <v>17267.397659830305</v>
      </c>
      <c r="S399">
        <f t="shared" si="932"/>
        <v>0.17267397659830305</v>
      </c>
      <c r="T399">
        <f t="shared" si="933"/>
        <v>1.7267397659830305E-4</v>
      </c>
    </row>
    <row r="400" spans="1:20" x14ac:dyDescent="0.25">
      <c r="A400" s="5">
        <v>44175</v>
      </c>
      <c r="B400">
        <v>1119.98</v>
      </c>
      <c r="C400">
        <v>1500</v>
      </c>
      <c r="D400">
        <v>1034.04</v>
      </c>
      <c r="E400">
        <v>1395.98</v>
      </c>
      <c r="F400">
        <v>13491.98769</v>
      </c>
      <c r="G400">
        <v>0</v>
      </c>
      <c r="L400" t="s">
        <v>8</v>
      </c>
      <c r="M400" t="s">
        <v>8</v>
      </c>
      <c r="N400" t="s">
        <v>8</v>
      </c>
      <c r="P400">
        <f t="shared" si="929"/>
        <v>0.55352390763155646</v>
      </c>
      <c r="Q400">
        <f t="shared" si="930"/>
        <v>7468.1377478856566</v>
      </c>
      <c r="R400">
        <f t="shared" si="931"/>
        <v>17616.248737134956</v>
      </c>
      <c r="S400">
        <f t="shared" si="932"/>
        <v>0.17616248737134957</v>
      </c>
      <c r="T400">
        <f t="shared" si="933"/>
        <v>1.7616248737134957E-4</v>
      </c>
    </row>
    <row r="401" spans="1:20" x14ac:dyDescent="0.25">
      <c r="A401" s="5">
        <v>44174</v>
      </c>
      <c r="B401">
        <v>732.88</v>
      </c>
      <c r="C401">
        <v>1120</v>
      </c>
      <c r="D401">
        <v>697</v>
      </c>
      <c r="E401">
        <v>1100.1099999999999</v>
      </c>
      <c r="F401">
        <v>7447.2563899999996</v>
      </c>
      <c r="G401">
        <v>0</v>
      </c>
      <c r="L401" t="s">
        <v>8</v>
      </c>
      <c r="M401" t="s">
        <v>8</v>
      </c>
      <c r="N401" t="s">
        <v>8</v>
      </c>
      <c r="P401">
        <f t="shared" si="929"/>
        <v>0.9059574468085102</v>
      </c>
      <c r="Q401">
        <f t="shared" si="930"/>
        <v>6746.8973848127625</v>
      </c>
      <c r="R401">
        <f t="shared" si="931"/>
        <v>10148.1109892493</v>
      </c>
      <c r="S401">
        <f t="shared" si="932"/>
        <v>0.10148110989249301</v>
      </c>
      <c r="T401">
        <f t="shared" si="933"/>
        <v>1.0148110989249301E-4</v>
      </c>
    </row>
    <row r="402" spans="1:20" x14ac:dyDescent="0.25">
      <c r="A402" s="5">
        <v>44173</v>
      </c>
      <c r="B402">
        <v>800</v>
      </c>
      <c r="C402">
        <v>853.96</v>
      </c>
      <c r="D402">
        <v>655</v>
      </c>
      <c r="E402">
        <v>733</v>
      </c>
      <c r="F402">
        <v>6887.0226700000003</v>
      </c>
      <c r="G402">
        <v>0</v>
      </c>
      <c r="L402" t="s">
        <v>7</v>
      </c>
      <c r="M402" t="s">
        <v>7</v>
      </c>
      <c r="N402" t="s">
        <v>7</v>
      </c>
      <c r="P402">
        <f t="shared" si="929"/>
        <v>-0.21592279855247301</v>
      </c>
      <c r="Q402">
        <f t="shared" si="930"/>
        <v>-1487.0652086007249</v>
      </c>
      <c r="R402">
        <f t="shared" si="931"/>
        <v>3401.2136044365388</v>
      </c>
      <c r="S402">
        <f t="shared" si="932"/>
        <v>3.4012136044365392E-2</v>
      </c>
      <c r="T402">
        <f t="shared" si="933"/>
        <v>3.4012136044365395E-5</v>
      </c>
    </row>
    <row r="403" spans="1:20" x14ac:dyDescent="0.25">
      <c r="A403" s="5">
        <v>44172</v>
      </c>
      <c r="B403">
        <v>950.98</v>
      </c>
      <c r="C403">
        <v>952.97</v>
      </c>
      <c r="D403">
        <v>751.02</v>
      </c>
      <c r="E403">
        <v>800</v>
      </c>
      <c r="F403">
        <v>5106.9484400000001</v>
      </c>
      <c r="G403">
        <v>0</v>
      </c>
      <c r="L403" t="s">
        <v>7</v>
      </c>
      <c r="M403" t="s">
        <v>7</v>
      </c>
      <c r="N403" t="s">
        <v>8</v>
      </c>
      <c r="P403">
        <f t="shared" si="929"/>
        <v>-0.51492943797969792</v>
      </c>
      <c r="Q403">
        <f t="shared" si="930"/>
        <v>-2629.7180900004951</v>
      </c>
      <c r="R403">
        <f t="shared" si="931"/>
        <v>4888.2788130372637</v>
      </c>
      <c r="S403">
        <f t="shared" si="932"/>
        <v>4.888278813037264E-2</v>
      </c>
      <c r="T403">
        <f t="shared" si="933"/>
        <v>4.8882788130372641E-5</v>
      </c>
    </row>
    <row r="404" spans="1:20" x14ac:dyDescent="0.25">
      <c r="A404" s="5">
        <v>44171</v>
      </c>
      <c r="B404">
        <v>747.05</v>
      </c>
      <c r="C404">
        <v>1012.65</v>
      </c>
      <c r="D404">
        <v>741.9</v>
      </c>
      <c r="E404">
        <v>950.97</v>
      </c>
      <c r="F404">
        <v>7946.8360499999999</v>
      </c>
      <c r="G404">
        <v>0</v>
      </c>
      <c r="L404" t="s">
        <v>8</v>
      </c>
      <c r="M404" t="s">
        <v>8</v>
      </c>
      <c r="N404" t="s">
        <v>8</v>
      </c>
      <c r="P404">
        <f t="shared" si="929"/>
        <v>0.54437673130193942</v>
      </c>
      <c r="Q404">
        <f t="shared" si="930"/>
        <v>4326.0726330914158</v>
      </c>
      <c r="R404">
        <f t="shared" si="931"/>
        <v>7517.9969030377588</v>
      </c>
      <c r="S404">
        <f t="shared" si="932"/>
        <v>7.5179969030377589E-2</v>
      </c>
      <c r="T404">
        <f t="shared" si="933"/>
        <v>7.5179969030377594E-5</v>
      </c>
    </row>
    <row r="405" spans="1:20" x14ac:dyDescent="0.25">
      <c r="A405" s="5">
        <v>44170</v>
      </c>
      <c r="B405">
        <v>479.03</v>
      </c>
      <c r="C405">
        <v>835</v>
      </c>
      <c r="D405">
        <v>479.03</v>
      </c>
      <c r="E405">
        <v>747.05</v>
      </c>
      <c r="F405">
        <v>6309.9310400000004</v>
      </c>
      <c r="G405">
        <v>0</v>
      </c>
      <c r="P405">
        <f t="shared" si="929"/>
        <v>0.50585723516026615</v>
      </c>
      <c r="Q405">
        <f t="shared" si="930"/>
        <v>3191.924269946343</v>
      </c>
      <c r="R405">
        <f t="shared" si="931"/>
        <v>3191.924269946343</v>
      </c>
      <c r="S405">
        <f t="shared" si="932"/>
        <v>3.1919242699463432E-2</v>
      </c>
      <c r="T405">
        <f t="shared" si="933"/>
        <v>3.1919242699463429E-5</v>
      </c>
    </row>
    <row r="406" spans="1:20" x14ac:dyDescent="0.25">
      <c r="A406" s="5"/>
      <c r="C406"/>
      <c r="D406"/>
      <c r="P406">
        <f t="shared" si="929"/>
        <v>0</v>
      </c>
      <c r="Q406">
        <f t="shared" si="930"/>
        <v>0</v>
      </c>
      <c r="R406">
        <f t="shared" si="931"/>
        <v>0</v>
      </c>
      <c r="S406">
        <f t="shared" si="932"/>
        <v>0</v>
      </c>
      <c r="T406">
        <f t="shared" si="933"/>
        <v>0</v>
      </c>
    </row>
    <row r="407" spans="1:20" x14ac:dyDescent="0.25">
      <c r="A407" s="5"/>
      <c r="C407"/>
      <c r="D407"/>
      <c r="P407">
        <f t="shared" si="929"/>
        <v>0</v>
      </c>
      <c r="Q407">
        <f t="shared" si="930"/>
        <v>0</v>
      </c>
      <c r="R407">
        <f t="shared" si="931"/>
        <v>0</v>
      </c>
      <c r="S407">
        <f t="shared" si="932"/>
        <v>0</v>
      </c>
      <c r="T407">
        <f t="shared" si="933"/>
        <v>0</v>
      </c>
    </row>
    <row r="408" spans="1:20" x14ac:dyDescent="0.25">
      <c r="A408" s="5"/>
      <c r="C408"/>
      <c r="D408"/>
      <c r="P408">
        <f t="shared" si="929"/>
        <v>0</v>
      </c>
      <c r="Q408">
        <f t="shared" si="930"/>
        <v>0</v>
      </c>
      <c r="R408">
        <f t="shared" si="931"/>
        <v>0</v>
      </c>
      <c r="S408">
        <f t="shared" si="932"/>
        <v>0</v>
      </c>
      <c r="T408">
        <f t="shared" si="933"/>
        <v>0</v>
      </c>
    </row>
    <row r="409" spans="1:20" x14ac:dyDescent="0.25">
      <c r="A409" s="5"/>
      <c r="C409"/>
      <c r="D409"/>
      <c r="P409">
        <f t="shared" si="929"/>
        <v>0</v>
      </c>
      <c r="Q409">
        <f t="shared" si="930"/>
        <v>0</v>
      </c>
      <c r="R409">
        <f t="shared" si="931"/>
        <v>0</v>
      </c>
      <c r="S409">
        <f t="shared" si="932"/>
        <v>0</v>
      </c>
      <c r="T409">
        <f t="shared" si="933"/>
        <v>0</v>
      </c>
    </row>
    <row r="410" spans="1:20" x14ac:dyDescent="0.25">
      <c r="A410" s="5"/>
      <c r="C410"/>
      <c r="D410"/>
      <c r="P410">
        <f t="shared" si="929"/>
        <v>0</v>
      </c>
      <c r="Q410">
        <f t="shared" si="930"/>
        <v>0</v>
      </c>
      <c r="R410">
        <f t="shared" si="931"/>
        <v>0</v>
      </c>
      <c r="S410">
        <f t="shared" si="932"/>
        <v>0</v>
      </c>
      <c r="T410">
        <f t="shared" si="933"/>
        <v>0</v>
      </c>
    </row>
    <row r="411" spans="1:20" x14ac:dyDescent="0.25">
      <c r="A411" s="5"/>
      <c r="C411"/>
      <c r="D411"/>
      <c r="P411">
        <f t="shared" si="929"/>
        <v>0</v>
      </c>
      <c r="Q411">
        <f t="shared" si="930"/>
        <v>0</v>
      </c>
      <c r="R411">
        <f t="shared" si="931"/>
        <v>0</v>
      </c>
      <c r="S411">
        <f t="shared" si="932"/>
        <v>0</v>
      </c>
      <c r="T411">
        <f t="shared" si="933"/>
        <v>0</v>
      </c>
    </row>
    <row r="412" spans="1:20" x14ac:dyDescent="0.25">
      <c r="A412" s="5"/>
      <c r="C412"/>
      <c r="D412"/>
      <c r="P412">
        <f t="shared" si="929"/>
        <v>0</v>
      </c>
      <c r="Q412">
        <f t="shared" si="930"/>
        <v>0</v>
      </c>
      <c r="R412">
        <f t="shared" si="931"/>
        <v>0</v>
      </c>
      <c r="S412">
        <f t="shared" si="932"/>
        <v>0</v>
      </c>
      <c r="T412">
        <f t="shared" si="933"/>
        <v>0</v>
      </c>
    </row>
    <row r="413" spans="1:20" x14ac:dyDescent="0.25">
      <c r="A413" s="5"/>
      <c r="C413"/>
      <c r="D413"/>
      <c r="P413">
        <f t="shared" si="929"/>
        <v>0</v>
      </c>
      <c r="Q413">
        <f t="shared" si="930"/>
        <v>0</v>
      </c>
      <c r="R413">
        <f t="shared" si="931"/>
        <v>0</v>
      </c>
      <c r="S413">
        <f t="shared" si="932"/>
        <v>0</v>
      </c>
      <c r="T413">
        <f t="shared" si="933"/>
        <v>0</v>
      </c>
    </row>
    <row r="414" spans="1:20" x14ac:dyDescent="0.25">
      <c r="A414" s="5"/>
      <c r="C414"/>
      <c r="D414"/>
      <c r="P414">
        <f t="shared" si="929"/>
        <v>0</v>
      </c>
      <c r="Q414">
        <f t="shared" si="930"/>
        <v>0</v>
      </c>
      <c r="R414">
        <f t="shared" si="931"/>
        <v>0</v>
      </c>
      <c r="S414">
        <f t="shared" si="932"/>
        <v>0</v>
      </c>
      <c r="T414">
        <f t="shared" si="933"/>
        <v>0</v>
      </c>
    </row>
    <row r="415" spans="1:20" x14ac:dyDescent="0.25">
      <c r="A415" s="5"/>
      <c r="C415"/>
      <c r="D415"/>
      <c r="P415">
        <f t="shared" si="929"/>
        <v>0</v>
      </c>
      <c r="Q415">
        <f t="shared" si="930"/>
        <v>0</v>
      </c>
      <c r="R415">
        <f t="shared" si="931"/>
        <v>0</v>
      </c>
      <c r="S415">
        <f t="shared" si="932"/>
        <v>0</v>
      </c>
      <c r="T415">
        <f t="shared" si="933"/>
        <v>0</v>
      </c>
    </row>
    <row r="416" spans="1:20" x14ac:dyDescent="0.25">
      <c r="A416" s="5"/>
      <c r="C416"/>
      <c r="D416"/>
      <c r="P416">
        <f t="shared" si="929"/>
        <v>0</v>
      </c>
      <c r="Q416">
        <f t="shared" si="930"/>
        <v>0</v>
      </c>
      <c r="R416">
        <f t="shared" si="931"/>
        <v>0</v>
      </c>
      <c r="S416">
        <f t="shared" si="932"/>
        <v>0</v>
      </c>
      <c r="T416">
        <f t="shared" si="933"/>
        <v>0</v>
      </c>
    </row>
    <row r="417" spans="1:20" x14ac:dyDescent="0.25">
      <c r="A417" s="5"/>
      <c r="C417"/>
      <c r="D417"/>
      <c r="P417">
        <f t="shared" si="929"/>
        <v>0</v>
      </c>
      <c r="Q417">
        <f t="shared" si="930"/>
        <v>0</v>
      </c>
      <c r="R417">
        <f t="shared" si="931"/>
        <v>0</v>
      </c>
      <c r="S417">
        <f t="shared" si="932"/>
        <v>0</v>
      </c>
      <c r="T417">
        <f t="shared" si="933"/>
        <v>0</v>
      </c>
    </row>
    <row r="418" spans="1:20" x14ac:dyDescent="0.25">
      <c r="A418" s="5"/>
      <c r="C418"/>
      <c r="D418"/>
      <c r="P418">
        <f t="shared" si="929"/>
        <v>0</v>
      </c>
      <c r="Q418">
        <f t="shared" si="930"/>
        <v>0</v>
      </c>
      <c r="R418">
        <f t="shared" si="931"/>
        <v>0</v>
      </c>
      <c r="S418">
        <f t="shared" si="932"/>
        <v>0</v>
      </c>
      <c r="T418">
        <f t="shared" si="933"/>
        <v>0</v>
      </c>
    </row>
    <row r="419" spans="1:20" x14ac:dyDescent="0.25">
      <c r="A419" s="5"/>
      <c r="C419"/>
      <c r="D419"/>
      <c r="P419">
        <f t="shared" si="929"/>
        <v>0</v>
      </c>
      <c r="Q419">
        <f t="shared" si="930"/>
        <v>0</v>
      </c>
      <c r="R419">
        <f t="shared" si="931"/>
        <v>0</v>
      </c>
      <c r="S419">
        <f t="shared" si="932"/>
        <v>0</v>
      </c>
      <c r="T419">
        <f t="shared" si="933"/>
        <v>0</v>
      </c>
    </row>
    <row r="420" spans="1:20" x14ac:dyDescent="0.25">
      <c r="A420" s="5"/>
      <c r="C420"/>
      <c r="D420"/>
      <c r="P420">
        <f t="shared" si="929"/>
        <v>0</v>
      </c>
      <c r="Q420">
        <f t="shared" si="930"/>
        <v>0</v>
      </c>
      <c r="R420">
        <f t="shared" si="931"/>
        <v>0</v>
      </c>
      <c r="S420">
        <f t="shared" si="932"/>
        <v>0</v>
      </c>
      <c r="T420">
        <f t="shared" si="933"/>
        <v>0</v>
      </c>
    </row>
    <row r="421" spans="1:20" x14ac:dyDescent="0.25">
      <c r="A421" s="5"/>
      <c r="C421"/>
      <c r="D421"/>
      <c r="P421">
        <f t="shared" si="929"/>
        <v>0</v>
      </c>
      <c r="Q421">
        <f t="shared" si="930"/>
        <v>0</v>
      </c>
      <c r="R421">
        <f t="shared" si="931"/>
        <v>0</v>
      </c>
      <c r="S421">
        <f t="shared" si="932"/>
        <v>0</v>
      </c>
      <c r="T421">
        <f t="shared" si="933"/>
        <v>0</v>
      </c>
    </row>
    <row r="422" spans="1:20" x14ac:dyDescent="0.25">
      <c r="A422" s="5"/>
      <c r="C422"/>
      <c r="D422"/>
      <c r="P422">
        <f t="shared" si="929"/>
        <v>0</v>
      </c>
      <c r="Q422">
        <f t="shared" si="930"/>
        <v>0</v>
      </c>
      <c r="R422">
        <f t="shared" si="931"/>
        <v>0</v>
      </c>
      <c r="S422">
        <f t="shared" si="932"/>
        <v>0</v>
      </c>
      <c r="T422">
        <f t="shared" si="933"/>
        <v>0</v>
      </c>
    </row>
    <row r="423" spans="1:20" x14ac:dyDescent="0.25">
      <c r="A423" s="5"/>
      <c r="C423"/>
      <c r="D423"/>
      <c r="P423">
        <f t="shared" si="929"/>
        <v>0</v>
      </c>
      <c r="Q423">
        <f t="shared" si="930"/>
        <v>0</v>
      </c>
      <c r="R423">
        <f t="shared" si="931"/>
        <v>0</v>
      </c>
      <c r="S423">
        <f t="shared" si="932"/>
        <v>0</v>
      </c>
      <c r="T423">
        <f t="shared" si="933"/>
        <v>0</v>
      </c>
    </row>
    <row r="424" spans="1:20" x14ac:dyDescent="0.25">
      <c r="A424" s="5"/>
      <c r="C424"/>
      <c r="D424"/>
      <c r="P424">
        <f t="shared" si="929"/>
        <v>0</v>
      </c>
      <c r="Q424">
        <f t="shared" si="930"/>
        <v>0</v>
      </c>
      <c r="R424">
        <f t="shared" si="931"/>
        <v>0</v>
      </c>
      <c r="S424">
        <f t="shared" si="932"/>
        <v>0</v>
      </c>
      <c r="T424">
        <f t="shared" si="933"/>
        <v>0</v>
      </c>
    </row>
    <row r="425" spans="1:20" x14ac:dyDescent="0.25">
      <c r="A425" s="5"/>
      <c r="C425"/>
      <c r="D425"/>
      <c r="P425">
        <f t="shared" si="929"/>
        <v>0</v>
      </c>
      <c r="Q425">
        <f t="shared" si="930"/>
        <v>0</v>
      </c>
      <c r="R425">
        <f t="shared" si="931"/>
        <v>0</v>
      </c>
      <c r="S425">
        <f t="shared" si="932"/>
        <v>0</v>
      </c>
      <c r="T425">
        <f t="shared" si="933"/>
        <v>0</v>
      </c>
    </row>
    <row r="426" spans="1:20" x14ac:dyDescent="0.25">
      <c r="A426" s="5"/>
      <c r="C426"/>
      <c r="D426"/>
      <c r="P426">
        <f t="shared" si="929"/>
        <v>0</v>
      </c>
      <c r="Q426">
        <f t="shared" si="930"/>
        <v>0</v>
      </c>
      <c r="R426">
        <f t="shared" si="931"/>
        <v>0</v>
      </c>
      <c r="S426">
        <f t="shared" si="932"/>
        <v>0</v>
      </c>
      <c r="T426">
        <f t="shared" si="933"/>
        <v>0</v>
      </c>
    </row>
    <row r="427" spans="1:20" x14ac:dyDescent="0.25">
      <c r="A427" s="5"/>
      <c r="C427"/>
      <c r="D427"/>
      <c r="P427">
        <f t="shared" si="929"/>
        <v>0</v>
      </c>
      <c r="Q427">
        <f t="shared" si="930"/>
        <v>0</v>
      </c>
      <c r="R427">
        <f t="shared" si="931"/>
        <v>0</v>
      </c>
      <c r="S427">
        <f t="shared" si="932"/>
        <v>0</v>
      </c>
      <c r="T427">
        <f t="shared" si="933"/>
        <v>0</v>
      </c>
    </row>
    <row r="428" spans="1:20" x14ac:dyDescent="0.25">
      <c r="A428" s="5"/>
      <c r="C428"/>
      <c r="D428"/>
      <c r="P428">
        <f t="shared" si="929"/>
        <v>0</v>
      </c>
      <c r="Q428">
        <f t="shared" si="930"/>
        <v>0</v>
      </c>
      <c r="R428">
        <f t="shared" si="931"/>
        <v>0</v>
      </c>
      <c r="S428">
        <f t="shared" si="932"/>
        <v>0</v>
      </c>
      <c r="T428">
        <f t="shared" si="933"/>
        <v>0</v>
      </c>
    </row>
    <row r="429" spans="1:20" x14ac:dyDescent="0.25">
      <c r="A429" s="5"/>
      <c r="C429"/>
      <c r="D429"/>
      <c r="P429">
        <f t="shared" si="929"/>
        <v>0</v>
      </c>
      <c r="Q429">
        <f t="shared" si="930"/>
        <v>0</v>
      </c>
      <c r="R429">
        <f t="shared" si="931"/>
        <v>0</v>
      </c>
      <c r="S429">
        <f t="shared" si="932"/>
        <v>0</v>
      </c>
      <c r="T429">
        <f t="shared" si="933"/>
        <v>0</v>
      </c>
    </row>
    <row r="430" spans="1:20" x14ac:dyDescent="0.25">
      <c r="A430" s="5"/>
      <c r="C430"/>
      <c r="D430"/>
      <c r="P430">
        <f t="shared" si="929"/>
        <v>0</v>
      </c>
      <c r="Q430">
        <f t="shared" si="930"/>
        <v>0</v>
      </c>
      <c r="R430">
        <f t="shared" si="931"/>
        <v>0</v>
      </c>
      <c r="S430">
        <f t="shared" si="932"/>
        <v>0</v>
      </c>
      <c r="T430">
        <f t="shared" si="933"/>
        <v>0</v>
      </c>
    </row>
    <row r="431" spans="1:20" x14ac:dyDescent="0.25">
      <c r="A431" s="5"/>
      <c r="C431"/>
      <c r="D431"/>
      <c r="P431">
        <f t="shared" si="929"/>
        <v>0</v>
      </c>
      <c r="Q431">
        <f t="shared" si="930"/>
        <v>0</v>
      </c>
      <c r="R431">
        <f t="shared" si="931"/>
        <v>0</v>
      </c>
      <c r="S431">
        <f t="shared" si="932"/>
        <v>0</v>
      </c>
      <c r="T431">
        <f t="shared" si="933"/>
        <v>0</v>
      </c>
    </row>
    <row r="432" spans="1:20" x14ac:dyDescent="0.25">
      <c r="A432" s="5"/>
      <c r="C432"/>
      <c r="D432"/>
      <c r="P432">
        <f t="shared" si="929"/>
        <v>0</v>
      </c>
      <c r="Q432">
        <f t="shared" si="930"/>
        <v>0</v>
      </c>
      <c r="R432">
        <f t="shared" si="931"/>
        <v>0</v>
      </c>
      <c r="S432">
        <f t="shared" si="932"/>
        <v>0</v>
      </c>
      <c r="T432">
        <f t="shared" si="933"/>
        <v>0</v>
      </c>
    </row>
    <row r="433" spans="1:20" x14ac:dyDescent="0.25">
      <c r="A433" s="5"/>
      <c r="C433"/>
      <c r="D433"/>
      <c r="P433">
        <f t="shared" si="929"/>
        <v>0</v>
      </c>
      <c r="Q433">
        <f t="shared" si="930"/>
        <v>0</v>
      </c>
      <c r="R433">
        <f t="shared" si="931"/>
        <v>0</v>
      </c>
      <c r="S433">
        <f t="shared" si="932"/>
        <v>0</v>
      </c>
      <c r="T433">
        <f t="shared" si="933"/>
        <v>0</v>
      </c>
    </row>
    <row r="434" spans="1:20" x14ac:dyDescent="0.25">
      <c r="A434" s="5"/>
      <c r="C434"/>
      <c r="D434"/>
      <c r="P434">
        <f t="shared" si="929"/>
        <v>0</v>
      </c>
      <c r="Q434">
        <f t="shared" si="930"/>
        <v>0</v>
      </c>
      <c r="R434">
        <f t="shared" si="931"/>
        <v>0</v>
      </c>
      <c r="S434">
        <f t="shared" si="932"/>
        <v>0</v>
      </c>
      <c r="T434">
        <f t="shared" si="933"/>
        <v>0</v>
      </c>
    </row>
    <row r="435" spans="1:20" x14ac:dyDescent="0.25">
      <c r="A435" s="5"/>
      <c r="C435"/>
      <c r="D435"/>
      <c r="P435">
        <f t="shared" si="929"/>
        <v>0</v>
      </c>
      <c r="Q435">
        <f t="shared" si="930"/>
        <v>0</v>
      </c>
      <c r="R435">
        <f t="shared" si="931"/>
        <v>0</v>
      </c>
      <c r="S435">
        <f t="shared" si="932"/>
        <v>0</v>
      </c>
      <c r="T435">
        <f t="shared" si="933"/>
        <v>0</v>
      </c>
    </row>
    <row r="436" spans="1:20" x14ac:dyDescent="0.25">
      <c r="A436" s="5"/>
      <c r="C436"/>
      <c r="D436"/>
      <c r="P436">
        <f t="shared" si="929"/>
        <v>0</v>
      </c>
      <c r="Q436">
        <f t="shared" si="930"/>
        <v>0</v>
      </c>
      <c r="R436">
        <f t="shared" si="931"/>
        <v>0</v>
      </c>
      <c r="S436">
        <f t="shared" si="932"/>
        <v>0</v>
      </c>
      <c r="T436">
        <f t="shared" si="933"/>
        <v>0</v>
      </c>
    </row>
    <row r="437" spans="1:20" x14ac:dyDescent="0.25">
      <c r="A437" s="5"/>
      <c r="C437"/>
      <c r="D437"/>
      <c r="P437">
        <f t="shared" si="929"/>
        <v>0</v>
      </c>
      <c r="Q437">
        <f t="shared" si="930"/>
        <v>0</v>
      </c>
      <c r="R437">
        <f t="shared" si="931"/>
        <v>0</v>
      </c>
      <c r="S437">
        <f t="shared" si="932"/>
        <v>0</v>
      </c>
      <c r="T437">
        <f t="shared" si="933"/>
        <v>0</v>
      </c>
    </row>
    <row r="438" spans="1:20" x14ac:dyDescent="0.25">
      <c r="A438" s="5"/>
      <c r="C438"/>
      <c r="D438"/>
      <c r="P438">
        <f t="shared" si="929"/>
        <v>0</v>
      </c>
      <c r="Q438">
        <f t="shared" si="930"/>
        <v>0</v>
      </c>
      <c r="R438">
        <f t="shared" si="931"/>
        <v>0</v>
      </c>
      <c r="S438">
        <f t="shared" si="932"/>
        <v>0</v>
      </c>
      <c r="T438">
        <f t="shared" si="933"/>
        <v>0</v>
      </c>
    </row>
    <row r="439" spans="1:20" x14ac:dyDescent="0.25">
      <c r="A439" s="5"/>
      <c r="C439"/>
      <c r="D439"/>
      <c r="P439">
        <f t="shared" si="929"/>
        <v>0</v>
      </c>
      <c r="Q439">
        <f t="shared" si="930"/>
        <v>0</v>
      </c>
      <c r="R439">
        <f t="shared" si="931"/>
        <v>0</v>
      </c>
      <c r="S439">
        <f t="shared" si="932"/>
        <v>0</v>
      </c>
      <c r="T439">
        <f t="shared" si="933"/>
        <v>0</v>
      </c>
    </row>
    <row r="440" spans="1:20" x14ac:dyDescent="0.25">
      <c r="A440" s="5"/>
      <c r="C440"/>
      <c r="D440"/>
      <c r="P440">
        <f t="shared" si="929"/>
        <v>0</v>
      </c>
      <c r="Q440">
        <f t="shared" si="930"/>
        <v>0</v>
      </c>
      <c r="R440">
        <f t="shared" si="931"/>
        <v>0</v>
      </c>
      <c r="S440">
        <f t="shared" si="932"/>
        <v>0</v>
      </c>
      <c r="T440">
        <f t="shared" si="933"/>
        <v>0</v>
      </c>
    </row>
    <row r="441" spans="1:20" x14ac:dyDescent="0.25">
      <c r="A441" s="5"/>
      <c r="C441"/>
      <c r="D441"/>
      <c r="P441">
        <f t="shared" si="929"/>
        <v>0</v>
      </c>
      <c r="Q441">
        <f t="shared" si="930"/>
        <v>0</v>
      </c>
      <c r="R441">
        <f t="shared" si="931"/>
        <v>0</v>
      </c>
      <c r="S441">
        <f t="shared" si="932"/>
        <v>0</v>
      </c>
      <c r="T441">
        <f t="shared" si="933"/>
        <v>0</v>
      </c>
    </row>
    <row r="442" spans="1:20" x14ac:dyDescent="0.25">
      <c r="A442" s="5"/>
      <c r="C442"/>
      <c r="D442"/>
      <c r="P442">
        <f t="shared" si="929"/>
        <v>0</v>
      </c>
      <c r="Q442">
        <f t="shared" si="930"/>
        <v>0</v>
      </c>
      <c r="R442">
        <f t="shared" si="931"/>
        <v>0</v>
      </c>
      <c r="S442">
        <f t="shared" si="932"/>
        <v>0</v>
      </c>
      <c r="T442">
        <f t="shared" si="933"/>
        <v>0</v>
      </c>
    </row>
    <row r="443" spans="1:20" x14ac:dyDescent="0.25">
      <c r="A443" s="5"/>
      <c r="C443"/>
      <c r="D443"/>
      <c r="P443">
        <f t="shared" si="929"/>
        <v>0</v>
      </c>
      <c r="Q443">
        <f t="shared" si="930"/>
        <v>0</v>
      </c>
      <c r="R443">
        <f t="shared" si="931"/>
        <v>0</v>
      </c>
      <c r="S443">
        <f t="shared" si="932"/>
        <v>0</v>
      </c>
      <c r="T443">
        <f t="shared" si="933"/>
        <v>0</v>
      </c>
    </row>
    <row r="444" spans="1:20" x14ac:dyDescent="0.25">
      <c r="A444" s="5"/>
      <c r="C444"/>
      <c r="D444"/>
      <c r="P444">
        <f t="shared" si="929"/>
        <v>0</v>
      </c>
      <c r="Q444">
        <f t="shared" si="930"/>
        <v>0</v>
      </c>
      <c r="R444">
        <f t="shared" si="931"/>
        <v>0</v>
      </c>
      <c r="S444">
        <f t="shared" si="932"/>
        <v>0</v>
      </c>
      <c r="T444">
        <f t="shared" si="933"/>
        <v>0</v>
      </c>
    </row>
    <row r="445" spans="1:20" x14ac:dyDescent="0.25">
      <c r="A445" s="5"/>
      <c r="C445"/>
      <c r="D445"/>
      <c r="P445">
        <f t="shared" ref="P445:P508" si="934">IF(C445=D445,0,((E445-D445)-(C445-E445))/(C445-D445))</f>
        <v>0</v>
      </c>
      <c r="Q445">
        <f t="shared" ref="Q445:Q508" si="935">F445*P445</f>
        <v>0</v>
      </c>
      <c r="R445">
        <f t="shared" ref="R445:R508" si="936">R446+Q445</f>
        <v>0</v>
      </c>
      <c r="S445">
        <f t="shared" ref="S445:S508" si="937">R445/100000</f>
        <v>0</v>
      </c>
      <c r="T445">
        <f t="shared" ref="T445:T508" si="938">S445/1000</f>
        <v>0</v>
      </c>
    </row>
    <row r="446" spans="1:20" x14ac:dyDescent="0.25">
      <c r="A446" s="5"/>
      <c r="C446"/>
      <c r="D446"/>
      <c r="P446">
        <f t="shared" si="934"/>
        <v>0</v>
      </c>
      <c r="Q446">
        <f t="shared" si="935"/>
        <v>0</v>
      </c>
      <c r="R446">
        <f t="shared" si="936"/>
        <v>0</v>
      </c>
      <c r="S446">
        <f t="shared" si="937"/>
        <v>0</v>
      </c>
      <c r="T446">
        <f t="shared" si="938"/>
        <v>0</v>
      </c>
    </row>
    <row r="447" spans="1:20" x14ac:dyDescent="0.25">
      <c r="A447" s="5"/>
      <c r="C447"/>
      <c r="D447"/>
      <c r="P447">
        <f t="shared" si="934"/>
        <v>0</v>
      </c>
      <c r="Q447">
        <f t="shared" si="935"/>
        <v>0</v>
      </c>
      <c r="R447">
        <f t="shared" si="936"/>
        <v>0</v>
      </c>
      <c r="S447">
        <f t="shared" si="937"/>
        <v>0</v>
      </c>
      <c r="T447">
        <f t="shared" si="938"/>
        <v>0</v>
      </c>
    </row>
    <row r="448" spans="1:20" x14ac:dyDescent="0.25">
      <c r="A448" s="5"/>
      <c r="C448"/>
      <c r="D448"/>
      <c r="P448">
        <f t="shared" si="934"/>
        <v>0</v>
      </c>
      <c r="Q448">
        <f t="shared" si="935"/>
        <v>0</v>
      </c>
      <c r="R448">
        <f t="shared" si="936"/>
        <v>0</v>
      </c>
      <c r="S448">
        <f t="shared" si="937"/>
        <v>0</v>
      </c>
      <c r="T448">
        <f t="shared" si="938"/>
        <v>0</v>
      </c>
    </row>
    <row r="449" spans="1:20" x14ac:dyDescent="0.25">
      <c r="A449" s="5"/>
      <c r="C449"/>
      <c r="D449"/>
      <c r="P449">
        <f t="shared" si="934"/>
        <v>0</v>
      </c>
      <c r="Q449">
        <f t="shared" si="935"/>
        <v>0</v>
      </c>
      <c r="R449">
        <f t="shared" si="936"/>
        <v>0</v>
      </c>
      <c r="S449">
        <f t="shared" si="937"/>
        <v>0</v>
      </c>
      <c r="T449">
        <f t="shared" si="938"/>
        <v>0</v>
      </c>
    </row>
    <row r="450" spans="1:20" x14ac:dyDescent="0.25">
      <c r="A450" s="5"/>
      <c r="C450"/>
      <c r="D450"/>
      <c r="P450">
        <f t="shared" si="934"/>
        <v>0</v>
      </c>
      <c r="Q450">
        <f t="shared" si="935"/>
        <v>0</v>
      </c>
      <c r="R450">
        <f t="shared" si="936"/>
        <v>0</v>
      </c>
      <c r="S450">
        <f t="shared" si="937"/>
        <v>0</v>
      </c>
      <c r="T450">
        <f t="shared" si="938"/>
        <v>0</v>
      </c>
    </row>
    <row r="451" spans="1:20" x14ac:dyDescent="0.25">
      <c r="A451" s="5"/>
      <c r="C451"/>
      <c r="D451"/>
      <c r="P451">
        <f t="shared" si="934"/>
        <v>0</v>
      </c>
      <c r="Q451">
        <f t="shared" si="935"/>
        <v>0</v>
      </c>
      <c r="R451">
        <f t="shared" si="936"/>
        <v>0</v>
      </c>
      <c r="S451">
        <f t="shared" si="937"/>
        <v>0</v>
      </c>
      <c r="T451">
        <f t="shared" si="938"/>
        <v>0</v>
      </c>
    </row>
    <row r="452" spans="1:20" x14ac:dyDescent="0.25">
      <c r="A452" s="5"/>
      <c r="C452"/>
      <c r="D452"/>
      <c r="P452">
        <f t="shared" si="934"/>
        <v>0</v>
      </c>
      <c r="Q452">
        <f t="shared" si="935"/>
        <v>0</v>
      </c>
      <c r="R452">
        <f t="shared" si="936"/>
        <v>0</v>
      </c>
      <c r="S452">
        <f t="shared" si="937"/>
        <v>0</v>
      </c>
      <c r="T452">
        <f t="shared" si="938"/>
        <v>0</v>
      </c>
    </row>
    <row r="453" spans="1:20" x14ac:dyDescent="0.25">
      <c r="A453" s="5"/>
      <c r="C453"/>
      <c r="D453"/>
      <c r="P453">
        <f t="shared" si="934"/>
        <v>0</v>
      </c>
      <c r="Q453">
        <f t="shared" si="935"/>
        <v>0</v>
      </c>
      <c r="R453">
        <f t="shared" si="936"/>
        <v>0</v>
      </c>
      <c r="S453">
        <f t="shared" si="937"/>
        <v>0</v>
      </c>
      <c r="T453">
        <f t="shared" si="938"/>
        <v>0</v>
      </c>
    </row>
    <row r="454" spans="1:20" x14ac:dyDescent="0.25">
      <c r="A454" s="5"/>
      <c r="C454"/>
      <c r="D454"/>
      <c r="P454">
        <f t="shared" si="934"/>
        <v>0</v>
      </c>
      <c r="Q454">
        <f t="shared" si="935"/>
        <v>0</v>
      </c>
      <c r="R454">
        <f t="shared" si="936"/>
        <v>0</v>
      </c>
      <c r="S454">
        <f t="shared" si="937"/>
        <v>0</v>
      </c>
      <c r="T454">
        <f t="shared" si="938"/>
        <v>0</v>
      </c>
    </row>
    <row r="455" spans="1:20" x14ac:dyDescent="0.25">
      <c r="A455" s="5"/>
      <c r="C455"/>
      <c r="D455"/>
      <c r="P455">
        <f t="shared" si="934"/>
        <v>0</v>
      </c>
      <c r="Q455">
        <f t="shared" si="935"/>
        <v>0</v>
      </c>
      <c r="R455">
        <f t="shared" si="936"/>
        <v>0</v>
      </c>
      <c r="S455">
        <f t="shared" si="937"/>
        <v>0</v>
      </c>
      <c r="T455">
        <f t="shared" si="938"/>
        <v>0</v>
      </c>
    </row>
    <row r="456" spans="1:20" x14ac:dyDescent="0.25">
      <c r="A456" s="5"/>
      <c r="C456"/>
      <c r="D456"/>
      <c r="P456">
        <f t="shared" si="934"/>
        <v>0</v>
      </c>
      <c r="Q456">
        <f t="shared" si="935"/>
        <v>0</v>
      </c>
      <c r="R456">
        <f t="shared" si="936"/>
        <v>0</v>
      </c>
      <c r="S456">
        <f t="shared" si="937"/>
        <v>0</v>
      </c>
      <c r="T456">
        <f t="shared" si="938"/>
        <v>0</v>
      </c>
    </row>
    <row r="457" spans="1:20" x14ac:dyDescent="0.25">
      <c r="A457" s="5"/>
      <c r="C457"/>
      <c r="D457"/>
      <c r="P457">
        <f t="shared" si="934"/>
        <v>0</v>
      </c>
      <c r="Q457">
        <f t="shared" si="935"/>
        <v>0</v>
      </c>
      <c r="R457">
        <f t="shared" si="936"/>
        <v>0</v>
      </c>
      <c r="S457">
        <f t="shared" si="937"/>
        <v>0</v>
      </c>
      <c r="T457">
        <f t="shared" si="938"/>
        <v>0</v>
      </c>
    </row>
    <row r="458" spans="1:20" x14ac:dyDescent="0.25">
      <c r="A458" s="5"/>
      <c r="C458"/>
      <c r="D458"/>
      <c r="P458">
        <f t="shared" si="934"/>
        <v>0</v>
      </c>
      <c r="Q458">
        <f t="shared" si="935"/>
        <v>0</v>
      </c>
      <c r="R458">
        <f t="shared" si="936"/>
        <v>0</v>
      </c>
      <c r="S458">
        <f t="shared" si="937"/>
        <v>0</v>
      </c>
      <c r="T458">
        <f t="shared" si="938"/>
        <v>0</v>
      </c>
    </row>
    <row r="459" spans="1:20" x14ac:dyDescent="0.25">
      <c r="A459" s="5"/>
      <c r="C459"/>
      <c r="D459"/>
      <c r="P459">
        <f t="shared" si="934"/>
        <v>0</v>
      </c>
      <c r="Q459">
        <f t="shared" si="935"/>
        <v>0</v>
      </c>
      <c r="R459">
        <f t="shared" si="936"/>
        <v>0</v>
      </c>
      <c r="S459">
        <f t="shared" si="937"/>
        <v>0</v>
      </c>
      <c r="T459">
        <f t="shared" si="938"/>
        <v>0</v>
      </c>
    </row>
    <row r="460" spans="1:20" x14ac:dyDescent="0.25">
      <c r="A460" s="5"/>
      <c r="C460"/>
      <c r="D460"/>
      <c r="P460">
        <f t="shared" si="934"/>
        <v>0</v>
      </c>
      <c r="Q460">
        <f t="shared" si="935"/>
        <v>0</v>
      </c>
      <c r="R460">
        <f t="shared" si="936"/>
        <v>0</v>
      </c>
      <c r="S460">
        <f t="shared" si="937"/>
        <v>0</v>
      </c>
      <c r="T460">
        <f t="shared" si="938"/>
        <v>0</v>
      </c>
    </row>
    <row r="461" spans="1:20" x14ac:dyDescent="0.25">
      <c r="A461" s="5"/>
      <c r="C461"/>
      <c r="D461"/>
      <c r="P461">
        <f t="shared" si="934"/>
        <v>0</v>
      </c>
      <c r="Q461">
        <f t="shared" si="935"/>
        <v>0</v>
      </c>
      <c r="R461">
        <f t="shared" si="936"/>
        <v>0</v>
      </c>
      <c r="S461">
        <f t="shared" si="937"/>
        <v>0</v>
      </c>
      <c r="T461">
        <f t="shared" si="938"/>
        <v>0</v>
      </c>
    </row>
    <row r="462" spans="1:20" x14ac:dyDescent="0.25">
      <c r="A462" s="5"/>
      <c r="C462"/>
      <c r="D462"/>
      <c r="P462">
        <f t="shared" si="934"/>
        <v>0</v>
      </c>
      <c r="Q462">
        <f t="shared" si="935"/>
        <v>0</v>
      </c>
      <c r="R462">
        <f t="shared" si="936"/>
        <v>0</v>
      </c>
      <c r="S462">
        <f t="shared" si="937"/>
        <v>0</v>
      </c>
      <c r="T462">
        <f t="shared" si="938"/>
        <v>0</v>
      </c>
    </row>
    <row r="463" spans="1:20" x14ac:dyDescent="0.25">
      <c r="A463" s="5"/>
      <c r="C463"/>
      <c r="D463"/>
      <c r="P463">
        <f t="shared" si="934"/>
        <v>0</v>
      </c>
      <c r="Q463">
        <f t="shared" si="935"/>
        <v>0</v>
      </c>
      <c r="R463">
        <f t="shared" si="936"/>
        <v>0</v>
      </c>
      <c r="S463">
        <f t="shared" si="937"/>
        <v>0</v>
      </c>
      <c r="T463">
        <f t="shared" si="938"/>
        <v>0</v>
      </c>
    </row>
    <row r="464" spans="1:20" x14ac:dyDescent="0.25">
      <c r="A464" s="5"/>
      <c r="C464"/>
      <c r="D464"/>
      <c r="P464">
        <f t="shared" si="934"/>
        <v>0</v>
      </c>
      <c r="Q464">
        <f t="shared" si="935"/>
        <v>0</v>
      </c>
      <c r="R464">
        <f t="shared" si="936"/>
        <v>0</v>
      </c>
      <c r="S464">
        <f t="shared" si="937"/>
        <v>0</v>
      </c>
      <c r="T464">
        <f t="shared" si="938"/>
        <v>0</v>
      </c>
    </row>
    <row r="465" spans="1:20" x14ac:dyDescent="0.25">
      <c r="A465" s="5"/>
      <c r="C465"/>
      <c r="D465"/>
      <c r="P465">
        <f t="shared" si="934"/>
        <v>0</v>
      </c>
      <c r="Q465">
        <f t="shared" si="935"/>
        <v>0</v>
      </c>
      <c r="R465">
        <f t="shared" si="936"/>
        <v>0</v>
      </c>
      <c r="S465">
        <f t="shared" si="937"/>
        <v>0</v>
      </c>
      <c r="T465">
        <f t="shared" si="938"/>
        <v>0</v>
      </c>
    </row>
    <row r="466" spans="1:20" x14ac:dyDescent="0.25">
      <c r="A466" s="5"/>
      <c r="C466"/>
      <c r="D466"/>
      <c r="P466">
        <f t="shared" si="934"/>
        <v>0</v>
      </c>
      <c r="Q466">
        <f t="shared" si="935"/>
        <v>0</v>
      </c>
      <c r="R466">
        <f t="shared" si="936"/>
        <v>0</v>
      </c>
      <c r="S466">
        <f t="shared" si="937"/>
        <v>0</v>
      </c>
      <c r="T466">
        <f t="shared" si="938"/>
        <v>0</v>
      </c>
    </row>
    <row r="467" spans="1:20" x14ac:dyDescent="0.25">
      <c r="A467" s="5"/>
      <c r="C467"/>
      <c r="D467"/>
      <c r="P467">
        <f t="shared" si="934"/>
        <v>0</v>
      </c>
      <c r="Q467">
        <f t="shared" si="935"/>
        <v>0</v>
      </c>
      <c r="R467">
        <f t="shared" si="936"/>
        <v>0</v>
      </c>
      <c r="S467">
        <f t="shared" si="937"/>
        <v>0</v>
      </c>
      <c r="T467">
        <f t="shared" si="938"/>
        <v>0</v>
      </c>
    </row>
    <row r="468" spans="1:20" x14ac:dyDescent="0.25">
      <c r="A468" s="5"/>
      <c r="C468"/>
      <c r="D468"/>
      <c r="P468">
        <f t="shared" si="934"/>
        <v>0</v>
      </c>
      <c r="Q468">
        <f t="shared" si="935"/>
        <v>0</v>
      </c>
      <c r="R468">
        <f t="shared" si="936"/>
        <v>0</v>
      </c>
      <c r="S468">
        <f t="shared" si="937"/>
        <v>0</v>
      </c>
      <c r="T468">
        <f t="shared" si="938"/>
        <v>0</v>
      </c>
    </row>
    <row r="469" spans="1:20" x14ac:dyDescent="0.25">
      <c r="A469" s="5"/>
      <c r="C469"/>
      <c r="D469"/>
      <c r="P469">
        <f t="shared" si="934"/>
        <v>0</v>
      </c>
      <c r="Q469">
        <f t="shared" si="935"/>
        <v>0</v>
      </c>
      <c r="R469">
        <f t="shared" si="936"/>
        <v>0</v>
      </c>
      <c r="S469">
        <f t="shared" si="937"/>
        <v>0</v>
      </c>
      <c r="T469">
        <f t="shared" si="938"/>
        <v>0</v>
      </c>
    </row>
    <row r="470" spans="1:20" x14ac:dyDescent="0.25">
      <c r="A470" s="5"/>
      <c r="C470"/>
      <c r="D470"/>
      <c r="P470">
        <f t="shared" si="934"/>
        <v>0</v>
      </c>
      <c r="Q470">
        <f t="shared" si="935"/>
        <v>0</v>
      </c>
      <c r="R470">
        <f t="shared" si="936"/>
        <v>0</v>
      </c>
      <c r="S470">
        <f t="shared" si="937"/>
        <v>0</v>
      </c>
      <c r="T470">
        <f t="shared" si="938"/>
        <v>0</v>
      </c>
    </row>
    <row r="471" spans="1:20" x14ac:dyDescent="0.25">
      <c r="A471" s="5"/>
      <c r="C471"/>
      <c r="D471"/>
      <c r="P471">
        <f t="shared" si="934"/>
        <v>0</v>
      </c>
      <c r="Q471">
        <f t="shared" si="935"/>
        <v>0</v>
      </c>
      <c r="R471">
        <f t="shared" si="936"/>
        <v>0</v>
      </c>
      <c r="S471">
        <f t="shared" si="937"/>
        <v>0</v>
      </c>
      <c r="T471">
        <f t="shared" si="938"/>
        <v>0</v>
      </c>
    </row>
    <row r="472" spans="1:20" x14ac:dyDescent="0.25">
      <c r="A472" s="5"/>
      <c r="C472"/>
      <c r="D472"/>
      <c r="P472">
        <f t="shared" si="934"/>
        <v>0</v>
      </c>
      <c r="Q472">
        <f t="shared" si="935"/>
        <v>0</v>
      </c>
      <c r="R472">
        <f t="shared" si="936"/>
        <v>0</v>
      </c>
      <c r="S472">
        <f t="shared" si="937"/>
        <v>0</v>
      </c>
      <c r="T472">
        <f t="shared" si="938"/>
        <v>0</v>
      </c>
    </row>
    <row r="473" spans="1:20" x14ac:dyDescent="0.25">
      <c r="A473" s="5"/>
      <c r="C473"/>
      <c r="D473"/>
      <c r="P473">
        <f t="shared" si="934"/>
        <v>0</v>
      </c>
      <c r="Q473">
        <f t="shared" si="935"/>
        <v>0</v>
      </c>
      <c r="R473">
        <f t="shared" si="936"/>
        <v>0</v>
      </c>
      <c r="S473">
        <f t="shared" si="937"/>
        <v>0</v>
      </c>
      <c r="T473">
        <f t="shared" si="938"/>
        <v>0</v>
      </c>
    </row>
    <row r="474" spans="1:20" x14ac:dyDescent="0.25">
      <c r="A474" s="5"/>
      <c r="C474"/>
      <c r="D474"/>
      <c r="P474">
        <f t="shared" si="934"/>
        <v>0</v>
      </c>
      <c r="Q474">
        <f t="shared" si="935"/>
        <v>0</v>
      </c>
      <c r="R474">
        <f t="shared" si="936"/>
        <v>0</v>
      </c>
      <c r="S474">
        <f t="shared" si="937"/>
        <v>0</v>
      </c>
      <c r="T474">
        <f t="shared" si="938"/>
        <v>0</v>
      </c>
    </row>
    <row r="475" spans="1:20" x14ac:dyDescent="0.25">
      <c r="A475" s="5"/>
      <c r="C475"/>
      <c r="D475"/>
      <c r="P475">
        <f t="shared" si="934"/>
        <v>0</v>
      </c>
      <c r="Q475">
        <f t="shared" si="935"/>
        <v>0</v>
      </c>
      <c r="R475">
        <f t="shared" si="936"/>
        <v>0</v>
      </c>
      <c r="S475">
        <f t="shared" si="937"/>
        <v>0</v>
      </c>
      <c r="T475">
        <f t="shared" si="938"/>
        <v>0</v>
      </c>
    </row>
    <row r="476" spans="1:20" x14ac:dyDescent="0.25">
      <c r="A476" s="5"/>
      <c r="C476"/>
      <c r="D476"/>
      <c r="P476">
        <f t="shared" si="934"/>
        <v>0</v>
      </c>
      <c r="Q476">
        <f t="shared" si="935"/>
        <v>0</v>
      </c>
      <c r="R476">
        <f t="shared" si="936"/>
        <v>0</v>
      </c>
      <c r="S476">
        <f t="shared" si="937"/>
        <v>0</v>
      </c>
      <c r="T476">
        <f t="shared" si="938"/>
        <v>0</v>
      </c>
    </row>
    <row r="477" spans="1:20" x14ac:dyDescent="0.25">
      <c r="A477" s="5"/>
      <c r="C477"/>
      <c r="D477"/>
      <c r="P477">
        <f t="shared" si="934"/>
        <v>0</v>
      </c>
      <c r="Q477">
        <f t="shared" si="935"/>
        <v>0</v>
      </c>
      <c r="R477">
        <f t="shared" si="936"/>
        <v>0</v>
      </c>
      <c r="S477">
        <f t="shared" si="937"/>
        <v>0</v>
      </c>
      <c r="T477">
        <f t="shared" si="938"/>
        <v>0</v>
      </c>
    </row>
    <row r="478" spans="1:20" x14ac:dyDescent="0.25">
      <c r="A478" s="5"/>
      <c r="C478"/>
      <c r="D478"/>
      <c r="P478">
        <f t="shared" si="934"/>
        <v>0</v>
      </c>
      <c r="Q478">
        <f t="shared" si="935"/>
        <v>0</v>
      </c>
      <c r="R478">
        <f t="shared" si="936"/>
        <v>0</v>
      </c>
      <c r="S478">
        <f t="shared" si="937"/>
        <v>0</v>
      </c>
      <c r="T478">
        <f t="shared" si="938"/>
        <v>0</v>
      </c>
    </row>
    <row r="479" spans="1:20" x14ac:dyDescent="0.25">
      <c r="A479" s="5"/>
      <c r="C479"/>
      <c r="D479"/>
      <c r="P479">
        <f t="shared" si="934"/>
        <v>0</v>
      </c>
      <c r="Q479">
        <f t="shared" si="935"/>
        <v>0</v>
      </c>
      <c r="R479">
        <f t="shared" si="936"/>
        <v>0</v>
      </c>
      <c r="S479">
        <f t="shared" si="937"/>
        <v>0</v>
      </c>
      <c r="T479">
        <f t="shared" si="938"/>
        <v>0</v>
      </c>
    </row>
    <row r="480" spans="1:20" x14ac:dyDescent="0.25">
      <c r="A480" s="5"/>
      <c r="C480"/>
      <c r="D480"/>
      <c r="P480">
        <f t="shared" si="934"/>
        <v>0</v>
      </c>
      <c r="Q480">
        <f t="shared" si="935"/>
        <v>0</v>
      </c>
      <c r="R480">
        <f t="shared" si="936"/>
        <v>0</v>
      </c>
      <c r="S480">
        <f t="shared" si="937"/>
        <v>0</v>
      </c>
      <c r="T480">
        <f t="shared" si="938"/>
        <v>0</v>
      </c>
    </row>
    <row r="481" spans="1:20" x14ac:dyDescent="0.25">
      <c r="A481" s="5"/>
      <c r="C481"/>
      <c r="D481"/>
      <c r="P481">
        <f t="shared" si="934"/>
        <v>0</v>
      </c>
      <c r="Q481">
        <f t="shared" si="935"/>
        <v>0</v>
      </c>
      <c r="R481">
        <f t="shared" si="936"/>
        <v>0</v>
      </c>
      <c r="S481">
        <f t="shared" si="937"/>
        <v>0</v>
      </c>
      <c r="T481">
        <f t="shared" si="938"/>
        <v>0</v>
      </c>
    </row>
    <row r="482" spans="1:20" x14ac:dyDescent="0.25">
      <c r="A482" s="5"/>
      <c r="C482"/>
      <c r="D482"/>
      <c r="P482">
        <f t="shared" si="934"/>
        <v>0</v>
      </c>
      <c r="Q482">
        <f t="shared" si="935"/>
        <v>0</v>
      </c>
      <c r="R482">
        <f t="shared" si="936"/>
        <v>0</v>
      </c>
      <c r="S482">
        <f t="shared" si="937"/>
        <v>0</v>
      </c>
      <c r="T482">
        <f t="shared" si="938"/>
        <v>0</v>
      </c>
    </row>
    <row r="483" spans="1:20" x14ac:dyDescent="0.25">
      <c r="A483" s="5"/>
      <c r="C483"/>
      <c r="D483"/>
      <c r="P483">
        <f t="shared" si="934"/>
        <v>0</v>
      </c>
      <c r="Q483">
        <f t="shared" si="935"/>
        <v>0</v>
      </c>
      <c r="R483">
        <f t="shared" si="936"/>
        <v>0</v>
      </c>
      <c r="S483">
        <f t="shared" si="937"/>
        <v>0</v>
      </c>
      <c r="T483">
        <f t="shared" si="938"/>
        <v>0</v>
      </c>
    </row>
    <row r="484" spans="1:20" x14ac:dyDescent="0.25">
      <c r="A484" s="5"/>
      <c r="C484"/>
      <c r="D484"/>
      <c r="P484">
        <f t="shared" si="934"/>
        <v>0</v>
      </c>
      <c r="Q484">
        <f t="shared" si="935"/>
        <v>0</v>
      </c>
      <c r="R484">
        <f t="shared" si="936"/>
        <v>0</v>
      </c>
      <c r="S484">
        <f t="shared" si="937"/>
        <v>0</v>
      </c>
      <c r="T484">
        <f t="shared" si="938"/>
        <v>0</v>
      </c>
    </row>
    <row r="485" spans="1:20" x14ac:dyDescent="0.25">
      <c r="A485" s="5"/>
      <c r="C485"/>
      <c r="D485"/>
      <c r="P485">
        <f t="shared" si="934"/>
        <v>0</v>
      </c>
      <c r="Q485">
        <f t="shared" si="935"/>
        <v>0</v>
      </c>
      <c r="R485">
        <f t="shared" si="936"/>
        <v>0</v>
      </c>
      <c r="S485">
        <f t="shared" si="937"/>
        <v>0</v>
      </c>
      <c r="T485">
        <f t="shared" si="938"/>
        <v>0</v>
      </c>
    </row>
    <row r="486" spans="1:20" x14ac:dyDescent="0.25">
      <c r="A486" s="5"/>
      <c r="C486"/>
      <c r="D486"/>
      <c r="P486">
        <f t="shared" si="934"/>
        <v>0</v>
      </c>
      <c r="Q486">
        <f t="shared" si="935"/>
        <v>0</v>
      </c>
      <c r="R486">
        <f t="shared" si="936"/>
        <v>0</v>
      </c>
      <c r="S486">
        <f t="shared" si="937"/>
        <v>0</v>
      </c>
      <c r="T486">
        <f t="shared" si="938"/>
        <v>0</v>
      </c>
    </row>
    <row r="487" spans="1:20" x14ac:dyDescent="0.25">
      <c r="A487" s="5"/>
      <c r="C487"/>
      <c r="D487"/>
      <c r="P487">
        <f t="shared" si="934"/>
        <v>0</v>
      </c>
      <c r="Q487">
        <f t="shared" si="935"/>
        <v>0</v>
      </c>
      <c r="R487">
        <f t="shared" si="936"/>
        <v>0</v>
      </c>
      <c r="S487">
        <f t="shared" si="937"/>
        <v>0</v>
      </c>
      <c r="T487">
        <f t="shared" si="938"/>
        <v>0</v>
      </c>
    </row>
    <row r="488" spans="1:20" x14ac:dyDescent="0.25">
      <c r="A488" s="5"/>
      <c r="C488"/>
      <c r="D488"/>
      <c r="P488">
        <f t="shared" si="934"/>
        <v>0</v>
      </c>
      <c r="Q488">
        <f t="shared" si="935"/>
        <v>0</v>
      </c>
      <c r="R488">
        <f t="shared" si="936"/>
        <v>0</v>
      </c>
      <c r="S488">
        <f t="shared" si="937"/>
        <v>0</v>
      </c>
      <c r="T488">
        <f t="shared" si="938"/>
        <v>0</v>
      </c>
    </row>
    <row r="489" spans="1:20" x14ac:dyDescent="0.25">
      <c r="A489" s="5"/>
      <c r="C489"/>
      <c r="D489"/>
      <c r="P489">
        <f t="shared" si="934"/>
        <v>0</v>
      </c>
      <c r="Q489">
        <f t="shared" si="935"/>
        <v>0</v>
      </c>
      <c r="R489">
        <f t="shared" si="936"/>
        <v>0</v>
      </c>
      <c r="S489">
        <f t="shared" si="937"/>
        <v>0</v>
      </c>
      <c r="T489">
        <f t="shared" si="938"/>
        <v>0</v>
      </c>
    </row>
    <row r="490" spans="1:20" x14ac:dyDescent="0.25">
      <c r="A490" s="5"/>
      <c r="C490"/>
      <c r="D490"/>
      <c r="P490">
        <f t="shared" si="934"/>
        <v>0</v>
      </c>
      <c r="Q490">
        <f t="shared" si="935"/>
        <v>0</v>
      </c>
      <c r="R490">
        <f t="shared" si="936"/>
        <v>0</v>
      </c>
      <c r="S490">
        <f t="shared" si="937"/>
        <v>0</v>
      </c>
      <c r="T490">
        <f t="shared" si="938"/>
        <v>0</v>
      </c>
    </row>
    <row r="491" spans="1:20" x14ac:dyDescent="0.25">
      <c r="A491" s="5"/>
      <c r="C491"/>
      <c r="D491"/>
      <c r="P491">
        <f t="shared" si="934"/>
        <v>0</v>
      </c>
      <c r="Q491">
        <f t="shared" si="935"/>
        <v>0</v>
      </c>
      <c r="R491">
        <f t="shared" si="936"/>
        <v>0</v>
      </c>
      <c r="S491">
        <f t="shared" si="937"/>
        <v>0</v>
      </c>
      <c r="T491">
        <f t="shared" si="938"/>
        <v>0</v>
      </c>
    </row>
    <row r="492" spans="1:20" x14ac:dyDescent="0.25">
      <c r="A492" s="5"/>
      <c r="C492"/>
      <c r="D492"/>
      <c r="P492">
        <f t="shared" si="934"/>
        <v>0</v>
      </c>
      <c r="Q492">
        <f t="shared" si="935"/>
        <v>0</v>
      </c>
      <c r="R492">
        <f t="shared" si="936"/>
        <v>0</v>
      </c>
      <c r="S492">
        <f t="shared" si="937"/>
        <v>0</v>
      </c>
      <c r="T492">
        <f t="shared" si="938"/>
        <v>0</v>
      </c>
    </row>
    <row r="493" spans="1:20" x14ac:dyDescent="0.25">
      <c r="A493" s="5"/>
      <c r="C493"/>
      <c r="D493"/>
      <c r="P493">
        <f t="shared" si="934"/>
        <v>0</v>
      </c>
      <c r="Q493">
        <f t="shared" si="935"/>
        <v>0</v>
      </c>
      <c r="R493">
        <f t="shared" si="936"/>
        <v>0</v>
      </c>
      <c r="S493">
        <f t="shared" si="937"/>
        <v>0</v>
      </c>
      <c r="T493">
        <f t="shared" si="938"/>
        <v>0</v>
      </c>
    </row>
    <row r="494" spans="1:20" x14ac:dyDescent="0.25">
      <c r="A494" s="5"/>
      <c r="C494"/>
      <c r="D494"/>
      <c r="P494">
        <f t="shared" si="934"/>
        <v>0</v>
      </c>
      <c r="Q494">
        <f t="shared" si="935"/>
        <v>0</v>
      </c>
      <c r="R494">
        <f t="shared" si="936"/>
        <v>0</v>
      </c>
      <c r="S494">
        <f t="shared" si="937"/>
        <v>0</v>
      </c>
      <c r="T494">
        <f t="shared" si="938"/>
        <v>0</v>
      </c>
    </row>
    <row r="495" spans="1:20" x14ac:dyDescent="0.25">
      <c r="A495" s="5"/>
      <c r="C495"/>
      <c r="D495"/>
      <c r="P495">
        <f t="shared" si="934"/>
        <v>0</v>
      </c>
      <c r="Q495">
        <f t="shared" si="935"/>
        <v>0</v>
      </c>
      <c r="R495">
        <f t="shared" si="936"/>
        <v>0</v>
      </c>
      <c r="S495">
        <f t="shared" si="937"/>
        <v>0</v>
      </c>
      <c r="T495">
        <f t="shared" si="938"/>
        <v>0</v>
      </c>
    </row>
    <row r="496" spans="1:20" x14ac:dyDescent="0.25">
      <c r="A496" s="5"/>
      <c r="C496"/>
      <c r="D496"/>
      <c r="P496">
        <f t="shared" si="934"/>
        <v>0</v>
      </c>
      <c r="Q496">
        <f t="shared" si="935"/>
        <v>0</v>
      </c>
      <c r="R496">
        <f t="shared" si="936"/>
        <v>0</v>
      </c>
      <c r="S496">
        <f t="shared" si="937"/>
        <v>0</v>
      </c>
      <c r="T496">
        <f t="shared" si="938"/>
        <v>0</v>
      </c>
    </row>
    <row r="497" spans="1:20" x14ac:dyDescent="0.25">
      <c r="A497" s="5"/>
      <c r="C497"/>
      <c r="D497"/>
      <c r="P497">
        <f t="shared" si="934"/>
        <v>0</v>
      </c>
      <c r="Q497">
        <f t="shared" si="935"/>
        <v>0</v>
      </c>
      <c r="R497">
        <f t="shared" si="936"/>
        <v>0</v>
      </c>
      <c r="S497">
        <f t="shared" si="937"/>
        <v>0</v>
      </c>
      <c r="T497">
        <f t="shared" si="938"/>
        <v>0</v>
      </c>
    </row>
    <row r="498" spans="1:20" x14ac:dyDescent="0.25">
      <c r="A498" s="5"/>
      <c r="C498"/>
      <c r="D498"/>
      <c r="P498">
        <f t="shared" si="934"/>
        <v>0</v>
      </c>
      <c r="Q498">
        <f t="shared" si="935"/>
        <v>0</v>
      </c>
      <c r="R498">
        <f t="shared" si="936"/>
        <v>0</v>
      </c>
      <c r="S498">
        <f t="shared" si="937"/>
        <v>0</v>
      </c>
      <c r="T498">
        <f t="shared" si="938"/>
        <v>0</v>
      </c>
    </row>
    <row r="499" spans="1:20" x14ac:dyDescent="0.25">
      <c r="A499" s="5"/>
      <c r="C499"/>
      <c r="D499"/>
      <c r="P499">
        <f t="shared" si="934"/>
        <v>0</v>
      </c>
      <c r="Q499">
        <f t="shared" si="935"/>
        <v>0</v>
      </c>
      <c r="R499">
        <f t="shared" si="936"/>
        <v>0</v>
      </c>
      <c r="S499">
        <f t="shared" si="937"/>
        <v>0</v>
      </c>
      <c r="T499">
        <f t="shared" si="938"/>
        <v>0</v>
      </c>
    </row>
    <row r="500" spans="1:20" x14ac:dyDescent="0.25">
      <c r="A500" s="5"/>
      <c r="C500"/>
      <c r="D500"/>
      <c r="P500">
        <f t="shared" si="934"/>
        <v>0</v>
      </c>
      <c r="Q500">
        <f t="shared" si="935"/>
        <v>0</v>
      </c>
      <c r="R500">
        <f t="shared" si="936"/>
        <v>0</v>
      </c>
      <c r="S500">
        <f t="shared" si="937"/>
        <v>0</v>
      </c>
      <c r="T500">
        <f t="shared" si="938"/>
        <v>0</v>
      </c>
    </row>
    <row r="501" spans="1:20" x14ac:dyDescent="0.25">
      <c r="A501" s="5"/>
      <c r="C501"/>
      <c r="D501"/>
      <c r="P501">
        <f t="shared" si="934"/>
        <v>0</v>
      </c>
      <c r="Q501">
        <f t="shared" si="935"/>
        <v>0</v>
      </c>
      <c r="R501">
        <f t="shared" si="936"/>
        <v>0</v>
      </c>
      <c r="S501">
        <f t="shared" si="937"/>
        <v>0</v>
      </c>
      <c r="T501">
        <f t="shared" si="938"/>
        <v>0</v>
      </c>
    </row>
    <row r="502" spans="1:20" x14ac:dyDescent="0.25">
      <c r="A502" s="5"/>
      <c r="C502"/>
      <c r="D502"/>
      <c r="P502">
        <f t="shared" si="934"/>
        <v>0</v>
      </c>
      <c r="Q502">
        <f t="shared" si="935"/>
        <v>0</v>
      </c>
      <c r="R502">
        <f t="shared" si="936"/>
        <v>0</v>
      </c>
      <c r="S502">
        <f t="shared" si="937"/>
        <v>0</v>
      </c>
      <c r="T502">
        <f t="shared" si="938"/>
        <v>0</v>
      </c>
    </row>
    <row r="503" spans="1:20" x14ac:dyDescent="0.25">
      <c r="A503" s="5"/>
      <c r="C503"/>
      <c r="D503"/>
      <c r="P503">
        <f t="shared" si="934"/>
        <v>0</v>
      </c>
      <c r="Q503">
        <f t="shared" si="935"/>
        <v>0</v>
      </c>
      <c r="R503">
        <f t="shared" si="936"/>
        <v>0</v>
      </c>
      <c r="S503">
        <f t="shared" si="937"/>
        <v>0</v>
      </c>
      <c r="T503">
        <f t="shared" si="938"/>
        <v>0</v>
      </c>
    </row>
    <row r="504" spans="1:20" x14ac:dyDescent="0.25">
      <c r="A504" s="5"/>
      <c r="C504"/>
      <c r="D504"/>
      <c r="P504">
        <f t="shared" si="934"/>
        <v>0</v>
      </c>
      <c r="Q504">
        <f t="shared" si="935"/>
        <v>0</v>
      </c>
      <c r="R504">
        <f t="shared" si="936"/>
        <v>0</v>
      </c>
      <c r="S504">
        <f t="shared" si="937"/>
        <v>0</v>
      </c>
      <c r="T504">
        <f t="shared" si="938"/>
        <v>0</v>
      </c>
    </row>
    <row r="505" spans="1:20" x14ac:dyDescent="0.25">
      <c r="A505" s="5"/>
      <c r="C505"/>
      <c r="D505"/>
      <c r="P505">
        <f t="shared" si="934"/>
        <v>0</v>
      </c>
      <c r="Q505">
        <f t="shared" si="935"/>
        <v>0</v>
      </c>
      <c r="R505">
        <f t="shared" si="936"/>
        <v>0</v>
      </c>
      <c r="S505">
        <f t="shared" si="937"/>
        <v>0</v>
      </c>
      <c r="T505">
        <f t="shared" si="938"/>
        <v>0</v>
      </c>
    </row>
    <row r="506" spans="1:20" x14ac:dyDescent="0.25">
      <c r="A506" s="5"/>
      <c r="C506"/>
      <c r="D506"/>
      <c r="P506">
        <f t="shared" si="934"/>
        <v>0</v>
      </c>
      <c r="Q506">
        <f t="shared" si="935"/>
        <v>0</v>
      </c>
      <c r="R506">
        <f t="shared" si="936"/>
        <v>0</v>
      </c>
      <c r="S506">
        <f t="shared" si="937"/>
        <v>0</v>
      </c>
      <c r="T506">
        <f t="shared" si="938"/>
        <v>0</v>
      </c>
    </row>
    <row r="507" spans="1:20" x14ac:dyDescent="0.25">
      <c r="A507" s="5"/>
      <c r="C507"/>
      <c r="D507"/>
      <c r="P507">
        <f t="shared" si="934"/>
        <v>0</v>
      </c>
      <c r="Q507">
        <f t="shared" si="935"/>
        <v>0</v>
      </c>
      <c r="R507">
        <f t="shared" si="936"/>
        <v>0</v>
      </c>
      <c r="S507">
        <f t="shared" si="937"/>
        <v>0</v>
      </c>
      <c r="T507">
        <f t="shared" si="938"/>
        <v>0</v>
      </c>
    </row>
    <row r="508" spans="1:20" x14ac:dyDescent="0.25">
      <c r="A508" s="5"/>
      <c r="C508"/>
      <c r="D508"/>
      <c r="P508">
        <f t="shared" si="934"/>
        <v>0</v>
      </c>
      <c r="Q508">
        <f t="shared" si="935"/>
        <v>0</v>
      </c>
      <c r="R508">
        <f t="shared" si="936"/>
        <v>0</v>
      </c>
      <c r="S508">
        <f t="shared" si="937"/>
        <v>0</v>
      </c>
      <c r="T508">
        <f t="shared" si="938"/>
        <v>0</v>
      </c>
    </row>
    <row r="509" spans="1:20" x14ac:dyDescent="0.25">
      <c r="A509" s="5"/>
      <c r="C509"/>
      <c r="D509"/>
      <c r="P509">
        <f t="shared" ref="P509:P572" si="939">IF(C509=D509,0,((E509-D509)-(C509-E509))/(C509-D509))</f>
        <v>0</v>
      </c>
      <c r="Q509">
        <f t="shared" ref="Q509:Q572" si="940">F509*P509</f>
        <v>0</v>
      </c>
      <c r="R509">
        <f t="shared" ref="R509:R572" si="941">R510+Q509</f>
        <v>0</v>
      </c>
      <c r="S509">
        <f t="shared" ref="S509:S572" si="942">R509/100000</f>
        <v>0</v>
      </c>
      <c r="T509">
        <f t="shared" ref="T509:T572" si="943">S509/1000</f>
        <v>0</v>
      </c>
    </row>
    <row r="510" spans="1:20" x14ac:dyDescent="0.25">
      <c r="A510" s="5"/>
      <c r="C510"/>
      <c r="D510"/>
      <c r="P510">
        <f t="shared" si="939"/>
        <v>0</v>
      </c>
      <c r="Q510">
        <f t="shared" si="940"/>
        <v>0</v>
      </c>
      <c r="R510">
        <f t="shared" si="941"/>
        <v>0</v>
      </c>
      <c r="S510">
        <f t="shared" si="942"/>
        <v>0</v>
      </c>
      <c r="T510">
        <f t="shared" si="943"/>
        <v>0</v>
      </c>
    </row>
    <row r="511" spans="1:20" x14ac:dyDescent="0.25">
      <c r="A511" s="5"/>
      <c r="C511"/>
      <c r="D511"/>
      <c r="P511">
        <f t="shared" si="939"/>
        <v>0</v>
      </c>
      <c r="Q511">
        <f t="shared" si="940"/>
        <v>0</v>
      </c>
      <c r="R511">
        <f t="shared" si="941"/>
        <v>0</v>
      </c>
      <c r="S511">
        <f t="shared" si="942"/>
        <v>0</v>
      </c>
      <c r="T511">
        <f t="shared" si="943"/>
        <v>0</v>
      </c>
    </row>
    <row r="512" spans="1:20" x14ac:dyDescent="0.25">
      <c r="A512" s="5"/>
      <c r="C512"/>
      <c r="D512"/>
      <c r="P512">
        <f t="shared" si="939"/>
        <v>0</v>
      </c>
      <c r="Q512">
        <f t="shared" si="940"/>
        <v>0</v>
      </c>
      <c r="R512">
        <f t="shared" si="941"/>
        <v>0</v>
      </c>
      <c r="S512">
        <f t="shared" si="942"/>
        <v>0</v>
      </c>
      <c r="T512">
        <f t="shared" si="943"/>
        <v>0</v>
      </c>
    </row>
    <row r="513" spans="1:20" x14ac:dyDescent="0.25">
      <c r="A513" s="5"/>
      <c r="C513"/>
      <c r="D513"/>
      <c r="P513">
        <f t="shared" si="939"/>
        <v>0</v>
      </c>
      <c r="Q513">
        <f t="shared" si="940"/>
        <v>0</v>
      </c>
      <c r="R513">
        <f t="shared" si="941"/>
        <v>0</v>
      </c>
      <c r="S513">
        <f t="shared" si="942"/>
        <v>0</v>
      </c>
      <c r="T513">
        <f t="shared" si="943"/>
        <v>0</v>
      </c>
    </row>
    <row r="514" spans="1:20" x14ac:dyDescent="0.25">
      <c r="A514" s="5"/>
      <c r="C514"/>
      <c r="D514"/>
      <c r="P514">
        <f t="shared" si="939"/>
        <v>0</v>
      </c>
      <c r="Q514">
        <f t="shared" si="940"/>
        <v>0</v>
      </c>
      <c r="R514">
        <f t="shared" si="941"/>
        <v>0</v>
      </c>
      <c r="S514">
        <f t="shared" si="942"/>
        <v>0</v>
      </c>
      <c r="T514">
        <f t="shared" si="943"/>
        <v>0</v>
      </c>
    </row>
    <row r="515" spans="1:20" x14ac:dyDescent="0.25">
      <c r="A515" s="5"/>
      <c r="C515"/>
      <c r="D515"/>
      <c r="P515">
        <f t="shared" si="939"/>
        <v>0</v>
      </c>
      <c r="Q515">
        <f t="shared" si="940"/>
        <v>0</v>
      </c>
      <c r="R515">
        <f t="shared" si="941"/>
        <v>0</v>
      </c>
      <c r="S515">
        <f t="shared" si="942"/>
        <v>0</v>
      </c>
      <c r="T515">
        <f t="shared" si="943"/>
        <v>0</v>
      </c>
    </row>
    <row r="516" spans="1:20" x14ac:dyDescent="0.25">
      <c r="A516" s="5"/>
      <c r="C516"/>
      <c r="D516"/>
      <c r="P516">
        <f t="shared" si="939"/>
        <v>0</v>
      </c>
      <c r="Q516">
        <f t="shared" si="940"/>
        <v>0</v>
      </c>
      <c r="R516">
        <f t="shared" si="941"/>
        <v>0</v>
      </c>
      <c r="S516">
        <f t="shared" si="942"/>
        <v>0</v>
      </c>
      <c r="T516">
        <f t="shared" si="943"/>
        <v>0</v>
      </c>
    </row>
    <row r="517" spans="1:20" x14ac:dyDescent="0.25">
      <c r="A517" s="5"/>
      <c r="C517"/>
      <c r="D517"/>
      <c r="P517">
        <f t="shared" si="939"/>
        <v>0</v>
      </c>
      <c r="Q517">
        <f t="shared" si="940"/>
        <v>0</v>
      </c>
      <c r="R517">
        <f t="shared" si="941"/>
        <v>0</v>
      </c>
      <c r="S517">
        <f t="shared" si="942"/>
        <v>0</v>
      </c>
      <c r="T517">
        <f t="shared" si="943"/>
        <v>0</v>
      </c>
    </row>
    <row r="518" spans="1:20" x14ac:dyDescent="0.25">
      <c r="A518" s="5"/>
      <c r="C518"/>
      <c r="D518"/>
      <c r="P518">
        <f t="shared" si="939"/>
        <v>0</v>
      </c>
      <c r="Q518">
        <f t="shared" si="940"/>
        <v>0</v>
      </c>
      <c r="R518">
        <f t="shared" si="941"/>
        <v>0</v>
      </c>
      <c r="S518">
        <f t="shared" si="942"/>
        <v>0</v>
      </c>
      <c r="T518">
        <f t="shared" si="943"/>
        <v>0</v>
      </c>
    </row>
    <row r="519" spans="1:20" x14ac:dyDescent="0.25">
      <c r="A519" s="5"/>
      <c r="C519"/>
      <c r="D519"/>
      <c r="P519">
        <f t="shared" si="939"/>
        <v>0</v>
      </c>
      <c r="Q519">
        <f t="shared" si="940"/>
        <v>0</v>
      </c>
      <c r="R519">
        <f t="shared" si="941"/>
        <v>0</v>
      </c>
      <c r="S519">
        <f t="shared" si="942"/>
        <v>0</v>
      </c>
      <c r="T519">
        <f t="shared" si="943"/>
        <v>0</v>
      </c>
    </row>
    <row r="520" spans="1:20" x14ac:dyDescent="0.25">
      <c r="A520" s="5"/>
      <c r="C520"/>
      <c r="D520"/>
      <c r="P520">
        <f t="shared" si="939"/>
        <v>0</v>
      </c>
      <c r="Q520">
        <f t="shared" si="940"/>
        <v>0</v>
      </c>
      <c r="R520">
        <f t="shared" si="941"/>
        <v>0</v>
      </c>
      <c r="S520">
        <f t="shared" si="942"/>
        <v>0</v>
      </c>
      <c r="T520">
        <f t="shared" si="943"/>
        <v>0</v>
      </c>
    </row>
    <row r="521" spans="1:20" x14ac:dyDescent="0.25">
      <c r="A521" s="5"/>
      <c r="C521"/>
      <c r="D521"/>
      <c r="P521">
        <f t="shared" si="939"/>
        <v>0</v>
      </c>
      <c r="Q521">
        <f t="shared" si="940"/>
        <v>0</v>
      </c>
      <c r="R521">
        <f t="shared" si="941"/>
        <v>0</v>
      </c>
      <c r="S521">
        <f t="shared" si="942"/>
        <v>0</v>
      </c>
      <c r="T521">
        <f t="shared" si="943"/>
        <v>0</v>
      </c>
    </row>
    <row r="522" spans="1:20" x14ac:dyDescent="0.25">
      <c r="A522" s="5"/>
      <c r="C522"/>
      <c r="D522"/>
      <c r="P522">
        <f t="shared" si="939"/>
        <v>0</v>
      </c>
      <c r="Q522">
        <f t="shared" si="940"/>
        <v>0</v>
      </c>
      <c r="R522">
        <f t="shared" si="941"/>
        <v>0</v>
      </c>
      <c r="S522">
        <f t="shared" si="942"/>
        <v>0</v>
      </c>
      <c r="T522">
        <f t="shared" si="943"/>
        <v>0</v>
      </c>
    </row>
    <row r="523" spans="1:20" x14ac:dyDescent="0.25">
      <c r="A523" s="5"/>
      <c r="C523"/>
      <c r="D523"/>
      <c r="P523">
        <f t="shared" si="939"/>
        <v>0</v>
      </c>
      <c r="Q523">
        <f t="shared" si="940"/>
        <v>0</v>
      </c>
      <c r="R523">
        <f t="shared" si="941"/>
        <v>0</v>
      </c>
      <c r="S523">
        <f t="shared" si="942"/>
        <v>0</v>
      </c>
      <c r="T523">
        <f t="shared" si="943"/>
        <v>0</v>
      </c>
    </row>
    <row r="524" spans="1:20" x14ac:dyDescent="0.25">
      <c r="A524" s="5"/>
      <c r="C524"/>
      <c r="D524"/>
      <c r="P524">
        <f t="shared" si="939"/>
        <v>0</v>
      </c>
      <c r="Q524">
        <f t="shared" si="940"/>
        <v>0</v>
      </c>
      <c r="R524">
        <f t="shared" si="941"/>
        <v>0</v>
      </c>
      <c r="S524">
        <f t="shared" si="942"/>
        <v>0</v>
      </c>
      <c r="T524">
        <f t="shared" si="943"/>
        <v>0</v>
      </c>
    </row>
    <row r="525" spans="1:20" x14ac:dyDescent="0.25">
      <c r="A525" s="5"/>
      <c r="C525"/>
      <c r="D525"/>
      <c r="P525">
        <f t="shared" si="939"/>
        <v>0</v>
      </c>
      <c r="Q525">
        <f t="shared" si="940"/>
        <v>0</v>
      </c>
      <c r="R525">
        <f t="shared" si="941"/>
        <v>0</v>
      </c>
      <c r="S525">
        <f t="shared" si="942"/>
        <v>0</v>
      </c>
      <c r="T525">
        <f t="shared" si="943"/>
        <v>0</v>
      </c>
    </row>
    <row r="526" spans="1:20" x14ac:dyDescent="0.25">
      <c r="A526" s="5"/>
      <c r="C526"/>
      <c r="D526"/>
      <c r="P526">
        <f t="shared" si="939"/>
        <v>0</v>
      </c>
      <c r="Q526">
        <f t="shared" si="940"/>
        <v>0</v>
      </c>
      <c r="R526">
        <f t="shared" si="941"/>
        <v>0</v>
      </c>
      <c r="S526">
        <f t="shared" si="942"/>
        <v>0</v>
      </c>
      <c r="T526">
        <f t="shared" si="943"/>
        <v>0</v>
      </c>
    </row>
    <row r="527" spans="1:20" x14ac:dyDescent="0.25">
      <c r="A527" s="5"/>
      <c r="C527"/>
      <c r="D527"/>
      <c r="P527">
        <f t="shared" si="939"/>
        <v>0</v>
      </c>
      <c r="Q527">
        <f t="shared" si="940"/>
        <v>0</v>
      </c>
      <c r="R527">
        <f t="shared" si="941"/>
        <v>0</v>
      </c>
      <c r="S527">
        <f t="shared" si="942"/>
        <v>0</v>
      </c>
      <c r="T527">
        <f t="shared" si="943"/>
        <v>0</v>
      </c>
    </row>
    <row r="528" spans="1:20" x14ac:dyDescent="0.25">
      <c r="A528" s="5"/>
      <c r="C528"/>
      <c r="D528"/>
      <c r="P528">
        <f t="shared" si="939"/>
        <v>0</v>
      </c>
      <c r="Q528">
        <f t="shared" si="940"/>
        <v>0</v>
      </c>
      <c r="R528">
        <f t="shared" si="941"/>
        <v>0</v>
      </c>
      <c r="S528">
        <f t="shared" si="942"/>
        <v>0</v>
      </c>
      <c r="T528">
        <f t="shared" si="943"/>
        <v>0</v>
      </c>
    </row>
    <row r="529" spans="1:20" x14ac:dyDescent="0.25">
      <c r="A529" s="5"/>
      <c r="C529"/>
      <c r="D529"/>
      <c r="P529">
        <f t="shared" si="939"/>
        <v>0</v>
      </c>
      <c r="Q529">
        <f t="shared" si="940"/>
        <v>0</v>
      </c>
      <c r="R529">
        <f t="shared" si="941"/>
        <v>0</v>
      </c>
      <c r="S529">
        <f t="shared" si="942"/>
        <v>0</v>
      </c>
      <c r="T529">
        <f t="shared" si="943"/>
        <v>0</v>
      </c>
    </row>
    <row r="530" spans="1:20" x14ac:dyDescent="0.25">
      <c r="A530" s="5"/>
      <c r="C530"/>
      <c r="D530"/>
      <c r="P530">
        <f t="shared" si="939"/>
        <v>0</v>
      </c>
      <c r="Q530">
        <f t="shared" si="940"/>
        <v>0</v>
      </c>
      <c r="R530">
        <f t="shared" si="941"/>
        <v>0</v>
      </c>
      <c r="S530">
        <f t="shared" si="942"/>
        <v>0</v>
      </c>
      <c r="T530">
        <f t="shared" si="943"/>
        <v>0</v>
      </c>
    </row>
    <row r="531" spans="1:20" x14ac:dyDescent="0.25">
      <c r="A531" s="5"/>
      <c r="C531"/>
      <c r="D531"/>
      <c r="P531">
        <f t="shared" si="939"/>
        <v>0</v>
      </c>
      <c r="Q531">
        <f t="shared" si="940"/>
        <v>0</v>
      </c>
      <c r="R531">
        <f t="shared" si="941"/>
        <v>0</v>
      </c>
      <c r="S531">
        <f t="shared" si="942"/>
        <v>0</v>
      </c>
      <c r="T531">
        <f t="shared" si="943"/>
        <v>0</v>
      </c>
    </row>
    <row r="532" spans="1:20" x14ac:dyDescent="0.25">
      <c r="A532" s="5"/>
      <c r="C532"/>
      <c r="D532"/>
      <c r="P532">
        <f t="shared" si="939"/>
        <v>0</v>
      </c>
      <c r="Q532">
        <f t="shared" si="940"/>
        <v>0</v>
      </c>
      <c r="R532">
        <f t="shared" si="941"/>
        <v>0</v>
      </c>
      <c r="S532">
        <f t="shared" si="942"/>
        <v>0</v>
      </c>
      <c r="T532">
        <f t="shared" si="943"/>
        <v>0</v>
      </c>
    </row>
    <row r="533" spans="1:20" x14ac:dyDescent="0.25">
      <c r="A533" s="5"/>
      <c r="C533"/>
      <c r="D533"/>
      <c r="P533">
        <f t="shared" si="939"/>
        <v>0</v>
      </c>
      <c r="Q533">
        <f t="shared" si="940"/>
        <v>0</v>
      </c>
      <c r="R533">
        <f t="shared" si="941"/>
        <v>0</v>
      </c>
      <c r="S533">
        <f t="shared" si="942"/>
        <v>0</v>
      </c>
      <c r="T533">
        <f t="shared" si="943"/>
        <v>0</v>
      </c>
    </row>
    <row r="534" spans="1:20" x14ac:dyDescent="0.25">
      <c r="A534" s="5"/>
      <c r="C534"/>
      <c r="D534"/>
      <c r="P534">
        <f t="shared" si="939"/>
        <v>0</v>
      </c>
      <c r="Q534">
        <f t="shared" si="940"/>
        <v>0</v>
      </c>
      <c r="R534">
        <f t="shared" si="941"/>
        <v>0</v>
      </c>
      <c r="S534">
        <f t="shared" si="942"/>
        <v>0</v>
      </c>
      <c r="T534">
        <f t="shared" si="943"/>
        <v>0</v>
      </c>
    </row>
    <row r="535" spans="1:20" x14ac:dyDescent="0.25">
      <c r="A535" s="5"/>
      <c r="C535"/>
      <c r="D535"/>
      <c r="P535">
        <f t="shared" si="939"/>
        <v>0</v>
      </c>
      <c r="Q535">
        <f t="shared" si="940"/>
        <v>0</v>
      </c>
      <c r="R535">
        <f t="shared" si="941"/>
        <v>0</v>
      </c>
      <c r="S535">
        <f t="shared" si="942"/>
        <v>0</v>
      </c>
      <c r="T535">
        <f t="shared" si="943"/>
        <v>0</v>
      </c>
    </row>
    <row r="536" spans="1:20" x14ac:dyDescent="0.25">
      <c r="A536" s="5"/>
      <c r="C536"/>
      <c r="D536"/>
      <c r="P536">
        <f t="shared" si="939"/>
        <v>0</v>
      </c>
      <c r="Q536">
        <f t="shared" si="940"/>
        <v>0</v>
      </c>
      <c r="R536">
        <f t="shared" si="941"/>
        <v>0</v>
      </c>
      <c r="S536">
        <f t="shared" si="942"/>
        <v>0</v>
      </c>
      <c r="T536">
        <f t="shared" si="943"/>
        <v>0</v>
      </c>
    </row>
    <row r="537" spans="1:20" x14ac:dyDescent="0.25">
      <c r="A537" s="5"/>
      <c r="C537"/>
      <c r="D537"/>
      <c r="P537">
        <f t="shared" si="939"/>
        <v>0</v>
      </c>
      <c r="Q537">
        <f t="shared" si="940"/>
        <v>0</v>
      </c>
      <c r="R537">
        <f t="shared" si="941"/>
        <v>0</v>
      </c>
      <c r="S537">
        <f t="shared" si="942"/>
        <v>0</v>
      </c>
      <c r="T537">
        <f t="shared" si="943"/>
        <v>0</v>
      </c>
    </row>
    <row r="538" spans="1:20" x14ac:dyDescent="0.25">
      <c r="A538" s="5"/>
      <c r="C538"/>
      <c r="D538"/>
      <c r="P538">
        <f t="shared" si="939"/>
        <v>0</v>
      </c>
      <c r="Q538">
        <f t="shared" si="940"/>
        <v>0</v>
      </c>
      <c r="R538">
        <f t="shared" si="941"/>
        <v>0</v>
      </c>
      <c r="S538">
        <f t="shared" si="942"/>
        <v>0</v>
      </c>
      <c r="T538">
        <f t="shared" si="943"/>
        <v>0</v>
      </c>
    </row>
    <row r="539" spans="1:20" x14ac:dyDescent="0.25">
      <c r="A539" s="5"/>
      <c r="C539"/>
      <c r="D539"/>
      <c r="P539">
        <f t="shared" si="939"/>
        <v>0</v>
      </c>
      <c r="Q539">
        <f t="shared" si="940"/>
        <v>0</v>
      </c>
      <c r="R539">
        <f t="shared" si="941"/>
        <v>0</v>
      </c>
      <c r="S539">
        <f t="shared" si="942"/>
        <v>0</v>
      </c>
      <c r="T539">
        <f t="shared" si="943"/>
        <v>0</v>
      </c>
    </row>
    <row r="540" spans="1:20" x14ac:dyDescent="0.25">
      <c r="A540" s="5"/>
      <c r="P540">
        <f t="shared" si="939"/>
        <v>0</v>
      </c>
      <c r="Q540">
        <f t="shared" si="940"/>
        <v>0</v>
      </c>
      <c r="R540">
        <f t="shared" si="941"/>
        <v>0</v>
      </c>
      <c r="S540">
        <f t="shared" si="942"/>
        <v>0</v>
      </c>
      <c r="T540">
        <f t="shared" si="943"/>
        <v>0</v>
      </c>
    </row>
    <row r="541" spans="1:20" x14ac:dyDescent="0.25">
      <c r="A541" s="5"/>
      <c r="P541">
        <f t="shared" si="939"/>
        <v>0</v>
      </c>
      <c r="Q541">
        <f t="shared" si="940"/>
        <v>0</v>
      </c>
      <c r="R541">
        <f t="shared" si="941"/>
        <v>0</v>
      </c>
      <c r="S541">
        <f t="shared" si="942"/>
        <v>0</v>
      </c>
      <c r="T541">
        <f t="shared" si="943"/>
        <v>0</v>
      </c>
    </row>
    <row r="542" spans="1:20" x14ac:dyDescent="0.25">
      <c r="A542" s="5"/>
      <c r="P542">
        <f t="shared" si="939"/>
        <v>0</v>
      </c>
      <c r="Q542">
        <f t="shared" si="940"/>
        <v>0</v>
      </c>
      <c r="R542">
        <f t="shared" si="941"/>
        <v>0</v>
      </c>
      <c r="S542">
        <f t="shared" si="942"/>
        <v>0</v>
      </c>
      <c r="T542">
        <f t="shared" si="943"/>
        <v>0</v>
      </c>
    </row>
    <row r="543" spans="1:20" x14ac:dyDescent="0.25">
      <c r="A543" s="5"/>
      <c r="P543">
        <f t="shared" si="939"/>
        <v>0</v>
      </c>
      <c r="Q543">
        <f t="shared" si="940"/>
        <v>0</v>
      </c>
      <c r="R543">
        <f t="shared" si="941"/>
        <v>0</v>
      </c>
      <c r="S543">
        <f t="shared" si="942"/>
        <v>0</v>
      </c>
      <c r="T543">
        <f t="shared" si="943"/>
        <v>0</v>
      </c>
    </row>
    <row r="544" spans="1:20" x14ac:dyDescent="0.25">
      <c r="A544" s="5"/>
      <c r="P544">
        <f t="shared" si="939"/>
        <v>0</v>
      </c>
      <c r="Q544">
        <f t="shared" si="940"/>
        <v>0</v>
      </c>
      <c r="R544">
        <f t="shared" si="941"/>
        <v>0</v>
      </c>
      <c r="S544">
        <f t="shared" si="942"/>
        <v>0</v>
      </c>
      <c r="T544">
        <f t="shared" si="943"/>
        <v>0</v>
      </c>
    </row>
    <row r="545" spans="1:104" x14ac:dyDescent="0.25">
      <c r="A545" s="5"/>
      <c r="P545">
        <f t="shared" si="939"/>
        <v>0</v>
      </c>
      <c r="Q545">
        <f t="shared" si="940"/>
        <v>0</v>
      </c>
      <c r="R545">
        <f t="shared" si="941"/>
        <v>0</v>
      </c>
      <c r="S545">
        <f t="shared" si="942"/>
        <v>0</v>
      </c>
      <c r="T545">
        <f t="shared" si="943"/>
        <v>0</v>
      </c>
    </row>
    <row r="546" spans="1:104" x14ac:dyDescent="0.25">
      <c r="A546" s="5"/>
      <c r="P546">
        <f t="shared" si="939"/>
        <v>0</v>
      </c>
      <c r="Q546">
        <f t="shared" si="940"/>
        <v>0</v>
      </c>
      <c r="R546">
        <f t="shared" si="941"/>
        <v>0</v>
      </c>
      <c r="S546">
        <f t="shared" si="942"/>
        <v>0</v>
      </c>
      <c r="T546">
        <f t="shared" si="943"/>
        <v>0</v>
      </c>
    </row>
    <row r="547" spans="1:104" x14ac:dyDescent="0.25">
      <c r="A547" s="5"/>
      <c r="P547">
        <f t="shared" si="939"/>
        <v>0</v>
      </c>
      <c r="Q547">
        <f t="shared" si="940"/>
        <v>0</v>
      </c>
      <c r="R547">
        <f t="shared" si="941"/>
        <v>0</v>
      </c>
      <c r="S547">
        <f t="shared" si="942"/>
        <v>0</v>
      </c>
      <c r="T547">
        <f t="shared" si="943"/>
        <v>0</v>
      </c>
    </row>
    <row r="548" spans="1:104" x14ac:dyDescent="0.25">
      <c r="A548" s="5"/>
      <c r="P548">
        <f t="shared" si="939"/>
        <v>0</v>
      </c>
      <c r="Q548">
        <f t="shared" si="940"/>
        <v>0</v>
      </c>
      <c r="R548">
        <f t="shared" si="941"/>
        <v>0</v>
      </c>
      <c r="S548">
        <f t="shared" si="942"/>
        <v>0</v>
      </c>
      <c r="T548">
        <f t="shared" si="943"/>
        <v>0</v>
      </c>
    </row>
    <row r="549" spans="1:104" x14ac:dyDescent="0.25">
      <c r="A549" s="5"/>
      <c r="P549">
        <f t="shared" si="939"/>
        <v>0</v>
      </c>
      <c r="Q549">
        <f t="shared" si="940"/>
        <v>0</v>
      </c>
      <c r="R549">
        <f t="shared" si="941"/>
        <v>0</v>
      </c>
      <c r="S549">
        <f t="shared" si="942"/>
        <v>0</v>
      </c>
      <c r="T549">
        <f t="shared" si="943"/>
        <v>0</v>
      </c>
    </row>
    <row r="550" spans="1:104" x14ac:dyDescent="0.25">
      <c r="A550" s="5"/>
      <c r="P550">
        <f t="shared" si="939"/>
        <v>0</v>
      </c>
      <c r="Q550">
        <f t="shared" si="940"/>
        <v>0</v>
      </c>
      <c r="R550">
        <f t="shared" si="941"/>
        <v>0</v>
      </c>
      <c r="S550">
        <f t="shared" si="942"/>
        <v>0</v>
      </c>
      <c r="T550">
        <f t="shared" si="943"/>
        <v>0</v>
      </c>
    </row>
    <row r="551" spans="1:104" x14ac:dyDescent="0.25">
      <c r="A551" s="5"/>
      <c r="P551">
        <f t="shared" si="939"/>
        <v>0</v>
      </c>
      <c r="Q551">
        <f t="shared" si="940"/>
        <v>0</v>
      </c>
      <c r="R551">
        <f t="shared" si="941"/>
        <v>0</v>
      </c>
      <c r="S551">
        <f t="shared" si="942"/>
        <v>0</v>
      </c>
      <c r="T551">
        <f t="shared" si="943"/>
        <v>0</v>
      </c>
    </row>
    <row r="552" spans="1:104" x14ac:dyDescent="0.25">
      <c r="A552" s="5"/>
      <c r="P552">
        <f t="shared" si="939"/>
        <v>0</v>
      </c>
      <c r="Q552">
        <f t="shared" si="940"/>
        <v>0</v>
      </c>
      <c r="R552">
        <f t="shared" si="941"/>
        <v>0</v>
      </c>
      <c r="S552">
        <f t="shared" si="942"/>
        <v>0</v>
      </c>
      <c r="T552">
        <f t="shared" si="943"/>
        <v>0</v>
      </c>
      <c r="CZ552" t="s">
        <v>7</v>
      </c>
    </row>
    <row r="553" spans="1:104" x14ac:dyDescent="0.25">
      <c r="A553" s="5"/>
      <c r="P553">
        <f t="shared" si="939"/>
        <v>0</v>
      </c>
      <c r="Q553">
        <f t="shared" si="940"/>
        <v>0</v>
      </c>
      <c r="R553">
        <f t="shared" si="941"/>
        <v>0</v>
      </c>
      <c r="S553">
        <f t="shared" si="942"/>
        <v>0</v>
      </c>
      <c r="T553">
        <f t="shared" si="943"/>
        <v>0</v>
      </c>
      <c r="CZ553" t="s">
        <v>7</v>
      </c>
    </row>
    <row r="554" spans="1:104" x14ac:dyDescent="0.25">
      <c r="A554" s="5"/>
      <c r="P554">
        <f t="shared" si="939"/>
        <v>0</v>
      </c>
      <c r="Q554">
        <f t="shared" si="940"/>
        <v>0</v>
      </c>
      <c r="R554">
        <f t="shared" si="941"/>
        <v>0</v>
      </c>
      <c r="S554">
        <f t="shared" si="942"/>
        <v>0</v>
      </c>
      <c r="T554">
        <f t="shared" si="943"/>
        <v>0</v>
      </c>
      <c r="CZ554" t="s">
        <v>7</v>
      </c>
    </row>
    <row r="555" spans="1:104" x14ac:dyDescent="0.25">
      <c r="A555" s="5"/>
      <c r="P555">
        <f t="shared" si="939"/>
        <v>0</v>
      </c>
      <c r="Q555">
        <f t="shared" si="940"/>
        <v>0</v>
      </c>
      <c r="R555">
        <f t="shared" si="941"/>
        <v>0</v>
      </c>
      <c r="S555">
        <f t="shared" si="942"/>
        <v>0</v>
      </c>
      <c r="T555">
        <f t="shared" si="943"/>
        <v>0</v>
      </c>
    </row>
    <row r="556" spans="1:104" x14ac:dyDescent="0.25">
      <c r="A556" s="5"/>
      <c r="C556"/>
      <c r="D556"/>
      <c r="P556">
        <f t="shared" si="939"/>
        <v>0</v>
      </c>
      <c r="Q556">
        <f t="shared" si="940"/>
        <v>0</v>
      </c>
      <c r="R556">
        <f t="shared" si="941"/>
        <v>0</v>
      </c>
      <c r="S556">
        <f t="shared" si="942"/>
        <v>0</v>
      </c>
      <c r="T556">
        <f t="shared" si="943"/>
        <v>0</v>
      </c>
    </row>
    <row r="557" spans="1:104" x14ac:dyDescent="0.25">
      <c r="A557" s="5"/>
      <c r="C557"/>
      <c r="D557"/>
      <c r="P557">
        <f t="shared" si="939"/>
        <v>0</v>
      </c>
      <c r="Q557">
        <f t="shared" si="940"/>
        <v>0</v>
      </c>
      <c r="R557">
        <f t="shared" si="941"/>
        <v>0</v>
      </c>
      <c r="S557">
        <f t="shared" si="942"/>
        <v>0</v>
      </c>
      <c r="T557">
        <f t="shared" si="943"/>
        <v>0</v>
      </c>
    </row>
    <row r="558" spans="1:104" x14ac:dyDescent="0.25">
      <c r="A558" s="5"/>
      <c r="C558"/>
      <c r="D558"/>
      <c r="P558">
        <f t="shared" si="939"/>
        <v>0</v>
      </c>
      <c r="Q558">
        <f t="shared" si="940"/>
        <v>0</v>
      </c>
      <c r="R558">
        <f t="shared" si="941"/>
        <v>0</v>
      </c>
      <c r="S558">
        <f t="shared" si="942"/>
        <v>0</v>
      </c>
      <c r="T558">
        <f t="shared" si="943"/>
        <v>0</v>
      </c>
    </row>
    <row r="559" spans="1:104" x14ac:dyDescent="0.25">
      <c r="A559" s="5"/>
      <c r="C559"/>
      <c r="D559"/>
      <c r="P559">
        <f t="shared" si="939"/>
        <v>0</v>
      </c>
      <c r="Q559">
        <f t="shared" si="940"/>
        <v>0</v>
      </c>
      <c r="R559">
        <f t="shared" si="941"/>
        <v>0</v>
      </c>
      <c r="S559">
        <f t="shared" si="942"/>
        <v>0</v>
      </c>
      <c r="T559">
        <f t="shared" si="943"/>
        <v>0</v>
      </c>
    </row>
    <row r="560" spans="1:104" x14ac:dyDescent="0.25">
      <c r="A560" s="5"/>
      <c r="C560"/>
      <c r="D560"/>
      <c r="P560">
        <f t="shared" si="939"/>
        <v>0</v>
      </c>
      <c r="Q560">
        <f t="shared" si="940"/>
        <v>0</v>
      </c>
      <c r="R560">
        <f t="shared" si="941"/>
        <v>0</v>
      </c>
      <c r="S560">
        <f t="shared" si="942"/>
        <v>0</v>
      </c>
      <c r="T560">
        <f t="shared" si="943"/>
        <v>0</v>
      </c>
    </row>
    <row r="561" spans="1:20" x14ac:dyDescent="0.25">
      <c r="A561" s="5"/>
      <c r="C561"/>
      <c r="D561"/>
      <c r="P561">
        <f t="shared" si="939"/>
        <v>0</v>
      </c>
      <c r="Q561">
        <f t="shared" si="940"/>
        <v>0</v>
      </c>
      <c r="R561">
        <f t="shared" si="941"/>
        <v>0</v>
      </c>
      <c r="S561">
        <f t="shared" si="942"/>
        <v>0</v>
      </c>
      <c r="T561">
        <f t="shared" si="943"/>
        <v>0</v>
      </c>
    </row>
    <row r="562" spans="1:20" x14ac:dyDescent="0.25">
      <c r="A562" s="5"/>
      <c r="C562"/>
      <c r="D562"/>
      <c r="P562">
        <f t="shared" si="939"/>
        <v>0</v>
      </c>
      <c r="Q562">
        <f t="shared" si="940"/>
        <v>0</v>
      </c>
      <c r="R562">
        <f t="shared" si="941"/>
        <v>0</v>
      </c>
      <c r="S562">
        <f t="shared" si="942"/>
        <v>0</v>
      </c>
      <c r="T562">
        <f t="shared" si="943"/>
        <v>0</v>
      </c>
    </row>
    <row r="563" spans="1:20" x14ac:dyDescent="0.25">
      <c r="A563" s="5"/>
      <c r="C563"/>
      <c r="D563"/>
      <c r="P563">
        <f t="shared" si="939"/>
        <v>0</v>
      </c>
      <c r="Q563">
        <f t="shared" si="940"/>
        <v>0</v>
      </c>
      <c r="R563">
        <f t="shared" si="941"/>
        <v>0</v>
      </c>
      <c r="S563">
        <f t="shared" si="942"/>
        <v>0</v>
      </c>
      <c r="T563">
        <f t="shared" si="943"/>
        <v>0</v>
      </c>
    </row>
    <row r="564" spans="1:20" x14ac:dyDescent="0.25">
      <c r="A564" s="5"/>
      <c r="C564"/>
      <c r="D564"/>
      <c r="P564">
        <f t="shared" si="939"/>
        <v>0</v>
      </c>
      <c r="Q564">
        <f t="shared" si="940"/>
        <v>0</v>
      </c>
      <c r="R564">
        <f t="shared" si="941"/>
        <v>0</v>
      </c>
      <c r="S564">
        <f t="shared" si="942"/>
        <v>0</v>
      </c>
      <c r="T564">
        <f t="shared" si="943"/>
        <v>0</v>
      </c>
    </row>
    <row r="565" spans="1:20" x14ac:dyDescent="0.25">
      <c r="A565" s="5"/>
      <c r="C565"/>
      <c r="D565"/>
      <c r="P565">
        <f t="shared" si="939"/>
        <v>0</v>
      </c>
      <c r="Q565">
        <f t="shared" si="940"/>
        <v>0</v>
      </c>
      <c r="R565">
        <f t="shared" si="941"/>
        <v>0</v>
      </c>
      <c r="S565">
        <f t="shared" si="942"/>
        <v>0</v>
      </c>
      <c r="T565">
        <f t="shared" si="943"/>
        <v>0</v>
      </c>
    </row>
    <row r="566" spans="1:20" x14ac:dyDescent="0.25">
      <c r="A566" s="5"/>
      <c r="C566"/>
      <c r="D566"/>
      <c r="P566">
        <f t="shared" si="939"/>
        <v>0</v>
      </c>
      <c r="Q566">
        <f t="shared" si="940"/>
        <v>0</v>
      </c>
      <c r="R566">
        <f t="shared" si="941"/>
        <v>0</v>
      </c>
      <c r="S566">
        <f t="shared" si="942"/>
        <v>0</v>
      </c>
      <c r="T566">
        <f t="shared" si="943"/>
        <v>0</v>
      </c>
    </row>
    <row r="567" spans="1:20" x14ac:dyDescent="0.25">
      <c r="A567" s="5"/>
      <c r="C567"/>
      <c r="D567"/>
      <c r="P567">
        <f t="shared" si="939"/>
        <v>0</v>
      </c>
      <c r="Q567">
        <f t="shared" si="940"/>
        <v>0</v>
      </c>
      <c r="R567">
        <f t="shared" si="941"/>
        <v>0</v>
      </c>
      <c r="S567">
        <f t="shared" si="942"/>
        <v>0</v>
      </c>
      <c r="T567">
        <f t="shared" si="943"/>
        <v>0</v>
      </c>
    </row>
    <row r="568" spans="1:20" x14ac:dyDescent="0.25">
      <c r="A568" s="5"/>
      <c r="C568"/>
      <c r="D568"/>
      <c r="P568">
        <f t="shared" si="939"/>
        <v>0</v>
      </c>
      <c r="Q568">
        <f t="shared" si="940"/>
        <v>0</v>
      </c>
      <c r="R568">
        <f t="shared" si="941"/>
        <v>0</v>
      </c>
      <c r="S568">
        <f t="shared" si="942"/>
        <v>0</v>
      </c>
      <c r="T568">
        <f t="shared" si="943"/>
        <v>0</v>
      </c>
    </row>
    <row r="569" spans="1:20" x14ac:dyDescent="0.25">
      <c r="A569" s="5"/>
      <c r="C569"/>
      <c r="D569"/>
      <c r="P569">
        <f t="shared" si="939"/>
        <v>0</v>
      </c>
      <c r="Q569">
        <f t="shared" si="940"/>
        <v>0</v>
      </c>
      <c r="R569">
        <f t="shared" si="941"/>
        <v>0</v>
      </c>
      <c r="S569">
        <f t="shared" si="942"/>
        <v>0</v>
      </c>
      <c r="T569">
        <f t="shared" si="943"/>
        <v>0</v>
      </c>
    </row>
    <row r="570" spans="1:20" x14ac:dyDescent="0.25">
      <c r="A570" s="5"/>
      <c r="C570"/>
      <c r="D570"/>
      <c r="P570">
        <f t="shared" si="939"/>
        <v>0</v>
      </c>
      <c r="Q570">
        <f t="shared" si="940"/>
        <v>0</v>
      </c>
      <c r="R570">
        <f t="shared" si="941"/>
        <v>0</v>
      </c>
      <c r="S570">
        <f t="shared" si="942"/>
        <v>0</v>
      </c>
      <c r="T570">
        <f t="shared" si="943"/>
        <v>0</v>
      </c>
    </row>
    <row r="571" spans="1:20" x14ac:dyDescent="0.25">
      <c r="A571" s="5"/>
      <c r="C571"/>
      <c r="D571"/>
      <c r="P571">
        <f t="shared" si="939"/>
        <v>0</v>
      </c>
      <c r="Q571">
        <f t="shared" si="940"/>
        <v>0</v>
      </c>
      <c r="R571">
        <f t="shared" si="941"/>
        <v>0</v>
      </c>
      <c r="S571">
        <f t="shared" si="942"/>
        <v>0</v>
      </c>
      <c r="T571">
        <f t="shared" si="943"/>
        <v>0</v>
      </c>
    </row>
    <row r="572" spans="1:20" x14ac:dyDescent="0.25">
      <c r="A572" s="5"/>
      <c r="C572"/>
      <c r="D572"/>
      <c r="P572">
        <f t="shared" si="939"/>
        <v>0</v>
      </c>
      <c r="Q572">
        <f t="shared" si="940"/>
        <v>0</v>
      </c>
      <c r="R572">
        <f t="shared" si="941"/>
        <v>0</v>
      </c>
      <c r="S572">
        <f t="shared" si="942"/>
        <v>0</v>
      </c>
      <c r="T572">
        <f t="shared" si="943"/>
        <v>0</v>
      </c>
    </row>
    <row r="573" spans="1:20" x14ac:dyDescent="0.25">
      <c r="A573" s="5"/>
      <c r="C573"/>
      <c r="D573"/>
      <c r="P573">
        <f t="shared" ref="P573:P636" si="944">IF(C573=D573,0,((E573-D573)-(C573-E573))/(C573-D573))</f>
        <v>0</v>
      </c>
      <c r="Q573">
        <f t="shared" ref="Q573:Q636" si="945">F573*P573</f>
        <v>0</v>
      </c>
      <c r="R573">
        <f t="shared" ref="R573:R636" si="946">R574+Q573</f>
        <v>0</v>
      </c>
      <c r="S573">
        <f t="shared" ref="S573:S636" si="947">R573/100000</f>
        <v>0</v>
      </c>
      <c r="T573">
        <f t="shared" ref="T573:T636" si="948">S573/1000</f>
        <v>0</v>
      </c>
    </row>
    <row r="574" spans="1:20" x14ac:dyDescent="0.25">
      <c r="A574" s="5"/>
      <c r="C574"/>
      <c r="D574"/>
      <c r="P574">
        <f t="shared" si="944"/>
        <v>0</v>
      </c>
      <c r="Q574">
        <f t="shared" si="945"/>
        <v>0</v>
      </c>
      <c r="R574">
        <f t="shared" si="946"/>
        <v>0</v>
      </c>
      <c r="S574">
        <f t="shared" si="947"/>
        <v>0</v>
      </c>
      <c r="T574">
        <f t="shared" si="948"/>
        <v>0</v>
      </c>
    </row>
    <row r="575" spans="1:20" x14ac:dyDescent="0.25">
      <c r="A575" s="5"/>
      <c r="C575"/>
      <c r="D575"/>
      <c r="P575">
        <f t="shared" si="944"/>
        <v>0</v>
      </c>
      <c r="Q575">
        <f t="shared" si="945"/>
        <v>0</v>
      </c>
      <c r="R575">
        <f t="shared" si="946"/>
        <v>0</v>
      </c>
      <c r="S575">
        <f t="shared" si="947"/>
        <v>0</v>
      </c>
      <c r="T575">
        <f t="shared" si="948"/>
        <v>0</v>
      </c>
    </row>
    <row r="576" spans="1:20" x14ac:dyDescent="0.25">
      <c r="A576" s="5"/>
      <c r="C576"/>
      <c r="D576"/>
      <c r="P576">
        <f t="shared" si="944"/>
        <v>0</v>
      </c>
      <c r="Q576">
        <f t="shared" si="945"/>
        <v>0</v>
      </c>
      <c r="R576">
        <f t="shared" si="946"/>
        <v>0</v>
      </c>
      <c r="S576">
        <f t="shared" si="947"/>
        <v>0</v>
      </c>
      <c r="T576">
        <f t="shared" si="948"/>
        <v>0</v>
      </c>
    </row>
    <row r="577" spans="1:20" x14ac:dyDescent="0.25">
      <c r="A577" s="5"/>
      <c r="C577"/>
      <c r="D577"/>
      <c r="P577">
        <f t="shared" si="944"/>
        <v>0</v>
      </c>
      <c r="Q577">
        <f t="shared" si="945"/>
        <v>0</v>
      </c>
      <c r="R577">
        <f t="shared" si="946"/>
        <v>0</v>
      </c>
      <c r="S577">
        <f t="shared" si="947"/>
        <v>0</v>
      </c>
      <c r="T577">
        <f t="shared" si="948"/>
        <v>0</v>
      </c>
    </row>
    <row r="578" spans="1:20" x14ac:dyDescent="0.25">
      <c r="A578" s="5"/>
      <c r="C578"/>
      <c r="D578"/>
      <c r="P578">
        <f t="shared" si="944"/>
        <v>0</v>
      </c>
      <c r="Q578">
        <f t="shared" si="945"/>
        <v>0</v>
      </c>
      <c r="R578">
        <f t="shared" si="946"/>
        <v>0</v>
      </c>
      <c r="S578">
        <f t="shared" si="947"/>
        <v>0</v>
      </c>
      <c r="T578">
        <f t="shared" si="948"/>
        <v>0</v>
      </c>
    </row>
    <row r="579" spans="1:20" x14ac:dyDescent="0.25">
      <c r="A579" s="5"/>
      <c r="C579"/>
      <c r="D579"/>
      <c r="P579">
        <f t="shared" si="944"/>
        <v>0</v>
      </c>
      <c r="Q579">
        <f t="shared" si="945"/>
        <v>0</v>
      </c>
      <c r="R579">
        <f t="shared" si="946"/>
        <v>0</v>
      </c>
      <c r="S579">
        <f t="shared" si="947"/>
        <v>0</v>
      </c>
      <c r="T579">
        <f t="shared" si="948"/>
        <v>0</v>
      </c>
    </row>
    <row r="580" spans="1:20" x14ac:dyDescent="0.25">
      <c r="A580" s="5"/>
      <c r="C580"/>
      <c r="D580"/>
      <c r="P580">
        <f t="shared" si="944"/>
        <v>0</v>
      </c>
      <c r="Q580">
        <f t="shared" si="945"/>
        <v>0</v>
      </c>
      <c r="R580">
        <f t="shared" si="946"/>
        <v>0</v>
      </c>
      <c r="S580">
        <f t="shared" si="947"/>
        <v>0</v>
      </c>
      <c r="T580">
        <f t="shared" si="948"/>
        <v>0</v>
      </c>
    </row>
    <row r="581" spans="1:20" x14ac:dyDescent="0.25">
      <c r="A581" s="5"/>
      <c r="C581"/>
      <c r="D581"/>
      <c r="P581">
        <f t="shared" si="944"/>
        <v>0</v>
      </c>
      <c r="Q581">
        <f t="shared" si="945"/>
        <v>0</v>
      </c>
      <c r="R581">
        <f t="shared" si="946"/>
        <v>0</v>
      </c>
      <c r="S581">
        <f t="shared" si="947"/>
        <v>0</v>
      </c>
      <c r="T581">
        <f t="shared" si="948"/>
        <v>0</v>
      </c>
    </row>
    <row r="582" spans="1:20" x14ac:dyDescent="0.25">
      <c r="A582" s="5"/>
      <c r="C582"/>
      <c r="D582"/>
      <c r="P582">
        <f t="shared" si="944"/>
        <v>0</v>
      </c>
      <c r="Q582">
        <f t="shared" si="945"/>
        <v>0</v>
      </c>
      <c r="R582">
        <f t="shared" si="946"/>
        <v>0</v>
      </c>
      <c r="S582">
        <f t="shared" si="947"/>
        <v>0</v>
      </c>
      <c r="T582">
        <f t="shared" si="948"/>
        <v>0</v>
      </c>
    </row>
    <row r="583" spans="1:20" x14ac:dyDescent="0.25">
      <c r="A583" s="5"/>
      <c r="C583"/>
      <c r="D583"/>
      <c r="P583">
        <f t="shared" si="944"/>
        <v>0</v>
      </c>
      <c r="Q583">
        <f t="shared" si="945"/>
        <v>0</v>
      </c>
      <c r="R583">
        <f t="shared" si="946"/>
        <v>0</v>
      </c>
      <c r="S583">
        <f t="shared" si="947"/>
        <v>0</v>
      </c>
      <c r="T583">
        <f t="shared" si="948"/>
        <v>0</v>
      </c>
    </row>
    <row r="584" spans="1:20" x14ac:dyDescent="0.25">
      <c r="A584" s="5"/>
      <c r="C584"/>
      <c r="D584"/>
      <c r="P584">
        <f t="shared" si="944"/>
        <v>0</v>
      </c>
      <c r="Q584">
        <f t="shared" si="945"/>
        <v>0</v>
      </c>
      <c r="R584">
        <f t="shared" si="946"/>
        <v>0</v>
      </c>
      <c r="S584">
        <f t="shared" si="947"/>
        <v>0</v>
      </c>
      <c r="T584">
        <f t="shared" si="948"/>
        <v>0</v>
      </c>
    </row>
    <row r="585" spans="1:20" x14ac:dyDescent="0.25">
      <c r="A585" s="5"/>
      <c r="C585"/>
      <c r="D585"/>
      <c r="P585">
        <f t="shared" si="944"/>
        <v>0</v>
      </c>
      <c r="Q585">
        <f t="shared" si="945"/>
        <v>0</v>
      </c>
      <c r="R585">
        <f t="shared" si="946"/>
        <v>0</v>
      </c>
      <c r="S585">
        <f t="shared" si="947"/>
        <v>0</v>
      </c>
      <c r="T585">
        <f t="shared" si="948"/>
        <v>0</v>
      </c>
    </row>
    <row r="586" spans="1:20" x14ac:dyDescent="0.25">
      <c r="A586" s="5"/>
      <c r="C586"/>
      <c r="D586"/>
      <c r="P586">
        <f t="shared" si="944"/>
        <v>0</v>
      </c>
      <c r="Q586">
        <f t="shared" si="945"/>
        <v>0</v>
      </c>
      <c r="R586">
        <f t="shared" si="946"/>
        <v>0</v>
      </c>
      <c r="S586">
        <f t="shared" si="947"/>
        <v>0</v>
      </c>
      <c r="T586">
        <f t="shared" si="948"/>
        <v>0</v>
      </c>
    </row>
    <row r="587" spans="1:20" x14ac:dyDescent="0.25">
      <c r="A587" s="5"/>
      <c r="C587"/>
      <c r="D587"/>
      <c r="P587">
        <f t="shared" si="944"/>
        <v>0</v>
      </c>
      <c r="Q587">
        <f t="shared" si="945"/>
        <v>0</v>
      </c>
      <c r="R587">
        <f t="shared" si="946"/>
        <v>0</v>
      </c>
      <c r="S587">
        <f t="shared" si="947"/>
        <v>0</v>
      </c>
      <c r="T587">
        <f t="shared" si="948"/>
        <v>0</v>
      </c>
    </row>
    <row r="588" spans="1:20" x14ac:dyDescent="0.25">
      <c r="A588" s="5"/>
      <c r="C588"/>
      <c r="D588"/>
      <c r="P588">
        <f t="shared" si="944"/>
        <v>0</v>
      </c>
      <c r="Q588">
        <f t="shared" si="945"/>
        <v>0</v>
      </c>
      <c r="R588">
        <f t="shared" si="946"/>
        <v>0</v>
      </c>
      <c r="S588">
        <f t="shared" si="947"/>
        <v>0</v>
      </c>
      <c r="T588">
        <f t="shared" si="948"/>
        <v>0</v>
      </c>
    </row>
    <row r="589" spans="1:20" x14ac:dyDescent="0.25">
      <c r="A589" s="5"/>
      <c r="C589"/>
      <c r="D589"/>
      <c r="P589">
        <f t="shared" si="944"/>
        <v>0</v>
      </c>
      <c r="Q589">
        <f t="shared" si="945"/>
        <v>0</v>
      </c>
      <c r="R589">
        <f t="shared" si="946"/>
        <v>0</v>
      </c>
      <c r="S589">
        <f t="shared" si="947"/>
        <v>0</v>
      </c>
      <c r="T589">
        <f t="shared" si="948"/>
        <v>0</v>
      </c>
    </row>
    <row r="590" spans="1:20" x14ac:dyDescent="0.25">
      <c r="A590" s="5"/>
      <c r="C590"/>
      <c r="D590"/>
      <c r="P590">
        <f t="shared" si="944"/>
        <v>0</v>
      </c>
      <c r="Q590">
        <f t="shared" si="945"/>
        <v>0</v>
      </c>
      <c r="R590">
        <f t="shared" si="946"/>
        <v>0</v>
      </c>
      <c r="S590">
        <f t="shared" si="947"/>
        <v>0</v>
      </c>
      <c r="T590">
        <f t="shared" si="948"/>
        <v>0</v>
      </c>
    </row>
    <row r="591" spans="1:20" x14ac:dyDescent="0.25">
      <c r="A591" s="5"/>
      <c r="C591"/>
      <c r="D591"/>
      <c r="P591">
        <f t="shared" si="944"/>
        <v>0</v>
      </c>
      <c r="Q591">
        <f t="shared" si="945"/>
        <v>0</v>
      </c>
      <c r="R591">
        <f t="shared" si="946"/>
        <v>0</v>
      </c>
      <c r="S591">
        <f t="shared" si="947"/>
        <v>0</v>
      </c>
      <c r="T591">
        <f t="shared" si="948"/>
        <v>0</v>
      </c>
    </row>
    <row r="592" spans="1:20" x14ac:dyDescent="0.25">
      <c r="A592" s="5"/>
      <c r="C592"/>
      <c r="D592"/>
      <c r="P592">
        <f t="shared" si="944"/>
        <v>0</v>
      </c>
      <c r="Q592">
        <f t="shared" si="945"/>
        <v>0</v>
      </c>
      <c r="R592">
        <f t="shared" si="946"/>
        <v>0</v>
      </c>
      <c r="S592">
        <f t="shared" si="947"/>
        <v>0</v>
      </c>
      <c r="T592">
        <f t="shared" si="948"/>
        <v>0</v>
      </c>
    </row>
    <row r="593" spans="1:20" x14ac:dyDescent="0.25">
      <c r="A593" s="5"/>
      <c r="C593"/>
      <c r="D593"/>
      <c r="P593">
        <f t="shared" si="944"/>
        <v>0</v>
      </c>
      <c r="Q593">
        <f t="shared" si="945"/>
        <v>0</v>
      </c>
      <c r="R593">
        <f t="shared" si="946"/>
        <v>0</v>
      </c>
      <c r="S593">
        <f t="shared" si="947"/>
        <v>0</v>
      </c>
      <c r="T593">
        <f t="shared" si="948"/>
        <v>0</v>
      </c>
    </row>
    <row r="594" spans="1:20" x14ac:dyDescent="0.25">
      <c r="A594" s="5"/>
      <c r="C594"/>
      <c r="D594"/>
      <c r="P594">
        <f t="shared" si="944"/>
        <v>0</v>
      </c>
      <c r="Q594">
        <f t="shared" si="945"/>
        <v>0</v>
      </c>
      <c r="R594">
        <f t="shared" si="946"/>
        <v>0</v>
      </c>
      <c r="S594">
        <f t="shared" si="947"/>
        <v>0</v>
      </c>
      <c r="T594">
        <f t="shared" si="948"/>
        <v>0</v>
      </c>
    </row>
    <row r="595" spans="1:20" x14ac:dyDescent="0.25">
      <c r="A595" s="5"/>
      <c r="C595"/>
      <c r="D595"/>
      <c r="P595">
        <f t="shared" si="944"/>
        <v>0</v>
      </c>
      <c r="Q595">
        <f t="shared" si="945"/>
        <v>0</v>
      </c>
      <c r="R595">
        <f t="shared" si="946"/>
        <v>0</v>
      </c>
      <c r="S595">
        <f t="shared" si="947"/>
        <v>0</v>
      </c>
      <c r="T595">
        <f t="shared" si="948"/>
        <v>0</v>
      </c>
    </row>
    <row r="596" spans="1:20" x14ac:dyDescent="0.25">
      <c r="A596" s="5"/>
      <c r="C596"/>
      <c r="D596"/>
      <c r="P596">
        <f t="shared" si="944"/>
        <v>0</v>
      </c>
      <c r="Q596">
        <f t="shared" si="945"/>
        <v>0</v>
      </c>
      <c r="R596">
        <f t="shared" si="946"/>
        <v>0</v>
      </c>
      <c r="S596">
        <f t="shared" si="947"/>
        <v>0</v>
      </c>
      <c r="T596">
        <f t="shared" si="948"/>
        <v>0</v>
      </c>
    </row>
    <row r="597" spans="1:20" x14ac:dyDescent="0.25">
      <c r="A597" s="5"/>
      <c r="C597"/>
      <c r="D597"/>
      <c r="P597">
        <f t="shared" si="944"/>
        <v>0</v>
      </c>
      <c r="Q597">
        <f t="shared" si="945"/>
        <v>0</v>
      </c>
      <c r="R597">
        <f t="shared" si="946"/>
        <v>0</v>
      </c>
      <c r="S597">
        <f t="shared" si="947"/>
        <v>0</v>
      </c>
      <c r="T597">
        <f t="shared" si="948"/>
        <v>0</v>
      </c>
    </row>
    <row r="598" spans="1:20" x14ac:dyDescent="0.25">
      <c r="A598" s="5"/>
      <c r="C598"/>
      <c r="D598"/>
      <c r="P598">
        <f t="shared" si="944"/>
        <v>0</v>
      </c>
      <c r="Q598">
        <f t="shared" si="945"/>
        <v>0</v>
      </c>
      <c r="R598">
        <f t="shared" si="946"/>
        <v>0</v>
      </c>
      <c r="S598">
        <f t="shared" si="947"/>
        <v>0</v>
      </c>
      <c r="T598">
        <f t="shared" si="948"/>
        <v>0</v>
      </c>
    </row>
    <row r="599" spans="1:20" x14ac:dyDescent="0.25">
      <c r="A599" s="5"/>
      <c r="C599"/>
      <c r="D599"/>
      <c r="P599">
        <f t="shared" si="944"/>
        <v>0</v>
      </c>
      <c r="Q599">
        <f t="shared" si="945"/>
        <v>0</v>
      </c>
      <c r="R599">
        <f t="shared" si="946"/>
        <v>0</v>
      </c>
      <c r="S599">
        <f t="shared" si="947"/>
        <v>0</v>
      </c>
      <c r="T599">
        <f t="shared" si="948"/>
        <v>0</v>
      </c>
    </row>
    <row r="600" spans="1:20" x14ac:dyDescent="0.25">
      <c r="A600" s="5"/>
      <c r="C600"/>
      <c r="D600"/>
      <c r="P600">
        <f t="shared" si="944"/>
        <v>0</v>
      </c>
      <c r="Q600">
        <f t="shared" si="945"/>
        <v>0</v>
      </c>
      <c r="R600">
        <f t="shared" si="946"/>
        <v>0</v>
      </c>
      <c r="S600">
        <f t="shared" si="947"/>
        <v>0</v>
      </c>
      <c r="T600">
        <f t="shared" si="948"/>
        <v>0</v>
      </c>
    </row>
    <row r="601" spans="1:20" x14ac:dyDescent="0.25">
      <c r="A601" s="5"/>
      <c r="C601"/>
      <c r="D601"/>
      <c r="P601">
        <f t="shared" si="944"/>
        <v>0</v>
      </c>
      <c r="Q601">
        <f t="shared" si="945"/>
        <v>0</v>
      </c>
      <c r="R601">
        <f t="shared" si="946"/>
        <v>0</v>
      </c>
      <c r="S601">
        <f t="shared" si="947"/>
        <v>0</v>
      </c>
      <c r="T601">
        <f t="shared" si="948"/>
        <v>0</v>
      </c>
    </row>
    <row r="602" spans="1:20" x14ac:dyDescent="0.25">
      <c r="A602" s="5"/>
      <c r="C602"/>
      <c r="D602"/>
      <c r="P602">
        <f t="shared" si="944"/>
        <v>0</v>
      </c>
      <c r="Q602">
        <f t="shared" si="945"/>
        <v>0</v>
      </c>
      <c r="R602">
        <f t="shared" si="946"/>
        <v>0</v>
      </c>
      <c r="S602">
        <f t="shared" si="947"/>
        <v>0</v>
      </c>
      <c r="T602">
        <f t="shared" si="948"/>
        <v>0</v>
      </c>
    </row>
    <row r="603" spans="1:20" x14ac:dyDescent="0.25">
      <c r="A603" s="5"/>
      <c r="C603"/>
      <c r="D603"/>
      <c r="P603">
        <f t="shared" si="944"/>
        <v>0</v>
      </c>
      <c r="Q603">
        <f t="shared" si="945"/>
        <v>0</v>
      </c>
      <c r="R603">
        <f t="shared" si="946"/>
        <v>0</v>
      </c>
      <c r="S603">
        <f t="shared" si="947"/>
        <v>0</v>
      </c>
      <c r="T603">
        <f t="shared" si="948"/>
        <v>0</v>
      </c>
    </row>
    <row r="604" spans="1:20" x14ac:dyDescent="0.25">
      <c r="A604" s="5"/>
      <c r="C604"/>
      <c r="D604"/>
      <c r="P604">
        <f t="shared" si="944"/>
        <v>0</v>
      </c>
      <c r="Q604">
        <f t="shared" si="945"/>
        <v>0</v>
      </c>
      <c r="R604">
        <f t="shared" si="946"/>
        <v>0</v>
      </c>
      <c r="S604">
        <f t="shared" si="947"/>
        <v>0</v>
      </c>
      <c r="T604">
        <f t="shared" si="948"/>
        <v>0</v>
      </c>
    </row>
    <row r="605" spans="1:20" x14ac:dyDescent="0.25">
      <c r="A605" s="5"/>
      <c r="C605"/>
      <c r="D605"/>
      <c r="P605">
        <f t="shared" si="944"/>
        <v>0</v>
      </c>
      <c r="Q605">
        <f t="shared" si="945"/>
        <v>0</v>
      </c>
      <c r="R605">
        <f t="shared" si="946"/>
        <v>0</v>
      </c>
      <c r="S605">
        <f t="shared" si="947"/>
        <v>0</v>
      </c>
      <c r="T605">
        <f t="shared" si="948"/>
        <v>0</v>
      </c>
    </row>
    <row r="606" spans="1:20" x14ac:dyDescent="0.25">
      <c r="A606" s="5"/>
      <c r="C606"/>
      <c r="D606"/>
      <c r="P606">
        <f t="shared" si="944"/>
        <v>0</v>
      </c>
      <c r="Q606">
        <f t="shared" si="945"/>
        <v>0</v>
      </c>
      <c r="R606">
        <f t="shared" si="946"/>
        <v>0</v>
      </c>
      <c r="S606">
        <f t="shared" si="947"/>
        <v>0</v>
      </c>
      <c r="T606">
        <f t="shared" si="948"/>
        <v>0</v>
      </c>
    </row>
    <row r="607" spans="1:20" x14ac:dyDescent="0.25">
      <c r="A607" s="5"/>
      <c r="C607"/>
      <c r="D607"/>
      <c r="P607">
        <f t="shared" si="944"/>
        <v>0</v>
      </c>
      <c r="Q607">
        <f t="shared" si="945"/>
        <v>0</v>
      </c>
      <c r="R607">
        <f t="shared" si="946"/>
        <v>0</v>
      </c>
      <c r="S607">
        <f t="shared" si="947"/>
        <v>0</v>
      </c>
      <c r="T607">
        <f t="shared" si="948"/>
        <v>0</v>
      </c>
    </row>
    <row r="608" spans="1:20" x14ac:dyDescent="0.25">
      <c r="A608" s="5"/>
      <c r="C608"/>
      <c r="D608"/>
      <c r="P608">
        <f t="shared" si="944"/>
        <v>0</v>
      </c>
      <c r="Q608">
        <f t="shared" si="945"/>
        <v>0</v>
      </c>
      <c r="R608">
        <f t="shared" si="946"/>
        <v>0</v>
      </c>
      <c r="S608">
        <f t="shared" si="947"/>
        <v>0</v>
      </c>
      <c r="T608">
        <f t="shared" si="948"/>
        <v>0</v>
      </c>
    </row>
    <row r="609" spans="1:20" x14ac:dyDescent="0.25">
      <c r="A609" s="5"/>
      <c r="C609"/>
      <c r="D609"/>
      <c r="P609">
        <f t="shared" si="944"/>
        <v>0</v>
      </c>
      <c r="Q609">
        <f t="shared" si="945"/>
        <v>0</v>
      </c>
      <c r="R609">
        <f t="shared" si="946"/>
        <v>0</v>
      </c>
      <c r="S609">
        <f t="shared" si="947"/>
        <v>0</v>
      </c>
      <c r="T609">
        <f t="shared" si="948"/>
        <v>0</v>
      </c>
    </row>
    <row r="610" spans="1:20" x14ac:dyDescent="0.25">
      <c r="A610" s="5"/>
      <c r="C610"/>
      <c r="D610"/>
      <c r="P610">
        <f t="shared" si="944"/>
        <v>0</v>
      </c>
      <c r="Q610">
        <f t="shared" si="945"/>
        <v>0</v>
      </c>
      <c r="R610">
        <f t="shared" si="946"/>
        <v>0</v>
      </c>
      <c r="S610">
        <f t="shared" si="947"/>
        <v>0</v>
      </c>
      <c r="T610">
        <f t="shared" si="948"/>
        <v>0</v>
      </c>
    </row>
    <row r="611" spans="1:20" x14ac:dyDescent="0.25">
      <c r="A611" s="5"/>
      <c r="C611"/>
      <c r="D611"/>
      <c r="P611">
        <f t="shared" si="944"/>
        <v>0</v>
      </c>
      <c r="Q611">
        <f t="shared" si="945"/>
        <v>0</v>
      </c>
      <c r="R611">
        <f t="shared" si="946"/>
        <v>0</v>
      </c>
      <c r="S611">
        <f t="shared" si="947"/>
        <v>0</v>
      </c>
      <c r="T611">
        <f t="shared" si="948"/>
        <v>0</v>
      </c>
    </row>
    <row r="612" spans="1:20" x14ac:dyDescent="0.25">
      <c r="A612" s="5"/>
      <c r="C612"/>
      <c r="D612"/>
      <c r="P612">
        <f t="shared" si="944"/>
        <v>0</v>
      </c>
      <c r="Q612">
        <f t="shared" si="945"/>
        <v>0</v>
      </c>
      <c r="R612">
        <f t="shared" si="946"/>
        <v>0</v>
      </c>
      <c r="S612">
        <f t="shared" si="947"/>
        <v>0</v>
      </c>
      <c r="T612">
        <f t="shared" si="948"/>
        <v>0</v>
      </c>
    </row>
    <row r="613" spans="1:20" x14ac:dyDescent="0.25">
      <c r="A613" s="5"/>
      <c r="C613"/>
      <c r="D613"/>
      <c r="P613">
        <f t="shared" si="944"/>
        <v>0</v>
      </c>
      <c r="Q613">
        <f t="shared" si="945"/>
        <v>0</v>
      </c>
      <c r="R613">
        <f t="shared" si="946"/>
        <v>0</v>
      </c>
      <c r="S613">
        <f t="shared" si="947"/>
        <v>0</v>
      </c>
      <c r="T613">
        <f t="shared" si="948"/>
        <v>0</v>
      </c>
    </row>
    <row r="614" spans="1:20" x14ac:dyDescent="0.25">
      <c r="A614" s="5"/>
      <c r="C614"/>
      <c r="D614"/>
      <c r="P614">
        <f t="shared" si="944"/>
        <v>0</v>
      </c>
      <c r="Q614">
        <f t="shared" si="945"/>
        <v>0</v>
      </c>
      <c r="R614">
        <f t="shared" si="946"/>
        <v>0</v>
      </c>
      <c r="S614">
        <f t="shared" si="947"/>
        <v>0</v>
      </c>
      <c r="T614">
        <f t="shared" si="948"/>
        <v>0</v>
      </c>
    </row>
    <row r="615" spans="1:20" x14ac:dyDescent="0.25">
      <c r="A615" s="5"/>
      <c r="C615"/>
      <c r="D615"/>
      <c r="P615">
        <f t="shared" si="944"/>
        <v>0</v>
      </c>
      <c r="Q615">
        <f t="shared" si="945"/>
        <v>0</v>
      </c>
      <c r="R615">
        <f t="shared" si="946"/>
        <v>0</v>
      </c>
      <c r="S615">
        <f t="shared" si="947"/>
        <v>0</v>
      </c>
      <c r="T615">
        <f t="shared" si="948"/>
        <v>0</v>
      </c>
    </row>
    <row r="616" spans="1:20" x14ac:dyDescent="0.25">
      <c r="A616" s="5"/>
      <c r="C616"/>
      <c r="D616"/>
      <c r="P616">
        <f t="shared" si="944"/>
        <v>0</v>
      </c>
      <c r="Q616">
        <f t="shared" si="945"/>
        <v>0</v>
      </c>
      <c r="R616">
        <f t="shared" si="946"/>
        <v>0</v>
      </c>
      <c r="S616">
        <f t="shared" si="947"/>
        <v>0</v>
      </c>
      <c r="T616">
        <f t="shared" si="948"/>
        <v>0</v>
      </c>
    </row>
    <row r="617" spans="1:20" x14ac:dyDescent="0.25">
      <c r="A617" s="5"/>
      <c r="C617"/>
      <c r="D617"/>
      <c r="P617">
        <f t="shared" si="944"/>
        <v>0</v>
      </c>
      <c r="Q617">
        <f t="shared" si="945"/>
        <v>0</v>
      </c>
      <c r="R617">
        <f t="shared" si="946"/>
        <v>0</v>
      </c>
      <c r="S617">
        <f t="shared" si="947"/>
        <v>0</v>
      </c>
      <c r="T617">
        <f t="shared" si="948"/>
        <v>0</v>
      </c>
    </row>
    <row r="618" spans="1:20" x14ac:dyDescent="0.25">
      <c r="A618" s="5"/>
      <c r="C618"/>
      <c r="D618"/>
      <c r="P618">
        <f t="shared" si="944"/>
        <v>0</v>
      </c>
      <c r="Q618">
        <f t="shared" si="945"/>
        <v>0</v>
      </c>
      <c r="R618">
        <f t="shared" si="946"/>
        <v>0</v>
      </c>
      <c r="S618">
        <f t="shared" si="947"/>
        <v>0</v>
      </c>
      <c r="T618">
        <f t="shared" si="948"/>
        <v>0</v>
      </c>
    </row>
    <row r="619" spans="1:20" x14ac:dyDescent="0.25">
      <c r="A619" s="5"/>
      <c r="C619"/>
      <c r="D619"/>
      <c r="P619">
        <f t="shared" si="944"/>
        <v>0</v>
      </c>
      <c r="Q619">
        <f t="shared" si="945"/>
        <v>0</v>
      </c>
      <c r="R619">
        <f t="shared" si="946"/>
        <v>0</v>
      </c>
      <c r="S619">
        <f t="shared" si="947"/>
        <v>0</v>
      </c>
      <c r="T619">
        <f t="shared" si="948"/>
        <v>0</v>
      </c>
    </row>
    <row r="620" spans="1:20" x14ac:dyDescent="0.25">
      <c r="A620" s="5"/>
      <c r="C620"/>
      <c r="D620"/>
      <c r="P620">
        <f t="shared" si="944"/>
        <v>0</v>
      </c>
      <c r="Q620">
        <f t="shared" si="945"/>
        <v>0</v>
      </c>
      <c r="R620">
        <f t="shared" si="946"/>
        <v>0</v>
      </c>
      <c r="S620">
        <f t="shared" si="947"/>
        <v>0</v>
      </c>
      <c r="T620">
        <f t="shared" si="948"/>
        <v>0</v>
      </c>
    </row>
    <row r="621" spans="1:20" x14ac:dyDescent="0.25">
      <c r="A621" s="5"/>
      <c r="C621"/>
      <c r="D621"/>
      <c r="P621">
        <f t="shared" si="944"/>
        <v>0</v>
      </c>
      <c r="Q621">
        <f t="shared" si="945"/>
        <v>0</v>
      </c>
      <c r="R621">
        <f t="shared" si="946"/>
        <v>0</v>
      </c>
      <c r="S621">
        <f t="shared" si="947"/>
        <v>0</v>
      </c>
      <c r="T621">
        <f t="shared" si="948"/>
        <v>0</v>
      </c>
    </row>
    <row r="622" spans="1:20" x14ac:dyDescent="0.25">
      <c r="A622" s="5"/>
      <c r="C622"/>
      <c r="D622"/>
      <c r="P622">
        <f t="shared" si="944"/>
        <v>0</v>
      </c>
      <c r="Q622">
        <f t="shared" si="945"/>
        <v>0</v>
      </c>
      <c r="R622">
        <f t="shared" si="946"/>
        <v>0</v>
      </c>
      <c r="S622">
        <f t="shared" si="947"/>
        <v>0</v>
      </c>
      <c r="T622">
        <f t="shared" si="948"/>
        <v>0</v>
      </c>
    </row>
    <row r="623" spans="1:20" x14ac:dyDescent="0.25">
      <c r="A623" s="5"/>
      <c r="C623"/>
      <c r="D623"/>
      <c r="P623">
        <f t="shared" si="944"/>
        <v>0</v>
      </c>
      <c r="Q623">
        <f t="shared" si="945"/>
        <v>0</v>
      </c>
      <c r="R623">
        <f t="shared" si="946"/>
        <v>0</v>
      </c>
      <c r="S623">
        <f t="shared" si="947"/>
        <v>0</v>
      </c>
      <c r="T623">
        <f t="shared" si="948"/>
        <v>0</v>
      </c>
    </row>
    <row r="624" spans="1:20" x14ac:dyDescent="0.25">
      <c r="A624" s="5"/>
      <c r="C624"/>
      <c r="D624"/>
      <c r="P624">
        <f t="shared" si="944"/>
        <v>0</v>
      </c>
      <c r="Q624">
        <f t="shared" si="945"/>
        <v>0</v>
      </c>
      <c r="R624">
        <f t="shared" si="946"/>
        <v>0</v>
      </c>
      <c r="S624">
        <f t="shared" si="947"/>
        <v>0</v>
      </c>
      <c r="T624">
        <f t="shared" si="948"/>
        <v>0</v>
      </c>
    </row>
    <row r="625" spans="1:20" x14ac:dyDescent="0.25">
      <c r="A625" s="5"/>
      <c r="C625"/>
      <c r="D625"/>
      <c r="P625">
        <f t="shared" si="944"/>
        <v>0</v>
      </c>
      <c r="Q625">
        <f t="shared" si="945"/>
        <v>0</v>
      </c>
      <c r="R625">
        <f t="shared" si="946"/>
        <v>0</v>
      </c>
      <c r="S625">
        <f t="shared" si="947"/>
        <v>0</v>
      </c>
      <c r="T625">
        <f t="shared" si="948"/>
        <v>0</v>
      </c>
    </row>
    <row r="626" spans="1:20" x14ac:dyDescent="0.25">
      <c r="A626" s="5"/>
      <c r="C626"/>
      <c r="D626"/>
      <c r="P626">
        <f t="shared" si="944"/>
        <v>0</v>
      </c>
      <c r="Q626">
        <f t="shared" si="945"/>
        <v>0</v>
      </c>
      <c r="R626">
        <f t="shared" si="946"/>
        <v>0</v>
      </c>
      <c r="S626">
        <f t="shared" si="947"/>
        <v>0</v>
      </c>
      <c r="T626">
        <f t="shared" si="948"/>
        <v>0</v>
      </c>
    </row>
    <row r="627" spans="1:20" x14ac:dyDescent="0.25">
      <c r="A627" s="5"/>
      <c r="C627"/>
      <c r="D627"/>
      <c r="P627">
        <f t="shared" si="944"/>
        <v>0</v>
      </c>
      <c r="Q627">
        <f t="shared" si="945"/>
        <v>0</v>
      </c>
      <c r="R627">
        <f t="shared" si="946"/>
        <v>0</v>
      </c>
      <c r="S627">
        <f t="shared" si="947"/>
        <v>0</v>
      </c>
      <c r="T627">
        <f t="shared" si="948"/>
        <v>0</v>
      </c>
    </row>
    <row r="628" spans="1:20" x14ac:dyDescent="0.25">
      <c r="A628" s="5"/>
      <c r="C628"/>
      <c r="D628"/>
      <c r="P628">
        <f t="shared" si="944"/>
        <v>0</v>
      </c>
      <c r="Q628">
        <f t="shared" si="945"/>
        <v>0</v>
      </c>
      <c r="R628">
        <f t="shared" si="946"/>
        <v>0</v>
      </c>
      <c r="S628">
        <f t="shared" si="947"/>
        <v>0</v>
      </c>
      <c r="T628">
        <f t="shared" si="948"/>
        <v>0</v>
      </c>
    </row>
    <row r="629" spans="1:20" x14ac:dyDescent="0.25">
      <c r="A629" s="5"/>
      <c r="C629"/>
      <c r="D629"/>
      <c r="P629">
        <f t="shared" si="944"/>
        <v>0</v>
      </c>
      <c r="Q629">
        <f t="shared" si="945"/>
        <v>0</v>
      </c>
      <c r="R629">
        <f t="shared" si="946"/>
        <v>0</v>
      </c>
      <c r="S629">
        <f t="shared" si="947"/>
        <v>0</v>
      </c>
      <c r="T629">
        <f t="shared" si="948"/>
        <v>0</v>
      </c>
    </row>
    <row r="630" spans="1:20" x14ac:dyDescent="0.25">
      <c r="A630" s="5"/>
      <c r="C630"/>
      <c r="D630"/>
      <c r="P630">
        <f t="shared" si="944"/>
        <v>0</v>
      </c>
      <c r="Q630">
        <f t="shared" si="945"/>
        <v>0</v>
      </c>
      <c r="R630">
        <f t="shared" si="946"/>
        <v>0</v>
      </c>
      <c r="S630">
        <f t="shared" si="947"/>
        <v>0</v>
      </c>
      <c r="T630">
        <f t="shared" si="948"/>
        <v>0</v>
      </c>
    </row>
    <row r="631" spans="1:20" x14ac:dyDescent="0.25">
      <c r="A631" s="5"/>
      <c r="C631"/>
      <c r="D631"/>
      <c r="P631">
        <f t="shared" si="944"/>
        <v>0</v>
      </c>
      <c r="Q631">
        <f t="shared" si="945"/>
        <v>0</v>
      </c>
      <c r="R631">
        <f t="shared" si="946"/>
        <v>0</v>
      </c>
      <c r="S631">
        <f t="shared" si="947"/>
        <v>0</v>
      </c>
      <c r="T631">
        <f t="shared" si="948"/>
        <v>0</v>
      </c>
    </row>
    <row r="632" spans="1:20" x14ac:dyDescent="0.25">
      <c r="A632" s="5"/>
      <c r="C632"/>
      <c r="D632"/>
      <c r="P632">
        <f t="shared" si="944"/>
        <v>0</v>
      </c>
      <c r="Q632">
        <f t="shared" si="945"/>
        <v>0</v>
      </c>
      <c r="R632">
        <f t="shared" si="946"/>
        <v>0</v>
      </c>
      <c r="S632">
        <f t="shared" si="947"/>
        <v>0</v>
      </c>
      <c r="T632">
        <f t="shared" si="948"/>
        <v>0</v>
      </c>
    </row>
    <row r="633" spans="1:20" x14ac:dyDescent="0.25">
      <c r="A633" s="5"/>
      <c r="C633"/>
      <c r="D633"/>
      <c r="P633">
        <f t="shared" si="944"/>
        <v>0</v>
      </c>
      <c r="Q633">
        <f t="shared" si="945"/>
        <v>0</v>
      </c>
      <c r="R633">
        <f t="shared" si="946"/>
        <v>0</v>
      </c>
      <c r="S633">
        <f t="shared" si="947"/>
        <v>0</v>
      </c>
      <c r="T633">
        <f t="shared" si="948"/>
        <v>0</v>
      </c>
    </row>
    <row r="634" spans="1:20" x14ac:dyDescent="0.25">
      <c r="A634" s="5"/>
      <c r="C634"/>
      <c r="D634"/>
      <c r="P634">
        <f t="shared" si="944"/>
        <v>0</v>
      </c>
      <c r="Q634">
        <f t="shared" si="945"/>
        <v>0</v>
      </c>
      <c r="R634">
        <f t="shared" si="946"/>
        <v>0</v>
      </c>
      <c r="S634">
        <f t="shared" si="947"/>
        <v>0</v>
      </c>
      <c r="T634">
        <f t="shared" si="948"/>
        <v>0</v>
      </c>
    </row>
    <row r="635" spans="1:20" x14ac:dyDescent="0.25">
      <c r="A635" s="5"/>
      <c r="C635"/>
      <c r="D635"/>
      <c r="P635">
        <f t="shared" si="944"/>
        <v>0</v>
      </c>
      <c r="Q635">
        <f t="shared" si="945"/>
        <v>0</v>
      </c>
      <c r="R635">
        <f t="shared" si="946"/>
        <v>0</v>
      </c>
      <c r="S635">
        <f t="shared" si="947"/>
        <v>0</v>
      </c>
      <c r="T635">
        <f t="shared" si="948"/>
        <v>0</v>
      </c>
    </row>
    <row r="636" spans="1:20" x14ac:dyDescent="0.25">
      <c r="A636" s="5"/>
      <c r="C636"/>
      <c r="D636"/>
      <c r="P636">
        <f t="shared" si="944"/>
        <v>0</v>
      </c>
      <c r="Q636">
        <f t="shared" si="945"/>
        <v>0</v>
      </c>
      <c r="R636">
        <f t="shared" si="946"/>
        <v>0</v>
      </c>
      <c r="S636">
        <f t="shared" si="947"/>
        <v>0</v>
      </c>
      <c r="T636">
        <f t="shared" si="948"/>
        <v>0</v>
      </c>
    </row>
    <row r="637" spans="1:20" x14ac:dyDescent="0.25">
      <c r="A637" s="5"/>
      <c r="C637"/>
      <c r="D637"/>
      <c r="P637">
        <f t="shared" ref="P637:P700" si="949">IF(C637=D637,0,((E637-D637)-(C637-E637))/(C637-D637))</f>
        <v>0</v>
      </c>
      <c r="Q637">
        <f t="shared" ref="Q637:Q700" si="950">F637*P637</f>
        <v>0</v>
      </c>
      <c r="R637">
        <f t="shared" ref="R637:R700" si="951">R638+Q637</f>
        <v>0</v>
      </c>
      <c r="S637">
        <f t="shared" ref="S637:S700" si="952">R637/100000</f>
        <v>0</v>
      </c>
      <c r="T637">
        <f t="shared" ref="T637:T700" si="953">S637/1000</f>
        <v>0</v>
      </c>
    </row>
    <row r="638" spans="1:20" x14ac:dyDescent="0.25">
      <c r="A638" s="5"/>
      <c r="C638"/>
      <c r="D638"/>
      <c r="P638">
        <f t="shared" si="949"/>
        <v>0</v>
      </c>
      <c r="Q638">
        <f t="shared" si="950"/>
        <v>0</v>
      </c>
      <c r="R638">
        <f t="shared" si="951"/>
        <v>0</v>
      </c>
      <c r="S638">
        <f t="shared" si="952"/>
        <v>0</v>
      </c>
      <c r="T638">
        <f t="shared" si="953"/>
        <v>0</v>
      </c>
    </row>
    <row r="639" spans="1:20" x14ac:dyDescent="0.25">
      <c r="A639" s="5"/>
      <c r="C639"/>
      <c r="D639"/>
      <c r="P639">
        <f t="shared" si="949"/>
        <v>0</v>
      </c>
      <c r="Q639">
        <f t="shared" si="950"/>
        <v>0</v>
      </c>
      <c r="R639">
        <f t="shared" si="951"/>
        <v>0</v>
      </c>
      <c r="S639">
        <f t="shared" si="952"/>
        <v>0</v>
      </c>
      <c r="T639">
        <f t="shared" si="953"/>
        <v>0</v>
      </c>
    </row>
    <row r="640" spans="1:20" x14ac:dyDescent="0.25">
      <c r="A640" s="5"/>
      <c r="C640"/>
      <c r="D640"/>
      <c r="P640">
        <f t="shared" si="949"/>
        <v>0</v>
      </c>
      <c r="Q640">
        <f t="shared" si="950"/>
        <v>0</v>
      </c>
      <c r="R640">
        <f t="shared" si="951"/>
        <v>0</v>
      </c>
      <c r="S640">
        <f t="shared" si="952"/>
        <v>0</v>
      </c>
      <c r="T640">
        <f t="shared" si="953"/>
        <v>0</v>
      </c>
    </row>
    <row r="641" spans="1:20" x14ac:dyDescent="0.25">
      <c r="A641" s="5"/>
      <c r="C641"/>
      <c r="D641"/>
      <c r="P641">
        <f t="shared" si="949"/>
        <v>0</v>
      </c>
      <c r="Q641">
        <f t="shared" si="950"/>
        <v>0</v>
      </c>
      <c r="R641">
        <f t="shared" si="951"/>
        <v>0</v>
      </c>
      <c r="S641">
        <f t="shared" si="952"/>
        <v>0</v>
      </c>
      <c r="T641">
        <f t="shared" si="953"/>
        <v>0</v>
      </c>
    </row>
    <row r="642" spans="1:20" x14ac:dyDescent="0.25">
      <c r="A642" s="5"/>
      <c r="C642"/>
      <c r="D642"/>
      <c r="P642">
        <f t="shared" si="949"/>
        <v>0</v>
      </c>
      <c r="Q642">
        <f t="shared" si="950"/>
        <v>0</v>
      </c>
      <c r="R642">
        <f t="shared" si="951"/>
        <v>0</v>
      </c>
      <c r="S642">
        <f t="shared" si="952"/>
        <v>0</v>
      </c>
      <c r="T642">
        <f t="shared" si="953"/>
        <v>0</v>
      </c>
    </row>
    <row r="643" spans="1:20" x14ac:dyDescent="0.25">
      <c r="A643" s="5"/>
      <c r="C643"/>
      <c r="D643"/>
      <c r="P643">
        <f t="shared" si="949"/>
        <v>0</v>
      </c>
      <c r="Q643">
        <f t="shared" si="950"/>
        <v>0</v>
      </c>
      <c r="R643">
        <f t="shared" si="951"/>
        <v>0</v>
      </c>
      <c r="S643">
        <f t="shared" si="952"/>
        <v>0</v>
      </c>
      <c r="T643">
        <f t="shared" si="953"/>
        <v>0</v>
      </c>
    </row>
    <row r="644" spans="1:20" x14ac:dyDescent="0.25">
      <c r="A644" s="5"/>
      <c r="C644"/>
      <c r="D644"/>
      <c r="P644">
        <f t="shared" si="949"/>
        <v>0</v>
      </c>
      <c r="Q644">
        <f t="shared" si="950"/>
        <v>0</v>
      </c>
      <c r="R644">
        <f t="shared" si="951"/>
        <v>0</v>
      </c>
      <c r="S644">
        <f t="shared" si="952"/>
        <v>0</v>
      </c>
      <c r="T644">
        <f t="shared" si="953"/>
        <v>0</v>
      </c>
    </row>
    <row r="645" spans="1:20" x14ac:dyDescent="0.25">
      <c r="A645" s="5"/>
      <c r="C645"/>
      <c r="D645"/>
      <c r="P645">
        <f t="shared" si="949"/>
        <v>0</v>
      </c>
      <c r="Q645">
        <f t="shared" si="950"/>
        <v>0</v>
      </c>
      <c r="R645">
        <f t="shared" si="951"/>
        <v>0</v>
      </c>
      <c r="S645">
        <f t="shared" si="952"/>
        <v>0</v>
      </c>
      <c r="T645">
        <f t="shared" si="953"/>
        <v>0</v>
      </c>
    </row>
    <row r="646" spans="1:20" x14ac:dyDescent="0.25">
      <c r="A646" s="5"/>
      <c r="C646"/>
      <c r="D646"/>
      <c r="P646">
        <f t="shared" si="949"/>
        <v>0</v>
      </c>
      <c r="Q646">
        <f t="shared" si="950"/>
        <v>0</v>
      </c>
      <c r="R646">
        <f t="shared" si="951"/>
        <v>0</v>
      </c>
      <c r="S646">
        <f t="shared" si="952"/>
        <v>0</v>
      </c>
      <c r="T646">
        <f t="shared" si="953"/>
        <v>0</v>
      </c>
    </row>
    <row r="647" spans="1:20" x14ac:dyDescent="0.25">
      <c r="A647" s="5"/>
      <c r="C647"/>
      <c r="D647"/>
      <c r="P647">
        <f t="shared" si="949"/>
        <v>0</v>
      </c>
      <c r="Q647">
        <f t="shared" si="950"/>
        <v>0</v>
      </c>
      <c r="R647">
        <f t="shared" si="951"/>
        <v>0</v>
      </c>
      <c r="S647">
        <f t="shared" si="952"/>
        <v>0</v>
      </c>
      <c r="T647">
        <f t="shared" si="953"/>
        <v>0</v>
      </c>
    </row>
    <row r="648" spans="1:20" x14ac:dyDescent="0.25">
      <c r="A648" s="5"/>
      <c r="C648"/>
      <c r="D648"/>
      <c r="P648">
        <f t="shared" si="949"/>
        <v>0</v>
      </c>
      <c r="Q648">
        <f t="shared" si="950"/>
        <v>0</v>
      </c>
      <c r="R648">
        <f t="shared" si="951"/>
        <v>0</v>
      </c>
      <c r="S648">
        <f t="shared" si="952"/>
        <v>0</v>
      </c>
      <c r="T648">
        <f t="shared" si="953"/>
        <v>0</v>
      </c>
    </row>
    <row r="649" spans="1:20" x14ac:dyDescent="0.25">
      <c r="A649" s="5"/>
      <c r="C649"/>
      <c r="D649"/>
      <c r="P649">
        <f t="shared" si="949"/>
        <v>0</v>
      </c>
      <c r="Q649">
        <f t="shared" si="950"/>
        <v>0</v>
      </c>
      <c r="R649">
        <f t="shared" si="951"/>
        <v>0</v>
      </c>
      <c r="S649">
        <f t="shared" si="952"/>
        <v>0</v>
      </c>
      <c r="T649">
        <f t="shared" si="953"/>
        <v>0</v>
      </c>
    </row>
    <row r="650" spans="1:20" x14ac:dyDescent="0.25">
      <c r="A650" s="5"/>
      <c r="C650"/>
      <c r="D650"/>
      <c r="P650">
        <f t="shared" si="949"/>
        <v>0</v>
      </c>
      <c r="Q650">
        <f t="shared" si="950"/>
        <v>0</v>
      </c>
      <c r="R650">
        <f t="shared" si="951"/>
        <v>0</v>
      </c>
      <c r="S650">
        <f t="shared" si="952"/>
        <v>0</v>
      </c>
      <c r="T650">
        <f t="shared" si="953"/>
        <v>0</v>
      </c>
    </row>
    <row r="651" spans="1:20" x14ac:dyDescent="0.25">
      <c r="A651" s="5"/>
      <c r="C651"/>
      <c r="D651"/>
      <c r="P651">
        <f t="shared" si="949"/>
        <v>0</v>
      </c>
      <c r="Q651">
        <f t="shared" si="950"/>
        <v>0</v>
      </c>
      <c r="R651">
        <f t="shared" si="951"/>
        <v>0</v>
      </c>
      <c r="S651">
        <f t="shared" si="952"/>
        <v>0</v>
      </c>
      <c r="T651">
        <f t="shared" si="953"/>
        <v>0</v>
      </c>
    </row>
    <row r="652" spans="1:20" x14ac:dyDescent="0.25">
      <c r="A652" s="5"/>
      <c r="P652">
        <f t="shared" si="949"/>
        <v>0</v>
      </c>
      <c r="Q652">
        <f t="shared" si="950"/>
        <v>0</v>
      </c>
      <c r="R652">
        <f t="shared" si="951"/>
        <v>0</v>
      </c>
      <c r="S652">
        <f t="shared" si="952"/>
        <v>0</v>
      </c>
      <c r="T652">
        <f t="shared" si="953"/>
        <v>0</v>
      </c>
    </row>
    <row r="653" spans="1:20" x14ac:dyDescent="0.25">
      <c r="A653" s="5"/>
      <c r="P653">
        <f t="shared" si="949"/>
        <v>0</v>
      </c>
      <c r="Q653">
        <f t="shared" si="950"/>
        <v>0</v>
      </c>
      <c r="R653">
        <f t="shared" si="951"/>
        <v>0</v>
      </c>
      <c r="S653">
        <f t="shared" si="952"/>
        <v>0</v>
      </c>
      <c r="T653">
        <f t="shared" si="953"/>
        <v>0</v>
      </c>
    </row>
    <row r="654" spans="1:20" x14ac:dyDescent="0.25">
      <c r="A654" s="5"/>
      <c r="P654">
        <f t="shared" si="949"/>
        <v>0</v>
      </c>
      <c r="Q654">
        <f t="shared" si="950"/>
        <v>0</v>
      </c>
      <c r="R654">
        <f t="shared" si="951"/>
        <v>0</v>
      </c>
      <c r="S654">
        <f t="shared" si="952"/>
        <v>0</v>
      </c>
      <c r="T654">
        <f t="shared" si="953"/>
        <v>0</v>
      </c>
    </row>
    <row r="655" spans="1:20" x14ac:dyDescent="0.25">
      <c r="A655" s="5"/>
      <c r="C655" s="4"/>
      <c r="D655" s="4"/>
      <c r="P655">
        <f t="shared" si="949"/>
        <v>0</v>
      </c>
      <c r="Q655">
        <f t="shared" si="950"/>
        <v>0</v>
      </c>
      <c r="R655">
        <f t="shared" si="951"/>
        <v>0</v>
      </c>
      <c r="S655">
        <f t="shared" si="952"/>
        <v>0</v>
      </c>
      <c r="T655">
        <f t="shared" si="953"/>
        <v>0</v>
      </c>
    </row>
    <row r="656" spans="1:20" x14ac:dyDescent="0.25">
      <c r="A656" s="5"/>
      <c r="C656" s="4"/>
      <c r="D656" s="4"/>
      <c r="P656">
        <f t="shared" si="949"/>
        <v>0</v>
      </c>
      <c r="Q656">
        <f t="shared" si="950"/>
        <v>0</v>
      </c>
      <c r="R656">
        <f t="shared" si="951"/>
        <v>0</v>
      </c>
      <c r="S656">
        <f t="shared" si="952"/>
        <v>0</v>
      </c>
      <c r="T656">
        <f t="shared" si="953"/>
        <v>0</v>
      </c>
    </row>
    <row r="657" spans="1:20" x14ac:dyDescent="0.25">
      <c r="A657" s="5"/>
      <c r="C657" s="4"/>
      <c r="D657" s="4"/>
      <c r="P657">
        <f t="shared" si="949"/>
        <v>0</v>
      </c>
      <c r="Q657">
        <f t="shared" si="950"/>
        <v>0</v>
      </c>
      <c r="R657">
        <f t="shared" si="951"/>
        <v>0</v>
      </c>
      <c r="S657">
        <f t="shared" si="952"/>
        <v>0</v>
      </c>
      <c r="T657">
        <f t="shared" si="953"/>
        <v>0</v>
      </c>
    </row>
    <row r="658" spans="1:20" x14ac:dyDescent="0.25">
      <c r="A658" s="5"/>
      <c r="C658" s="4"/>
      <c r="D658" s="4"/>
      <c r="P658">
        <f t="shared" si="949"/>
        <v>0</v>
      </c>
      <c r="Q658">
        <f t="shared" si="950"/>
        <v>0</v>
      </c>
      <c r="R658">
        <f t="shared" si="951"/>
        <v>0</v>
      </c>
      <c r="S658">
        <f t="shared" si="952"/>
        <v>0</v>
      </c>
      <c r="T658">
        <f t="shared" si="953"/>
        <v>0</v>
      </c>
    </row>
    <row r="659" spans="1:20" x14ac:dyDescent="0.25">
      <c r="A659" s="5"/>
      <c r="C659" s="4"/>
      <c r="D659" s="4"/>
      <c r="P659">
        <f t="shared" si="949"/>
        <v>0</v>
      </c>
      <c r="Q659">
        <f t="shared" si="950"/>
        <v>0</v>
      </c>
      <c r="R659">
        <f t="shared" si="951"/>
        <v>0</v>
      </c>
      <c r="S659">
        <f t="shared" si="952"/>
        <v>0</v>
      </c>
      <c r="T659">
        <f t="shared" si="953"/>
        <v>0</v>
      </c>
    </row>
    <row r="660" spans="1:20" x14ac:dyDescent="0.25">
      <c r="A660" s="5"/>
      <c r="C660" s="4"/>
      <c r="D660" s="4"/>
      <c r="P660">
        <f t="shared" si="949"/>
        <v>0</v>
      </c>
      <c r="Q660">
        <f t="shared" si="950"/>
        <v>0</v>
      </c>
      <c r="R660">
        <f t="shared" si="951"/>
        <v>0</v>
      </c>
      <c r="S660">
        <f t="shared" si="952"/>
        <v>0</v>
      </c>
      <c r="T660">
        <f t="shared" si="953"/>
        <v>0</v>
      </c>
    </row>
    <row r="661" spans="1:20" x14ac:dyDescent="0.25">
      <c r="A661" s="5"/>
      <c r="C661" s="4"/>
      <c r="D661" s="4"/>
      <c r="P661">
        <f t="shared" si="949"/>
        <v>0</v>
      </c>
      <c r="Q661">
        <f t="shared" si="950"/>
        <v>0</v>
      </c>
      <c r="R661">
        <f t="shared" si="951"/>
        <v>0</v>
      </c>
      <c r="S661">
        <f t="shared" si="952"/>
        <v>0</v>
      </c>
      <c r="T661">
        <f t="shared" si="953"/>
        <v>0</v>
      </c>
    </row>
    <row r="662" spans="1:20" x14ac:dyDescent="0.25">
      <c r="A662" s="5"/>
      <c r="C662" s="4"/>
      <c r="D662" s="4"/>
      <c r="P662">
        <f t="shared" si="949"/>
        <v>0</v>
      </c>
      <c r="Q662">
        <f t="shared" si="950"/>
        <v>0</v>
      </c>
      <c r="R662">
        <f t="shared" si="951"/>
        <v>0</v>
      </c>
      <c r="S662">
        <f t="shared" si="952"/>
        <v>0</v>
      </c>
      <c r="T662">
        <f t="shared" si="953"/>
        <v>0</v>
      </c>
    </row>
    <row r="663" spans="1:20" x14ac:dyDescent="0.25">
      <c r="A663" s="5"/>
      <c r="C663" s="4"/>
      <c r="D663" s="4"/>
      <c r="P663">
        <f t="shared" si="949"/>
        <v>0</v>
      </c>
      <c r="Q663">
        <f t="shared" si="950"/>
        <v>0</v>
      </c>
      <c r="R663">
        <f t="shared" si="951"/>
        <v>0</v>
      </c>
      <c r="S663">
        <f t="shared" si="952"/>
        <v>0</v>
      </c>
      <c r="T663">
        <f t="shared" si="953"/>
        <v>0</v>
      </c>
    </row>
    <row r="664" spans="1:20" x14ac:dyDescent="0.25">
      <c r="A664" s="5"/>
      <c r="C664" s="4"/>
      <c r="D664" s="4"/>
      <c r="P664">
        <f t="shared" si="949"/>
        <v>0</v>
      </c>
      <c r="Q664">
        <f t="shared" si="950"/>
        <v>0</v>
      </c>
      <c r="R664">
        <f t="shared" si="951"/>
        <v>0</v>
      </c>
      <c r="S664">
        <f t="shared" si="952"/>
        <v>0</v>
      </c>
      <c r="T664">
        <f t="shared" si="953"/>
        <v>0</v>
      </c>
    </row>
    <row r="665" spans="1:20" x14ac:dyDescent="0.25">
      <c r="A665" s="5"/>
      <c r="C665" s="4"/>
      <c r="D665" s="4"/>
      <c r="P665">
        <f t="shared" si="949"/>
        <v>0</v>
      </c>
      <c r="Q665">
        <f t="shared" si="950"/>
        <v>0</v>
      </c>
      <c r="R665">
        <f t="shared" si="951"/>
        <v>0</v>
      </c>
      <c r="S665">
        <f t="shared" si="952"/>
        <v>0</v>
      </c>
      <c r="T665">
        <f t="shared" si="953"/>
        <v>0</v>
      </c>
    </row>
    <row r="666" spans="1:20" x14ac:dyDescent="0.25">
      <c r="A666" s="5"/>
      <c r="C666" s="4"/>
      <c r="D666" s="4"/>
      <c r="P666">
        <f t="shared" si="949"/>
        <v>0</v>
      </c>
      <c r="Q666">
        <f t="shared" si="950"/>
        <v>0</v>
      </c>
      <c r="R666">
        <f t="shared" si="951"/>
        <v>0</v>
      </c>
      <c r="S666">
        <f t="shared" si="952"/>
        <v>0</v>
      </c>
      <c r="T666">
        <f t="shared" si="953"/>
        <v>0</v>
      </c>
    </row>
    <row r="667" spans="1:20" x14ac:dyDescent="0.25">
      <c r="A667" s="5"/>
      <c r="C667" s="4"/>
      <c r="D667" s="4"/>
      <c r="P667">
        <f t="shared" si="949"/>
        <v>0</v>
      </c>
      <c r="Q667">
        <f t="shared" si="950"/>
        <v>0</v>
      </c>
      <c r="R667">
        <f t="shared" si="951"/>
        <v>0</v>
      </c>
      <c r="S667">
        <f t="shared" si="952"/>
        <v>0</v>
      </c>
      <c r="T667">
        <f t="shared" si="953"/>
        <v>0</v>
      </c>
    </row>
    <row r="668" spans="1:20" x14ac:dyDescent="0.25">
      <c r="A668" s="5"/>
      <c r="C668" s="4"/>
      <c r="D668" s="4"/>
      <c r="P668">
        <f t="shared" si="949"/>
        <v>0</v>
      </c>
      <c r="Q668">
        <f t="shared" si="950"/>
        <v>0</v>
      </c>
      <c r="R668">
        <f t="shared" si="951"/>
        <v>0</v>
      </c>
      <c r="S668">
        <f t="shared" si="952"/>
        <v>0</v>
      </c>
      <c r="T668">
        <f t="shared" si="953"/>
        <v>0</v>
      </c>
    </row>
    <row r="669" spans="1:20" x14ac:dyDescent="0.25">
      <c r="A669" s="5"/>
      <c r="C669" s="4"/>
      <c r="D669" s="4"/>
      <c r="P669">
        <f t="shared" si="949"/>
        <v>0</v>
      </c>
      <c r="Q669">
        <f t="shared" si="950"/>
        <v>0</v>
      </c>
      <c r="R669">
        <f t="shared" si="951"/>
        <v>0</v>
      </c>
      <c r="S669">
        <f t="shared" si="952"/>
        <v>0</v>
      </c>
      <c r="T669">
        <f t="shared" si="953"/>
        <v>0</v>
      </c>
    </row>
    <row r="670" spans="1:20" x14ac:dyDescent="0.25">
      <c r="A670" s="5"/>
      <c r="C670" s="4"/>
      <c r="D670" s="4"/>
      <c r="P670">
        <f t="shared" si="949"/>
        <v>0</v>
      </c>
      <c r="Q670">
        <f t="shared" si="950"/>
        <v>0</v>
      </c>
      <c r="R670">
        <f t="shared" si="951"/>
        <v>0</v>
      </c>
      <c r="S670">
        <f t="shared" si="952"/>
        <v>0</v>
      </c>
      <c r="T670">
        <f t="shared" si="953"/>
        <v>0</v>
      </c>
    </row>
    <row r="671" spans="1:20" x14ac:dyDescent="0.25">
      <c r="A671" s="5"/>
      <c r="C671" s="4"/>
      <c r="D671" s="4"/>
      <c r="P671">
        <f t="shared" si="949"/>
        <v>0</v>
      </c>
      <c r="Q671">
        <f t="shared" si="950"/>
        <v>0</v>
      </c>
      <c r="R671">
        <f t="shared" si="951"/>
        <v>0</v>
      </c>
      <c r="S671">
        <f t="shared" si="952"/>
        <v>0</v>
      </c>
      <c r="T671">
        <f t="shared" si="953"/>
        <v>0</v>
      </c>
    </row>
    <row r="672" spans="1:20" x14ac:dyDescent="0.25">
      <c r="A672" s="5"/>
      <c r="C672" s="4"/>
      <c r="D672" s="4"/>
      <c r="P672">
        <f t="shared" si="949"/>
        <v>0</v>
      </c>
      <c r="Q672">
        <f t="shared" si="950"/>
        <v>0</v>
      </c>
      <c r="R672">
        <f t="shared" si="951"/>
        <v>0</v>
      </c>
      <c r="S672">
        <f t="shared" si="952"/>
        <v>0</v>
      </c>
      <c r="T672">
        <f t="shared" si="953"/>
        <v>0</v>
      </c>
    </row>
    <row r="673" spans="1:20" x14ac:dyDescent="0.25">
      <c r="A673" s="5"/>
      <c r="C673" s="4"/>
      <c r="D673" s="4"/>
      <c r="P673">
        <f t="shared" si="949"/>
        <v>0</v>
      </c>
      <c r="Q673">
        <f t="shared" si="950"/>
        <v>0</v>
      </c>
      <c r="R673">
        <f t="shared" si="951"/>
        <v>0</v>
      </c>
      <c r="S673">
        <f t="shared" si="952"/>
        <v>0</v>
      </c>
      <c r="T673">
        <f t="shared" si="953"/>
        <v>0</v>
      </c>
    </row>
    <row r="674" spans="1:20" x14ac:dyDescent="0.25">
      <c r="A674" s="5"/>
      <c r="C674" s="4"/>
      <c r="D674" s="4"/>
      <c r="P674">
        <f t="shared" si="949"/>
        <v>0</v>
      </c>
      <c r="Q674">
        <f t="shared" si="950"/>
        <v>0</v>
      </c>
      <c r="R674">
        <f t="shared" si="951"/>
        <v>0</v>
      </c>
      <c r="S674">
        <f t="shared" si="952"/>
        <v>0</v>
      </c>
      <c r="T674">
        <f t="shared" si="953"/>
        <v>0</v>
      </c>
    </row>
    <row r="675" spans="1:20" x14ac:dyDescent="0.25">
      <c r="A675" s="5"/>
      <c r="C675" s="4"/>
      <c r="D675" s="4"/>
      <c r="P675">
        <f t="shared" si="949"/>
        <v>0</v>
      </c>
      <c r="Q675">
        <f t="shared" si="950"/>
        <v>0</v>
      </c>
      <c r="R675">
        <f t="shared" si="951"/>
        <v>0</v>
      </c>
      <c r="S675">
        <f t="shared" si="952"/>
        <v>0</v>
      </c>
      <c r="T675">
        <f t="shared" si="953"/>
        <v>0</v>
      </c>
    </row>
    <row r="676" spans="1:20" x14ac:dyDescent="0.25">
      <c r="A676" s="5"/>
      <c r="C676" s="4"/>
      <c r="D676" s="4"/>
      <c r="P676">
        <f t="shared" si="949"/>
        <v>0</v>
      </c>
      <c r="Q676">
        <f t="shared" si="950"/>
        <v>0</v>
      </c>
      <c r="R676">
        <f t="shared" si="951"/>
        <v>0</v>
      </c>
      <c r="S676">
        <f t="shared" si="952"/>
        <v>0</v>
      </c>
      <c r="T676">
        <f t="shared" si="953"/>
        <v>0</v>
      </c>
    </row>
    <row r="677" spans="1:20" x14ac:dyDescent="0.25">
      <c r="A677" s="5"/>
      <c r="C677" s="4"/>
      <c r="D677" s="4"/>
      <c r="P677">
        <f t="shared" si="949"/>
        <v>0</v>
      </c>
      <c r="Q677">
        <f t="shared" si="950"/>
        <v>0</v>
      </c>
      <c r="R677">
        <f t="shared" si="951"/>
        <v>0</v>
      </c>
      <c r="S677">
        <f t="shared" si="952"/>
        <v>0</v>
      </c>
      <c r="T677">
        <f t="shared" si="953"/>
        <v>0</v>
      </c>
    </row>
    <row r="678" spans="1:20" x14ac:dyDescent="0.25">
      <c r="A678" s="5"/>
      <c r="C678" s="4"/>
      <c r="D678" s="4"/>
      <c r="P678">
        <f t="shared" si="949"/>
        <v>0</v>
      </c>
      <c r="Q678">
        <f t="shared" si="950"/>
        <v>0</v>
      </c>
      <c r="R678">
        <f t="shared" si="951"/>
        <v>0</v>
      </c>
      <c r="S678">
        <f t="shared" si="952"/>
        <v>0</v>
      </c>
      <c r="T678">
        <f t="shared" si="953"/>
        <v>0</v>
      </c>
    </row>
    <row r="679" spans="1:20" x14ac:dyDescent="0.25">
      <c r="A679" s="5"/>
      <c r="C679" s="4"/>
      <c r="D679" s="4"/>
      <c r="P679">
        <f t="shared" si="949"/>
        <v>0</v>
      </c>
      <c r="Q679">
        <f t="shared" si="950"/>
        <v>0</v>
      </c>
      <c r="R679">
        <f t="shared" si="951"/>
        <v>0</v>
      </c>
      <c r="S679">
        <f t="shared" si="952"/>
        <v>0</v>
      </c>
      <c r="T679">
        <f t="shared" si="953"/>
        <v>0</v>
      </c>
    </row>
    <row r="680" spans="1:20" x14ac:dyDescent="0.25">
      <c r="A680" s="5"/>
      <c r="C680" s="4"/>
      <c r="D680" s="4"/>
      <c r="P680">
        <f t="shared" si="949"/>
        <v>0</v>
      </c>
      <c r="Q680">
        <f t="shared" si="950"/>
        <v>0</v>
      </c>
      <c r="R680">
        <f t="shared" si="951"/>
        <v>0</v>
      </c>
      <c r="S680">
        <f t="shared" si="952"/>
        <v>0</v>
      </c>
      <c r="T680">
        <f t="shared" si="953"/>
        <v>0</v>
      </c>
    </row>
    <row r="681" spans="1:20" x14ac:dyDescent="0.25">
      <c r="A681" s="5"/>
      <c r="C681" s="4"/>
      <c r="D681" s="4"/>
      <c r="P681">
        <f t="shared" si="949"/>
        <v>0</v>
      </c>
      <c r="Q681">
        <f t="shared" si="950"/>
        <v>0</v>
      </c>
      <c r="R681">
        <f t="shared" si="951"/>
        <v>0</v>
      </c>
      <c r="S681">
        <f t="shared" si="952"/>
        <v>0</v>
      </c>
      <c r="T681">
        <f t="shared" si="953"/>
        <v>0</v>
      </c>
    </row>
    <row r="682" spans="1:20" x14ac:dyDescent="0.25">
      <c r="A682" s="5"/>
      <c r="C682" s="4"/>
      <c r="D682" s="4"/>
      <c r="P682">
        <f t="shared" si="949"/>
        <v>0</v>
      </c>
      <c r="Q682">
        <f t="shared" si="950"/>
        <v>0</v>
      </c>
      <c r="R682">
        <f t="shared" si="951"/>
        <v>0</v>
      </c>
      <c r="S682">
        <f t="shared" si="952"/>
        <v>0</v>
      </c>
      <c r="T682">
        <f t="shared" si="953"/>
        <v>0</v>
      </c>
    </row>
    <row r="683" spans="1:20" x14ac:dyDescent="0.25">
      <c r="A683" s="5"/>
      <c r="C683" s="4"/>
      <c r="D683" s="4"/>
      <c r="P683">
        <f t="shared" si="949"/>
        <v>0</v>
      </c>
      <c r="Q683">
        <f t="shared" si="950"/>
        <v>0</v>
      </c>
      <c r="R683">
        <f t="shared" si="951"/>
        <v>0</v>
      </c>
      <c r="S683">
        <f t="shared" si="952"/>
        <v>0</v>
      </c>
      <c r="T683">
        <f t="shared" si="953"/>
        <v>0</v>
      </c>
    </row>
    <row r="684" spans="1:20" x14ac:dyDescent="0.25">
      <c r="A684" s="5"/>
      <c r="C684" s="4"/>
      <c r="D684" s="4"/>
      <c r="P684">
        <f t="shared" si="949"/>
        <v>0</v>
      </c>
      <c r="Q684">
        <f t="shared" si="950"/>
        <v>0</v>
      </c>
      <c r="R684">
        <f t="shared" si="951"/>
        <v>0</v>
      </c>
      <c r="S684">
        <f t="shared" si="952"/>
        <v>0</v>
      </c>
      <c r="T684">
        <f t="shared" si="953"/>
        <v>0</v>
      </c>
    </row>
    <row r="685" spans="1:20" x14ac:dyDescent="0.25">
      <c r="A685" s="5"/>
      <c r="C685" s="4"/>
      <c r="D685" s="4"/>
      <c r="P685">
        <f t="shared" si="949"/>
        <v>0</v>
      </c>
      <c r="Q685">
        <f t="shared" si="950"/>
        <v>0</v>
      </c>
      <c r="R685">
        <f t="shared" si="951"/>
        <v>0</v>
      </c>
      <c r="S685">
        <f t="shared" si="952"/>
        <v>0</v>
      </c>
      <c r="T685">
        <f t="shared" si="953"/>
        <v>0</v>
      </c>
    </row>
    <row r="686" spans="1:20" x14ac:dyDescent="0.25">
      <c r="A686" s="5"/>
      <c r="C686" s="4"/>
      <c r="D686" s="4"/>
      <c r="P686">
        <f t="shared" si="949"/>
        <v>0</v>
      </c>
      <c r="Q686">
        <f t="shared" si="950"/>
        <v>0</v>
      </c>
      <c r="R686">
        <f t="shared" si="951"/>
        <v>0</v>
      </c>
      <c r="S686">
        <f t="shared" si="952"/>
        <v>0</v>
      </c>
      <c r="T686">
        <f t="shared" si="953"/>
        <v>0</v>
      </c>
    </row>
    <row r="687" spans="1:20" x14ac:dyDescent="0.25">
      <c r="A687" s="5"/>
      <c r="C687" s="4"/>
      <c r="D687" s="4"/>
      <c r="P687">
        <f t="shared" si="949"/>
        <v>0</v>
      </c>
      <c r="Q687">
        <f t="shared" si="950"/>
        <v>0</v>
      </c>
      <c r="R687">
        <f t="shared" si="951"/>
        <v>0</v>
      </c>
      <c r="S687">
        <f t="shared" si="952"/>
        <v>0</v>
      </c>
      <c r="T687">
        <f t="shared" si="953"/>
        <v>0</v>
      </c>
    </row>
    <row r="688" spans="1:20" x14ac:dyDescent="0.25">
      <c r="A688" s="5"/>
      <c r="C688" s="4"/>
      <c r="D688" s="4"/>
      <c r="P688">
        <f t="shared" si="949"/>
        <v>0</v>
      </c>
      <c r="Q688">
        <f t="shared" si="950"/>
        <v>0</v>
      </c>
      <c r="R688">
        <f t="shared" si="951"/>
        <v>0</v>
      </c>
      <c r="S688">
        <f t="shared" si="952"/>
        <v>0</v>
      </c>
      <c r="T688">
        <f t="shared" si="953"/>
        <v>0</v>
      </c>
    </row>
    <row r="689" spans="1:20" x14ac:dyDescent="0.25">
      <c r="A689" s="5"/>
      <c r="C689" s="4"/>
      <c r="D689" s="4"/>
      <c r="P689">
        <f t="shared" si="949"/>
        <v>0</v>
      </c>
      <c r="Q689">
        <f t="shared" si="950"/>
        <v>0</v>
      </c>
      <c r="R689">
        <f t="shared" si="951"/>
        <v>0</v>
      </c>
      <c r="S689">
        <f t="shared" si="952"/>
        <v>0</v>
      </c>
      <c r="T689">
        <f t="shared" si="953"/>
        <v>0</v>
      </c>
    </row>
    <row r="690" spans="1:20" x14ac:dyDescent="0.25">
      <c r="A690" s="5"/>
      <c r="C690" s="4"/>
      <c r="D690" s="4"/>
      <c r="P690">
        <f t="shared" si="949"/>
        <v>0</v>
      </c>
      <c r="Q690">
        <f t="shared" si="950"/>
        <v>0</v>
      </c>
      <c r="R690">
        <f t="shared" si="951"/>
        <v>0</v>
      </c>
      <c r="S690">
        <f t="shared" si="952"/>
        <v>0</v>
      </c>
      <c r="T690">
        <f t="shared" si="953"/>
        <v>0</v>
      </c>
    </row>
    <row r="691" spans="1:20" x14ac:dyDescent="0.25">
      <c r="A691" s="5"/>
      <c r="C691" s="4"/>
      <c r="D691" s="4"/>
      <c r="P691">
        <f t="shared" si="949"/>
        <v>0</v>
      </c>
      <c r="Q691">
        <f t="shared" si="950"/>
        <v>0</v>
      </c>
      <c r="R691">
        <f t="shared" si="951"/>
        <v>0</v>
      </c>
      <c r="S691">
        <f t="shared" si="952"/>
        <v>0</v>
      </c>
      <c r="T691">
        <f t="shared" si="953"/>
        <v>0</v>
      </c>
    </row>
    <row r="692" spans="1:20" x14ac:dyDescent="0.25">
      <c r="A692" s="5"/>
      <c r="C692" s="4"/>
      <c r="D692" s="4"/>
      <c r="P692">
        <f t="shared" si="949"/>
        <v>0</v>
      </c>
      <c r="Q692">
        <f t="shared" si="950"/>
        <v>0</v>
      </c>
      <c r="R692">
        <f t="shared" si="951"/>
        <v>0</v>
      </c>
      <c r="S692">
        <f t="shared" si="952"/>
        <v>0</v>
      </c>
      <c r="T692">
        <f t="shared" si="953"/>
        <v>0</v>
      </c>
    </row>
    <row r="693" spans="1:20" x14ac:dyDescent="0.25">
      <c r="A693" s="5"/>
      <c r="C693" s="4"/>
      <c r="D693" s="4"/>
      <c r="P693">
        <f t="shared" si="949"/>
        <v>0</v>
      </c>
      <c r="Q693">
        <f t="shared" si="950"/>
        <v>0</v>
      </c>
      <c r="R693">
        <f t="shared" si="951"/>
        <v>0</v>
      </c>
      <c r="S693">
        <f t="shared" si="952"/>
        <v>0</v>
      </c>
      <c r="T693">
        <f t="shared" si="953"/>
        <v>0</v>
      </c>
    </row>
    <row r="694" spans="1:20" x14ac:dyDescent="0.25">
      <c r="A694" s="5"/>
      <c r="C694" s="4"/>
      <c r="D694" s="4"/>
      <c r="P694">
        <f t="shared" si="949"/>
        <v>0</v>
      </c>
      <c r="Q694">
        <f t="shared" si="950"/>
        <v>0</v>
      </c>
      <c r="R694">
        <f t="shared" si="951"/>
        <v>0</v>
      </c>
      <c r="S694">
        <f t="shared" si="952"/>
        <v>0</v>
      </c>
      <c r="T694">
        <f t="shared" si="953"/>
        <v>0</v>
      </c>
    </row>
    <row r="695" spans="1:20" x14ac:dyDescent="0.25">
      <c r="A695" s="5"/>
      <c r="C695" s="4"/>
      <c r="D695" s="4"/>
      <c r="P695">
        <f t="shared" si="949"/>
        <v>0</v>
      </c>
      <c r="Q695">
        <f t="shared" si="950"/>
        <v>0</v>
      </c>
      <c r="R695">
        <f t="shared" si="951"/>
        <v>0</v>
      </c>
      <c r="S695">
        <f t="shared" si="952"/>
        <v>0</v>
      </c>
      <c r="T695">
        <f t="shared" si="953"/>
        <v>0</v>
      </c>
    </row>
    <row r="696" spans="1:20" x14ac:dyDescent="0.25">
      <c r="A696" s="5"/>
      <c r="C696" s="4"/>
      <c r="D696" s="4"/>
      <c r="P696">
        <f t="shared" si="949"/>
        <v>0</v>
      </c>
      <c r="Q696">
        <f t="shared" si="950"/>
        <v>0</v>
      </c>
      <c r="R696">
        <f t="shared" si="951"/>
        <v>0</v>
      </c>
      <c r="S696">
        <f t="shared" si="952"/>
        <v>0</v>
      </c>
      <c r="T696">
        <f t="shared" si="953"/>
        <v>0</v>
      </c>
    </row>
    <row r="697" spans="1:20" x14ac:dyDescent="0.25">
      <c r="A697" s="5"/>
      <c r="C697" s="4"/>
      <c r="D697" s="4"/>
      <c r="P697">
        <f t="shared" si="949"/>
        <v>0</v>
      </c>
      <c r="Q697">
        <f t="shared" si="950"/>
        <v>0</v>
      </c>
      <c r="R697">
        <f t="shared" si="951"/>
        <v>0</v>
      </c>
      <c r="S697">
        <f t="shared" si="952"/>
        <v>0</v>
      </c>
      <c r="T697">
        <f t="shared" si="953"/>
        <v>0</v>
      </c>
    </row>
    <row r="698" spans="1:20" x14ac:dyDescent="0.25">
      <c r="A698" s="5"/>
      <c r="C698" s="4"/>
      <c r="D698" s="4"/>
      <c r="P698">
        <f t="shared" si="949"/>
        <v>0</v>
      </c>
      <c r="Q698">
        <f t="shared" si="950"/>
        <v>0</v>
      </c>
      <c r="R698">
        <f t="shared" si="951"/>
        <v>0</v>
      </c>
      <c r="S698">
        <f t="shared" si="952"/>
        <v>0</v>
      </c>
      <c r="T698">
        <f t="shared" si="953"/>
        <v>0</v>
      </c>
    </row>
    <row r="699" spans="1:20" x14ac:dyDescent="0.25">
      <c r="A699" s="5"/>
      <c r="C699" s="4"/>
      <c r="D699" s="4"/>
      <c r="P699">
        <f t="shared" si="949"/>
        <v>0</v>
      </c>
      <c r="Q699">
        <f t="shared" si="950"/>
        <v>0</v>
      </c>
      <c r="R699">
        <f t="shared" si="951"/>
        <v>0</v>
      </c>
      <c r="S699">
        <f t="shared" si="952"/>
        <v>0</v>
      </c>
      <c r="T699">
        <f t="shared" si="953"/>
        <v>0</v>
      </c>
    </row>
    <row r="700" spans="1:20" x14ac:dyDescent="0.25">
      <c r="A700" s="5"/>
      <c r="C700" s="4"/>
      <c r="D700" s="4"/>
      <c r="P700">
        <f t="shared" si="949"/>
        <v>0</v>
      </c>
      <c r="Q700">
        <f t="shared" si="950"/>
        <v>0</v>
      </c>
      <c r="R700">
        <f t="shared" si="951"/>
        <v>0</v>
      </c>
      <c r="S700">
        <f t="shared" si="952"/>
        <v>0</v>
      </c>
      <c r="T700">
        <f t="shared" si="953"/>
        <v>0</v>
      </c>
    </row>
    <row r="701" spans="1:20" x14ac:dyDescent="0.25">
      <c r="A701" s="5"/>
      <c r="C701" s="4"/>
      <c r="D701" s="4"/>
      <c r="P701">
        <f t="shared" ref="P701:P757" si="954">IF(C701=D701,0,((E701-D701)-(C701-E701))/(C701-D701))</f>
        <v>0</v>
      </c>
      <c r="Q701">
        <f t="shared" ref="Q701:Q757" si="955">F701*P701</f>
        <v>0</v>
      </c>
      <c r="R701">
        <f t="shared" ref="R701:R757" si="956">R702+Q701</f>
        <v>0</v>
      </c>
      <c r="S701">
        <f t="shared" ref="S701:S757" si="957">R701/100000</f>
        <v>0</v>
      </c>
      <c r="T701">
        <f t="shared" ref="T701:T757" si="958">S701/1000</f>
        <v>0</v>
      </c>
    </row>
    <row r="702" spans="1:20" x14ac:dyDescent="0.25">
      <c r="A702" s="5"/>
      <c r="C702" s="4"/>
      <c r="D702" s="4"/>
      <c r="P702">
        <f t="shared" si="954"/>
        <v>0</v>
      </c>
      <c r="Q702">
        <f t="shared" si="955"/>
        <v>0</v>
      </c>
      <c r="R702">
        <f t="shared" si="956"/>
        <v>0</v>
      </c>
      <c r="S702">
        <f t="shared" si="957"/>
        <v>0</v>
      </c>
      <c r="T702">
        <f t="shared" si="958"/>
        <v>0</v>
      </c>
    </row>
    <row r="703" spans="1:20" x14ac:dyDescent="0.25">
      <c r="A703" s="5"/>
      <c r="C703" s="4"/>
      <c r="D703" s="4"/>
      <c r="P703">
        <f t="shared" si="954"/>
        <v>0</v>
      </c>
      <c r="Q703">
        <f t="shared" si="955"/>
        <v>0</v>
      </c>
      <c r="R703">
        <f t="shared" si="956"/>
        <v>0</v>
      </c>
      <c r="S703">
        <f t="shared" si="957"/>
        <v>0</v>
      </c>
      <c r="T703">
        <f t="shared" si="958"/>
        <v>0</v>
      </c>
    </row>
    <row r="704" spans="1:20" x14ac:dyDescent="0.25">
      <c r="A704" s="5"/>
      <c r="C704" s="4"/>
      <c r="D704" s="4"/>
      <c r="P704">
        <f t="shared" si="954"/>
        <v>0</v>
      </c>
      <c r="Q704">
        <f t="shared" si="955"/>
        <v>0</v>
      </c>
      <c r="R704">
        <f t="shared" si="956"/>
        <v>0</v>
      </c>
      <c r="S704">
        <f t="shared" si="957"/>
        <v>0</v>
      </c>
      <c r="T704">
        <f t="shared" si="958"/>
        <v>0</v>
      </c>
    </row>
    <row r="705" spans="1:20" x14ac:dyDescent="0.25">
      <c r="A705" s="5"/>
      <c r="C705" s="4"/>
      <c r="D705" s="4"/>
      <c r="P705">
        <f t="shared" si="954"/>
        <v>0</v>
      </c>
      <c r="Q705">
        <f t="shared" si="955"/>
        <v>0</v>
      </c>
      <c r="R705">
        <f t="shared" si="956"/>
        <v>0</v>
      </c>
      <c r="S705">
        <f t="shared" si="957"/>
        <v>0</v>
      </c>
      <c r="T705">
        <f t="shared" si="958"/>
        <v>0</v>
      </c>
    </row>
    <row r="706" spans="1:20" x14ac:dyDescent="0.25">
      <c r="A706" s="5"/>
      <c r="C706" s="4"/>
      <c r="D706" s="4"/>
      <c r="P706">
        <f t="shared" si="954"/>
        <v>0</v>
      </c>
      <c r="Q706">
        <f t="shared" si="955"/>
        <v>0</v>
      </c>
      <c r="R706">
        <f t="shared" si="956"/>
        <v>0</v>
      </c>
      <c r="S706">
        <f t="shared" si="957"/>
        <v>0</v>
      </c>
      <c r="T706">
        <f t="shared" si="958"/>
        <v>0</v>
      </c>
    </row>
    <row r="707" spans="1:20" x14ac:dyDescent="0.25">
      <c r="A707" s="5"/>
      <c r="C707" s="4"/>
      <c r="D707" s="4"/>
      <c r="P707">
        <f t="shared" si="954"/>
        <v>0</v>
      </c>
      <c r="Q707">
        <f t="shared" si="955"/>
        <v>0</v>
      </c>
      <c r="R707">
        <f t="shared" si="956"/>
        <v>0</v>
      </c>
      <c r="S707">
        <f t="shared" si="957"/>
        <v>0</v>
      </c>
      <c r="T707">
        <f t="shared" si="958"/>
        <v>0</v>
      </c>
    </row>
    <row r="708" spans="1:20" x14ac:dyDescent="0.25">
      <c r="A708" s="5"/>
      <c r="C708" s="4"/>
      <c r="D708" s="4"/>
      <c r="P708">
        <f t="shared" si="954"/>
        <v>0</v>
      </c>
      <c r="Q708">
        <f t="shared" si="955"/>
        <v>0</v>
      </c>
      <c r="R708">
        <f t="shared" si="956"/>
        <v>0</v>
      </c>
      <c r="S708">
        <f t="shared" si="957"/>
        <v>0</v>
      </c>
      <c r="T708">
        <f t="shared" si="958"/>
        <v>0</v>
      </c>
    </row>
    <row r="709" spans="1:20" x14ac:dyDescent="0.25">
      <c r="A709" s="5"/>
      <c r="C709" s="4"/>
      <c r="D709" s="4"/>
      <c r="P709">
        <f t="shared" si="954"/>
        <v>0</v>
      </c>
      <c r="Q709">
        <f t="shared" si="955"/>
        <v>0</v>
      </c>
      <c r="R709">
        <f t="shared" si="956"/>
        <v>0</v>
      </c>
      <c r="S709">
        <f t="shared" si="957"/>
        <v>0</v>
      </c>
      <c r="T709">
        <f t="shared" si="958"/>
        <v>0</v>
      </c>
    </row>
    <row r="710" spans="1:20" x14ac:dyDescent="0.25">
      <c r="A710" s="5"/>
      <c r="C710" s="4"/>
      <c r="D710" s="4"/>
      <c r="P710">
        <f t="shared" si="954"/>
        <v>0</v>
      </c>
      <c r="Q710">
        <f t="shared" si="955"/>
        <v>0</v>
      </c>
      <c r="R710">
        <f t="shared" si="956"/>
        <v>0</v>
      </c>
      <c r="S710">
        <f t="shared" si="957"/>
        <v>0</v>
      </c>
      <c r="T710">
        <f t="shared" si="958"/>
        <v>0</v>
      </c>
    </row>
    <row r="711" spans="1:20" x14ac:dyDescent="0.25">
      <c r="A711" s="5"/>
      <c r="C711" s="4"/>
      <c r="D711" s="4"/>
      <c r="P711">
        <f t="shared" si="954"/>
        <v>0</v>
      </c>
      <c r="Q711">
        <f t="shared" si="955"/>
        <v>0</v>
      </c>
      <c r="R711">
        <f t="shared" si="956"/>
        <v>0</v>
      </c>
      <c r="S711">
        <f t="shared" si="957"/>
        <v>0</v>
      </c>
      <c r="T711">
        <f t="shared" si="958"/>
        <v>0</v>
      </c>
    </row>
    <row r="712" spans="1:20" x14ac:dyDescent="0.25">
      <c r="A712" s="5"/>
      <c r="C712" s="4"/>
      <c r="D712" s="4"/>
      <c r="P712">
        <f t="shared" si="954"/>
        <v>0</v>
      </c>
      <c r="Q712">
        <f t="shared" si="955"/>
        <v>0</v>
      </c>
      <c r="R712">
        <f t="shared" si="956"/>
        <v>0</v>
      </c>
      <c r="S712">
        <f t="shared" si="957"/>
        <v>0</v>
      </c>
      <c r="T712">
        <f t="shared" si="958"/>
        <v>0</v>
      </c>
    </row>
    <row r="713" spans="1:20" x14ac:dyDescent="0.25">
      <c r="A713" s="5"/>
      <c r="C713" s="4"/>
      <c r="D713" s="4"/>
      <c r="P713">
        <f t="shared" si="954"/>
        <v>0</v>
      </c>
      <c r="Q713">
        <f t="shared" si="955"/>
        <v>0</v>
      </c>
      <c r="R713">
        <f t="shared" si="956"/>
        <v>0</v>
      </c>
      <c r="S713">
        <f t="shared" si="957"/>
        <v>0</v>
      </c>
      <c r="T713">
        <f t="shared" si="958"/>
        <v>0</v>
      </c>
    </row>
    <row r="714" spans="1:20" x14ac:dyDescent="0.25">
      <c r="A714" s="5"/>
      <c r="C714" s="4"/>
      <c r="D714" s="4"/>
      <c r="P714">
        <f t="shared" si="954"/>
        <v>0</v>
      </c>
      <c r="Q714">
        <f t="shared" si="955"/>
        <v>0</v>
      </c>
      <c r="R714">
        <f t="shared" si="956"/>
        <v>0</v>
      </c>
      <c r="S714">
        <f t="shared" si="957"/>
        <v>0</v>
      </c>
      <c r="T714">
        <f t="shared" si="958"/>
        <v>0</v>
      </c>
    </row>
    <row r="715" spans="1:20" x14ac:dyDescent="0.25">
      <c r="A715" s="5"/>
      <c r="C715" s="4"/>
      <c r="D715" s="4"/>
      <c r="P715">
        <f t="shared" si="954"/>
        <v>0</v>
      </c>
      <c r="Q715">
        <f t="shared" si="955"/>
        <v>0</v>
      </c>
      <c r="R715">
        <f t="shared" si="956"/>
        <v>0</v>
      </c>
      <c r="S715">
        <f t="shared" si="957"/>
        <v>0</v>
      </c>
      <c r="T715">
        <f t="shared" si="958"/>
        <v>0</v>
      </c>
    </row>
    <row r="716" spans="1:20" x14ac:dyDescent="0.25">
      <c r="A716" s="5"/>
      <c r="C716" s="4"/>
      <c r="D716" s="4"/>
      <c r="P716">
        <f t="shared" si="954"/>
        <v>0</v>
      </c>
      <c r="Q716">
        <f t="shared" si="955"/>
        <v>0</v>
      </c>
      <c r="R716">
        <f t="shared" si="956"/>
        <v>0</v>
      </c>
      <c r="S716">
        <f t="shared" si="957"/>
        <v>0</v>
      </c>
      <c r="T716">
        <f t="shared" si="958"/>
        <v>0</v>
      </c>
    </row>
    <row r="717" spans="1:20" x14ac:dyDescent="0.25">
      <c r="A717" s="5"/>
      <c r="C717" s="4"/>
      <c r="D717" s="4"/>
      <c r="P717">
        <f t="shared" si="954"/>
        <v>0</v>
      </c>
      <c r="Q717">
        <f t="shared" si="955"/>
        <v>0</v>
      </c>
      <c r="R717">
        <f t="shared" si="956"/>
        <v>0</v>
      </c>
      <c r="S717">
        <f t="shared" si="957"/>
        <v>0</v>
      </c>
      <c r="T717">
        <f t="shared" si="958"/>
        <v>0</v>
      </c>
    </row>
    <row r="718" spans="1:20" x14ac:dyDescent="0.25">
      <c r="A718" s="5"/>
      <c r="C718" s="4"/>
      <c r="D718" s="4"/>
      <c r="P718">
        <f t="shared" si="954"/>
        <v>0</v>
      </c>
      <c r="Q718">
        <f t="shared" si="955"/>
        <v>0</v>
      </c>
      <c r="R718">
        <f t="shared" si="956"/>
        <v>0</v>
      </c>
      <c r="S718">
        <f t="shared" si="957"/>
        <v>0</v>
      </c>
      <c r="T718">
        <f t="shared" si="958"/>
        <v>0</v>
      </c>
    </row>
    <row r="719" spans="1:20" x14ac:dyDescent="0.25">
      <c r="A719" s="5"/>
      <c r="C719" s="4"/>
      <c r="D719" s="4"/>
      <c r="P719">
        <f t="shared" si="954"/>
        <v>0</v>
      </c>
      <c r="Q719">
        <f t="shared" si="955"/>
        <v>0</v>
      </c>
      <c r="R719">
        <f t="shared" si="956"/>
        <v>0</v>
      </c>
      <c r="S719">
        <f t="shared" si="957"/>
        <v>0</v>
      </c>
      <c r="T719">
        <f t="shared" si="958"/>
        <v>0</v>
      </c>
    </row>
    <row r="720" spans="1:20" x14ac:dyDescent="0.25">
      <c r="A720" s="5"/>
      <c r="C720" s="4"/>
      <c r="D720" s="4"/>
      <c r="P720">
        <f t="shared" si="954"/>
        <v>0</v>
      </c>
      <c r="Q720">
        <f t="shared" si="955"/>
        <v>0</v>
      </c>
      <c r="R720">
        <f t="shared" si="956"/>
        <v>0</v>
      </c>
      <c r="S720">
        <f t="shared" si="957"/>
        <v>0</v>
      </c>
      <c r="T720">
        <f t="shared" si="958"/>
        <v>0</v>
      </c>
    </row>
    <row r="721" spans="1:20" x14ac:dyDescent="0.25">
      <c r="A721" s="5"/>
      <c r="C721" s="4"/>
      <c r="D721" s="4"/>
      <c r="P721">
        <f t="shared" si="954"/>
        <v>0</v>
      </c>
      <c r="Q721">
        <f t="shared" si="955"/>
        <v>0</v>
      </c>
      <c r="R721">
        <f t="shared" si="956"/>
        <v>0</v>
      </c>
      <c r="S721">
        <f t="shared" si="957"/>
        <v>0</v>
      </c>
      <c r="T721">
        <f t="shared" si="958"/>
        <v>0</v>
      </c>
    </row>
    <row r="722" spans="1:20" x14ac:dyDescent="0.25">
      <c r="A722" s="5"/>
      <c r="C722" s="4"/>
      <c r="D722" s="4"/>
      <c r="P722">
        <f t="shared" si="954"/>
        <v>0</v>
      </c>
      <c r="Q722">
        <f t="shared" si="955"/>
        <v>0</v>
      </c>
      <c r="R722">
        <f t="shared" si="956"/>
        <v>0</v>
      </c>
      <c r="S722">
        <f t="shared" si="957"/>
        <v>0</v>
      </c>
      <c r="T722">
        <f t="shared" si="958"/>
        <v>0</v>
      </c>
    </row>
    <row r="723" spans="1:20" x14ac:dyDescent="0.25">
      <c r="A723" s="5"/>
      <c r="C723" s="4"/>
      <c r="D723" s="4"/>
      <c r="P723">
        <f t="shared" si="954"/>
        <v>0</v>
      </c>
      <c r="Q723">
        <f t="shared" si="955"/>
        <v>0</v>
      </c>
      <c r="R723">
        <f t="shared" si="956"/>
        <v>0</v>
      </c>
      <c r="S723">
        <f t="shared" si="957"/>
        <v>0</v>
      </c>
      <c r="T723">
        <f t="shared" si="958"/>
        <v>0</v>
      </c>
    </row>
    <row r="724" spans="1:20" x14ac:dyDescent="0.25">
      <c r="A724" s="5"/>
      <c r="C724" s="4"/>
      <c r="D724" s="4"/>
      <c r="P724">
        <f t="shared" si="954"/>
        <v>0</v>
      </c>
      <c r="Q724">
        <f t="shared" si="955"/>
        <v>0</v>
      </c>
      <c r="R724">
        <f t="shared" si="956"/>
        <v>0</v>
      </c>
      <c r="S724">
        <f t="shared" si="957"/>
        <v>0</v>
      </c>
      <c r="T724">
        <f t="shared" si="958"/>
        <v>0</v>
      </c>
    </row>
    <row r="725" spans="1:20" x14ac:dyDescent="0.25">
      <c r="A725" s="5"/>
      <c r="C725" s="4"/>
      <c r="D725" s="4"/>
      <c r="P725">
        <f t="shared" si="954"/>
        <v>0</v>
      </c>
      <c r="Q725">
        <f t="shared" si="955"/>
        <v>0</v>
      </c>
      <c r="R725">
        <f t="shared" si="956"/>
        <v>0</v>
      </c>
      <c r="S725">
        <f t="shared" si="957"/>
        <v>0</v>
      </c>
      <c r="T725">
        <f t="shared" si="958"/>
        <v>0</v>
      </c>
    </row>
    <row r="726" spans="1:20" x14ac:dyDescent="0.25">
      <c r="A726" s="5"/>
      <c r="C726" s="4"/>
      <c r="D726" s="4"/>
      <c r="P726">
        <f t="shared" si="954"/>
        <v>0</v>
      </c>
      <c r="Q726">
        <f t="shared" si="955"/>
        <v>0</v>
      </c>
      <c r="R726">
        <f t="shared" si="956"/>
        <v>0</v>
      </c>
      <c r="S726">
        <f t="shared" si="957"/>
        <v>0</v>
      </c>
      <c r="T726">
        <f t="shared" si="958"/>
        <v>0</v>
      </c>
    </row>
    <row r="727" spans="1:20" x14ac:dyDescent="0.25">
      <c r="A727" s="5"/>
      <c r="C727" s="4"/>
      <c r="D727" s="4"/>
      <c r="P727">
        <f t="shared" si="954"/>
        <v>0</v>
      </c>
      <c r="Q727">
        <f t="shared" si="955"/>
        <v>0</v>
      </c>
      <c r="R727">
        <f t="shared" si="956"/>
        <v>0</v>
      </c>
      <c r="S727">
        <f t="shared" si="957"/>
        <v>0</v>
      </c>
      <c r="T727">
        <f t="shared" si="958"/>
        <v>0</v>
      </c>
    </row>
    <row r="728" spans="1:20" x14ac:dyDescent="0.25">
      <c r="A728" s="5"/>
      <c r="C728" s="4"/>
      <c r="D728" s="4"/>
      <c r="P728">
        <f t="shared" si="954"/>
        <v>0</v>
      </c>
      <c r="Q728">
        <f t="shared" si="955"/>
        <v>0</v>
      </c>
      <c r="R728">
        <f t="shared" si="956"/>
        <v>0</v>
      </c>
      <c r="S728">
        <f t="shared" si="957"/>
        <v>0</v>
      </c>
      <c r="T728">
        <f t="shared" si="958"/>
        <v>0</v>
      </c>
    </row>
    <row r="729" spans="1:20" x14ac:dyDescent="0.25">
      <c r="A729" s="5"/>
      <c r="C729" s="4"/>
      <c r="D729" s="4"/>
      <c r="P729">
        <f t="shared" si="954"/>
        <v>0</v>
      </c>
      <c r="Q729">
        <f t="shared" si="955"/>
        <v>0</v>
      </c>
      <c r="R729">
        <f t="shared" si="956"/>
        <v>0</v>
      </c>
      <c r="S729">
        <f t="shared" si="957"/>
        <v>0</v>
      </c>
      <c r="T729">
        <f t="shared" si="958"/>
        <v>0</v>
      </c>
    </row>
    <row r="730" spans="1:20" x14ac:dyDescent="0.25">
      <c r="A730" s="5"/>
      <c r="C730" s="4"/>
      <c r="D730" s="4"/>
      <c r="P730">
        <f t="shared" si="954"/>
        <v>0</v>
      </c>
      <c r="Q730">
        <f t="shared" si="955"/>
        <v>0</v>
      </c>
      <c r="R730">
        <f t="shared" si="956"/>
        <v>0</v>
      </c>
      <c r="S730">
        <f t="shared" si="957"/>
        <v>0</v>
      </c>
      <c r="T730">
        <f t="shared" si="958"/>
        <v>0</v>
      </c>
    </row>
    <row r="731" spans="1:20" x14ac:dyDescent="0.25">
      <c r="A731" s="5"/>
      <c r="C731" s="4"/>
      <c r="D731" s="4"/>
      <c r="P731">
        <f t="shared" si="954"/>
        <v>0</v>
      </c>
      <c r="Q731">
        <f t="shared" si="955"/>
        <v>0</v>
      </c>
      <c r="R731">
        <f t="shared" si="956"/>
        <v>0</v>
      </c>
      <c r="S731">
        <f t="shared" si="957"/>
        <v>0</v>
      </c>
      <c r="T731">
        <f t="shared" si="958"/>
        <v>0</v>
      </c>
    </row>
    <row r="732" spans="1:20" x14ac:dyDescent="0.25">
      <c r="A732" s="5"/>
      <c r="C732" s="4"/>
      <c r="D732" s="4"/>
      <c r="P732">
        <f t="shared" si="954"/>
        <v>0</v>
      </c>
      <c r="Q732">
        <f t="shared" si="955"/>
        <v>0</v>
      </c>
      <c r="R732">
        <f t="shared" si="956"/>
        <v>0</v>
      </c>
      <c r="S732">
        <f t="shared" si="957"/>
        <v>0</v>
      </c>
      <c r="T732">
        <f t="shared" si="958"/>
        <v>0</v>
      </c>
    </row>
    <row r="733" spans="1:20" x14ac:dyDescent="0.25">
      <c r="A733" s="5"/>
      <c r="C733" s="4"/>
      <c r="D733" s="4"/>
      <c r="P733">
        <f t="shared" si="954"/>
        <v>0</v>
      </c>
      <c r="Q733">
        <f t="shared" si="955"/>
        <v>0</v>
      </c>
      <c r="R733">
        <f t="shared" si="956"/>
        <v>0</v>
      </c>
      <c r="S733">
        <f t="shared" si="957"/>
        <v>0</v>
      </c>
      <c r="T733">
        <f t="shared" si="958"/>
        <v>0</v>
      </c>
    </row>
    <row r="734" spans="1:20" x14ac:dyDescent="0.25">
      <c r="A734" s="5"/>
      <c r="C734" s="4"/>
      <c r="D734" s="4"/>
      <c r="P734">
        <f t="shared" si="954"/>
        <v>0</v>
      </c>
      <c r="Q734">
        <f t="shared" si="955"/>
        <v>0</v>
      </c>
      <c r="R734">
        <f t="shared" si="956"/>
        <v>0</v>
      </c>
      <c r="S734">
        <f t="shared" si="957"/>
        <v>0</v>
      </c>
      <c r="T734">
        <f t="shared" si="958"/>
        <v>0</v>
      </c>
    </row>
    <row r="735" spans="1:20" x14ac:dyDescent="0.25">
      <c r="A735" s="5"/>
      <c r="C735" s="4"/>
      <c r="D735" s="4"/>
      <c r="P735">
        <f t="shared" si="954"/>
        <v>0</v>
      </c>
      <c r="Q735">
        <f t="shared" si="955"/>
        <v>0</v>
      </c>
      <c r="R735">
        <f t="shared" si="956"/>
        <v>0</v>
      </c>
      <c r="S735">
        <f t="shared" si="957"/>
        <v>0</v>
      </c>
      <c r="T735">
        <f t="shared" si="958"/>
        <v>0</v>
      </c>
    </row>
    <row r="736" spans="1:20" x14ac:dyDescent="0.25">
      <c r="A736" s="5"/>
      <c r="C736" s="4"/>
      <c r="D736" s="4"/>
      <c r="P736">
        <f t="shared" si="954"/>
        <v>0</v>
      </c>
      <c r="Q736">
        <f t="shared" si="955"/>
        <v>0</v>
      </c>
      <c r="R736">
        <f t="shared" si="956"/>
        <v>0</v>
      </c>
      <c r="S736">
        <f t="shared" si="957"/>
        <v>0</v>
      </c>
      <c r="T736">
        <f t="shared" si="958"/>
        <v>0</v>
      </c>
    </row>
    <row r="737" spans="1:20" x14ac:dyDescent="0.25">
      <c r="A737" s="5"/>
      <c r="C737" s="4"/>
      <c r="D737" s="4"/>
      <c r="P737">
        <f t="shared" si="954"/>
        <v>0</v>
      </c>
      <c r="Q737">
        <f t="shared" si="955"/>
        <v>0</v>
      </c>
      <c r="R737">
        <f t="shared" si="956"/>
        <v>0</v>
      </c>
      <c r="S737">
        <f t="shared" si="957"/>
        <v>0</v>
      </c>
      <c r="T737">
        <f t="shared" si="958"/>
        <v>0</v>
      </c>
    </row>
    <row r="738" spans="1:20" x14ac:dyDescent="0.25">
      <c r="A738" s="5"/>
      <c r="C738" s="4"/>
      <c r="D738" s="4"/>
      <c r="P738">
        <f t="shared" si="954"/>
        <v>0</v>
      </c>
      <c r="Q738">
        <f t="shared" si="955"/>
        <v>0</v>
      </c>
      <c r="R738">
        <f t="shared" si="956"/>
        <v>0</v>
      </c>
      <c r="S738">
        <f t="shared" si="957"/>
        <v>0</v>
      </c>
      <c r="T738">
        <f t="shared" si="958"/>
        <v>0</v>
      </c>
    </row>
    <row r="739" spans="1:20" x14ac:dyDescent="0.25">
      <c r="A739" s="5"/>
      <c r="C739" s="4"/>
      <c r="D739" s="4"/>
      <c r="P739">
        <f t="shared" si="954"/>
        <v>0</v>
      </c>
      <c r="Q739">
        <f t="shared" si="955"/>
        <v>0</v>
      </c>
      <c r="R739">
        <f t="shared" si="956"/>
        <v>0</v>
      </c>
      <c r="S739">
        <f t="shared" si="957"/>
        <v>0</v>
      </c>
      <c r="T739">
        <f t="shared" si="958"/>
        <v>0</v>
      </c>
    </row>
    <row r="740" spans="1:20" x14ac:dyDescent="0.25">
      <c r="A740" s="5"/>
      <c r="C740" s="4"/>
      <c r="D740" s="4"/>
      <c r="P740">
        <f t="shared" si="954"/>
        <v>0</v>
      </c>
      <c r="Q740">
        <f t="shared" si="955"/>
        <v>0</v>
      </c>
      <c r="R740">
        <f t="shared" si="956"/>
        <v>0</v>
      </c>
      <c r="S740">
        <f t="shared" si="957"/>
        <v>0</v>
      </c>
      <c r="T740">
        <f t="shared" si="958"/>
        <v>0</v>
      </c>
    </row>
    <row r="741" spans="1:20" x14ac:dyDescent="0.25">
      <c r="A741" s="5"/>
      <c r="C741" s="4"/>
      <c r="D741" s="4"/>
      <c r="P741">
        <f t="shared" si="954"/>
        <v>0</v>
      </c>
      <c r="Q741">
        <f t="shared" si="955"/>
        <v>0</v>
      </c>
      <c r="R741">
        <f t="shared" si="956"/>
        <v>0</v>
      </c>
      <c r="S741">
        <f t="shared" si="957"/>
        <v>0</v>
      </c>
      <c r="T741">
        <f t="shared" si="958"/>
        <v>0</v>
      </c>
    </row>
    <row r="742" spans="1:20" x14ac:dyDescent="0.25">
      <c r="A742" s="5"/>
      <c r="C742" s="4"/>
      <c r="D742" s="4"/>
      <c r="P742">
        <f t="shared" si="954"/>
        <v>0</v>
      </c>
      <c r="Q742">
        <f t="shared" si="955"/>
        <v>0</v>
      </c>
      <c r="R742">
        <f t="shared" si="956"/>
        <v>0</v>
      </c>
      <c r="S742">
        <f t="shared" si="957"/>
        <v>0</v>
      </c>
      <c r="T742">
        <f t="shared" si="958"/>
        <v>0</v>
      </c>
    </row>
    <row r="743" spans="1:20" x14ac:dyDescent="0.25">
      <c r="A743" s="5"/>
      <c r="C743" s="4"/>
      <c r="D743" s="4"/>
      <c r="P743">
        <f t="shared" si="954"/>
        <v>0</v>
      </c>
      <c r="Q743">
        <f t="shared" si="955"/>
        <v>0</v>
      </c>
      <c r="R743">
        <f t="shared" si="956"/>
        <v>0</v>
      </c>
      <c r="S743">
        <f t="shared" si="957"/>
        <v>0</v>
      </c>
      <c r="T743">
        <f t="shared" si="958"/>
        <v>0</v>
      </c>
    </row>
    <row r="744" spans="1:20" x14ac:dyDescent="0.25">
      <c r="A744" s="5"/>
      <c r="C744" s="4"/>
      <c r="D744" s="4"/>
      <c r="P744">
        <f t="shared" si="954"/>
        <v>0</v>
      </c>
      <c r="Q744">
        <f t="shared" si="955"/>
        <v>0</v>
      </c>
      <c r="R744">
        <f t="shared" si="956"/>
        <v>0</v>
      </c>
      <c r="S744">
        <f t="shared" si="957"/>
        <v>0</v>
      </c>
      <c r="T744">
        <f t="shared" si="958"/>
        <v>0</v>
      </c>
    </row>
    <row r="745" spans="1:20" x14ac:dyDescent="0.25">
      <c r="A745" s="5"/>
      <c r="C745" s="4"/>
      <c r="D745" s="4"/>
      <c r="P745">
        <f t="shared" si="954"/>
        <v>0</v>
      </c>
      <c r="Q745">
        <f t="shared" si="955"/>
        <v>0</v>
      </c>
      <c r="R745">
        <f t="shared" si="956"/>
        <v>0</v>
      </c>
      <c r="S745">
        <f t="shared" si="957"/>
        <v>0</v>
      </c>
      <c r="T745">
        <f t="shared" si="958"/>
        <v>0</v>
      </c>
    </row>
    <row r="746" spans="1:20" x14ac:dyDescent="0.25">
      <c r="A746" s="5"/>
      <c r="C746" s="4"/>
      <c r="D746" s="4"/>
      <c r="P746">
        <f t="shared" si="954"/>
        <v>0</v>
      </c>
      <c r="Q746">
        <f t="shared" si="955"/>
        <v>0</v>
      </c>
      <c r="R746">
        <f t="shared" si="956"/>
        <v>0</v>
      </c>
      <c r="S746">
        <f t="shared" si="957"/>
        <v>0</v>
      </c>
      <c r="T746">
        <f t="shared" si="958"/>
        <v>0</v>
      </c>
    </row>
    <row r="747" spans="1:20" x14ac:dyDescent="0.25">
      <c r="A747" s="5"/>
      <c r="C747" s="4"/>
      <c r="D747" s="4"/>
      <c r="P747">
        <f t="shared" si="954"/>
        <v>0</v>
      </c>
      <c r="Q747">
        <f t="shared" si="955"/>
        <v>0</v>
      </c>
      <c r="R747">
        <f t="shared" si="956"/>
        <v>0</v>
      </c>
      <c r="S747">
        <f t="shared" si="957"/>
        <v>0</v>
      </c>
      <c r="T747">
        <f t="shared" si="958"/>
        <v>0</v>
      </c>
    </row>
    <row r="748" spans="1:20" x14ac:dyDescent="0.25">
      <c r="A748" s="5"/>
      <c r="C748" s="4"/>
      <c r="D748" s="4"/>
      <c r="P748">
        <f t="shared" si="954"/>
        <v>0</v>
      </c>
      <c r="Q748">
        <f t="shared" si="955"/>
        <v>0</v>
      </c>
      <c r="R748">
        <f t="shared" si="956"/>
        <v>0</v>
      </c>
      <c r="S748">
        <f t="shared" si="957"/>
        <v>0</v>
      </c>
      <c r="T748">
        <f t="shared" si="958"/>
        <v>0</v>
      </c>
    </row>
    <row r="749" spans="1:20" x14ac:dyDescent="0.25">
      <c r="A749" s="5"/>
      <c r="C749" s="4"/>
      <c r="D749" s="4"/>
      <c r="P749">
        <f t="shared" si="954"/>
        <v>0</v>
      </c>
      <c r="Q749">
        <f t="shared" si="955"/>
        <v>0</v>
      </c>
      <c r="R749">
        <f t="shared" si="956"/>
        <v>0</v>
      </c>
      <c r="S749">
        <f t="shared" si="957"/>
        <v>0</v>
      </c>
      <c r="T749">
        <f t="shared" si="958"/>
        <v>0</v>
      </c>
    </row>
    <row r="750" spans="1:20" x14ac:dyDescent="0.25">
      <c r="A750" s="5"/>
      <c r="C750" s="4"/>
      <c r="D750" s="4"/>
      <c r="P750">
        <f t="shared" si="954"/>
        <v>0</v>
      </c>
      <c r="Q750">
        <f t="shared" si="955"/>
        <v>0</v>
      </c>
      <c r="R750">
        <f t="shared" si="956"/>
        <v>0</v>
      </c>
      <c r="S750">
        <f t="shared" si="957"/>
        <v>0</v>
      </c>
      <c r="T750">
        <f t="shared" si="958"/>
        <v>0</v>
      </c>
    </row>
    <row r="751" spans="1:20" x14ac:dyDescent="0.25">
      <c r="A751" s="5"/>
      <c r="C751" s="4"/>
      <c r="D751" s="4"/>
      <c r="P751">
        <f t="shared" si="954"/>
        <v>0</v>
      </c>
      <c r="Q751">
        <f t="shared" si="955"/>
        <v>0</v>
      </c>
      <c r="R751">
        <f t="shared" si="956"/>
        <v>0</v>
      </c>
      <c r="S751">
        <f t="shared" si="957"/>
        <v>0</v>
      </c>
      <c r="T751">
        <f t="shared" si="958"/>
        <v>0</v>
      </c>
    </row>
    <row r="752" spans="1:20" x14ac:dyDescent="0.25">
      <c r="A752" s="5"/>
      <c r="C752" s="4"/>
      <c r="D752" s="4"/>
      <c r="P752">
        <f t="shared" si="954"/>
        <v>0</v>
      </c>
      <c r="Q752">
        <f t="shared" si="955"/>
        <v>0</v>
      </c>
      <c r="R752">
        <f t="shared" si="956"/>
        <v>0</v>
      </c>
      <c r="S752">
        <f t="shared" si="957"/>
        <v>0</v>
      </c>
      <c r="T752">
        <f t="shared" si="958"/>
        <v>0</v>
      </c>
    </row>
    <row r="753" spans="1:20" x14ac:dyDescent="0.25">
      <c r="A753" s="5"/>
      <c r="C753" s="4"/>
      <c r="D753" s="4"/>
      <c r="P753">
        <f t="shared" si="954"/>
        <v>0</v>
      </c>
      <c r="Q753">
        <f t="shared" si="955"/>
        <v>0</v>
      </c>
      <c r="R753">
        <f t="shared" si="956"/>
        <v>0</v>
      </c>
      <c r="S753">
        <f t="shared" si="957"/>
        <v>0</v>
      </c>
      <c r="T753">
        <f t="shared" si="958"/>
        <v>0</v>
      </c>
    </row>
    <row r="754" spans="1:20" x14ac:dyDescent="0.25">
      <c r="A754" s="5"/>
      <c r="C754" s="4"/>
      <c r="D754" s="4"/>
      <c r="P754">
        <f t="shared" si="954"/>
        <v>0</v>
      </c>
      <c r="Q754">
        <f t="shared" si="955"/>
        <v>0</v>
      </c>
      <c r="R754">
        <f t="shared" si="956"/>
        <v>0</v>
      </c>
      <c r="S754">
        <f t="shared" si="957"/>
        <v>0</v>
      </c>
      <c r="T754">
        <f t="shared" si="958"/>
        <v>0</v>
      </c>
    </row>
    <row r="755" spans="1:20" x14ac:dyDescent="0.25">
      <c r="A755" s="5"/>
      <c r="C755" s="4"/>
      <c r="D755" s="4"/>
      <c r="P755">
        <f t="shared" si="954"/>
        <v>0</v>
      </c>
      <c r="Q755">
        <f t="shared" si="955"/>
        <v>0</v>
      </c>
      <c r="R755">
        <f t="shared" si="956"/>
        <v>0</v>
      </c>
      <c r="S755">
        <f t="shared" si="957"/>
        <v>0</v>
      </c>
      <c r="T755">
        <f t="shared" si="958"/>
        <v>0</v>
      </c>
    </row>
    <row r="756" spans="1:20" x14ac:dyDescent="0.25">
      <c r="A756" s="5"/>
      <c r="C756" s="4"/>
      <c r="D756" s="4"/>
      <c r="P756">
        <f t="shared" si="954"/>
        <v>0</v>
      </c>
      <c r="Q756">
        <f t="shared" si="955"/>
        <v>0</v>
      </c>
      <c r="R756">
        <f t="shared" si="956"/>
        <v>0</v>
      </c>
      <c r="S756">
        <f t="shared" si="957"/>
        <v>0</v>
      </c>
      <c r="T756">
        <f t="shared" si="958"/>
        <v>0</v>
      </c>
    </row>
    <row r="757" spans="1:20" x14ac:dyDescent="0.25">
      <c r="A757" s="5"/>
      <c r="C757" s="4"/>
      <c r="D757" s="4"/>
      <c r="P757">
        <f t="shared" si="954"/>
        <v>0</v>
      </c>
      <c r="Q757">
        <f t="shared" si="955"/>
        <v>0</v>
      </c>
      <c r="R757">
        <f t="shared" si="956"/>
        <v>0</v>
      </c>
      <c r="S757">
        <f t="shared" si="957"/>
        <v>0</v>
      </c>
      <c r="T757">
        <f t="shared" si="958"/>
        <v>0</v>
      </c>
    </row>
    <row r="758" spans="1:20" x14ac:dyDescent="0.25">
      <c r="A758" s="5"/>
      <c r="C758" s="4"/>
      <c r="D758" s="4"/>
    </row>
    <row r="759" spans="1:20" x14ac:dyDescent="0.25">
      <c r="A759" s="5"/>
      <c r="C759" s="4"/>
      <c r="D759" s="4"/>
    </row>
    <row r="760" spans="1:20" x14ac:dyDescent="0.25">
      <c r="A760" s="5"/>
      <c r="C760" s="4"/>
      <c r="D760" s="4"/>
    </row>
    <row r="761" spans="1:20" x14ac:dyDescent="0.25">
      <c r="A761" s="5"/>
      <c r="C761" s="4"/>
      <c r="D761" s="4"/>
    </row>
    <row r="762" spans="1:20" x14ac:dyDescent="0.25">
      <c r="A762" s="5"/>
      <c r="C762" s="4"/>
      <c r="D762" s="4"/>
    </row>
    <row r="763" spans="1:20" x14ac:dyDescent="0.25">
      <c r="A763" s="5"/>
      <c r="C763" s="4"/>
      <c r="D763" s="4"/>
    </row>
    <row r="764" spans="1:20" x14ac:dyDescent="0.25">
      <c r="A764" s="5"/>
      <c r="C764" s="4"/>
      <c r="D764" s="4"/>
    </row>
    <row r="765" spans="1:20" x14ac:dyDescent="0.25">
      <c r="A765" s="5"/>
      <c r="C765" s="4"/>
      <c r="D765" s="4"/>
    </row>
    <row r="766" spans="1:20" x14ac:dyDescent="0.25">
      <c r="A766" s="5"/>
      <c r="C766" s="4"/>
      <c r="D766" s="4"/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</row>
    <row r="945" spans="1:4" x14ac:dyDescent="0.25">
      <c r="A945" s="5"/>
    </row>
    <row r="946" spans="1:4" x14ac:dyDescent="0.25">
      <c r="A946" s="5"/>
    </row>
    <row r="947" spans="1:4" x14ac:dyDescent="0.25">
      <c r="A947" s="5"/>
    </row>
    <row r="948" spans="1:4" x14ac:dyDescent="0.25">
      <c r="A948" s="5"/>
    </row>
    <row r="949" spans="1:4" x14ac:dyDescent="0.25">
      <c r="A949" s="5"/>
    </row>
    <row r="950" spans="1:4" x14ac:dyDescent="0.25">
      <c r="A950" s="5"/>
    </row>
    <row r="951" spans="1:4" x14ac:dyDescent="0.25">
      <c r="A951" s="5"/>
    </row>
    <row r="952" spans="1:4" x14ac:dyDescent="0.25">
      <c r="A952" s="5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</row>
    <row r="1708" spans="1:4" x14ac:dyDescent="0.25">
      <c r="A1708" s="5"/>
    </row>
    <row r="1709" spans="1:4" x14ac:dyDescent="0.25">
      <c r="A1709" s="5"/>
    </row>
    <row r="1710" spans="1:4" x14ac:dyDescent="0.25">
      <c r="A1710" s="5"/>
    </row>
    <row r="1711" spans="1:4" x14ac:dyDescent="0.25">
      <c r="A1711" s="5"/>
    </row>
    <row r="1712" spans="1:4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</sheetData>
  <conditionalFormatting sqref="D1:D4 D193:D1048576 C191:D192 D188:D190">
    <cfRule type="cellIs" dxfId="277" priority="184" operator="lessThan">
      <formula>$A$2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N322" sqref="FN32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$A$321</v>
      </c>
      <c r="D111" s="1" t="str">
        <f>ADDRESS(C121-1,D121,1,1)</f>
        <v>$FN$321</v>
      </c>
      <c r="E111"/>
    </row>
    <row r="112" spans="1:5" x14ac:dyDescent="0.25">
      <c r="A112" s="7">
        <v>12164.144957890772</v>
      </c>
      <c r="C112" s="1" t="str">
        <f>ADDRESS(C121,1,1,1)</f>
        <v>$A$322</v>
      </c>
      <c r="D112" s="1" t="str">
        <f>ADDRESS(C121,D121-1,1,1)</f>
        <v>$FM$322</v>
      </c>
      <c r="E112"/>
    </row>
    <row r="113" spans="1:5" x14ac:dyDescent="0.25">
      <c r="A113" s="7">
        <v>11925.63231165762</v>
      </c>
      <c r="C113" s="1" t="str">
        <f>ADDRESS(C121+1,1,1,1)</f>
        <v>$A$323</v>
      </c>
      <c r="D113" s="1" t="str">
        <f>ADDRESS(C121-1,D121+1,1,1)</f>
        <v>$FO$321</v>
      </c>
    </row>
    <row r="114" spans="1:5" x14ac:dyDescent="0.25">
      <c r="A114" s="7">
        <v>11691.796383978059</v>
      </c>
      <c r="C114" s="1" t="str">
        <f>ADDRESS(C121,D121,1,1)</f>
        <v>$FN$322</v>
      </c>
      <c r="D114" s="1" t="str">
        <f>ADDRESS(C121+1,D121+1,1,1)</f>
        <v>$FO$323</v>
      </c>
    </row>
    <row r="115" spans="1:5" x14ac:dyDescent="0.25">
      <c r="A115" s="7">
        <v>11462.545474488292</v>
      </c>
      <c r="C115" s="1" t="str">
        <f>ADDRESS(C121+1,D121,1,1)</f>
        <v>$FN$323</v>
      </c>
    </row>
    <row r="116" spans="1:5" x14ac:dyDescent="0.25">
      <c r="A116" s="7">
        <v>11237.789680870874</v>
      </c>
      <c r="C116" s="1">
        <f>C117-1</f>
        <v>321</v>
      </c>
    </row>
    <row r="117" spans="1:5" x14ac:dyDescent="0.25">
      <c r="A117" s="7">
        <v>11017.440863598895</v>
      </c>
      <c r="C117" s="1">
        <f>C121</f>
        <v>322</v>
      </c>
      <c r="D117" s="1">
        <f>D121</f>
        <v>170</v>
      </c>
    </row>
    <row r="118" spans="1:5" x14ac:dyDescent="0.25">
      <c r="A118" s="7">
        <v>10801.412611371465</v>
      </c>
      <c r="C118" s="1">
        <f>C117+1</f>
        <v>323</v>
      </c>
      <c r="D118" s="1">
        <f>D117+1</f>
        <v>171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322</v>
      </c>
      <c r="D121" s="19">
        <v>170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R322</v>
      </c>
      <c r="D123" s="1" t="str">
        <f>"C"&amp;D121</f>
        <v>C170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190.127753582856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46" x14ac:dyDescent="0.25">
      <c r="A209" s="7">
        <v>1781.8244993293558</v>
      </c>
      <c r="B209"/>
      <c r="C209"/>
      <c r="D209"/>
      <c r="E209"/>
    </row>
    <row r="210" spans="1:46" x14ac:dyDescent="0.25">
      <c r="A210" s="7">
        <v>1746.8867640483879</v>
      </c>
      <c r="B210"/>
      <c r="C210"/>
      <c r="D210"/>
      <c r="E210"/>
    </row>
    <row r="211" spans="1:46" x14ac:dyDescent="0.25">
      <c r="A211" s="7">
        <v>1712.6340824003803</v>
      </c>
      <c r="B211"/>
      <c r="C211"/>
      <c r="D211"/>
      <c r="E211"/>
    </row>
    <row r="212" spans="1:46" x14ac:dyDescent="0.25">
      <c r="A212" s="7">
        <v>1679.0530219611571</v>
      </c>
      <c r="B212"/>
      <c r="C212"/>
      <c r="D212"/>
      <c r="E212"/>
      <c r="AM212" s="27" t="s">
        <v>8</v>
      </c>
      <c r="AO212" s="27" t="s">
        <v>8</v>
      </c>
    </row>
    <row r="213" spans="1:46" x14ac:dyDescent="0.25">
      <c r="A213" s="7">
        <v>1646.1304136874089</v>
      </c>
      <c r="B213"/>
      <c r="C213"/>
      <c r="D213"/>
      <c r="E213"/>
      <c r="AM213" s="27" t="s">
        <v>8</v>
      </c>
      <c r="AN213" s="27" t="s">
        <v>7</v>
      </c>
      <c r="AO213" s="27" t="s">
        <v>8</v>
      </c>
      <c r="AP213" s="27" t="s">
        <v>7</v>
      </c>
      <c r="AQ213" s="27" t="s">
        <v>8</v>
      </c>
    </row>
    <row r="214" spans="1:46" x14ac:dyDescent="0.25">
      <c r="A214" s="7">
        <v>1613.8533467523616</v>
      </c>
      <c r="B214"/>
      <c r="C214"/>
      <c r="D214"/>
      <c r="E214"/>
      <c r="AM214" s="27" t="s">
        <v>8</v>
      </c>
      <c r="AN214" s="27" t="s">
        <v>7</v>
      </c>
      <c r="AO214" s="27" t="s">
        <v>8</v>
      </c>
      <c r="AP214" s="27" t="s">
        <v>7</v>
      </c>
      <c r="AQ214" s="27" t="s">
        <v>8</v>
      </c>
      <c r="AR214" s="27" t="s">
        <v>7</v>
      </c>
    </row>
    <row r="215" spans="1:46" x14ac:dyDescent="0.25">
      <c r="A215" s="7">
        <v>1582.2091634827075</v>
      </c>
      <c r="B215"/>
      <c r="C215"/>
      <c r="D215"/>
      <c r="E215"/>
      <c r="AM215" s="27" t="s">
        <v>8</v>
      </c>
      <c r="AN215" s="27" t="s">
        <v>7</v>
      </c>
      <c r="AO215" s="27" t="s">
        <v>8</v>
      </c>
      <c r="AP215" s="27" t="s">
        <v>7</v>
      </c>
      <c r="AQ215" s="27" t="s">
        <v>8</v>
      </c>
      <c r="AR215" s="27" t="s">
        <v>7</v>
      </c>
    </row>
    <row r="216" spans="1:46" x14ac:dyDescent="0.25">
      <c r="A216" s="7">
        <v>1551.1854543948111</v>
      </c>
      <c r="B216"/>
      <c r="C216"/>
      <c r="D216"/>
      <c r="E216"/>
      <c r="AM216" s="27" t="s">
        <v>8</v>
      </c>
      <c r="AN216" s="27" t="s">
        <v>7</v>
      </c>
      <c r="AO216" s="27" t="s">
        <v>8</v>
      </c>
      <c r="AP216" s="27" t="s">
        <v>7</v>
      </c>
      <c r="AQ216" s="27" t="s">
        <v>8</v>
      </c>
      <c r="AR216" s="27" t="s">
        <v>7</v>
      </c>
    </row>
    <row r="217" spans="1:46" x14ac:dyDescent="0.25">
      <c r="A217" s="7">
        <v>1520.7700533282461</v>
      </c>
      <c r="B217"/>
      <c r="C217"/>
      <c r="D217"/>
      <c r="E217"/>
      <c r="AM217" s="27" t="s">
        <v>8</v>
      </c>
      <c r="AN217" s="27" t="s">
        <v>7</v>
      </c>
      <c r="AO217" s="27" t="s">
        <v>8</v>
      </c>
      <c r="AP217" s="27" t="s">
        <v>7</v>
      </c>
      <c r="AQ217" s="27" t="s">
        <v>8</v>
      </c>
      <c r="AR217" s="27" t="s">
        <v>7</v>
      </c>
    </row>
    <row r="218" spans="1:46" x14ac:dyDescent="0.25">
      <c r="A218" s="7">
        <v>1490.9510326747511</v>
      </c>
      <c r="B218"/>
      <c r="C218"/>
      <c r="D218"/>
      <c r="E218"/>
      <c r="G218" s="27" t="s">
        <v>8</v>
      </c>
      <c r="AM218" s="27" t="s">
        <v>8</v>
      </c>
      <c r="AN218" s="27" t="s">
        <v>7</v>
      </c>
      <c r="AO218" s="27" t="s">
        <v>8</v>
      </c>
      <c r="AP218" s="27" t="s">
        <v>7</v>
      </c>
      <c r="AQ218" s="27" t="s">
        <v>8</v>
      </c>
      <c r="AR218" s="27" t="s">
        <v>7</v>
      </c>
    </row>
    <row r="219" spans="1:46" x14ac:dyDescent="0.25">
      <c r="A219" s="7">
        <v>1461.7166987007363</v>
      </c>
      <c r="B219"/>
      <c r="C219"/>
      <c r="D219"/>
      <c r="E219"/>
      <c r="G219" s="27" t="s">
        <v>8</v>
      </c>
      <c r="H219" s="27" t="s">
        <v>7</v>
      </c>
      <c r="AM219" s="27" t="s">
        <v>8</v>
      </c>
      <c r="AN219" s="27" t="s">
        <v>7</v>
      </c>
      <c r="AO219" s="27" t="s">
        <v>8</v>
      </c>
      <c r="AP219" s="27" t="s">
        <v>7</v>
      </c>
      <c r="AQ219" s="27" t="s">
        <v>8</v>
      </c>
      <c r="AR219" s="27" t="s">
        <v>7</v>
      </c>
    </row>
    <row r="220" spans="1:46" x14ac:dyDescent="0.25">
      <c r="A220" s="7">
        <v>1433.0555869615062</v>
      </c>
      <c r="B220"/>
      <c r="C220"/>
      <c r="D220"/>
      <c r="E220"/>
      <c r="G220" s="27" t="s">
        <v>8</v>
      </c>
      <c r="H220" s="27" t="s">
        <v>7</v>
      </c>
      <c r="AM220" s="27" t="s">
        <v>8</v>
      </c>
      <c r="AN220" s="27" t="s">
        <v>7</v>
      </c>
      <c r="AO220" s="27" t="s">
        <v>8</v>
      </c>
      <c r="AP220" s="27" t="s">
        <v>7</v>
      </c>
      <c r="AQ220" s="27" t="s">
        <v>8</v>
      </c>
      <c r="AR220" s="27" t="s">
        <v>7</v>
      </c>
    </row>
    <row r="221" spans="1:46" x14ac:dyDescent="0.25">
      <c r="A221" s="7">
        <v>1404.9564578053983</v>
      </c>
      <c r="B221"/>
      <c r="C221"/>
      <c r="D221"/>
      <c r="E221"/>
      <c r="G221" s="27" t="s">
        <v>8</v>
      </c>
      <c r="H221" s="27" t="s">
        <v>7</v>
      </c>
      <c r="I221" s="27" t="s">
        <v>8</v>
      </c>
      <c r="AM221" s="27" t="s">
        <v>8</v>
      </c>
      <c r="AN221" s="27" t="s">
        <v>7</v>
      </c>
      <c r="AO221" s="27" t="s">
        <v>8</v>
      </c>
      <c r="AP221" s="27" t="s">
        <v>7</v>
      </c>
      <c r="AQ221" s="27" t="s">
        <v>8</v>
      </c>
      <c r="AR221" s="27" t="s">
        <v>7</v>
      </c>
    </row>
    <row r="222" spans="1:46" x14ac:dyDescent="0.25">
      <c r="A222" s="7">
        <v>1377.4082919660766</v>
      </c>
      <c r="B222"/>
      <c r="C222"/>
      <c r="D222"/>
      <c r="E222"/>
      <c r="G222" s="27" t="s">
        <v>8</v>
      </c>
      <c r="H222" s="27" t="s">
        <v>7</v>
      </c>
      <c r="I222" s="27" t="s">
        <v>8</v>
      </c>
      <c r="J222" s="27" t="s">
        <v>7</v>
      </c>
      <c r="Q222" s="27" t="s">
        <v>8</v>
      </c>
      <c r="AM222" s="27" t="s">
        <v>8</v>
      </c>
      <c r="AN222" s="27" t="s">
        <v>7</v>
      </c>
      <c r="AO222" s="27" t="s">
        <v>8</v>
      </c>
      <c r="AP222" s="27" t="s">
        <v>7</v>
      </c>
      <c r="AR222" s="27" t="s">
        <v>7</v>
      </c>
      <c r="AS222" s="27" t="s">
        <v>8</v>
      </c>
    </row>
    <row r="223" spans="1:46" x14ac:dyDescent="0.25">
      <c r="A223" s="7">
        <v>1350.4002862412515</v>
      </c>
      <c r="B223"/>
      <c r="C223"/>
      <c r="D223"/>
      <c r="E223"/>
      <c r="G223" s="27" t="s">
        <v>8</v>
      </c>
      <c r="H223" s="27" t="s">
        <v>7</v>
      </c>
      <c r="I223" s="27" t="s">
        <v>8</v>
      </c>
      <c r="J223" s="27" t="s">
        <v>7</v>
      </c>
      <c r="Q223" s="27" t="s">
        <v>8</v>
      </c>
      <c r="R223" s="27" t="s">
        <v>7</v>
      </c>
      <c r="AM223" s="27" t="s">
        <v>8</v>
      </c>
      <c r="AN223" s="27" t="s">
        <v>7</v>
      </c>
      <c r="AO223" s="27" t="s">
        <v>8</v>
      </c>
      <c r="AR223" s="27" t="s">
        <v>7</v>
      </c>
      <c r="AS223" s="27" t="s">
        <v>8</v>
      </c>
      <c r="AT223" s="27" t="s">
        <v>7</v>
      </c>
    </row>
    <row r="224" spans="1:46" x14ac:dyDescent="0.25">
      <c r="A224" s="7">
        <v>1323.9218492561288</v>
      </c>
      <c r="B224"/>
      <c r="C224"/>
      <c r="D224"/>
      <c r="E224"/>
      <c r="G224" s="27" t="s">
        <v>8</v>
      </c>
      <c r="H224" s="27" t="s">
        <v>7</v>
      </c>
      <c r="I224" s="27" t="s">
        <v>8</v>
      </c>
      <c r="J224" s="27" t="s">
        <v>7</v>
      </c>
      <c r="Q224" s="27" t="s">
        <v>8</v>
      </c>
      <c r="R224" s="27" t="s">
        <v>7</v>
      </c>
      <c r="AM224" s="27" t="s">
        <v>8</v>
      </c>
      <c r="AN224" s="27" t="s">
        <v>7</v>
      </c>
      <c r="AO224" s="27" t="s">
        <v>8</v>
      </c>
      <c r="AR224" s="27" t="s">
        <v>7</v>
      </c>
      <c r="AS224" s="27" t="s">
        <v>8</v>
      </c>
      <c r="AT224" s="27" t="s">
        <v>7</v>
      </c>
    </row>
    <row r="225" spans="1:52" x14ac:dyDescent="0.25">
      <c r="A225" s="7">
        <v>1297.9625973099301</v>
      </c>
      <c r="B225"/>
      <c r="C225"/>
      <c r="D225"/>
      <c r="E225"/>
      <c r="G225" s="27" t="s">
        <v>8</v>
      </c>
      <c r="H225" s="27" t="s">
        <v>7</v>
      </c>
      <c r="I225" s="27" t="s">
        <v>8</v>
      </c>
      <c r="J225" s="27" t="s">
        <v>7</v>
      </c>
      <c r="Q225" s="27" t="s">
        <v>8</v>
      </c>
      <c r="R225" s="27" t="s">
        <v>7</v>
      </c>
      <c r="AM225" s="27" t="s">
        <v>8</v>
      </c>
      <c r="AN225" s="27" t="s">
        <v>7</v>
      </c>
      <c r="AO225" s="27" t="s">
        <v>8</v>
      </c>
      <c r="AR225" s="27" t="s">
        <v>7</v>
      </c>
      <c r="AS225" s="27" t="s">
        <v>8</v>
      </c>
      <c r="AT225" s="27" t="s">
        <v>7</v>
      </c>
    </row>
    <row r="226" spans="1:52" x14ac:dyDescent="0.25">
      <c r="A226" s="7">
        <v>1272.5123503038531</v>
      </c>
      <c r="B226"/>
      <c r="C226"/>
      <c r="D226"/>
      <c r="E226"/>
      <c r="G226" s="27" t="s">
        <v>8</v>
      </c>
      <c r="H226" s="27" t="s">
        <v>7</v>
      </c>
      <c r="I226" s="27" t="s">
        <v>8</v>
      </c>
      <c r="J226" s="27" t="s">
        <v>7</v>
      </c>
      <c r="Q226" s="27" t="s">
        <v>8</v>
      </c>
      <c r="R226" s="27" t="s">
        <v>7</v>
      </c>
      <c r="AM226" s="27" t="s">
        <v>8</v>
      </c>
      <c r="AN226" s="27" t="s">
        <v>7</v>
      </c>
      <c r="AO226" s="27" t="s">
        <v>8</v>
      </c>
      <c r="AR226" s="27" t="s">
        <v>7</v>
      </c>
      <c r="AS226" s="27" t="s">
        <v>8</v>
      </c>
      <c r="AT226" s="27" t="s">
        <v>7</v>
      </c>
    </row>
    <row r="227" spans="1:52" x14ac:dyDescent="0.25">
      <c r="A227" s="7">
        <v>1247.5611277488756</v>
      </c>
      <c r="B227"/>
      <c r="C227"/>
      <c r="D227"/>
      <c r="E227"/>
      <c r="G227" s="27" t="s">
        <v>8</v>
      </c>
      <c r="H227" s="27" t="s">
        <v>7</v>
      </c>
      <c r="I227" s="27" t="s">
        <v>8</v>
      </c>
      <c r="J227" s="27" t="s">
        <v>7</v>
      </c>
      <c r="Q227" s="27" t="s">
        <v>8</v>
      </c>
      <c r="R227" s="27" t="s">
        <v>7</v>
      </c>
      <c r="AK227" s="27" t="s">
        <v>8</v>
      </c>
      <c r="AM227" s="27" t="s">
        <v>8</v>
      </c>
      <c r="AN227" s="27" t="s">
        <v>7</v>
      </c>
      <c r="AO227" s="27" t="s">
        <v>8</v>
      </c>
      <c r="AR227" s="27" t="s">
        <v>7</v>
      </c>
      <c r="AS227" s="27" t="s">
        <v>8</v>
      </c>
      <c r="AT227" s="27" t="s">
        <v>7</v>
      </c>
    </row>
    <row r="228" spans="1:52" x14ac:dyDescent="0.25">
      <c r="A228" s="7">
        <v>1223.0991448518389</v>
      </c>
      <c r="B228"/>
      <c r="C228"/>
      <c r="D228"/>
      <c r="E228"/>
      <c r="G228" s="27" t="s">
        <v>8</v>
      </c>
      <c r="H228" s="27" t="s">
        <v>7</v>
      </c>
      <c r="I228" s="27" t="s">
        <v>8</v>
      </c>
      <c r="J228" s="27" t="s">
        <v>7</v>
      </c>
      <c r="Q228" s="27" t="s">
        <v>8</v>
      </c>
      <c r="R228" s="27" t="s">
        <v>7</v>
      </c>
      <c r="AK228" s="27" t="s">
        <v>8</v>
      </c>
      <c r="AL228" s="27" t="s">
        <v>7</v>
      </c>
      <c r="AM228" s="27" t="s">
        <v>8</v>
      </c>
      <c r="AN228" s="27" t="s">
        <v>7</v>
      </c>
      <c r="AR228" s="27" t="s">
        <v>7</v>
      </c>
      <c r="AT228" s="27" t="s">
        <v>7</v>
      </c>
    </row>
    <row r="229" spans="1:52" x14ac:dyDescent="0.25">
      <c r="A229" s="7">
        <v>1199.1168086782734</v>
      </c>
      <c r="B229"/>
      <c r="C229"/>
      <c r="D229"/>
      <c r="E229"/>
      <c r="G229" s="27" t="s">
        <v>8</v>
      </c>
      <c r="H229" s="27" t="s">
        <v>7</v>
      </c>
      <c r="I229" s="27" t="s">
        <v>8</v>
      </c>
      <c r="J229" s="27" t="s">
        <v>7</v>
      </c>
      <c r="Q229" s="27" t="s">
        <v>8</v>
      </c>
      <c r="R229" s="27" t="s">
        <v>7</v>
      </c>
      <c r="AK229" s="27" t="s">
        <v>8</v>
      </c>
      <c r="AL229" s="27" t="s">
        <v>7</v>
      </c>
      <c r="AM229" s="27" t="s">
        <v>8</v>
      </c>
      <c r="AT229" s="27" t="s">
        <v>7</v>
      </c>
      <c r="AU229" s="27" t="s">
        <v>8</v>
      </c>
    </row>
    <row r="230" spans="1:52" x14ac:dyDescent="0.25">
      <c r="A230" s="7">
        <v>1175.6047143904641</v>
      </c>
      <c r="B230"/>
      <c r="C230"/>
      <c r="D230"/>
      <c r="E230"/>
      <c r="G230" s="27" t="s">
        <v>8</v>
      </c>
      <c r="H230" s="27" t="s">
        <v>7</v>
      </c>
      <c r="I230" s="27" t="s">
        <v>8</v>
      </c>
      <c r="J230" s="27" t="s">
        <v>7</v>
      </c>
      <c r="K230" s="27" t="s">
        <v>8</v>
      </c>
      <c r="Q230" s="27" t="s">
        <v>8</v>
      </c>
      <c r="R230" s="27" t="s">
        <v>7</v>
      </c>
      <c r="AK230" s="27" t="s">
        <v>8</v>
      </c>
      <c r="AL230" s="27" t="s">
        <v>7</v>
      </c>
      <c r="AM230" s="27" t="s">
        <v>8</v>
      </c>
      <c r="AT230" s="27" t="s">
        <v>7</v>
      </c>
      <c r="AU230" s="27" t="s">
        <v>8</v>
      </c>
      <c r="AV230" s="27" t="s">
        <v>7</v>
      </c>
    </row>
    <row r="231" spans="1:52" x14ac:dyDescent="0.25">
      <c r="A231" s="7">
        <v>1152.5536415592785</v>
      </c>
      <c r="B231"/>
      <c r="C231"/>
      <c r="D231"/>
      <c r="E231"/>
      <c r="G231" s="27" t="s">
        <v>8</v>
      </c>
      <c r="H231" s="27" t="s">
        <v>7</v>
      </c>
      <c r="J231" s="27" t="s">
        <v>7</v>
      </c>
      <c r="K231" s="27" t="s">
        <v>8</v>
      </c>
      <c r="L231" s="27" t="s">
        <v>7</v>
      </c>
      <c r="Q231" s="27" t="s">
        <v>8</v>
      </c>
      <c r="R231" s="27" t="s">
        <v>7</v>
      </c>
      <c r="AK231" s="27" t="s">
        <v>8</v>
      </c>
      <c r="AL231" s="27" t="s">
        <v>7</v>
      </c>
      <c r="AM231" s="27" t="s">
        <v>8</v>
      </c>
      <c r="AT231" s="27" t="s">
        <v>7</v>
      </c>
      <c r="AU231" s="27" t="s">
        <v>8</v>
      </c>
      <c r="AV231" s="27" t="s">
        <v>7</v>
      </c>
    </row>
    <row r="232" spans="1:52" x14ac:dyDescent="0.25">
      <c r="A232" s="7">
        <v>1129.9545505483122</v>
      </c>
      <c r="B232"/>
      <c r="C232"/>
      <c r="D232"/>
      <c r="E232"/>
      <c r="G232" s="27" t="s">
        <v>8</v>
      </c>
      <c r="J232" s="27" t="s">
        <v>7</v>
      </c>
      <c r="K232" s="27" t="s">
        <v>8</v>
      </c>
      <c r="L232" s="27" t="s">
        <v>7</v>
      </c>
      <c r="Q232" s="27" t="s">
        <v>8</v>
      </c>
      <c r="R232" s="27" t="s">
        <v>7</v>
      </c>
      <c r="AK232" s="27" t="s">
        <v>8</v>
      </c>
      <c r="AL232" s="27" t="s">
        <v>7</v>
      </c>
      <c r="AM232" s="27" t="s">
        <v>8</v>
      </c>
      <c r="AT232" s="27" t="s">
        <v>7</v>
      </c>
      <c r="AU232" s="27" t="s">
        <v>8</v>
      </c>
      <c r="AV232" s="27" t="s">
        <v>7</v>
      </c>
    </row>
    <row r="233" spans="1:52" x14ac:dyDescent="0.25">
      <c r="A233" s="7">
        <v>1107.7985789689335</v>
      </c>
      <c r="B233"/>
      <c r="C233"/>
      <c r="D233"/>
      <c r="E233"/>
      <c r="G233" s="27" t="s">
        <v>8</v>
      </c>
      <c r="J233" s="27" t="s">
        <v>7</v>
      </c>
      <c r="K233" s="27" t="s">
        <v>8</v>
      </c>
      <c r="L233" s="27" t="s">
        <v>7</v>
      </c>
      <c r="Q233" s="27" t="s">
        <v>8</v>
      </c>
      <c r="R233" s="27" t="s">
        <v>7</v>
      </c>
      <c r="AK233" s="27" t="s">
        <v>8</v>
      </c>
      <c r="AL233" s="27" t="s">
        <v>7</v>
      </c>
      <c r="AM233" s="27" t="s">
        <v>8</v>
      </c>
      <c r="AT233" s="27" t="s">
        <v>7</v>
      </c>
      <c r="AU233" s="27" t="s">
        <v>8</v>
      </c>
      <c r="AV233" s="27" t="s">
        <v>7</v>
      </c>
    </row>
    <row r="234" spans="1:52" x14ac:dyDescent="0.25">
      <c r="A234" s="7">
        <v>1086.0770382048368</v>
      </c>
      <c r="B234"/>
      <c r="C234"/>
      <c r="D234"/>
      <c r="E234"/>
      <c r="G234" s="27" t="s">
        <v>8</v>
      </c>
      <c r="J234" s="27" t="s">
        <v>7</v>
      </c>
      <c r="K234" s="27" t="s">
        <v>8</v>
      </c>
      <c r="L234" s="27" t="s">
        <v>7</v>
      </c>
      <c r="Q234" s="27" t="s">
        <v>8</v>
      </c>
      <c r="R234" s="27" t="s">
        <v>7</v>
      </c>
      <c r="AK234" s="27" t="s">
        <v>8</v>
      </c>
      <c r="AL234" s="27" t="s">
        <v>7</v>
      </c>
      <c r="AM234" s="27" t="s">
        <v>8</v>
      </c>
      <c r="AT234" s="27" t="s">
        <v>7</v>
      </c>
      <c r="AU234" s="27" t="s">
        <v>8</v>
      </c>
      <c r="AV234" s="27" t="s">
        <v>7</v>
      </c>
    </row>
    <row r="235" spans="1:52" x14ac:dyDescent="0.25">
      <c r="A235" s="7">
        <v>1064.7814100047419</v>
      </c>
      <c r="B235"/>
      <c r="C235"/>
      <c r="D235"/>
      <c r="E235"/>
      <c r="G235" s="27" t="s">
        <v>8</v>
      </c>
      <c r="J235" s="27" t="s">
        <v>7</v>
      </c>
      <c r="K235" s="27" t="s">
        <v>8</v>
      </c>
      <c r="L235" s="27" t="s">
        <v>7</v>
      </c>
      <c r="Q235" s="27" t="s">
        <v>8</v>
      </c>
      <c r="R235" s="27" t="s">
        <v>7</v>
      </c>
      <c r="AK235" s="27" t="s">
        <v>8</v>
      </c>
      <c r="AL235" s="27" t="s">
        <v>7</v>
      </c>
      <c r="AM235" s="27" t="s">
        <v>8</v>
      </c>
      <c r="AT235" s="27" t="s">
        <v>7</v>
      </c>
      <c r="AU235" s="27" t="s">
        <v>8</v>
      </c>
      <c r="AV235" s="27" t="s">
        <v>7</v>
      </c>
    </row>
    <row r="236" spans="1:52" x14ac:dyDescent="0.25">
      <c r="A236" s="7">
        <v>1043.9033431419039</v>
      </c>
      <c r="B236"/>
      <c r="C236"/>
      <c r="D236"/>
      <c r="E236"/>
      <c r="G236" s="27" t="s">
        <v>8</v>
      </c>
      <c r="J236" s="27" t="s">
        <v>7</v>
      </c>
      <c r="K236" s="27" t="s">
        <v>8</v>
      </c>
      <c r="L236" s="27" t="s">
        <v>7</v>
      </c>
      <c r="Q236" s="27" t="s">
        <v>8</v>
      </c>
      <c r="R236" s="27" t="s">
        <v>7</v>
      </c>
      <c r="AK236" s="27" t="s">
        <v>8</v>
      </c>
      <c r="AL236" s="27" t="s">
        <v>7</v>
      </c>
      <c r="AM236" s="27" t="s">
        <v>8</v>
      </c>
      <c r="AT236" s="27" t="s">
        <v>7</v>
      </c>
      <c r="AU236" s="27" t="s">
        <v>8</v>
      </c>
      <c r="AV236" s="27" t="s">
        <v>7</v>
      </c>
    </row>
    <row r="237" spans="1:52" x14ac:dyDescent="0.25">
      <c r="A237" s="7">
        <v>1023.4346501391215</v>
      </c>
      <c r="B237"/>
      <c r="C237"/>
      <c r="D237"/>
      <c r="E237"/>
      <c r="G237" s="27" t="s">
        <v>8</v>
      </c>
      <c r="J237" s="27" t="s">
        <v>7</v>
      </c>
      <c r="K237" s="27" t="s">
        <v>8</v>
      </c>
      <c r="L237" s="27" t="s">
        <v>7</v>
      </c>
      <c r="Q237" s="27" t="s">
        <v>8</v>
      </c>
      <c r="R237" s="27" t="s">
        <v>7</v>
      </c>
      <c r="AK237" s="27" t="s">
        <v>8</v>
      </c>
      <c r="AL237" s="27" t="s">
        <v>7</v>
      </c>
      <c r="AM237" s="27" t="s">
        <v>8</v>
      </c>
      <c r="AT237" s="27" t="s">
        <v>7</v>
      </c>
      <c r="AU237" s="27" t="s">
        <v>8</v>
      </c>
      <c r="AV237" s="27" t="s">
        <v>7</v>
      </c>
      <c r="AY237" s="27" t="s">
        <v>8</v>
      </c>
    </row>
    <row r="238" spans="1:52" x14ac:dyDescent="0.25">
      <c r="A238" s="7">
        <v>1003.3673040579622</v>
      </c>
      <c r="B238"/>
      <c r="C238"/>
      <c r="D238"/>
      <c r="E238" t="s">
        <v>8</v>
      </c>
      <c r="G238" s="27" t="s">
        <v>8</v>
      </c>
      <c r="J238" s="27" t="s">
        <v>7</v>
      </c>
      <c r="K238" s="27" t="s">
        <v>8</v>
      </c>
      <c r="L238" s="27" t="s">
        <v>7</v>
      </c>
      <c r="Q238" s="27" t="s">
        <v>8</v>
      </c>
      <c r="R238" s="27" t="s">
        <v>7</v>
      </c>
      <c r="AK238" s="27" t="s">
        <v>8</v>
      </c>
      <c r="AL238" s="27" t="s">
        <v>7</v>
      </c>
      <c r="AM238" s="27" t="s">
        <v>8</v>
      </c>
      <c r="AT238" s="27" t="s">
        <v>7</v>
      </c>
      <c r="AU238" s="27" t="s">
        <v>8</v>
      </c>
      <c r="AV238" s="27" t="s">
        <v>7</v>
      </c>
      <c r="AY238" s="27" t="s">
        <v>8</v>
      </c>
      <c r="AZ238" s="27" t="s">
        <v>7</v>
      </c>
    </row>
    <row r="239" spans="1:52" x14ac:dyDescent="0.25">
      <c r="A239" s="7">
        <v>983.69343535094333</v>
      </c>
      <c r="B239"/>
      <c r="C239"/>
      <c r="D239"/>
      <c r="E239" t="s">
        <v>8</v>
      </c>
      <c r="F239" s="27" t="s">
        <v>7</v>
      </c>
      <c r="G239" s="27" t="s">
        <v>8</v>
      </c>
      <c r="J239" s="27" t="s">
        <v>7</v>
      </c>
      <c r="K239" s="27" t="s">
        <v>8</v>
      </c>
      <c r="L239" s="27" t="s">
        <v>7</v>
      </c>
      <c r="Q239" s="27" t="s">
        <v>8</v>
      </c>
      <c r="R239" s="27" t="s">
        <v>7</v>
      </c>
      <c r="AK239" s="27" t="s">
        <v>8</v>
      </c>
      <c r="AL239" s="27" t="s">
        <v>7</v>
      </c>
      <c r="AM239" s="27" t="s">
        <v>8</v>
      </c>
      <c r="AT239" s="27" t="s">
        <v>7</v>
      </c>
      <c r="AU239" s="27" t="s">
        <v>8</v>
      </c>
      <c r="AV239" s="27" t="s">
        <v>7</v>
      </c>
      <c r="AY239" s="27" t="s">
        <v>8</v>
      </c>
      <c r="AZ239" s="27" t="s">
        <v>7</v>
      </c>
    </row>
    <row r="240" spans="1:52" x14ac:dyDescent="0.25">
      <c r="A240" s="7">
        <v>964.40532877543467</v>
      </c>
      <c r="B240"/>
      <c r="C240"/>
      <c r="D240"/>
      <c r="E240" t="s">
        <v>8</v>
      </c>
      <c r="F240" s="27" t="s">
        <v>7</v>
      </c>
      <c r="G240" s="27" t="s">
        <v>8</v>
      </c>
      <c r="J240" s="27" t="s">
        <v>7</v>
      </c>
      <c r="K240" s="27" t="s">
        <v>8</v>
      </c>
      <c r="L240" s="27" t="s">
        <v>7</v>
      </c>
      <c r="O240" s="27" t="s">
        <v>8</v>
      </c>
      <c r="Q240" s="27" t="s">
        <v>8</v>
      </c>
      <c r="R240" s="27" t="s">
        <v>7</v>
      </c>
      <c r="AK240" s="27" t="s">
        <v>8</v>
      </c>
      <c r="AL240" s="27" t="s">
        <v>7</v>
      </c>
      <c r="AM240" s="27" t="s">
        <v>8</v>
      </c>
      <c r="AT240" s="27" t="s">
        <v>7</v>
      </c>
      <c r="AU240" s="27" t="s">
        <v>8</v>
      </c>
      <c r="AV240" s="27" t="s">
        <v>7</v>
      </c>
      <c r="AW240" s="27" t="s">
        <v>8</v>
      </c>
      <c r="AY240" s="27" t="s">
        <v>8</v>
      </c>
      <c r="AZ240" s="27" t="s">
        <v>7</v>
      </c>
    </row>
    <row r="241" spans="1:90" x14ac:dyDescent="0.25">
      <c r="A241" s="7">
        <v>945.49542036807316</v>
      </c>
      <c r="B241"/>
      <c r="C241"/>
      <c r="D241"/>
      <c r="E241" t="s">
        <v>8</v>
      </c>
      <c r="F241" s="27" t="s">
        <v>7</v>
      </c>
      <c r="G241" s="27" t="s">
        <v>8</v>
      </c>
      <c r="J241" s="27" t="s">
        <v>7</v>
      </c>
      <c r="K241" s="27" t="s">
        <v>8</v>
      </c>
      <c r="L241" s="27" t="s">
        <v>7</v>
      </c>
      <c r="O241" s="27" t="s">
        <v>8</v>
      </c>
      <c r="P241" s="27" t="s">
        <v>7</v>
      </c>
      <c r="Q241" s="27" t="s">
        <v>8</v>
      </c>
      <c r="R241" s="27" t="s">
        <v>7</v>
      </c>
      <c r="AK241" s="27" t="s">
        <v>8</v>
      </c>
      <c r="AL241" s="27" t="s">
        <v>7</v>
      </c>
      <c r="AM241" s="27" t="s">
        <v>8</v>
      </c>
      <c r="AT241" s="27" t="s">
        <v>7</v>
      </c>
      <c r="AU241" s="27" t="s">
        <v>8</v>
      </c>
      <c r="AV241" s="27" t="s">
        <v>7</v>
      </c>
      <c r="AW241" s="27" t="s">
        <v>8</v>
      </c>
      <c r="AX241" s="27" t="s">
        <v>7</v>
      </c>
      <c r="AY241" s="27" t="s">
        <v>8</v>
      </c>
      <c r="AZ241" s="27" t="s">
        <v>7</v>
      </c>
    </row>
    <row r="242" spans="1:90" x14ac:dyDescent="0.25">
      <c r="A242" s="7">
        <v>926.95629447850308</v>
      </c>
      <c r="B242"/>
      <c r="C242"/>
      <c r="D242"/>
      <c r="E242" t="s">
        <v>8</v>
      </c>
      <c r="F242" s="27" t="s">
        <v>7</v>
      </c>
      <c r="G242" s="27" t="s">
        <v>8</v>
      </c>
      <c r="J242" s="27" t="s">
        <v>7</v>
      </c>
      <c r="L242" s="27" t="s">
        <v>7</v>
      </c>
      <c r="O242" s="27" t="s">
        <v>8</v>
      </c>
      <c r="P242" s="27" t="s">
        <v>7</v>
      </c>
      <c r="Q242" s="27" t="s">
        <v>8</v>
      </c>
      <c r="R242" s="27" t="s">
        <v>7</v>
      </c>
      <c r="AK242" s="27" t="s">
        <v>8</v>
      </c>
      <c r="AL242" s="27" t="s">
        <v>7</v>
      </c>
      <c r="AM242" s="27" t="s">
        <v>8</v>
      </c>
      <c r="AT242" s="27" t="s">
        <v>7</v>
      </c>
      <c r="AU242" s="27" t="s">
        <v>8</v>
      </c>
      <c r="AV242" s="27" t="s">
        <v>7</v>
      </c>
      <c r="AW242" s="27" t="s">
        <v>8</v>
      </c>
      <c r="AX242" s="27" t="s">
        <v>7</v>
      </c>
      <c r="AY242" s="27" t="s">
        <v>8</v>
      </c>
      <c r="AZ242" s="27" t="s">
        <v>7</v>
      </c>
    </row>
    <row r="243" spans="1:90" x14ac:dyDescent="0.25">
      <c r="A243" s="7">
        <v>908.78068086127746</v>
      </c>
      <c r="B243"/>
      <c r="C243"/>
      <c r="D243"/>
      <c r="E243" t="s">
        <v>8</v>
      </c>
      <c r="F243" s="27" t="s">
        <v>7</v>
      </c>
      <c r="G243" s="27" t="s">
        <v>8</v>
      </c>
      <c r="L243" s="27" t="s">
        <v>7</v>
      </c>
      <c r="O243" s="27" t="s">
        <v>8</v>
      </c>
      <c r="P243" s="27" t="s">
        <v>7</v>
      </c>
      <c r="Q243" s="27" t="s">
        <v>8</v>
      </c>
      <c r="R243" s="27" t="s">
        <v>7</v>
      </c>
      <c r="AK243" s="27" t="s">
        <v>8</v>
      </c>
      <c r="AL243" s="27" t="s">
        <v>7</v>
      </c>
      <c r="AT243" s="27" t="s">
        <v>7</v>
      </c>
      <c r="AU243" s="27" t="s">
        <v>8</v>
      </c>
      <c r="AV243" s="27" t="s">
        <v>7</v>
      </c>
      <c r="AW243" s="27" t="s">
        <v>8</v>
      </c>
      <c r="AX243" s="27" t="s">
        <v>7</v>
      </c>
      <c r="AY243" s="27" t="s">
        <v>8</v>
      </c>
      <c r="AZ243" s="27" t="s">
        <v>7</v>
      </c>
    </row>
    <row r="244" spans="1:90" x14ac:dyDescent="0.25">
      <c r="A244" s="7">
        <v>890.96145182478176</v>
      </c>
      <c r="B244"/>
      <c r="C244"/>
      <c r="D244"/>
      <c r="E244" t="s">
        <v>8</v>
      </c>
      <c r="F244" s="27" t="s">
        <v>7</v>
      </c>
      <c r="G244" s="27" t="s">
        <v>8</v>
      </c>
      <c r="L244" s="27" t="s">
        <v>7</v>
      </c>
      <c r="O244" s="27" t="s">
        <v>8</v>
      </c>
      <c r="P244" s="27" t="s">
        <v>7</v>
      </c>
      <c r="Q244" s="27" t="s">
        <v>8</v>
      </c>
      <c r="R244" s="27" t="s">
        <v>7</v>
      </c>
      <c r="AK244" s="27" t="s">
        <v>8</v>
      </c>
      <c r="AT244" s="27" t="s">
        <v>7</v>
      </c>
      <c r="AU244" s="27" t="s">
        <v>8</v>
      </c>
      <c r="AV244" s="27" t="s">
        <v>7</v>
      </c>
      <c r="AW244" s="27" t="s">
        <v>8</v>
      </c>
      <c r="AX244" s="27" t="s">
        <v>7</v>
      </c>
      <c r="AY244" s="27" t="s">
        <v>8</v>
      </c>
      <c r="AZ244" s="27" t="s">
        <v>7</v>
      </c>
    </row>
    <row r="245" spans="1:90" x14ac:dyDescent="0.25">
      <c r="A245" s="7">
        <v>873.49161943606055</v>
      </c>
      <c r="B245"/>
      <c r="C245"/>
      <c r="D245"/>
      <c r="E245" t="s">
        <v>8</v>
      </c>
      <c r="F245" s="27" t="s">
        <v>7</v>
      </c>
      <c r="G245" s="27" t="s">
        <v>8</v>
      </c>
      <c r="L245" s="27" t="s">
        <v>7</v>
      </c>
      <c r="O245" s="27" t="s">
        <v>8</v>
      </c>
      <c r="P245" s="27" t="s">
        <v>7</v>
      </c>
      <c r="Q245" s="27" t="s">
        <v>8</v>
      </c>
      <c r="R245" s="27" t="s">
        <v>7</v>
      </c>
      <c r="AK245" s="27" t="s">
        <v>8</v>
      </c>
      <c r="AT245" s="27" t="s">
        <v>7</v>
      </c>
      <c r="AU245" s="27" t="s">
        <v>8</v>
      </c>
      <c r="AV245" s="27" t="s">
        <v>7</v>
      </c>
      <c r="AW245" s="27" t="s">
        <v>8</v>
      </c>
      <c r="AX245" s="27" t="s">
        <v>7</v>
      </c>
      <c r="AY245" s="27" t="s">
        <v>8</v>
      </c>
      <c r="AZ245" s="27" t="s">
        <v>7</v>
      </c>
    </row>
    <row r="246" spans="1:90" x14ac:dyDescent="0.25">
      <c r="A246" s="7">
        <v>856.36433278045149</v>
      </c>
      <c r="B246"/>
      <c r="C246"/>
      <c r="D246"/>
      <c r="E246" t="s">
        <v>8</v>
      </c>
      <c r="F246" s="27" t="s">
        <v>7</v>
      </c>
      <c r="G246" s="27" t="s">
        <v>8</v>
      </c>
      <c r="L246" s="27" t="s">
        <v>7</v>
      </c>
      <c r="M246" s="27" t="s">
        <v>8</v>
      </c>
      <c r="O246" s="27" t="s">
        <v>8</v>
      </c>
      <c r="P246" s="27" t="s">
        <v>7</v>
      </c>
      <c r="Q246" s="27" t="s">
        <v>8</v>
      </c>
      <c r="R246" s="27" t="s">
        <v>7</v>
      </c>
      <c r="AK246" s="27" t="s">
        <v>8</v>
      </c>
      <c r="AT246" s="27" t="s">
        <v>7</v>
      </c>
      <c r="AU246" s="27" t="s">
        <v>8</v>
      </c>
      <c r="AV246" s="27" t="s">
        <v>7</v>
      </c>
      <c r="AW246" s="27" t="s">
        <v>8</v>
      </c>
      <c r="AX246" s="27" t="s">
        <v>7</v>
      </c>
      <c r="AY246" s="27" t="s">
        <v>8</v>
      </c>
      <c r="AZ246" s="27" t="s">
        <v>7</v>
      </c>
    </row>
    <row r="247" spans="1:90" x14ac:dyDescent="0.25">
      <c r="A247" s="7">
        <v>839.57287527495248</v>
      </c>
      <c r="B247"/>
      <c r="C247"/>
      <c r="D247"/>
      <c r="E247" t="s">
        <v>8</v>
      </c>
      <c r="F247" s="27" t="s">
        <v>7</v>
      </c>
      <c r="G247" s="27" t="s">
        <v>8</v>
      </c>
      <c r="L247" s="27" t="s">
        <v>7</v>
      </c>
      <c r="M247" s="27" t="s">
        <v>8</v>
      </c>
      <c r="N247" s="27" t="s">
        <v>7</v>
      </c>
      <c r="O247" s="27" t="s">
        <v>8</v>
      </c>
      <c r="P247" s="27" t="s">
        <v>7</v>
      </c>
      <c r="Q247" s="27" t="s">
        <v>8</v>
      </c>
      <c r="R247" s="27" t="s">
        <v>7</v>
      </c>
      <c r="AK247" s="27" t="s">
        <v>8</v>
      </c>
      <c r="AT247" s="27" t="s">
        <v>7</v>
      </c>
      <c r="AV247" s="27" t="s">
        <v>7</v>
      </c>
      <c r="AX247" s="27" t="s">
        <v>7</v>
      </c>
      <c r="AY247" s="27" t="s">
        <v>8</v>
      </c>
      <c r="AZ247" s="27" t="s">
        <v>7</v>
      </c>
    </row>
    <row r="248" spans="1:90" x14ac:dyDescent="0.25">
      <c r="A248" s="7">
        <v>823.11066203426708</v>
      </c>
      <c r="B248"/>
      <c r="C248"/>
      <c r="D248"/>
      <c r="E248" t="s">
        <v>8</v>
      </c>
      <c r="F248" s="27" t="s">
        <v>7</v>
      </c>
      <c r="G248" s="27" t="s">
        <v>8</v>
      </c>
      <c r="L248" s="27" t="s">
        <v>7</v>
      </c>
      <c r="M248" s="27" t="s">
        <v>8</v>
      </c>
      <c r="N248" s="27" t="s">
        <v>7</v>
      </c>
      <c r="O248" s="27" t="s">
        <v>8</v>
      </c>
      <c r="P248" s="27" t="s">
        <v>7</v>
      </c>
      <c r="Q248" s="27" t="s">
        <v>8</v>
      </c>
      <c r="R248" s="27" t="s">
        <v>7</v>
      </c>
      <c r="AK248" s="27" t="s">
        <v>8</v>
      </c>
      <c r="AX248" s="27" t="s">
        <v>7</v>
      </c>
      <c r="AY248" s="27" t="s">
        <v>8</v>
      </c>
      <c r="AZ248" s="27" t="s">
        <v>7</v>
      </c>
    </row>
    <row r="249" spans="1:90" x14ac:dyDescent="0.25">
      <c r="A249" s="7">
        <v>806.97123728849715</v>
      </c>
      <c r="B249"/>
      <c r="C249"/>
      <c r="D249"/>
      <c r="E249" t="s">
        <v>8</v>
      </c>
      <c r="F249" s="27" t="s">
        <v>7</v>
      </c>
      <c r="G249" s="27" t="s">
        <v>8</v>
      </c>
      <c r="L249" s="27" t="s">
        <v>7</v>
      </c>
      <c r="M249" s="27" t="s">
        <v>8</v>
      </c>
      <c r="N249" s="27" t="s">
        <v>7</v>
      </c>
      <c r="O249" s="27" t="s">
        <v>8</v>
      </c>
      <c r="P249" s="27" t="s">
        <v>7</v>
      </c>
      <c r="Q249" s="27" t="s">
        <v>8</v>
      </c>
      <c r="R249" s="27" t="s">
        <v>7</v>
      </c>
      <c r="AK249" s="27" t="s">
        <v>8</v>
      </c>
      <c r="AX249" s="27" t="s">
        <v>7</v>
      </c>
      <c r="AZ249" s="27" t="s">
        <v>7</v>
      </c>
    </row>
    <row r="250" spans="1:90" x14ac:dyDescent="0.25">
      <c r="A250" s="7">
        <v>791.14827185146783</v>
      </c>
      <c r="B250"/>
      <c r="C250"/>
      <c r="D250"/>
      <c r="E250" t="s">
        <v>8</v>
      </c>
      <c r="F250" s="27" t="s">
        <v>7</v>
      </c>
      <c r="G250" s="27" t="s">
        <v>8</v>
      </c>
      <c r="L250" s="27" t="s">
        <v>7</v>
      </c>
      <c r="M250" s="27" t="s">
        <v>8</v>
      </c>
      <c r="N250" s="27" t="s">
        <v>7</v>
      </c>
      <c r="O250" s="27" t="s">
        <v>8</v>
      </c>
      <c r="P250" s="27" t="s">
        <v>7</v>
      </c>
      <c r="Q250" s="27" t="s">
        <v>8</v>
      </c>
      <c r="R250" s="27" t="s">
        <v>7</v>
      </c>
      <c r="AI250" s="27" t="s">
        <v>8</v>
      </c>
      <c r="AK250" s="27" t="s">
        <v>8</v>
      </c>
      <c r="AZ250" s="27" t="s">
        <v>7</v>
      </c>
    </row>
    <row r="251" spans="1:90" x14ac:dyDescent="0.25">
      <c r="A251" s="7">
        <v>775.63556063869396</v>
      </c>
      <c r="B251"/>
      <c r="C251"/>
      <c r="D251"/>
      <c r="E251" t="s">
        <v>8</v>
      </c>
      <c r="F251" s="27" t="s">
        <v>7</v>
      </c>
      <c r="G251" s="27" t="s">
        <v>8</v>
      </c>
      <c r="L251" s="27" t="s">
        <v>7</v>
      </c>
      <c r="M251" s="27" t="s">
        <v>8</v>
      </c>
      <c r="N251" s="27" t="s">
        <v>7</v>
      </c>
      <c r="O251" s="27" t="s">
        <v>8</v>
      </c>
      <c r="P251" s="27" t="s">
        <v>7</v>
      </c>
      <c r="Q251" s="27" t="s">
        <v>8</v>
      </c>
      <c r="R251" s="27" t="s">
        <v>7</v>
      </c>
      <c r="AI251" s="27" t="s">
        <v>8</v>
      </c>
      <c r="AJ251" s="27" t="s">
        <v>7</v>
      </c>
      <c r="AK251" s="27" t="s">
        <v>8</v>
      </c>
      <c r="AZ251" s="27" t="s">
        <v>7</v>
      </c>
      <c r="CK251" s="27" t="s">
        <v>8</v>
      </c>
    </row>
    <row r="252" spans="1:90" x14ac:dyDescent="0.25">
      <c r="A252" s="7">
        <v>760.42702023401364</v>
      </c>
      <c r="B252"/>
      <c r="C252"/>
      <c r="D252"/>
      <c r="E252" t="s">
        <v>8</v>
      </c>
      <c r="F252" s="27" t="s">
        <v>7</v>
      </c>
      <c r="G252" s="27" t="s">
        <v>8</v>
      </c>
      <c r="L252" s="27" t="s">
        <v>7</v>
      </c>
      <c r="M252" s="27" t="s">
        <v>8</v>
      </c>
      <c r="N252" s="27" t="s">
        <v>7</v>
      </c>
      <c r="O252" s="27" t="s">
        <v>8</v>
      </c>
      <c r="P252" s="27" t="s">
        <v>7</v>
      </c>
      <c r="Q252" s="27" t="s">
        <v>8</v>
      </c>
      <c r="R252" s="27" t="s">
        <v>7</v>
      </c>
      <c r="AI252" s="27" t="s">
        <v>8</v>
      </c>
      <c r="AJ252" s="27" t="s">
        <v>7</v>
      </c>
      <c r="AK252" s="27" t="s">
        <v>8</v>
      </c>
      <c r="AZ252" s="27" t="s">
        <v>7</v>
      </c>
      <c r="CK252" s="27" t="s">
        <v>8</v>
      </c>
      <c r="CL252" s="27" t="s">
        <v>7</v>
      </c>
    </row>
    <row r="253" spans="1:90" x14ac:dyDescent="0.25">
      <c r="A253" s="7">
        <v>745.51668650393492</v>
      </c>
      <c r="B253"/>
      <c r="C253"/>
      <c r="D253"/>
      <c r="E253" t="s">
        <v>8</v>
      </c>
      <c r="F253" s="27" t="s">
        <v>7</v>
      </c>
      <c r="G253" s="27" t="s">
        <v>8</v>
      </c>
      <c r="L253" s="27" t="s">
        <v>7</v>
      </c>
      <c r="M253" s="27" t="s">
        <v>8</v>
      </c>
      <c r="N253" s="27" t="s">
        <v>7</v>
      </c>
      <c r="O253" s="27" t="s">
        <v>8</v>
      </c>
      <c r="P253" s="27" t="s">
        <v>7</v>
      </c>
      <c r="Q253" s="27" t="s">
        <v>8</v>
      </c>
      <c r="R253" s="27" t="s">
        <v>7</v>
      </c>
      <c r="AI253" s="27" t="s">
        <v>8</v>
      </c>
      <c r="AJ253" s="27" t="s">
        <v>7</v>
      </c>
      <c r="AK253" s="27" t="s">
        <v>8</v>
      </c>
      <c r="AZ253" s="27" t="s">
        <v>7</v>
      </c>
      <c r="BM253" s="27" t="s">
        <v>8</v>
      </c>
      <c r="CI253" s="27" t="s">
        <v>8</v>
      </c>
      <c r="CK253" s="27" t="s">
        <v>8</v>
      </c>
      <c r="CL253" s="27" t="s">
        <v>7</v>
      </c>
    </row>
    <row r="254" spans="1:90" x14ac:dyDescent="0.25">
      <c r="A254" s="7">
        <v>730.8987122587597</v>
      </c>
      <c r="B254"/>
      <c r="C254"/>
      <c r="D254"/>
      <c r="E254" t="s">
        <v>8</v>
      </c>
      <c r="F254" s="27" t="s">
        <v>7</v>
      </c>
      <c r="G254" s="27" t="s">
        <v>8</v>
      </c>
      <c r="L254" s="27" t="s">
        <v>7</v>
      </c>
      <c r="M254" s="27" t="s">
        <v>8</v>
      </c>
      <c r="N254" s="27" t="s">
        <v>7</v>
      </c>
      <c r="O254" s="27" t="s">
        <v>8</v>
      </c>
      <c r="P254" s="27" t="s">
        <v>7</v>
      </c>
      <c r="Q254" s="27" t="s">
        <v>8</v>
      </c>
      <c r="R254" s="27" t="s">
        <v>7</v>
      </c>
      <c r="AI254" s="27" t="s">
        <v>8</v>
      </c>
      <c r="AJ254" s="27" t="s">
        <v>7</v>
      </c>
      <c r="AK254" s="27" t="s">
        <v>8</v>
      </c>
      <c r="AZ254" s="27" t="s">
        <v>7</v>
      </c>
      <c r="BM254" s="27" t="s">
        <v>8</v>
      </c>
      <c r="BN254" s="27" t="s">
        <v>7</v>
      </c>
      <c r="CI254" s="27" t="s">
        <v>8</v>
      </c>
      <c r="CJ254" s="27" t="s">
        <v>7</v>
      </c>
      <c r="CK254" s="27" t="s">
        <v>8</v>
      </c>
      <c r="CL254" s="27" t="s">
        <v>7</v>
      </c>
    </row>
    <row r="255" spans="1:90" x14ac:dyDescent="0.25">
      <c r="A255" s="7">
        <v>716.56736495956829</v>
      </c>
      <c r="B255"/>
      <c r="C255"/>
      <c r="D255"/>
      <c r="E255" t="s">
        <v>8</v>
      </c>
      <c r="F255" s="27" t="s">
        <v>7</v>
      </c>
      <c r="G255" s="27" t="s">
        <v>8</v>
      </c>
      <c r="L255" s="27" t="s">
        <v>7</v>
      </c>
      <c r="M255" s="27" t="s">
        <v>8</v>
      </c>
      <c r="N255" s="27" t="s">
        <v>7</v>
      </c>
      <c r="O255" s="27" t="s">
        <v>8</v>
      </c>
      <c r="P255" s="27" t="s">
        <v>7</v>
      </c>
      <c r="Q255" s="27" t="s">
        <v>8</v>
      </c>
      <c r="R255" s="27" t="s">
        <v>7</v>
      </c>
      <c r="AI255" s="27" t="s">
        <v>8</v>
      </c>
      <c r="AJ255" s="27" t="s">
        <v>7</v>
      </c>
      <c r="AK255" s="27" t="s">
        <v>8</v>
      </c>
      <c r="AZ255" s="27" t="s">
        <v>7</v>
      </c>
      <c r="BM255" s="27" t="s">
        <v>8</v>
      </c>
      <c r="BN255" s="27" t="s">
        <v>7</v>
      </c>
      <c r="CI255" s="27" t="s">
        <v>8</v>
      </c>
      <c r="CJ255" s="27" t="s">
        <v>7</v>
      </c>
      <c r="CK255" s="27" t="s">
        <v>8</v>
      </c>
      <c r="CL255" s="27" t="s">
        <v>7</v>
      </c>
    </row>
    <row r="256" spans="1:90" x14ac:dyDescent="0.25">
      <c r="A256" s="7">
        <v>702.51702447016498</v>
      </c>
      <c r="B256"/>
      <c r="C256"/>
      <c r="D256"/>
      <c r="E256" t="s">
        <v>8</v>
      </c>
      <c r="F256" s="27" t="s">
        <v>7</v>
      </c>
      <c r="G256" s="27" t="s">
        <v>8</v>
      </c>
      <c r="L256" s="27" t="s">
        <v>7</v>
      </c>
      <c r="M256" s="27" t="s">
        <v>8</v>
      </c>
      <c r="N256" s="27" t="s">
        <v>7</v>
      </c>
      <c r="O256" s="27" t="s">
        <v>8</v>
      </c>
      <c r="P256" s="27" t="s">
        <v>7</v>
      </c>
      <c r="Q256" s="27" t="s">
        <v>8</v>
      </c>
      <c r="R256" s="27" t="s">
        <v>7</v>
      </c>
      <c r="AI256" s="27" t="s">
        <v>8</v>
      </c>
      <c r="AJ256" s="27" t="s">
        <v>7</v>
      </c>
      <c r="AK256" s="27" t="s">
        <v>8</v>
      </c>
      <c r="AZ256" s="27" t="s">
        <v>7</v>
      </c>
      <c r="BM256" s="27" t="s">
        <v>8</v>
      </c>
      <c r="BN256" s="27" t="s">
        <v>7</v>
      </c>
      <c r="CI256" s="27" t="s">
        <v>8</v>
      </c>
      <c r="CJ256" s="27" t="s">
        <v>7</v>
      </c>
      <c r="CK256" s="27" t="s">
        <v>8</v>
      </c>
      <c r="CL256" s="27" t="s">
        <v>7</v>
      </c>
    </row>
    <row r="257" spans="1:98" x14ac:dyDescent="0.25">
      <c r="A257" s="7">
        <v>688.74218085310292</v>
      </c>
      <c r="B257"/>
      <c r="C257"/>
      <c r="D257"/>
      <c r="E257" t="s">
        <v>8</v>
      </c>
      <c r="F257" s="27" t="s">
        <v>7</v>
      </c>
      <c r="G257" s="27" t="s">
        <v>8</v>
      </c>
      <c r="L257" s="27" t="s">
        <v>7</v>
      </c>
      <c r="M257" s="27" t="s">
        <v>8</v>
      </c>
      <c r="N257" s="27" t="s">
        <v>7</v>
      </c>
      <c r="O257" s="27" t="s">
        <v>8</v>
      </c>
      <c r="P257" s="27" t="s">
        <v>7</v>
      </c>
      <c r="Q257" s="27" t="s">
        <v>8</v>
      </c>
      <c r="R257" s="27" t="s">
        <v>7</v>
      </c>
      <c r="AI257" s="27" t="s">
        <v>8</v>
      </c>
      <c r="AJ257" s="27" t="s">
        <v>7</v>
      </c>
      <c r="AK257" s="27" t="s">
        <v>8</v>
      </c>
      <c r="AZ257" s="27" t="s">
        <v>7</v>
      </c>
      <c r="BG257" s="27" t="s">
        <v>8</v>
      </c>
      <c r="BM257" s="27" t="s">
        <v>8</v>
      </c>
      <c r="BN257" s="27" t="s">
        <v>7</v>
      </c>
      <c r="CI257" s="27" t="s">
        <v>8</v>
      </c>
      <c r="CJ257" s="27" t="s">
        <v>7</v>
      </c>
      <c r="CK257" s="27" t="s">
        <v>8</v>
      </c>
      <c r="CL257" s="27" t="s">
        <v>7</v>
      </c>
    </row>
    <row r="258" spans="1:98" x14ac:dyDescent="0.25">
      <c r="A258" s="7">
        <v>675.23743220892447</v>
      </c>
      <c r="B258"/>
      <c r="C258"/>
      <c r="D258"/>
      <c r="E258" t="s">
        <v>8</v>
      </c>
      <c r="F258" s="27" t="s">
        <v>7</v>
      </c>
      <c r="G258" s="27" t="s">
        <v>8</v>
      </c>
      <c r="L258" s="27" t="s">
        <v>7</v>
      </c>
      <c r="M258" s="27" t="s">
        <v>8</v>
      </c>
      <c r="N258" s="27" t="s">
        <v>7</v>
      </c>
      <c r="O258" s="27" t="s">
        <v>8</v>
      </c>
      <c r="P258" s="27" t="s">
        <v>7</v>
      </c>
      <c r="Q258" s="27" t="s">
        <v>8</v>
      </c>
      <c r="R258" s="27" t="s">
        <v>7</v>
      </c>
      <c r="AI258" s="27" t="s">
        <v>8</v>
      </c>
      <c r="AJ258" s="27" t="s">
        <v>7</v>
      </c>
      <c r="AK258" s="27" t="s">
        <v>8</v>
      </c>
      <c r="AZ258" s="27" t="s">
        <v>7</v>
      </c>
      <c r="BG258" s="27" t="s">
        <v>8</v>
      </c>
      <c r="BH258" s="27" t="s">
        <v>7</v>
      </c>
      <c r="BM258" s="27" t="s">
        <v>8</v>
      </c>
      <c r="BN258" s="27" t="s">
        <v>7</v>
      </c>
      <c r="CI258" s="27" t="s">
        <v>8</v>
      </c>
      <c r="CJ258" s="27" t="s">
        <v>7</v>
      </c>
      <c r="CK258" s="27" t="s">
        <v>8</v>
      </c>
      <c r="CL258" s="27" t="s">
        <v>7</v>
      </c>
    </row>
    <row r="259" spans="1:98" x14ac:dyDescent="0.25">
      <c r="A259" s="7">
        <v>661.9974825577691</v>
      </c>
      <c r="B259"/>
      <c r="C259"/>
      <c r="D259"/>
      <c r="E259" t="s">
        <v>8</v>
      </c>
      <c r="F259" s="27" t="s">
        <v>7</v>
      </c>
      <c r="L259" s="27" t="s">
        <v>7</v>
      </c>
      <c r="M259" s="27" t="s">
        <v>8</v>
      </c>
      <c r="N259" s="27" t="s">
        <v>7</v>
      </c>
      <c r="P259" s="27" t="s">
        <v>7</v>
      </c>
      <c r="Q259" s="27" t="s">
        <v>8</v>
      </c>
      <c r="R259" s="27" t="s">
        <v>7</v>
      </c>
      <c r="AI259" s="27" t="s">
        <v>8</v>
      </c>
      <c r="AJ259" s="27" t="s">
        <v>7</v>
      </c>
      <c r="AK259" s="27" t="s">
        <v>8</v>
      </c>
      <c r="AZ259" s="27" t="s">
        <v>7</v>
      </c>
      <c r="BA259" s="27" t="s">
        <v>8</v>
      </c>
      <c r="BG259" s="27" t="s">
        <v>8</v>
      </c>
      <c r="BH259" s="27" t="s">
        <v>7</v>
      </c>
      <c r="BK259" s="27" t="s">
        <v>8</v>
      </c>
      <c r="BM259" s="27" t="s">
        <v>8</v>
      </c>
      <c r="BN259" s="27" t="s">
        <v>7</v>
      </c>
      <c r="CI259" s="27" t="s">
        <v>8</v>
      </c>
      <c r="CJ259" s="27" t="s">
        <v>7</v>
      </c>
      <c r="CK259" s="27" t="s">
        <v>8</v>
      </c>
      <c r="CL259" s="27" t="s">
        <v>7</v>
      </c>
      <c r="CM259" s="27" t="s">
        <v>8</v>
      </c>
    </row>
    <row r="260" spans="1:98" x14ac:dyDescent="0.25">
      <c r="A260" s="7">
        <v>649.0171397625187</v>
      </c>
      <c r="B260"/>
      <c r="C260"/>
      <c r="D260"/>
      <c r="E260" t="s">
        <v>8</v>
      </c>
      <c r="L260" s="27" t="s">
        <v>7</v>
      </c>
      <c r="P260" s="27" t="s">
        <v>7</v>
      </c>
      <c r="Q260" s="27" t="s">
        <v>8</v>
      </c>
      <c r="R260" s="27" t="s">
        <v>7</v>
      </c>
      <c r="AA260" s="27" t="s">
        <v>8</v>
      </c>
      <c r="AI260" s="27" t="s">
        <v>8</v>
      </c>
      <c r="AJ260" s="27" t="s">
        <v>7</v>
      </c>
      <c r="AK260" s="27" t="s">
        <v>8</v>
      </c>
      <c r="AZ260" s="27" t="s">
        <v>7</v>
      </c>
      <c r="BA260" s="27" t="s">
        <v>8</v>
      </c>
      <c r="BB260" s="27" t="s">
        <v>7</v>
      </c>
      <c r="BG260" s="27" t="s">
        <v>8</v>
      </c>
      <c r="BH260" s="27" t="s">
        <v>7</v>
      </c>
      <c r="BK260" s="27" t="s">
        <v>8</v>
      </c>
      <c r="BL260" s="27" t="s">
        <v>7</v>
      </c>
      <c r="BM260" s="27" t="s">
        <v>8</v>
      </c>
      <c r="BN260" s="27" t="s">
        <v>7</v>
      </c>
      <c r="CI260" s="27" t="s">
        <v>8</v>
      </c>
      <c r="CJ260" s="27" t="s">
        <v>7</v>
      </c>
      <c r="CK260" s="27" t="s">
        <v>8</v>
      </c>
      <c r="CL260" s="27" t="s">
        <v>7</v>
      </c>
      <c r="CM260" s="27" t="s">
        <v>8</v>
      </c>
      <c r="CN260" s="27" t="s">
        <v>7</v>
      </c>
    </row>
    <row r="261" spans="1:98" x14ac:dyDescent="0.25">
      <c r="A261" s="7">
        <v>636.29131349266538</v>
      </c>
      <c r="B261"/>
      <c r="C261"/>
      <c r="D261"/>
      <c r="E261" t="s">
        <v>8</v>
      </c>
      <c r="P261" s="27" t="s">
        <v>7</v>
      </c>
      <c r="Q261" s="27" t="s">
        <v>8</v>
      </c>
      <c r="R261" s="27" t="s">
        <v>7</v>
      </c>
      <c r="AA261" s="27" t="s">
        <v>8</v>
      </c>
      <c r="AB261" s="27" t="s">
        <v>7</v>
      </c>
      <c r="AI261" s="27" t="s">
        <v>8</v>
      </c>
      <c r="AJ261" s="27" t="s">
        <v>7</v>
      </c>
      <c r="AK261" s="27" t="s">
        <v>8</v>
      </c>
      <c r="AZ261" s="27" t="s">
        <v>7</v>
      </c>
      <c r="BA261" s="27" t="s">
        <v>8</v>
      </c>
      <c r="BB261" s="27" t="s">
        <v>7</v>
      </c>
      <c r="BG261" s="27" t="s">
        <v>8</v>
      </c>
      <c r="BH261" s="27" t="s">
        <v>7</v>
      </c>
      <c r="BI261" s="27" t="s">
        <v>8</v>
      </c>
      <c r="BK261" s="27" t="s">
        <v>8</v>
      </c>
      <c r="BL261" s="27" t="s">
        <v>7</v>
      </c>
      <c r="BM261" s="27" t="s">
        <v>8</v>
      </c>
      <c r="BN261" s="27" t="s">
        <v>7</v>
      </c>
      <c r="BO261" s="27" t="s">
        <v>8</v>
      </c>
      <c r="CI261" s="27" t="s">
        <v>8</v>
      </c>
      <c r="CJ261" s="27" t="s">
        <v>7</v>
      </c>
      <c r="CK261" s="27" t="s">
        <v>8</v>
      </c>
      <c r="CL261" s="27" t="s">
        <v>7</v>
      </c>
      <c r="CM261" s="27" t="s">
        <v>8</v>
      </c>
      <c r="CN261" s="27" t="s">
        <v>7</v>
      </c>
    </row>
    <row r="262" spans="1:98" x14ac:dyDescent="0.25">
      <c r="A262" s="7">
        <v>623.81501322810334</v>
      </c>
      <c r="B262"/>
      <c r="C262"/>
      <c r="D262"/>
      <c r="E262" t="s">
        <v>8</v>
      </c>
      <c r="P262" s="27" t="s">
        <v>7</v>
      </c>
      <c r="Q262" s="27" t="s">
        <v>8</v>
      </c>
      <c r="R262" s="27" t="s">
        <v>7</v>
      </c>
      <c r="AA262" s="27" t="s">
        <v>8</v>
      </c>
      <c r="AB262" s="27" t="s">
        <v>7</v>
      </c>
      <c r="AI262" s="27" t="s">
        <v>8</v>
      </c>
      <c r="AJ262" s="27" t="s">
        <v>7</v>
      </c>
      <c r="AK262" s="27" t="s">
        <v>8</v>
      </c>
      <c r="AZ262" s="27" t="s">
        <v>7</v>
      </c>
      <c r="BA262" s="27" t="s">
        <v>8</v>
      </c>
      <c r="BB262" s="27" t="s">
        <v>7</v>
      </c>
      <c r="BG262" s="27" t="s">
        <v>8</v>
      </c>
      <c r="BH262" s="27" t="s">
        <v>7</v>
      </c>
      <c r="BI262" s="27" t="s">
        <v>8</v>
      </c>
      <c r="BJ262" s="27" t="s">
        <v>7</v>
      </c>
      <c r="BK262" s="27" t="s">
        <v>8</v>
      </c>
      <c r="BL262" s="27" t="s">
        <v>7</v>
      </c>
      <c r="BM262" s="27" t="s">
        <v>8</v>
      </c>
      <c r="BN262" s="27" t="s">
        <v>7</v>
      </c>
      <c r="BO262" s="27" t="s">
        <v>8</v>
      </c>
      <c r="BP262" s="27" t="s">
        <v>7</v>
      </c>
      <c r="CI262" s="27" t="s">
        <v>8</v>
      </c>
      <c r="CJ262" s="27" t="s">
        <v>7</v>
      </c>
      <c r="CK262" s="27" t="s">
        <v>8</v>
      </c>
      <c r="CL262" s="27" t="s">
        <v>7</v>
      </c>
      <c r="CM262" s="27" t="s">
        <v>8</v>
      </c>
      <c r="CN262" s="27" t="s">
        <v>7</v>
      </c>
      <c r="CO262" s="27" t="s">
        <v>8</v>
      </c>
    </row>
    <row r="263" spans="1:98" x14ac:dyDescent="0.25">
      <c r="A263" s="7">
        <v>611.58334630206207</v>
      </c>
      <c r="B263"/>
      <c r="C263"/>
      <c r="D263"/>
      <c r="E263" t="s">
        <v>8</v>
      </c>
      <c r="P263" s="27" t="s">
        <v>7</v>
      </c>
      <c r="Q263" s="27" t="s">
        <v>8</v>
      </c>
      <c r="R263" s="27" t="s">
        <v>7</v>
      </c>
      <c r="AA263" s="27" t="s">
        <v>8</v>
      </c>
      <c r="AB263" s="27" t="s">
        <v>7</v>
      </c>
      <c r="AI263" s="27" t="s">
        <v>8</v>
      </c>
      <c r="AJ263" s="27" t="s">
        <v>7</v>
      </c>
      <c r="AK263" s="27" t="s">
        <v>8</v>
      </c>
      <c r="AZ263" s="27" t="s">
        <v>7</v>
      </c>
      <c r="BA263" s="27" t="s">
        <v>8</v>
      </c>
      <c r="BB263" s="27" t="s">
        <v>7</v>
      </c>
      <c r="BG263" s="27" t="s">
        <v>8</v>
      </c>
      <c r="BH263" s="27" t="s">
        <v>7</v>
      </c>
      <c r="BI263" s="27" t="s">
        <v>8</v>
      </c>
      <c r="BJ263" s="27" t="s">
        <v>7</v>
      </c>
      <c r="BK263" s="27" t="s">
        <v>8</v>
      </c>
      <c r="BL263" s="27" t="s">
        <v>7</v>
      </c>
      <c r="BM263" s="27" t="s">
        <v>8</v>
      </c>
      <c r="BN263" s="27" t="s">
        <v>7</v>
      </c>
      <c r="BO263" s="27" t="s">
        <v>8</v>
      </c>
      <c r="BP263" s="27" t="s">
        <v>7</v>
      </c>
      <c r="CI263" s="27" t="s">
        <v>8</v>
      </c>
      <c r="CJ263" s="27" t="s">
        <v>7</v>
      </c>
      <c r="CL263" s="27" t="s">
        <v>7</v>
      </c>
      <c r="CM263" s="27" t="s">
        <v>8</v>
      </c>
      <c r="CN263" s="27" t="s">
        <v>7</v>
      </c>
      <c r="CO263" s="27" t="s">
        <v>8</v>
      </c>
      <c r="CP263" s="27" t="s">
        <v>7</v>
      </c>
    </row>
    <row r="264" spans="1:98" x14ac:dyDescent="0.25">
      <c r="A264" s="7">
        <v>599.59151598241374</v>
      </c>
      <c r="B264"/>
      <c r="C264"/>
      <c r="D264"/>
      <c r="E264" t="s">
        <v>8</v>
      </c>
      <c r="P264" s="27" t="s">
        <v>7</v>
      </c>
      <c r="Q264" s="27" t="s">
        <v>8</v>
      </c>
      <c r="R264" s="27" t="s">
        <v>7</v>
      </c>
      <c r="AA264" s="27" t="s">
        <v>8</v>
      </c>
      <c r="AB264" s="27" t="s">
        <v>7</v>
      </c>
      <c r="AI264" s="27" t="s">
        <v>8</v>
      </c>
      <c r="AJ264" s="27" t="s">
        <v>7</v>
      </c>
      <c r="AK264" s="27" t="s">
        <v>8</v>
      </c>
      <c r="AZ264" s="27" t="s">
        <v>7</v>
      </c>
      <c r="BA264" s="27" t="s">
        <v>8</v>
      </c>
      <c r="BB264" s="27" t="s">
        <v>7</v>
      </c>
      <c r="BG264" s="27" t="s">
        <v>8</v>
      </c>
      <c r="BH264" s="27" t="s">
        <v>7</v>
      </c>
      <c r="BI264" s="27" t="s">
        <v>8</v>
      </c>
      <c r="BJ264" s="27" t="s">
        <v>7</v>
      </c>
      <c r="BK264" s="27" t="s">
        <v>8</v>
      </c>
      <c r="BL264" s="27" t="s">
        <v>7</v>
      </c>
      <c r="BN264" s="27" t="s">
        <v>7</v>
      </c>
      <c r="BO264" s="27" t="s">
        <v>8</v>
      </c>
      <c r="BP264" s="27" t="s">
        <v>7</v>
      </c>
      <c r="BQ264" s="27" t="s">
        <v>8</v>
      </c>
      <c r="BS264" s="27" t="s">
        <v>8</v>
      </c>
      <c r="CI264" s="27" t="s">
        <v>8</v>
      </c>
      <c r="CL264" s="27" t="s">
        <v>7</v>
      </c>
      <c r="CM264" s="27" t="s">
        <v>8</v>
      </c>
      <c r="CN264" s="27" t="s">
        <v>7</v>
      </c>
      <c r="CO264" s="27" t="s">
        <v>8</v>
      </c>
      <c r="CP264" s="27" t="s">
        <v>7</v>
      </c>
      <c r="CQ264" s="27" t="s">
        <v>8</v>
      </c>
    </row>
    <row r="265" spans="1:98" x14ac:dyDescent="0.25">
      <c r="A265" s="7">
        <v>587.83481959060168</v>
      </c>
      <c r="B265"/>
      <c r="C265"/>
      <c r="D265"/>
      <c r="E265" t="s">
        <v>8</v>
      </c>
      <c r="P265" s="27" t="s">
        <v>7</v>
      </c>
      <c r="Q265" s="27" t="s">
        <v>8</v>
      </c>
      <c r="R265" s="27" t="s">
        <v>7</v>
      </c>
      <c r="AA265" s="27" t="s">
        <v>8</v>
      </c>
      <c r="AB265" s="27" t="s">
        <v>7</v>
      </c>
      <c r="AI265" s="27" t="s">
        <v>8</v>
      </c>
      <c r="AJ265" s="27" t="s">
        <v>7</v>
      </c>
      <c r="AK265" s="27" t="s">
        <v>8</v>
      </c>
      <c r="AZ265" s="27" t="s">
        <v>7</v>
      </c>
      <c r="BA265" s="27" t="s">
        <v>8</v>
      </c>
      <c r="BB265" s="27" t="s">
        <v>7</v>
      </c>
      <c r="BG265" s="27" t="s">
        <v>8</v>
      </c>
      <c r="BH265" s="27" t="s">
        <v>7</v>
      </c>
      <c r="BI265" s="27" t="s">
        <v>8</v>
      </c>
      <c r="BJ265" s="27" t="s">
        <v>7</v>
      </c>
      <c r="BK265" s="27" t="s">
        <v>8</v>
      </c>
      <c r="BN265" s="27" t="s">
        <v>7</v>
      </c>
      <c r="BO265" s="27" t="s">
        <v>8</v>
      </c>
      <c r="BP265" s="27" t="s">
        <v>7</v>
      </c>
      <c r="BQ265" s="27" t="s">
        <v>8</v>
      </c>
      <c r="BR265" s="27" t="s">
        <v>7</v>
      </c>
      <c r="BS265" s="27" t="s">
        <v>8</v>
      </c>
      <c r="BT265" s="27" t="s">
        <v>7</v>
      </c>
      <c r="CI265" s="27" t="s">
        <v>8</v>
      </c>
      <c r="CL265" s="27" t="s">
        <v>7</v>
      </c>
      <c r="CM265" s="27" t="s">
        <v>8</v>
      </c>
      <c r="CN265" s="27" t="s">
        <v>7</v>
      </c>
      <c r="CO265" s="27" t="s">
        <v>8</v>
      </c>
      <c r="CP265" s="27" t="s">
        <v>7</v>
      </c>
      <c r="CQ265" s="27" t="s">
        <v>8</v>
      </c>
      <c r="CR265" s="27" t="s">
        <v>7</v>
      </c>
    </row>
    <row r="266" spans="1:98" x14ac:dyDescent="0.25">
      <c r="A266" s="7">
        <v>576.30864665745264</v>
      </c>
      <c r="B266"/>
      <c r="C266"/>
      <c r="D266"/>
      <c r="E266" t="s">
        <v>8</v>
      </c>
      <c r="P266" s="27" t="s">
        <v>7</v>
      </c>
      <c r="Q266" s="27" t="s">
        <v>8</v>
      </c>
      <c r="R266" s="27" t="s">
        <v>7</v>
      </c>
      <c r="AA266" s="27" t="s">
        <v>8</v>
      </c>
      <c r="AB266" s="27" t="s">
        <v>7</v>
      </c>
      <c r="AI266" s="27" t="s">
        <v>8</v>
      </c>
      <c r="AJ266" s="27" t="s">
        <v>7</v>
      </c>
      <c r="AK266" s="27" t="s">
        <v>8</v>
      </c>
      <c r="AZ266" s="27" t="s">
        <v>7</v>
      </c>
      <c r="BA266" s="27" t="s">
        <v>8</v>
      </c>
      <c r="BB266" s="27" t="s">
        <v>7</v>
      </c>
      <c r="BG266" s="27" t="s">
        <v>8</v>
      </c>
      <c r="BH266" s="27" t="s">
        <v>7</v>
      </c>
      <c r="BJ266" s="27" t="s">
        <v>7</v>
      </c>
      <c r="BK266" s="27" t="s">
        <v>8</v>
      </c>
      <c r="BN266" s="27" t="s">
        <v>7</v>
      </c>
      <c r="BO266" s="27" t="s">
        <v>8</v>
      </c>
      <c r="BP266" s="27" t="s">
        <v>7</v>
      </c>
      <c r="BQ266" s="27" t="s">
        <v>8</v>
      </c>
      <c r="BR266" s="27" t="s">
        <v>7</v>
      </c>
      <c r="BS266" s="27" t="s">
        <v>8</v>
      </c>
      <c r="BT266" s="27" t="s">
        <v>7</v>
      </c>
      <c r="CI266" s="27" t="s">
        <v>8</v>
      </c>
      <c r="CL266" s="27" t="s">
        <v>7</v>
      </c>
      <c r="CM266" s="27" t="s">
        <v>8</v>
      </c>
      <c r="CN266" s="27" t="s">
        <v>7</v>
      </c>
      <c r="CO266" s="27" t="s">
        <v>8</v>
      </c>
      <c r="CP266" s="27" t="s">
        <v>7</v>
      </c>
      <c r="CQ266" s="27" t="s">
        <v>8</v>
      </c>
      <c r="CR266" s="27" t="s">
        <v>7</v>
      </c>
      <c r="CS266" s="27" t="s">
        <v>8</v>
      </c>
    </row>
    <row r="267" spans="1:98" x14ac:dyDescent="0.25">
      <c r="A267" s="7">
        <v>565.00847711514962</v>
      </c>
      <c r="B267"/>
      <c r="C267"/>
      <c r="D267"/>
      <c r="E267" t="s">
        <v>8</v>
      </c>
      <c r="P267" s="27" t="s">
        <v>7</v>
      </c>
      <c r="Q267" s="27" t="s">
        <v>8</v>
      </c>
      <c r="R267" s="27" t="s">
        <v>7</v>
      </c>
      <c r="AA267" s="27" t="s">
        <v>8</v>
      </c>
      <c r="AB267" s="27" t="s">
        <v>7</v>
      </c>
      <c r="AI267" s="27" t="s">
        <v>8</v>
      </c>
      <c r="AJ267" s="27" t="s">
        <v>7</v>
      </c>
      <c r="AK267" s="27" t="s">
        <v>8</v>
      </c>
      <c r="AZ267" s="27" t="s">
        <v>7</v>
      </c>
      <c r="BA267" s="27" t="s">
        <v>8</v>
      </c>
      <c r="BB267" s="27" t="s">
        <v>7</v>
      </c>
      <c r="BG267" s="27" t="s">
        <v>8</v>
      </c>
      <c r="BJ267" s="27" t="s">
        <v>7</v>
      </c>
      <c r="BK267" s="27" t="s">
        <v>8</v>
      </c>
      <c r="BN267" s="27" t="s">
        <v>7</v>
      </c>
      <c r="BP267" s="27" t="s">
        <v>7</v>
      </c>
      <c r="BQ267" s="27" t="s">
        <v>8</v>
      </c>
      <c r="BR267" s="27" t="s">
        <v>7</v>
      </c>
      <c r="BT267" s="27" t="s">
        <v>7</v>
      </c>
      <c r="CI267" s="27" t="s">
        <v>8</v>
      </c>
      <c r="CL267" s="27" t="s">
        <v>7</v>
      </c>
      <c r="CM267" s="27" t="s">
        <v>8</v>
      </c>
      <c r="CN267" s="27" t="s">
        <v>7</v>
      </c>
      <c r="CP267" s="27" t="s">
        <v>7</v>
      </c>
      <c r="CQ267" s="27" t="s">
        <v>8</v>
      </c>
      <c r="CR267" s="27" t="s">
        <v>7</v>
      </c>
      <c r="CS267" s="27" t="s">
        <v>8</v>
      </c>
      <c r="CT267" s="27" t="s">
        <v>7</v>
      </c>
    </row>
    <row r="268" spans="1:98" x14ac:dyDescent="0.25">
      <c r="A268" s="7">
        <v>553.92987952465649</v>
      </c>
      <c r="B268"/>
      <c r="C268"/>
      <c r="D268"/>
      <c r="E268" t="s">
        <v>8</v>
      </c>
      <c r="P268" s="27" t="s">
        <v>7</v>
      </c>
      <c r="Q268" s="27" t="s">
        <v>8</v>
      </c>
      <c r="R268" s="27" t="s">
        <v>7</v>
      </c>
      <c r="AA268" s="27" t="s">
        <v>8</v>
      </c>
      <c r="AB268" s="27" t="s">
        <v>7</v>
      </c>
      <c r="AE268" s="27" t="s">
        <v>8</v>
      </c>
      <c r="AI268" s="27" t="s">
        <v>8</v>
      </c>
      <c r="AJ268" s="27" t="s">
        <v>7</v>
      </c>
      <c r="AZ268" s="27" t="s">
        <v>7</v>
      </c>
      <c r="BA268" s="27" t="s">
        <v>8</v>
      </c>
      <c r="BB268" s="27" t="s">
        <v>7</v>
      </c>
      <c r="BG268" s="27" t="s">
        <v>8</v>
      </c>
      <c r="BJ268" s="27" t="s">
        <v>7</v>
      </c>
      <c r="BK268" s="27" t="s">
        <v>8</v>
      </c>
      <c r="BP268" s="27" t="s">
        <v>7</v>
      </c>
      <c r="BQ268" s="27" t="s">
        <v>8</v>
      </c>
      <c r="BT268" s="27" t="s">
        <v>7</v>
      </c>
      <c r="CI268" s="27" t="s">
        <v>8</v>
      </c>
      <c r="CL268" s="27" t="s">
        <v>7</v>
      </c>
      <c r="CP268" s="27" t="s">
        <v>7</v>
      </c>
      <c r="CQ268" s="27" t="s">
        <v>8</v>
      </c>
      <c r="CR268" s="27" t="s">
        <v>7</v>
      </c>
      <c r="CS268" s="27" t="s">
        <v>8</v>
      </c>
      <c r="CT268" s="27" t="s">
        <v>7</v>
      </c>
    </row>
    <row r="269" spans="1:98" x14ac:dyDescent="0.25">
      <c r="A269" s="7">
        <v>543.06850933789849</v>
      </c>
      <c r="B269"/>
      <c r="C269"/>
      <c r="D269"/>
      <c r="E269" t="s">
        <v>8</v>
      </c>
      <c r="P269" s="27" t="s">
        <v>7</v>
      </c>
      <c r="Q269" s="27" t="s">
        <v>8</v>
      </c>
      <c r="R269" s="27" t="s">
        <v>7</v>
      </c>
      <c r="AA269" s="27" t="s">
        <v>8</v>
      </c>
      <c r="AB269" s="27" t="s">
        <v>7</v>
      </c>
      <c r="AC269" s="27" t="s">
        <v>8</v>
      </c>
      <c r="AE269" s="27" t="s">
        <v>8</v>
      </c>
      <c r="AF269" s="27" t="s">
        <v>7</v>
      </c>
      <c r="AG269" s="27" t="s">
        <v>8</v>
      </c>
      <c r="AI269" s="27" t="s">
        <v>8</v>
      </c>
      <c r="AZ269" s="27" t="s">
        <v>7</v>
      </c>
      <c r="BB269" s="27" t="s">
        <v>7</v>
      </c>
      <c r="BC269" s="27" t="s">
        <v>8</v>
      </c>
      <c r="BE269" s="27" t="s">
        <v>8</v>
      </c>
      <c r="BG269" s="27" t="s">
        <v>8</v>
      </c>
      <c r="BJ269" s="27" t="s">
        <v>7</v>
      </c>
      <c r="BK269" s="27" t="s">
        <v>8</v>
      </c>
      <c r="BP269" s="27" t="s">
        <v>7</v>
      </c>
      <c r="BT269" s="27" t="s">
        <v>7</v>
      </c>
      <c r="CA269" s="27" t="s">
        <v>8</v>
      </c>
      <c r="CI269" s="27" t="s">
        <v>8</v>
      </c>
      <c r="CP269" s="27" t="s">
        <v>7</v>
      </c>
      <c r="CQ269" s="27" t="s">
        <v>8</v>
      </c>
      <c r="CR269" s="27" t="s">
        <v>7</v>
      </c>
      <c r="CS269" s="27" t="s">
        <v>8</v>
      </c>
      <c r="CT269" s="27" t="s">
        <v>7</v>
      </c>
    </row>
    <row r="270" spans="1:98" x14ac:dyDescent="0.25">
      <c r="A270" s="7">
        <v>532.4201071940181</v>
      </c>
      <c r="B270"/>
      <c r="C270"/>
      <c r="D270"/>
      <c r="E270" t="s">
        <v>8</v>
      </c>
      <c r="P270" s="27" t="s">
        <v>7</v>
      </c>
      <c r="Q270" s="27" t="s">
        <v>8</v>
      </c>
      <c r="R270" s="27" t="s">
        <v>7</v>
      </c>
      <c r="AA270" s="27" t="s">
        <v>8</v>
      </c>
      <c r="AB270" s="27" t="s">
        <v>7</v>
      </c>
      <c r="AC270" s="27" t="s">
        <v>8</v>
      </c>
      <c r="AD270" s="27" t="s">
        <v>7</v>
      </c>
      <c r="AE270" s="27" t="s">
        <v>8</v>
      </c>
      <c r="AF270" s="27" t="s">
        <v>7</v>
      </c>
      <c r="AG270" s="27" t="s">
        <v>8</v>
      </c>
      <c r="AH270" s="27" t="s">
        <v>7</v>
      </c>
      <c r="AI270" s="27" t="s">
        <v>8</v>
      </c>
      <c r="BB270" s="27" t="s">
        <v>7</v>
      </c>
      <c r="BC270" s="27" t="s">
        <v>8</v>
      </c>
      <c r="BD270" s="27" t="s">
        <v>7</v>
      </c>
      <c r="BE270" s="27" t="s">
        <v>8</v>
      </c>
      <c r="BF270" s="27" t="s">
        <v>7</v>
      </c>
      <c r="BG270" s="27" t="s">
        <v>8</v>
      </c>
      <c r="BJ270" s="27" t="s">
        <v>7</v>
      </c>
      <c r="BK270" s="27" t="s">
        <v>8</v>
      </c>
      <c r="BT270" s="27" t="s">
        <v>7</v>
      </c>
      <c r="BY270" s="27" t="s">
        <v>8</v>
      </c>
      <c r="CA270" s="27" t="s">
        <v>8</v>
      </c>
      <c r="CB270" s="27" t="s">
        <v>7</v>
      </c>
      <c r="CI270" s="27" t="s">
        <v>8</v>
      </c>
      <c r="CP270" s="27" t="s">
        <v>7</v>
      </c>
      <c r="CR270" s="27" t="s">
        <v>7</v>
      </c>
      <c r="CS270" s="27" t="s">
        <v>8</v>
      </c>
      <c r="CT270" s="27" t="s">
        <v>7</v>
      </c>
    </row>
    <row r="271" spans="1:98" x14ac:dyDescent="0.25">
      <c r="A271" s="7">
        <v>521.9804972490374</v>
      </c>
      <c r="B271"/>
      <c r="C271"/>
      <c r="D271"/>
      <c r="E271" t="s">
        <v>8</v>
      </c>
      <c r="P271" s="27" t="s">
        <v>7</v>
      </c>
      <c r="Q271" s="27" t="s">
        <v>8</v>
      </c>
      <c r="R271" s="27" t="s">
        <v>7</v>
      </c>
      <c r="AA271" s="27" t="s">
        <v>8</v>
      </c>
      <c r="AB271" s="27" t="s">
        <v>7</v>
      </c>
      <c r="AC271" s="27" t="s">
        <v>8</v>
      </c>
      <c r="AD271" s="27" t="s">
        <v>7</v>
      </c>
      <c r="AE271" s="27" t="s">
        <v>8</v>
      </c>
      <c r="AF271" s="27" t="s">
        <v>7</v>
      </c>
      <c r="AG271" s="27" t="s">
        <v>8</v>
      </c>
      <c r="AH271" s="27" t="s">
        <v>7</v>
      </c>
      <c r="AI271" s="27" t="s">
        <v>8</v>
      </c>
      <c r="BB271" s="27" t="s">
        <v>7</v>
      </c>
      <c r="BC271" s="27" t="s">
        <v>8</v>
      </c>
      <c r="BD271" s="27" t="s">
        <v>7</v>
      </c>
      <c r="BE271" s="27" t="s">
        <v>8</v>
      </c>
      <c r="BF271" s="27" t="s">
        <v>7</v>
      </c>
      <c r="BG271" s="27" t="s">
        <v>8</v>
      </c>
      <c r="BJ271" s="27" t="s">
        <v>7</v>
      </c>
      <c r="BT271" s="27" t="s">
        <v>7</v>
      </c>
      <c r="BY271" s="27" t="s">
        <v>8</v>
      </c>
      <c r="BZ271" s="27" t="s">
        <v>7</v>
      </c>
      <c r="CA271" s="27" t="s">
        <v>8</v>
      </c>
      <c r="CB271" s="27" t="s">
        <v>7</v>
      </c>
      <c r="CI271" s="27" t="s">
        <v>8</v>
      </c>
      <c r="CR271" s="27" t="s">
        <v>7</v>
      </c>
      <c r="CS271" s="27" t="s">
        <v>8</v>
      </c>
      <c r="CT271" s="27" t="s">
        <v>7</v>
      </c>
    </row>
    <row r="272" spans="1:98" x14ac:dyDescent="0.25">
      <c r="A272" s="7">
        <v>511.74558553827194</v>
      </c>
      <c r="B272"/>
      <c r="C272"/>
      <c r="D272"/>
      <c r="E272" t="s">
        <v>8</v>
      </c>
      <c r="P272" s="27" t="s">
        <v>7</v>
      </c>
      <c r="Q272" s="27" t="s">
        <v>8</v>
      </c>
      <c r="R272" s="27" t="s">
        <v>7</v>
      </c>
      <c r="AA272" s="27" t="s">
        <v>8</v>
      </c>
      <c r="AB272" s="27" t="s">
        <v>7</v>
      </c>
      <c r="AC272" s="27" t="s">
        <v>8</v>
      </c>
      <c r="AD272" s="27" t="s">
        <v>7</v>
      </c>
      <c r="AE272" s="27" t="s">
        <v>8</v>
      </c>
      <c r="AF272" s="27" t="s">
        <v>7</v>
      </c>
      <c r="AG272" s="27" t="s">
        <v>8</v>
      </c>
      <c r="AH272" s="27" t="s">
        <v>7</v>
      </c>
      <c r="BB272" s="27" t="s">
        <v>7</v>
      </c>
      <c r="BC272" s="27" t="s">
        <v>8</v>
      </c>
      <c r="BD272" s="27" t="s">
        <v>7</v>
      </c>
      <c r="BE272" s="27" t="s">
        <v>8</v>
      </c>
      <c r="BF272" s="27" t="s">
        <v>7</v>
      </c>
      <c r="BG272" s="27" t="s">
        <v>8</v>
      </c>
      <c r="BT272" s="27" t="s">
        <v>7</v>
      </c>
      <c r="BU272" s="27" t="s">
        <v>8</v>
      </c>
      <c r="BY272" s="27" t="s">
        <v>8</v>
      </c>
      <c r="BZ272" s="27" t="s">
        <v>7</v>
      </c>
      <c r="CA272" s="27" t="s">
        <v>8</v>
      </c>
      <c r="CB272" s="27" t="s">
        <v>7</v>
      </c>
      <c r="CI272" s="27" t="s">
        <v>8</v>
      </c>
      <c r="CR272" s="27" t="s">
        <v>7</v>
      </c>
      <c r="CS272" s="27" t="s">
        <v>8</v>
      </c>
      <c r="CT272" s="27" t="s">
        <v>7</v>
      </c>
    </row>
    <row r="273" spans="1:166" x14ac:dyDescent="0.25">
      <c r="A273" s="7">
        <v>501.71135837085484</v>
      </c>
      <c r="B273"/>
      <c r="C273"/>
      <c r="D273"/>
      <c r="E273" t="s">
        <v>8</v>
      </c>
      <c r="P273" s="27" t="s">
        <v>7</v>
      </c>
      <c r="Q273" s="27" t="s">
        <v>8</v>
      </c>
      <c r="R273" s="27" t="s">
        <v>7</v>
      </c>
      <c r="AA273" s="27" t="s">
        <v>8</v>
      </c>
      <c r="AB273" s="27" t="s">
        <v>7</v>
      </c>
      <c r="AC273" s="27" t="s">
        <v>8</v>
      </c>
      <c r="AD273" s="27" t="s">
        <v>7</v>
      </c>
      <c r="AE273" s="27" t="s">
        <v>8</v>
      </c>
      <c r="AF273" s="27" t="s">
        <v>7</v>
      </c>
      <c r="AG273" s="27" t="s">
        <v>8</v>
      </c>
      <c r="BB273" s="27" t="s">
        <v>7</v>
      </c>
      <c r="BC273" s="27" t="s">
        <v>8</v>
      </c>
      <c r="BD273" s="27" t="s">
        <v>7</v>
      </c>
      <c r="BF273" s="27" t="s">
        <v>7</v>
      </c>
      <c r="BT273" s="27" t="s">
        <v>7</v>
      </c>
      <c r="BU273" s="27" t="s">
        <v>8</v>
      </c>
      <c r="BV273" s="27" t="s">
        <v>7</v>
      </c>
      <c r="BY273" s="27" t="s">
        <v>8</v>
      </c>
      <c r="BZ273" s="27" t="s">
        <v>7</v>
      </c>
      <c r="CA273" s="27" t="s">
        <v>8</v>
      </c>
      <c r="CB273" s="27" t="s">
        <v>7</v>
      </c>
      <c r="CI273" s="27" t="s">
        <v>8</v>
      </c>
      <c r="CR273" s="27" t="s">
        <v>7</v>
      </c>
      <c r="CS273" s="27" t="s">
        <v>8</v>
      </c>
      <c r="CT273" s="27" t="s">
        <v>7</v>
      </c>
    </row>
    <row r="274" spans="1:166" x14ac:dyDescent="0.25">
      <c r="A274" s="7">
        <v>491.87388075574</v>
      </c>
      <c r="B274"/>
      <c r="C274"/>
      <c r="D274"/>
      <c r="E274" t="s">
        <v>8</v>
      </c>
      <c r="P274" s="27" t="s">
        <v>7</v>
      </c>
      <c r="Q274" s="27" t="s">
        <v>8</v>
      </c>
      <c r="R274" s="27" t="s">
        <v>7</v>
      </c>
      <c r="AA274" s="27" t="s">
        <v>8</v>
      </c>
      <c r="AB274" s="27" t="s">
        <v>7</v>
      </c>
      <c r="AC274" s="27" t="s">
        <v>8</v>
      </c>
      <c r="AD274" s="27" t="s">
        <v>7</v>
      </c>
      <c r="AE274" s="27" t="s">
        <v>8</v>
      </c>
      <c r="AF274" s="27" t="s">
        <v>7</v>
      </c>
      <c r="AG274" s="27" t="s">
        <v>8</v>
      </c>
      <c r="BB274" s="27" t="s">
        <v>7</v>
      </c>
      <c r="BC274" s="27" t="s">
        <v>8</v>
      </c>
      <c r="BT274" s="27" t="s">
        <v>7</v>
      </c>
      <c r="BU274" s="27" t="s">
        <v>8</v>
      </c>
      <c r="BV274" s="27" t="s">
        <v>7</v>
      </c>
      <c r="BW274" s="27" t="s">
        <v>8</v>
      </c>
      <c r="BY274" s="27" t="s">
        <v>8</v>
      </c>
      <c r="BZ274" s="27" t="s">
        <v>7</v>
      </c>
      <c r="CA274" s="27" t="s">
        <v>8</v>
      </c>
      <c r="CB274" s="27" t="s">
        <v>7</v>
      </c>
      <c r="CI274" s="27" t="s">
        <v>8</v>
      </c>
      <c r="CR274" s="27" t="s">
        <v>7</v>
      </c>
      <c r="CS274" s="27" t="s">
        <v>8</v>
      </c>
      <c r="CT274" s="27" t="s">
        <v>7</v>
      </c>
    </row>
    <row r="275" spans="1:166" x14ac:dyDescent="0.25">
      <c r="A275" s="7">
        <v>482.22929485856861</v>
      </c>
      <c r="B275"/>
      <c r="C275"/>
      <c r="D275"/>
      <c r="E275" t="s">
        <v>8</v>
      </c>
      <c r="P275" s="27" t="s">
        <v>7</v>
      </c>
      <c r="Q275" s="27" t="s">
        <v>8</v>
      </c>
      <c r="R275" s="27" t="s">
        <v>7</v>
      </c>
      <c r="S275" s="27" t="s">
        <v>8</v>
      </c>
      <c r="AA275" s="27" t="s">
        <v>8</v>
      </c>
      <c r="AB275" s="27" t="s">
        <v>7</v>
      </c>
      <c r="AC275" s="27" t="s">
        <v>8</v>
      </c>
      <c r="AD275" s="27" t="s">
        <v>7</v>
      </c>
      <c r="AE275" s="27" t="s">
        <v>8</v>
      </c>
      <c r="AF275" s="27" t="s">
        <v>7</v>
      </c>
      <c r="AG275" s="27" t="s">
        <v>8</v>
      </c>
      <c r="BB275" s="27" t="s">
        <v>7</v>
      </c>
      <c r="BT275" s="27" t="s">
        <v>7</v>
      </c>
      <c r="BU275" s="27" t="s">
        <v>8</v>
      </c>
      <c r="BV275" s="27" t="s">
        <v>7</v>
      </c>
      <c r="BW275" s="27" t="s">
        <v>8</v>
      </c>
      <c r="BX275" s="27" t="s">
        <v>7</v>
      </c>
      <c r="BY275" s="27" t="s">
        <v>8</v>
      </c>
      <c r="BZ275" s="27" t="s">
        <v>7</v>
      </c>
      <c r="CA275" s="27" t="s">
        <v>8</v>
      </c>
      <c r="CB275" s="27" t="s">
        <v>7</v>
      </c>
      <c r="CI275" s="27" t="s">
        <v>8</v>
      </c>
      <c r="CR275" s="27" t="s">
        <v>7</v>
      </c>
      <c r="CS275" s="27" t="s">
        <v>8</v>
      </c>
      <c r="CT275" s="27" t="s">
        <v>7</v>
      </c>
    </row>
    <row r="276" spans="1:166" x14ac:dyDescent="0.25">
      <c r="A276" s="7">
        <v>472.77381848879276</v>
      </c>
      <c r="B276"/>
      <c r="C276"/>
      <c r="D276"/>
      <c r="E276" t="s">
        <v>8</v>
      </c>
      <c r="P276" s="27" t="s">
        <v>7</v>
      </c>
      <c r="Q276" s="27" t="s">
        <v>8</v>
      </c>
      <c r="R276" s="27" t="s">
        <v>7</v>
      </c>
      <c r="S276" s="27" t="s">
        <v>8</v>
      </c>
      <c r="T276" s="27" t="s">
        <v>7</v>
      </c>
      <c r="Y276" s="27" t="s">
        <v>8</v>
      </c>
      <c r="AA276" s="27" t="s">
        <v>8</v>
      </c>
      <c r="AB276" s="27" t="s">
        <v>7</v>
      </c>
      <c r="AC276" s="27" t="s">
        <v>8</v>
      </c>
      <c r="AD276" s="27" t="s">
        <v>7</v>
      </c>
      <c r="AE276" s="27" t="s">
        <v>8</v>
      </c>
      <c r="AF276" s="27" t="s">
        <v>7</v>
      </c>
      <c r="AG276" s="27" t="s">
        <v>8</v>
      </c>
      <c r="BT276" s="27" t="s">
        <v>7</v>
      </c>
      <c r="BU276" s="27" t="s">
        <v>8</v>
      </c>
      <c r="BV276" s="27" t="s">
        <v>7</v>
      </c>
      <c r="BW276" s="27" t="s">
        <v>8</v>
      </c>
      <c r="BX276" s="27" t="s">
        <v>7</v>
      </c>
      <c r="BY276" s="27" t="s">
        <v>8</v>
      </c>
      <c r="BZ276" s="27" t="s">
        <v>7</v>
      </c>
      <c r="CB276" s="27" t="s">
        <v>7</v>
      </c>
      <c r="CC276" s="27" t="s">
        <v>8</v>
      </c>
      <c r="CI276" s="27" t="s">
        <v>8</v>
      </c>
      <c r="CR276" s="27" t="s">
        <v>7</v>
      </c>
      <c r="CS276" s="27" t="s">
        <v>8</v>
      </c>
      <c r="CT276" s="27" t="s">
        <v>7</v>
      </c>
    </row>
    <row r="277" spans="1:166" x14ac:dyDescent="0.25">
      <c r="A277" s="7">
        <v>463.50374361646345</v>
      </c>
      <c r="B277"/>
      <c r="C277"/>
      <c r="D277"/>
      <c r="E277" t="s">
        <v>8</v>
      </c>
      <c r="P277" s="27" t="s">
        <v>7</v>
      </c>
      <c r="Q277" s="27" t="s">
        <v>8</v>
      </c>
      <c r="R277" s="27" t="s">
        <v>7</v>
      </c>
      <c r="S277" s="27" t="s">
        <v>8</v>
      </c>
      <c r="T277" s="27" t="s">
        <v>7</v>
      </c>
      <c r="Y277" s="27" t="s">
        <v>8</v>
      </c>
      <c r="Z277" s="27" t="s">
        <v>7</v>
      </c>
      <c r="AA277" s="27" t="s">
        <v>8</v>
      </c>
      <c r="AB277" s="27" t="s">
        <v>7</v>
      </c>
      <c r="AC277" s="27" t="s">
        <v>8</v>
      </c>
      <c r="AD277" s="27" t="s">
        <v>7</v>
      </c>
      <c r="AE277" s="27" t="s">
        <v>8</v>
      </c>
      <c r="AF277" s="27" t="s">
        <v>7</v>
      </c>
      <c r="BT277" s="27" t="s">
        <v>7</v>
      </c>
      <c r="BU277" s="27" t="s">
        <v>8</v>
      </c>
      <c r="BV277" s="27" t="s">
        <v>7</v>
      </c>
      <c r="BW277" s="27" t="s">
        <v>8</v>
      </c>
      <c r="BX277" s="27" t="s">
        <v>7</v>
      </c>
      <c r="BY277" s="27" t="s">
        <v>8</v>
      </c>
      <c r="CB277" s="27" t="s">
        <v>7</v>
      </c>
      <c r="CC277" s="27" t="s">
        <v>8</v>
      </c>
      <c r="CD277" s="27" t="s">
        <v>7</v>
      </c>
      <c r="CI277" s="27" t="s">
        <v>8</v>
      </c>
      <c r="CR277" s="27" t="s">
        <v>7</v>
      </c>
      <c r="CS277" s="27" t="s">
        <v>8</v>
      </c>
      <c r="CT277" s="27" t="s">
        <v>7</v>
      </c>
    </row>
    <row r="278" spans="1:166" x14ac:dyDescent="0.25">
      <c r="A278" s="7">
        <v>454.41543491810143</v>
      </c>
      <c r="B278"/>
      <c r="C278"/>
      <c r="D278"/>
      <c r="E278" t="s">
        <v>8</v>
      </c>
      <c r="P278" s="27" t="s">
        <v>7</v>
      </c>
      <c r="Q278" s="27" t="s">
        <v>8</v>
      </c>
      <c r="R278" s="27" t="s">
        <v>7</v>
      </c>
      <c r="S278" s="27" t="s">
        <v>8</v>
      </c>
      <c r="T278" s="27" t="s">
        <v>7</v>
      </c>
      <c r="Y278" s="27" t="s">
        <v>8</v>
      </c>
      <c r="Z278" s="27" t="s">
        <v>7</v>
      </c>
      <c r="AA278" s="27" t="s">
        <v>8</v>
      </c>
      <c r="AB278" s="27" t="s">
        <v>7</v>
      </c>
      <c r="AC278" s="27" t="s">
        <v>8</v>
      </c>
      <c r="AD278" s="27" t="s">
        <v>7</v>
      </c>
      <c r="AE278" s="27" t="s">
        <v>8</v>
      </c>
      <c r="BT278" s="27" t="s">
        <v>7</v>
      </c>
      <c r="BU278" s="27" t="s">
        <v>8</v>
      </c>
      <c r="BV278" s="27" t="s">
        <v>7</v>
      </c>
      <c r="BW278" s="27" t="s">
        <v>8</v>
      </c>
      <c r="BX278" s="27" t="s">
        <v>7</v>
      </c>
      <c r="BY278" s="27" t="s">
        <v>8</v>
      </c>
      <c r="CB278" s="27" t="s">
        <v>7</v>
      </c>
      <c r="CC278" s="27" t="s">
        <v>8</v>
      </c>
      <c r="CD278" s="27" t="s">
        <v>7</v>
      </c>
      <c r="CI278" s="27" t="s">
        <v>8</v>
      </c>
      <c r="CR278" s="27" t="s">
        <v>7</v>
      </c>
      <c r="CT278" s="27" t="s">
        <v>7</v>
      </c>
      <c r="FI278" s="27" t="s">
        <v>8</v>
      </c>
    </row>
    <row r="279" spans="1:166" x14ac:dyDescent="0.25">
      <c r="A279" s="7">
        <v>445.50532835107981</v>
      </c>
      <c r="B279"/>
      <c r="C279"/>
      <c r="D279"/>
      <c r="E279" t="s">
        <v>8</v>
      </c>
      <c r="P279" s="27" t="s">
        <v>7</v>
      </c>
      <c r="Q279" s="27" t="s">
        <v>8</v>
      </c>
      <c r="R279" s="27" t="s">
        <v>7</v>
      </c>
      <c r="S279" s="27" t="s">
        <v>8</v>
      </c>
      <c r="T279" s="27" t="s">
        <v>7</v>
      </c>
      <c r="Y279" s="27" t="s">
        <v>8</v>
      </c>
      <c r="Z279" s="27" t="s">
        <v>7</v>
      </c>
      <c r="AA279" s="27" t="s">
        <v>8</v>
      </c>
      <c r="AB279" s="27" t="s">
        <v>7</v>
      </c>
      <c r="AC279" s="27" t="s">
        <v>8</v>
      </c>
      <c r="AD279" s="27" t="s">
        <v>7</v>
      </c>
      <c r="AE279" s="27" t="s">
        <v>8</v>
      </c>
      <c r="BT279" s="27" t="s">
        <v>7</v>
      </c>
      <c r="BU279" s="27" t="s">
        <v>8</v>
      </c>
      <c r="BV279" s="27" t="s">
        <v>7</v>
      </c>
      <c r="BW279" s="27" t="s">
        <v>8</v>
      </c>
      <c r="BX279" s="27" t="s">
        <v>7</v>
      </c>
      <c r="BY279" s="27" t="s">
        <v>8</v>
      </c>
      <c r="CB279" s="27" t="s">
        <v>7</v>
      </c>
      <c r="CC279" s="27" t="s">
        <v>8</v>
      </c>
      <c r="CD279" s="27" t="s">
        <v>7</v>
      </c>
      <c r="CI279" s="27" t="s">
        <v>8</v>
      </c>
      <c r="CT279" s="27" t="s">
        <v>7</v>
      </c>
      <c r="FI279" s="27" t="s">
        <v>8</v>
      </c>
      <c r="FJ279" s="27" t="s">
        <v>7</v>
      </c>
    </row>
    <row r="280" spans="1:166" x14ac:dyDescent="0.25">
      <c r="A280" s="7">
        <v>436.76992975596062</v>
      </c>
      <c r="B280"/>
      <c r="C280"/>
      <c r="D280"/>
      <c r="E280" t="s">
        <v>8</v>
      </c>
      <c r="P280" s="27" t="s">
        <v>7</v>
      </c>
      <c r="Q280" s="27" t="s">
        <v>8</v>
      </c>
      <c r="R280" s="27" t="s">
        <v>7</v>
      </c>
      <c r="S280" s="27" t="s">
        <v>8</v>
      </c>
      <c r="T280" s="27" t="s">
        <v>7</v>
      </c>
      <c r="Y280" s="27" t="s">
        <v>8</v>
      </c>
      <c r="Z280" s="27" t="s">
        <v>7</v>
      </c>
      <c r="AA280" s="27" t="s">
        <v>8</v>
      </c>
      <c r="AB280" s="27" t="s">
        <v>7</v>
      </c>
      <c r="AD280" s="27" t="s">
        <v>7</v>
      </c>
      <c r="AE280" s="27" t="s">
        <v>8</v>
      </c>
      <c r="BT280" s="27" t="s">
        <v>7</v>
      </c>
      <c r="BU280" s="27" t="s">
        <v>8</v>
      </c>
      <c r="BV280" s="27" t="s">
        <v>7</v>
      </c>
      <c r="BW280" s="27" t="s">
        <v>8</v>
      </c>
      <c r="BX280" s="27" t="s">
        <v>7</v>
      </c>
      <c r="BY280" s="27" t="s">
        <v>8</v>
      </c>
      <c r="CB280" s="27" t="s">
        <v>7</v>
      </c>
      <c r="CC280" s="27" t="s">
        <v>8</v>
      </c>
      <c r="CD280" s="27" t="s">
        <v>7</v>
      </c>
      <c r="CE280" s="27" t="s">
        <v>8</v>
      </c>
      <c r="CI280" s="27" t="s">
        <v>8</v>
      </c>
      <c r="CT280" s="27" t="s">
        <v>7</v>
      </c>
      <c r="FI280" s="27" t="s">
        <v>8</v>
      </c>
      <c r="FJ280" s="27" t="s">
        <v>7</v>
      </c>
    </row>
    <row r="281" spans="1:166" x14ac:dyDescent="0.25">
      <c r="A281" s="7">
        <v>428.20581348623591</v>
      </c>
      <c r="B281"/>
      <c r="C281"/>
      <c r="D281"/>
      <c r="E281" t="s">
        <v>8</v>
      </c>
      <c r="P281" s="27" t="s">
        <v>7</v>
      </c>
      <c r="Q281" s="27" t="s">
        <v>8</v>
      </c>
      <c r="R281" s="27" t="s">
        <v>7</v>
      </c>
      <c r="S281" s="27" t="s">
        <v>8</v>
      </c>
      <c r="T281" s="27" t="s">
        <v>7</v>
      </c>
      <c r="Y281" s="27" t="s">
        <v>8</v>
      </c>
      <c r="Z281" s="27" t="s">
        <v>7</v>
      </c>
      <c r="AA281" s="27" t="s">
        <v>8</v>
      </c>
      <c r="AD281" s="27" t="s">
        <v>7</v>
      </c>
      <c r="AE281" s="27" t="s">
        <v>8</v>
      </c>
      <c r="BT281" s="27" t="s">
        <v>7</v>
      </c>
      <c r="BU281" s="27" t="s">
        <v>8</v>
      </c>
      <c r="BV281" s="27" t="s">
        <v>7</v>
      </c>
      <c r="BX281" s="27" t="s">
        <v>7</v>
      </c>
      <c r="CB281" s="27" t="s">
        <v>7</v>
      </c>
      <c r="CC281" s="27" t="s">
        <v>8</v>
      </c>
      <c r="CD281" s="27" t="s">
        <v>7</v>
      </c>
      <c r="CE281" s="27" t="s">
        <v>8</v>
      </c>
      <c r="CF281" s="27" t="s">
        <v>7</v>
      </c>
      <c r="CI281" s="27" t="s">
        <v>8</v>
      </c>
      <c r="CT281" s="27" t="s">
        <v>7</v>
      </c>
      <c r="FI281" s="27" t="s">
        <v>8</v>
      </c>
      <c r="FJ281" s="27" t="s">
        <v>7</v>
      </c>
    </row>
    <row r="282" spans="1:166" x14ac:dyDescent="0.25">
      <c r="A282" s="7">
        <v>419.80962106493718</v>
      </c>
      <c r="B282"/>
      <c r="C282"/>
      <c r="D282"/>
      <c r="E282" t="s">
        <v>8</v>
      </c>
      <c r="P282" s="27" t="s">
        <v>7</v>
      </c>
      <c r="Q282" s="27" t="s">
        <v>8</v>
      </c>
      <c r="R282" s="27" t="s">
        <v>7</v>
      </c>
      <c r="S282" s="27" t="s">
        <v>8</v>
      </c>
      <c r="T282" s="27" t="s">
        <v>7</v>
      </c>
      <c r="W282" s="27" t="s">
        <v>8</v>
      </c>
      <c r="Y282" s="27" t="s">
        <v>8</v>
      </c>
      <c r="Z282" s="27" t="s">
        <v>7</v>
      </c>
      <c r="AA282" s="27" t="s">
        <v>8</v>
      </c>
      <c r="AD282" s="27" t="s">
        <v>7</v>
      </c>
      <c r="AE282" s="27" t="s">
        <v>8</v>
      </c>
      <c r="BT282" s="27" t="s">
        <v>7</v>
      </c>
      <c r="BU282" s="27" t="s">
        <v>8</v>
      </c>
      <c r="CB282" s="27" t="s">
        <v>7</v>
      </c>
      <c r="CC282" s="27" t="s">
        <v>8</v>
      </c>
      <c r="CD282" s="27" t="s">
        <v>7</v>
      </c>
      <c r="CE282" s="27" t="s">
        <v>8</v>
      </c>
      <c r="CF282" s="27" t="s">
        <v>7</v>
      </c>
      <c r="CI282" s="27" t="s">
        <v>8</v>
      </c>
      <c r="CT282" s="27" t="s">
        <v>7</v>
      </c>
      <c r="FI282" s="27" t="s">
        <v>8</v>
      </c>
      <c r="FJ282" s="27" t="s">
        <v>7</v>
      </c>
    </row>
    <row r="283" spans="1:166" x14ac:dyDescent="0.25">
      <c r="A283" s="7">
        <v>411.57805986758547</v>
      </c>
      <c r="B283"/>
      <c r="C283"/>
      <c r="D283"/>
      <c r="E283" t="s">
        <v>8</v>
      </c>
      <c r="P283" s="27" t="s">
        <v>7</v>
      </c>
      <c r="Q283" s="27" t="s">
        <v>8</v>
      </c>
      <c r="R283" s="27" t="s">
        <v>7</v>
      </c>
      <c r="S283" s="27" t="s">
        <v>8</v>
      </c>
      <c r="T283" s="27" t="s">
        <v>7</v>
      </c>
      <c r="W283" s="27" t="s">
        <v>8</v>
      </c>
      <c r="X283" s="27" t="s">
        <v>7</v>
      </c>
      <c r="Y283" s="27" t="s">
        <v>8</v>
      </c>
      <c r="Z283" s="27" t="s">
        <v>7</v>
      </c>
      <c r="AA283" s="27" t="s">
        <v>8</v>
      </c>
      <c r="AD283" s="27" t="s">
        <v>7</v>
      </c>
      <c r="AE283" s="27" t="s">
        <v>8</v>
      </c>
      <c r="BT283" s="27" t="s">
        <v>7</v>
      </c>
      <c r="BU283" s="27" t="s">
        <v>8</v>
      </c>
      <c r="CB283" s="27" t="s">
        <v>7</v>
      </c>
      <c r="CC283" s="27" t="s">
        <v>8</v>
      </c>
      <c r="CD283" s="27" t="s">
        <v>7</v>
      </c>
      <c r="CE283" s="27" t="s">
        <v>8</v>
      </c>
      <c r="CF283" s="27" t="s">
        <v>7</v>
      </c>
      <c r="CI283" s="27" t="s">
        <v>8</v>
      </c>
      <c r="CT283" s="27" t="s">
        <v>7</v>
      </c>
      <c r="FI283" s="27" t="s">
        <v>8</v>
      </c>
      <c r="FJ283" s="27" t="s">
        <v>7</v>
      </c>
    </row>
    <row r="284" spans="1:166" x14ac:dyDescent="0.25">
      <c r="A284" s="7">
        <v>403.50790183096615</v>
      </c>
      <c r="B284"/>
      <c r="C284"/>
      <c r="D284"/>
      <c r="E284" t="s">
        <v>8</v>
      </c>
      <c r="P284" s="27" t="s">
        <v>7</v>
      </c>
      <c r="Q284" s="27" t="s">
        <v>8</v>
      </c>
      <c r="R284" s="27" t="s">
        <v>7</v>
      </c>
      <c r="S284" s="27" t="s">
        <v>8</v>
      </c>
      <c r="T284" s="27" t="s">
        <v>7</v>
      </c>
      <c r="W284" s="27" t="s">
        <v>8</v>
      </c>
      <c r="X284" s="27" t="s">
        <v>7</v>
      </c>
      <c r="Y284" s="27" t="s">
        <v>8</v>
      </c>
      <c r="Z284" s="27" t="s">
        <v>7</v>
      </c>
      <c r="AA284" s="27" t="s">
        <v>8</v>
      </c>
      <c r="AD284" s="27" t="s">
        <v>7</v>
      </c>
      <c r="AE284" s="27" t="s">
        <v>8</v>
      </c>
      <c r="BT284" s="27" t="s">
        <v>7</v>
      </c>
      <c r="BU284" s="27" t="s">
        <v>8</v>
      </c>
      <c r="CB284" s="27" t="s">
        <v>7</v>
      </c>
      <c r="CD284" s="27" t="s">
        <v>7</v>
      </c>
      <c r="CE284" s="27" t="s">
        <v>8</v>
      </c>
      <c r="CF284" s="27" t="s">
        <v>7</v>
      </c>
      <c r="CG284" s="27" t="s">
        <v>8</v>
      </c>
      <c r="CI284" s="27" t="s">
        <v>8</v>
      </c>
      <c r="CT284" s="27" t="s">
        <v>7</v>
      </c>
      <c r="DC284" s="27" t="s">
        <v>8</v>
      </c>
      <c r="FI284" s="27" t="s">
        <v>8</v>
      </c>
      <c r="FJ284" s="27" t="s">
        <v>7</v>
      </c>
    </row>
    <row r="285" spans="1:166" x14ac:dyDescent="0.25">
      <c r="A285" s="7">
        <v>395.59598218722169</v>
      </c>
      <c r="B285"/>
      <c r="C285"/>
      <c r="D285"/>
      <c r="E285" t="s">
        <v>8</v>
      </c>
      <c r="P285" s="27" t="s">
        <v>7</v>
      </c>
      <c r="Q285" s="27" t="s">
        <v>8</v>
      </c>
      <c r="R285" s="27" t="s">
        <v>7</v>
      </c>
      <c r="S285" s="27" t="s">
        <v>8</v>
      </c>
      <c r="T285" s="27" t="s">
        <v>7</v>
      </c>
      <c r="W285" s="27" t="s">
        <v>8</v>
      </c>
      <c r="X285" s="27" t="s">
        <v>7</v>
      </c>
      <c r="Y285" s="27" t="s">
        <v>8</v>
      </c>
      <c r="Z285" s="27" t="s">
        <v>7</v>
      </c>
      <c r="AD285" s="27" t="s">
        <v>7</v>
      </c>
      <c r="AE285" s="27" t="s">
        <v>8</v>
      </c>
      <c r="BT285" s="27" t="s">
        <v>7</v>
      </c>
      <c r="BU285" s="27" t="s">
        <v>8</v>
      </c>
      <c r="CD285" s="27" t="s">
        <v>7</v>
      </c>
      <c r="CF285" s="27" t="s">
        <v>7</v>
      </c>
      <c r="CG285" s="27" t="s">
        <v>8</v>
      </c>
      <c r="CH285" s="27" t="s">
        <v>7</v>
      </c>
      <c r="CI285" s="27" t="s">
        <v>8</v>
      </c>
      <c r="CT285" s="27" t="s">
        <v>7</v>
      </c>
      <c r="DC285" s="27" t="s">
        <v>8</v>
      </c>
      <c r="DD285" s="27" t="s">
        <v>7</v>
      </c>
      <c r="FI285" s="27" t="s">
        <v>8</v>
      </c>
      <c r="FJ285" s="27" t="s">
        <v>7</v>
      </c>
    </row>
    <row r="286" spans="1:166" x14ac:dyDescent="0.25">
      <c r="A286" s="7">
        <v>387.83919822276636</v>
      </c>
      <c r="B286"/>
      <c r="C286"/>
      <c r="D286"/>
      <c r="E286" t="s">
        <v>8</v>
      </c>
      <c r="P286" s="27" t="s">
        <v>7</v>
      </c>
      <c r="Q286" s="27" t="s">
        <v>8</v>
      </c>
      <c r="R286" s="27" t="s">
        <v>7</v>
      </c>
      <c r="S286" s="27" t="s">
        <v>8</v>
      </c>
      <c r="T286" s="27" t="s">
        <v>7</v>
      </c>
      <c r="W286" s="27" t="s">
        <v>8</v>
      </c>
      <c r="X286" s="27" t="s">
        <v>7</v>
      </c>
      <c r="Y286" s="27" t="s">
        <v>8</v>
      </c>
      <c r="AD286" s="27" t="s">
        <v>7</v>
      </c>
      <c r="AE286" s="27" t="s">
        <v>8</v>
      </c>
      <c r="BT286" s="27" t="s">
        <v>7</v>
      </c>
      <c r="BU286" s="27" t="s">
        <v>8</v>
      </c>
      <c r="CF286" s="27" t="s">
        <v>7</v>
      </c>
      <c r="CG286" s="27" t="s">
        <v>8</v>
      </c>
      <c r="CH286" s="27" t="s">
        <v>7</v>
      </c>
      <c r="CI286" s="27" t="s">
        <v>8</v>
      </c>
      <c r="CT286" s="27" t="s">
        <v>7</v>
      </c>
      <c r="DC286" s="27" t="s">
        <v>8</v>
      </c>
      <c r="DD286" s="27" t="s">
        <v>7</v>
      </c>
      <c r="FI286" s="27" t="s">
        <v>8</v>
      </c>
      <c r="FJ286" s="27" t="s">
        <v>7</v>
      </c>
    </row>
    <row r="287" spans="1:166" x14ac:dyDescent="0.25">
      <c r="A287" s="7">
        <v>380.23450806153562</v>
      </c>
      <c r="B287"/>
      <c r="C287"/>
      <c r="D287"/>
      <c r="E287" t="s">
        <v>8</v>
      </c>
      <c r="P287" s="27" t="s">
        <v>7</v>
      </c>
      <c r="Q287" s="27" t="s">
        <v>8</v>
      </c>
      <c r="R287" s="27" t="s">
        <v>7</v>
      </c>
      <c r="S287" s="27" t="s">
        <v>8</v>
      </c>
      <c r="T287" s="27" t="s">
        <v>7</v>
      </c>
      <c r="U287" s="27" t="s">
        <v>8</v>
      </c>
      <c r="W287" s="27" t="s">
        <v>8</v>
      </c>
      <c r="X287" s="27" t="s">
        <v>7</v>
      </c>
      <c r="Y287" s="27" t="s">
        <v>8</v>
      </c>
      <c r="AD287" s="27" t="s">
        <v>7</v>
      </c>
      <c r="AE287" s="27" t="s">
        <v>8</v>
      </c>
      <c r="BT287" s="27" t="s">
        <v>7</v>
      </c>
      <c r="CF287" s="27" t="s">
        <v>7</v>
      </c>
      <c r="CG287" s="27" t="s">
        <v>8</v>
      </c>
      <c r="CH287" s="27" t="s">
        <v>7</v>
      </c>
      <c r="CT287" s="27" t="s">
        <v>7</v>
      </c>
      <c r="DC287" s="27" t="s">
        <v>8</v>
      </c>
      <c r="DD287" s="27" t="s">
        <v>7</v>
      </c>
      <c r="FI287" s="27" t="s">
        <v>8</v>
      </c>
      <c r="FJ287" s="27" t="s">
        <v>7</v>
      </c>
    </row>
    <row r="288" spans="1:166" x14ac:dyDescent="0.25">
      <c r="A288" s="7">
        <v>372.77892947209375</v>
      </c>
      <c r="B288"/>
      <c r="C288"/>
      <c r="D288"/>
      <c r="E288" t="s">
        <v>8</v>
      </c>
      <c r="P288" s="27" t="s">
        <v>7</v>
      </c>
      <c r="Q288" s="27" t="s">
        <v>8</v>
      </c>
      <c r="R288" s="27" t="s">
        <v>7</v>
      </c>
      <c r="S288" s="27" t="s">
        <v>8</v>
      </c>
      <c r="T288" s="27" t="s">
        <v>7</v>
      </c>
      <c r="U288" s="27" t="s">
        <v>8</v>
      </c>
      <c r="V288" s="27" t="s">
        <v>7</v>
      </c>
      <c r="W288" s="27" t="s">
        <v>8</v>
      </c>
      <c r="X288" s="27" t="s">
        <v>7</v>
      </c>
      <c r="Y288" s="27" t="s">
        <v>8</v>
      </c>
      <c r="AD288" s="27" t="s">
        <v>7</v>
      </c>
      <c r="CF288" s="27" t="s">
        <v>7</v>
      </c>
      <c r="CG288" s="27" t="s">
        <v>8</v>
      </c>
      <c r="CT288" s="27" t="s">
        <v>7</v>
      </c>
      <c r="DC288" s="27" t="s">
        <v>8</v>
      </c>
      <c r="DD288" s="27" t="s">
        <v>7</v>
      </c>
      <c r="EQ288" s="27" t="s">
        <v>8</v>
      </c>
      <c r="FI288" s="27" t="s">
        <v>8</v>
      </c>
      <c r="FJ288" s="27" t="s">
        <v>7</v>
      </c>
    </row>
    <row r="289" spans="1:168" x14ac:dyDescent="0.25">
      <c r="A289" s="7">
        <v>365.46953869813115</v>
      </c>
      <c r="B289"/>
      <c r="C289"/>
      <c r="D289"/>
      <c r="E289" t="s">
        <v>8</v>
      </c>
      <c r="P289" s="27" t="s">
        <v>7</v>
      </c>
      <c r="Q289" s="27" t="s">
        <v>8</v>
      </c>
      <c r="R289" s="27" t="s">
        <v>7</v>
      </c>
      <c r="T289" s="27" t="s">
        <v>7</v>
      </c>
      <c r="U289" s="27" t="s">
        <v>8</v>
      </c>
      <c r="V289" s="27" t="s">
        <v>7</v>
      </c>
      <c r="W289" s="27" t="s">
        <v>8</v>
      </c>
      <c r="X289" s="27" t="s">
        <v>7</v>
      </c>
      <c r="Y289" s="27" t="s">
        <v>8</v>
      </c>
      <c r="CF289" s="27" t="s">
        <v>7</v>
      </c>
      <c r="CG289" s="27" t="s">
        <v>8</v>
      </c>
      <c r="CT289" s="27" t="s">
        <v>7</v>
      </c>
      <c r="DC289" s="27" t="s">
        <v>8</v>
      </c>
      <c r="DD289" s="27" t="s">
        <v>7</v>
      </c>
      <c r="EK289" s="27" t="s">
        <v>8</v>
      </c>
      <c r="EQ289" s="27" t="s">
        <v>8</v>
      </c>
      <c r="ER289" s="27" t="s">
        <v>7</v>
      </c>
      <c r="FI289" s="27" t="s">
        <v>8</v>
      </c>
      <c r="FJ289" s="27" t="s">
        <v>7</v>
      </c>
    </row>
    <row r="290" spans="1:168" x14ac:dyDescent="0.25">
      <c r="A290" s="7">
        <v>358.30346931189325</v>
      </c>
      <c r="B290"/>
      <c r="C290"/>
      <c r="D290"/>
      <c r="E290" t="s">
        <v>8</v>
      </c>
      <c r="P290" s="27" t="s">
        <v>7</v>
      </c>
      <c r="Q290" s="27" t="s">
        <v>8</v>
      </c>
      <c r="T290" s="27" t="s">
        <v>7</v>
      </c>
      <c r="U290" s="27" t="s">
        <v>8</v>
      </c>
      <c r="V290" s="27" t="s">
        <v>7</v>
      </c>
      <c r="W290" s="27" t="s">
        <v>8</v>
      </c>
      <c r="X290" s="27" t="s">
        <v>7</v>
      </c>
      <c r="Y290" s="27" t="s">
        <v>8</v>
      </c>
      <c r="CF290" s="27" t="s">
        <v>7</v>
      </c>
      <c r="CG290" s="27" t="s">
        <v>8</v>
      </c>
      <c r="CT290" s="27" t="s">
        <v>7</v>
      </c>
      <c r="DC290" s="27" t="s">
        <v>8</v>
      </c>
      <c r="DD290" s="27" t="s">
        <v>7</v>
      </c>
      <c r="EK290" s="27" t="s">
        <v>8</v>
      </c>
      <c r="EL290" s="27" t="s">
        <v>7</v>
      </c>
      <c r="EQ290" s="27" t="s">
        <v>8</v>
      </c>
      <c r="ER290" s="27" t="s">
        <v>7</v>
      </c>
      <c r="EU290" s="27" t="s">
        <v>8</v>
      </c>
      <c r="FI290" s="27" t="s">
        <v>8</v>
      </c>
      <c r="FJ290" s="27" t="s">
        <v>7</v>
      </c>
    </row>
    <row r="291" spans="1:168" x14ac:dyDescent="0.25">
      <c r="A291" s="7">
        <v>351.27791109009144</v>
      </c>
      <c r="B291"/>
      <c r="C291"/>
      <c r="D291"/>
      <c r="E291" t="s">
        <v>8</v>
      </c>
      <c r="P291" s="27" t="s">
        <v>7</v>
      </c>
      <c r="Q291" s="27" t="s">
        <v>8</v>
      </c>
      <c r="T291" s="27" t="s">
        <v>7</v>
      </c>
      <c r="U291" s="27" t="s">
        <v>8</v>
      </c>
      <c r="V291" s="27" t="s">
        <v>7</v>
      </c>
      <c r="W291" s="27" t="s">
        <v>8</v>
      </c>
      <c r="X291" s="27" t="s">
        <v>7</v>
      </c>
      <c r="Y291" s="27" t="s">
        <v>8</v>
      </c>
      <c r="CF291" s="27" t="s">
        <v>7</v>
      </c>
      <c r="CG291" s="27" t="s">
        <v>8</v>
      </c>
      <c r="CT291" s="27" t="s">
        <v>7</v>
      </c>
      <c r="DC291" s="27" t="s">
        <v>8</v>
      </c>
      <c r="DD291" s="27" t="s">
        <v>7</v>
      </c>
      <c r="EK291" s="27" t="s">
        <v>8</v>
      </c>
      <c r="EL291" s="27" t="s">
        <v>7</v>
      </c>
      <c r="EQ291" s="27" t="s">
        <v>8</v>
      </c>
      <c r="ER291" s="27" t="s">
        <v>7</v>
      </c>
      <c r="EU291" s="27" t="s">
        <v>8</v>
      </c>
      <c r="EV291" s="27" t="s">
        <v>7</v>
      </c>
      <c r="FI291" s="27" t="s">
        <v>8</v>
      </c>
      <c r="FJ291" s="27" t="s">
        <v>7</v>
      </c>
    </row>
    <row r="292" spans="1:168" x14ac:dyDescent="0.25">
      <c r="A292" s="7">
        <v>344.39010891185433</v>
      </c>
      <c r="B292"/>
      <c r="C292"/>
      <c r="D292"/>
      <c r="E292" t="s">
        <v>8</v>
      </c>
      <c r="P292" s="27" t="s">
        <v>7</v>
      </c>
      <c r="Q292" s="27" t="s">
        <v>8</v>
      </c>
      <c r="T292" s="27" t="s">
        <v>7</v>
      </c>
      <c r="U292" s="27" t="s">
        <v>8</v>
      </c>
      <c r="V292" s="27" t="s">
        <v>7</v>
      </c>
      <c r="W292" s="27" t="s">
        <v>8</v>
      </c>
      <c r="X292" s="27" t="s">
        <v>7</v>
      </c>
      <c r="CF292" s="27" t="s">
        <v>7</v>
      </c>
      <c r="CG292" s="27" t="s">
        <v>8</v>
      </c>
      <c r="CT292" s="27" t="s">
        <v>7</v>
      </c>
      <c r="CU292" s="27" t="s">
        <v>8</v>
      </c>
      <c r="DC292" s="27" t="s">
        <v>8</v>
      </c>
      <c r="DD292" s="27" t="s">
        <v>7</v>
      </c>
      <c r="EK292" s="27" t="s">
        <v>8</v>
      </c>
      <c r="EL292" s="27" t="s">
        <v>7</v>
      </c>
      <c r="EQ292" s="27" t="s">
        <v>8</v>
      </c>
      <c r="ER292" s="27" t="s">
        <v>7</v>
      </c>
      <c r="ES292" s="27" t="s">
        <v>8</v>
      </c>
      <c r="EU292" s="27" t="s">
        <v>8</v>
      </c>
      <c r="EV292" s="27" t="s">
        <v>7</v>
      </c>
      <c r="FI292" s="27" t="s">
        <v>8</v>
      </c>
      <c r="FJ292" s="27" t="s">
        <v>7</v>
      </c>
    </row>
    <row r="293" spans="1:168" x14ac:dyDescent="0.25">
      <c r="A293" s="7">
        <v>337.63736167828853</v>
      </c>
      <c r="B293"/>
      <c r="C293"/>
      <c r="D293"/>
      <c r="E293" t="s">
        <v>8</v>
      </c>
      <c r="P293" s="27" t="s">
        <v>7</v>
      </c>
      <c r="Q293" s="27" t="s">
        <v>8</v>
      </c>
      <c r="T293" s="27" t="s">
        <v>7</v>
      </c>
      <c r="U293" s="27" t="s">
        <v>8</v>
      </c>
      <c r="V293" s="27" t="s">
        <v>7</v>
      </c>
      <c r="W293" s="27" t="s">
        <v>8</v>
      </c>
      <c r="CF293" s="27" t="s">
        <v>7</v>
      </c>
      <c r="CG293" s="27" t="s">
        <v>8</v>
      </c>
      <c r="CT293" s="27" t="s">
        <v>7</v>
      </c>
      <c r="CU293" s="27" t="s">
        <v>8</v>
      </c>
      <c r="CV293" s="27" t="s">
        <v>7</v>
      </c>
      <c r="DC293" s="27" t="s">
        <v>8</v>
      </c>
      <c r="DD293" s="27" t="s">
        <v>7</v>
      </c>
      <c r="EK293" s="27" t="s">
        <v>8</v>
      </c>
      <c r="EL293" s="27" t="s">
        <v>7</v>
      </c>
      <c r="EQ293" s="27" t="s">
        <v>8</v>
      </c>
      <c r="ER293" s="27" t="s">
        <v>7</v>
      </c>
      <c r="ES293" s="27" t="s">
        <v>8</v>
      </c>
      <c r="ET293" s="27" t="s">
        <v>7</v>
      </c>
      <c r="EU293" s="27" t="s">
        <v>8</v>
      </c>
      <c r="EV293" s="27" t="s">
        <v>7</v>
      </c>
      <c r="FI293" s="27" t="s">
        <v>8</v>
      </c>
      <c r="FJ293" s="27" t="s">
        <v>7</v>
      </c>
    </row>
    <row r="294" spans="1:168" x14ac:dyDescent="0.25">
      <c r="A294" s="7">
        <v>331.01702125322402</v>
      </c>
      <c r="B294"/>
      <c r="C294"/>
      <c r="D294"/>
      <c r="E294" t="s">
        <v>8</v>
      </c>
      <c r="P294" s="27" t="s">
        <v>7</v>
      </c>
      <c r="Q294" s="27" t="s">
        <v>8</v>
      </c>
      <c r="T294" s="27" t="s">
        <v>7</v>
      </c>
      <c r="U294" s="27" t="s">
        <v>8</v>
      </c>
      <c r="V294" s="27" t="s">
        <v>7</v>
      </c>
      <c r="W294" s="27" t="s">
        <v>8</v>
      </c>
      <c r="CF294" s="27" t="s">
        <v>7</v>
      </c>
      <c r="CG294" s="27" t="s">
        <v>8</v>
      </c>
      <c r="CT294" s="27" t="s">
        <v>7</v>
      </c>
      <c r="CU294" s="27" t="s">
        <v>8</v>
      </c>
      <c r="CV294" s="27" t="s">
        <v>7</v>
      </c>
      <c r="DC294" s="27" t="s">
        <v>8</v>
      </c>
      <c r="DD294" s="27" t="s">
        <v>7</v>
      </c>
      <c r="DK294" s="27" t="s">
        <v>8</v>
      </c>
      <c r="EK294" s="27" t="s">
        <v>8</v>
      </c>
      <c r="EL294" s="27" t="s">
        <v>7</v>
      </c>
      <c r="EQ294" s="27" t="s">
        <v>8</v>
      </c>
      <c r="ER294" s="27" t="s">
        <v>7</v>
      </c>
      <c r="ES294" s="27" t="s">
        <v>8</v>
      </c>
      <c r="ET294" s="27" t="s">
        <v>7</v>
      </c>
      <c r="EU294" s="27" t="s">
        <v>8</v>
      </c>
      <c r="EV294" s="27" t="s">
        <v>7</v>
      </c>
      <c r="FI294" s="27" t="s">
        <v>8</v>
      </c>
      <c r="FJ294" s="27" t="s">
        <v>7</v>
      </c>
    </row>
    <row r="295" spans="1:168" x14ac:dyDescent="0.25">
      <c r="A295" s="7">
        <v>324.52649142472944</v>
      </c>
      <c r="B295"/>
      <c r="C295"/>
      <c r="D295"/>
      <c r="E295" t="s">
        <v>8</v>
      </c>
      <c r="P295" s="27" t="s">
        <v>7</v>
      </c>
      <c r="Q295" s="27" t="s">
        <v>8</v>
      </c>
      <c r="T295" s="27" t="s">
        <v>7</v>
      </c>
      <c r="U295" s="27" t="s">
        <v>8</v>
      </c>
      <c r="V295" s="27" t="s">
        <v>7</v>
      </c>
      <c r="W295" s="27" t="s">
        <v>8</v>
      </c>
      <c r="CF295" s="27" t="s">
        <v>7</v>
      </c>
      <c r="CG295" s="27" t="s">
        <v>8</v>
      </c>
      <c r="CT295" s="27" t="s">
        <v>7</v>
      </c>
      <c r="CU295" s="27" t="s">
        <v>8</v>
      </c>
      <c r="CV295" s="27" t="s">
        <v>7</v>
      </c>
      <c r="DC295" s="27" t="s">
        <v>8</v>
      </c>
      <c r="DD295" s="27" t="s">
        <v>7</v>
      </c>
      <c r="DK295" s="27" t="s">
        <v>8</v>
      </c>
      <c r="DL295" s="27" t="s">
        <v>7</v>
      </c>
      <c r="EK295" s="27" t="s">
        <v>8</v>
      </c>
      <c r="EL295" s="27" t="s">
        <v>7</v>
      </c>
      <c r="EQ295" s="27" t="s">
        <v>8</v>
      </c>
      <c r="ER295" s="27" t="s">
        <v>7</v>
      </c>
      <c r="ES295" s="27" t="s">
        <v>8</v>
      </c>
      <c r="ET295" s="27" t="s">
        <v>7</v>
      </c>
      <c r="EV295" s="27" t="s">
        <v>7</v>
      </c>
      <c r="EW295" s="27" t="s">
        <v>8</v>
      </c>
      <c r="FI295" s="27" t="s">
        <v>8</v>
      </c>
      <c r="FJ295" s="27" t="s">
        <v>7</v>
      </c>
    </row>
    <row r="296" spans="1:168" x14ac:dyDescent="0.25">
      <c r="A296" s="7">
        <v>318.16322688698966</v>
      </c>
      <c r="B296"/>
      <c r="C296"/>
      <c r="D296"/>
      <c r="E296" t="s">
        <v>8</v>
      </c>
      <c r="P296" s="27" t="s">
        <v>7</v>
      </c>
      <c r="Q296" s="27" t="s">
        <v>8</v>
      </c>
      <c r="T296" s="27" t="s">
        <v>7</v>
      </c>
      <c r="U296" s="27" t="s">
        <v>8</v>
      </c>
      <c r="V296" s="27" t="s">
        <v>7</v>
      </c>
      <c r="W296" s="27" t="s">
        <v>8</v>
      </c>
      <c r="CF296" s="27" t="s">
        <v>7</v>
      </c>
      <c r="CT296" s="27" t="s">
        <v>7</v>
      </c>
      <c r="CU296" s="27" t="s">
        <v>8</v>
      </c>
      <c r="CV296" s="27" t="s">
        <v>7</v>
      </c>
      <c r="DC296" s="27" t="s">
        <v>8</v>
      </c>
      <c r="DD296" s="27" t="s">
        <v>7</v>
      </c>
      <c r="DK296" s="27" t="s">
        <v>8</v>
      </c>
      <c r="DL296" s="27" t="s">
        <v>7</v>
      </c>
      <c r="EK296" s="27" t="s">
        <v>8</v>
      </c>
      <c r="EL296" s="27" t="s">
        <v>7</v>
      </c>
      <c r="EQ296" s="27" t="s">
        <v>8</v>
      </c>
      <c r="ER296" s="27" t="s">
        <v>7</v>
      </c>
      <c r="ES296" s="27" t="s">
        <v>8</v>
      </c>
      <c r="EV296" s="27" t="s">
        <v>7</v>
      </c>
      <c r="EW296" s="27" t="s">
        <v>8</v>
      </c>
      <c r="EX296" s="27" t="s">
        <v>7</v>
      </c>
      <c r="EY296" s="27" t="s">
        <v>8</v>
      </c>
      <c r="FI296" s="27" t="s">
        <v>8</v>
      </c>
      <c r="FJ296" s="27" t="s">
        <v>7</v>
      </c>
    </row>
    <row r="297" spans="1:168" x14ac:dyDescent="0.25">
      <c r="A297" s="7">
        <v>311.92473224214672</v>
      </c>
      <c r="B297"/>
      <c r="C297"/>
      <c r="D297"/>
      <c r="E297" t="s">
        <v>8</v>
      </c>
      <c r="P297" s="27" t="s">
        <v>7</v>
      </c>
      <c r="Q297" s="27" t="s">
        <v>8</v>
      </c>
      <c r="T297" s="27" t="s">
        <v>7</v>
      </c>
      <c r="U297" s="27" t="s">
        <v>8</v>
      </c>
      <c r="V297" s="27" t="s">
        <v>7</v>
      </c>
      <c r="W297" s="27" t="s">
        <v>8</v>
      </c>
      <c r="CT297" s="27" t="s">
        <v>7</v>
      </c>
      <c r="CU297" s="27" t="s">
        <v>8</v>
      </c>
      <c r="CV297" s="27" t="s">
        <v>7</v>
      </c>
      <c r="DC297" s="27" t="s">
        <v>8</v>
      </c>
      <c r="DD297" s="27" t="s">
        <v>7</v>
      </c>
      <c r="DE297" s="27" t="s">
        <v>8</v>
      </c>
      <c r="DK297" s="27" t="s">
        <v>8</v>
      </c>
      <c r="DL297" s="27" t="s">
        <v>7</v>
      </c>
      <c r="EK297" s="27" t="s">
        <v>8</v>
      </c>
      <c r="EL297" s="27" t="s">
        <v>7</v>
      </c>
      <c r="EQ297" s="27" t="s">
        <v>8</v>
      </c>
      <c r="ER297" s="27" t="s">
        <v>7</v>
      </c>
      <c r="ES297" s="27" t="s">
        <v>8</v>
      </c>
      <c r="EV297" s="27" t="s">
        <v>7</v>
      </c>
      <c r="EW297" s="27" t="s">
        <v>8</v>
      </c>
      <c r="EX297" s="27" t="s">
        <v>7</v>
      </c>
      <c r="EY297" s="27" t="s">
        <v>8</v>
      </c>
      <c r="EZ297" s="27" t="s">
        <v>7</v>
      </c>
      <c r="FI297" s="27" t="s">
        <v>8</v>
      </c>
      <c r="FJ297" s="27" t="s">
        <v>7</v>
      </c>
    </row>
    <row r="298" spans="1:168" x14ac:dyDescent="0.25">
      <c r="A298" s="7">
        <v>305.80856102171248</v>
      </c>
      <c r="B298"/>
      <c r="C298"/>
      <c r="D298"/>
      <c r="E298" t="s">
        <v>8</v>
      </c>
      <c r="P298" s="27" t="s">
        <v>7</v>
      </c>
      <c r="Q298" s="27" t="s">
        <v>8</v>
      </c>
      <c r="T298" s="27" t="s">
        <v>7</v>
      </c>
      <c r="U298" s="27" t="s">
        <v>8</v>
      </c>
      <c r="V298" s="27" t="s">
        <v>7</v>
      </c>
      <c r="CT298" s="27" t="s">
        <v>7</v>
      </c>
      <c r="CU298" s="27" t="s">
        <v>8</v>
      </c>
      <c r="CV298" s="27" t="s">
        <v>7</v>
      </c>
      <c r="DC298" s="27" t="s">
        <v>8</v>
      </c>
      <c r="DD298" s="27" t="s">
        <v>7</v>
      </c>
      <c r="DE298" s="27" t="s">
        <v>8</v>
      </c>
      <c r="DF298" s="27" t="s">
        <v>7</v>
      </c>
      <c r="DK298" s="27" t="s">
        <v>8</v>
      </c>
      <c r="DL298" s="27" t="s">
        <v>7</v>
      </c>
      <c r="EK298" s="27" t="s">
        <v>8</v>
      </c>
      <c r="EL298" s="27" t="s">
        <v>7</v>
      </c>
      <c r="EQ298" s="27" t="s">
        <v>8</v>
      </c>
      <c r="ER298" s="27" t="s">
        <v>7</v>
      </c>
      <c r="ES298" s="27" t="s">
        <v>8</v>
      </c>
      <c r="EV298" s="27" t="s">
        <v>7</v>
      </c>
      <c r="EW298" s="27" t="s">
        <v>8</v>
      </c>
      <c r="EX298" s="27" t="s">
        <v>7</v>
      </c>
      <c r="EY298" s="27" t="s">
        <v>8</v>
      </c>
      <c r="EZ298" s="27" t="s">
        <v>7</v>
      </c>
      <c r="FI298" s="27" t="s">
        <v>8</v>
      </c>
      <c r="FJ298" s="27" t="s">
        <v>7</v>
      </c>
    </row>
    <row r="299" spans="1:168" x14ac:dyDescent="0.25">
      <c r="A299" s="7">
        <v>299.81231472716911</v>
      </c>
      <c r="B299"/>
      <c r="C299"/>
      <c r="D299"/>
      <c r="E299" t="s">
        <v>8</v>
      </c>
      <c r="P299" s="27" t="s">
        <v>7</v>
      </c>
      <c r="Q299" s="27" t="s">
        <v>8</v>
      </c>
      <c r="T299" s="27" t="s">
        <v>7</v>
      </c>
      <c r="U299" s="27" t="s">
        <v>8</v>
      </c>
      <c r="CT299" s="27" t="s">
        <v>7</v>
      </c>
      <c r="CU299" s="27" t="s">
        <v>8</v>
      </c>
      <c r="CV299" s="27" t="s">
        <v>7</v>
      </c>
      <c r="CY299" s="27" t="s">
        <v>8</v>
      </c>
      <c r="DC299" s="27" t="s">
        <v>8</v>
      </c>
      <c r="DD299" s="27" t="s">
        <v>7</v>
      </c>
      <c r="DE299" s="27" t="s">
        <v>8</v>
      </c>
      <c r="DF299" s="27" t="s">
        <v>7</v>
      </c>
      <c r="DK299" s="27" t="s">
        <v>8</v>
      </c>
      <c r="DL299" s="27" t="s">
        <v>7</v>
      </c>
      <c r="EK299" s="27" t="s">
        <v>8</v>
      </c>
      <c r="EL299" s="27" t="s">
        <v>7</v>
      </c>
      <c r="EO299" s="27" t="s">
        <v>8</v>
      </c>
      <c r="EQ299" s="27" t="s">
        <v>8</v>
      </c>
      <c r="ER299" s="27" t="s">
        <v>7</v>
      </c>
      <c r="ES299" s="27" t="s">
        <v>8</v>
      </c>
      <c r="EV299" s="27" t="s">
        <v>7</v>
      </c>
      <c r="EW299" s="27" t="s">
        <v>8</v>
      </c>
      <c r="EX299" s="27" t="s">
        <v>7</v>
      </c>
      <c r="EY299" s="27" t="s">
        <v>8</v>
      </c>
      <c r="EZ299" s="27" t="s">
        <v>7</v>
      </c>
      <c r="FI299" s="27" t="s">
        <v>8</v>
      </c>
      <c r="FJ299" s="27" t="s">
        <v>7</v>
      </c>
    </row>
    <row r="300" spans="1:168" x14ac:dyDescent="0.25">
      <c r="A300" s="7">
        <v>293.93364188938148</v>
      </c>
      <c r="B300"/>
      <c r="C300"/>
      <c r="D300"/>
      <c r="E300" t="s">
        <v>8</v>
      </c>
      <c r="P300" s="27" t="s">
        <v>7</v>
      </c>
      <c r="Q300" s="27" t="s">
        <v>8</v>
      </c>
      <c r="T300" s="27" t="s">
        <v>7</v>
      </c>
      <c r="CT300" s="27" t="s">
        <v>7</v>
      </c>
      <c r="CU300" s="27" t="s">
        <v>8</v>
      </c>
      <c r="CV300" s="27" t="s">
        <v>7</v>
      </c>
      <c r="CY300" s="27" t="s">
        <v>8</v>
      </c>
      <c r="CZ300" s="27" t="s">
        <v>7</v>
      </c>
      <c r="DC300" s="27" t="s">
        <v>8</v>
      </c>
      <c r="DD300" s="27" t="s">
        <v>7</v>
      </c>
      <c r="DE300" s="27" t="s">
        <v>8</v>
      </c>
      <c r="DF300" s="27" t="s">
        <v>7</v>
      </c>
      <c r="DK300" s="27" t="s">
        <v>8</v>
      </c>
      <c r="DL300" s="27" t="s">
        <v>7</v>
      </c>
      <c r="EA300" s="27" t="s">
        <v>8</v>
      </c>
      <c r="EK300" s="27" t="s">
        <v>8</v>
      </c>
      <c r="EL300" s="27" t="s">
        <v>7</v>
      </c>
      <c r="EO300" s="27" t="s">
        <v>8</v>
      </c>
      <c r="EP300" s="27" t="s">
        <v>7</v>
      </c>
      <c r="EQ300" s="27" t="s">
        <v>8</v>
      </c>
      <c r="ER300" s="27" t="s">
        <v>7</v>
      </c>
      <c r="EV300" s="27" t="s">
        <v>7</v>
      </c>
      <c r="EX300" s="27" t="s">
        <v>7</v>
      </c>
      <c r="EZ300" s="27" t="s">
        <v>7</v>
      </c>
      <c r="FI300" s="27" t="s">
        <v>8</v>
      </c>
      <c r="FJ300" s="27" t="s">
        <v>7</v>
      </c>
    </row>
    <row r="301" spans="1:168" x14ac:dyDescent="0.25">
      <c r="A301" s="7">
        <v>288.17023714645245</v>
      </c>
      <c r="B301"/>
      <c r="C301"/>
      <c r="D301"/>
      <c r="E301" t="s">
        <v>8</v>
      </c>
      <c r="P301" s="27" t="s">
        <v>7</v>
      </c>
      <c r="Q301" s="27" t="s">
        <v>8</v>
      </c>
      <c r="CT301" s="27" t="s">
        <v>7</v>
      </c>
      <c r="CU301" s="27" t="s">
        <v>8</v>
      </c>
      <c r="CV301" s="27" t="s">
        <v>7</v>
      </c>
      <c r="CY301" s="27" t="s">
        <v>8</v>
      </c>
      <c r="CZ301" s="27" t="s">
        <v>7</v>
      </c>
      <c r="DC301" s="27" t="s">
        <v>8</v>
      </c>
      <c r="DD301" s="27" t="s">
        <v>7</v>
      </c>
      <c r="DE301" s="27" t="s">
        <v>8</v>
      </c>
      <c r="DF301" s="27" t="s">
        <v>7</v>
      </c>
      <c r="DK301" s="27" t="s">
        <v>8</v>
      </c>
      <c r="DL301" s="27" t="s">
        <v>7</v>
      </c>
      <c r="EA301" s="27" t="s">
        <v>8</v>
      </c>
      <c r="EB301" s="27" t="s">
        <v>7</v>
      </c>
      <c r="EK301" s="27" t="s">
        <v>8</v>
      </c>
      <c r="EL301" s="27" t="s">
        <v>7</v>
      </c>
      <c r="EM301" s="27" t="s">
        <v>8</v>
      </c>
      <c r="EO301" s="27" t="s">
        <v>8</v>
      </c>
      <c r="EP301" s="27" t="s">
        <v>7</v>
      </c>
      <c r="EQ301" s="27" t="s">
        <v>8</v>
      </c>
      <c r="EZ301" s="27" t="s">
        <v>7</v>
      </c>
      <c r="FI301" s="27" t="s">
        <v>8</v>
      </c>
      <c r="FJ301" s="27" t="s">
        <v>7</v>
      </c>
    </row>
    <row r="302" spans="1:168" x14ac:dyDescent="0.25">
      <c r="A302" s="7">
        <v>282.51984033965925</v>
      </c>
      <c r="B302"/>
      <c r="C302"/>
      <c r="D302"/>
      <c r="E302" t="s">
        <v>8</v>
      </c>
      <c r="P302" s="27" t="s">
        <v>7</v>
      </c>
      <c r="Q302" s="27" t="s">
        <v>8</v>
      </c>
      <c r="CT302" s="27" t="s">
        <v>7</v>
      </c>
      <c r="CU302" s="27" t="s">
        <v>8</v>
      </c>
      <c r="CV302" s="27" t="s">
        <v>7</v>
      </c>
      <c r="CW302" s="27" t="s">
        <v>8</v>
      </c>
      <c r="CY302" s="27" t="s">
        <v>8</v>
      </c>
      <c r="CZ302" s="27" t="s">
        <v>7</v>
      </c>
      <c r="DA302" s="27" t="s">
        <v>8</v>
      </c>
      <c r="DC302" s="27" t="s">
        <v>8</v>
      </c>
      <c r="DD302" s="27" t="s">
        <v>7</v>
      </c>
      <c r="DE302" s="27" t="s">
        <v>8</v>
      </c>
      <c r="DF302" s="27" t="s">
        <v>7</v>
      </c>
      <c r="DG302" s="27" t="s">
        <v>8</v>
      </c>
      <c r="DK302" s="27" t="s">
        <v>8</v>
      </c>
      <c r="DL302" s="27" t="s">
        <v>7</v>
      </c>
      <c r="EA302" s="27" t="s">
        <v>8</v>
      </c>
      <c r="EB302" s="27" t="s">
        <v>7</v>
      </c>
      <c r="EE302" s="27" t="s">
        <v>8</v>
      </c>
      <c r="EG302" s="27" t="s">
        <v>8</v>
      </c>
      <c r="EK302" s="27" t="s">
        <v>8</v>
      </c>
      <c r="EL302" s="27" t="s">
        <v>7</v>
      </c>
      <c r="EM302" s="27" t="s">
        <v>8</v>
      </c>
      <c r="EN302" s="27" t="s">
        <v>7</v>
      </c>
      <c r="EO302" s="27" t="s">
        <v>8</v>
      </c>
      <c r="EP302" s="27" t="s">
        <v>7</v>
      </c>
      <c r="EQ302" s="27" t="s">
        <v>8</v>
      </c>
      <c r="EZ302" s="27" t="s">
        <v>7</v>
      </c>
      <c r="FA302" s="27" t="s">
        <v>8</v>
      </c>
      <c r="FI302" s="27" t="s">
        <v>8</v>
      </c>
      <c r="FJ302" s="27" t="s">
        <v>7</v>
      </c>
    </row>
    <row r="303" spans="1:168" x14ac:dyDescent="0.25">
      <c r="A303" s="7">
        <v>276.98023562711688</v>
      </c>
      <c r="B303"/>
      <c r="C303"/>
      <c r="D303"/>
      <c r="E303" t="s">
        <v>8</v>
      </c>
      <c r="P303" s="27" t="s">
        <v>7</v>
      </c>
      <c r="Q303" s="27" t="s">
        <v>8</v>
      </c>
      <c r="CT303" s="27" t="s">
        <v>7</v>
      </c>
      <c r="CU303" s="27" t="s">
        <v>8</v>
      </c>
      <c r="CV303" s="27" t="s">
        <v>7</v>
      </c>
      <c r="CW303" s="27" t="s">
        <v>8</v>
      </c>
      <c r="CX303" s="27" t="s">
        <v>7</v>
      </c>
      <c r="CY303" s="27" t="s">
        <v>8</v>
      </c>
      <c r="CZ303" s="27" t="s">
        <v>7</v>
      </c>
      <c r="DA303" s="27" t="s">
        <v>8</v>
      </c>
      <c r="DB303" s="27" t="s">
        <v>7</v>
      </c>
      <c r="DC303" s="27" t="s">
        <v>8</v>
      </c>
      <c r="DD303" s="27" t="s">
        <v>7</v>
      </c>
      <c r="DE303" s="27" t="s">
        <v>8</v>
      </c>
      <c r="DF303" s="27" t="s">
        <v>7</v>
      </c>
      <c r="DG303" s="27" t="s">
        <v>8</v>
      </c>
      <c r="DH303" s="27" t="s">
        <v>7</v>
      </c>
      <c r="DK303" s="27" t="s">
        <v>8</v>
      </c>
      <c r="DL303" s="27" t="s">
        <v>7</v>
      </c>
      <c r="EA303" s="27" t="s">
        <v>8</v>
      </c>
      <c r="EB303" s="27" t="s">
        <v>7</v>
      </c>
      <c r="EE303" s="27" t="s">
        <v>8</v>
      </c>
      <c r="EF303" s="27" t="s">
        <v>7</v>
      </c>
      <c r="EG303" s="27" t="s">
        <v>8</v>
      </c>
      <c r="EH303" s="27" t="s">
        <v>7</v>
      </c>
      <c r="EK303" s="27" t="s">
        <v>8</v>
      </c>
      <c r="EL303" s="27" t="s">
        <v>7</v>
      </c>
      <c r="EM303" s="27" t="s">
        <v>8</v>
      </c>
      <c r="EN303" s="27" t="s">
        <v>7</v>
      </c>
      <c r="EO303" s="27" t="s">
        <v>8</v>
      </c>
      <c r="EP303" s="27" t="s">
        <v>7</v>
      </c>
      <c r="EQ303" s="27" t="s">
        <v>8</v>
      </c>
      <c r="EZ303" s="27" t="s">
        <v>7</v>
      </c>
      <c r="FA303" s="27" t="s">
        <v>8</v>
      </c>
      <c r="FB303" s="27" t="s">
        <v>7</v>
      </c>
      <c r="FI303" s="27" t="s">
        <v>8</v>
      </c>
      <c r="FJ303" s="27" t="s">
        <v>7</v>
      </c>
      <c r="FK303" s="27" t="s">
        <v>8</v>
      </c>
    </row>
    <row r="304" spans="1:168" x14ac:dyDescent="0.25">
      <c r="A304" s="7">
        <v>271.54925061482049</v>
      </c>
      <c r="B304"/>
      <c r="C304"/>
      <c r="D304"/>
      <c r="E304" t="s">
        <v>8</v>
      </c>
      <c r="P304" s="27" t="s">
        <v>7</v>
      </c>
      <c r="Q304" s="27" t="s">
        <v>8</v>
      </c>
      <c r="CT304" s="27" t="s">
        <v>7</v>
      </c>
      <c r="CU304" s="27" t="s">
        <v>8</v>
      </c>
      <c r="CV304" s="27" t="s">
        <v>7</v>
      </c>
      <c r="CW304" s="27" t="s">
        <v>8</v>
      </c>
      <c r="CX304" s="27" t="s">
        <v>7</v>
      </c>
      <c r="CY304" s="27" t="s">
        <v>8</v>
      </c>
      <c r="CZ304" s="27" t="s">
        <v>7</v>
      </c>
      <c r="DA304" s="27" t="s">
        <v>8</v>
      </c>
      <c r="DB304" s="27" t="s">
        <v>7</v>
      </c>
      <c r="DC304" s="27" t="s">
        <v>8</v>
      </c>
      <c r="DD304" s="27" t="s">
        <v>7</v>
      </c>
      <c r="DE304" s="27" t="s">
        <v>8</v>
      </c>
      <c r="DF304" s="27" t="s">
        <v>7</v>
      </c>
      <c r="DG304" s="27" t="s">
        <v>8</v>
      </c>
      <c r="DH304" s="27" t="s">
        <v>7</v>
      </c>
      <c r="DK304" s="27" t="s">
        <v>8</v>
      </c>
      <c r="DL304" s="27" t="s">
        <v>7</v>
      </c>
      <c r="EA304" s="27" t="s">
        <v>8</v>
      </c>
      <c r="EB304" s="27" t="s">
        <v>7</v>
      </c>
      <c r="EE304" s="27" t="s">
        <v>8</v>
      </c>
      <c r="EF304" s="27" t="s">
        <v>7</v>
      </c>
      <c r="EG304" s="27" t="s">
        <v>8</v>
      </c>
      <c r="EH304" s="27" t="s">
        <v>7</v>
      </c>
      <c r="EK304" s="27" t="s">
        <v>8</v>
      </c>
      <c r="EL304" s="27" t="s">
        <v>7</v>
      </c>
      <c r="EM304" s="27" t="s">
        <v>8</v>
      </c>
      <c r="EN304" s="27" t="s">
        <v>7</v>
      </c>
      <c r="EO304" s="27" t="s">
        <v>8</v>
      </c>
      <c r="EP304" s="27" t="s">
        <v>7</v>
      </c>
      <c r="EZ304" s="27" t="s">
        <v>7</v>
      </c>
      <c r="FA304" s="27" t="s">
        <v>8</v>
      </c>
      <c r="FB304" s="27" t="s">
        <v>7</v>
      </c>
      <c r="FI304" s="27" t="s">
        <v>8</v>
      </c>
      <c r="FJ304" s="27" t="s">
        <v>7</v>
      </c>
      <c r="FK304" s="27" t="s">
        <v>8</v>
      </c>
      <c r="FL304" s="27" t="s">
        <v>7</v>
      </c>
    </row>
    <row r="305" spans="1:170" x14ac:dyDescent="0.25">
      <c r="A305" s="7">
        <v>266.22475550472598</v>
      </c>
      <c r="B305"/>
      <c r="C305"/>
      <c r="D305"/>
      <c r="E305" t="s">
        <v>8</v>
      </c>
      <c r="P305" s="27" t="s">
        <v>7</v>
      </c>
      <c r="Q305" s="27" t="s">
        <v>8</v>
      </c>
      <c r="CT305" s="27" t="s">
        <v>7</v>
      </c>
      <c r="CU305" s="27" t="s">
        <v>8</v>
      </c>
      <c r="CV305" s="27" t="s">
        <v>7</v>
      </c>
      <c r="CW305" s="27" t="s">
        <v>8</v>
      </c>
      <c r="CX305" s="27" t="s">
        <v>7</v>
      </c>
      <c r="CY305" s="27" t="s">
        <v>8</v>
      </c>
      <c r="CZ305" s="27" t="s">
        <v>7</v>
      </c>
      <c r="DA305" s="27" t="s">
        <v>8</v>
      </c>
      <c r="DB305" s="27" t="s">
        <v>7</v>
      </c>
      <c r="DC305" s="27" t="s">
        <v>8</v>
      </c>
      <c r="DD305" s="27" t="s">
        <v>7</v>
      </c>
      <c r="DF305" s="27" t="s">
        <v>7</v>
      </c>
      <c r="DG305" s="27" t="s">
        <v>8</v>
      </c>
      <c r="DH305" s="27" t="s">
        <v>7</v>
      </c>
      <c r="DK305" s="27" t="s">
        <v>8</v>
      </c>
      <c r="DL305" s="27" t="s">
        <v>7</v>
      </c>
      <c r="EA305" s="27" t="s">
        <v>8</v>
      </c>
      <c r="EB305" s="27" t="s">
        <v>7</v>
      </c>
      <c r="EE305" s="27" t="s">
        <v>8</v>
      </c>
      <c r="EF305" s="27" t="s">
        <v>7</v>
      </c>
      <c r="EG305" s="27" t="s">
        <v>8</v>
      </c>
      <c r="EH305" s="27" t="s">
        <v>7</v>
      </c>
      <c r="EK305" s="27" t="s">
        <v>8</v>
      </c>
      <c r="EL305" s="27" t="s">
        <v>7</v>
      </c>
      <c r="EN305" s="27" t="s">
        <v>7</v>
      </c>
      <c r="EO305" s="27" t="s">
        <v>8</v>
      </c>
      <c r="EZ305" s="27" t="s">
        <v>7</v>
      </c>
      <c r="FA305" s="27" t="s">
        <v>8</v>
      </c>
      <c r="FB305" s="27" t="s">
        <v>7</v>
      </c>
      <c r="FI305" s="27" t="s">
        <v>8</v>
      </c>
      <c r="FJ305" s="27" t="s">
        <v>7</v>
      </c>
      <c r="FK305" s="27" t="s">
        <v>8</v>
      </c>
      <c r="FL305" s="27" t="s">
        <v>7</v>
      </c>
    </row>
    <row r="306" spans="1:170" x14ac:dyDescent="0.25">
      <c r="A306" s="7">
        <v>261.00466225953528</v>
      </c>
      <c r="B306"/>
      <c r="C306"/>
      <c r="D306"/>
      <c r="E306" t="s">
        <v>8</v>
      </c>
      <c r="P306" s="27" t="s">
        <v>7</v>
      </c>
      <c r="Q306" s="27" t="s">
        <v>8</v>
      </c>
      <c r="CT306" s="27" t="s">
        <v>7</v>
      </c>
      <c r="CU306" s="27" t="s">
        <v>8</v>
      </c>
      <c r="CV306" s="27" t="s">
        <v>7</v>
      </c>
      <c r="CW306" s="27" t="s">
        <v>8</v>
      </c>
      <c r="CX306" s="27" t="s">
        <v>7</v>
      </c>
      <c r="CY306" s="27" t="s">
        <v>8</v>
      </c>
      <c r="CZ306" s="27" t="s">
        <v>7</v>
      </c>
      <c r="DA306" s="27" t="s">
        <v>8</v>
      </c>
      <c r="DB306" s="27" t="s">
        <v>7</v>
      </c>
      <c r="DC306" s="27" t="s">
        <v>8</v>
      </c>
      <c r="DF306" s="27" t="s">
        <v>7</v>
      </c>
      <c r="DG306" s="27" t="s">
        <v>8</v>
      </c>
      <c r="DH306" s="27" t="s">
        <v>7</v>
      </c>
      <c r="DK306" s="27" t="s">
        <v>8</v>
      </c>
      <c r="DL306" s="27" t="s">
        <v>7</v>
      </c>
      <c r="EA306" s="27" t="s">
        <v>8</v>
      </c>
      <c r="EB306" s="27" t="s">
        <v>7</v>
      </c>
      <c r="EE306" s="27" t="s">
        <v>8</v>
      </c>
      <c r="EF306" s="27" t="s">
        <v>7</v>
      </c>
      <c r="EG306" s="27" t="s">
        <v>8</v>
      </c>
      <c r="EH306" s="27" t="s">
        <v>7</v>
      </c>
      <c r="EK306" s="27" t="s">
        <v>8</v>
      </c>
      <c r="EN306" s="27" t="s">
        <v>7</v>
      </c>
      <c r="EO306" s="27" t="s">
        <v>8</v>
      </c>
      <c r="EZ306" s="27" t="s">
        <v>7</v>
      </c>
      <c r="FA306" s="27" t="s">
        <v>8</v>
      </c>
      <c r="FB306" s="27" t="s">
        <v>7</v>
      </c>
      <c r="FI306" s="27" t="s">
        <v>8</v>
      </c>
      <c r="FJ306" s="27" t="s">
        <v>7</v>
      </c>
      <c r="FK306" s="27" t="s">
        <v>8</v>
      </c>
      <c r="FL306" s="27" t="s">
        <v>7</v>
      </c>
    </row>
    <row r="307" spans="1:170" x14ac:dyDescent="0.25">
      <c r="A307" s="7">
        <v>255.88692378385809</v>
      </c>
      <c r="B307"/>
      <c r="C307"/>
      <c r="D307"/>
      <c r="E307" t="s">
        <v>8</v>
      </c>
      <c r="P307" s="27" t="s">
        <v>7</v>
      </c>
      <c r="Q307" s="27" t="s">
        <v>8</v>
      </c>
      <c r="CT307" s="27" t="s">
        <v>7</v>
      </c>
      <c r="CV307" s="27" t="s">
        <v>7</v>
      </c>
      <c r="CW307" s="27" t="s">
        <v>8</v>
      </c>
      <c r="CX307" s="27" t="s">
        <v>7</v>
      </c>
      <c r="CY307" s="27" t="s">
        <v>8</v>
      </c>
      <c r="CZ307" s="27" t="s">
        <v>7</v>
      </c>
      <c r="DB307" s="27" t="s">
        <v>7</v>
      </c>
      <c r="DC307" s="27" t="s">
        <v>8</v>
      </c>
      <c r="DF307" s="27" t="s">
        <v>7</v>
      </c>
      <c r="DG307" s="27" t="s">
        <v>8</v>
      </c>
      <c r="DH307" s="27" t="s">
        <v>7</v>
      </c>
      <c r="DK307" s="27" t="s">
        <v>8</v>
      </c>
      <c r="DL307" s="27" t="s">
        <v>7</v>
      </c>
      <c r="EA307" s="27" t="s">
        <v>8</v>
      </c>
      <c r="EB307" s="27" t="s">
        <v>7</v>
      </c>
      <c r="EE307" s="27" t="s">
        <v>8</v>
      </c>
      <c r="EF307" s="27" t="s">
        <v>7</v>
      </c>
      <c r="EG307" s="27" t="s">
        <v>8</v>
      </c>
      <c r="EH307" s="27" t="s">
        <v>7</v>
      </c>
      <c r="EK307" s="27" t="s">
        <v>8</v>
      </c>
      <c r="EN307" s="27" t="s">
        <v>7</v>
      </c>
      <c r="EZ307" s="27" t="s">
        <v>7</v>
      </c>
      <c r="FA307" s="27" t="s">
        <v>8</v>
      </c>
      <c r="FB307" s="27" t="s">
        <v>7</v>
      </c>
      <c r="FI307" s="27" t="s">
        <v>8</v>
      </c>
      <c r="FJ307" s="27" t="s">
        <v>7</v>
      </c>
      <c r="FK307" s="27" t="s">
        <v>8</v>
      </c>
      <c r="FL307" s="27" t="s">
        <v>7</v>
      </c>
    </row>
    <row r="308" spans="1:170" x14ac:dyDescent="0.25">
      <c r="A308" s="7">
        <v>250.8695331214295</v>
      </c>
      <c r="B308"/>
      <c r="C308"/>
      <c r="D308"/>
      <c r="E308" t="s">
        <v>8</v>
      </c>
      <c r="P308" s="27" t="s">
        <v>7</v>
      </c>
      <c r="Q308" s="27" t="s">
        <v>8</v>
      </c>
      <c r="CV308" s="27" t="s">
        <v>7</v>
      </c>
      <c r="CW308" s="27" t="s">
        <v>8</v>
      </c>
      <c r="CX308" s="27" t="s">
        <v>7</v>
      </c>
      <c r="CY308" s="27" t="s">
        <v>8</v>
      </c>
      <c r="DB308" s="27" t="s">
        <v>7</v>
      </c>
      <c r="DC308" s="27" t="s">
        <v>8</v>
      </c>
      <c r="DF308" s="27" t="s">
        <v>7</v>
      </c>
      <c r="DH308" s="27" t="s">
        <v>7</v>
      </c>
      <c r="DI308" s="27" t="s">
        <v>8</v>
      </c>
      <c r="DK308" s="27" t="s">
        <v>8</v>
      </c>
      <c r="DL308" s="27" t="s">
        <v>7</v>
      </c>
      <c r="EA308" s="27" t="s">
        <v>8</v>
      </c>
      <c r="EB308" s="27" t="s">
        <v>7</v>
      </c>
      <c r="EE308" s="27" t="s">
        <v>8</v>
      </c>
      <c r="EF308" s="27" t="s">
        <v>7</v>
      </c>
      <c r="EG308" s="27" t="s">
        <v>8</v>
      </c>
      <c r="EH308" s="27" t="s">
        <v>7</v>
      </c>
      <c r="EI308" s="27" t="s">
        <v>8</v>
      </c>
      <c r="EK308" s="27" t="s">
        <v>8</v>
      </c>
      <c r="EZ308" s="27" t="s">
        <v>7</v>
      </c>
      <c r="FB308" s="27" t="s">
        <v>7</v>
      </c>
      <c r="FI308" s="27" t="s">
        <v>8</v>
      </c>
      <c r="FJ308" s="27" t="s">
        <v>7</v>
      </c>
      <c r="FK308" s="27" t="s">
        <v>8</v>
      </c>
      <c r="FL308" s="27" t="s">
        <v>7</v>
      </c>
    </row>
    <row r="309" spans="1:170" x14ac:dyDescent="0.25">
      <c r="A309" s="7">
        <v>245.95052266806812</v>
      </c>
      <c r="B309"/>
      <c r="C309"/>
      <c r="D309"/>
      <c r="E309" t="s">
        <v>8</v>
      </c>
      <c r="P309" s="27" t="s">
        <v>7</v>
      </c>
      <c r="Q309" s="27" t="s">
        <v>8</v>
      </c>
      <c r="CV309" s="27" t="s">
        <v>7</v>
      </c>
      <c r="CW309" s="27" t="s">
        <v>8</v>
      </c>
      <c r="CX309" s="27" t="s">
        <v>7</v>
      </c>
      <c r="CY309" s="27" t="s">
        <v>8</v>
      </c>
      <c r="DB309" s="27" t="s">
        <v>7</v>
      </c>
      <c r="DC309" s="27" t="s">
        <v>8</v>
      </c>
      <c r="DH309" s="27" t="s">
        <v>7</v>
      </c>
      <c r="DI309" s="27" t="s">
        <v>8</v>
      </c>
      <c r="DJ309" s="27" t="s">
        <v>7</v>
      </c>
      <c r="DK309" s="27" t="s">
        <v>8</v>
      </c>
      <c r="DL309" s="27" t="s">
        <v>7</v>
      </c>
      <c r="EA309" s="27" t="s">
        <v>8</v>
      </c>
      <c r="EB309" s="27" t="s">
        <v>7</v>
      </c>
      <c r="EE309" s="27" t="s">
        <v>8</v>
      </c>
      <c r="EF309" s="27" t="s">
        <v>7</v>
      </c>
      <c r="EG309" s="27" t="s">
        <v>8</v>
      </c>
      <c r="EH309" s="27" t="s">
        <v>7</v>
      </c>
      <c r="EI309" s="27" t="s">
        <v>8</v>
      </c>
      <c r="EJ309" s="27" t="s">
        <v>7</v>
      </c>
      <c r="EK309" s="27" t="s">
        <v>8</v>
      </c>
      <c r="FB309" s="27" t="s">
        <v>7</v>
      </c>
      <c r="FI309" s="27" t="s">
        <v>8</v>
      </c>
      <c r="FJ309" s="27" t="s">
        <v>7</v>
      </c>
      <c r="FK309" s="27" t="s">
        <v>8</v>
      </c>
      <c r="FL309" s="27" t="s">
        <v>7</v>
      </c>
    </row>
    <row r="310" spans="1:170" x14ac:dyDescent="0.25">
      <c r="A310" s="7">
        <v>241.12796340006679</v>
      </c>
      <c r="B310"/>
      <c r="C310"/>
      <c r="D310"/>
      <c r="E310" t="s">
        <v>8</v>
      </c>
      <c r="P310" s="27" t="s">
        <v>7</v>
      </c>
      <c r="Q310" s="27" t="s">
        <v>8</v>
      </c>
      <c r="CV310" s="27" t="s">
        <v>7</v>
      </c>
      <c r="CW310" s="27" t="s">
        <v>8</v>
      </c>
      <c r="CX310" s="27" t="s">
        <v>7</v>
      </c>
      <c r="CY310" s="27" t="s">
        <v>8</v>
      </c>
      <c r="DB310" s="27" t="s">
        <v>7</v>
      </c>
      <c r="DC310" s="27" t="s">
        <v>8</v>
      </c>
      <c r="DH310" s="27" t="s">
        <v>7</v>
      </c>
      <c r="DI310" s="27" t="s">
        <v>8</v>
      </c>
      <c r="DJ310" s="27" t="s">
        <v>7</v>
      </c>
      <c r="DK310" s="27" t="s">
        <v>8</v>
      </c>
      <c r="DL310" s="27" t="s">
        <v>7</v>
      </c>
      <c r="EA310" s="27" t="s">
        <v>8</v>
      </c>
      <c r="EB310" s="27" t="s">
        <v>7</v>
      </c>
      <c r="EE310" s="27" t="s">
        <v>8</v>
      </c>
      <c r="EF310" s="27" t="s">
        <v>7</v>
      </c>
      <c r="EG310" s="27" t="s">
        <v>8</v>
      </c>
      <c r="EH310" s="27" t="s">
        <v>7</v>
      </c>
      <c r="EI310" s="27" t="s">
        <v>8</v>
      </c>
      <c r="EJ310" s="27" t="s">
        <v>7</v>
      </c>
      <c r="EK310" s="27" t="s">
        <v>8</v>
      </c>
      <c r="FB310" s="27" t="s">
        <v>7</v>
      </c>
      <c r="FI310" s="27" t="s">
        <v>8</v>
      </c>
      <c r="FJ310" s="27" t="s">
        <v>7</v>
      </c>
      <c r="FK310" s="27" t="s">
        <v>8</v>
      </c>
      <c r="FL310" s="27" t="s">
        <v>7</v>
      </c>
    </row>
    <row r="311" spans="1:170" x14ac:dyDescent="0.25">
      <c r="A311" s="7">
        <v>236.39996411771253</v>
      </c>
      <c r="B311"/>
      <c r="C311"/>
      <c r="D311"/>
      <c r="E311" t="s">
        <v>8</v>
      </c>
      <c r="P311" s="27" t="s">
        <v>7</v>
      </c>
      <c r="Q311" s="27" t="s">
        <v>8</v>
      </c>
      <c r="CV311" s="27" t="s">
        <v>7</v>
      </c>
      <c r="CW311" s="27" t="s">
        <v>8</v>
      </c>
      <c r="CX311" s="27" t="s">
        <v>7</v>
      </c>
      <c r="CY311" s="27" t="s">
        <v>8</v>
      </c>
      <c r="DB311" s="27" t="s">
        <v>7</v>
      </c>
      <c r="DC311" s="27" t="s">
        <v>8</v>
      </c>
      <c r="DH311" s="27" t="s">
        <v>7</v>
      </c>
      <c r="DI311" s="27" t="s">
        <v>8</v>
      </c>
      <c r="DJ311" s="27" t="s">
        <v>7</v>
      </c>
      <c r="DK311" s="27" t="s">
        <v>8</v>
      </c>
      <c r="DL311" s="27" t="s">
        <v>7</v>
      </c>
      <c r="EA311" s="27" t="s">
        <v>8</v>
      </c>
      <c r="EB311" s="27" t="s">
        <v>7</v>
      </c>
      <c r="EE311" s="27" t="s">
        <v>8</v>
      </c>
      <c r="EF311" s="27" t="s">
        <v>7</v>
      </c>
      <c r="EG311" s="27" t="s">
        <v>8</v>
      </c>
      <c r="EH311" s="27" t="s">
        <v>7</v>
      </c>
      <c r="EI311" s="27" t="s">
        <v>8</v>
      </c>
      <c r="EJ311" s="27" t="s">
        <v>7</v>
      </c>
      <c r="EK311" s="27" t="s">
        <v>8</v>
      </c>
      <c r="FB311" s="27" t="s">
        <v>7</v>
      </c>
      <c r="FI311" s="27" t="s">
        <v>8</v>
      </c>
      <c r="FJ311" s="27" t="s">
        <v>7</v>
      </c>
      <c r="FK311" s="27" t="s">
        <v>8</v>
      </c>
      <c r="FL311" s="27" t="s">
        <v>7</v>
      </c>
    </row>
    <row r="312" spans="1:170" x14ac:dyDescent="0.25">
      <c r="A312" s="7">
        <v>231.76467070363972</v>
      </c>
      <c r="B312"/>
      <c r="C312"/>
      <c r="D312"/>
      <c r="E312" t="s">
        <v>8</v>
      </c>
      <c r="P312" s="27" t="s">
        <v>7</v>
      </c>
      <c r="Q312" s="27" t="s">
        <v>8</v>
      </c>
      <c r="CV312" s="27" t="s">
        <v>7</v>
      </c>
      <c r="CW312" s="27" t="s">
        <v>8</v>
      </c>
      <c r="CX312" s="27" t="s">
        <v>7</v>
      </c>
      <c r="CY312" s="27" t="s">
        <v>8</v>
      </c>
      <c r="DB312" s="27" t="s">
        <v>7</v>
      </c>
      <c r="DC312" s="27" t="s">
        <v>8</v>
      </c>
      <c r="DH312" s="27" t="s">
        <v>7</v>
      </c>
      <c r="DI312" s="27" t="s">
        <v>8</v>
      </c>
      <c r="DJ312" s="27" t="s">
        <v>7</v>
      </c>
      <c r="DK312" s="27" t="s">
        <v>8</v>
      </c>
      <c r="DL312" s="27" t="s">
        <v>7</v>
      </c>
      <c r="EA312" s="27" t="s">
        <v>8</v>
      </c>
      <c r="EB312" s="27" t="s">
        <v>7</v>
      </c>
      <c r="EE312" s="27" t="s">
        <v>8</v>
      </c>
      <c r="EF312" s="27" t="s">
        <v>7</v>
      </c>
      <c r="EG312" s="27" t="s">
        <v>8</v>
      </c>
      <c r="EH312" s="27" t="s">
        <v>7</v>
      </c>
      <c r="EI312" s="27" t="s">
        <v>8</v>
      </c>
      <c r="EJ312" s="27" t="s">
        <v>7</v>
      </c>
      <c r="EK312" s="27" t="s">
        <v>8</v>
      </c>
      <c r="FB312" s="27" t="s">
        <v>7</v>
      </c>
      <c r="FI312" s="27" t="s">
        <v>8</v>
      </c>
      <c r="FJ312" s="27" t="s">
        <v>7</v>
      </c>
      <c r="FK312" s="27" t="s">
        <v>8</v>
      </c>
      <c r="FL312" s="27" t="s">
        <v>7</v>
      </c>
    </row>
    <row r="313" spans="1:170" x14ac:dyDescent="0.25">
      <c r="A313" s="7">
        <v>227.22026539572522</v>
      </c>
      <c r="B313"/>
      <c r="C313"/>
      <c r="D313"/>
      <c r="E313" t="s">
        <v>8</v>
      </c>
      <c r="P313" s="27" t="s">
        <v>7</v>
      </c>
      <c r="Q313" s="27" t="s">
        <v>8</v>
      </c>
      <c r="CV313" s="27" t="s">
        <v>7</v>
      </c>
      <c r="CW313" s="27" t="s">
        <v>8</v>
      </c>
      <c r="CX313" s="27" t="s">
        <v>7</v>
      </c>
      <c r="CY313" s="27" t="s">
        <v>8</v>
      </c>
      <c r="DB313" s="27" t="s">
        <v>7</v>
      </c>
      <c r="DC313" s="27" t="s">
        <v>8</v>
      </c>
      <c r="DH313" s="27" t="s">
        <v>7</v>
      </c>
      <c r="DI313" s="27" t="s">
        <v>8</v>
      </c>
      <c r="DJ313" s="27" t="s">
        <v>7</v>
      </c>
      <c r="DK313" s="27" t="s">
        <v>8</v>
      </c>
      <c r="DL313" s="27" t="s">
        <v>7</v>
      </c>
      <c r="EA313" s="27" t="s">
        <v>8</v>
      </c>
      <c r="EB313" s="27" t="s">
        <v>7</v>
      </c>
      <c r="EE313" s="27" t="s">
        <v>8</v>
      </c>
      <c r="EF313" s="27" t="s">
        <v>7</v>
      </c>
      <c r="EG313" s="27" t="s">
        <v>8</v>
      </c>
      <c r="EH313" s="27" t="s">
        <v>7</v>
      </c>
      <c r="EI313" s="27" t="s">
        <v>8</v>
      </c>
      <c r="EJ313" s="27" t="s">
        <v>7</v>
      </c>
      <c r="EK313" s="27" t="s">
        <v>8</v>
      </c>
      <c r="FB313" s="27" t="s">
        <v>7</v>
      </c>
      <c r="FC313" s="27" t="s">
        <v>8</v>
      </c>
      <c r="FI313" s="27" t="s">
        <v>8</v>
      </c>
      <c r="FJ313" s="27" t="s">
        <v>7</v>
      </c>
      <c r="FK313" s="27" t="s">
        <v>8</v>
      </c>
      <c r="FL313" s="27" t="s">
        <v>7</v>
      </c>
    </row>
    <row r="314" spans="1:170" x14ac:dyDescent="0.25">
      <c r="A314" s="7">
        <v>222.76496607424042</v>
      </c>
      <c r="B314"/>
      <c r="C314"/>
      <c r="D314"/>
      <c r="E314" t="s">
        <v>8</v>
      </c>
      <c r="P314" s="27" t="s">
        <v>7</v>
      </c>
      <c r="Q314" s="27" t="s">
        <v>8</v>
      </c>
      <c r="CV314" s="27" t="s">
        <v>7</v>
      </c>
      <c r="CX314" s="27" t="s">
        <v>7</v>
      </c>
      <c r="CY314" s="27" t="s">
        <v>8</v>
      </c>
      <c r="DB314" s="27" t="s">
        <v>7</v>
      </c>
      <c r="DC314" s="27" t="s">
        <v>8</v>
      </c>
      <c r="DH314" s="27" t="s">
        <v>7</v>
      </c>
      <c r="DI314" s="27" t="s">
        <v>8</v>
      </c>
      <c r="DJ314" s="27" t="s">
        <v>7</v>
      </c>
      <c r="DK314" s="27" t="s">
        <v>8</v>
      </c>
      <c r="DL314" s="27" t="s">
        <v>7</v>
      </c>
      <c r="EA314" s="27" t="s">
        <v>8</v>
      </c>
      <c r="EB314" s="27" t="s">
        <v>7</v>
      </c>
      <c r="EE314" s="27" t="s">
        <v>8</v>
      </c>
      <c r="EF314" s="27" t="s">
        <v>7</v>
      </c>
      <c r="EG314" s="27" t="s">
        <v>8</v>
      </c>
      <c r="EH314" s="27" t="s">
        <v>7</v>
      </c>
      <c r="EJ314" s="27" t="s">
        <v>7</v>
      </c>
      <c r="FB314" s="27" t="s">
        <v>7</v>
      </c>
      <c r="FC314" s="27" t="s">
        <v>8</v>
      </c>
      <c r="FD314" s="27" t="s">
        <v>7</v>
      </c>
      <c r="FI314" s="27" t="s">
        <v>8</v>
      </c>
      <c r="FJ314" s="27" t="s">
        <v>7</v>
      </c>
      <c r="FK314" s="27" t="s">
        <v>8</v>
      </c>
      <c r="FL314" s="27" t="s">
        <v>7</v>
      </c>
    </row>
    <row r="315" spans="1:170" x14ac:dyDescent="0.25">
      <c r="A315" s="7">
        <v>218.39702556298079</v>
      </c>
      <c r="B315"/>
      <c r="C315"/>
      <c r="D315"/>
      <c r="E315" t="s">
        <v>8</v>
      </c>
      <c r="P315" s="27" t="s">
        <v>7</v>
      </c>
      <c r="Q315" s="27" t="s">
        <v>8</v>
      </c>
      <c r="CX315" s="27" t="s">
        <v>7</v>
      </c>
      <c r="CY315" s="27" t="s">
        <v>8</v>
      </c>
      <c r="DB315" s="27" t="s">
        <v>7</v>
      </c>
      <c r="DC315" s="27" t="s">
        <v>8</v>
      </c>
      <c r="DH315" s="27" t="s">
        <v>7</v>
      </c>
      <c r="DI315" s="27" t="s">
        <v>8</v>
      </c>
      <c r="DJ315" s="27" t="s">
        <v>7</v>
      </c>
      <c r="DK315" s="27" t="s">
        <v>8</v>
      </c>
      <c r="DL315" s="27" t="s">
        <v>7</v>
      </c>
      <c r="EA315" s="27" t="s">
        <v>8</v>
      </c>
      <c r="EB315" s="27" t="s">
        <v>7</v>
      </c>
      <c r="EE315" s="27" t="s">
        <v>8</v>
      </c>
      <c r="EF315" s="27" t="s">
        <v>7</v>
      </c>
      <c r="EG315" s="27" t="s">
        <v>8</v>
      </c>
      <c r="FB315" s="27" t="s">
        <v>7</v>
      </c>
      <c r="FC315" s="27" t="s">
        <v>8</v>
      </c>
      <c r="FD315" s="27" t="s">
        <v>7</v>
      </c>
      <c r="FI315" s="27" t="s">
        <v>8</v>
      </c>
      <c r="FJ315" s="27" t="s">
        <v>7</v>
      </c>
      <c r="FK315" s="27" t="s">
        <v>8</v>
      </c>
      <c r="FL315" s="27" t="s">
        <v>7</v>
      </c>
    </row>
    <row r="316" spans="1:170" x14ac:dyDescent="0.25">
      <c r="A316" s="7">
        <v>214.1147309440988</v>
      </c>
      <c r="B316"/>
      <c r="C316"/>
      <c r="D316"/>
      <c r="E316" t="s">
        <v>8</v>
      </c>
      <c r="P316" s="27" t="s">
        <v>7</v>
      </c>
      <c r="Q316" s="27" t="s">
        <v>8</v>
      </c>
      <c r="CX316" s="27" t="s">
        <v>7</v>
      </c>
      <c r="CY316" s="27" t="s">
        <v>8</v>
      </c>
      <c r="DB316" s="27" t="s">
        <v>7</v>
      </c>
      <c r="DC316" s="27" t="s">
        <v>8</v>
      </c>
      <c r="DH316" s="27" t="s">
        <v>7</v>
      </c>
      <c r="DJ316" s="27" t="s">
        <v>7</v>
      </c>
      <c r="DK316" s="27" t="s">
        <v>8</v>
      </c>
      <c r="DL316" s="27" t="s">
        <v>7</v>
      </c>
      <c r="DS316" s="27" t="s">
        <v>8</v>
      </c>
      <c r="EA316" s="27" t="s">
        <v>8</v>
      </c>
      <c r="EB316" s="27" t="s">
        <v>7</v>
      </c>
      <c r="EE316" s="27" t="s">
        <v>8</v>
      </c>
      <c r="EF316" s="27" t="s">
        <v>7</v>
      </c>
      <c r="EG316" s="27" t="s">
        <v>8</v>
      </c>
      <c r="FB316" s="27" t="s">
        <v>7</v>
      </c>
      <c r="FC316" s="27" t="s">
        <v>8</v>
      </c>
      <c r="FD316" s="27" t="s">
        <v>7</v>
      </c>
      <c r="FI316" s="27" t="s">
        <v>8</v>
      </c>
      <c r="FJ316" s="27" t="s">
        <v>7</v>
      </c>
      <c r="FK316" s="27" t="s">
        <v>8</v>
      </c>
      <c r="FL316" s="27" t="s">
        <v>7</v>
      </c>
      <c r="FM316" s="27" t="s">
        <v>8</v>
      </c>
    </row>
    <row r="317" spans="1:170" x14ac:dyDescent="0.25">
      <c r="A317" s="7">
        <v>209.91640288637137</v>
      </c>
      <c r="B317"/>
      <c r="C317"/>
      <c r="D317"/>
      <c r="E317" t="s">
        <v>8</v>
      </c>
      <c r="P317" s="27" t="s">
        <v>7</v>
      </c>
      <c r="Q317" s="27" t="s">
        <v>8</v>
      </c>
      <c r="CX317" s="27" t="s">
        <v>7</v>
      </c>
      <c r="CY317" s="27" t="s">
        <v>8</v>
      </c>
      <c r="DB317" s="27" t="s">
        <v>7</v>
      </c>
      <c r="DC317" s="27" t="s">
        <v>8</v>
      </c>
      <c r="DJ317" s="27" t="s">
        <v>7</v>
      </c>
      <c r="DK317" s="27" t="s">
        <v>8</v>
      </c>
      <c r="DL317" s="27" t="s">
        <v>7</v>
      </c>
      <c r="DS317" s="27" t="s">
        <v>8</v>
      </c>
      <c r="DT317" s="27" t="s">
        <v>7</v>
      </c>
      <c r="EA317" s="27" t="s">
        <v>8</v>
      </c>
      <c r="EB317" s="27" t="s">
        <v>7</v>
      </c>
      <c r="EE317" s="27" t="s">
        <v>8</v>
      </c>
      <c r="EF317" s="27" t="s">
        <v>7</v>
      </c>
      <c r="FB317" s="27" t="s">
        <v>7</v>
      </c>
      <c r="FC317" s="27" t="s">
        <v>8</v>
      </c>
      <c r="FD317" s="27" t="s">
        <v>7</v>
      </c>
      <c r="FI317" s="27" t="s">
        <v>8</v>
      </c>
      <c r="FJ317" s="27" t="s">
        <v>7</v>
      </c>
      <c r="FK317" s="27" t="s">
        <v>8</v>
      </c>
      <c r="FL317" s="27" t="s">
        <v>7</v>
      </c>
      <c r="FM317" s="27" t="s">
        <v>8</v>
      </c>
      <c r="FN317" s="27" t="s">
        <v>7</v>
      </c>
    </row>
    <row r="318" spans="1:170" x14ac:dyDescent="0.25">
      <c r="A318" s="7">
        <v>205.80039498663859</v>
      </c>
      <c r="B318"/>
      <c r="C318"/>
      <c r="D318"/>
      <c r="E318" t="s">
        <v>8</v>
      </c>
      <c r="P318" s="27" t="s">
        <v>7</v>
      </c>
      <c r="Q318" s="27" t="s">
        <v>8</v>
      </c>
      <c r="CX318" s="27" t="s">
        <v>7</v>
      </c>
      <c r="CY318" s="27" t="s">
        <v>8</v>
      </c>
      <c r="DB318" s="27" t="s">
        <v>7</v>
      </c>
      <c r="DJ318" s="27" t="s">
        <v>7</v>
      </c>
      <c r="DK318" s="27" t="s">
        <v>8</v>
      </c>
      <c r="DL318" s="27" t="s">
        <v>7</v>
      </c>
      <c r="DS318" s="27" t="s">
        <v>8</v>
      </c>
      <c r="DT318" s="27" t="s">
        <v>7</v>
      </c>
      <c r="DU318" s="27" t="s">
        <v>8</v>
      </c>
      <c r="EA318" s="27" t="s">
        <v>8</v>
      </c>
      <c r="EB318" s="27" t="s">
        <v>7</v>
      </c>
      <c r="EE318" s="27" t="s">
        <v>8</v>
      </c>
      <c r="FB318" s="27" t="s">
        <v>7</v>
      </c>
      <c r="FC318" s="27" t="s">
        <v>8</v>
      </c>
      <c r="FD318" s="27" t="s">
        <v>7</v>
      </c>
      <c r="FI318" s="27" t="s">
        <v>8</v>
      </c>
      <c r="FJ318" s="27" t="s">
        <v>7</v>
      </c>
      <c r="FK318" s="27" t="s">
        <v>8</v>
      </c>
      <c r="FL318" s="27" t="s">
        <v>7</v>
      </c>
      <c r="FM318" s="27" t="s">
        <v>8</v>
      </c>
      <c r="FN318" s="27" t="s">
        <v>7</v>
      </c>
    </row>
    <row r="319" spans="1:170" x14ac:dyDescent="0.25">
      <c r="A319" s="7">
        <v>201.76509312415547</v>
      </c>
      <c r="B319"/>
      <c r="C319"/>
      <c r="D319"/>
      <c r="E319" t="s">
        <v>8</v>
      </c>
      <c r="P319" s="27" t="s">
        <v>7</v>
      </c>
      <c r="Q319" s="27" t="s">
        <v>8</v>
      </c>
      <c r="CX319" s="27" t="s">
        <v>7</v>
      </c>
      <c r="CY319" s="27" t="s">
        <v>8</v>
      </c>
      <c r="DJ319" s="27" t="s">
        <v>7</v>
      </c>
      <c r="DL319" s="27" t="s">
        <v>7</v>
      </c>
      <c r="DS319" s="27" t="s">
        <v>8</v>
      </c>
      <c r="DT319" s="27" t="s">
        <v>7</v>
      </c>
      <c r="DU319" s="27" t="s">
        <v>8</v>
      </c>
      <c r="DV319" s="27" t="s">
        <v>7</v>
      </c>
      <c r="EA319" s="27" t="s">
        <v>8</v>
      </c>
      <c r="EB319" s="27" t="s">
        <v>7</v>
      </c>
      <c r="EE319" s="27" t="s">
        <v>8</v>
      </c>
      <c r="FB319" s="27" t="s">
        <v>7</v>
      </c>
      <c r="FD319" s="27" t="s">
        <v>7</v>
      </c>
      <c r="FI319" s="27" t="s">
        <v>8</v>
      </c>
      <c r="FJ319" s="27" t="s">
        <v>7</v>
      </c>
      <c r="FK319" s="27" t="s">
        <v>8</v>
      </c>
      <c r="FL319" s="27" t="s">
        <v>7</v>
      </c>
      <c r="FM319" s="27" t="s">
        <v>8</v>
      </c>
      <c r="FN319" s="27" t="s">
        <v>7</v>
      </c>
    </row>
    <row r="320" spans="1:170" x14ac:dyDescent="0.25">
      <c r="A320" s="7">
        <v>197.80891482760339</v>
      </c>
      <c r="B320"/>
      <c r="C320"/>
      <c r="D320"/>
      <c r="E320" t="s">
        <v>8</v>
      </c>
      <c r="P320" s="27" t="s">
        <v>7</v>
      </c>
      <c r="Q320" s="27" t="s">
        <v>8</v>
      </c>
      <c r="CX320" s="27" t="s">
        <v>7</v>
      </c>
      <c r="CY320" s="27" t="s">
        <v>8</v>
      </c>
      <c r="DL320" s="27" t="s">
        <v>7</v>
      </c>
      <c r="DM320" s="27" t="s">
        <v>8</v>
      </c>
      <c r="DS320" s="27" t="s">
        <v>8</v>
      </c>
      <c r="DT320" s="27" t="s">
        <v>7</v>
      </c>
      <c r="DU320" s="27" t="s">
        <v>8</v>
      </c>
      <c r="DV320" s="27" t="s">
        <v>7</v>
      </c>
      <c r="EA320" s="27" t="s">
        <v>8</v>
      </c>
      <c r="EB320" s="27" t="s">
        <v>7</v>
      </c>
      <c r="EC320" s="27" t="s">
        <v>8</v>
      </c>
      <c r="EE320" s="27" t="s">
        <v>8</v>
      </c>
      <c r="FD320" s="27" t="s">
        <v>7</v>
      </c>
      <c r="FI320" s="27" t="s">
        <v>8</v>
      </c>
      <c r="FJ320" s="27" t="s">
        <v>7</v>
      </c>
      <c r="FK320" s="27" t="s">
        <v>8</v>
      </c>
      <c r="FL320" s="27" t="s">
        <v>7</v>
      </c>
      <c r="FM320" s="27" t="s">
        <v>8</v>
      </c>
      <c r="FN320" s="27" t="s">
        <v>7</v>
      </c>
    </row>
    <row r="321" spans="1:170" x14ac:dyDescent="0.25">
      <c r="A321" s="7">
        <v>193.93030865451311</v>
      </c>
      <c r="B321"/>
      <c r="C321"/>
      <c r="D321"/>
      <c r="E321" t="s">
        <v>8</v>
      </c>
      <c r="P321" s="27" t="s">
        <v>7</v>
      </c>
      <c r="Q321" s="27" t="s">
        <v>8</v>
      </c>
      <c r="CX321" s="27" t="s">
        <v>7</v>
      </c>
      <c r="DL321" s="27" t="s">
        <v>7</v>
      </c>
      <c r="DM321" s="27" t="s">
        <v>8</v>
      </c>
      <c r="DN321" s="27" t="s">
        <v>7</v>
      </c>
      <c r="DS321" s="27" t="s">
        <v>8</v>
      </c>
      <c r="DT321" s="27" t="s">
        <v>7</v>
      </c>
      <c r="DU321" s="27" t="s">
        <v>8</v>
      </c>
      <c r="DV321" s="27" t="s">
        <v>7</v>
      </c>
      <c r="EA321" s="27" t="s">
        <v>8</v>
      </c>
      <c r="EB321" s="27" t="s">
        <v>7</v>
      </c>
      <c r="EC321" s="27" t="s">
        <v>8</v>
      </c>
      <c r="ED321" s="27" t="s">
        <v>7</v>
      </c>
      <c r="EE321" s="27" t="s">
        <v>8</v>
      </c>
      <c r="FD321" s="27" t="s">
        <v>7</v>
      </c>
      <c r="FI321" s="27" t="s">
        <v>8</v>
      </c>
      <c r="FJ321" s="27" t="s">
        <v>7</v>
      </c>
      <c r="FK321" s="27" t="s">
        <v>8</v>
      </c>
      <c r="FL321" s="27" t="s">
        <v>7</v>
      </c>
      <c r="FM321" s="27" t="s">
        <v>8</v>
      </c>
      <c r="FN321" s="27" t="s">
        <v>7</v>
      </c>
    </row>
    <row r="322" spans="1:170" x14ac:dyDescent="0.25">
      <c r="A322" s="7">
        <v>190.127753582856</v>
      </c>
      <c r="B322"/>
      <c r="C322"/>
      <c r="D322"/>
      <c r="E322" t="s">
        <v>8</v>
      </c>
      <c r="P322" s="27" t="s">
        <v>7</v>
      </c>
      <c r="Q322" s="27" t="s">
        <v>8</v>
      </c>
      <c r="DL322" s="27" t="s">
        <v>7</v>
      </c>
      <c r="DM322" s="27" t="s">
        <v>8</v>
      </c>
      <c r="DN322" s="27" t="s">
        <v>7</v>
      </c>
      <c r="DS322" s="27" t="s">
        <v>8</v>
      </c>
      <c r="DT322" s="27" t="s">
        <v>7</v>
      </c>
      <c r="DU322" s="27" t="s">
        <v>8</v>
      </c>
      <c r="DV322" s="27" t="s">
        <v>7</v>
      </c>
      <c r="EA322" s="27" t="s">
        <v>8</v>
      </c>
      <c r="EB322" s="27" t="s">
        <v>7</v>
      </c>
      <c r="EC322" s="27" t="s">
        <v>8</v>
      </c>
      <c r="ED322" s="27" t="s">
        <v>7</v>
      </c>
      <c r="EE322" s="27" t="s">
        <v>8</v>
      </c>
      <c r="FD322" s="27" t="s">
        <v>7</v>
      </c>
      <c r="FI322" s="27" t="s">
        <v>8</v>
      </c>
      <c r="FJ322" s="27" t="s">
        <v>7</v>
      </c>
      <c r="FK322" s="27" t="s">
        <v>8</v>
      </c>
      <c r="FL322" s="27" t="s">
        <v>7</v>
      </c>
      <c r="FM322" s="27" t="s">
        <v>8</v>
      </c>
      <c r="FN322" s="27" t="s">
        <v>7</v>
      </c>
    </row>
    <row r="323" spans="1:170" x14ac:dyDescent="0.25">
      <c r="A323" s="7">
        <v>186.3997584145647</v>
      </c>
      <c r="B323"/>
      <c r="C323"/>
      <c r="D323"/>
      <c r="E323" t="s">
        <v>8</v>
      </c>
      <c r="P323" s="27" t="s">
        <v>7</v>
      </c>
      <c r="Q323" s="27" t="s">
        <v>8</v>
      </c>
      <c r="DL323" s="27" t="s">
        <v>7</v>
      </c>
      <c r="DM323" s="27" t="s">
        <v>8</v>
      </c>
      <c r="DN323" s="27" t="s">
        <v>7</v>
      </c>
      <c r="DS323" s="27" t="s">
        <v>8</v>
      </c>
      <c r="DT323" s="27" t="s">
        <v>7</v>
      </c>
      <c r="DU323" s="27" t="s">
        <v>8</v>
      </c>
      <c r="DV323" s="27" t="s">
        <v>7</v>
      </c>
      <c r="DW323" s="27" t="s">
        <v>8</v>
      </c>
      <c r="EA323" s="27" t="s">
        <v>8</v>
      </c>
      <c r="EB323" s="27" t="s">
        <v>7</v>
      </c>
      <c r="EC323" s="27" t="s">
        <v>8</v>
      </c>
      <c r="ED323" s="27" t="s">
        <v>7</v>
      </c>
      <c r="EE323" s="27" t="s">
        <v>8</v>
      </c>
      <c r="FD323" s="27" t="s">
        <v>7</v>
      </c>
      <c r="FI323" s="27" t="s">
        <v>8</v>
      </c>
      <c r="FJ323" s="27" t="s">
        <v>7</v>
      </c>
      <c r="FK323" s="27" t="s">
        <v>8</v>
      </c>
      <c r="FL323" s="27" t="s">
        <v>7</v>
      </c>
    </row>
    <row r="324" spans="1:170" x14ac:dyDescent="0.25">
      <c r="A324" s="7">
        <v>182.7448611907497</v>
      </c>
      <c r="B324"/>
      <c r="C324"/>
      <c r="D324"/>
      <c r="E324" t="s">
        <v>8</v>
      </c>
      <c r="P324" s="27" t="s">
        <v>7</v>
      </c>
      <c r="Q324" s="27" t="s">
        <v>8</v>
      </c>
      <c r="DL324" s="27" t="s">
        <v>7</v>
      </c>
      <c r="DM324" s="27" t="s">
        <v>8</v>
      </c>
      <c r="DN324" s="27" t="s">
        <v>7</v>
      </c>
      <c r="DO324" s="27" t="s">
        <v>8</v>
      </c>
      <c r="DS324" s="27" t="s">
        <v>8</v>
      </c>
      <c r="DT324" s="27" t="s">
        <v>7</v>
      </c>
      <c r="DU324" s="27" t="s">
        <v>8</v>
      </c>
      <c r="DV324" s="27" t="s">
        <v>7</v>
      </c>
      <c r="DW324" s="27" t="s">
        <v>8</v>
      </c>
      <c r="DX324" s="27" t="s">
        <v>7</v>
      </c>
      <c r="DY324" s="27" t="s">
        <v>8</v>
      </c>
      <c r="EA324" s="27" t="s">
        <v>8</v>
      </c>
      <c r="EB324" s="27" t="s">
        <v>7</v>
      </c>
      <c r="EC324" s="27" t="s">
        <v>8</v>
      </c>
      <c r="ED324" s="27" t="s">
        <v>7</v>
      </c>
      <c r="EE324" s="27" t="s">
        <v>8</v>
      </c>
      <c r="FD324" s="27" t="s">
        <v>7</v>
      </c>
      <c r="FE324" s="27" t="s">
        <v>8</v>
      </c>
      <c r="FI324" s="27" t="s">
        <v>8</v>
      </c>
      <c r="FJ324" s="27" t="s">
        <v>7</v>
      </c>
      <c r="FK324" s="27" t="s">
        <v>8</v>
      </c>
    </row>
    <row r="325" spans="1:170" x14ac:dyDescent="0.25">
      <c r="A325" s="7">
        <v>179.16162861838205</v>
      </c>
      <c r="B325"/>
      <c r="C325"/>
      <c r="D325"/>
      <c r="E325" t="s">
        <v>8</v>
      </c>
      <c r="P325" s="27" t="s">
        <v>7</v>
      </c>
      <c r="Q325" s="27" t="s">
        <v>8</v>
      </c>
      <c r="DL325" s="27" t="s">
        <v>7</v>
      </c>
      <c r="DM325" s="27" t="s">
        <v>8</v>
      </c>
      <c r="DN325" s="27" t="s">
        <v>7</v>
      </c>
      <c r="DO325" s="27" t="s">
        <v>8</v>
      </c>
      <c r="DP325" s="27" t="s">
        <v>7</v>
      </c>
      <c r="DQ325" s="27" t="s">
        <v>8</v>
      </c>
      <c r="DS325" s="27" t="s">
        <v>8</v>
      </c>
      <c r="DT325" s="27" t="s">
        <v>7</v>
      </c>
      <c r="DU325" s="27" t="s">
        <v>8</v>
      </c>
      <c r="DV325" s="27" t="s">
        <v>7</v>
      </c>
      <c r="DW325" s="27" t="s">
        <v>8</v>
      </c>
      <c r="DX325" s="27" t="s">
        <v>7</v>
      </c>
      <c r="DY325" s="27" t="s">
        <v>8</v>
      </c>
      <c r="DZ325" s="27" t="s">
        <v>7</v>
      </c>
      <c r="EA325" s="27" t="s">
        <v>8</v>
      </c>
      <c r="EB325" s="27" t="s">
        <v>7</v>
      </c>
      <c r="EC325" s="27" t="s">
        <v>8</v>
      </c>
      <c r="ED325" s="27" t="s">
        <v>7</v>
      </c>
      <c r="FD325" s="27" t="s">
        <v>7</v>
      </c>
      <c r="FE325" s="27" t="s">
        <v>8</v>
      </c>
      <c r="FF325" s="27" t="s">
        <v>7</v>
      </c>
      <c r="FI325" s="27" t="s">
        <v>8</v>
      </c>
      <c r="FJ325" s="27" t="s">
        <v>7</v>
      </c>
      <c r="FK325" s="27" t="s">
        <v>8</v>
      </c>
    </row>
    <row r="326" spans="1:170" x14ac:dyDescent="0.25">
      <c r="A326" s="7">
        <v>175.6486555082177</v>
      </c>
      <c r="B326"/>
      <c r="C326"/>
      <c r="D326"/>
      <c r="E326" t="s">
        <v>8</v>
      </c>
      <c r="P326" s="27" t="s">
        <v>7</v>
      </c>
      <c r="Q326" s="27" t="s">
        <v>8</v>
      </c>
      <c r="DL326" s="27" t="s">
        <v>7</v>
      </c>
      <c r="DM326" s="27" t="s">
        <v>8</v>
      </c>
      <c r="DN326" s="27" t="s">
        <v>7</v>
      </c>
      <c r="DO326" s="27" t="s">
        <v>8</v>
      </c>
      <c r="DP326" s="27" t="s">
        <v>7</v>
      </c>
      <c r="DQ326" s="27" t="s">
        <v>8</v>
      </c>
      <c r="DR326" s="27" t="s">
        <v>7</v>
      </c>
      <c r="DS326" s="27" t="s">
        <v>8</v>
      </c>
      <c r="DT326" s="27" t="s">
        <v>7</v>
      </c>
      <c r="DU326" s="27" t="s">
        <v>8</v>
      </c>
      <c r="DV326" s="27" t="s">
        <v>7</v>
      </c>
      <c r="DW326" s="27" t="s">
        <v>8</v>
      </c>
      <c r="DX326" s="27" t="s">
        <v>7</v>
      </c>
      <c r="DY326" s="27" t="s">
        <v>8</v>
      </c>
      <c r="DZ326" s="27" t="s">
        <v>7</v>
      </c>
      <c r="EA326" s="27" t="s">
        <v>8</v>
      </c>
      <c r="EB326" s="18" t="s">
        <v>7</v>
      </c>
      <c r="EC326" s="27" t="s">
        <v>8</v>
      </c>
      <c r="FD326" s="27" t="s">
        <v>7</v>
      </c>
      <c r="FE326" s="27" t="s">
        <v>8</v>
      </c>
      <c r="FF326" s="27" t="s">
        <v>7</v>
      </c>
      <c r="FI326" s="27" t="s">
        <v>8</v>
      </c>
      <c r="FJ326" s="27" t="s">
        <v>7</v>
      </c>
      <c r="FK326" s="27" t="s">
        <v>8</v>
      </c>
    </row>
    <row r="327" spans="1:170" x14ac:dyDescent="0.25">
      <c r="A327" s="7">
        <v>172.20456422374284</v>
      </c>
      <c r="B327"/>
      <c r="C327"/>
      <c r="D327"/>
      <c r="E327" t="s">
        <v>8</v>
      </c>
      <c r="P327" s="27" t="s">
        <v>7</v>
      </c>
      <c r="Q327" s="27" t="s">
        <v>8</v>
      </c>
      <c r="DL327" s="27" t="s">
        <v>7</v>
      </c>
      <c r="DM327" s="27" t="s">
        <v>8</v>
      </c>
      <c r="DN327" s="27" t="s">
        <v>7</v>
      </c>
      <c r="DO327" s="27" t="s">
        <v>8</v>
      </c>
      <c r="DP327" s="27" t="s">
        <v>7</v>
      </c>
      <c r="DQ327" s="27" t="s">
        <v>8</v>
      </c>
      <c r="DR327" s="27" t="s">
        <v>7</v>
      </c>
      <c r="DS327" s="27" t="s">
        <v>8</v>
      </c>
      <c r="DT327" s="27" t="s">
        <v>7</v>
      </c>
      <c r="DV327" s="27" t="s">
        <v>7</v>
      </c>
      <c r="DX327" s="27" t="s">
        <v>7</v>
      </c>
      <c r="DZ327" s="27" t="s">
        <v>7</v>
      </c>
      <c r="EA327" s="27" t="s">
        <v>8</v>
      </c>
      <c r="EB327" s="27" t="s">
        <v>7</v>
      </c>
      <c r="EC327" s="27" t="s">
        <v>8</v>
      </c>
      <c r="FD327" s="27" t="s">
        <v>7</v>
      </c>
      <c r="FE327" s="27" t="s">
        <v>8</v>
      </c>
      <c r="FF327" s="27" t="s">
        <v>7</v>
      </c>
      <c r="FI327" s="27" t="s">
        <v>8</v>
      </c>
      <c r="FJ327" s="27" t="s">
        <v>7</v>
      </c>
      <c r="FK327" s="27" t="s">
        <v>8</v>
      </c>
    </row>
    <row r="328" spans="1:170" x14ac:dyDescent="0.25">
      <c r="A328" s="7">
        <v>168.82800414092435</v>
      </c>
      <c r="B328"/>
      <c r="C328"/>
      <c r="D328"/>
      <c r="E328" t="s">
        <v>8</v>
      </c>
      <c r="P328" s="27" t="s">
        <v>7</v>
      </c>
      <c r="Q328" s="27" t="s">
        <v>8</v>
      </c>
      <c r="DL328" s="27" t="s">
        <v>7</v>
      </c>
      <c r="DM328" s="27" t="s">
        <v>8</v>
      </c>
      <c r="DN328" s="27" t="s">
        <v>7</v>
      </c>
      <c r="DO328" s="27" t="s">
        <v>8</v>
      </c>
      <c r="DP328" s="27" t="s">
        <v>7</v>
      </c>
      <c r="DQ328" s="27" t="s">
        <v>8</v>
      </c>
      <c r="DR328" s="27" t="s">
        <v>7</v>
      </c>
      <c r="DS328" s="27" t="s">
        <v>8</v>
      </c>
      <c r="DZ328" s="27" t="s">
        <v>7</v>
      </c>
      <c r="EA328" s="27" t="s">
        <v>8</v>
      </c>
      <c r="EB328" s="27" t="s">
        <v>7</v>
      </c>
      <c r="FD328" s="27" t="s">
        <v>7</v>
      </c>
      <c r="FE328" s="27" t="s">
        <v>8</v>
      </c>
      <c r="FF328" s="27" t="s">
        <v>7</v>
      </c>
      <c r="FG328" s="27" t="s">
        <v>8</v>
      </c>
      <c r="FI328" s="27" t="s">
        <v>8</v>
      </c>
      <c r="FJ328" s="27" t="s">
        <v>7</v>
      </c>
      <c r="FK328" s="27" t="s">
        <v>8</v>
      </c>
    </row>
    <row r="329" spans="1:170" x14ac:dyDescent="0.25">
      <c r="A329" s="7">
        <v>165.51765111855329</v>
      </c>
      <c r="B329"/>
      <c r="C329"/>
      <c r="D329"/>
      <c r="E329" t="s">
        <v>8</v>
      </c>
      <c r="P329" s="27" t="s">
        <v>7</v>
      </c>
      <c r="Q329" s="27" t="s">
        <v>8</v>
      </c>
      <c r="DL329" s="27" t="s">
        <v>7</v>
      </c>
      <c r="DM329" s="27" t="s">
        <v>8</v>
      </c>
      <c r="DN329" s="27" t="s">
        <v>7</v>
      </c>
      <c r="DO329" s="27" t="s">
        <v>8</v>
      </c>
      <c r="DP329" s="27" t="s">
        <v>7</v>
      </c>
      <c r="DQ329" s="27" t="s">
        <v>8</v>
      </c>
      <c r="DR329" s="27" t="s">
        <v>7</v>
      </c>
      <c r="DZ329" s="27" t="s">
        <v>7</v>
      </c>
      <c r="FD329" s="27" t="s">
        <v>7</v>
      </c>
      <c r="FE329" s="27" t="s">
        <v>8</v>
      </c>
      <c r="FF329" s="27" t="s">
        <v>7</v>
      </c>
      <c r="FG329" s="27" t="s">
        <v>8</v>
      </c>
      <c r="FH329" s="27" t="s">
        <v>7</v>
      </c>
      <c r="FI329" s="27" t="s">
        <v>8</v>
      </c>
      <c r="FJ329" s="27" t="s">
        <v>7</v>
      </c>
      <c r="FK329" s="27" t="s">
        <v>8</v>
      </c>
    </row>
    <row r="330" spans="1:170" x14ac:dyDescent="0.25">
      <c r="A330" s="7">
        <v>162.2722069789738</v>
      </c>
      <c r="B330"/>
      <c r="C330"/>
      <c r="D330"/>
      <c r="E330" t="s">
        <v>8</v>
      </c>
      <c r="P330" s="27" t="s">
        <v>7</v>
      </c>
      <c r="Q330" s="27" t="s">
        <v>8</v>
      </c>
      <c r="DL330" s="27" t="s">
        <v>7</v>
      </c>
      <c r="DM330" s="27" t="s">
        <v>8</v>
      </c>
      <c r="DN330" s="27" t="s">
        <v>7</v>
      </c>
      <c r="DO330" s="27" t="s">
        <v>8</v>
      </c>
      <c r="DP330" s="27" t="s">
        <v>7</v>
      </c>
      <c r="DQ330" s="27" t="s">
        <v>8</v>
      </c>
      <c r="FD330" s="27" t="s">
        <v>7</v>
      </c>
      <c r="FE330" s="27" t="s">
        <v>8</v>
      </c>
      <c r="FF330" s="27" t="s">
        <v>7</v>
      </c>
      <c r="FG330" s="27" t="s">
        <v>8</v>
      </c>
      <c r="FH330" s="27" t="s">
        <v>7</v>
      </c>
      <c r="FI330" s="27" t="s">
        <v>8</v>
      </c>
      <c r="FJ330" s="27" t="s">
        <v>7</v>
      </c>
      <c r="FK330" s="27" t="s">
        <v>8</v>
      </c>
    </row>
    <row r="331" spans="1:170" x14ac:dyDescent="0.25">
      <c r="A331" s="7">
        <v>159.09039899899392</v>
      </c>
      <c r="B331"/>
      <c r="C331"/>
      <c r="D331"/>
      <c r="E331" t="s">
        <v>8</v>
      </c>
      <c r="P331" s="27" t="s">
        <v>7</v>
      </c>
      <c r="Q331" s="27" t="s">
        <v>8</v>
      </c>
      <c r="DL331" s="27" t="s">
        <v>7</v>
      </c>
      <c r="DM331" s="27" t="s">
        <v>8</v>
      </c>
      <c r="DN331" s="27" t="s">
        <v>7</v>
      </c>
      <c r="DO331" s="27" t="s">
        <v>8</v>
      </c>
      <c r="DP331" s="27" t="s">
        <v>7</v>
      </c>
      <c r="FD331" s="27" t="s">
        <v>7</v>
      </c>
      <c r="FE331" s="27" t="s">
        <v>8</v>
      </c>
      <c r="FF331" s="27" t="s">
        <v>7</v>
      </c>
      <c r="FG331" s="27" t="s">
        <v>8</v>
      </c>
      <c r="FH331" s="27" t="s">
        <v>7</v>
      </c>
      <c r="FI331" s="27" t="s">
        <v>8</v>
      </c>
      <c r="FJ331" s="27" t="s">
        <v>7</v>
      </c>
    </row>
    <row r="332" spans="1:170" x14ac:dyDescent="0.25">
      <c r="A332" s="7">
        <v>155.97097941077834</v>
      </c>
      <c r="B332"/>
      <c r="C332"/>
      <c r="D332"/>
      <c r="E332" t="s">
        <v>8</v>
      </c>
      <c r="P332" s="27" t="s">
        <v>7</v>
      </c>
      <c r="Q332" s="27" t="s">
        <v>8</v>
      </c>
      <c r="DL332" s="27" t="s">
        <v>7</v>
      </c>
      <c r="DN332" s="27" t="s">
        <v>7</v>
      </c>
      <c r="FD332" s="27" t="s">
        <v>7</v>
      </c>
      <c r="FE332" s="27" t="s">
        <v>8</v>
      </c>
      <c r="FF332" s="27" t="s">
        <v>7</v>
      </c>
      <c r="FG332" s="27" t="s">
        <v>8</v>
      </c>
      <c r="FH332" s="27" t="s">
        <v>7</v>
      </c>
      <c r="FI332" s="27" t="s">
        <v>8</v>
      </c>
    </row>
    <row r="333" spans="1:170" x14ac:dyDescent="0.25">
      <c r="A333" s="7">
        <v>152.91272491252778</v>
      </c>
      <c r="B333"/>
      <c r="C333"/>
      <c r="D333"/>
      <c r="E333" t="s">
        <v>8</v>
      </c>
      <c r="P333" s="27" t="s">
        <v>7</v>
      </c>
      <c r="Q333" s="27" t="s">
        <v>8</v>
      </c>
      <c r="FD333" s="27" t="s">
        <v>7</v>
      </c>
      <c r="FE333" s="27" t="s">
        <v>8</v>
      </c>
      <c r="FF333" s="27" t="s">
        <v>7</v>
      </c>
      <c r="FG333" s="27" t="s">
        <v>8</v>
      </c>
      <c r="FH333" s="27" t="s">
        <v>7</v>
      </c>
      <c r="FI333" s="27" t="s">
        <v>8</v>
      </c>
    </row>
    <row r="334" spans="1:170" x14ac:dyDescent="0.25">
      <c r="A334" s="7">
        <v>149.91443618875272</v>
      </c>
      <c r="B334"/>
      <c r="C334"/>
      <c r="D334"/>
      <c r="E334" t="s">
        <v>8</v>
      </c>
      <c r="P334" s="27" t="s">
        <v>7</v>
      </c>
      <c r="Q334" s="27" t="s">
        <v>8</v>
      </c>
      <c r="FD334" s="27" t="s">
        <v>7</v>
      </c>
      <c r="FF334" s="27" t="s">
        <v>7</v>
      </c>
      <c r="FG334" s="27" t="s">
        <v>8</v>
      </c>
      <c r="FH334" s="27" t="s">
        <v>7</v>
      </c>
      <c r="FI334" s="27" t="s">
        <v>8</v>
      </c>
    </row>
    <row r="335" spans="1:170" x14ac:dyDescent="0.25">
      <c r="A335" s="7">
        <v>146.97493743995364</v>
      </c>
      <c r="B335"/>
      <c r="C335"/>
      <c r="D335"/>
      <c r="E335" t="s">
        <v>8</v>
      </c>
      <c r="P335" s="27" t="s">
        <v>7</v>
      </c>
      <c r="Q335" s="27" t="s">
        <v>8</v>
      </c>
      <c r="FF335" s="27" t="s">
        <v>7</v>
      </c>
      <c r="FG335" s="27" t="s">
        <v>8</v>
      </c>
      <c r="FH335" s="27" t="s">
        <v>7</v>
      </c>
      <c r="FI335" s="27" t="s">
        <v>8</v>
      </c>
    </row>
    <row r="336" spans="1:170" x14ac:dyDescent="0.25">
      <c r="A336" s="7">
        <v>144.09307592152317</v>
      </c>
      <c r="B336"/>
      <c r="C336"/>
      <c r="D336"/>
      <c r="E336" t="s">
        <v>8</v>
      </c>
      <c r="P336" s="27" t="s">
        <v>7</v>
      </c>
      <c r="Q336" s="27" t="s">
        <v>8</v>
      </c>
      <c r="FF336" s="27" t="s">
        <v>7</v>
      </c>
      <c r="FH336" s="27" t="s">
        <v>7</v>
      </c>
    </row>
    <row r="337" spans="1:17" x14ac:dyDescent="0.25">
      <c r="A337" s="7">
        <v>141.26772149168937</v>
      </c>
      <c r="B337"/>
      <c r="C337"/>
      <c r="D337"/>
      <c r="E337" t="s">
        <v>8</v>
      </c>
      <c r="P337" s="27" t="s">
        <v>7</v>
      </c>
      <c r="Q337" s="27" t="s">
        <v>8</v>
      </c>
    </row>
    <row r="338" spans="1:17" x14ac:dyDescent="0.25">
      <c r="A338" s="7">
        <v>138.4977661683229</v>
      </c>
      <c r="B338"/>
      <c r="C338"/>
      <c r="D338"/>
      <c r="E338" t="s">
        <v>8</v>
      </c>
      <c r="P338" s="27" t="s">
        <v>7</v>
      </c>
      <c r="Q338" s="27" t="s">
        <v>8</v>
      </c>
    </row>
    <row r="339" spans="1:17" x14ac:dyDescent="0.25">
      <c r="A339" s="7">
        <v>135.7821236944342</v>
      </c>
      <c r="B339"/>
      <c r="C339"/>
      <c r="D339"/>
      <c r="E339" t="s">
        <v>8</v>
      </c>
      <c r="P339" s="27" t="s">
        <v>7</v>
      </c>
      <c r="Q339" s="27" t="s">
        <v>8</v>
      </c>
    </row>
    <row r="340" spans="1:17" x14ac:dyDescent="0.25">
      <c r="A340" s="7">
        <v>133.11972911219038</v>
      </c>
      <c r="B340"/>
      <c r="C340"/>
      <c r="D340"/>
      <c r="E340" t="s">
        <v>8</v>
      </c>
      <c r="P340" s="27" t="s">
        <v>7</v>
      </c>
      <c r="Q340" s="27" t="s">
        <v>8</v>
      </c>
    </row>
    <row r="341" spans="1:17" x14ac:dyDescent="0.25">
      <c r="A341" s="7">
        <v>130.50953834528468</v>
      </c>
      <c r="B341"/>
      <c r="C341"/>
      <c r="D341"/>
      <c r="E341" t="s">
        <v>8</v>
      </c>
      <c r="P341" s="27" t="s">
        <v>7</v>
      </c>
      <c r="Q341" s="27" t="s">
        <v>8</v>
      </c>
    </row>
    <row r="342" spans="1:17" x14ac:dyDescent="0.25">
      <c r="A342" s="7">
        <v>127.95052778949477</v>
      </c>
      <c r="B342"/>
      <c r="C342"/>
      <c r="D342"/>
      <c r="E342" t="s">
        <v>8</v>
      </c>
      <c r="P342" s="27" t="s">
        <v>7</v>
      </c>
      <c r="Q342" s="27" t="s">
        <v>8</v>
      </c>
    </row>
    <row r="343" spans="1:17" x14ac:dyDescent="0.25">
      <c r="A343" s="7">
        <v>125.44169391126938</v>
      </c>
      <c r="B343"/>
      <c r="C343"/>
      <c r="D343"/>
      <c r="E343" t="s">
        <v>8</v>
      </c>
      <c r="P343" s="27" t="s">
        <v>7</v>
      </c>
      <c r="Q343" s="27" t="s">
        <v>8</v>
      </c>
    </row>
    <row r="344" spans="1:17" x14ac:dyDescent="0.25">
      <c r="A344" s="7">
        <v>122.98205285418567</v>
      </c>
      <c r="B344"/>
      <c r="C344"/>
      <c r="D344"/>
      <c r="E344" t="s">
        <v>8</v>
      </c>
      <c r="P344" s="27" t="s">
        <v>7</v>
      </c>
      <c r="Q344" s="27" t="s">
        <v>8</v>
      </c>
    </row>
    <row r="345" spans="1:17" x14ac:dyDescent="0.25">
      <c r="A345" s="7">
        <v>120.5706400531232</v>
      </c>
      <c r="B345"/>
      <c r="C345"/>
      <c r="D345"/>
      <c r="E345" t="s">
        <v>8</v>
      </c>
      <c r="P345" s="27" t="s">
        <v>7</v>
      </c>
      <c r="Q345" s="27" t="s">
        <v>8</v>
      </c>
    </row>
    <row r="346" spans="1:17" x14ac:dyDescent="0.25">
      <c r="A346" s="7">
        <v>118.20650985600314</v>
      </c>
      <c r="B346"/>
      <c r="C346"/>
      <c r="D346"/>
      <c r="E346" t="s">
        <v>8</v>
      </c>
      <c r="P346" s="27" t="s">
        <v>7</v>
      </c>
      <c r="Q346" s="27" t="s">
        <v>8</v>
      </c>
    </row>
    <row r="347" spans="1:17" x14ac:dyDescent="0.25">
      <c r="A347" s="7">
        <v>115.88873515294425</v>
      </c>
      <c r="B347"/>
      <c r="C347"/>
      <c r="D347"/>
      <c r="E347" t="s">
        <v>8</v>
      </c>
      <c r="P347" s="27" t="s">
        <v>7</v>
      </c>
      <c r="Q347" s="27" t="s">
        <v>8</v>
      </c>
    </row>
    <row r="348" spans="1:17" x14ac:dyDescent="0.25">
      <c r="A348" s="7">
        <v>113.61640701269044</v>
      </c>
      <c r="B348"/>
      <c r="C348"/>
      <c r="D348"/>
      <c r="E348" t="s">
        <v>8</v>
      </c>
      <c r="P348" s="27" t="s">
        <v>7</v>
      </c>
      <c r="Q348" s="27" t="s">
        <v>8</v>
      </c>
    </row>
    <row r="349" spans="1:17" x14ac:dyDescent="0.25">
      <c r="A349" s="7">
        <v>111.38863432616711</v>
      </c>
      <c r="B349"/>
      <c r="C349"/>
      <c r="D349"/>
      <c r="E349" t="s">
        <v>8</v>
      </c>
      <c r="P349" s="27" t="s">
        <v>7</v>
      </c>
      <c r="Q349" s="27" t="s">
        <v>8</v>
      </c>
    </row>
    <row r="350" spans="1:17" x14ac:dyDescent="0.25">
      <c r="A350" s="7">
        <v>109.20454345702657</v>
      </c>
      <c r="B350"/>
      <c r="C350"/>
      <c r="D350"/>
      <c r="E350" t="s">
        <v>8</v>
      </c>
      <c r="P350" s="27" t="s">
        <v>7</v>
      </c>
      <c r="Q350" s="27" t="s">
        <v>8</v>
      </c>
    </row>
    <row r="351" spans="1:17" x14ac:dyDescent="0.25">
      <c r="A351" s="7">
        <v>107.06327789904566</v>
      </c>
      <c r="B351"/>
      <c r="C351"/>
      <c r="D351"/>
      <c r="E351" t="s">
        <v>8</v>
      </c>
      <c r="P351" s="27" t="s">
        <v>7</v>
      </c>
      <c r="Q351" s="27" t="s">
        <v>8</v>
      </c>
    </row>
    <row r="352" spans="1:17" x14ac:dyDescent="0.25">
      <c r="A352" s="7">
        <v>104.96399794024084</v>
      </c>
      <c r="B352"/>
      <c r="C352"/>
      <c r="D352"/>
      <c r="E352" t="s">
        <v>8</v>
      </c>
      <c r="P352" s="27" t="s">
        <v>7</v>
      </c>
      <c r="Q352" s="27" t="s">
        <v>8</v>
      </c>
    </row>
    <row r="353" spans="1:17" x14ac:dyDescent="0.25">
      <c r="A353" s="7">
        <v>102.90588033356946</v>
      </c>
      <c r="B353"/>
      <c r="C353"/>
      <c r="D353"/>
      <c r="E353" t="s">
        <v>8</v>
      </c>
      <c r="P353" s="27" t="s">
        <v>7</v>
      </c>
      <c r="Q353" s="27" t="s">
        <v>8</v>
      </c>
    </row>
    <row r="354" spans="1:17" x14ac:dyDescent="0.25">
      <c r="A354" s="7">
        <v>100.88811797408771</v>
      </c>
      <c r="B354"/>
      <c r="C354"/>
      <c r="D354"/>
      <c r="E354" t="s">
        <v>8</v>
      </c>
      <c r="P354" s="27" t="s">
        <v>7</v>
      </c>
      <c r="Q354" s="27" t="s">
        <v>8</v>
      </c>
    </row>
    <row r="355" spans="1:17" x14ac:dyDescent="0.25">
      <c r="A355" s="7">
        <v>98.909919582438931</v>
      </c>
      <c r="B355"/>
      <c r="C355"/>
      <c r="D355"/>
      <c r="E355" t="s">
        <v>8</v>
      </c>
      <c r="P355" s="27" t="s">
        <v>7</v>
      </c>
      <c r="Q355" s="27" t="s">
        <v>8</v>
      </c>
    </row>
    <row r="356" spans="1:17" x14ac:dyDescent="0.25">
      <c r="A356" s="7">
        <v>96.970509394547975</v>
      </c>
      <c r="B356"/>
      <c r="C356"/>
      <c r="D356"/>
      <c r="E356" t="s">
        <v>8</v>
      </c>
      <c r="P356" s="27" t="s">
        <v>7</v>
      </c>
      <c r="Q356" s="27" t="s">
        <v>8</v>
      </c>
    </row>
    <row r="357" spans="1:17" x14ac:dyDescent="0.25">
      <c r="A357" s="7">
        <v>95.069126857399979</v>
      </c>
      <c r="B357"/>
      <c r="C357"/>
      <c r="D357"/>
      <c r="E357" t="s">
        <v>8</v>
      </c>
      <c r="P357" s="27" t="s">
        <v>7</v>
      </c>
      <c r="Q357" s="27" t="s">
        <v>8</v>
      </c>
    </row>
    <row r="358" spans="1:17" x14ac:dyDescent="0.25">
      <c r="A358" s="7">
        <v>93.205026330784293</v>
      </c>
      <c r="B358"/>
      <c r="C358"/>
      <c r="D358"/>
      <c r="E358" t="s">
        <v>8</v>
      </c>
      <c r="P358" s="27" t="s">
        <v>7</v>
      </c>
      <c r="Q358" s="27" t="s">
        <v>8</v>
      </c>
    </row>
    <row r="359" spans="1:17" x14ac:dyDescent="0.25">
      <c r="A359" s="7">
        <v>91.377476794886562</v>
      </c>
      <c r="B359"/>
      <c r="C359"/>
      <c r="D359"/>
      <c r="E359" t="s">
        <v>8</v>
      </c>
      <c r="P359" s="27" t="s">
        <v>7</v>
      </c>
      <c r="Q359" s="27" t="s">
        <v>8</v>
      </c>
    </row>
    <row r="360" spans="1:17" x14ac:dyDescent="0.25">
      <c r="A360" s="7">
        <v>89.58576156361427</v>
      </c>
      <c r="B360"/>
      <c r="C360"/>
      <c r="D360"/>
      <c r="E360" t="s">
        <v>8</v>
      </c>
      <c r="P360" s="27" t="s">
        <v>7</v>
      </c>
      <c r="Q360" s="27" t="s">
        <v>8</v>
      </c>
    </row>
    <row r="361" spans="1:17" x14ac:dyDescent="0.25">
      <c r="A361" s="7">
        <v>87.829178003543404</v>
      </c>
      <c r="B361"/>
      <c r="C361"/>
      <c r="D361"/>
      <c r="E361" t="s">
        <v>8</v>
      </c>
      <c r="P361" s="27" t="s">
        <v>7</v>
      </c>
      <c r="Q361" s="27" t="s">
        <v>8</v>
      </c>
    </row>
    <row r="362" spans="1:17" x14ac:dyDescent="0.25">
      <c r="A362" s="7">
        <v>86.107037258375883</v>
      </c>
      <c r="B362"/>
      <c r="C362"/>
      <c r="D362"/>
      <c r="E362" t="s">
        <v>8</v>
      </c>
      <c r="P362" s="27" t="s">
        <v>7</v>
      </c>
      <c r="Q362" s="27" t="s">
        <v>8</v>
      </c>
    </row>
    <row r="363" spans="1:17" x14ac:dyDescent="0.25">
      <c r="A363" s="7">
        <v>84.418663978799884</v>
      </c>
      <c r="B363"/>
      <c r="C363"/>
      <c r="D363"/>
      <c r="E363" t="s">
        <v>8</v>
      </c>
      <c r="P363" s="27" t="s">
        <v>7</v>
      </c>
      <c r="Q363" s="27" t="s">
        <v>8</v>
      </c>
    </row>
    <row r="364" spans="1:17" x14ac:dyDescent="0.25">
      <c r="A364" s="7">
        <v>82.763396057646943</v>
      </c>
      <c r="B364"/>
      <c r="C364"/>
      <c r="D364"/>
      <c r="E364" t="s">
        <v>8</v>
      </c>
      <c r="P364" s="27" t="s">
        <v>7</v>
      </c>
      <c r="Q364" s="27" t="s">
        <v>8</v>
      </c>
    </row>
    <row r="365" spans="1:17" x14ac:dyDescent="0.25">
      <c r="A365" s="7">
        <v>81.140584370242095</v>
      </c>
      <c r="B365"/>
      <c r="C365"/>
      <c r="D365"/>
      <c r="E365" t="s">
        <v>8</v>
      </c>
      <c r="P365" s="27" t="s">
        <v>7</v>
      </c>
      <c r="Q365" s="27" t="s">
        <v>8</v>
      </c>
    </row>
    <row r="366" spans="1:17" x14ac:dyDescent="0.25">
      <c r="A366" s="7">
        <v>79.549592519845191</v>
      </c>
      <c r="B366"/>
      <c r="C366"/>
      <c r="D366"/>
      <c r="E366" t="s">
        <v>8</v>
      </c>
      <c r="P366" s="27" t="s">
        <v>7</v>
      </c>
      <c r="Q366" s="27" t="s">
        <v>8</v>
      </c>
    </row>
    <row r="367" spans="1:17" x14ac:dyDescent="0.25">
      <c r="A367" s="7">
        <v>77.989796588083522</v>
      </c>
      <c r="B367"/>
      <c r="C367"/>
      <c r="D367"/>
      <c r="E367" t="s">
        <v>8</v>
      </c>
      <c r="P367" s="27" t="s">
        <v>7</v>
      </c>
      <c r="Q367" s="27" t="s">
        <v>8</v>
      </c>
    </row>
    <row r="368" spans="1:17" x14ac:dyDescent="0.25">
      <c r="A368" s="7">
        <v>76.460584890277957</v>
      </c>
      <c r="B368"/>
      <c r="C368"/>
      <c r="D368"/>
      <c r="E368" t="s">
        <v>8</v>
      </c>
      <c r="P368" s="27" t="s">
        <v>7</v>
      </c>
      <c r="Q368" s="27" t="s">
        <v>8</v>
      </c>
    </row>
    <row r="369" spans="1:17" x14ac:dyDescent="0.25">
      <c r="A369" s="7">
        <v>74.961357735566622</v>
      </c>
      <c r="B369"/>
      <c r="C369"/>
      <c r="D369"/>
      <c r="E369" t="s">
        <v>8</v>
      </c>
      <c r="P369" s="27" t="s">
        <v>7</v>
      </c>
      <c r="Q369" s="27" t="s">
        <v>8</v>
      </c>
    </row>
    <row r="370" spans="1:17" x14ac:dyDescent="0.25">
      <c r="A370" s="7">
        <v>73.491527191731976</v>
      </c>
      <c r="B370"/>
      <c r="C370"/>
      <c r="D370"/>
      <c r="E370" t="s">
        <v>8</v>
      </c>
      <c r="P370" s="27" t="s">
        <v>7</v>
      </c>
      <c r="Q370" s="27" t="s">
        <v>8</v>
      </c>
    </row>
    <row r="371" spans="1:17" x14ac:dyDescent="0.25">
      <c r="A371" s="7">
        <v>72.050516854639184</v>
      </c>
      <c r="B371"/>
      <c r="C371"/>
      <c r="D371"/>
      <c r="E371" t="s">
        <v>8</v>
      </c>
      <c r="P371" s="27" t="s">
        <v>7</v>
      </c>
      <c r="Q371" s="27" t="s">
        <v>8</v>
      </c>
    </row>
    <row r="372" spans="1:17" x14ac:dyDescent="0.25">
      <c r="A372" s="7">
        <v>70.637761622195271</v>
      </c>
      <c r="B372"/>
      <c r="C372"/>
      <c r="D372"/>
      <c r="E372" t="s">
        <v>8</v>
      </c>
      <c r="P372" s="27" t="s">
        <v>7</v>
      </c>
      <c r="Q372" s="27" t="s">
        <v>8</v>
      </c>
    </row>
    <row r="373" spans="1:17" x14ac:dyDescent="0.25">
      <c r="A373" s="7">
        <v>69.252707472740454</v>
      </c>
      <c r="B373"/>
      <c r="C373"/>
      <c r="D373"/>
      <c r="E373" t="s">
        <v>8</v>
      </c>
      <c r="P373" s="27" t="s">
        <v>7</v>
      </c>
      <c r="Q373" s="27" t="s">
        <v>8</v>
      </c>
    </row>
    <row r="374" spans="1:17" x14ac:dyDescent="0.25">
      <c r="A374" s="7">
        <v>67.894811247784759</v>
      </c>
      <c r="B374"/>
      <c r="C374"/>
      <c r="D374"/>
      <c r="E374" t="s">
        <v>8</v>
      </c>
      <c r="P374" s="27" t="s">
        <v>7</v>
      </c>
      <c r="Q374" s="27" t="s">
        <v>8</v>
      </c>
    </row>
    <row r="375" spans="1:17" x14ac:dyDescent="0.25">
      <c r="A375" s="7">
        <v>66.563540439004669</v>
      </c>
      <c r="B375"/>
      <c r="C375"/>
      <c r="D375"/>
      <c r="E375" t="s">
        <v>8</v>
      </c>
      <c r="P375" s="27" t="s">
        <v>7</v>
      </c>
      <c r="Q375" s="27" t="s">
        <v>8</v>
      </c>
    </row>
    <row r="376" spans="1:17" x14ac:dyDescent="0.25">
      <c r="A376" s="7">
        <v>65.258372979416336</v>
      </c>
      <c r="B376"/>
      <c r="C376"/>
      <c r="D376"/>
      <c r="E376" t="s">
        <v>8</v>
      </c>
      <c r="P376" s="27" t="s">
        <v>7</v>
      </c>
      <c r="Q376" s="27" t="s">
        <v>8</v>
      </c>
    </row>
    <row r="377" spans="1:17" x14ac:dyDescent="0.25">
      <c r="A377" s="7">
        <v>63.978797038643471</v>
      </c>
      <c r="B377"/>
      <c r="C377"/>
      <c r="D377"/>
      <c r="E377" t="s">
        <v>8</v>
      </c>
      <c r="P377" s="27" t="s">
        <v>7</v>
      </c>
      <c r="Q377" s="27" t="s">
        <v>8</v>
      </c>
    </row>
    <row r="378" spans="1:17" x14ac:dyDescent="0.25">
      <c r="A378" s="7">
        <v>62.724310822199477</v>
      </c>
      <c r="B378"/>
      <c r="C378"/>
      <c r="D378"/>
      <c r="E378" t="s">
        <v>8</v>
      </c>
      <c r="P378" s="27" t="s">
        <v>7</v>
      </c>
      <c r="Q378" s="27" t="s">
        <v>8</v>
      </c>
    </row>
    <row r="379" spans="1:17" x14ac:dyDescent="0.25">
      <c r="A379" s="7">
        <v>61.494422374705366</v>
      </c>
      <c r="B379"/>
      <c r="C379"/>
      <c r="D379"/>
      <c r="E379" t="s">
        <v>8</v>
      </c>
      <c r="P379" s="27" t="s">
        <v>7</v>
      </c>
      <c r="Q379" s="27" t="s">
        <v>8</v>
      </c>
    </row>
    <row r="380" spans="1:17" x14ac:dyDescent="0.25">
      <c r="A380" s="7">
        <v>60.288649386966043</v>
      </c>
      <c r="B380"/>
      <c r="C380"/>
      <c r="D380"/>
      <c r="E380" t="s">
        <v>8</v>
      </c>
      <c r="P380" s="27" t="s">
        <v>7</v>
      </c>
      <c r="Q380" s="27" t="s">
        <v>8</v>
      </c>
    </row>
    <row r="381" spans="1:17" x14ac:dyDescent="0.25">
      <c r="A381" s="7">
        <v>59.106519006829451</v>
      </c>
      <c r="B381"/>
      <c r="C381"/>
      <c r="D381"/>
      <c r="E381" t="s">
        <v>8</v>
      </c>
      <c r="P381" s="27" t="s">
        <v>7</v>
      </c>
      <c r="Q381" s="27" t="s">
        <v>8</v>
      </c>
    </row>
    <row r="382" spans="1:17" x14ac:dyDescent="0.25">
      <c r="A382" s="7">
        <v>57.947567653754362</v>
      </c>
      <c r="B382"/>
      <c r="C382"/>
      <c r="D382"/>
      <c r="E382" t="s">
        <v>8</v>
      </c>
      <c r="P382" s="27" t="s">
        <v>7</v>
      </c>
      <c r="Q382" s="27" t="s">
        <v>8</v>
      </c>
    </row>
    <row r="383" spans="1:17" x14ac:dyDescent="0.25">
      <c r="A383" s="7">
        <v>56.811340837014079</v>
      </c>
      <c r="B383"/>
      <c r="C383"/>
      <c r="D383"/>
      <c r="E383" t="s">
        <v>8</v>
      </c>
      <c r="P383" s="27" t="s">
        <v>7</v>
      </c>
      <c r="Q383" s="27" t="s">
        <v>8</v>
      </c>
    </row>
    <row r="384" spans="1:17" x14ac:dyDescent="0.25">
      <c r="A384" s="7">
        <v>55.69739297746478</v>
      </c>
      <c r="B384"/>
      <c r="C384"/>
      <c r="D384"/>
      <c r="E384" t="s">
        <v>8</v>
      </c>
      <c r="P384" s="27" t="s">
        <v>7</v>
      </c>
      <c r="Q384" s="27" t="s">
        <v>8</v>
      </c>
    </row>
    <row r="385" spans="1:17" x14ac:dyDescent="0.25">
      <c r="A385" s="7">
        <v>54.605287232808607</v>
      </c>
      <c r="B385"/>
      <c r="C385"/>
      <c r="D385"/>
      <c r="E385" t="s">
        <v>8</v>
      </c>
      <c r="P385" s="27" t="s">
        <v>7</v>
      </c>
      <c r="Q385" s="27" t="s">
        <v>8</v>
      </c>
    </row>
    <row r="386" spans="1:17" x14ac:dyDescent="0.25">
      <c r="A386" s="7">
        <v>53.534595326282947</v>
      </c>
      <c r="B386"/>
      <c r="C386"/>
      <c r="D386"/>
      <c r="E386" t="s">
        <v>8</v>
      </c>
      <c r="P386" s="27" t="s">
        <v>7</v>
      </c>
      <c r="Q386" s="27" t="s">
        <v>8</v>
      </c>
    </row>
    <row r="387" spans="1:17" x14ac:dyDescent="0.25">
      <c r="A387" s="7">
        <v>52.484897378708773</v>
      </c>
      <c r="B387"/>
      <c r="C387"/>
      <c r="D387"/>
      <c r="E387" t="s">
        <v>8</v>
      </c>
      <c r="P387" s="27" t="s">
        <v>7</v>
      </c>
      <c r="Q387" s="27" t="s">
        <v>8</v>
      </c>
    </row>
    <row r="388" spans="1:17" x14ac:dyDescent="0.25">
      <c r="A388" s="7">
        <v>51.455781743832127</v>
      </c>
      <c r="B388"/>
      <c r="C388"/>
      <c r="D388"/>
      <c r="E388" t="s">
        <v>8</v>
      </c>
      <c r="P388" s="27" t="s">
        <v>7</v>
      </c>
      <c r="Q388" s="27" t="s">
        <v>8</v>
      </c>
    </row>
    <row r="389" spans="1:17" x14ac:dyDescent="0.25">
      <c r="A389" s="7">
        <v>50.446844846894244</v>
      </c>
      <c r="B389"/>
      <c r="C389"/>
      <c r="D389"/>
      <c r="E389" t="s">
        <v>8</v>
      </c>
      <c r="P389" s="27" t="s">
        <v>7</v>
      </c>
    </row>
    <row r="390" spans="1:17" x14ac:dyDescent="0.25">
      <c r="A390" s="7">
        <v>49.457691026366902</v>
      </c>
      <c r="B390"/>
      <c r="C390"/>
      <c r="D390"/>
      <c r="E390" t="s">
        <v>8</v>
      </c>
    </row>
    <row r="391" spans="1:17" x14ac:dyDescent="0.25">
      <c r="A391" s="7">
        <v>48.487932378791079</v>
      </c>
      <c r="B391"/>
      <c r="C391"/>
      <c r="D391"/>
      <c r="E391" t="s">
        <v>8</v>
      </c>
    </row>
    <row r="392" spans="1:17" x14ac:dyDescent="0.25">
      <c r="A392" s="7">
        <v>47.537188606657921</v>
      </c>
      <c r="B392"/>
      <c r="C392"/>
      <c r="D392"/>
      <c r="E392" t="s">
        <v>8</v>
      </c>
    </row>
    <row r="393" spans="1:17" x14ac:dyDescent="0.25">
      <c r="A393" s="7">
        <v>46.605086869272469</v>
      </c>
      <c r="B393"/>
      <c r="C393"/>
      <c r="D393"/>
      <c r="E393" t="s">
        <v>8</v>
      </c>
    </row>
    <row r="394" spans="1:17" x14ac:dyDescent="0.25">
      <c r="A394" s="7">
        <v>45.691261636541633</v>
      </c>
      <c r="B394"/>
      <c r="C394"/>
      <c r="D394"/>
      <c r="E394" t="s">
        <v>8</v>
      </c>
    </row>
    <row r="395" spans="1:17" x14ac:dyDescent="0.25">
      <c r="A395" s="7">
        <v>44.795354545629053</v>
      </c>
      <c r="B395"/>
      <c r="C395"/>
      <c r="D395"/>
      <c r="E395" t="s">
        <v>8</v>
      </c>
    </row>
    <row r="396" spans="1:17" x14ac:dyDescent="0.25">
      <c r="A396" s="7">
        <v>43.917014260420636</v>
      </c>
      <c r="B396"/>
      <c r="C396"/>
      <c r="D396"/>
      <c r="E396" t="s">
        <v>8</v>
      </c>
    </row>
    <row r="397" spans="1:17" x14ac:dyDescent="0.25">
      <c r="A397" s="7">
        <v>43.055896333745721</v>
      </c>
      <c r="B397"/>
      <c r="C397"/>
      <c r="D397"/>
      <c r="E397" t="s">
        <v>8</v>
      </c>
    </row>
    <row r="398" spans="1:17" x14ac:dyDescent="0.25">
      <c r="A398" s="7">
        <v>42.211663072299729</v>
      </c>
      <c r="B398"/>
      <c r="C398"/>
      <c r="D398"/>
      <c r="E398" t="s">
        <v>8</v>
      </c>
    </row>
    <row r="399" spans="1:17" x14ac:dyDescent="0.25">
      <c r="A399" s="7">
        <v>41.383983404215421</v>
      </c>
      <c r="B399"/>
      <c r="C399"/>
      <c r="D399"/>
      <c r="E399" t="s">
        <v>8</v>
      </c>
    </row>
    <row r="400" spans="1:17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88" operator="equal">
      <formula>$U$1</formula>
    </cfRule>
    <cfRule type="cellIs" dxfId="89" priority="789" operator="equal">
      <formula>$S$1</formula>
    </cfRule>
  </conditionalFormatting>
  <conditionalFormatting sqref="D27">
    <cfRule type="cellIs" dxfId="88" priority="786" operator="equal">
      <formula>$S$1</formula>
    </cfRule>
    <cfRule type="cellIs" dxfId="87" priority="787" operator="equal">
      <formula>$U$1</formula>
    </cfRule>
  </conditionalFormatting>
  <conditionalFormatting sqref="C164">
    <cfRule type="cellIs" dxfId="86" priority="784" operator="equal">
      <formula>$U$1</formula>
    </cfRule>
    <cfRule type="cellIs" dxfId="85" priority="785" operator="equal">
      <formula>$S$1</formula>
    </cfRule>
  </conditionalFormatting>
  <conditionalFormatting sqref="D164">
    <cfRule type="cellIs" dxfId="84" priority="782" operator="equal">
      <formula>$S$1</formula>
    </cfRule>
    <cfRule type="cellIs" dxfId="83" priority="783" operator="equal">
      <formula>$U$1</formula>
    </cfRule>
  </conditionalFormatting>
  <conditionalFormatting sqref="C55">
    <cfRule type="cellIs" dxfId="82" priority="780" operator="equal">
      <formula>$U$1</formula>
    </cfRule>
    <cfRule type="cellIs" dxfId="81" priority="781" operator="equal">
      <formula>$S$1</formula>
    </cfRule>
  </conditionalFormatting>
  <conditionalFormatting sqref="D55">
    <cfRule type="cellIs" dxfId="80" priority="778" operator="equal">
      <formula>$S$1</formula>
    </cfRule>
    <cfRule type="cellIs" dxfId="79" priority="779" operator="equal">
      <formula>$U$1</formula>
    </cfRule>
  </conditionalFormatting>
  <conditionalFormatting sqref="C89">
    <cfRule type="cellIs" dxfId="78" priority="776" operator="equal">
      <formula>$U$1</formula>
    </cfRule>
    <cfRule type="cellIs" dxfId="77" priority="777" operator="equal">
      <formula>$S$1</formula>
    </cfRule>
  </conditionalFormatting>
  <conditionalFormatting sqref="D89">
    <cfRule type="cellIs" dxfId="76" priority="774" operator="equal">
      <formula>$S$1</formula>
    </cfRule>
    <cfRule type="cellIs" dxfId="75" priority="775" operator="equal">
      <formula>$U$1</formula>
    </cfRule>
  </conditionalFormatting>
  <conditionalFormatting sqref="C136">
    <cfRule type="cellIs" dxfId="74" priority="772" operator="equal">
      <formula>$U$1</formula>
    </cfRule>
    <cfRule type="cellIs" dxfId="73" priority="773" operator="equal">
      <formula>$S$1</formula>
    </cfRule>
  </conditionalFormatting>
  <conditionalFormatting sqref="D136">
    <cfRule type="cellIs" dxfId="72" priority="770" operator="equal">
      <formula>$S$1</formula>
    </cfRule>
    <cfRule type="cellIs" dxfId="71" priority="771" operator="equal">
      <formula>$U$1</formula>
    </cfRule>
  </conditionalFormatting>
  <conditionalFormatting sqref="C1">
    <cfRule type="cellIs" dxfId="70" priority="76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D132" sqref="DD13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44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44" x14ac:dyDescent="0.25">
      <c r="A82" s="30">
        <v>2227.9695606549776</v>
      </c>
      <c r="E82"/>
    </row>
    <row r="83" spans="1:44" x14ac:dyDescent="0.25">
      <c r="A83" s="30">
        <v>2121.8757720523595</v>
      </c>
      <c r="E83"/>
    </row>
    <row r="84" spans="1:44" x14ac:dyDescent="0.25">
      <c r="A84" s="30">
        <v>2020.8340686212948</v>
      </c>
      <c r="E84"/>
    </row>
    <row r="85" spans="1:44" x14ac:dyDescent="0.25">
      <c r="A85" s="30">
        <v>1924.6038748774236</v>
      </c>
      <c r="E85"/>
    </row>
    <row r="86" spans="1:44" x14ac:dyDescent="0.25">
      <c r="A86" s="30">
        <v>1832.9560713118319</v>
      </c>
      <c r="E86"/>
    </row>
    <row r="87" spans="1:44" x14ac:dyDescent="0.25">
      <c r="A87" s="30">
        <v>1745.6724488684113</v>
      </c>
      <c r="E87"/>
    </row>
    <row r="88" spans="1:44" x14ac:dyDescent="0.25">
      <c r="A88" s="30">
        <v>1662.5451893984869</v>
      </c>
      <c r="E88"/>
      <c r="AM88" s="27" t="s">
        <v>8</v>
      </c>
      <c r="AO88" s="27" t="s">
        <v>8</v>
      </c>
    </row>
    <row r="89" spans="1:44" x14ac:dyDescent="0.25">
      <c r="A89" s="30">
        <v>1583.3763708557017</v>
      </c>
      <c r="E89"/>
      <c r="AM89" s="27" t="s">
        <v>8</v>
      </c>
      <c r="AN89" s="27" t="s">
        <v>7</v>
      </c>
      <c r="AO89" s="27" t="s">
        <v>8</v>
      </c>
      <c r="AP89" s="27" t="s">
        <v>7</v>
      </c>
    </row>
    <row r="90" spans="1:44" x14ac:dyDescent="0.25">
      <c r="A90" s="30">
        <v>1507.9774960530492</v>
      </c>
      <c r="E90"/>
      <c r="AM90" s="27" t="s">
        <v>8</v>
      </c>
      <c r="AN90" s="27" t="s">
        <v>7</v>
      </c>
      <c r="AO90" s="27" t="s">
        <v>8</v>
      </c>
      <c r="AP90" s="27" t="s">
        <v>7</v>
      </c>
    </row>
    <row r="91" spans="1:44" x14ac:dyDescent="0.25">
      <c r="A91" s="30">
        <v>1436.1690438600467</v>
      </c>
      <c r="E91"/>
      <c r="G91" s="27" t="s">
        <v>8</v>
      </c>
      <c r="I91" s="27" t="s">
        <v>8</v>
      </c>
      <c r="AM91" s="27" t="s">
        <v>8</v>
      </c>
      <c r="AN91" s="27" t="s">
        <v>7</v>
      </c>
      <c r="AO91" s="27" t="s">
        <v>8</v>
      </c>
      <c r="AP91" s="27" t="s">
        <v>7</v>
      </c>
    </row>
    <row r="92" spans="1:44" x14ac:dyDescent="0.25">
      <c r="A92" s="30">
        <v>1367.780041771473</v>
      </c>
      <c r="E92"/>
      <c r="G92" s="27" t="s">
        <v>8</v>
      </c>
      <c r="H92" s="27" t="s">
        <v>7</v>
      </c>
      <c r="I92" s="27" t="s">
        <v>8</v>
      </c>
      <c r="J92" s="27" t="s">
        <v>7</v>
      </c>
      <c r="Q92" s="27" t="s">
        <v>8</v>
      </c>
      <c r="AM92" s="27" t="s">
        <v>8</v>
      </c>
      <c r="AN92" s="27" t="s">
        <v>7</v>
      </c>
      <c r="AO92" s="27" t="s">
        <v>8</v>
      </c>
      <c r="AP92" s="27" t="s">
        <v>7</v>
      </c>
    </row>
    <row r="93" spans="1:44" x14ac:dyDescent="0.25">
      <c r="A93" s="30">
        <v>1302.6476588299743</v>
      </c>
      <c r="E93"/>
      <c r="G93" s="27" t="s">
        <v>8</v>
      </c>
      <c r="H93" s="27" t="s">
        <v>7</v>
      </c>
      <c r="I93" s="27" t="s">
        <v>8</v>
      </c>
      <c r="J93" s="27" t="s">
        <v>7</v>
      </c>
      <c r="Q93" s="27" t="s">
        <v>8</v>
      </c>
      <c r="R93" s="27" t="s">
        <v>7</v>
      </c>
      <c r="AM93" s="27" t="s">
        <v>8</v>
      </c>
      <c r="AN93" s="27" t="s">
        <v>7</v>
      </c>
      <c r="AO93" s="27" t="s">
        <v>8</v>
      </c>
      <c r="AP93" s="27" t="s">
        <v>7</v>
      </c>
    </row>
    <row r="94" spans="1:44" x14ac:dyDescent="0.25">
      <c r="A94" s="30">
        <v>1240.6168179333088</v>
      </c>
      <c r="E94"/>
      <c r="G94" s="27" t="s">
        <v>8</v>
      </c>
      <c r="H94" s="27" t="s">
        <v>7</v>
      </c>
      <c r="I94" s="27" t="s">
        <v>8</v>
      </c>
      <c r="J94" s="27" t="s">
        <v>7</v>
      </c>
      <c r="Q94" s="27" t="s">
        <v>8</v>
      </c>
      <c r="R94" s="27" t="s">
        <v>7</v>
      </c>
      <c r="AK94" s="27" t="s">
        <v>8</v>
      </c>
      <c r="AM94" s="27" t="s">
        <v>8</v>
      </c>
      <c r="AN94" s="27" t="s">
        <v>7</v>
      </c>
      <c r="AP94" s="27" t="s">
        <v>7</v>
      </c>
    </row>
    <row r="95" spans="1:44" x14ac:dyDescent="0.25">
      <c r="A95" s="30">
        <v>1181.5398266031511</v>
      </c>
      <c r="E95"/>
      <c r="G95" s="27" t="s">
        <v>8</v>
      </c>
      <c r="H95" s="27" t="s">
        <v>7</v>
      </c>
      <c r="J95" s="27" t="s">
        <v>7</v>
      </c>
      <c r="K95" s="27" t="s">
        <v>8</v>
      </c>
      <c r="Q95" s="27" t="s">
        <v>8</v>
      </c>
      <c r="R95" s="27" t="s">
        <v>7</v>
      </c>
      <c r="AK95" s="27" t="s">
        <v>8</v>
      </c>
      <c r="AL95" s="27" t="s">
        <v>7</v>
      </c>
      <c r="AM95" s="27" t="s">
        <v>8</v>
      </c>
      <c r="AP95" s="27" t="s">
        <v>7</v>
      </c>
      <c r="AQ95" s="27" t="s">
        <v>8</v>
      </c>
    </row>
    <row r="96" spans="1:44" x14ac:dyDescent="0.25">
      <c r="A96" s="30">
        <v>1125.2760253363344</v>
      </c>
      <c r="C96" s="1" t="s">
        <v>15</v>
      </c>
      <c r="E96"/>
      <c r="G96" s="27" t="s">
        <v>8</v>
      </c>
      <c r="J96" s="27" t="s">
        <v>7</v>
      </c>
      <c r="K96" s="27" t="s">
        <v>8</v>
      </c>
      <c r="L96" s="27" t="s">
        <v>7</v>
      </c>
      <c r="Q96" s="27" t="s">
        <v>8</v>
      </c>
      <c r="R96" s="27" t="s">
        <v>7</v>
      </c>
      <c r="AK96" s="27" t="s">
        <v>8</v>
      </c>
      <c r="AL96" s="27" t="s">
        <v>7</v>
      </c>
      <c r="AM96" s="27" t="s">
        <v>8</v>
      </c>
      <c r="AP96" s="27" t="s">
        <v>7</v>
      </c>
      <c r="AQ96" s="27" t="s">
        <v>8</v>
      </c>
      <c r="AR96" s="27" t="s">
        <v>7</v>
      </c>
    </row>
    <row r="97" spans="1:66" x14ac:dyDescent="0.25">
      <c r="A97" s="30">
        <v>1071.6914527012709</v>
      </c>
      <c r="C97" s="7">
        <v>0.11686133436193799</v>
      </c>
      <c r="D97"/>
      <c r="E97"/>
      <c r="G97" s="27" t="s">
        <v>8</v>
      </c>
      <c r="J97" s="27" t="s">
        <v>7</v>
      </c>
      <c r="K97" s="27" t="s">
        <v>8</v>
      </c>
      <c r="L97" s="27" t="s">
        <v>7</v>
      </c>
      <c r="Q97" s="27" t="s">
        <v>8</v>
      </c>
      <c r="R97" s="27" t="s">
        <v>7</v>
      </c>
      <c r="AK97" s="27" t="s">
        <v>8</v>
      </c>
      <c r="AL97" s="27" t="s">
        <v>7</v>
      </c>
      <c r="AM97" s="27" t="s">
        <v>8</v>
      </c>
      <c r="AP97" s="27" t="s">
        <v>7</v>
      </c>
      <c r="AQ97" s="27" t="s">
        <v>8</v>
      </c>
      <c r="AR97" s="27" t="s">
        <v>7</v>
      </c>
    </row>
    <row r="98" spans="1:66" x14ac:dyDescent="0.25">
      <c r="A98" s="30">
        <v>1020.6585263821628</v>
      </c>
      <c r="E98"/>
      <c r="G98" s="27" t="s">
        <v>8</v>
      </c>
      <c r="J98" s="27" t="s">
        <v>7</v>
      </c>
      <c r="K98" s="27" t="s">
        <v>8</v>
      </c>
      <c r="L98" s="27" t="s">
        <v>7</v>
      </c>
      <c r="Q98" s="27" t="s">
        <v>8</v>
      </c>
      <c r="R98" s="27" t="s">
        <v>7</v>
      </c>
      <c r="AK98" s="27" t="s">
        <v>8</v>
      </c>
      <c r="AL98" s="27" t="s">
        <v>7</v>
      </c>
      <c r="AM98" s="27" t="s">
        <v>8</v>
      </c>
      <c r="AP98" s="27" t="s">
        <v>7</v>
      </c>
      <c r="AQ98" s="27" t="s">
        <v>8</v>
      </c>
      <c r="AR98" s="27" t="s">
        <v>7</v>
      </c>
      <c r="AS98" s="27" t="s">
        <v>8</v>
      </c>
    </row>
    <row r="99" spans="1:66" x14ac:dyDescent="0.25">
      <c r="A99" s="30">
        <v>972.05573941158355</v>
      </c>
      <c r="C99" s="1" t="s">
        <v>11</v>
      </c>
      <c r="D99" s="1" t="s">
        <v>12</v>
      </c>
      <c r="E99" t="s">
        <v>8</v>
      </c>
      <c r="G99" s="27" t="s">
        <v>8</v>
      </c>
      <c r="J99" s="27" t="s">
        <v>7</v>
      </c>
      <c r="K99" s="27" t="s">
        <v>8</v>
      </c>
      <c r="L99" s="27" t="s">
        <v>7</v>
      </c>
      <c r="Q99" s="27" t="s">
        <v>8</v>
      </c>
      <c r="R99" s="27" t="s">
        <v>7</v>
      </c>
      <c r="AK99" s="27" t="s">
        <v>8</v>
      </c>
      <c r="AL99" s="27" t="s">
        <v>7</v>
      </c>
      <c r="AM99" s="27" t="s">
        <v>8</v>
      </c>
      <c r="AP99" s="27" t="s">
        <v>7</v>
      </c>
      <c r="AQ99" s="27" t="s">
        <v>8</v>
      </c>
      <c r="AR99" s="27" t="s">
        <v>7</v>
      </c>
      <c r="AS99" s="27" t="s">
        <v>8</v>
      </c>
      <c r="AT99" s="27" t="s">
        <v>7</v>
      </c>
    </row>
    <row r="100" spans="1:66" x14ac:dyDescent="0.25">
      <c r="A100" s="30">
        <v>925.76737086817479</v>
      </c>
      <c r="C100"/>
      <c r="D100"/>
      <c r="E100" t="s">
        <v>8</v>
      </c>
      <c r="F100" s="27" t="s">
        <v>7</v>
      </c>
      <c r="G100" s="27" t="s">
        <v>8</v>
      </c>
      <c r="J100" s="27" t="s">
        <v>7</v>
      </c>
      <c r="L100" s="27" t="s">
        <v>7</v>
      </c>
      <c r="O100" s="27" t="s">
        <v>8</v>
      </c>
      <c r="Q100" s="27" t="s">
        <v>8</v>
      </c>
      <c r="R100" s="27" t="s">
        <v>7</v>
      </c>
      <c r="AK100" s="27" t="s">
        <v>8</v>
      </c>
      <c r="AL100" s="27" t="s">
        <v>7</v>
      </c>
      <c r="AP100" s="27" t="s">
        <v>7</v>
      </c>
      <c r="AQ100" s="27" t="s">
        <v>8</v>
      </c>
      <c r="AR100" s="27" t="s">
        <v>7</v>
      </c>
      <c r="AS100" s="27" t="s">
        <v>8</v>
      </c>
      <c r="AT100" s="27" t="s">
        <v>7</v>
      </c>
    </row>
    <row r="101" spans="1:66" x14ac:dyDescent="0.25">
      <c r="A101" s="30">
        <v>881.68321035064264</v>
      </c>
      <c r="E101" t="s">
        <v>8</v>
      </c>
      <c r="F101" s="27" t="s">
        <v>7</v>
      </c>
      <c r="G101" s="27" t="s">
        <v>8</v>
      </c>
      <c r="L101" s="27" t="s">
        <v>7</v>
      </c>
      <c r="O101" s="27" t="s">
        <v>8</v>
      </c>
      <c r="P101" s="27" t="s">
        <v>7</v>
      </c>
      <c r="Q101" s="27" t="s">
        <v>8</v>
      </c>
      <c r="R101" s="27" t="s">
        <v>7</v>
      </c>
      <c r="AK101" s="27" t="s">
        <v>8</v>
      </c>
      <c r="AP101" s="27" t="s">
        <v>7</v>
      </c>
      <c r="AQ101" s="27" t="s">
        <v>8</v>
      </c>
      <c r="AR101" s="27" t="s">
        <v>7</v>
      </c>
      <c r="AS101" s="27" t="s">
        <v>8</v>
      </c>
      <c r="AT101" s="27" t="s">
        <v>7</v>
      </c>
    </row>
    <row r="102" spans="1:66" x14ac:dyDescent="0.25">
      <c r="A102" s="30">
        <v>839.69829557204059</v>
      </c>
      <c r="C102" s="1" t="s">
        <v>13</v>
      </c>
      <c r="E102" t="s">
        <v>8</v>
      </c>
      <c r="F102" s="27" t="s">
        <v>7</v>
      </c>
      <c r="G102" s="27" t="s">
        <v>8</v>
      </c>
      <c r="L102" s="27" t="s">
        <v>7</v>
      </c>
      <c r="M102" s="27" t="s">
        <v>8</v>
      </c>
      <c r="O102" s="27" t="s">
        <v>8</v>
      </c>
      <c r="P102" s="27" t="s">
        <v>7</v>
      </c>
      <c r="Q102" s="27" t="s">
        <v>8</v>
      </c>
      <c r="R102" s="27" t="s">
        <v>7</v>
      </c>
      <c r="AK102" s="27" t="s">
        <v>8</v>
      </c>
      <c r="AP102" s="27" t="s">
        <v>7</v>
      </c>
      <c r="AR102" s="27" t="s">
        <v>7</v>
      </c>
      <c r="AS102" s="27" t="s">
        <v>8</v>
      </c>
      <c r="AT102" s="27" t="s">
        <v>7</v>
      </c>
    </row>
    <row r="103" spans="1:66" x14ac:dyDescent="0.25">
      <c r="A103" s="30">
        <v>799.71266244956246</v>
      </c>
      <c r="C103" s="1">
        <f>C92</f>
        <v>0</v>
      </c>
      <c r="E103" t="s">
        <v>8</v>
      </c>
      <c r="F103" s="27" t="s">
        <v>7</v>
      </c>
      <c r="G103" s="27" t="s">
        <v>8</v>
      </c>
      <c r="L103" s="27" t="s">
        <v>7</v>
      </c>
      <c r="M103" s="27" t="s">
        <v>8</v>
      </c>
      <c r="N103" s="27" t="s">
        <v>7</v>
      </c>
      <c r="O103" s="27" t="s">
        <v>8</v>
      </c>
      <c r="P103" s="27" t="s">
        <v>7</v>
      </c>
      <c r="Q103" s="27" t="s">
        <v>8</v>
      </c>
      <c r="R103" s="27" t="s">
        <v>7</v>
      </c>
      <c r="AI103" s="27" t="s">
        <v>8</v>
      </c>
      <c r="AK103" s="27" t="s">
        <v>8</v>
      </c>
      <c r="AR103" s="27" t="s">
        <v>7</v>
      </c>
      <c r="AT103" s="27" t="s">
        <v>7</v>
      </c>
    </row>
    <row r="104" spans="1:66" x14ac:dyDescent="0.25">
      <c r="A104" s="30">
        <v>761.63110709482135</v>
      </c>
      <c r="C104"/>
      <c r="E104" t="s">
        <v>8</v>
      </c>
      <c r="F104" s="27" t="s">
        <v>7</v>
      </c>
      <c r="G104" s="27" t="s">
        <v>8</v>
      </c>
      <c r="L104" s="27" t="s">
        <v>7</v>
      </c>
      <c r="M104" s="27" t="s">
        <v>8</v>
      </c>
      <c r="N104" s="27" t="s">
        <v>7</v>
      </c>
      <c r="O104" s="27" t="s">
        <v>8</v>
      </c>
      <c r="P104" s="27" t="s">
        <v>7</v>
      </c>
      <c r="Q104" s="27" t="s">
        <v>8</v>
      </c>
      <c r="R104" s="27" t="s">
        <v>7</v>
      </c>
      <c r="AI104" s="27" t="s">
        <v>8</v>
      </c>
      <c r="AJ104" s="27" t="s">
        <v>7</v>
      </c>
      <c r="AK104" s="27" t="s">
        <v>8</v>
      </c>
      <c r="AT104" s="27" t="s">
        <v>7</v>
      </c>
      <c r="BI104" s="27" t="s">
        <v>8</v>
      </c>
    </row>
    <row r="105" spans="1:66" x14ac:dyDescent="0.25">
      <c r="A105" s="30">
        <v>725.36295913792503</v>
      </c>
      <c r="C105" s="1" t="s">
        <v>14</v>
      </c>
      <c r="E105" t="s">
        <v>8</v>
      </c>
      <c r="F105" s="27" t="s">
        <v>7</v>
      </c>
      <c r="G105" s="27" t="s">
        <v>8</v>
      </c>
      <c r="L105" s="27" t="s">
        <v>7</v>
      </c>
      <c r="M105" s="27" t="s">
        <v>8</v>
      </c>
      <c r="N105" s="27" t="s">
        <v>7</v>
      </c>
      <c r="O105" s="27" t="s">
        <v>8</v>
      </c>
      <c r="P105" s="27" t="s">
        <v>7</v>
      </c>
      <c r="Q105" s="27" t="s">
        <v>8</v>
      </c>
      <c r="R105" s="27" t="s">
        <v>7</v>
      </c>
      <c r="AI105" s="27" t="s">
        <v>8</v>
      </c>
      <c r="AJ105" s="27" t="s">
        <v>7</v>
      </c>
      <c r="AK105" s="27" t="s">
        <v>8</v>
      </c>
      <c r="AT105" s="27" t="s">
        <v>7</v>
      </c>
      <c r="AY105" s="27" t="s">
        <v>8</v>
      </c>
      <c r="BG105" s="27" t="s">
        <v>8</v>
      </c>
      <c r="BI105" s="27" t="s">
        <v>8</v>
      </c>
      <c r="BJ105" s="27" t="s">
        <v>7</v>
      </c>
    </row>
    <row r="106" spans="1:66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 t="s">
        <v>8</v>
      </c>
      <c r="F106" s="27" t="s">
        <v>7</v>
      </c>
      <c r="G106" s="27" t="s">
        <v>8</v>
      </c>
      <c r="L106" s="27" t="s">
        <v>7</v>
      </c>
      <c r="M106" s="27" t="s">
        <v>8</v>
      </c>
      <c r="N106" s="27" t="s">
        <v>7</v>
      </c>
      <c r="P106" s="27" t="s">
        <v>7</v>
      </c>
      <c r="Q106" s="27" t="s">
        <v>8</v>
      </c>
      <c r="R106" s="27" t="s">
        <v>7</v>
      </c>
      <c r="AI106" s="27" t="s">
        <v>8</v>
      </c>
      <c r="AJ106" s="27" t="s">
        <v>7</v>
      </c>
      <c r="AK106" s="27" t="s">
        <v>8</v>
      </c>
      <c r="AT106" s="27" t="s">
        <v>7</v>
      </c>
      <c r="AW106" s="27" t="s">
        <v>8</v>
      </c>
      <c r="AY106" s="27" t="s">
        <v>8</v>
      </c>
      <c r="AZ106" s="27" t="s">
        <v>7</v>
      </c>
      <c r="BG106" s="27" t="s">
        <v>8</v>
      </c>
      <c r="BH106" s="27" t="s">
        <v>7</v>
      </c>
      <c r="BI106" s="27" t="s">
        <v>8</v>
      </c>
      <c r="BJ106" s="27" t="s">
        <v>7</v>
      </c>
    </row>
    <row r="107" spans="1:66" x14ac:dyDescent="0.25">
      <c r="A107" s="30">
        <v>657.92558651965976</v>
      </c>
      <c r="E107" t="s">
        <v>8</v>
      </c>
      <c r="F107" s="27" t="s">
        <v>7</v>
      </c>
      <c r="L107" s="27" t="s">
        <v>7</v>
      </c>
      <c r="P107" s="27" t="s">
        <v>7</v>
      </c>
      <c r="Q107" s="27" t="s">
        <v>8</v>
      </c>
      <c r="R107" s="27" t="s">
        <v>7</v>
      </c>
      <c r="AA107" s="27" t="s">
        <v>8</v>
      </c>
      <c r="AI107" s="27" t="s">
        <v>8</v>
      </c>
      <c r="AJ107" s="27" t="s">
        <v>7</v>
      </c>
      <c r="AK107" s="27" t="s">
        <v>8</v>
      </c>
      <c r="AT107" s="27" t="s">
        <v>7</v>
      </c>
      <c r="AU107" s="27" t="s">
        <v>8</v>
      </c>
      <c r="AW107" s="27" t="s">
        <v>8</v>
      </c>
      <c r="AX107" s="27" t="s">
        <v>7</v>
      </c>
      <c r="AY107" s="27" t="s">
        <v>8</v>
      </c>
      <c r="AZ107" s="27" t="s">
        <v>7</v>
      </c>
      <c r="BG107" s="27" t="s">
        <v>8</v>
      </c>
      <c r="BH107" s="27" t="s">
        <v>7</v>
      </c>
      <c r="BI107" s="27" t="s">
        <v>8</v>
      </c>
      <c r="BJ107" s="27" t="s">
        <v>7</v>
      </c>
      <c r="BK107" s="27" t="s">
        <v>8</v>
      </c>
    </row>
    <row r="108" spans="1:66" x14ac:dyDescent="0.25">
      <c r="A108" s="30">
        <v>626.59579668539027</v>
      </c>
      <c r="E108" t="s">
        <v>8</v>
      </c>
      <c r="P108" s="27" t="s">
        <v>7</v>
      </c>
      <c r="Q108" s="27" t="s">
        <v>8</v>
      </c>
      <c r="R108" s="27" t="s">
        <v>7</v>
      </c>
      <c r="AA108" s="27" t="s">
        <v>8</v>
      </c>
      <c r="AB108" s="27" t="s">
        <v>7</v>
      </c>
      <c r="AC108" s="27" t="s">
        <v>8</v>
      </c>
      <c r="AI108" s="27" t="s">
        <v>8</v>
      </c>
      <c r="AJ108" s="27" t="s">
        <v>7</v>
      </c>
      <c r="AK108" s="27" t="s">
        <v>8</v>
      </c>
      <c r="AT108" s="27" t="s">
        <v>7</v>
      </c>
      <c r="AU108" s="27" t="s">
        <v>8</v>
      </c>
      <c r="AV108" s="27" t="s">
        <v>7</v>
      </c>
      <c r="AW108" s="27" t="s">
        <v>8</v>
      </c>
      <c r="AX108" s="27" t="s">
        <v>7</v>
      </c>
      <c r="AY108" s="27" t="s">
        <v>8</v>
      </c>
      <c r="AZ108" s="27" t="s">
        <v>7</v>
      </c>
      <c r="BG108" s="27" t="s">
        <v>8</v>
      </c>
      <c r="BH108" s="27" t="s">
        <v>7</v>
      </c>
      <c r="BJ108" s="27" t="s">
        <v>7</v>
      </c>
      <c r="BK108" s="27" t="s">
        <v>8</v>
      </c>
      <c r="BL108" s="27" t="s">
        <v>7</v>
      </c>
    </row>
    <row r="109" spans="1:66" x14ac:dyDescent="0.25">
      <c r="A109" s="30">
        <v>596.75790160513361</v>
      </c>
      <c r="E109" t="s">
        <v>8</v>
      </c>
      <c r="P109" s="27" t="s">
        <v>7</v>
      </c>
      <c r="Q109" s="27" t="s">
        <v>8</v>
      </c>
      <c r="R109" s="27" t="s">
        <v>7</v>
      </c>
      <c r="AA109" s="27" t="s">
        <v>8</v>
      </c>
      <c r="AB109" s="27" t="s">
        <v>7</v>
      </c>
      <c r="AC109" s="27" t="s">
        <v>8</v>
      </c>
      <c r="AD109" s="27" t="s">
        <v>7</v>
      </c>
      <c r="AI109" s="27" t="s">
        <v>8</v>
      </c>
      <c r="AJ109" s="27" t="s">
        <v>7</v>
      </c>
      <c r="AK109" s="27" t="s">
        <v>8</v>
      </c>
      <c r="AT109" s="27" t="s">
        <v>7</v>
      </c>
      <c r="AU109" s="27" t="s">
        <v>8</v>
      </c>
      <c r="AV109" s="27" t="s">
        <v>7</v>
      </c>
      <c r="AW109" s="27" t="s">
        <v>8</v>
      </c>
      <c r="AX109" s="27" t="s">
        <v>7</v>
      </c>
      <c r="AY109" s="27" t="s">
        <v>8</v>
      </c>
      <c r="AZ109" s="27" t="s">
        <v>7</v>
      </c>
      <c r="BG109" s="27" t="s">
        <v>8</v>
      </c>
      <c r="BJ109" s="27" t="s">
        <v>7</v>
      </c>
      <c r="BK109" s="27" t="s">
        <v>8</v>
      </c>
      <c r="BL109" s="27" t="s">
        <v>7</v>
      </c>
    </row>
    <row r="110" spans="1:66" x14ac:dyDescent="0.25">
      <c r="A110" s="30">
        <v>568.34085867155579</v>
      </c>
      <c r="E110" t="s">
        <v>8</v>
      </c>
      <c r="P110" s="27" t="s">
        <v>7</v>
      </c>
      <c r="Q110" s="27" t="s">
        <v>8</v>
      </c>
      <c r="R110" s="27" t="s">
        <v>7</v>
      </c>
      <c r="AA110" s="27" t="s">
        <v>8</v>
      </c>
      <c r="AB110" s="27" t="s">
        <v>7</v>
      </c>
      <c r="AC110" s="27" t="s">
        <v>8</v>
      </c>
      <c r="AD110" s="27" t="s">
        <v>7</v>
      </c>
      <c r="AI110" s="27" t="s">
        <v>8</v>
      </c>
      <c r="AJ110" s="27" t="s">
        <v>7</v>
      </c>
      <c r="AT110" s="27" t="s">
        <v>7</v>
      </c>
      <c r="AU110" s="27" t="s">
        <v>8</v>
      </c>
      <c r="AV110" s="27" t="s">
        <v>7</v>
      </c>
      <c r="AW110" s="27" t="s">
        <v>8</v>
      </c>
      <c r="AX110" s="27" t="s">
        <v>7</v>
      </c>
      <c r="AY110" s="27" t="s">
        <v>8</v>
      </c>
      <c r="AZ110" s="27" t="s">
        <v>7</v>
      </c>
      <c r="BG110" s="27" t="s">
        <v>8</v>
      </c>
      <c r="BJ110" s="27" t="s">
        <v>7</v>
      </c>
      <c r="BL110" s="27" t="s">
        <v>7</v>
      </c>
      <c r="BM110" s="27" t="s">
        <v>8</v>
      </c>
    </row>
    <row r="111" spans="1:66" x14ac:dyDescent="0.25">
      <c r="A111" s="30">
        <v>541.27700825862451</v>
      </c>
      <c r="C111" s="1" t="str">
        <f>ADDRESS(C121-1,1,1,1)</f>
        <v>$A$131</v>
      </c>
      <c r="D111" s="1" t="str">
        <f>ADDRESS(C121-1,D121,1,1)</f>
        <v>$DD$131</v>
      </c>
      <c r="E111" t="s">
        <v>8</v>
      </c>
      <c r="P111" s="27" t="s">
        <v>7</v>
      </c>
      <c r="Q111" s="27" t="s">
        <v>8</v>
      </c>
      <c r="R111" s="27" t="s">
        <v>7</v>
      </c>
      <c r="AA111" s="27" t="s">
        <v>8</v>
      </c>
      <c r="AB111" s="27" t="s">
        <v>7</v>
      </c>
      <c r="AC111" s="27" t="s">
        <v>8</v>
      </c>
      <c r="AD111" s="27" t="s">
        <v>7</v>
      </c>
      <c r="AE111" s="27" t="s">
        <v>8</v>
      </c>
      <c r="AG111" s="27" t="s">
        <v>8</v>
      </c>
      <c r="AI111" s="27" t="s">
        <v>8</v>
      </c>
      <c r="AT111" s="27" t="s">
        <v>7</v>
      </c>
      <c r="AV111" s="27" t="s">
        <v>7</v>
      </c>
      <c r="AW111" s="27" t="s">
        <v>8</v>
      </c>
      <c r="AX111" s="27" t="s">
        <v>7</v>
      </c>
      <c r="AZ111" s="27" t="s">
        <v>7</v>
      </c>
      <c r="BC111" s="27" t="s">
        <v>8</v>
      </c>
      <c r="BG111" s="27" t="s">
        <v>8</v>
      </c>
      <c r="BL111" s="27" t="s">
        <v>7</v>
      </c>
      <c r="BM111" s="27" t="s">
        <v>8</v>
      </c>
      <c r="BN111" s="27" t="s">
        <v>7</v>
      </c>
    </row>
    <row r="112" spans="1:66" x14ac:dyDescent="0.25">
      <c r="A112" s="30">
        <v>515.50191262726139</v>
      </c>
      <c r="C112" s="1" t="str">
        <f>ADDRESS(C121,1,1,1)</f>
        <v>$A$132</v>
      </c>
      <c r="D112" s="1" t="str">
        <f>ADDRESS(C121,D121-1,1,1)</f>
        <v>$DC$132</v>
      </c>
      <c r="E112" t="s">
        <v>8</v>
      </c>
      <c r="P112" s="27" t="s">
        <v>7</v>
      </c>
      <c r="Q112" s="27" t="s">
        <v>8</v>
      </c>
      <c r="R112" s="27" t="s">
        <v>7</v>
      </c>
      <c r="AA112" s="27" t="s">
        <v>8</v>
      </c>
      <c r="AB112" s="27" t="s">
        <v>7</v>
      </c>
      <c r="AC112" s="27" t="s">
        <v>8</v>
      </c>
      <c r="AD112" s="27" t="s">
        <v>7</v>
      </c>
      <c r="AE112" s="27" t="s">
        <v>8</v>
      </c>
      <c r="AF112" s="27" t="s">
        <v>7</v>
      </c>
      <c r="AG112" s="27" t="s">
        <v>8</v>
      </c>
      <c r="AH112" s="27" t="s">
        <v>7</v>
      </c>
      <c r="AI112" s="27" t="s">
        <v>8</v>
      </c>
      <c r="AV112" s="27" t="s">
        <v>7</v>
      </c>
      <c r="AW112" s="27" t="s">
        <v>8</v>
      </c>
      <c r="AZ112" s="27" t="s">
        <v>7</v>
      </c>
      <c r="BC112" s="27" t="s">
        <v>8</v>
      </c>
      <c r="BD112" s="27" t="s">
        <v>7</v>
      </c>
      <c r="BG112" s="27" t="s">
        <v>8</v>
      </c>
      <c r="BL112" s="27" t="s">
        <v>7</v>
      </c>
      <c r="BM112" s="27" t="s">
        <v>8</v>
      </c>
      <c r="BN112" s="27" t="s">
        <v>7</v>
      </c>
    </row>
    <row r="113" spans="1:108" x14ac:dyDescent="0.25">
      <c r="A113" s="30">
        <v>490.95420250215363</v>
      </c>
      <c r="C113" s="1" t="str">
        <f>ADDRESS(C121+1,1,1,1)</f>
        <v>$A$133</v>
      </c>
      <c r="D113" s="1" t="str">
        <f>ADDRESS(C121-1,D121+1,1,1)</f>
        <v>$DE$131</v>
      </c>
      <c r="E113" s="1" t="s">
        <v>8</v>
      </c>
      <c r="P113" s="27" t="s">
        <v>7</v>
      </c>
      <c r="Q113" s="27" t="s">
        <v>8</v>
      </c>
      <c r="R113" s="27" t="s">
        <v>7</v>
      </c>
      <c r="AA113" s="27" t="s">
        <v>8</v>
      </c>
      <c r="AB113" s="27" t="s">
        <v>7</v>
      </c>
      <c r="AD113" s="27" t="s">
        <v>7</v>
      </c>
      <c r="AE113" s="27" t="s">
        <v>8</v>
      </c>
      <c r="AF113" s="27" t="s">
        <v>7</v>
      </c>
      <c r="AG113" s="27" t="s">
        <v>8</v>
      </c>
      <c r="AH113" s="27" t="s">
        <v>7</v>
      </c>
      <c r="AI113" s="27" t="s">
        <v>8</v>
      </c>
      <c r="AV113" s="27" t="s">
        <v>7</v>
      </c>
      <c r="AZ113" s="27" t="s">
        <v>7</v>
      </c>
      <c r="BA113" s="27" t="s">
        <v>8</v>
      </c>
      <c r="BC113" s="27" t="s">
        <v>8</v>
      </c>
      <c r="BD113" s="27" t="s">
        <v>7</v>
      </c>
      <c r="BG113" s="27" t="s">
        <v>8</v>
      </c>
      <c r="BL113" s="27" t="s">
        <v>7</v>
      </c>
      <c r="BM113" s="27" t="s">
        <v>8</v>
      </c>
      <c r="BN113" s="27" t="s">
        <v>7</v>
      </c>
    </row>
    <row r="114" spans="1:108" x14ac:dyDescent="0.25">
      <c r="A114" s="30">
        <v>467.57543095443202</v>
      </c>
      <c r="C114" s="1" t="str">
        <f>ADDRESS(C121,D121,1,1)</f>
        <v>$DD$132</v>
      </c>
      <c r="D114" s="1" t="str">
        <f>ADDRESS(C121+1,D121+1,1,1)</f>
        <v>$DE$133</v>
      </c>
      <c r="E114" s="1" t="s">
        <v>8</v>
      </c>
      <c r="P114" s="27" t="s">
        <v>7</v>
      </c>
      <c r="Q114" s="27" t="s">
        <v>8</v>
      </c>
      <c r="R114" s="27" t="s">
        <v>7</v>
      </c>
      <c r="S114" s="27" t="s">
        <v>8</v>
      </c>
      <c r="Y114" s="27" t="s">
        <v>8</v>
      </c>
      <c r="AA114" s="27" t="s">
        <v>8</v>
      </c>
      <c r="AD114" s="27" t="s">
        <v>7</v>
      </c>
      <c r="AE114" s="27" t="s">
        <v>8</v>
      </c>
      <c r="AF114" s="27" t="s">
        <v>7</v>
      </c>
      <c r="AG114" s="27" t="s">
        <v>8</v>
      </c>
      <c r="AH114" s="27" t="s">
        <v>7</v>
      </c>
      <c r="AZ114" s="27" t="s">
        <v>7</v>
      </c>
      <c r="BA114" s="27" t="s">
        <v>8</v>
      </c>
      <c r="BB114" s="27" t="s">
        <v>7</v>
      </c>
      <c r="BC114" s="27" t="s">
        <v>8</v>
      </c>
      <c r="BD114" s="27" t="s">
        <v>7</v>
      </c>
      <c r="BE114" s="27" t="s">
        <v>8</v>
      </c>
      <c r="BG114" s="27" t="s">
        <v>8</v>
      </c>
      <c r="BL114" s="27" t="s">
        <v>7</v>
      </c>
      <c r="BN114" s="27" t="s">
        <v>7</v>
      </c>
    </row>
    <row r="115" spans="1:108" x14ac:dyDescent="0.25">
      <c r="A115" s="30">
        <v>445.30993424231622</v>
      </c>
      <c r="C115" s="1" t="str">
        <f>ADDRESS(C121+1,D121,1,1)</f>
        <v>$DD$133</v>
      </c>
      <c r="E115" s="1" t="s">
        <v>8</v>
      </c>
      <c r="P115" s="27" t="s">
        <v>7</v>
      </c>
      <c r="Q115" s="27" t="s">
        <v>8</v>
      </c>
      <c r="R115" s="27" t="s">
        <v>7</v>
      </c>
      <c r="S115" s="27" t="s">
        <v>8</v>
      </c>
      <c r="T115" s="27" t="s">
        <v>7</v>
      </c>
      <c r="Y115" s="27" t="s">
        <v>8</v>
      </c>
      <c r="Z115" s="27" t="s">
        <v>7</v>
      </c>
      <c r="AA115" s="27" t="s">
        <v>8</v>
      </c>
      <c r="AD115" s="27" t="s">
        <v>7</v>
      </c>
      <c r="AF115" s="27" t="s">
        <v>7</v>
      </c>
      <c r="AG115" s="27" t="s">
        <v>8</v>
      </c>
      <c r="AZ115" s="27" t="s">
        <v>7</v>
      </c>
      <c r="BA115" s="27" t="s">
        <v>8</v>
      </c>
      <c r="BB115" s="27" t="s">
        <v>7</v>
      </c>
      <c r="BC115" s="27" t="s">
        <v>8</v>
      </c>
      <c r="BD115" s="27" t="s">
        <v>7</v>
      </c>
      <c r="BE115" s="27" t="s">
        <v>8</v>
      </c>
      <c r="BF115" s="27" t="s">
        <v>7</v>
      </c>
      <c r="BG115" s="27" t="s">
        <v>8</v>
      </c>
      <c r="BN115" s="27" t="s">
        <v>7</v>
      </c>
      <c r="DA115" s="27" t="s">
        <v>8</v>
      </c>
    </row>
    <row r="116" spans="1:108" x14ac:dyDescent="0.25">
      <c r="A116" s="30">
        <v>424.10469927839637</v>
      </c>
      <c r="C116" s="1">
        <f>C117-1</f>
        <v>131</v>
      </c>
      <c r="E116" s="1" t="s">
        <v>8</v>
      </c>
      <c r="P116" s="27" t="s">
        <v>7</v>
      </c>
      <c r="Q116" s="27" t="s">
        <v>8</v>
      </c>
      <c r="R116" s="27" t="s">
        <v>7</v>
      </c>
      <c r="S116" s="27" t="s">
        <v>8</v>
      </c>
      <c r="T116" s="27" t="s">
        <v>7</v>
      </c>
      <c r="Y116" s="27" t="s">
        <v>8</v>
      </c>
      <c r="Z116" s="27" t="s">
        <v>7</v>
      </c>
      <c r="AA116" s="27" t="s">
        <v>8</v>
      </c>
      <c r="AF116" s="27" t="s">
        <v>7</v>
      </c>
      <c r="AG116" s="27" t="s">
        <v>8</v>
      </c>
      <c r="AZ116" s="27" t="s">
        <v>7</v>
      </c>
      <c r="BA116" s="27" t="s">
        <v>8</v>
      </c>
      <c r="BB116" s="27" t="s">
        <v>7</v>
      </c>
      <c r="BD116" s="27" t="s">
        <v>7</v>
      </c>
      <c r="BE116" s="27" t="s">
        <v>8</v>
      </c>
      <c r="BF116" s="27" t="s">
        <v>7</v>
      </c>
      <c r="BG116" s="27" t="s">
        <v>8</v>
      </c>
      <c r="BN116" s="27" t="s">
        <v>7</v>
      </c>
      <c r="DA116" s="27" t="s">
        <v>8</v>
      </c>
      <c r="DB116" s="27" t="s">
        <v>7</v>
      </c>
    </row>
    <row r="117" spans="1:108" x14ac:dyDescent="0.25">
      <c r="A117" s="30">
        <v>403.9092374079965</v>
      </c>
      <c r="C117" s="1">
        <f>C121</f>
        <v>132</v>
      </c>
      <c r="D117" s="1">
        <f>D121</f>
        <v>108</v>
      </c>
      <c r="E117" s="1" t="s">
        <v>8</v>
      </c>
      <c r="P117" s="27" t="s">
        <v>7</v>
      </c>
      <c r="Q117" s="27" t="s">
        <v>8</v>
      </c>
      <c r="R117" s="27" t="s">
        <v>7</v>
      </c>
      <c r="S117" s="27" t="s">
        <v>8</v>
      </c>
      <c r="T117" s="27" t="s">
        <v>7</v>
      </c>
      <c r="W117" s="27" t="s">
        <v>8</v>
      </c>
      <c r="Y117" s="27" t="s">
        <v>8</v>
      </c>
      <c r="Z117" s="27" t="s">
        <v>7</v>
      </c>
      <c r="AF117" s="27" t="s">
        <v>7</v>
      </c>
      <c r="AG117" s="27" t="s">
        <v>8</v>
      </c>
      <c r="AZ117" s="27" t="s">
        <v>7</v>
      </c>
      <c r="BA117" s="27" t="s">
        <v>8</v>
      </c>
      <c r="BD117" s="27" t="s">
        <v>7</v>
      </c>
      <c r="BF117" s="27" t="s">
        <v>7</v>
      </c>
      <c r="BG117" s="27" t="s">
        <v>8</v>
      </c>
      <c r="BN117" s="27" t="s">
        <v>7</v>
      </c>
      <c r="BW117" s="27" t="s">
        <v>8</v>
      </c>
      <c r="DA117" s="27" t="s">
        <v>8</v>
      </c>
      <c r="DB117" s="27" t="s">
        <v>7</v>
      </c>
    </row>
    <row r="118" spans="1:108" x14ac:dyDescent="0.25">
      <c r="A118" s="30">
        <v>384.6754641980919</v>
      </c>
      <c r="C118" s="1">
        <f>C117+1</f>
        <v>133</v>
      </c>
      <c r="D118" s="1">
        <f>D117+1</f>
        <v>109</v>
      </c>
      <c r="E118" s="1" t="s">
        <v>8</v>
      </c>
      <c r="P118" s="27" t="s">
        <v>7</v>
      </c>
      <c r="Q118" s="27" t="s">
        <v>8</v>
      </c>
      <c r="R118" s="27" t="s">
        <v>7</v>
      </c>
      <c r="S118" s="27" t="s">
        <v>8</v>
      </c>
      <c r="T118" s="27" t="s">
        <v>7</v>
      </c>
      <c r="U118" s="27" t="s">
        <v>8</v>
      </c>
      <c r="W118" s="27" t="s">
        <v>8</v>
      </c>
      <c r="X118" s="27" t="s">
        <v>7</v>
      </c>
      <c r="Y118" s="27" t="s">
        <v>8</v>
      </c>
      <c r="AF118" s="27" t="s">
        <v>7</v>
      </c>
      <c r="AZ118" s="27" t="s">
        <v>7</v>
      </c>
      <c r="BF118" s="27" t="s">
        <v>7</v>
      </c>
      <c r="BG118" s="27" t="s">
        <v>8</v>
      </c>
      <c r="BN118" s="27" t="s">
        <v>7</v>
      </c>
      <c r="BW118" s="27" t="s">
        <v>8</v>
      </c>
      <c r="BX118" s="27" t="s">
        <v>7</v>
      </c>
      <c r="DA118" s="27" t="s">
        <v>8</v>
      </c>
      <c r="DB118" s="27" t="s">
        <v>7</v>
      </c>
    </row>
    <row r="119" spans="1:108" x14ac:dyDescent="0.25">
      <c r="A119" s="30">
        <v>366.35758495056371</v>
      </c>
      <c r="E119" s="1" t="s">
        <v>8</v>
      </c>
      <c r="P119" s="27" t="s">
        <v>7</v>
      </c>
      <c r="Q119" s="27" t="s">
        <v>8</v>
      </c>
      <c r="R119" s="27" t="s">
        <v>7</v>
      </c>
      <c r="T119" s="27" t="s">
        <v>7</v>
      </c>
      <c r="U119" s="27" t="s">
        <v>8</v>
      </c>
      <c r="V119" s="27" t="s">
        <v>7</v>
      </c>
      <c r="W119" s="27" t="s">
        <v>8</v>
      </c>
      <c r="X119" s="27" t="s">
        <v>7</v>
      </c>
      <c r="Y119" s="27" t="s">
        <v>8</v>
      </c>
      <c r="BF119" s="27" t="s">
        <v>7</v>
      </c>
      <c r="BG119" s="27" t="s">
        <v>8</v>
      </c>
      <c r="BN119" s="27" t="s">
        <v>7</v>
      </c>
      <c r="BW119" s="27" t="s">
        <v>8</v>
      </c>
      <c r="BX119" s="27" t="s">
        <v>7</v>
      </c>
      <c r="CO119" s="27" t="s">
        <v>8</v>
      </c>
      <c r="CQ119" s="27" t="s">
        <v>8</v>
      </c>
      <c r="DA119" s="27" t="s">
        <v>8</v>
      </c>
      <c r="DB119" s="27" t="s">
        <v>7</v>
      </c>
    </row>
    <row r="120" spans="1:108" x14ac:dyDescent="0.25">
      <c r="A120" s="30">
        <v>348.91198566720351</v>
      </c>
      <c r="C120" s="1" t="s">
        <v>9</v>
      </c>
      <c r="E120" s="1" t="s">
        <v>8</v>
      </c>
      <c r="P120" s="27" t="s">
        <v>7</v>
      </c>
      <c r="Q120" s="27" t="s">
        <v>8</v>
      </c>
      <c r="T120" s="27" t="s">
        <v>7</v>
      </c>
      <c r="U120" s="27" t="s">
        <v>8</v>
      </c>
      <c r="V120" s="27" t="s">
        <v>7</v>
      </c>
      <c r="W120" s="27" t="s">
        <v>8</v>
      </c>
      <c r="X120" s="27" t="s">
        <v>7</v>
      </c>
      <c r="BF120" s="27" t="s">
        <v>7</v>
      </c>
      <c r="BG120" s="27" t="s">
        <v>8</v>
      </c>
      <c r="BN120" s="27" t="s">
        <v>7</v>
      </c>
      <c r="BW120" s="27" t="s">
        <v>8</v>
      </c>
      <c r="BX120" s="27" t="s">
        <v>7</v>
      </c>
      <c r="CO120" s="27" t="s">
        <v>8</v>
      </c>
      <c r="CP120" s="27" t="s">
        <v>7</v>
      </c>
      <c r="CQ120" s="27" t="s">
        <v>8</v>
      </c>
      <c r="CR120" s="27" t="s">
        <v>7</v>
      </c>
      <c r="CS120" s="27" t="s">
        <v>8</v>
      </c>
      <c r="DA120" s="27" t="s">
        <v>8</v>
      </c>
      <c r="DB120" s="27" t="s">
        <v>7</v>
      </c>
    </row>
    <row r="121" spans="1:108" x14ac:dyDescent="0.25">
      <c r="A121" s="30">
        <v>332.29712920686046</v>
      </c>
      <c r="C121" s="18">
        <v>132</v>
      </c>
      <c r="D121" s="19">
        <v>108</v>
      </c>
      <c r="E121" s="19" t="s">
        <v>8</v>
      </c>
      <c r="P121" s="27" t="s">
        <v>7</v>
      </c>
      <c r="Q121" s="27" t="s">
        <v>8</v>
      </c>
      <c r="T121" s="27" t="s">
        <v>7</v>
      </c>
      <c r="U121" s="27" t="s">
        <v>8</v>
      </c>
      <c r="V121" s="27" t="s">
        <v>7</v>
      </c>
      <c r="W121" s="27" t="s">
        <v>8</v>
      </c>
      <c r="BF121" s="27" t="s">
        <v>7</v>
      </c>
      <c r="BG121" s="27" t="s">
        <v>8</v>
      </c>
      <c r="BN121" s="27" t="s">
        <v>7</v>
      </c>
      <c r="BO121" s="27" t="s">
        <v>8</v>
      </c>
      <c r="BW121" s="27" t="s">
        <v>8</v>
      </c>
      <c r="BX121" s="27" t="s">
        <v>7</v>
      </c>
      <c r="CA121" s="27" t="s">
        <v>8</v>
      </c>
      <c r="CO121" s="27" t="s">
        <v>8</v>
      </c>
      <c r="CP121" s="27" t="s">
        <v>7</v>
      </c>
      <c r="CQ121" s="27" t="s">
        <v>8</v>
      </c>
      <c r="CR121" s="27" t="s">
        <v>7</v>
      </c>
      <c r="CS121" s="27" t="s">
        <v>8</v>
      </c>
      <c r="CT121" s="27" t="s">
        <v>7</v>
      </c>
      <c r="DA121" s="27" t="s">
        <v>8</v>
      </c>
      <c r="DB121" s="27" t="s">
        <v>7</v>
      </c>
    </row>
    <row r="122" spans="1:108" x14ac:dyDescent="0.25">
      <c r="A122" s="30">
        <v>316.47345638748612</v>
      </c>
      <c r="C122" s="1" t="str">
        <f>INDEX(1:1048576,C117,D117)</f>
        <v>O</v>
      </c>
      <c r="E122" s="1" t="s">
        <v>8</v>
      </c>
      <c r="P122" s="27" t="s">
        <v>7</v>
      </c>
      <c r="Q122" s="27" t="s">
        <v>8</v>
      </c>
      <c r="T122" s="27" t="s">
        <v>7</v>
      </c>
      <c r="U122" s="27" t="s">
        <v>8</v>
      </c>
      <c r="V122" s="27" t="s">
        <v>7</v>
      </c>
      <c r="W122" s="27" t="s">
        <v>8</v>
      </c>
      <c r="BF122" s="27" t="s">
        <v>7</v>
      </c>
      <c r="BN122" s="27" t="s">
        <v>7</v>
      </c>
      <c r="BO122" s="27" t="s">
        <v>8</v>
      </c>
      <c r="BP122" s="27" t="s">
        <v>7</v>
      </c>
      <c r="BW122" s="27" t="s">
        <v>8</v>
      </c>
      <c r="BX122" s="27" t="s">
        <v>7</v>
      </c>
      <c r="CA122" s="27" t="s">
        <v>8</v>
      </c>
      <c r="CB122" s="27" t="s">
        <v>7</v>
      </c>
      <c r="CO122" s="27" t="s">
        <v>8</v>
      </c>
      <c r="CP122" s="27" t="s">
        <v>7</v>
      </c>
      <c r="CQ122" s="27" t="s">
        <v>8</v>
      </c>
      <c r="CR122" s="27" t="s">
        <v>7</v>
      </c>
      <c r="CS122" s="27" t="s">
        <v>8</v>
      </c>
      <c r="CT122" s="27" t="s">
        <v>7</v>
      </c>
      <c r="DA122" s="27" t="s">
        <v>8</v>
      </c>
      <c r="DB122" s="27" t="s">
        <v>7</v>
      </c>
    </row>
    <row r="123" spans="1:108" x14ac:dyDescent="0.25">
      <c r="A123" s="30">
        <v>301.40329179760585</v>
      </c>
      <c r="C123" s="1" t="str">
        <f>"R"&amp;C121</f>
        <v>R132</v>
      </c>
      <c r="D123" s="1" t="str">
        <f>"C"&amp;D121</f>
        <v>C108</v>
      </c>
      <c r="E123" s="1" t="s">
        <v>8</v>
      </c>
      <c r="P123" s="27" t="s">
        <v>7</v>
      </c>
      <c r="Q123" s="27" t="s">
        <v>8</v>
      </c>
      <c r="T123" s="27" t="s">
        <v>7</v>
      </c>
      <c r="V123" s="27" t="s">
        <v>7</v>
      </c>
      <c r="BN123" s="27" t="s">
        <v>7</v>
      </c>
      <c r="BO123" s="27" t="s">
        <v>8</v>
      </c>
      <c r="BP123" s="27" t="s">
        <v>7</v>
      </c>
      <c r="BW123" s="27" t="s">
        <v>8</v>
      </c>
      <c r="BX123" s="27" t="s">
        <v>7</v>
      </c>
      <c r="CA123" s="27" t="s">
        <v>8</v>
      </c>
      <c r="CB123" s="27" t="s">
        <v>7</v>
      </c>
      <c r="CO123" s="27" t="s">
        <v>8</v>
      </c>
      <c r="CP123" s="27" t="s">
        <v>7</v>
      </c>
      <c r="CQ123" s="27" t="s">
        <v>8</v>
      </c>
      <c r="CR123" s="27" t="s">
        <v>7</v>
      </c>
      <c r="CT123" s="27" t="s">
        <v>7</v>
      </c>
      <c r="DA123" s="27" t="s">
        <v>8</v>
      </c>
      <c r="DB123" s="27" t="s">
        <v>7</v>
      </c>
    </row>
    <row r="124" spans="1:108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  <c r="P124" s="27" t="s">
        <v>7</v>
      </c>
      <c r="Q124" s="27" t="s">
        <v>8</v>
      </c>
      <c r="BN124" s="27" t="s">
        <v>7</v>
      </c>
      <c r="BO124" s="27" t="s">
        <v>8</v>
      </c>
      <c r="BP124" s="27" t="s">
        <v>7</v>
      </c>
      <c r="BS124" s="27" t="s">
        <v>8</v>
      </c>
      <c r="BU124" s="27" t="s">
        <v>8</v>
      </c>
      <c r="BW124" s="27" t="s">
        <v>8</v>
      </c>
      <c r="BX124" s="27" t="s">
        <v>7</v>
      </c>
      <c r="CA124" s="27" t="s">
        <v>8</v>
      </c>
      <c r="CB124" s="27" t="s">
        <v>7</v>
      </c>
      <c r="CI124" s="27" t="s">
        <v>8</v>
      </c>
      <c r="CO124" s="27" t="s">
        <v>8</v>
      </c>
      <c r="CP124" s="27" t="s">
        <v>7</v>
      </c>
      <c r="CQ124" s="27" t="s">
        <v>8</v>
      </c>
      <c r="CT124" s="27" t="s">
        <v>7</v>
      </c>
      <c r="CU124" s="27" t="s">
        <v>8</v>
      </c>
      <c r="DA124" s="27" t="s">
        <v>8</v>
      </c>
      <c r="DB124" s="27" t="s">
        <v>7</v>
      </c>
    </row>
    <row r="125" spans="1:108" x14ac:dyDescent="0.25">
      <c r="A125" s="30">
        <v>273.38167056472184</v>
      </c>
      <c r="E125" s="1" t="s">
        <v>8</v>
      </c>
      <c r="P125" s="27" t="s">
        <v>7</v>
      </c>
      <c r="Q125" s="27" t="s">
        <v>8</v>
      </c>
      <c r="BN125" s="27" t="s">
        <v>7</v>
      </c>
      <c r="BO125" s="27" t="s">
        <v>8</v>
      </c>
      <c r="BP125" s="27" t="s">
        <v>7</v>
      </c>
      <c r="BQ125" s="27" t="s">
        <v>8</v>
      </c>
      <c r="BS125" s="27" t="s">
        <v>8</v>
      </c>
      <c r="BT125" s="27" t="s">
        <v>7</v>
      </c>
      <c r="BU125" s="27" t="s">
        <v>8</v>
      </c>
      <c r="BV125" s="27" t="s">
        <v>7</v>
      </c>
      <c r="BW125" s="27" t="s">
        <v>8</v>
      </c>
      <c r="BX125" s="27" t="s">
        <v>7</v>
      </c>
      <c r="CA125" s="27" t="s">
        <v>8</v>
      </c>
      <c r="CB125" s="27" t="s">
        <v>7</v>
      </c>
      <c r="CI125" s="27" t="s">
        <v>8</v>
      </c>
      <c r="CJ125" s="27" t="s">
        <v>7</v>
      </c>
      <c r="CK125" s="27" t="s">
        <v>8</v>
      </c>
      <c r="CM125" s="27" t="s">
        <v>8</v>
      </c>
      <c r="CO125" s="27" t="s">
        <v>8</v>
      </c>
      <c r="CP125" s="27" t="s">
        <v>7</v>
      </c>
      <c r="CQ125" s="27" t="s">
        <v>8</v>
      </c>
      <c r="CT125" s="27" t="s">
        <v>7</v>
      </c>
      <c r="CU125" s="27" t="s">
        <v>8</v>
      </c>
      <c r="CV125" s="27" t="s">
        <v>7</v>
      </c>
      <c r="DA125" s="27" t="s">
        <v>8</v>
      </c>
      <c r="DB125" s="27" t="s">
        <v>7</v>
      </c>
      <c r="DC125" s="27" t="s">
        <v>8</v>
      </c>
    </row>
    <row r="126" spans="1:108" x14ac:dyDescent="0.25">
      <c r="A126" s="30">
        <v>260.36349577592557</v>
      </c>
      <c r="C126" s="1" t="s">
        <v>10</v>
      </c>
      <c r="E126" s="1" t="s">
        <v>8</v>
      </c>
      <c r="P126" s="27" t="s">
        <v>7</v>
      </c>
      <c r="Q126" s="27" t="s">
        <v>8</v>
      </c>
      <c r="BN126" s="27" t="s">
        <v>7</v>
      </c>
      <c r="BP126" s="27" t="s">
        <v>7</v>
      </c>
      <c r="BQ126" s="27" t="s">
        <v>8</v>
      </c>
      <c r="BR126" s="27" t="s">
        <v>7</v>
      </c>
      <c r="BS126" s="27" t="s">
        <v>8</v>
      </c>
      <c r="BT126" s="27" t="s">
        <v>7</v>
      </c>
      <c r="BU126" s="27" t="s">
        <v>8</v>
      </c>
      <c r="BV126" s="27" t="s">
        <v>7</v>
      </c>
      <c r="BW126" s="27" t="s">
        <v>8</v>
      </c>
      <c r="BX126" s="27" t="s">
        <v>7</v>
      </c>
      <c r="CA126" s="27" t="s">
        <v>8</v>
      </c>
      <c r="CB126" s="27" t="s">
        <v>7</v>
      </c>
      <c r="CI126" s="27" t="s">
        <v>8</v>
      </c>
      <c r="CJ126" s="27" t="s">
        <v>7</v>
      </c>
      <c r="CK126" s="27" t="s">
        <v>8</v>
      </c>
      <c r="CL126" s="27" t="s">
        <v>7</v>
      </c>
      <c r="CM126" s="27" t="s">
        <v>8</v>
      </c>
      <c r="CN126" s="27" t="s">
        <v>7</v>
      </c>
      <c r="CO126" s="27" t="s">
        <v>8</v>
      </c>
      <c r="CP126" s="27" t="s">
        <v>7</v>
      </c>
      <c r="CT126" s="27" t="s">
        <v>7</v>
      </c>
      <c r="CU126" s="27" t="s">
        <v>8</v>
      </c>
      <c r="CV126" s="27" t="s">
        <v>7</v>
      </c>
      <c r="DA126" s="27" t="s">
        <v>8</v>
      </c>
      <c r="DB126" s="27" t="s">
        <v>7</v>
      </c>
      <c r="DC126" s="27" t="s">
        <v>8</v>
      </c>
      <c r="DD126" s="27" t="s">
        <v>7</v>
      </c>
    </row>
    <row r="127" spans="1:108" x14ac:dyDescent="0.25">
      <c r="A127" s="30">
        <v>247.96523407231004</v>
      </c>
      <c r="C127" s="30">
        <v>194.28724927013116</v>
      </c>
      <c r="D127"/>
      <c r="E127" s="1" t="s">
        <v>8</v>
      </c>
      <c r="P127" s="27" t="s">
        <v>7</v>
      </c>
      <c r="Q127" s="27" t="s">
        <v>8</v>
      </c>
      <c r="BP127" s="27" t="s">
        <v>7</v>
      </c>
      <c r="BQ127" s="27" t="s">
        <v>8</v>
      </c>
      <c r="BR127" s="27" t="s">
        <v>7</v>
      </c>
      <c r="BS127" s="27" t="s">
        <v>8</v>
      </c>
      <c r="BT127" s="27" t="s">
        <v>7</v>
      </c>
      <c r="BV127" s="27" t="s">
        <v>7</v>
      </c>
      <c r="BW127" s="27" t="s">
        <v>8</v>
      </c>
      <c r="BX127" s="27" t="s">
        <v>7</v>
      </c>
      <c r="BY127" s="27" t="s">
        <v>8</v>
      </c>
      <c r="CA127" s="27" t="s">
        <v>8</v>
      </c>
      <c r="CB127" s="27" t="s">
        <v>7</v>
      </c>
      <c r="CI127" s="27" t="s">
        <v>8</v>
      </c>
      <c r="CJ127" s="27" t="s">
        <v>7</v>
      </c>
      <c r="CK127" s="27" t="s">
        <v>8</v>
      </c>
      <c r="CL127" s="27" t="s">
        <v>7</v>
      </c>
      <c r="CM127" s="27" t="s">
        <v>8</v>
      </c>
      <c r="CN127" s="27" t="s">
        <v>7</v>
      </c>
      <c r="CO127" s="27" t="s">
        <v>8</v>
      </c>
      <c r="CT127" s="27" t="s">
        <v>7</v>
      </c>
      <c r="CV127" s="27" t="s">
        <v>7</v>
      </c>
      <c r="DA127" s="27" t="s">
        <v>8</v>
      </c>
      <c r="DB127" s="27" t="s">
        <v>7</v>
      </c>
      <c r="DC127" s="27" t="s">
        <v>8</v>
      </c>
      <c r="DD127" s="27" t="s">
        <v>7</v>
      </c>
    </row>
    <row r="128" spans="1:108" x14ac:dyDescent="0.25">
      <c r="A128" s="30">
        <v>236.15736578315241</v>
      </c>
      <c r="E128" s="1" t="s">
        <v>8</v>
      </c>
      <c r="P128" s="27" t="s">
        <v>7</v>
      </c>
      <c r="Q128" s="27" t="s">
        <v>8</v>
      </c>
      <c r="BP128" s="27" t="s">
        <v>7</v>
      </c>
      <c r="BQ128" s="27" t="s">
        <v>8</v>
      </c>
      <c r="BR128" s="27" t="s">
        <v>7</v>
      </c>
      <c r="BS128" s="27" t="s">
        <v>8</v>
      </c>
      <c r="BV128" s="27" t="s">
        <v>7</v>
      </c>
      <c r="BW128" s="27" t="s">
        <v>8</v>
      </c>
      <c r="BX128" s="27" t="s">
        <v>7</v>
      </c>
      <c r="BY128" s="27" t="s">
        <v>8</v>
      </c>
      <c r="BZ128" s="27" t="s">
        <v>7</v>
      </c>
      <c r="CA128" s="27" t="s">
        <v>8</v>
      </c>
      <c r="CB128" s="27" t="s">
        <v>7</v>
      </c>
      <c r="CI128" s="27" t="s">
        <v>8</v>
      </c>
      <c r="CJ128" s="27" t="s">
        <v>7</v>
      </c>
      <c r="CK128" s="27" t="s">
        <v>8</v>
      </c>
      <c r="CL128" s="27" t="s">
        <v>7</v>
      </c>
      <c r="CM128" s="27" t="s">
        <v>8</v>
      </c>
      <c r="CN128" s="27" t="s">
        <v>7</v>
      </c>
      <c r="CO128" s="27" t="s">
        <v>8</v>
      </c>
      <c r="CV128" s="27" t="s">
        <v>7</v>
      </c>
      <c r="DA128" s="27" t="s">
        <v>8</v>
      </c>
      <c r="DB128" s="27" t="s">
        <v>7</v>
      </c>
      <c r="DC128" s="27" t="s">
        <v>8</v>
      </c>
      <c r="DD128" s="27" t="s">
        <v>7</v>
      </c>
    </row>
    <row r="129" spans="1:108" x14ac:dyDescent="0.25">
      <c r="A129" s="30">
        <v>224.91177693633563</v>
      </c>
      <c r="C129" s="1" t="s">
        <v>11</v>
      </c>
      <c r="D129" s="1" t="s">
        <v>12</v>
      </c>
      <c r="E129" t="s">
        <v>8</v>
      </c>
      <c r="P129" s="27" t="s">
        <v>7</v>
      </c>
      <c r="Q129" s="27" t="s">
        <v>8</v>
      </c>
      <c r="BP129" s="27" t="s">
        <v>7</v>
      </c>
      <c r="BR129" s="27" t="s">
        <v>7</v>
      </c>
      <c r="BS129" s="27" t="s">
        <v>8</v>
      </c>
      <c r="BV129" s="27" t="s">
        <v>7</v>
      </c>
      <c r="BW129" s="27" t="s">
        <v>8</v>
      </c>
      <c r="BX129" s="27" t="s">
        <v>7</v>
      </c>
      <c r="BY129" s="27" t="s">
        <v>8</v>
      </c>
      <c r="BZ129" s="27" t="s">
        <v>7</v>
      </c>
      <c r="CA129" s="27" t="s">
        <v>8</v>
      </c>
      <c r="CB129" s="27" t="s">
        <v>7</v>
      </c>
      <c r="CI129" s="27" t="s">
        <v>8</v>
      </c>
      <c r="CJ129" s="27" t="s">
        <v>7</v>
      </c>
      <c r="CK129" s="27" t="s">
        <v>8</v>
      </c>
      <c r="CL129" s="27" t="s">
        <v>7</v>
      </c>
      <c r="CM129" s="27" t="s">
        <v>8</v>
      </c>
      <c r="CN129" s="27" t="s">
        <v>7</v>
      </c>
      <c r="CV129" s="27" t="s">
        <v>7</v>
      </c>
      <c r="DA129" s="27" t="s">
        <v>8</v>
      </c>
      <c r="DB129" s="27" t="s">
        <v>7</v>
      </c>
      <c r="DC129" s="27" t="s">
        <v>8</v>
      </c>
      <c r="DD129" s="27" t="s">
        <v>7</v>
      </c>
    </row>
    <row r="130" spans="1:108" x14ac:dyDescent="0.25">
      <c r="A130" s="30">
        <v>214.20169232031964</v>
      </c>
      <c r="C130" s="6"/>
      <c r="D130" s="6"/>
      <c r="E130" t="s">
        <v>8</v>
      </c>
      <c r="P130" s="27" t="s">
        <v>7</v>
      </c>
      <c r="Q130" s="27" t="s">
        <v>8</v>
      </c>
      <c r="BR130" s="27" t="s">
        <v>7</v>
      </c>
      <c r="BS130" s="27" t="s">
        <v>8</v>
      </c>
      <c r="BV130" s="27" t="s">
        <v>7</v>
      </c>
      <c r="BW130" s="27" t="s">
        <v>8</v>
      </c>
      <c r="BX130" s="27" t="s">
        <v>7</v>
      </c>
      <c r="BZ130" s="27" t="s">
        <v>7</v>
      </c>
      <c r="CA130" s="27" t="s">
        <v>8</v>
      </c>
      <c r="CB130" s="27" t="s">
        <v>7</v>
      </c>
      <c r="CE130" s="27" t="s">
        <v>8</v>
      </c>
      <c r="CI130" s="27" t="s">
        <v>8</v>
      </c>
      <c r="CJ130" s="27" t="s">
        <v>7</v>
      </c>
      <c r="CK130" s="27" t="s">
        <v>8</v>
      </c>
      <c r="CL130" s="27" t="s">
        <v>7</v>
      </c>
      <c r="CV130" s="27" t="s">
        <v>7</v>
      </c>
      <c r="DA130" s="27" t="s">
        <v>8</v>
      </c>
      <c r="DB130" s="27" t="s">
        <v>7</v>
      </c>
      <c r="DC130" s="27" t="s">
        <v>8</v>
      </c>
      <c r="DD130" s="27" t="s">
        <v>7</v>
      </c>
    </row>
    <row r="131" spans="1:108" x14ac:dyDescent="0.25">
      <c r="A131" s="30">
        <v>204.00161173363773</v>
      </c>
      <c r="E131" t="s">
        <v>8</v>
      </c>
      <c r="P131" s="27" t="s">
        <v>7</v>
      </c>
      <c r="Q131" s="27" t="s">
        <v>8</v>
      </c>
      <c r="BR131" s="27" t="s">
        <v>7</v>
      </c>
      <c r="BS131" s="27" t="s">
        <v>8</v>
      </c>
      <c r="BV131" s="27" t="s">
        <v>7</v>
      </c>
      <c r="BZ131" s="27" t="s">
        <v>7</v>
      </c>
      <c r="CB131" s="27" t="s">
        <v>7</v>
      </c>
      <c r="CC131" s="27" t="s">
        <v>8</v>
      </c>
      <c r="CE131" s="27" t="s">
        <v>8</v>
      </c>
      <c r="CF131" s="27" t="s">
        <v>7</v>
      </c>
      <c r="CG131" s="27" t="s">
        <v>8</v>
      </c>
      <c r="CI131" s="27" t="s">
        <v>8</v>
      </c>
      <c r="CJ131" s="27" t="s">
        <v>7</v>
      </c>
      <c r="CK131" s="27" t="s">
        <v>8</v>
      </c>
      <c r="CV131" s="27" t="s">
        <v>7</v>
      </c>
      <c r="DA131" s="27" t="s">
        <v>8</v>
      </c>
      <c r="DB131" s="27" t="s">
        <v>7</v>
      </c>
      <c r="DC131" s="27" t="s">
        <v>8</v>
      </c>
      <c r="DD131" s="27" t="s">
        <v>7</v>
      </c>
    </row>
    <row r="132" spans="1:108" x14ac:dyDescent="0.25">
      <c r="A132" s="30">
        <v>194.28724927013116</v>
      </c>
      <c r="C132" s="1" t="s">
        <v>13</v>
      </c>
      <c r="E132" t="s">
        <v>8</v>
      </c>
      <c r="P132" s="27" t="s">
        <v>7</v>
      </c>
      <c r="Q132" s="27" t="s">
        <v>8</v>
      </c>
      <c r="BR132" s="27" t="s">
        <v>7</v>
      </c>
      <c r="CB132" s="27" t="s">
        <v>7</v>
      </c>
      <c r="CC132" s="27" t="s">
        <v>8</v>
      </c>
      <c r="CD132" s="27" t="s">
        <v>7</v>
      </c>
      <c r="CE132" s="27" t="s">
        <v>8</v>
      </c>
      <c r="CF132" s="27" t="s">
        <v>7</v>
      </c>
      <c r="CG132" s="27" t="s">
        <v>8</v>
      </c>
      <c r="CH132" s="27" t="s">
        <v>7</v>
      </c>
      <c r="CI132" s="27" t="s">
        <v>8</v>
      </c>
      <c r="CJ132" s="27" t="s">
        <v>7</v>
      </c>
      <c r="CK132" s="27" t="s">
        <v>8</v>
      </c>
      <c r="CV132" s="27" t="s">
        <v>7</v>
      </c>
      <c r="DA132" s="27" t="s">
        <v>8</v>
      </c>
      <c r="DB132" s="27" t="s">
        <v>7</v>
      </c>
      <c r="DC132" s="27" t="s">
        <v>8</v>
      </c>
      <c r="DD132" s="27" t="s">
        <v>7</v>
      </c>
    </row>
    <row r="133" spans="1:108" x14ac:dyDescent="0.25">
      <c r="A133" s="30">
        <v>185.03547549536299</v>
      </c>
      <c r="C133" s="1" t="str">
        <f>C122</f>
        <v>O</v>
      </c>
      <c r="E133" t="s">
        <v>8</v>
      </c>
      <c r="P133" s="27" t="s">
        <v>7</v>
      </c>
      <c r="Q133" s="27" t="s">
        <v>8</v>
      </c>
      <c r="CB133" s="27" t="s">
        <v>7</v>
      </c>
      <c r="CC133" s="27" t="s">
        <v>8</v>
      </c>
      <c r="CD133" s="27" t="s">
        <v>7</v>
      </c>
      <c r="CE133" s="27" t="s">
        <v>8</v>
      </c>
      <c r="CF133" s="27" t="s">
        <v>7</v>
      </c>
      <c r="CG133" s="27" t="s">
        <v>8</v>
      </c>
      <c r="CH133" s="27" t="s">
        <v>7</v>
      </c>
      <c r="CI133" s="27" t="s">
        <v>8</v>
      </c>
      <c r="CJ133" s="27" t="s">
        <v>7</v>
      </c>
      <c r="CK133" s="27" t="s">
        <v>8</v>
      </c>
      <c r="CV133" s="27" t="s">
        <v>7</v>
      </c>
      <c r="DA133" s="27" t="s">
        <v>8</v>
      </c>
      <c r="DB133" s="27" t="s">
        <v>7</v>
      </c>
      <c r="DC133" s="27" t="s">
        <v>8</v>
      </c>
    </row>
    <row r="134" spans="1:108" x14ac:dyDescent="0.25">
      <c r="A134" s="30">
        <v>176.22426237653616</v>
      </c>
      <c r="C134"/>
      <c r="E134" t="s">
        <v>8</v>
      </c>
      <c r="P134" s="27" t="s">
        <v>7</v>
      </c>
      <c r="Q134" s="27" t="s">
        <v>8</v>
      </c>
      <c r="CB134" s="27" t="s">
        <v>7</v>
      </c>
      <c r="CC134" s="27" t="s">
        <v>8</v>
      </c>
      <c r="CD134" s="27" t="s">
        <v>7</v>
      </c>
      <c r="CE134" s="27" t="s">
        <v>8</v>
      </c>
      <c r="CF134" s="27" t="s">
        <v>7</v>
      </c>
      <c r="CH134" s="27" t="s">
        <v>7</v>
      </c>
      <c r="CI134" s="27" t="s">
        <v>8</v>
      </c>
      <c r="CJ134" s="18" t="s">
        <v>7</v>
      </c>
      <c r="CK134" s="27" t="s">
        <v>8</v>
      </c>
      <c r="CV134" s="27" t="s">
        <v>7</v>
      </c>
      <c r="CW134" s="27" t="s">
        <v>8</v>
      </c>
      <c r="DA134" s="27" t="s">
        <v>8</v>
      </c>
      <c r="DB134" s="27" t="s">
        <v>7</v>
      </c>
      <c r="DC134" s="27" t="s">
        <v>8</v>
      </c>
    </row>
    <row r="135" spans="1:108" x14ac:dyDescent="0.25">
      <c r="A135" s="30">
        <v>167.83263083479633</v>
      </c>
      <c r="C135" s="1" t="s">
        <v>14</v>
      </c>
      <c r="E135" t="s">
        <v>8</v>
      </c>
      <c r="P135" s="27" t="s">
        <v>7</v>
      </c>
      <c r="Q135" s="27" t="s">
        <v>8</v>
      </c>
      <c r="CB135" s="27" t="s">
        <v>7</v>
      </c>
      <c r="CC135" s="27" t="s">
        <v>8</v>
      </c>
      <c r="CD135" s="27" t="s">
        <v>7</v>
      </c>
      <c r="CE135" s="27" t="s">
        <v>8</v>
      </c>
      <c r="CH135" s="27" t="s">
        <v>7</v>
      </c>
      <c r="CJ135" s="27" t="s">
        <v>7</v>
      </c>
      <c r="CV135" s="27" t="s">
        <v>7</v>
      </c>
      <c r="CW135" s="27" t="s">
        <v>8</v>
      </c>
      <c r="CX135" s="27" t="s">
        <v>7</v>
      </c>
      <c r="CY135" s="27" t="s">
        <v>8</v>
      </c>
      <c r="DA135" s="27" t="s">
        <v>8</v>
      </c>
      <c r="DB135" s="27" t="s">
        <v>7</v>
      </c>
      <c r="DC135" s="27" t="s">
        <v>8</v>
      </c>
    </row>
    <row r="136" spans="1:108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 t="s">
        <v>8</v>
      </c>
      <c r="P136" s="27" t="s">
        <v>7</v>
      </c>
      <c r="Q136" s="27" t="s">
        <v>8</v>
      </c>
      <c r="CB136" s="27" t="s">
        <v>7</v>
      </c>
      <c r="CD136" s="27" t="s">
        <v>7</v>
      </c>
      <c r="CV136" s="27" t="s">
        <v>7</v>
      </c>
      <c r="CW136" s="27" t="s">
        <v>8</v>
      </c>
      <c r="CX136" s="27" t="s">
        <v>7</v>
      </c>
      <c r="CY136" s="27" t="s">
        <v>8</v>
      </c>
      <c r="CZ136" s="27" t="s">
        <v>7</v>
      </c>
      <c r="DA136" s="27" t="s">
        <v>8</v>
      </c>
      <c r="DB136" s="27" t="s">
        <v>7</v>
      </c>
    </row>
    <row r="137" spans="1:108" x14ac:dyDescent="0.25">
      <c r="A137" s="30">
        <v>152.22914361432771</v>
      </c>
      <c r="E137" t="s">
        <v>8</v>
      </c>
      <c r="P137" s="27" t="s">
        <v>7</v>
      </c>
      <c r="Q137" s="27" t="s">
        <v>8</v>
      </c>
      <c r="CV137" s="27" t="s">
        <v>7</v>
      </c>
      <c r="CX137" s="27" t="s">
        <v>7</v>
      </c>
      <c r="CY137" s="27" t="s">
        <v>8</v>
      </c>
      <c r="CZ137" s="27" t="s">
        <v>7</v>
      </c>
      <c r="DA137" s="27" t="s">
        <v>8</v>
      </c>
    </row>
    <row r="138" spans="1:108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 t="s">
        <v>8</v>
      </c>
      <c r="P138" s="27" t="s">
        <v>7</v>
      </c>
      <c r="Q138" s="27" t="s">
        <v>8</v>
      </c>
      <c r="CX138" s="27" t="s">
        <v>7</v>
      </c>
      <c r="CZ138" s="27" t="s">
        <v>7</v>
      </c>
    </row>
    <row r="139" spans="1:108" x14ac:dyDescent="0.25">
      <c r="A139" s="30">
        <v>138.07632073861922</v>
      </c>
      <c r="E139" t="s">
        <v>8</v>
      </c>
      <c r="P139" s="27" t="s">
        <v>7</v>
      </c>
      <c r="Q139" s="27" t="s">
        <v>8</v>
      </c>
    </row>
    <row r="140" spans="1:108" x14ac:dyDescent="0.25">
      <c r="A140" s="30">
        <v>131.50125784630401</v>
      </c>
      <c r="C140" s="1">
        <v>0</v>
      </c>
      <c r="E140" t="s">
        <v>8</v>
      </c>
      <c r="P140" s="27" t="s">
        <v>7</v>
      </c>
      <c r="Q140" s="27" t="s">
        <v>8</v>
      </c>
    </row>
    <row r="141" spans="1:108" x14ac:dyDescent="0.25">
      <c r="A141" s="30">
        <v>125.23929318695619</v>
      </c>
      <c r="C141" s="1">
        <v>1</v>
      </c>
      <c r="E141" t="s">
        <v>8</v>
      </c>
      <c r="P141" s="27" t="s">
        <v>7</v>
      </c>
      <c r="Q141" s="27" t="s">
        <v>8</v>
      </c>
    </row>
    <row r="142" spans="1:108" x14ac:dyDescent="0.25">
      <c r="A142" s="30">
        <v>119.27551732091065</v>
      </c>
      <c r="C142" s="1">
        <v>2</v>
      </c>
      <c r="E142" t="s">
        <v>8</v>
      </c>
      <c r="P142" s="27" t="s">
        <v>7</v>
      </c>
      <c r="Q142" s="27" t="s">
        <v>8</v>
      </c>
    </row>
    <row r="143" spans="1:108" x14ac:dyDescent="0.25">
      <c r="A143" s="30">
        <v>113.59573078181967</v>
      </c>
      <c r="C143" s="1">
        <v>3</v>
      </c>
      <c r="E143" t="s">
        <v>8</v>
      </c>
      <c r="P143" s="27" t="s">
        <v>7</v>
      </c>
      <c r="Q143" s="27" t="s">
        <v>8</v>
      </c>
    </row>
    <row r="144" spans="1:108" x14ac:dyDescent="0.25">
      <c r="A144" s="30">
        <v>108.18641026839968</v>
      </c>
      <c r="C144" s="1">
        <v>4</v>
      </c>
      <c r="E144" t="s">
        <v>8</v>
      </c>
      <c r="P144" s="27" t="s">
        <v>7</v>
      </c>
      <c r="Q144" s="27" t="s">
        <v>8</v>
      </c>
    </row>
    <row r="145" spans="1:17" x14ac:dyDescent="0.25">
      <c r="A145" s="30">
        <v>103.03467644609493</v>
      </c>
      <c r="E145" t="s">
        <v>8</v>
      </c>
      <c r="P145" s="27" t="s">
        <v>7</v>
      </c>
      <c r="Q145" s="27" t="s">
        <v>8</v>
      </c>
    </row>
    <row r="146" spans="1:17" x14ac:dyDescent="0.25">
      <c r="A146" s="30">
        <v>98.128263281995174</v>
      </c>
      <c r="E146" t="s">
        <v>8</v>
      </c>
      <c r="P146" s="27" t="s">
        <v>7</v>
      </c>
      <c r="Q146" s="27" t="s">
        <v>8</v>
      </c>
    </row>
    <row r="147" spans="1:17" x14ac:dyDescent="0.25">
      <c r="A147" s="30">
        <v>93.455488839995397</v>
      </c>
      <c r="E147" t="s">
        <v>8</v>
      </c>
      <c r="P147" s="27" t="s">
        <v>7</v>
      </c>
      <c r="Q147" s="27" t="s">
        <v>8</v>
      </c>
    </row>
    <row r="148" spans="1:17" x14ac:dyDescent="0.25">
      <c r="A148" s="30">
        <v>89.005227466662276</v>
      </c>
      <c r="E148" t="s">
        <v>8</v>
      </c>
      <c r="P148" s="27" t="s">
        <v>7</v>
      </c>
      <c r="Q148" s="27" t="s">
        <v>8</v>
      </c>
    </row>
    <row r="149" spans="1:17" x14ac:dyDescent="0.25">
      <c r="A149" s="30">
        <v>84.766883301583121</v>
      </c>
      <c r="E149" t="s">
        <v>8</v>
      </c>
      <c r="P149" s="27" t="s">
        <v>7</v>
      </c>
      <c r="Q149" s="27" t="s">
        <v>8</v>
      </c>
    </row>
    <row r="150" spans="1:17" x14ac:dyDescent="0.25">
      <c r="A150" s="30">
        <v>80.730365049126775</v>
      </c>
      <c r="E150" t="s">
        <v>8</v>
      </c>
      <c r="P150" s="27" t="s">
        <v>7</v>
      </c>
      <c r="Q150" s="27" t="s">
        <v>8</v>
      </c>
    </row>
    <row r="151" spans="1:17" x14ac:dyDescent="0.25">
      <c r="A151" s="30">
        <v>76.886061951549308</v>
      </c>
      <c r="E151" t="s">
        <v>8</v>
      </c>
      <c r="P151" s="27" t="s">
        <v>7</v>
      </c>
      <c r="Q151" s="27" t="s">
        <v>8</v>
      </c>
    </row>
    <row r="152" spans="1:17" x14ac:dyDescent="0.25">
      <c r="A152" s="30">
        <v>73.22482090623744</v>
      </c>
      <c r="E152" t="s">
        <v>8</v>
      </c>
      <c r="P152" s="27" t="s">
        <v>7</v>
      </c>
      <c r="Q152" s="27" t="s">
        <v>8</v>
      </c>
    </row>
    <row r="153" spans="1:17" x14ac:dyDescent="0.25">
      <c r="A153" s="30">
        <v>69.737924672607079</v>
      </c>
      <c r="C153" s="7"/>
      <c r="D153"/>
      <c r="E153" t="s">
        <v>8</v>
      </c>
      <c r="P153" s="27" t="s">
        <v>7</v>
      </c>
      <c r="Q153" s="27" t="s">
        <v>8</v>
      </c>
    </row>
    <row r="154" spans="1:17" x14ac:dyDescent="0.25">
      <c r="A154" s="30">
        <v>66.417071116768639</v>
      </c>
      <c r="E154" t="s">
        <v>8</v>
      </c>
      <c r="P154" s="27" t="s">
        <v>7</v>
      </c>
      <c r="Q154" s="27" t="s">
        <v>8</v>
      </c>
    </row>
    <row r="155" spans="1:17" x14ac:dyDescent="0.25">
      <c r="A155" s="30">
        <v>63.254353444541557</v>
      </c>
      <c r="E155" t="s">
        <v>8</v>
      </c>
      <c r="P155" s="27" t="s">
        <v>7</v>
      </c>
      <c r="Q155" s="27" t="s">
        <v>8</v>
      </c>
    </row>
    <row r="156" spans="1:17" x14ac:dyDescent="0.25">
      <c r="A156" s="30">
        <v>60.242241375753864</v>
      </c>
      <c r="C156"/>
      <c r="D156"/>
      <c r="E156" t="s">
        <v>8</v>
      </c>
      <c r="P156" s="27" t="s">
        <v>7</v>
      </c>
      <c r="Q156" s="27" t="s">
        <v>8</v>
      </c>
    </row>
    <row r="157" spans="1:17" x14ac:dyDescent="0.25">
      <c r="A157" s="30">
        <v>57.373563215003678</v>
      </c>
      <c r="E157" t="s">
        <v>8</v>
      </c>
      <c r="P157" s="27" t="s">
        <v>7</v>
      </c>
      <c r="Q157" s="27" t="s">
        <v>8</v>
      </c>
    </row>
    <row r="158" spans="1:17" x14ac:dyDescent="0.25">
      <c r="A158" s="30">
        <v>54.641488776193974</v>
      </c>
      <c r="E158" t="s">
        <v>8</v>
      </c>
      <c r="P158" s="27" t="s">
        <v>7</v>
      </c>
      <c r="Q158" s="27" t="s">
        <v>8</v>
      </c>
    </row>
    <row r="159" spans="1:17" x14ac:dyDescent="0.25">
      <c r="A159" s="30">
        <v>52.039513120184736</v>
      </c>
      <c r="E159" t="s">
        <v>8</v>
      </c>
      <c r="P159" s="27" t="s">
        <v>7</v>
      </c>
    </row>
    <row r="160" spans="1:17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03" operator="equal">
      <formula>$U$1</formula>
    </cfRule>
    <cfRule type="cellIs" dxfId="67" priority="804" operator="equal">
      <formula>$S$1</formula>
    </cfRule>
  </conditionalFormatting>
  <conditionalFormatting sqref="D136">
    <cfRule type="cellIs" dxfId="66" priority="801" operator="equal">
      <formula>$S$1</formula>
    </cfRule>
    <cfRule type="cellIs" dxfId="65" priority="802" operator="equal">
      <formula>$U$1</formula>
    </cfRule>
  </conditionalFormatting>
  <conditionalFormatting sqref="C162">
    <cfRule type="cellIs" dxfId="64" priority="799" operator="equal">
      <formula>$U$1</formula>
    </cfRule>
    <cfRule type="cellIs" dxfId="63" priority="800" operator="equal">
      <formula>$S$1</formula>
    </cfRule>
  </conditionalFormatting>
  <conditionalFormatting sqref="D162">
    <cfRule type="cellIs" dxfId="62" priority="797" operator="equal">
      <formula>$S$1</formula>
    </cfRule>
    <cfRule type="cellIs" dxfId="61" priority="798" operator="equal">
      <formula>$U$1</formula>
    </cfRule>
  </conditionalFormatting>
  <conditionalFormatting sqref="C187">
    <cfRule type="cellIs" dxfId="60" priority="795" operator="equal">
      <formula>$U$1</formula>
    </cfRule>
    <cfRule type="cellIs" dxfId="59" priority="796" operator="equal">
      <formula>$S$1</formula>
    </cfRule>
  </conditionalFormatting>
  <conditionalFormatting sqref="D187">
    <cfRule type="cellIs" dxfId="58" priority="793" operator="equal">
      <formula>$S$1</formula>
    </cfRule>
    <cfRule type="cellIs" dxfId="57" priority="794" operator="equal">
      <formula>$U$1</formula>
    </cfRule>
  </conditionalFormatting>
  <conditionalFormatting sqref="C212">
    <cfRule type="cellIs" dxfId="56" priority="791" operator="equal">
      <formula>$U$1</formula>
    </cfRule>
    <cfRule type="cellIs" dxfId="55" priority="792" operator="equal">
      <formula>$S$1</formula>
    </cfRule>
  </conditionalFormatting>
  <conditionalFormatting sqref="D212">
    <cfRule type="cellIs" dxfId="54" priority="789" operator="equal">
      <formula>$S$1</formula>
    </cfRule>
    <cfRule type="cellIs" dxfId="53" priority="790" operator="equal">
      <formula>$U$1</formula>
    </cfRule>
  </conditionalFormatting>
  <conditionalFormatting sqref="C237">
    <cfRule type="cellIs" dxfId="52" priority="787" operator="equal">
      <formula>$U$1</formula>
    </cfRule>
    <cfRule type="cellIs" dxfId="51" priority="788" operator="equal">
      <formula>$S$1</formula>
    </cfRule>
  </conditionalFormatting>
  <conditionalFormatting sqref="D237">
    <cfRule type="cellIs" dxfId="50" priority="785" operator="equal">
      <formula>$S$1</formula>
    </cfRule>
    <cfRule type="cellIs" dxfId="49" priority="786" operator="equal">
      <formula>$U$1</formula>
    </cfRule>
  </conditionalFormatting>
  <conditionalFormatting sqref="C106">
    <cfRule type="cellIs" dxfId="48" priority="783" operator="equal">
      <formula>$U$1</formula>
    </cfRule>
    <cfRule type="cellIs" dxfId="47" priority="784" operator="equal">
      <formula>$S$1</formula>
    </cfRule>
  </conditionalFormatting>
  <conditionalFormatting sqref="D106">
    <cfRule type="cellIs" dxfId="46" priority="781" operator="equal">
      <formula>$S$1</formula>
    </cfRule>
    <cfRule type="cellIs" dxfId="45" priority="782" operator="equal">
      <formula>$U$1</formula>
    </cfRule>
  </conditionalFormatting>
  <conditionalFormatting sqref="C81">
    <cfRule type="cellIs" dxfId="44" priority="779" operator="equal">
      <formula>$U$1</formula>
    </cfRule>
    <cfRule type="cellIs" dxfId="43" priority="780" operator="equal">
      <formula>$S$1</formula>
    </cfRule>
  </conditionalFormatting>
  <conditionalFormatting sqref="D81">
    <cfRule type="cellIs" dxfId="42" priority="777" operator="equal">
      <formula>$S$1</formula>
    </cfRule>
    <cfRule type="cellIs" dxfId="41" priority="778" operator="equal">
      <formula>$U$1</formula>
    </cfRule>
  </conditionalFormatting>
  <conditionalFormatting sqref="C56">
    <cfRule type="cellIs" dxfId="40" priority="775" operator="equal">
      <formula>$U$1</formula>
    </cfRule>
    <cfRule type="cellIs" dxfId="39" priority="776" operator="equal">
      <formula>$S$1</formula>
    </cfRule>
  </conditionalFormatting>
  <conditionalFormatting sqref="D56">
    <cfRule type="cellIs" dxfId="38" priority="773" operator="equal">
      <formula>$S$1</formula>
    </cfRule>
    <cfRule type="cellIs" dxfId="37" priority="774" operator="equal">
      <formula>$U$1</formula>
    </cfRule>
  </conditionalFormatting>
  <conditionalFormatting sqref="C31">
    <cfRule type="cellIs" dxfId="36" priority="771" operator="equal">
      <formula>$U$1</formula>
    </cfRule>
    <cfRule type="cellIs" dxfId="35" priority="772" operator="equal">
      <formula>$S$1</formula>
    </cfRule>
  </conditionalFormatting>
  <conditionalFormatting sqref="D31">
    <cfRule type="cellIs" dxfId="34" priority="769" operator="equal">
      <formula>$S$1</formula>
    </cfRule>
    <cfRule type="cellIs" dxfId="33" priority="77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T66" sqref="AT6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22" x14ac:dyDescent="0.25">
      <c r="A33" s="30">
        <v>4390.927778387033</v>
      </c>
      <c r="E33"/>
    </row>
    <row r="34" spans="1:22" x14ac:dyDescent="0.25">
      <c r="A34" s="30">
        <v>3991.7525258063934</v>
      </c>
      <c r="E34"/>
    </row>
    <row r="35" spans="1:22" x14ac:dyDescent="0.25">
      <c r="A35" s="30">
        <v>3628.8659325512663</v>
      </c>
      <c r="E35"/>
    </row>
    <row r="36" spans="1:22" x14ac:dyDescent="0.25">
      <c r="A36" s="30">
        <v>3298.96902959206</v>
      </c>
      <c r="E36"/>
    </row>
    <row r="37" spans="1:22" x14ac:dyDescent="0.25">
      <c r="A37" s="30">
        <v>2999.0627541745998</v>
      </c>
      <c r="E37"/>
    </row>
    <row r="38" spans="1:22" x14ac:dyDescent="0.25">
      <c r="A38" s="30">
        <v>2726.4206856132723</v>
      </c>
      <c r="E38"/>
    </row>
    <row r="39" spans="1:22" x14ac:dyDescent="0.25">
      <c r="A39" s="30">
        <v>2478.564259648429</v>
      </c>
      <c r="E39"/>
    </row>
    <row r="40" spans="1:22" x14ac:dyDescent="0.25">
      <c r="A40" s="30">
        <v>2253.240236044026</v>
      </c>
      <c r="E40"/>
    </row>
    <row r="41" spans="1:22" x14ac:dyDescent="0.25">
      <c r="A41" s="30">
        <v>2048.4002145854779</v>
      </c>
      <c r="E41"/>
    </row>
    <row r="42" spans="1:22" x14ac:dyDescent="0.25">
      <c r="A42" s="30">
        <v>1862.1820132595253</v>
      </c>
      <c r="C42" s="1" t="s">
        <v>15</v>
      </c>
      <c r="E42"/>
    </row>
    <row r="43" spans="1:22" x14ac:dyDescent="0.25">
      <c r="A43" s="30">
        <v>1692.8927393268411</v>
      </c>
      <c r="C43" s="7">
        <v>0.11167815779424731</v>
      </c>
      <c r="D43"/>
      <c r="E43"/>
      <c r="Q43" s="27" t="s">
        <v>8</v>
      </c>
      <c r="S43" s="27" t="s">
        <v>8</v>
      </c>
    </row>
    <row r="44" spans="1:22" x14ac:dyDescent="0.25">
      <c r="A44" s="30">
        <v>1538.9933993880372</v>
      </c>
      <c r="E44"/>
      <c r="Q44" s="27" t="s">
        <v>8</v>
      </c>
      <c r="R44" s="27" t="s">
        <v>7</v>
      </c>
      <c r="S44" s="27" t="s">
        <v>8</v>
      </c>
      <c r="T44" s="27" t="s">
        <v>7</v>
      </c>
    </row>
    <row r="45" spans="1:22" x14ac:dyDescent="0.25">
      <c r="A45" s="30">
        <v>1399.0849085345792</v>
      </c>
      <c r="C45" s="1" t="s">
        <v>11</v>
      </c>
      <c r="D45" s="1" t="s">
        <v>12</v>
      </c>
      <c r="E45"/>
      <c r="G45" s="27" t="s">
        <v>8</v>
      </c>
      <c r="K45" s="27" t="s">
        <v>8</v>
      </c>
      <c r="Q45" s="27" t="s">
        <v>8</v>
      </c>
      <c r="R45" s="27" t="s">
        <v>7</v>
      </c>
      <c r="S45" s="27" t="s">
        <v>8</v>
      </c>
      <c r="T45" s="27" t="s">
        <v>7</v>
      </c>
    </row>
    <row r="46" spans="1:22" x14ac:dyDescent="0.25">
      <c r="A46" s="30">
        <v>1271.8953713950718</v>
      </c>
      <c r="C46"/>
      <c r="D46"/>
      <c r="E46"/>
      <c r="G46" s="27" t="s">
        <v>8</v>
      </c>
      <c r="H46" s="27" t="s">
        <v>7</v>
      </c>
      <c r="K46" s="27" t="s">
        <v>8</v>
      </c>
      <c r="L46" s="27" t="s">
        <v>7</v>
      </c>
      <c r="Q46" s="27" t="s">
        <v>8</v>
      </c>
      <c r="R46" s="27" t="s">
        <v>7</v>
      </c>
      <c r="T46" s="27" t="s">
        <v>7</v>
      </c>
    </row>
    <row r="47" spans="1:22" x14ac:dyDescent="0.25">
      <c r="A47" s="30">
        <v>1156.2685194500652</v>
      </c>
      <c r="E47"/>
      <c r="G47" s="27" t="s">
        <v>8</v>
      </c>
      <c r="H47" s="27" t="s">
        <v>7</v>
      </c>
      <c r="K47" s="27" t="s">
        <v>8</v>
      </c>
      <c r="L47" s="27" t="s">
        <v>7</v>
      </c>
      <c r="Q47" s="27" t="s">
        <v>8</v>
      </c>
      <c r="T47" s="27" t="s">
        <v>7</v>
      </c>
      <c r="U47" s="27" t="s">
        <v>8</v>
      </c>
    </row>
    <row r="48" spans="1:22" x14ac:dyDescent="0.25">
      <c r="A48" s="30">
        <v>1051.1531995000591</v>
      </c>
      <c r="C48" s="1" t="s">
        <v>13</v>
      </c>
      <c r="E48"/>
      <c r="G48" s="27" t="s">
        <v>8</v>
      </c>
      <c r="H48" s="27" t="s">
        <v>7</v>
      </c>
      <c r="K48" s="27" t="s">
        <v>8</v>
      </c>
      <c r="L48" s="27" t="s">
        <v>7</v>
      </c>
      <c r="Q48" s="27" t="s">
        <v>8</v>
      </c>
      <c r="T48" s="27" t="s">
        <v>7</v>
      </c>
      <c r="U48" s="27" t="s">
        <v>8</v>
      </c>
      <c r="V48" s="27" t="s">
        <v>7</v>
      </c>
    </row>
    <row r="49" spans="1:46" x14ac:dyDescent="0.25">
      <c r="A49" s="30">
        <v>955.59381772732638</v>
      </c>
      <c r="C49" s="1">
        <f>C38</f>
        <v>0</v>
      </c>
      <c r="E49" t="s">
        <v>8</v>
      </c>
      <c r="G49" s="27" t="s">
        <v>8</v>
      </c>
      <c r="H49" s="27" t="s">
        <v>7</v>
      </c>
      <c r="I49" s="27" t="s">
        <v>8</v>
      </c>
      <c r="K49" s="27" t="s">
        <v>8</v>
      </c>
      <c r="L49" s="27" t="s">
        <v>7</v>
      </c>
      <c r="Q49" s="27" t="s">
        <v>8</v>
      </c>
      <c r="T49" s="27" t="s">
        <v>7</v>
      </c>
      <c r="U49" s="27" t="s">
        <v>8</v>
      </c>
      <c r="V49" s="27" t="s">
        <v>7</v>
      </c>
    </row>
    <row r="50" spans="1:46" x14ac:dyDescent="0.25">
      <c r="A50" s="30">
        <v>868.72165247938756</v>
      </c>
      <c r="C50"/>
      <c r="D50"/>
      <c r="E50" t="s">
        <v>8</v>
      </c>
      <c r="F50" s="27" t="s">
        <v>7</v>
      </c>
      <c r="G50" s="27" t="s">
        <v>8</v>
      </c>
      <c r="H50" s="27" t="s">
        <v>7</v>
      </c>
      <c r="I50" s="27" t="s">
        <v>8</v>
      </c>
      <c r="J50" s="27" t="s">
        <v>7</v>
      </c>
      <c r="K50" s="27" t="s">
        <v>8</v>
      </c>
      <c r="L50" s="27" t="s">
        <v>7</v>
      </c>
      <c r="Q50" s="27" t="s">
        <v>8</v>
      </c>
      <c r="T50" s="27" t="s">
        <v>7</v>
      </c>
      <c r="V50" s="27" t="s">
        <v>7</v>
      </c>
    </row>
    <row r="51" spans="1:46" x14ac:dyDescent="0.25">
      <c r="A51" s="30">
        <v>789.74695679944318</v>
      </c>
      <c r="C51" s="1" t="s">
        <v>14</v>
      </c>
      <c r="E51" t="s">
        <v>8</v>
      </c>
      <c r="F51" s="27" t="s">
        <v>7</v>
      </c>
      <c r="G51" s="27" t="s">
        <v>8</v>
      </c>
      <c r="H51" s="27" t="s">
        <v>7</v>
      </c>
      <c r="I51" s="27" t="s">
        <v>8</v>
      </c>
      <c r="J51" s="27" t="s">
        <v>7</v>
      </c>
      <c r="K51" s="27" t="s">
        <v>8</v>
      </c>
      <c r="L51" s="27" t="s">
        <v>7</v>
      </c>
      <c r="O51" s="27" t="s">
        <v>8</v>
      </c>
      <c r="Q51" s="27" t="s">
        <v>8</v>
      </c>
      <c r="V51" s="27" t="s">
        <v>7</v>
      </c>
    </row>
    <row r="52" spans="1:46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 t="s">
        <v>8</v>
      </c>
      <c r="F52" s="27" t="s">
        <v>7</v>
      </c>
      <c r="H52" s="27" t="s">
        <v>7</v>
      </c>
      <c r="I52" s="27" t="s">
        <v>8</v>
      </c>
      <c r="J52" s="27" t="s">
        <v>7</v>
      </c>
      <c r="K52" s="27" t="s">
        <v>8</v>
      </c>
      <c r="L52" s="27" t="s">
        <v>7</v>
      </c>
      <c r="O52" s="27" t="s">
        <v>8</v>
      </c>
      <c r="P52" s="27" t="s">
        <v>7</v>
      </c>
      <c r="Q52" s="27" t="s">
        <v>8</v>
      </c>
      <c r="V52" s="27" t="s">
        <v>7</v>
      </c>
      <c r="W52" s="27" t="s">
        <v>8</v>
      </c>
      <c r="AA52" s="27" t="s">
        <v>8</v>
      </c>
    </row>
    <row r="53" spans="1:46" x14ac:dyDescent="0.25">
      <c r="A53" s="30">
        <v>652.68343537144051</v>
      </c>
      <c r="E53" t="s">
        <v>8</v>
      </c>
      <c r="H53" s="27" t="s">
        <v>7</v>
      </c>
      <c r="J53" s="27" t="s">
        <v>7</v>
      </c>
      <c r="K53" s="27" t="s">
        <v>8</v>
      </c>
      <c r="L53" s="27" t="s">
        <v>7</v>
      </c>
      <c r="M53" s="27" t="s">
        <v>8</v>
      </c>
      <c r="O53" s="27" t="s">
        <v>8</v>
      </c>
      <c r="P53" s="27" t="s">
        <v>7</v>
      </c>
      <c r="Q53" s="27" t="s">
        <v>8</v>
      </c>
      <c r="V53" s="27" t="s">
        <v>7</v>
      </c>
      <c r="W53" s="27" t="s">
        <v>8</v>
      </c>
      <c r="X53" s="27" t="s">
        <v>7</v>
      </c>
      <c r="AA53" s="27" t="s">
        <v>8</v>
      </c>
      <c r="AB53" s="27" t="s">
        <v>7</v>
      </c>
    </row>
    <row r="54" spans="1:46" x14ac:dyDescent="0.25">
      <c r="A54" s="30">
        <v>593.34857761040041</v>
      </c>
      <c r="E54" t="s">
        <v>8</v>
      </c>
      <c r="J54" s="27" t="s">
        <v>7</v>
      </c>
      <c r="K54" s="27" t="s">
        <v>8</v>
      </c>
      <c r="L54" s="27" t="s">
        <v>7</v>
      </c>
      <c r="M54" s="27" t="s">
        <v>8</v>
      </c>
      <c r="N54" s="27" t="s">
        <v>7</v>
      </c>
      <c r="O54" s="27" t="s">
        <v>8</v>
      </c>
      <c r="P54" s="27" t="s">
        <v>7</v>
      </c>
      <c r="V54" s="27" t="s">
        <v>7</v>
      </c>
      <c r="W54" s="27" t="s">
        <v>8</v>
      </c>
      <c r="X54" s="27" t="s">
        <v>7</v>
      </c>
      <c r="AA54" s="27" t="s">
        <v>8</v>
      </c>
      <c r="AB54" s="27" t="s">
        <v>7</v>
      </c>
    </row>
    <row r="55" spans="1:46" x14ac:dyDescent="0.25">
      <c r="A55" s="30">
        <v>539.40779782763673</v>
      </c>
      <c r="E55" t="s">
        <v>8</v>
      </c>
      <c r="J55" s="27" t="s">
        <v>7</v>
      </c>
      <c r="K55" s="27" t="s">
        <v>8</v>
      </c>
      <c r="L55" s="27" t="s">
        <v>7</v>
      </c>
      <c r="M55" s="27" t="s">
        <v>8</v>
      </c>
      <c r="N55" s="27" t="s">
        <v>7</v>
      </c>
      <c r="O55" s="27" t="s">
        <v>8</v>
      </c>
      <c r="V55" s="27" t="s">
        <v>7</v>
      </c>
      <c r="W55" s="27" t="s">
        <v>8</v>
      </c>
      <c r="X55" s="27" t="s">
        <v>7</v>
      </c>
      <c r="Y55" s="27" t="s">
        <v>8</v>
      </c>
      <c r="AA55" s="27" t="s">
        <v>8</v>
      </c>
      <c r="AB55" s="27" t="s">
        <v>7</v>
      </c>
    </row>
    <row r="56" spans="1:46" x14ac:dyDescent="0.25">
      <c r="A56" s="30">
        <v>490.37072529785149</v>
      </c>
      <c r="E56" t="s">
        <v>8</v>
      </c>
      <c r="J56" s="27" t="s">
        <v>7</v>
      </c>
      <c r="K56" s="27" t="s">
        <v>8</v>
      </c>
      <c r="L56" s="27" t="s">
        <v>7</v>
      </c>
      <c r="M56" s="27" t="s">
        <v>8</v>
      </c>
      <c r="N56" s="27" t="s">
        <v>7</v>
      </c>
      <c r="O56" s="27" t="s">
        <v>8</v>
      </c>
      <c r="V56" s="27" t="s">
        <v>7</v>
      </c>
      <c r="X56" s="27" t="s">
        <v>7</v>
      </c>
      <c r="Y56" s="27" t="s">
        <v>8</v>
      </c>
      <c r="Z56" s="27" t="s">
        <v>7</v>
      </c>
      <c r="AA56" s="27" t="s">
        <v>8</v>
      </c>
      <c r="AB56" s="27" t="s">
        <v>7</v>
      </c>
    </row>
    <row r="57" spans="1:46" x14ac:dyDescent="0.25">
      <c r="A57" s="30">
        <v>445.79156845259223</v>
      </c>
      <c r="E57" t="s">
        <v>8</v>
      </c>
      <c r="J57" s="27" t="s">
        <v>7</v>
      </c>
      <c r="K57" s="27" t="s">
        <v>8</v>
      </c>
      <c r="L57" s="27" t="s">
        <v>7</v>
      </c>
      <c r="M57" s="27" t="s">
        <v>8</v>
      </c>
      <c r="N57" s="27" t="s">
        <v>7</v>
      </c>
      <c r="O57" s="27" t="s">
        <v>8</v>
      </c>
      <c r="X57" s="27" t="s">
        <v>7</v>
      </c>
      <c r="Y57" s="27" t="s">
        <v>8</v>
      </c>
      <c r="Z57" s="27" t="s">
        <v>7</v>
      </c>
      <c r="AA57" s="27" t="s">
        <v>8</v>
      </c>
      <c r="AB57" s="27" t="s">
        <v>7</v>
      </c>
      <c r="AQ57" s="27" t="s">
        <v>8</v>
      </c>
    </row>
    <row r="58" spans="1:46" x14ac:dyDescent="0.25">
      <c r="A58" s="30">
        <v>405.26506222962928</v>
      </c>
      <c r="E58" t="s">
        <v>8</v>
      </c>
      <c r="J58" s="27" t="s">
        <v>7</v>
      </c>
      <c r="K58" s="27" t="s">
        <v>8</v>
      </c>
      <c r="L58" s="27" t="s">
        <v>7</v>
      </c>
      <c r="M58" s="27" t="s">
        <v>8</v>
      </c>
      <c r="N58" s="27" t="s">
        <v>7</v>
      </c>
      <c r="X58" s="27" t="s">
        <v>7</v>
      </c>
      <c r="Z58" s="27" t="s">
        <v>7</v>
      </c>
      <c r="AA58" s="27" t="s">
        <v>8</v>
      </c>
      <c r="AB58" s="27" t="s">
        <v>7</v>
      </c>
      <c r="AE58" s="27" t="s">
        <v>8</v>
      </c>
      <c r="AQ58" s="27" t="s">
        <v>8</v>
      </c>
      <c r="AR58" s="27" t="s">
        <v>7</v>
      </c>
    </row>
    <row r="59" spans="1:46" x14ac:dyDescent="0.25">
      <c r="A59" s="30">
        <v>368.42278384511752</v>
      </c>
      <c r="E59" t="s">
        <v>8</v>
      </c>
      <c r="J59" s="27" t="s">
        <v>7</v>
      </c>
      <c r="K59" s="27" t="s">
        <v>8</v>
      </c>
      <c r="L59" s="27" t="s">
        <v>7</v>
      </c>
      <c r="M59" s="27" t="s">
        <v>8</v>
      </c>
      <c r="Z59" s="27" t="s">
        <v>7</v>
      </c>
      <c r="AA59" s="27" t="s">
        <v>8</v>
      </c>
      <c r="AB59" s="27" t="s">
        <v>7</v>
      </c>
      <c r="AE59" s="27" t="s">
        <v>8</v>
      </c>
      <c r="AF59" s="27" t="s">
        <v>7</v>
      </c>
      <c r="AM59" s="27" t="s">
        <v>8</v>
      </c>
      <c r="AO59" s="27" t="s">
        <v>8</v>
      </c>
      <c r="AQ59" s="27" t="s">
        <v>8</v>
      </c>
      <c r="AR59" s="27" t="s">
        <v>7</v>
      </c>
    </row>
    <row r="60" spans="1:46" x14ac:dyDescent="0.25">
      <c r="A60" s="30">
        <v>334.92980349556137</v>
      </c>
      <c r="E60" t="s">
        <v>8</v>
      </c>
      <c r="J60" s="27" t="s">
        <v>7</v>
      </c>
      <c r="K60" s="27" t="s">
        <v>8</v>
      </c>
      <c r="L60" s="27" t="s">
        <v>7</v>
      </c>
      <c r="M60" s="27" t="s">
        <v>8</v>
      </c>
      <c r="Z60" s="27" t="s">
        <v>7</v>
      </c>
      <c r="AB60" s="27" t="s">
        <v>7</v>
      </c>
      <c r="AE60" s="27" t="s">
        <v>8</v>
      </c>
      <c r="AF60" s="27" t="s">
        <v>7</v>
      </c>
      <c r="AG60" s="27" t="s">
        <v>8</v>
      </c>
      <c r="AM60" s="27" t="s">
        <v>8</v>
      </c>
      <c r="AN60" s="27" t="s">
        <v>7</v>
      </c>
      <c r="AO60" s="27" t="s">
        <v>8</v>
      </c>
      <c r="AP60" s="27" t="s">
        <v>7</v>
      </c>
      <c r="AQ60" s="27" t="s">
        <v>8</v>
      </c>
      <c r="AR60" s="27" t="s">
        <v>7</v>
      </c>
      <c r="AS60" s="27" t="s">
        <v>8</v>
      </c>
    </row>
    <row r="61" spans="1:46" x14ac:dyDescent="0.25">
      <c r="A61" s="30">
        <v>304.48163954141938</v>
      </c>
      <c r="E61" t="s">
        <v>8</v>
      </c>
      <c r="J61" s="27" t="s">
        <v>7</v>
      </c>
      <c r="K61" s="27" t="s">
        <v>8</v>
      </c>
      <c r="L61" s="27" t="s">
        <v>7</v>
      </c>
      <c r="AB61" s="27" t="s">
        <v>7</v>
      </c>
      <c r="AE61" s="27" t="s">
        <v>8</v>
      </c>
      <c r="AF61" s="27" t="s">
        <v>7</v>
      </c>
      <c r="AG61" s="27" t="s">
        <v>8</v>
      </c>
      <c r="AH61" s="27" t="s">
        <v>7</v>
      </c>
      <c r="AM61" s="27" t="s">
        <v>8</v>
      </c>
      <c r="AN61" s="27" t="s">
        <v>7</v>
      </c>
      <c r="AO61" s="27" t="s">
        <v>8</v>
      </c>
      <c r="AP61" s="27" t="s">
        <v>7</v>
      </c>
      <c r="AQ61" s="27" t="s">
        <v>8</v>
      </c>
      <c r="AR61" s="27" t="s">
        <v>7</v>
      </c>
      <c r="AS61" s="27" t="s">
        <v>8</v>
      </c>
      <c r="AT61" s="27" t="s">
        <v>7</v>
      </c>
    </row>
    <row r="62" spans="1:46" x14ac:dyDescent="0.25">
      <c r="A62" s="30">
        <v>276.80149049219943</v>
      </c>
      <c r="E62" t="s">
        <v>8</v>
      </c>
      <c r="J62" s="27" t="s">
        <v>7</v>
      </c>
      <c r="K62" s="27" t="s">
        <v>8</v>
      </c>
      <c r="AB62" s="27" t="s">
        <v>7</v>
      </c>
      <c r="AC62" s="27" t="s">
        <v>8</v>
      </c>
      <c r="AE62" s="27" t="s">
        <v>8</v>
      </c>
      <c r="AF62" s="27" t="s">
        <v>7</v>
      </c>
      <c r="AG62" s="27" t="s">
        <v>8</v>
      </c>
      <c r="AH62" s="27" t="s">
        <v>7</v>
      </c>
      <c r="AI62" s="27" t="s">
        <v>8</v>
      </c>
      <c r="AK62" s="27" t="s">
        <v>8</v>
      </c>
      <c r="AM62" s="27" t="s">
        <v>8</v>
      </c>
      <c r="AN62" s="27" t="s">
        <v>7</v>
      </c>
      <c r="AP62" s="27" t="s">
        <v>7</v>
      </c>
      <c r="AQ62" s="27" t="s">
        <v>8</v>
      </c>
      <c r="AR62" s="27" t="s">
        <v>7</v>
      </c>
      <c r="AS62" s="27" t="s">
        <v>8</v>
      </c>
      <c r="AT62" s="27" t="s">
        <v>7</v>
      </c>
    </row>
    <row r="63" spans="1:46" x14ac:dyDescent="0.25">
      <c r="A63" s="30">
        <v>251.63771862927217</v>
      </c>
      <c r="E63" t="s">
        <v>8</v>
      </c>
      <c r="J63" s="27" t="s">
        <v>7</v>
      </c>
      <c r="K63" s="27" t="s">
        <v>8</v>
      </c>
      <c r="AB63" s="27" t="s">
        <v>7</v>
      </c>
      <c r="AC63" s="27" t="s">
        <v>8</v>
      </c>
      <c r="AD63" s="27" t="s">
        <v>7</v>
      </c>
      <c r="AE63" s="27" t="s">
        <v>8</v>
      </c>
      <c r="AF63" s="27" t="s">
        <v>7</v>
      </c>
      <c r="AG63" s="27" t="s">
        <v>8</v>
      </c>
      <c r="AH63" s="27" t="s">
        <v>7</v>
      </c>
      <c r="AI63" s="27" t="s">
        <v>8</v>
      </c>
      <c r="AJ63" s="27" t="s">
        <v>7</v>
      </c>
      <c r="AK63" s="27" t="s">
        <v>8</v>
      </c>
      <c r="AL63" s="27" t="s">
        <v>7</v>
      </c>
      <c r="AM63" s="27" t="s">
        <v>8</v>
      </c>
      <c r="AP63" s="27" t="s">
        <v>7</v>
      </c>
      <c r="AQ63" s="27" t="s">
        <v>8</v>
      </c>
      <c r="AR63" s="27" t="s">
        <v>7</v>
      </c>
      <c r="AS63" s="27" t="s">
        <v>8</v>
      </c>
      <c r="AT63" s="27" t="s">
        <v>7</v>
      </c>
    </row>
    <row r="64" spans="1:46" x14ac:dyDescent="0.25">
      <c r="A64" s="30">
        <v>228.76156239024741</v>
      </c>
      <c r="E64" t="s">
        <v>8</v>
      </c>
      <c r="J64" s="27" t="s">
        <v>7</v>
      </c>
      <c r="K64" s="27" t="s">
        <v>8</v>
      </c>
      <c r="AB64" s="27" t="s">
        <v>7</v>
      </c>
      <c r="AC64" s="27" t="s">
        <v>8</v>
      </c>
      <c r="AD64" s="27" t="s">
        <v>7</v>
      </c>
      <c r="AE64" s="27" t="s">
        <v>8</v>
      </c>
      <c r="AF64" s="27" t="s">
        <v>7</v>
      </c>
      <c r="AG64" s="27" t="s">
        <v>8</v>
      </c>
      <c r="AH64" s="27" t="s">
        <v>7</v>
      </c>
      <c r="AI64" s="27" t="s">
        <v>8</v>
      </c>
      <c r="AJ64" s="27" t="s">
        <v>7</v>
      </c>
      <c r="AK64" s="27" t="s">
        <v>8</v>
      </c>
      <c r="AL64" s="27" t="s">
        <v>7</v>
      </c>
      <c r="AM64" s="27" t="s">
        <v>8</v>
      </c>
      <c r="AP64" s="27" t="s">
        <v>7</v>
      </c>
      <c r="AQ64" s="27" t="s">
        <v>8</v>
      </c>
      <c r="AR64" s="27" t="s">
        <v>7</v>
      </c>
      <c r="AS64" s="27" t="s">
        <v>8</v>
      </c>
      <c r="AT64" s="27" t="s">
        <v>7</v>
      </c>
    </row>
    <row r="65" spans="1:46" x14ac:dyDescent="0.25">
      <c r="A65" s="30">
        <v>207.96505671840671</v>
      </c>
      <c r="E65" t="s">
        <v>8</v>
      </c>
      <c r="J65" s="27" t="s">
        <v>7</v>
      </c>
      <c r="K65" s="27" t="s">
        <v>8</v>
      </c>
      <c r="AB65" s="27" t="s">
        <v>7</v>
      </c>
      <c r="AD65" s="27" t="s">
        <v>7</v>
      </c>
      <c r="AF65" s="27" t="s">
        <v>7</v>
      </c>
      <c r="AH65" s="27" t="s">
        <v>7</v>
      </c>
      <c r="AI65" s="27" t="s">
        <v>8</v>
      </c>
      <c r="AJ65" s="27" t="s">
        <v>7</v>
      </c>
      <c r="AK65" s="27" t="s">
        <v>8</v>
      </c>
      <c r="AL65" s="27" t="s">
        <v>7</v>
      </c>
      <c r="AP65" s="27" t="s">
        <v>7</v>
      </c>
      <c r="AQ65" s="27" t="s">
        <v>8</v>
      </c>
      <c r="AR65" s="27" t="s">
        <v>7</v>
      </c>
      <c r="AS65" s="27" t="s">
        <v>8</v>
      </c>
      <c r="AT65" s="27" t="s">
        <v>7</v>
      </c>
    </row>
    <row r="66" spans="1:46" x14ac:dyDescent="0.25">
      <c r="A66" s="30">
        <v>189.05914247127882</v>
      </c>
      <c r="E66" t="s">
        <v>8</v>
      </c>
      <c r="J66" s="27" t="s">
        <v>7</v>
      </c>
      <c r="K66" s="27" t="s">
        <v>8</v>
      </c>
      <c r="AH66" s="27" t="s">
        <v>7</v>
      </c>
      <c r="AI66" s="27" t="s">
        <v>8</v>
      </c>
      <c r="AJ66" s="18" t="s">
        <v>7</v>
      </c>
      <c r="AK66" s="27" t="s">
        <v>8</v>
      </c>
      <c r="AP66" s="27" t="s">
        <v>7</v>
      </c>
      <c r="AQ66" s="27" t="s">
        <v>8</v>
      </c>
      <c r="AR66" s="27" t="s">
        <v>7</v>
      </c>
      <c r="AS66" s="27" t="s">
        <v>8</v>
      </c>
      <c r="AT66" s="27" t="s">
        <v>7</v>
      </c>
    </row>
    <row r="67" spans="1:46" x14ac:dyDescent="0.25">
      <c r="A67" s="30">
        <v>171.87194770116255</v>
      </c>
      <c r="C67" s="1" t="s">
        <v>15</v>
      </c>
      <c r="E67" t="s">
        <v>8</v>
      </c>
      <c r="J67" s="27" t="s">
        <v>7</v>
      </c>
      <c r="K67" s="27" t="s">
        <v>8</v>
      </c>
      <c r="AH67" s="27" t="s">
        <v>7</v>
      </c>
      <c r="AI67" s="27" t="s">
        <v>8</v>
      </c>
      <c r="AJ67" s="27" t="s">
        <v>7</v>
      </c>
      <c r="AP67" s="27" t="s">
        <v>7</v>
      </c>
      <c r="AQ67" s="27" t="s">
        <v>8</v>
      </c>
      <c r="AR67" s="27" t="s">
        <v>7</v>
      </c>
    </row>
    <row r="68" spans="1:46" x14ac:dyDescent="0.25">
      <c r="A68" s="30">
        <v>156.24722518287504</v>
      </c>
      <c r="C68" s="7">
        <v>0.11167815779424731</v>
      </c>
      <c r="D68"/>
      <c r="E68" t="s">
        <v>8</v>
      </c>
      <c r="J68" s="27" t="s">
        <v>7</v>
      </c>
      <c r="K68" s="27" t="s">
        <v>8</v>
      </c>
      <c r="AH68" s="27" t="s">
        <v>7</v>
      </c>
      <c r="AP68" s="27" t="s">
        <v>7</v>
      </c>
    </row>
    <row r="69" spans="1:46" x14ac:dyDescent="0.25">
      <c r="A69" s="30">
        <v>142.04293198443185</v>
      </c>
      <c r="E69" t="s">
        <v>8</v>
      </c>
      <c r="J69" s="27" t="s">
        <v>7</v>
      </c>
      <c r="K69" s="27" t="s">
        <v>8</v>
      </c>
    </row>
    <row r="70" spans="1:46" x14ac:dyDescent="0.25">
      <c r="A70" s="30">
        <v>129.1299381676653</v>
      </c>
      <c r="C70" s="1" t="s">
        <v>11</v>
      </c>
      <c r="D70" s="1" t="s">
        <v>12</v>
      </c>
      <c r="E70" t="s">
        <v>8</v>
      </c>
      <c r="J70" s="27" t="s">
        <v>7</v>
      </c>
      <c r="K70" s="27" t="s">
        <v>8</v>
      </c>
    </row>
    <row r="71" spans="1:46" x14ac:dyDescent="0.25">
      <c r="A71" s="30">
        <v>117.39085287969573</v>
      </c>
      <c r="C71"/>
      <c r="D71"/>
      <c r="E71" t="s">
        <v>8</v>
      </c>
      <c r="J71" s="27" t="s">
        <v>7</v>
      </c>
      <c r="K71" s="27" t="s">
        <v>8</v>
      </c>
    </row>
    <row r="72" spans="1:46" x14ac:dyDescent="0.25">
      <c r="A72" s="30">
        <v>106.71895716335975</v>
      </c>
      <c r="E72" t="s">
        <v>8</v>
      </c>
      <c r="J72" s="27" t="s">
        <v>7</v>
      </c>
      <c r="K72" s="27" t="s">
        <v>8</v>
      </c>
    </row>
    <row r="73" spans="1:46" x14ac:dyDescent="0.25">
      <c r="A73" s="30">
        <v>97.017233784872488</v>
      </c>
      <c r="C73" s="1" t="s">
        <v>13</v>
      </c>
      <c r="E73" t="s">
        <v>8</v>
      </c>
      <c r="J73" s="27" t="s">
        <v>7</v>
      </c>
      <c r="K73" s="27" t="s">
        <v>8</v>
      </c>
    </row>
    <row r="74" spans="1:46" x14ac:dyDescent="0.25">
      <c r="A74" s="30">
        <v>88.197485258974979</v>
      </c>
      <c r="C74" s="1">
        <f>C63</f>
        <v>0</v>
      </c>
      <c r="E74" t="s">
        <v>8</v>
      </c>
      <c r="J74" s="27" t="s">
        <v>7</v>
      </c>
      <c r="K74" s="27" t="s">
        <v>8</v>
      </c>
    </row>
    <row r="75" spans="1:46" x14ac:dyDescent="0.25">
      <c r="A75" s="30">
        <v>80.179532053613613</v>
      </c>
      <c r="C75"/>
      <c r="D75"/>
      <c r="E75" t="s">
        <v>8</v>
      </c>
      <c r="J75" s="27" t="s">
        <v>7</v>
      </c>
      <c r="K75" s="27" t="s">
        <v>8</v>
      </c>
    </row>
    <row r="76" spans="1:46" x14ac:dyDescent="0.25">
      <c r="A76" s="30">
        <v>72.890483685103277</v>
      </c>
      <c r="C76" s="1" t="s">
        <v>14</v>
      </c>
      <c r="E76" t="s">
        <v>8</v>
      </c>
      <c r="J76" s="27" t="s">
        <v>7</v>
      </c>
      <c r="K76" s="27" t="s">
        <v>8</v>
      </c>
    </row>
    <row r="77" spans="1:46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J77" s="27" t="s">
        <v>7</v>
      </c>
      <c r="K77" s="27" t="s">
        <v>8</v>
      </c>
    </row>
    <row r="78" spans="1:46" x14ac:dyDescent="0.25">
      <c r="A78" s="30">
        <v>60.240069161242367</v>
      </c>
      <c r="E78" t="s">
        <v>8</v>
      </c>
      <c r="J78" s="27" t="s">
        <v>7</v>
      </c>
      <c r="K78" s="27" t="s">
        <v>8</v>
      </c>
    </row>
    <row r="79" spans="1:46" x14ac:dyDescent="0.25">
      <c r="A79" s="30">
        <v>54.763699237493057</v>
      </c>
      <c r="E79" t="s">
        <v>8</v>
      </c>
      <c r="J79" s="27" t="s">
        <v>7</v>
      </c>
    </row>
    <row r="80" spans="1:46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$A$65</v>
      </c>
      <c r="D111" s="1" t="str">
        <f>ADDRESS(C121-1,D121,1,1)</f>
        <v>$AT$65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$A$66</v>
      </c>
      <c r="D112" s="1" t="str">
        <f>ADDRESS(C121,D121-1,1,1)</f>
        <v>$AS$66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$A$67</v>
      </c>
      <c r="D113" s="1" t="str">
        <f>ADDRESS(C121-1,D121+1,1,1)</f>
        <v>$AU$65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$AT$66</v>
      </c>
      <c r="D114" s="1" t="str">
        <f>ADDRESS(C121+1,D121+1,1,1)</f>
        <v>$AU$67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$AT$67</v>
      </c>
      <c r="E115" s="1" t="s">
        <v>8</v>
      </c>
    </row>
    <row r="116" spans="1:5" x14ac:dyDescent="0.25">
      <c r="A116" s="30">
        <v>1.6105100000000008</v>
      </c>
      <c r="C116" s="1">
        <f>C117-1</f>
        <v>65</v>
      </c>
      <c r="E116" s="1" t="s">
        <v>8</v>
      </c>
    </row>
    <row r="117" spans="1:5" x14ac:dyDescent="0.25">
      <c r="A117" s="30">
        <v>1.4641000000000006</v>
      </c>
      <c r="C117" s="1">
        <f>C121</f>
        <v>66</v>
      </c>
      <c r="D117" s="1">
        <f>D121</f>
        <v>46</v>
      </c>
      <c r="E117" s="1" t="s">
        <v>8</v>
      </c>
    </row>
    <row r="118" spans="1:5" x14ac:dyDescent="0.25">
      <c r="A118" s="30">
        <v>1.3310000000000004</v>
      </c>
      <c r="C118" s="1">
        <f>C117+1</f>
        <v>67</v>
      </c>
      <c r="D118" s="1">
        <f>D117+1</f>
        <v>47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66</v>
      </c>
      <c r="D121" s="19">
        <v>46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R66</v>
      </c>
      <c r="D123" s="1" t="str">
        <f>"C"&amp;D121</f>
        <v>C46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189.05914247127882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87" operator="equal">
      <formula>$U$1</formula>
    </cfRule>
    <cfRule type="cellIs" dxfId="30" priority="788" operator="equal">
      <formula>$S$1</formula>
    </cfRule>
  </conditionalFormatting>
  <conditionalFormatting sqref="D136">
    <cfRule type="cellIs" dxfId="29" priority="785" operator="equal">
      <formula>$S$1</formula>
    </cfRule>
    <cfRule type="cellIs" dxfId="28" priority="786" operator="equal">
      <formula>$U$1</formula>
    </cfRule>
  </conditionalFormatting>
  <conditionalFormatting sqref="C102">
    <cfRule type="cellIs" dxfId="27" priority="783" operator="equal">
      <formula>$U$1</formula>
    </cfRule>
    <cfRule type="cellIs" dxfId="26" priority="784" operator="equal">
      <formula>$S$1</formula>
    </cfRule>
  </conditionalFormatting>
  <conditionalFormatting sqref="D102">
    <cfRule type="cellIs" dxfId="25" priority="781" operator="equal">
      <formula>$S$1</formula>
    </cfRule>
    <cfRule type="cellIs" dxfId="24" priority="782" operator="equal">
      <formula>$U$1</formula>
    </cfRule>
  </conditionalFormatting>
  <conditionalFormatting sqref="C77">
    <cfRule type="cellIs" dxfId="23" priority="779" operator="equal">
      <formula>$U$1</formula>
    </cfRule>
    <cfRule type="cellIs" dxfId="22" priority="780" operator="equal">
      <formula>$S$1</formula>
    </cfRule>
  </conditionalFormatting>
  <conditionalFormatting sqref="D77">
    <cfRule type="cellIs" dxfId="21" priority="777" operator="equal">
      <formula>$S$1</formula>
    </cfRule>
    <cfRule type="cellIs" dxfId="20" priority="778" operator="equal">
      <formula>$U$1</formula>
    </cfRule>
  </conditionalFormatting>
  <conditionalFormatting sqref="C52">
    <cfRule type="cellIs" dxfId="19" priority="775" operator="equal">
      <formula>$U$1</formula>
    </cfRule>
    <cfRule type="cellIs" dxfId="18" priority="776" operator="equal">
      <formula>$S$1</formula>
    </cfRule>
  </conditionalFormatting>
  <conditionalFormatting sqref="D52">
    <cfRule type="cellIs" dxfId="17" priority="773" operator="equal">
      <formula>$S$1</formula>
    </cfRule>
    <cfRule type="cellIs" dxfId="16" priority="774" operator="equal">
      <formula>$U$1</formula>
    </cfRule>
  </conditionalFormatting>
  <conditionalFormatting sqref="C26">
    <cfRule type="cellIs" dxfId="15" priority="771" operator="equal">
      <formula>$U$1</formula>
    </cfRule>
    <cfRule type="cellIs" dxfId="14" priority="772" operator="equal">
      <formula>$S$1</formula>
    </cfRule>
  </conditionalFormatting>
  <conditionalFormatting sqref="D26">
    <cfRule type="cellIs" dxfId="13" priority="769" operator="equal">
      <formula>$S$1</formula>
    </cfRule>
    <cfRule type="cellIs" dxfId="12" priority="77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2022-01-19T00:04:50Z</dcterms:modified>
</cp:coreProperties>
</file>