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6A066BE-098B-45CB-BCA0-9EB34C724312}" xr6:coauthVersionLast="47" xr6:coauthVersionMax="47" xr10:uidLastSave="{00000000-0000-0000-0000-000000000000}"/>
  <bookViews>
    <workbookView xWindow="3510" yWindow="3510" windowWidth="23370" windowHeight="15600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757" i="1"/>
  <c r="Q757" i="1" s="1"/>
  <c r="R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22" i="3"/>
  <c r="C133" i="3" s="1"/>
  <c r="C116" i="3"/>
  <c r="C118" i="5"/>
  <c r="C102" i="5"/>
  <c r="C118" i="3"/>
  <c r="D31" i="4"/>
  <c r="C122" i="4"/>
  <c r="C133" i="4" s="1"/>
  <c r="M3" i="6"/>
  <c r="C81" i="4"/>
  <c r="C52" i="5"/>
  <c r="C118" i="2"/>
  <c r="C116" i="2"/>
  <c r="K3" i="6"/>
  <c r="D26" i="5"/>
  <c r="C122" i="5"/>
  <c r="C133" i="5" s="1"/>
  <c r="D136" i="5" s="1"/>
  <c r="C56" i="4"/>
  <c r="C118" i="4"/>
  <c r="C116" i="4"/>
  <c r="D136" i="2"/>
  <c r="C136" i="2"/>
  <c r="C138" i="2"/>
  <c r="C2" i="1" l="1"/>
  <c r="D2" i="1"/>
  <c r="R756" i="1"/>
  <c r="S756" i="1" s="1"/>
  <c r="T756" i="1" s="1"/>
  <c r="S757" i="1"/>
  <c r="T757" i="1" s="1"/>
  <c r="C136" i="5"/>
  <c r="C138" i="5" s="1"/>
  <c r="C136" i="4"/>
  <c r="D136" i="4"/>
  <c r="D136" i="3"/>
  <c r="C136" i="3"/>
  <c r="C138" i="3" l="1"/>
  <c r="R755" i="1"/>
  <c r="C138" i="4"/>
  <c r="R754" i="1"/>
  <c r="S755" i="1"/>
  <c r="T755" i="1" s="1"/>
  <c r="S754" i="1" l="1"/>
  <c r="T754" i="1" s="1"/>
  <c r="R753" i="1"/>
  <c r="R752" i="1" l="1"/>
  <c r="S753" i="1"/>
  <c r="T753" i="1" s="1"/>
  <c r="S752" i="1" l="1"/>
  <c r="T752" i="1" s="1"/>
  <c r="R751" i="1"/>
  <c r="R750" i="1" l="1"/>
  <c r="S751" i="1"/>
  <c r="T751" i="1" s="1"/>
  <c r="S750" i="1" l="1"/>
  <c r="T750" i="1" s="1"/>
  <c r="R749" i="1"/>
  <c r="R748" i="1" l="1"/>
  <c r="S749" i="1"/>
  <c r="T749" i="1" s="1"/>
  <c r="S748" i="1" l="1"/>
  <c r="T748" i="1" s="1"/>
  <c r="R747" i="1"/>
  <c r="R746" i="1" l="1"/>
  <c r="S747" i="1"/>
  <c r="T747" i="1" s="1"/>
  <c r="R745" i="1" l="1"/>
  <c r="S746" i="1"/>
  <c r="T746" i="1" s="1"/>
  <c r="S745" i="1" l="1"/>
  <c r="T745" i="1" s="1"/>
  <c r="R744" i="1"/>
  <c r="S744" i="1" l="1"/>
  <c r="T744" i="1" s="1"/>
  <c r="R743" i="1"/>
  <c r="R742" i="1" l="1"/>
  <c r="S743" i="1"/>
  <c r="T743" i="1" s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R737" i="1" l="1"/>
  <c r="S738" i="1"/>
  <c r="T738" i="1" s="1"/>
  <c r="S737" i="1" l="1"/>
  <c r="T737" i="1" s="1"/>
  <c r="R736" i="1"/>
  <c r="S736" i="1" l="1"/>
  <c r="T736" i="1" s="1"/>
  <c r="R735" i="1"/>
  <c r="S735" i="1" l="1"/>
  <c r="T735" i="1" s="1"/>
  <c r="R734" i="1"/>
  <c r="S734" i="1" l="1"/>
  <c r="T734" i="1" s="1"/>
  <c r="R733" i="1"/>
  <c r="S733" i="1" l="1"/>
  <c r="T733" i="1" s="1"/>
  <c r="R732" i="1"/>
  <c r="R731" i="1" l="1"/>
  <c r="S732" i="1"/>
  <c r="T732" i="1" s="1"/>
  <c r="R730" i="1" l="1"/>
  <c r="S731" i="1"/>
  <c r="T731" i="1" s="1"/>
  <c r="S730" i="1" l="1"/>
  <c r="T730" i="1" s="1"/>
  <c r="R729" i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S722" i="1" l="1"/>
  <c r="T722" i="1" s="1"/>
  <c r="R721" i="1"/>
  <c r="S721" i="1" l="1"/>
  <c r="T721" i="1" s="1"/>
  <c r="R720" i="1"/>
  <c r="S720" i="1" l="1"/>
  <c r="T720" i="1" s="1"/>
  <c r="R719" i="1"/>
  <c r="R718" i="1" l="1"/>
  <c r="S719" i="1"/>
  <c r="T719" i="1" s="1"/>
  <c r="R717" i="1" l="1"/>
  <c r="S718" i="1"/>
  <c r="T718" i="1" s="1"/>
  <c r="R716" i="1" l="1"/>
  <c r="S717" i="1"/>
  <c r="T717" i="1" s="1"/>
  <c r="S716" i="1" l="1"/>
  <c r="T716" i="1" s="1"/>
  <c r="R715" i="1"/>
  <c r="S715" i="1" l="1"/>
  <c r="T715" i="1" s="1"/>
  <c r="R714" i="1"/>
  <c r="R713" i="1" l="1"/>
  <c r="S714" i="1"/>
  <c r="T714" i="1" s="1"/>
  <c r="R712" i="1" l="1"/>
  <c r="S713" i="1"/>
  <c r="T713" i="1" s="1"/>
  <c r="R711" i="1" l="1"/>
  <c r="S712" i="1"/>
  <c r="T712" i="1" s="1"/>
  <c r="S711" i="1" l="1"/>
  <c r="T711" i="1" s="1"/>
  <c r="R710" i="1"/>
  <c r="S710" i="1" l="1"/>
  <c r="T710" i="1" s="1"/>
  <c r="R709" i="1"/>
  <c r="R708" i="1" l="1"/>
  <c r="S709" i="1"/>
  <c r="T709" i="1" s="1"/>
  <c r="R707" i="1" l="1"/>
  <c r="S708" i="1"/>
  <c r="T708" i="1" s="1"/>
  <c r="S707" i="1" l="1"/>
  <c r="T707" i="1" s="1"/>
  <c r="R706" i="1"/>
  <c r="S706" i="1" l="1"/>
  <c r="T706" i="1" s="1"/>
  <c r="R705" i="1"/>
  <c r="R704" i="1" l="1"/>
  <c r="S705" i="1"/>
  <c r="T705" i="1" s="1"/>
  <c r="S704" i="1" l="1"/>
  <c r="T704" i="1" s="1"/>
  <c r="R703" i="1"/>
  <c r="S703" i="1" l="1"/>
  <c r="T703" i="1" s="1"/>
  <c r="R702" i="1"/>
  <c r="S702" i="1" l="1"/>
  <c r="T702" i="1" s="1"/>
  <c r="R701" i="1"/>
  <c r="R700" i="1" l="1"/>
  <c r="S701" i="1"/>
  <c r="T701" i="1" s="1"/>
  <c r="S700" i="1" l="1"/>
  <c r="T700" i="1" s="1"/>
  <c r="R699" i="1"/>
  <c r="R698" i="1" l="1"/>
  <c r="S699" i="1"/>
  <c r="T699" i="1" s="1"/>
  <c r="S698" i="1" l="1"/>
  <c r="T698" i="1" s="1"/>
  <c r="R697" i="1"/>
  <c r="S697" i="1" l="1"/>
  <c r="T697" i="1" s="1"/>
  <c r="R696" i="1"/>
  <c r="S696" i="1" l="1"/>
  <c r="T696" i="1" s="1"/>
  <c r="R695" i="1"/>
  <c r="S695" i="1" l="1"/>
  <c r="T695" i="1" s="1"/>
  <c r="R694" i="1"/>
  <c r="S694" i="1" l="1"/>
  <c r="T694" i="1" s="1"/>
  <c r="R693" i="1"/>
  <c r="R692" i="1" l="1"/>
  <c r="S693" i="1"/>
  <c r="T693" i="1" s="1"/>
  <c r="S692" i="1" l="1"/>
  <c r="T692" i="1" s="1"/>
  <c r="R691" i="1"/>
  <c r="S691" i="1" l="1"/>
  <c r="T691" i="1" s="1"/>
  <c r="R690" i="1"/>
  <c r="S690" i="1" l="1"/>
  <c r="T690" i="1" s="1"/>
  <c r="R689" i="1"/>
  <c r="S689" i="1" l="1"/>
  <c r="T689" i="1" s="1"/>
  <c r="R688" i="1"/>
  <c r="S688" i="1" l="1"/>
  <c r="T688" i="1" s="1"/>
  <c r="R687" i="1"/>
  <c r="S687" i="1" l="1"/>
  <c r="T687" i="1" s="1"/>
  <c r="R686" i="1"/>
  <c r="R685" i="1" l="1"/>
  <c r="S686" i="1"/>
  <c r="T686" i="1" s="1"/>
  <c r="S685" i="1" l="1"/>
  <c r="T685" i="1" s="1"/>
  <c r="R684" i="1"/>
  <c r="S684" i="1" l="1"/>
  <c r="T684" i="1" s="1"/>
  <c r="R683" i="1"/>
  <c r="S683" i="1" l="1"/>
  <c r="T683" i="1" s="1"/>
  <c r="R682" i="1"/>
  <c r="S682" i="1" l="1"/>
  <c r="T682" i="1" s="1"/>
  <c r="R681" i="1"/>
  <c r="S681" i="1" l="1"/>
  <c r="T681" i="1" s="1"/>
  <c r="R680" i="1"/>
  <c r="S680" i="1" l="1"/>
  <c r="T680" i="1" s="1"/>
  <c r="R679" i="1"/>
  <c r="R678" i="1" l="1"/>
  <c r="S679" i="1"/>
  <c r="T679" i="1" s="1"/>
  <c r="R677" i="1" l="1"/>
  <c r="S678" i="1"/>
  <c r="T678" i="1" s="1"/>
  <c r="R676" i="1" l="1"/>
  <c r="S677" i="1"/>
  <c r="T677" i="1" s="1"/>
  <c r="S676" i="1" l="1"/>
  <c r="T676" i="1" s="1"/>
  <c r="R675" i="1"/>
  <c r="S675" i="1" l="1"/>
  <c r="T675" i="1" s="1"/>
  <c r="R674" i="1"/>
  <c r="R673" i="1" l="1"/>
  <c r="S674" i="1"/>
  <c r="T674" i="1" s="1"/>
  <c r="R672" i="1" l="1"/>
  <c r="S673" i="1"/>
  <c r="T673" i="1" s="1"/>
  <c r="S672" i="1" l="1"/>
  <c r="T672" i="1" s="1"/>
  <c r="R671" i="1"/>
  <c r="S671" i="1" l="1"/>
  <c r="T671" i="1" s="1"/>
  <c r="R670" i="1"/>
  <c r="R669" i="1" l="1"/>
  <c r="S670" i="1"/>
  <c r="T670" i="1" s="1"/>
  <c r="S669" i="1" l="1"/>
  <c r="T669" i="1" s="1"/>
  <c r="R668" i="1"/>
  <c r="S668" i="1" l="1"/>
  <c r="T668" i="1" s="1"/>
  <c r="R667" i="1"/>
  <c r="R666" i="1" l="1"/>
  <c r="S667" i="1"/>
  <c r="T667" i="1" s="1"/>
  <c r="R665" i="1" l="1"/>
  <c r="S666" i="1"/>
  <c r="T666" i="1" s="1"/>
  <c r="S665" i="1" l="1"/>
  <c r="T665" i="1" s="1"/>
  <c r="R664" i="1"/>
  <c r="S664" i="1" l="1"/>
  <c r="T664" i="1" s="1"/>
  <c r="R663" i="1"/>
  <c r="R662" i="1" l="1"/>
  <c r="S663" i="1"/>
  <c r="T663" i="1" s="1"/>
  <c r="S662" i="1" l="1"/>
  <c r="T662" i="1" s="1"/>
  <c r="R661" i="1"/>
  <c r="R660" i="1" l="1"/>
  <c r="S661" i="1"/>
  <c r="T661" i="1" s="1"/>
  <c r="R659" i="1" l="1"/>
  <c r="S660" i="1"/>
  <c r="T660" i="1" s="1"/>
  <c r="S659" i="1" l="1"/>
  <c r="T659" i="1" s="1"/>
  <c r="R658" i="1"/>
  <c r="S658" i="1" l="1"/>
  <c r="T658" i="1" s="1"/>
  <c r="R657" i="1"/>
  <c r="R656" i="1" l="1"/>
  <c r="S657" i="1"/>
  <c r="T657" i="1" s="1"/>
  <c r="R655" i="1" l="1"/>
  <c r="S656" i="1"/>
  <c r="T656" i="1" s="1"/>
  <c r="S655" i="1" l="1"/>
  <c r="T655" i="1" s="1"/>
  <c r="R654" i="1"/>
  <c r="R653" i="1" l="1"/>
  <c r="S654" i="1"/>
  <c r="T654" i="1" s="1"/>
  <c r="S653" i="1" l="1"/>
  <c r="T653" i="1" s="1"/>
  <c r="R652" i="1"/>
  <c r="S652" i="1" l="1"/>
  <c r="T652" i="1" s="1"/>
  <c r="R651" i="1"/>
  <c r="S651" i="1" l="1"/>
  <c r="T651" i="1" s="1"/>
  <c r="R650" i="1"/>
  <c r="S650" i="1" l="1"/>
  <c r="T650" i="1" s="1"/>
  <c r="R649" i="1"/>
  <c r="S649" i="1" l="1"/>
  <c r="T649" i="1" s="1"/>
  <c r="R648" i="1"/>
  <c r="S648" i="1" l="1"/>
  <c r="T648" i="1" s="1"/>
  <c r="R647" i="1"/>
  <c r="R646" i="1" l="1"/>
  <c r="S647" i="1"/>
  <c r="T647" i="1" s="1"/>
  <c r="R645" i="1" l="1"/>
  <c r="S646" i="1"/>
  <c r="T646" i="1" s="1"/>
  <c r="R644" i="1" l="1"/>
  <c r="S645" i="1"/>
  <c r="T645" i="1" s="1"/>
  <c r="S644" i="1" l="1"/>
  <c r="T644" i="1" s="1"/>
  <c r="R643" i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S638" i="1" l="1"/>
  <c r="T638" i="1" s="1"/>
  <c r="R637" i="1"/>
  <c r="S637" i="1" l="1"/>
  <c r="T637" i="1" s="1"/>
  <c r="R636" i="1"/>
  <c r="R635" i="1" l="1"/>
  <c r="S636" i="1"/>
  <c r="T636" i="1" s="1"/>
  <c r="R634" i="1" l="1"/>
  <c r="S635" i="1"/>
  <c r="T635" i="1" s="1"/>
  <c r="S634" i="1" l="1"/>
  <c r="T634" i="1" s="1"/>
  <c r="R633" i="1"/>
  <c r="R632" i="1" l="1"/>
  <c r="S633" i="1"/>
  <c r="T633" i="1" s="1"/>
  <c r="S632" i="1" l="1"/>
  <c r="T632" i="1" s="1"/>
  <c r="R631" i="1"/>
  <c r="S631" i="1" l="1"/>
  <c r="T631" i="1" s="1"/>
  <c r="R630" i="1"/>
  <c r="R629" i="1" l="1"/>
  <c r="S630" i="1"/>
  <c r="T630" i="1" s="1"/>
  <c r="R628" i="1" l="1"/>
  <c r="S629" i="1"/>
  <c r="T629" i="1" s="1"/>
  <c r="R627" i="1" l="1"/>
  <c r="S628" i="1"/>
  <c r="T628" i="1" s="1"/>
  <c r="S627" i="1" l="1"/>
  <c r="T627" i="1" s="1"/>
  <c r="R626" i="1"/>
  <c r="S626" i="1" l="1"/>
  <c r="T626" i="1" s="1"/>
  <c r="R625" i="1"/>
  <c r="S625" i="1" l="1"/>
  <c r="T625" i="1" s="1"/>
  <c r="R624" i="1"/>
  <c r="R623" i="1" l="1"/>
  <c r="S624" i="1"/>
  <c r="T624" i="1" s="1"/>
  <c r="S623" i="1" l="1"/>
  <c r="T623" i="1" s="1"/>
  <c r="R622" i="1"/>
  <c r="S622" i="1" l="1"/>
  <c r="T622" i="1" s="1"/>
  <c r="R621" i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S610" i="1" l="1"/>
  <c r="T610" i="1" s="1"/>
  <c r="R609" i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S598" i="1" l="1"/>
  <c r="T598" i="1" s="1"/>
  <c r="R597" i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S568" i="1" l="1"/>
  <c r="T568" i="1" s="1"/>
  <c r="R567" i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S555" i="1" l="1"/>
  <c r="T555" i="1" s="1"/>
  <c r="R554" i="1"/>
  <c r="S554" i="1" l="1"/>
  <c r="T554" i="1" s="1"/>
  <c r="R553" i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S541" i="1" l="1"/>
  <c r="T541" i="1" s="1"/>
  <c r="R540" i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S532" i="1" l="1"/>
  <c r="T532" i="1" s="1"/>
  <c r="R531" i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S527" i="1" l="1"/>
  <c r="T527" i="1" s="1"/>
  <c r="R526" i="1"/>
  <c r="R525" i="1" l="1"/>
  <c r="S526" i="1"/>
  <c r="T526" i="1" s="1"/>
  <c r="R524" i="1" l="1"/>
  <c r="S525" i="1"/>
  <c r="T525" i="1" s="1"/>
  <c r="S524" i="1" l="1"/>
  <c r="T524" i="1" s="1"/>
  <c r="R523" i="1"/>
  <c r="S523" i="1" l="1"/>
  <c r="T523" i="1" s="1"/>
  <c r="R522" i="1"/>
  <c r="R521" i="1" l="1"/>
  <c r="S522" i="1"/>
  <c r="T522" i="1" s="1"/>
  <c r="R520" i="1" l="1"/>
  <c r="S521" i="1"/>
  <c r="T521" i="1" s="1"/>
  <c r="S520" i="1" l="1"/>
  <c r="T520" i="1" s="1"/>
  <c r="R519" i="1"/>
  <c r="S519" i="1" l="1"/>
  <c r="T519" i="1" s="1"/>
  <c r="R518" i="1"/>
  <c r="R517" i="1" l="1"/>
  <c r="S518" i="1"/>
  <c r="T518" i="1" s="1"/>
  <c r="R516" i="1" l="1"/>
  <c r="S517" i="1"/>
  <c r="T517" i="1" s="1"/>
  <c r="R515" i="1" l="1"/>
  <c r="S516" i="1"/>
  <c r="T516" i="1" s="1"/>
  <c r="S515" i="1" l="1"/>
  <c r="T515" i="1" s="1"/>
  <c r="R514" i="1"/>
  <c r="S514" i="1" l="1"/>
  <c r="T514" i="1" s="1"/>
  <c r="R513" i="1"/>
  <c r="S513" i="1" l="1"/>
  <c r="T513" i="1" s="1"/>
  <c r="R512" i="1"/>
  <c r="R511" i="1" l="1"/>
  <c r="S512" i="1"/>
  <c r="T512" i="1" s="1"/>
  <c r="R510" i="1" l="1"/>
  <c r="S511" i="1"/>
  <c r="T511" i="1" s="1"/>
  <c r="R509" i="1" l="1"/>
  <c r="S510" i="1"/>
  <c r="T510" i="1" s="1"/>
  <c r="S509" i="1" l="1"/>
  <c r="T509" i="1" s="1"/>
  <c r="R508" i="1"/>
  <c r="R507" i="1" l="1"/>
  <c r="S508" i="1"/>
  <c r="T508" i="1" s="1"/>
  <c r="R506" i="1" l="1"/>
  <c r="S507" i="1"/>
  <c r="T507" i="1" s="1"/>
  <c r="S506" i="1" l="1"/>
  <c r="T506" i="1" s="1"/>
  <c r="R505" i="1"/>
  <c r="R504" i="1" l="1"/>
  <c r="S505" i="1"/>
  <c r="T505" i="1" s="1"/>
  <c r="R503" i="1" l="1"/>
  <c r="S504" i="1"/>
  <c r="T504" i="1" s="1"/>
  <c r="R502" i="1" l="1"/>
  <c r="S503" i="1"/>
  <c r="T503" i="1" s="1"/>
  <c r="S502" i="1" l="1"/>
  <c r="T502" i="1" s="1"/>
  <c r="R501" i="1"/>
  <c r="S501" i="1" l="1"/>
  <c r="T501" i="1" s="1"/>
  <c r="R500" i="1"/>
  <c r="R499" i="1" l="1"/>
  <c r="S500" i="1"/>
  <c r="T500" i="1" s="1"/>
  <c r="R498" i="1" l="1"/>
  <c r="S499" i="1"/>
  <c r="T499" i="1" s="1"/>
  <c r="S498" i="1" l="1"/>
  <c r="T498" i="1" s="1"/>
  <c r="R497" i="1"/>
  <c r="S497" i="1" l="1"/>
  <c r="T497" i="1" s="1"/>
  <c r="R496" i="1"/>
  <c r="S496" i="1" l="1"/>
  <c r="T496" i="1" s="1"/>
  <c r="R495" i="1"/>
  <c r="R494" i="1" l="1"/>
  <c r="S495" i="1"/>
  <c r="T495" i="1" s="1"/>
  <c r="R493" i="1" l="1"/>
  <c r="S494" i="1"/>
  <c r="T494" i="1" s="1"/>
  <c r="R492" i="1" l="1"/>
  <c r="S493" i="1"/>
  <c r="T493" i="1" s="1"/>
  <c r="S492" i="1" l="1"/>
  <c r="T492" i="1" s="1"/>
  <c r="R491" i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S469" i="1" l="1"/>
  <c r="T469" i="1" s="1"/>
  <c r="R468" i="1"/>
  <c r="R467" i="1" l="1"/>
  <c r="S468" i="1"/>
  <c r="T468" i="1" s="1"/>
  <c r="R466" i="1" l="1"/>
  <c r="S467" i="1"/>
  <c r="T467" i="1" s="1"/>
  <c r="S466" i="1" l="1"/>
  <c r="T466" i="1" s="1"/>
  <c r="R465" i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S459" i="1" l="1"/>
  <c r="T459" i="1" s="1"/>
  <c r="R458" i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S397" i="1" l="1"/>
  <c r="T397" i="1" s="1"/>
  <c r="R396" i="1"/>
  <c r="S396" i="1" l="1"/>
  <c r="T396" i="1" s="1"/>
  <c r="R395" i="1"/>
  <c r="R394" i="1" l="1"/>
  <c r="S395" i="1"/>
  <c r="T395" i="1" s="1"/>
  <c r="R393" i="1" l="1"/>
  <c r="S394" i="1"/>
  <c r="T394" i="1" s="1"/>
  <c r="S393" i="1" l="1"/>
  <c r="T393" i="1" s="1"/>
  <c r="R392" i="1"/>
  <c r="S392" i="1" l="1"/>
  <c r="T392" i="1" s="1"/>
  <c r="R391" i="1"/>
  <c r="R390" i="1" l="1"/>
  <c r="S391" i="1"/>
  <c r="T391" i="1" s="1"/>
  <c r="S390" i="1" l="1"/>
  <c r="T390" i="1" s="1"/>
  <c r="R389" i="1"/>
  <c r="S389" i="1" l="1"/>
  <c r="T389" i="1" s="1"/>
  <c r="R388" i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S384" i="1" l="1"/>
  <c r="T384" i="1" s="1"/>
  <c r="R383" i="1"/>
  <c r="S383" i="1" l="1"/>
  <c r="T383" i="1" s="1"/>
  <c r="R382" i="1"/>
  <c r="S382" i="1" l="1"/>
  <c r="T382" i="1" s="1"/>
  <c r="R381" i="1"/>
  <c r="S381" i="1" l="1"/>
  <c r="T381" i="1" s="1"/>
  <c r="R380" i="1"/>
  <c r="R379" i="1" l="1"/>
  <c r="S380" i="1"/>
  <c r="T380" i="1" s="1"/>
  <c r="S379" i="1" l="1"/>
  <c r="T379" i="1" s="1"/>
  <c r="R378" i="1"/>
  <c r="S378" i="1" l="1"/>
  <c r="T378" i="1" s="1"/>
  <c r="R377" i="1"/>
  <c r="R376" i="1" l="1"/>
  <c r="S377" i="1"/>
  <c r="T377" i="1" s="1"/>
  <c r="S376" i="1" l="1"/>
  <c r="T376" i="1" s="1"/>
  <c r="R375" i="1"/>
  <c r="S375" i="1" l="1"/>
  <c r="T375" i="1" s="1"/>
  <c r="R374" i="1"/>
  <c r="S374" i="1" l="1"/>
  <c r="T374" i="1" s="1"/>
  <c r="R373" i="1"/>
  <c r="R372" i="1" l="1"/>
  <c r="S373" i="1"/>
  <c r="T373" i="1" s="1"/>
  <c r="R371" i="1" l="1"/>
  <c r="S372" i="1"/>
  <c r="T372" i="1" s="1"/>
  <c r="S371" i="1" l="1"/>
  <c r="T371" i="1" s="1"/>
  <c r="R370" i="1"/>
  <c r="S370" i="1" l="1"/>
  <c r="T370" i="1" s="1"/>
  <c r="R369" i="1"/>
  <c r="S369" i="1" l="1"/>
  <c r="T369" i="1" s="1"/>
  <c r="R368" i="1"/>
  <c r="S368" i="1" l="1"/>
  <c r="T368" i="1" s="1"/>
  <c r="R367" i="1"/>
  <c r="R366" i="1" l="1"/>
  <c r="S367" i="1"/>
  <c r="T367" i="1" s="1"/>
  <c r="R365" i="1" l="1"/>
  <c r="S366" i="1"/>
  <c r="T366" i="1" s="1"/>
  <c r="S365" i="1" l="1"/>
  <c r="T365" i="1" s="1"/>
  <c r="R364" i="1"/>
  <c r="S364" i="1" l="1"/>
  <c r="T364" i="1" s="1"/>
  <c r="R363" i="1"/>
  <c r="S363" i="1" l="1"/>
  <c r="T363" i="1" s="1"/>
  <c r="R362" i="1"/>
  <c r="S362" i="1" l="1"/>
  <c r="T362" i="1" s="1"/>
  <c r="R361" i="1"/>
  <c r="S361" i="1" l="1"/>
  <c r="T361" i="1" s="1"/>
  <c r="R360" i="1"/>
  <c r="S360" i="1" l="1"/>
  <c r="T360" i="1" s="1"/>
  <c r="R359" i="1"/>
  <c r="R358" i="1" l="1"/>
  <c r="S359" i="1"/>
  <c r="T359" i="1" s="1"/>
  <c r="R357" i="1" l="1"/>
  <c r="S358" i="1"/>
  <c r="T358" i="1" s="1"/>
  <c r="S357" i="1" l="1"/>
  <c r="T357" i="1" s="1"/>
  <c r="R356" i="1"/>
  <c r="R355" i="1" l="1"/>
  <c r="S356" i="1"/>
  <c r="T356" i="1" s="1"/>
  <c r="R354" i="1" l="1"/>
  <c r="S355" i="1"/>
  <c r="T355" i="1" s="1"/>
  <c r="R353" i="1" l="1"/>
  <c r="S354" i="1"/>
  <c r="T354" i="1" s="1"/>
  <c r="S353" i="1" l="1"/>
  <c r="T353" i="1" s="1"/>
  <c r="R352" i="1"/>
  <c r="S352" i="1" l="1"/>
  <c r="T352" i="1" s="1"/>
  <c r="R351" i="1"/>
  <c r="S351" i="1" l="1"/>
  <c r="T351" i="1" s="1"/>
  <c r="R350" i="1"/>
  <c r="R349" i="1" l="1"/>
  <c r="S350" i="1"/>
  <c r="T350" i="1" s="1"/>
  <c r="R348" i="1" l="1"/>
  <c r="S349" i="1"/>
  <c r="T349" i="1" s="1"/>
  <c r="S348" i="1" l="1"/>
  <c r="T348" i="1" s="1"/>
  <c r="R347" i="1"/>
  <c r="R346" i="1" l="1"/>
  <c r="S347" i="1"/>
  <c r="T347" i="1" s="1"/>
  <c r="R345" i="1" l="1"/>
  <c r="S346" i="1"/>
  <c r="T346" i="1" s="1"/>
  <c r="S345" i="1" l="1"/>
  <c r="T345" i="1" s="1"/>
  <c r="R344" i="1"/>
  <c r="S344" i="1" l="1"/>
  <c r="T344" i="1" s="1"/>
  <c r="R343" i="1"/>
  <c r="R342" i="1" l="1"/>
  <c r="S343" i="1"/>
  <c r="T343" i="1" s="1"/>
  <c r="S342" i="1" l="1"/>
  <c r="T342" i="1" s="1"/>
  <c r="R341" i="1"/>
  <c r="S341" i="1" l="1"/>
  <c r="T341" i="1" s="1"/>
  <c r="R340" i="1"/>
  <c r="R339" i="1" l="1"/>
  <c r="S340" i="1"/>
  <c r="T340" i="1" s="1"/>
  <c r="S339" i="1" l="1"/>
  <c r="T339" i="1" s="1"/>
  <c r="R338" i="1"/>
  <c r="R337" i="1" l="1"/>
  <c r="S338" i="1"/>
  <c r="T338" i="1" s="1"/>
  <c r="S337" i="1" l="1"/>
  <c r="T337" i="1" s="1"/>
  <c r="R336" i="1"/>
  <c r="S336" i="1" l="1"/>
  <c r="T336" i="1" s="1"/>
  <c r="R335" i="1"/>
  <c r="R334" i="1" l="1"/>
  <c r="S335" i="1"/>
  <c r="T335" i="1" s="1"/>
  <c r="S334" i="1" l="1"/>
  <c r="T334" i="1" s="1"/>
  <c r="R333" i="1"/>
  <c r="S333" i="1" l="1"/>
  <c r="T333" i="1" s="1"/>
  <c r="R332" i="1"/>
  <c r="S332" i="1" l="1"/>
  <c r="T332" i="1" s="1"/>
  <c r="R331" i="1"/>
  <c r="S331" i="1" l="1"/>
  <c r="T331" i="1" s="1"/>
  <c r="R330" i="1"/>
  <c r="S330" i="1" l="1"/>
  <c r="T330" i="1" s="1"/>
  <c r="R329" i="1"/>
  <c r="S329" i="1" l="1"/>
  <c r="T329" i="1" s="1"/>
  <c r="R328" i="1"/>
  <c r="S328" i="1" l="1"/>
  <c r="T328" i="1" s="1"/>
  <c r="R327" i="1"/>
  <c r="S327" i="1" l="1"/>
  <c r="T327" i="1" s="1"/>
  <c r="R326" i="1"/>
  <c r="S326" i="1" l="1"/>
  <c r="T326" i="1" s="1"/>
  <c r="R325" i="1"/>
  <c r="S325" i="1" l="1"/>
  <c r="T325" i="1" s="1"/>
  <c r="R324" i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S320" i="1" l="1"/>
  <c r="T320" i="1" s="1"/>
  <c r="R319" i="1"/>
  <c r="S319" i="1" l="1"/>
  <c r="T319" i="1" s="1"/>
  <c r="R318" i="1"/>
  <c r="R317" i="1" l="1"/>
  <c r="S318" i="1"/>
  <c r="T318" i="1" s="1"/>
  <c r="S317" i="1" l="1"/>
  <c r="T317" i="1" s="1"/>
  <c r="R316" i="1"/>
  <c r="S316" i="1" l="1"/>
  <c r="T316" i="1" s="1"/>
  <c r="R315" i="1"/>
  <c r="S315" i="1" l="1"/>
  <c r="T315" i="1" s="1"/>
  <c r="R314" i="1"/>
  <c r="R313" i="1" l="1"/>
  <c r="S314" i="1"/>
  <c r="T314" i="1" s="1"/>
  <c r="R312" i="1" l="1"/>
  <c r="S313" i="1"/>
  <c r="T313" i="1" s="1"/>
  <c r="S312" i="1" l="1"/>
  <c r="T312" i="1" s="1"/>
  <c r="R311" i="1"/>
  <c r="R310" i="1" l="1"/>
  <c r="S311" i="1"/>
  <c r="T311" i="1" s="1"/>
  <c r="S310" i="1" l="1"/>
  <c r="T310" i="1" s="1"/>
  <c r="R309" i="1"/>
  <c r="S309" i="1" l="1"/>
  <c r="T309" i="1" s="1"/>
  <c r="R308" i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S303" i="1" l="1"/>
  <c r="T303" i="1" s="1"/>
  <c r="R302" i="1"/>
  <c r="R301" i="1" l="1"/>
  <c r="S302" i="1"/>
  <c r="T302" i="1" s="1"/>
  <c r="R300" i="1" l="1"/>
  <c r="S301" i="1"/>
  <c r="T301" i="1" s="1"/>
  <c r="S300" i="1" l="1"/>
  <c r="T300" i="1" s="1"/>
  <c r="R299" i="1"/>
  <c r="S299" i="1" l="1"/>
  <c r="T299" i="1" s="1"/>
  <c r="R298" i="1"/>
  <c r="S298" i="1" l="1"/>
  <c r="T298" i="1" s="1"/>
  <c r="R297" i="1"/>
  <c r="R296" i="1" l="1"/>
  <c r="S297" i="1"/>
  <c r="T297" i="1" s="1"/>
  <c r="R295" i="1" l="1"/>
  <c r="S296" i="1"/>
  <c r="T296" i="1" s="1"/>
  <c r="R294" i="1" l="1"/>
  <c r="S295" i="1"/>
  <c r="T295" i="1" s="1"/>
  <c r="S294" i="1" l="1"/>
  <c r="T294" i="1" s="1"/>
  <c r="R293" i="1"/>
  <c r="S293" i="1" l="1"/>
  <c r="T293" i="1" s="1"/>
  <c r="R292" i="1"/>
  <c r="R291" i="1" l="1"/>
  <c r="S292" i="1"/>
  <c r="T292" i="1" s="1"/>
  <c r="R290" i="1" l="1"/>
  <c r="S291" i="1"/>
  <c r="T291" i="1" s="1"/>
  <c r="S290" i="1" l="1"/>
  <c r="T290" i="1" s="1"/>
  <c r="R289" i="1"/>
  <c r="R288" i="1" l="1"/>
  <c r="S289" i="1"/>
  <c r="T289" i="1" s="1"/>
  <c r="S288" i="1" l="1"/>
  <c r="T288" i="1" s="1"/>
  <c r="R287" i="1"/>
  <c r="S287" i="1" l="1"/>
  <c r="T287" i="1" s="1"/>
  <c r="R286" i="1"/>
  <c r="S286" i="1" l="1"/>
  <c r="T286" i="1" s="1"/>
  <c r="R285" i="1"/>
  <c r="R284" i="1" l="1"/>
  <c r="S285" i="1"/>
  <c r="T285" i="1" s="1"/>
  <c r="R283" i="1" l="1"/>
  <c r="S284" i="1"/>
  <c r="T284" i="1" s="1"/>
  <c r="S283" i="1" l="1"/>
  <c r="T283" i="1" s="1"/>
  <c r="R282" i="1"/>
  <c r="S282" i="1" l="1"/>
  <c r="T282" i="1" s="1"/>
  <c r="R281" i="1"/>
  <c r="R280" i="1" l="1"/>
  <c r="S281" i="1"/>
  <c r="T281" i="1" s="1"/>
  <c r="S280" i="1" l="1"/>
  <c r="T280" i="1" s="1"/>
  <c r="R279" i="1"/>
  <c r="R278" i="1" l="1"/>
  <c r="S279" i="1"/>
  <c r="T279" i="1" s="1"/>
  <c r="S278" i="1" l="1"/>
  <c r="T278" i="1" s="1"/>
  <c r="R277" i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S273" i="1" l="1"/>
  <c r="T273" i="1" s="1"/>
  <c r="R272" i="1"/>
  <c r="R271" i="1" l="1"/>
  <c r="S272" i="1"/>
  <c r="T272" i="1" s="1"/>
  <c r="R270" i="1" l="1"/>
  <c r="S271" i="1"/>
  <c r="T271" i="1" s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R262" i="1" l="1"/>
  <c r="S263" i="1"/>
  <c r="T263" i="1" s="1"/>
  <c r="S262" i="1" l="1"/>
  <c r="T262" i="1" s="1"/>
  <c r="R261" i="1"/>
  <c r="S261" i="1" l="1"/>
  <c r="T261" i="1" s="1"/>
  <c r="R260" i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S253" i="1" l="1"/>
  <c r="T253" i="1" s="1"/>
  <c r="R252" i="1"/>
  <c r="S252" i="1" l="1"/>
  <c r="T252" i="1" s="1"/>
  <c r="R251" i="1"/>
  <c r="R250" i="1" l="1"/>
  <c r="S251" i="1"/>
  <c r="T251" i="1" s="1"/>
  <c r="S250" i="1" l="1"/>
  <c r="T250" i="1" s="1"/>
  <c r="R249" i="1"/>
  <c r="S249" i="1" l="1"/>
  <c r="T249" i="1" s="1"/>
  <c r="R248" i="1"/>
  <c r="S248" i="1" l="1"/>
  <c r="T248" i="1" s="1"/>
  <c r="R247" i="1"/>
  <c r="S247" i="1" l="1"/>
  <c r="T247" i="1" s="1"/>
  <c r="R246" i="1"/>
  <c r="S246" i="1" l="1"/>
  <c r="T246" i="1" s="1"/>
  <c r="R245" i="1"/>
  <c r="R244" i="1" l="1"/>
  <c r="S245" i="1"/>
  <c r="T245" i="1" s="1"/>
  <c r="S244" i="1" l="1"/>
  <c r="T244" i="1" s="1"/>
  <c r="R243" i="1"/>
  <c r="R242" i="1" l="1"/>
  <c r="S243" i="1"/>
  <c r="T243" i="1" s="1"/>
  <c r="S242" i="1" l="1"/>
  <c r="T242" i="1" s="1"/>
  <c r="R241" i="1"/>
  <c r="S241" i="1" l="1"/>
  <c r="T241" i="1" s="1"/>
  <c r="R240" i="1"/>
  <c r="S240" i="1" l="1"/>
  <c r="T240" i="1" s="1"/>
  <c r="R239" i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S234" i="1" l="1"/>
  <c r="T234" i="1" s="1"/>
  <c r="R233" i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S225" i="1" l="1"/>
  <c r="T225" i="1" s="1"/>
  <c r="R224" i="1"/>
  <c r="R223" i="1" l="1"/>
  <c r="S224" i="1"/>
  <c r="T224" i="1" s="1"/>
  <c r="R222" i="1" l="1"/>
  <c r="S223" i="1"/>
  <c r="T223" i="1" s="1"/>
  <c r="S222" i="1" l="1"/>
  <c r="T222" i="1" s="1"/>
  <c r="R221" i="1"/>
  <c r="R220" i="1" l="1"/>
  <c r="S221" i="1"/>
  <c r="T221" i="1" s="1"/>
  <c r="S220" i="1" l="1"/>
  <c r="T220" i="1" s="1"/>
  <c r="R219" i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S213" i="1" l="1"/>
  <c r="T213" i="1" s="1"/>
  <c r="R212" i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S206" i="1" l="1"/>
  <c r="T206" i="1" s="1"/>
  <c r="R205" i="1"/>
  <c r="S205" i="1" l="1"/>
  <c r="T205" i="1" s="1"/>
  <c r="R204" i="1"/>
  <c r="R203" i="1" l="1"/>
  <c r="S204" i="1"/>
  <c r="T204" i="1" s="1"/>
  <c r="R202" i="1" l="1"/>
  <c r="S203" i="1"/>
  <c r="T203" i="1" s="1"/>
  <c r="S202" i="1" l="1"/>
  <c r="T202" i="1" s="1"/>
  <c r="R201" i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S197" i="1" l="1"/>
  <c r="T197" i="1" s="1"/>
  <c r="R196" i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S192" i="1" l="1"/>
  <c r="T192" i="1" s="1"/>
  <c r="R191" i="1"/>
  <c r="R190" i="1" l="1"/>
  <c r="S191" i="1"/>
  <c r="T191" i="1" s="1"/>
  <c r="S190" i="1" l="1"/>
  <c r="T190" i="1" s="1"/>
  <c r="R189" i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S184" i="1" l="1"/>
  <c r="T184" i="1" s="1"/>
  <c r="R183" i="1"/>
  <c r="R182" i="1" l="1"/>
  <c r="S183" i="1"/>
  <c r="T183" i="1" s="1"/>
  <c r="S182" i="1" l="1"/>
  <c r="T182" i="1" s="1"/>
  <c r="R181" i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R170" i="1" l="1"/>
  <c r="S171" i="1"/>
  <c r="T171" i="1" s="1"/>
  <c r="S170" i="1" l="1"/>
  <c r="T170" i="1" s="1"/>
  <c r="R169" i="1"/>
  <c r="S169" i="1" l="1"/>
  <c r="T169" i="1" s="1"/>
  <c r="R168" i="1"/>
  <c r="R167" i="1" l="1"/>
  <c r="S168" i="1"/>
  <c r="T168" i="1" s="1"/>
  <c r="R166" i="1" l="1"/>
  <c r="S167" i="1"/>
  <c r="T167" i="1" s="1"/>
  <c r="S166" i="1" l="1"/>
  <c r="T166" i="1" s="1"/>
  <c r="R165" i="1"/>
  <c r="R164" i="1" l="1"/>
  <c r="S165" i="1"/>
  <c r="T165" i="1" s="1"/>
  <c r="R163" i="1" l="1"/>
  <c r="S164" i="1"/>
  <c r="T164" i="1" s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S152" i="1" l="1"/>
  <c r="T152" i="1" s="1"/>
  <c r="R151" i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S145" i="1" l="1"/>
  <c r="T145" i="1" s="1"/>
  <c r="R144" i="1"/>
  <c r="S144" i="1" l="1"/>
  <c r="T144" i="1" s="1"/>
  <c r="R143" i="1"/>
  <c r="R142" i="1" l="1"/>
  <c r="S143" i="1"/>
  <c r="T143" i="1" s="1"/>
  <c r="R141" i="1" l="1"/>
  <c r="S142" i="1"/>
  <c r="T142" i="1" s="1"/>
  <c r="S141" i="1" l="1"/>
  <c r="T141" i="1" s="1"/>
  <c r="R140" i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S128" i="1" l="1"/>
  <c r="T128" i="1" s="1"/>
  <c r="R127" i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S122" i="1" l="1"/>
  <c r="T122" i="1" s="1"/>
  <c r="R121" i="1"/>
  <c r="R120" i="1" l="1"/>
  <c r="S121" i="1"/>
  <c r="T121" i="1" s="1"/>
  <c r="S120" i="1" l="1"/>
  <c r="T120" i="1" s="1"/>
  <c r="R119" i="1"/>
  <c r="S119" i="1" l="1"/>
  <c r="T119" i="1" s="1"/>
  <c r="R118" i="1"/>
  <c r="S118" i="1" l="1"/>
  <c r="T118" i="1" s="1"/>
  <c r="R117" i="1"/>
  <c r="R116" i="1" l="1"/>
  <c r="S117" i="1"/>
  <c r="T117" i="1" s="1"/>
  <c r="R115" i="1" l="1"/>
  <c r="S116" i="1"/>
  <c r="T116" i="1" s="1"/>
  <c r="S115" i="1" l="1"/>
  <c r="T115" i="1" s="1"/>
  <c r="R114" i="1"/>
  <c r="S114" i="1" l="1"/>
  <c r="T114" i="1" s="1"/>
  <c r="R113" i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S106" i="1" l="1"/>
  <c r="T106" i="1" s="1"/>
  <c r="R105" i="1"/>
  <c r="S105" i="1" l="1"/>
  <c r="T105" i="1" s="1"/>
  <c r="R104" i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R99" i="1" l="1"/>
  <c r="S100" i="1"/>
  <c r="T100" i="1" s="1"/>
  <c r="S99" i="1" l="1"/>
  <c r="T99" i="1" s="1"/>
  <c r="R98" i="1"/>
  <c r="R97" i="1" l="1"/>
  <c r="S98" i="1"/>
  <c r="T98" i="1" s="1"/>
  <c r="S97" i="1" l="1"/>
  <c r="T97" i="1" s="1"/>
  <c r="R96" i="1"/>
  <c r="S96" i="1" l="1"/>
  <c r="T96" i="1" s="1"/>
  <c r="R95" i="1"/>
  <c r="S95" i="1" l="1"/>
  <c r="T95" i="1" s="1"/>
  <c r="R94" i="1"/>
  <c r="S94" i="1" l="1"/>
  <c r="T94" i="1" s="1"/>
  <c r="R93" i="1"/>
  <c r="R92" i="1" l="1"/>
  <c r="S93" i="1"/>
  <c r="T93" i="1" s="1"/>
  <c r="R91" i="1" l="1"/>
  <c r="S92" i="1"/>
  <c r="T92" i="1" s="1"/>
  <c r="S91" i="1" l="1"/>
  <c r="T91" i="1" s="1"/>
  <c r="R90" i="1"/>
  <c r="S90" i="1" l="1"/>
  <c r="T90" i="1" s="1"/>
  <c r="R89" i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S83" i="1" l="1"/>
  <c r="T83" i="1" s="1"/>
  <c r="R82" i="1"/>
  <c r="S82" i="1" l="1"/>
  <c r="T82" i="1" s="1"/>
  <c r="R81" i="1"/>
  <c r="S81" i="1" l="1"/>
  <c r="T81" i="1" s="1"/>
  <c r="R80" i="1"/>
  <c r="R79" i="1" l="1"/>
  <c r="S80" i="1"/>
  <c r="T80" i="1" s="1"/>
  <c r="R78" i="1" l="1"/>
  <c r="S79" i="1"/>
  <c r="T79" i="1" s="1"/>
  <c r="S78" i="1" l="1"/>
  <c r="T78" i="1" s="1"/>
  <c r="R77" i="1"/>
  <c r="R76" i="1" l="1"/>
  <c r="S77" i="1"/>
  <c r="T77" i="1" s="1"/>
  <c r="S76" i="1" l="1"/>
  <c r="T76" i="1" s="1"/>
  <c r="R75" i="1"/>
  <c r="S75" i="1" l="1"/>
  <c r="T75" i="1" s="1"/>
  <c r="R74" i="1"/>
  <c r="S74" i="1" l="1"/>
  <c r="T74" i="1" s="1"/>
  <c r="R73" i="1"/>
  <c r="S73" i="1" l="1"/>
  <c r="T73" i="1" s="1"/>
  <c r="R72" i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R52" i="1" l="1"/>
  <c r="S53" i="1"/>
  <c r="T53" i="1" s="1"/>
  <c r="S52" i="1" l="1"/>
  <c r="T52" i="1" s="1"/>
  <c r="R51" i="1"/>
  <c r="R50" i="1" l="1"/>
  <c r="S51" i="1"/>
  <c r="T51" i="1" s="1"/>
  <c r="S50" i="1" l="1"/>
  <c r="T50" i="1" s="1"/>
  <c r="R49" i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S45" i="1" l="1"/>
  <c r="T45" i="1" s="1"/>
  <c r="R44" i="1"/>
  <c r="S44" i="1" l="1"/>
  <c r="T44" i="1" s="1"/>
  <c r="R43" i="1"/>
  <c r="S43" i="1" l="1"/>
  <c r="T43" i="1" s="1"/>
  <c r="R42" i="1"/>
  <c r="R41" i="1" l="1"/>
  <c r="S42" i="1"/>
  <c r="T42" i="1" s="1"/>
  <c r="R40" i="1" l="1"/>
  <c r="S41" i="1"/>
  <c r="T41" i="1" s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S35" i="1" l="1"/>
  <c r="T35" i="1" s="1"/>
  <c r="R34" i="1"/>
  <c r="S34" i="1" l="1"/>
  <c r="T34" i="1" s="1"/>
  <c r="R33" i="1"/>
  <c r="S33" i="1" l="1"/>
  <c r="T33" i="1" s="1"/>
  <c r="R32" i="1"/>
  <c r="R31" i="1" l="1"/>
  <c r="S32" i="1"/>
  <c r="T32" i="1" s="1"/>
  <c r="S31" i="1" l="1"/>
  <c r="T31" i="1" s="1"/>
  <c r="R30" i="1"/>
  <c r="S30" i="1" l="1"/>
  <c r="T30" i="1" s="1"/>
  <c r="R29" i="1"/>
  <c r="S29" i="1" l="1"/>
  <c r="T29" i="1" s="1"/>
  <c r="R28" i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R21" i="1" l="1"/>
  <c r="S22" i="1"/>
  <c r="T22" i="1" s="1"/>
  <c r="R20" i="1" l="1"/>
  <c r="S21" i="1"/>
  <c r="T21" i="1" s="1"/>
  <c r="S20" i="1" l="1"/>
  <c r="T20" i="1" s="1"/>
  <c r="R19" i="1"/>
  <c r="R18" i="1" l="1"/>
  <c r="S19" i="1"/>
  <c r="T19" i="1" s="1"/>
  <c r="S18" i="1" l="1"/>
  <c r="T18" i="1" s="1"/>
  <c r="R17" i="1"/>
  <c r="S17" i="1" l="1"/>
  <c r="T17" i="1" s="1"/>
  <c r="R16" i="1"/>
  <c r="R15" i="1" l="1"/>
  <c r="S16" i="1"/>
  <c r="T16" i="1" s="1"/>
  <c r="R14" i="1" l="1"/>
  <c r="S15" i="1"/>
  <c r="T15" i="1" s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<sst xmlns="http://schemas.openxmlformats.org/spreadsheetml/2006/main" count="6505" uniqueCount="34">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</sst>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7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44579</c:v>
                </c:pt>
                <c:pt idx="1">
                  <c:v>44578</c:v>
                </c:pt>
                <c:pt idx="2">
                  <c:v>44577</c:v>
                </c:pt>
                <c:pt idx="3">
                  <c:v>44576</c:v>
                </c:pt>
                <c:pt idx="4">
                  <c:v>44575</c:v>
                </c:pt>
                <c:pt idx="5">
                  <c:v>44574</c:v>
                </c:pt>
                <c:pt idx="6">
                  <c:v>44573</c:v>
                </c:pt>
                <c:pt idx="7">
                  <c:v>44572</c:v>
                </c:pt>
                <c:pt idx="8">
                  <c:v>44571</c:v>
                </c:pt>
                <c:pt idx="9">
                  <c:v>44570</c:v>
                </c:pt>
                <c:pt idx="10">
                  <c:v>44569</c:v>
                </c:pt>
                <c:pt idx="11">
                  <c:v>44568</c:v>
                </c:pt>
                <c:pt idx="12">
                  <c:v>44567</c:v>
                </c:pt>
                <c:pt idx="13">
                  <c:v>44566</c:v>
                </c:pt>
                <c:pt idx="14">
                  <c:v>44565</c:v>
                </c:pt>
                <c:pt idx="15">
                  <c:v>44564</c:v>
                </c:pt>
                <c:pt idx="16">
                  <c:v>44563</c:v>
                </c:pt>
                <c:pt idx="17">
                  <c:v>44562</c:v>
                </c:pt>
                <c:pt idx="18">
                  <c:v>44561</c:v>
                </c:pt>
                <c:pt idx="19">
                  <c:v>44560</c:v>
                </c:pt>
                <c:pt idx="20">
                  <c:v>44559</c:v>
                </c:pt>
                <c:pt idx="21">
                  <c:v>44558</c:v>
                </c:pt>
                <c:pt idx="22">
                  <c:v>44557</c:v>
                </c:pt>
                <c:pt idx="23">
                  <c:v>44556</c:v>
                </c:pt>
                <c:pt idx="24">
                  <c:v>44555</c:v>
                </c:pt>
                <c:pt idx="25">
                  <c:v>44554</c:v>
                </c:pt>
                <c:pt idx="26">
                  <c:v>44553</c:v>
                </c:pt>
                <c:pt idx="27">
                  <c:v>44552</c:v>
                </c:pt>
                <c:pt idx="28">
                  <c:v>44551</c:v>
                </c:pt>
                <c:pt idx="29">
                  <c:v>44550</c:v>
                </c:pt>
                <c:pt idx="30">
                  <c:v>44549</c:v>
                </c:pt>
                <c:pt idx="31">
                  <c:v>44548</c:v>
                </c:pt>
                <c:pt idx="32">
                  <c:v>44547</c:v>
                </c:pt>
                <c:pt idx="33">
                  <c:v>44546</c:v>
                </c:pt>
                <c:pt idx="34">
                  <c:v>44545</c:v>
                </c:pt>
                <c:pt idx="35">
                  <c:v>44544</c:v>
                </c:pt>
                <c:pt idx="36">
                  <c:v>44543</c:v>
                </c:pt>
                <c:pt idx="37">
                  <c:v>44542</c:v>
                </c:pt>
                <c:pt idx="38">
                  <c:v>44541</c:v>
                </c:pt>
                <c:pt idx="39">
                  <c:v>44540</c:v>
                </c:pt>
                <c:pt idx="40">
                  <c:v>44539</c:v>
                </c:pt>
                <c:pt idx="41">
                  <c:v>44538</c:v>
                </c:pt>
                <c:pt idx="42">
                  <c:v>44537</c:v>
                </c:pt>
                <c:pt idx="43">
                  <c:v>44536</c:v>
                </c:pt>
                <c:pt idx="44">
                  <c:v>44535</c:v>
                </c:pt>
                <c:pt idx="45">
                  <c:v>44534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44528</c:v>
                </c:pt>
                <c:pt idx="52">
                  <c:v>44527</c:v>
                </c:pt>
                <c:pt idx="53">
                  <c:v>44526</c:v>
                </c:pt>
                <c:pt idx="54">
                  <c:v>44525</c:v>
                </c:pt>
                <c:pt idx="55">
                  <c:v>44524</c:v>
                </c:pt>
                <c:pt idx="56">
                  <c:v>44523</c:v>
                </c:pt>
                <c:pt idx="57">
                  <c:v>44522</c:v>
                </c:pt>
                <c:pt idx="58">
                  <c:v>44521</c:v>
                </c:pt>
                <c:pt idx="59">
                  <c:v>44520</c:v>
                </c:pt>
                <c:pt idx="60">
                  <c:v>44519</c:v>
                </c:pt>
                <c:pt idx="61">
                  <c:v>44518</c:v>
                </c:pt>
                <c:pt idx="62">
                  <c:v>44517</c:v>
                </c:pt>
                <c:pt idx="63">
                  <c:v>44516</c:v>
                </c:pt>
                <c:pt idx="64">
                  <c:v>44515</c:v>
                </c:pt>
                <c:pt idx="65">
                  <c:v>44514</c:v>
                </c:pt>
                <c:pt idx="66">
                  <c:v>44513</c:v>
                </c:pt>
                <c:pt idx="67">
                  <c:v>44512</c:v>
                </c:pt>
                <c:pt idx="68">
                  <c:v>44511</c:v>
                </c:pt>
                <c:pt idx="69">
                  <c:v>44510</c:v>
                </c:pt>
                <c:pt idx="70">
                  <c:v>44509</c:v>
                </c:pt>
                <c:pt idx="71">
                  <c:v>44508</c:v>
                </c:pt>
                <c:pt idx="72">
                  <c:v>44507</c:v>
                </c:pt>
                <c:pt idx="73">
                  <c:v>44506</c:v>
                </c:pt>
                <c:pt idx="74">
                  <c:v>44505</c:v>
                </c:pt>
                <c:pt idx="75">
                  <c:v>44504</c:v>
                </c:pt>
                <c:pt idx="76">
                  <c:v>44503</c:v>
                </c:pt>
                <c:pt idx="77">
                  <c:v>44502</c:v>
                </c:pt>
                <c:pt idx="78">
                  <c:v>44501</c:v>
                </c:pt>
                <c:pt idx="79">
                  <c:v>44500</c:v>
                </c:pt>
                <c:pt idx="80">
                  <c:v>44499</c:v>
                </c:pt>
                <c:pt idx="81">
                  <c:v>44498</c:v>
                </c:pt>
                <c:pt idx="82">
                  <c:v>44497</c:v>
                </c:pt>
                <c:pt idx="83">
                  <c:v>44496</c:v>
                </c:pt>
                <c:pt idx="84">
                  <c:v>44495</c:v>
                </c:pt>
                <c:pt idx="85">
                  <c:v>44494</c:v>
                </c:pt>
                <c:pt idx="86">
                  <c:v>44493</c:v>
                </c:pt>
                <c:pt idx="87">
                  <c:v>44492</c:v>
                </c:pt>
                <c:pt idx="88">
                  <c:v>44491</c:v>
                </c:pt>
                <c:pt idx="89">
                  <c:v>44490</c:v>
                </c:pt>
                <c:pt idx="90">
                  <c:v>44489</c:v>
                </c:pt>
                <c:pt idx="91">
                  <c:v>44488</c:v>
                </c:pt>
                <c:pt idx="92">
                  <c:v>44487</c:v>
                </c:pt>
                <c:pt idx="93">
                  <c:v>44486</c:v>
                </c:pt>
                <c:pt idx="94">
                  <c:v>44485</c:v>
                </c:pt>
                <c:pt idx="95">
                  <c:v>44484</c:v>
                </c:pt>
                <c:pt idx="96">
                  <c:v>44483</c:v>
                </c:pt>
                <c:pt idx="97">
                  <c:v>44482</c:v>
                </c:pt>
                <c:pt idx="98">
                  <c:v>44481</c:v>
                </c:pt>
                <c:pt idx="99">
                  <c:v>44480</c:v>
                </c:pt>
                <c:pt idx="100">
                  <c:v>44479</c:v>
                </c:pt>
                <c:pt idx="101">
                  <c:v>44478</c:v>
                </c:pt>
                <c:pt idx="102">
                  <c:v>44477</c:v>
                </c:pt>
                <c:pt idx="103">
                  <c:v>44476</c:v>
                </c:pt>
                <c:pt idx="104">
                  <c:v>44475</c:v>
                </c:pt>
                <c:pt idx="105">
                  <c:v>44474</c:v>
                </c:pt>
                <c:pt idx="106">
                  <c:v>44473</c:v>
                </c:pt>
                <c:pt idx="107">
                  <c:v>44472</c:v>
                </c:pt>
                <c:pt idx="108">
                  <c:v>44471</c:v>
                </c:pt>
                <c:pt idx="109">
                  <c:v>44470</c:v>
                </c:pt>
                <c:pt idx="110">
                  <c:v>44469</c:v>
                </c:pt>
                <c:pt idx="111">
                  <c:v>44468</c:v>
                </c:pt>
                <c:pt idx="112">
                  <c:v>44467</c:v>
                </c:pt>
                <c:pt idx="113">
                  <c:v>44466</c:v>
                </c:pt>
                <c:pt idx="114">
                  <c:v>44465</c:v>
                </c:pt>
                <c:pt idx="115">
                  <c:v>44464</c:v>
                </c:pt>
                <c:pt idx="116">
                  <c:v>44463</c:v>
                </c:pt>
                <c:pt idx="117">
                  <c:v>44462</c:v>
                </c:pt>
                <c:pt idx="118">
                  <c:v>44461</c:v>
                </c:pt>
                <c:pt idx="119">
                  <c:v>44460</c:v>
                </c:pt>
                <c:pt idx="120">
                  <c:v>44459</c:v>
                </c:pt>
                <c:pt idx="121">
                  <c:v>44458</c:v>
                </c:pt>
                <c:pt idx="122">
                  <c:v>44457</c:v>
                </c:pt>
                <c:pt idx="123">
                  <c:v>44456</c:v>
                </c:pt>
                <c:pt idx="124">
                  <c:v>44455</c:v>
                </c:pt>
                <c:pt idx="125">
                  <c:v>44454</c:v>
                </c:pt>
                <c:pt idx="126">
                  <c:v>44453</c:v>
                </c:pt>
                <c:pt idx="127">
                  <c:v>44452</c:v>
                </c:pt>
                <c:pt idx="128">
                  <c:v>44451</c:v>
                </c:pt>
                <c:pt idx="129">
                  <c:v>44450</c:v>
                </c:pt>
                <c:pt idx="130">
                  <c:v>44449</c:v>
                </c:pt>
                <c:pt idx="131">
                  <c:v>44448</c:v>
                </c:pt>
                <c:pt idx="132">
                  <c:v>44447</c:v>
                </c:pt>
                <c:pt idx="133">
                  <c:v>44446</c:v>
                </c:pt>
                <c:pt idx="134">
                  <c:v>44445</c:v>
                </c:pt>
                <c:pt idx="135">
                  <c:v>44444</c:v>
                </c:pt>
                <c:pt idx="136">
                  <c:v>44443</c:v>
                </c:pt>
                <c:pt idx="137">
                  <c:v>44442</c:v>
                </c:pt>
                <c:pt idx="138">
                  <c:v>44441</c:v>
                </c:pt>
                <c:pt idx="139">
                  <c:v>44440</c:v>
                </c:pt>
                <c:pt idx="140">
                  <c:v>44439</c:v>
                </c:pt>
                <c:pt idx="141">
                  <c:v>44438</c:v>
                </c:pt>
                <c:pt idx="142">
                  <c:v>44437</c:v>
                </c:pt>
                <c:pt idx="143">
                  <c:v>44436</c:v>
                </c:pt>
                <c:pt idx="144">
                  <c:v>44435</c:v>
                </c:pt>
                <c:pt idx="145">
                  <c:v>44434</c:v>
                </c:pt>
                <c:pt idx="146">
                  <c:v>44433</c:v>
                </c:pt>
                <c:pt idx="147">
                  <c:v>44432</c:v>
                </c:pt>
                <c:pt idx="148">
                  <c:v>44431</c:v>
                </c:pt>
                <c:pt idx="149">
                  <c:v>44430</c:v>
                </c:pt>
                <c:pt idx="150">
                  <c:v>44429</c:v>
                </c:pt>
                <c:pt idx="151">
                  <c:v>44428</c:v>
                </c:pt>
                <c:pt idx="152">
                  <c:v>44427</c:v>
                </c:pt>
                <c:pt idx="153">
                  <c:v>44426</c:v>
                </c:pt>
                <c:pt idx="154">
                  <c:v>44425</c:v>
                </c:pt>
                <c:pt idx="155">
                  <c:v>44424</c:v>
                </c:pt>
                <c:pt idx="156">
                  <c:v>44423</c:v>
                </c:pt>
                <c:pt idx="157">
                  <c:v>44422</c:v>
                </c:pt>
                <c:pt idx="158">
                  <c:v>44421</c:v>
                </c:pt>
                <c:pt idx="159">
                  <c:v>44420</c:v>
                </c:pt>
                <c:pt idx="160">
                  <c:v>44419</c:v>
                </c:pt>
                <c:pt idx="161">
                  <c:v>44418</c:v>
                </c:pt>
                <c:pt idx="162">
                  <c:v>44417</c:v>
                </c:pt>
                <c:pt idx="163">
                  <c:v>44416</c:v>
                </c:pt>
                <c:pt idx="164">
                  <c:v>44415</c:v>
                </c:pt>
                <c:pt idx="165">
                  <c:v>44414</c:v>
                </c:pt>
                <c:pt idx="166">
                  <c:v>44413</c:v>
                </c:pt>
                <c:pt idx="167">
                  <c:v>44412</c:v>
                </c:pt>
                <c:pt idx="168">
                  <c:v>44411</c:v>
                </c:pt>
                <c:pt idx="169">
                  <c:v>44410</c:v>
                </c:pt>
                <c:pt idx="170">
                  <c:v>44409</c:v>
                </c:pt>
                <c:pt idx="171">
                  <c:v>44408</c:v>
                </c:pt>
                <c:pt idx="172">
                  <c:v>44407</c:v>
                </c:pt>
                <c:pt idx="173">
                  <c:v>44406</c:v>
                </c:pt>
                <c:pt idx="174">
                  <c:v>44405</c:v>
                </c:pt>
                <c:pt idx="175">
                  <c:v>44404</c:v>
                </c:pt>
                <c:pt idx="176">
                  <c:v>44403</c:v>
                </c:pt>
                <c:pt idx="177">
                  <c:v>44402</c:v>
                </c:pt>
                <c:pt idx="178">
                  <c:v>44401</c:v>
                </c:pt>
                <c:pt idx="179">
                  <c:v>44400</c:v>
                </c:pt>
                <c:pt idx="180">
                  <c:v>44399</c:v>
                </c:pt>
                <c:pt idx="181">
                  <c:v>44398</c:v>
                </c:pt>
                <c:pt idx="182">
                  <c:v>44397</c:v>
                </c:pt>
                <c:pt idx="183">
                  <c:v>44396</c:v>
                </c:pt>
                <c:pt idx="184">
                  <c:v>44395</c:v>
                </c:pt>
                <c:pt idx="185">
                  <c:v>44394</c:v>
                </c:pt>
                <c:pt idx="186">
                  <c:v>44393</c:v>
                </c:pt>
                <c:pt idx="187">
                  <c:v>44392</c:v>
                </c:pt>
                <c:pt idx="188">
                  <c:v>44391</c:v>
                </c:pt>
                <c:pt idx="189">
                  <c:v>44390</c:v>
                </c:pt>
                <c:pt idx="190">
                  <c:v>44389</c:v>
                </c:pt>
                <c:pt idx="191">
                  <c:v>44388</c:v>
                </c:pt>
                <c:pt idx="192">
                  <c:v>44387</c:v>
                </c:pt>
                <c:pt idx="193">
                  <c:v>44386</c:v>
                </c:pt>
                <c:pt idx="194">
                  <c:v>44385</c:v>
                </c:pt>
                <c:pt idx="195">
                  <c:v>44384</c:v>
                </c:pt>
                <c:pt idx="196">
                  <c:v>44383</c:v>
                </c:pt>
                <c:pt idx="197">
                  <c:v>44382</c:v>
                </c:pt>
                <c:pt idx="198">
                  <c:v>44381</c:v>
                </c:pt>
                <c:pt idx="199">
                  <c:v>44380</c:v>
                </c:pt>
                <c:pt idx="200">
                  <c:v>44379</c:v>
                </c:pt>
                <c:pt idx="201">
                  <c:v>44378</c:v>
                </c:pt>
                <c:pt idx="202">
                  <c:v>44377</c:v>
                </c:pt>
                <c:pt idx="203">
                  <c:v>44376</c:v>
                </c:pt>
                <c:pt idx="204">
                  <c:v>44375</c:v>
                </c:pt>
                <c:pt idx="205">
                  <c:v>44374</c:v>
                </c:pt>
                <c:pt idx="206">
                  <c:v>44373</c:v>
                </c:pt>
                <c:pt idx="207">
                  <c:v>44372</c:v>
                </c:pt>
                <c:pt idx="208">
                  <c:v>44371</c:v>
                </c:pt>
                <c:pt idx="209">
                  <c:v>44370</c:v>
                </c:pt>
                <c:pt idx="210">
                  <c:v>44369</c:v>
                </c:pt>
                <c:pt idx="211">
                  <c:v>44368</c:v>
                </c:pt>
                <c:pt idx="212">
                  <c:v>44367</c:v>
                </c:pt>
                <c:pt idx="213">
                  <c:v>44366</c:v>
                </c:pt>
                <c:pt idx="214">
                  <c:v>44365</c:v>
                </c:pt>
                <c:pt idx="215">
                  <c:v>44364</c:v>
                </c:pt>
                <c:pt idx="216">
                  <c:v>44363</c:v>
                </c:pt>
                <c:pt idx="217">
                  <c:v>44362</c:v>
                </c:pt>
                <c:pt idx="218">
                  <c:v>44361</c:v>
                </c:pt>
                <c:pt idx="219">
                  <c:v>44360</c:v>
                </c:pt>
                <c:pt idx="220">
                  <c:v>44359</c:v>
                </c:pt>
                <c:pt idx="221">
                  <c:v>44358</c:v>
                </c:pt>
                <c:pt idx="222">
                  <c:v>44357</c:v>
                </c:pt>
                <c:pt idx="223">
                  <c:v>44356</c:v>
                </c:pt>
                <c:pt idx="224">
                  <c:v>44355</c:v>
                </c:pt>
                <c:pt idx="225">
                  <c:v>44354</c:v>
                </c:pt>
                <c:pt idx="226">
                  <c:v>44353</c:v>
                </c:pt>
                <c:pt idx="227">
                  <c:v>44352</c:v>
                </c:pt>
                <c:pt idx="228">
                  <c:v>44351</c:v>
                </c:pt>
                <c:pt idx="229">
                  <c:v>44350</c:v>
                </c:pt>
                <c:pt idx="230">
                  <c:v>44349</c:v>
                </c:pt>
                <c:pt idx="231">
                  <c:v>44348</c:v>
                </c:pt>
                <c:pt idx="232">
                  <c:v>44347</c:v>
                </c:pt>
                <c:pt idx="233">
                  <c:v>44346</c:v>
                </c:pt>
                <c:pt idx="234">
                  <c:v>44345</c:v>
                </c:pt>
                <c:pt idx="235">
                  <c:v>44344</c:v>
                </c:pt>
                <c:pt idx="236">
                  <c:v>44343</c:v>
                </c:pt>
                <c:pt idx="237">
                  <c:v>44342</c:v>
                </c:pt>
                <c:pt idx="238">
                  <c:v>44341</c:v>
                </c:pt>
                <c:pt idx="239">
                  <c:v>44340</c:v>
                </c:pt>
                <c:pt idx="240">
                  <c:v>44339</c:v>
                </c:pt>
                <c:pt idx="241">
                  <c:v>44338</c:v>
                </c:pt>
                <c:pt idx="242">
                  <c:v>44337</c:v>
                </c:pt>
                <c:pt idx="243">
                  <c:v>44336</c:v>
                </c:pt>
                <c:pt idx="244">
                  <c:v>44335</c:v>
                </c:pt>
                <c:pt idx="245">
                  <c:v>44334</c:v>
                </c:pt>
                <c:pt idx="246">
                  <c:v>44333</c:v>
                </c:pt>
                <c:pt idx="247">
                  <c:v>44332</c:v>
                </c:pt>
                <c:pt idx="248">
                  <c:v>44331</c:v>
                </c:pt>
                <c:pt idx="249">
                  <c:v>44330</c:v>
                </c:pt>
                <c:pt idx="250">
                  <c:v>44329</c:v>
                </c:pt>
                <c:pt idx="251">
                  <c:v>44328</c:v>
                </c:pt>
                <c:pt idx="252">
                  <c:v>44327</c:v>
                </c:pt>
                <c:pt idx="253">
                  <c:v>44326</c:v>
                </c:pt>
                <c:pt idx="254">
                  <c:v>44325</c:v>
                </c:pt>
                <c:pt idx="255">
                  <c:v>44324</c:v>
                </c:pt>
                <c:pt idx="256">
                  <c:v>44323</c:v>
                </c:pt>
                <c:pt idx="257">
                  <c:v>44322</c:v>
                </c:pt>
                <c:pt idx="258">
                  <c:v>44321</c:v>
                </c:pt>
                <c:pt idx="259">
                  <c:v>44320</c:v>
                </c:pt>
                <c:pt idx="260">
                  <c:v>44319</c:v>
                </c:pt>
                <c:pt idx="261">
                  <c:v>44318</c:v>
                </c:pt>
                <c:pt idx="262">
                  <c:v>44317</c:v>
                </c:pt>
                <c:pt idx="263">
                  <c:v>44316</c:v>
                </c:pt>
                <c:pt idx="264">
                  <c:v>44315</c:v>
                </c:pt>
                <c:pt idx="265">
                  <c:v>44314</c:v>
                </c:pt>
                <c:pt idx="266">
                  <c:v>44313</c:v>
                </c:pt>
                <c:pt idx="267">
                  <c:v>44312</c:v>
                </c:pt>
                <c:pt idx="268">
                  <c:v>44311</c:v>
                </c:pt>
                <c:pt idx="269">
                  <c:v>44310</c:v>
                </c:pt>
                <c:pt idx="270">
                  <c:v>44309</c:v>
                </c:pt>
                <c:pt idx="271">
                  <c:v>44308</c:v>
                </c:pt>
                <c:pt idx="272">
                  <c:v>44307</c:v>
                </c:pt>
                <c:pt idx="273">
                  <c:v>44306</c:v>
                </c:pt>
                <c:pt idx="274">
                  <c:v>44305</c:v>
                </c:pt>
                <c:pt idx="275">
                  <c:v>44304</c:v>
                </c:pt>
                <c:pt idx="276">
                  <c:v>44303</c:v>
                </c:pt>
                <c:pt idx="277">
                  <c:v>44302</c:v>
                </c:pt>
                <c:pt idx="278">
                  <c:v>44301</c:v>
                </c:pt>
                <c:pt idx="279">
                  <c:v>44300</c:v>
                </c:pt>
                <c:pt idx="280">
                  <c:v>44299</c:v>
                </c:pt>
                <c:pt idx="281">
                  <c:v>44298</c:v>
                </c:pt>
                <c:pt idx="282">
                  <c:v>44297</c:v>
                </c:pt>
                <c:pt idx="283">
                  <c:v>44296</c:v>
                </c:pt>
                <c:pt idx="284">
                  <c:v>44295</c:v>
                </c:pt>
                <c:pt idx="285">
                  <c:v>44294</c:v>
                </c:pt>
                <c:pt idx="286">
                  <c:v>44293</c:v>
                </c:pt>
                <c:pt idx="287">
                  <c:v>44292</c:v>
                </c:pt>
                <c:pt idx="288">
                  <c:v>44291</c:v>
                </c:pt>
                <c:pt idx="289">
                  <c:v>44290</c:v>
                </c:pt>
                <c:pt idx="290">
                  <c:v>44289</c:v>
                </c:pt>
                <c:pt idx="291">
                  <c:v>44288</c:v>
                </c:pt>
                <c:pt idx="292">
                  <c:v>44287</c:v>
                </c:pt>
                <c:pt idx="293">
                  <c:v>44286</c:v>
                </c:pt>
                <c:pt idx="294">
                  <c:v>44285</c:v>
                </c:pt>
                <c:pt idx="295">
                  <c:v>44284</c:v>
                </c:pt>
                <c:pt idx="296">
                  <c:v>44283</c:v>
                </c:pt>
                <c:pt idx="297">
                  <c:v>44282</c:v>
                </c:pt>
                <c:pt idx="298">
                  <c:v>44281</c:v>
                </c:pt>
                <c:pt idx="299">
                  <c:v>44280</c:v>
                </c:pt>
                <c:pt idx="300">
                  <c:v>44279</c:v>
                </c:pt>
                <c:pt idx="301">
                  <c:v>44278</c:v>
                </c:pt>
                <c:pt idx="302">
                  <c:v>44277</c:v>
                </c:pt>
                <c:pt idx="303">
                  <c:v>44276</c:v>
                </c:pt>
                <c:pt idx="304">
                  <c:v>44275</c:v>
                </c:pt>
                <c:pt idx="305">
                  <c:v>44274</c:v>
                </c:pt>
                <c:pt idx="306">
                  <c:v>44273</c:v>
                </c:pt>
                <c:pt idx="307">
                  <c:v>44272</c:v>
                </c:pt>
                <c:pt idx="308">
                  <c:v>44271</c:v>
                </c:pt>
                <c:pt idx="309">
                  <c:v>44270</c:v>
                </c:pt>
                <c:pt idx="310">
                  <c:v>44269</c:v>
                </c:pt>
                <c:pt idx="311">
                  <c:v>44268</c:v>
                </c:pt>
                <c:pt idx="312">
                  <c:v>44267</c:v>
                </c:pt>
                <c:pt idx="313">
                  <c:v>44266</c:v>
                </c:pt>
                <c:pt idx="314">
                  <c:v>44265</c:v>
                </c:pt>
                <c:pt idx="315">
                  <c:v>44264</c:v>
                </c:pt>
                <c:pt idx="316">
                  <c:v>44263</c:v>
                </c:pt>
                <c:pt idx="317">
                  <c:v>44262</c:v>
                </c:pt>
                <c:pt idx="318">
                  <c:v>44261</c:v>
                </c:pt>
                <c:pt idx="319">
                  <c:v>44260</c:v>
                </c:pt>
                <c:pt idx="320">
                  <c:v>44259</c:v>
                </c:pt>
                <c:pt idx="321">
                  <c:v>44258</c:v>
                </c:pt>
                <c:pt idx="322">
                  <c:v>44257</c:v>
                </c:pt>
                <c:pt idx="323">
                  <c:v>44256</c:v>
                </c:pt>
                <c:pt idx="324">
                  <c:v>44255</c:v>
                </c:pt>
                <c:pt idx="325">
                  <c:v>44254</c:v>
                </c:pt>
                <c:pt idx="326">
                  <c:v>44253</c:v>
                </c:pt>
                <c:pt idx="327">
                  <c:v>44252</c:v>
                </c:pt>
                <c:pt idx="328">
                  <c:v>44251</c:v>
                </c:pt>
                <c:pt idx="329">
                  <c:v>44250</c:v>
                </c:pt>
                <c:pt idx="330">
                  <c:v>44249</c:v>
                </c:pt>
                <c:pt idx="331">
                  <c:v>44248</c:v>
                </c:pt>
                <c:pt idx="332">
                  <c:v>44247</c:v>
                </c:pt>
                <c:pt idx="333">
                  <c:v>44246</c:v>
                </c:pt>
                <c:pt idx="334">
                  <c:v>44245</c:v>
                </c:pt>
                <c:pt idx="335">
                  <c:v>44244</c:v>
                </c:pt>
                <c:pt idx="336">
                  <c:v>44243</c:v>
                </c:pt>
                <c:pt idx="337">
                  <c:v>44242</c:v>
                </c:pt>
                <c:pt idx="338">
                  <c:v>44241</c:v>
                </c:pt>
                <c:pt idx="339">
                  <c:v>44240</c:v>
                </c:pt>
                <c:pt idx="340">
                  <c:v>44239</c:v>
                </c:pt>
                <c:pt idx="341">
                  <c:v>44238</c:v>
                </c:pt>
                <c:pt idx="342">
                  <c:v>44237</c:v>
                </c:pt>
                <c:pt idx="343">
                  <c:v>44236</c:v>
                </c:pt>
                <c:pt idx="344">
                  <c:v>44235</c:v>
                </c:pt>
                <c:pt idx="345">
                  <c:v>44234</c:v>
                </c:pt>
                <c:pt idx="346">
                  <c:v>44233</c:v>
                </c:pt>
                <c:pt idx="347">
                  <c:v>44232</c:v>
                </c:pt>
                <c:pt idx="348">
                  <c:v>44231</c:v>
                </c:pt>
                <c:pt idx="349">
                  <c:v>44230</c:v>
                </c:pt>
                <c:pt idx="350">
                  <c:v>44229</c:v>
                </c:pt>
                <c:pt idx="351">
                  <c:v>44228</c:v>
                </c:pt>
                <c:pt idx="352">
                  <c:v>44227</c:v>
                </c:pt>
                <c:pt idx="353">
                  <c:v>44226</c:v>
                </c:pt>
                <c:pt idx="354">
                  <c:v>44225</c:v>
                </c:pt>
                <c:pt idx="355">
                  <c:v>44224</c:v>
                </c:pt>
                <c:pt idx="356">
                  <c:v>44223</c:v>
                </c:pt>
                <c:pt idx="357">
                  <c:v>44222</c:v>
                </c:pt>
                <c:pt idx="358">
                  <c:v>44221</c:v>
                </c:pt>
                <c:pt idx="359">
                  <c:v>44220</c:v>
                </c:pt>
                <c:pt idx="360">
                  <c:v>44219</c:v>
                </c:pt>
                <c:pt idx="361">
                  <c:v>44218</c:v>
                </c:pt>
                <c:pt idx="362">
                  <c:v>44217</c:v>
                </c:pt>
                <c:pt idx="363">
                  <c:v>44216</c:v>
                </c:pt>
                <c:pt idx="364">
                  <c:v>44215</c:v>
                </c:pt>
                <c:pt idx="365">
                  <c:v>44214</c:v>
                </c:pt>
                <c:pt idx="366">
                  <c:v>44213</c:v>
                </c:pt>
                <c:pt idx="367">
                  <c:v>44212</c:v>
                </c:pt>
                <c:pt idx="368">
                  <c:v>44211</c:v>
                </c:pt>
                <c:pt idx="369">
                  <c:v>44210</c:v>
                </c:pt>
                <c:pt idx="370">
                  <c:v>44209</c:v>
                </c:pt>
                <c:pt idx="371">
                  <c:v>44208</c:v>
                </c:pt>
                <c:pt idx="372">
                  <c:v>44207</c:v>
                </c:pt>
                <c:pt idx="373">
                  <c:v>44206</c:v>
                </c:pt>
                <c:pt idx="374">
                  <c:v>44205</c:v>
                </c:pt>
                <c:pt idx="375">
                  <c:v>44204</c:v>
                </c:pt>
                <c:pt idx="376">
                  <c:v>44203</c:v>
                </c:pt>
                <c:pt idx="377">
                  <c:v>44202</c:v>
                </c:pt>
                <c:pt idx="378">
                  <c:v>44201</c:v>
                </c:pt>
                <c:pt idx="379">
                  <c:v>44200</c:v>
                </c:pt>
                <c:pt idx="380">
                  <c:v>44199</c:v>
                </c:pt>
                <c:pt idx="381">
                  <c:v>44198</c:v>
                </c:pt>
                <c:pt idx="382">
                  <c:v>44197</c:v>
                </c:pt>
                <c:pt idx="383">
                  <c:v>44196</c:v>
                </c:pt>
                <c:pt idx="384">
                  <c:v>44195</c:v>
                </c:pt>
                <c:pt idx="385">
                  <c:v>44194</c:v>
                </c:pt>
                <c:pt idx="386">
                  <c:v>44193</c:v>
                </c:pt>
                <c:pt idx="387">
                  <c:v>44192</c:v>
                </c:pt>
                <c:pt idx="388">
                  <c:v>44191</c:v>
                </c:pt>
                <c:pt idx="389">
                  <c:v>44190</c:v>
                </c:pt>
                <c:pt idx="390">
                  <c:v>44189</c:v>
                </c:pt>
                <c:pt idx="391">
                  <c:v>44188</c:v>
                </c:pt>
                <c:pt idx="392">
                  <c:v>44187</c:v>
                </c:pt>
                <c:pt idx="393">
                  <c:v>44186</c:v>
                </c:pt>
                <c:pt idx="394">
                  <c:v>44185</c:v>
                </c:pt>
                <c:pt idx="395">
                  <c:v>44184</c:v>
                </c:pt>
                <c:pt idx="396">
                  <c:v>44183</c:v>
                </c:pt>
                <c:pt idx="397">
                  <c:v>44182</c:v>
                </c:pt>
                <c:pt idx="398">
                  <c:v>44181</c:v>
                </c:pt>
                <c:pt idx="399">
                  <c:v>44180</c:v>
                </c:pt>
                <c:pt idx="400">
                  <c:v>44179</c:v>
                </c:pt>
                <c:pt idx="401">
                  <c:v>44178</c:v>
                </c:pt>
                <c:pt idx="402">
                  <c:v>44177</c:v>
                </c:pt>
                <c:pt idx="403">
                  <c:v>44176</c:v>
                </c:pt>
                <c:pt idx="404">
                  <c:v>44175</c:v>
                </c:pt>
                <c:pt idx="405">
                  <c:v>44174</c:v>
                </c:pt>
                <c:pt idx="406">
                  <c:v>44173</c:v>
                </c:pt>
                <c:pt idx="407">
                  <c:v>44172</c:v>
                </c:pt>
                <c:pt idx="408">
                  <c:v>44171</c:v>
                </c:pt>
                <c:pt idx="409">
                  <c:v>44170</c:v>
                </c:pt>
                <c:pt idx="410">
                  <c:v>44169</c:v>
                </c:pt>
                <c:pt idx="411">
                  <c:v>44168</c:v>
                </c:pt>
                <c:pt idx="412">
                  <c:v>44167</c:v>
                </c:pt>
                <c:pt idx="413">
                  <c:v>44166</c:v>
                </c:pt>
                <c:pt idx="414">
                  <c:v>44165</c:v>
                </c:pt>
                <c:pt idx="415">
                  <c:v>44164</c:v>
                </c:pt>
                <c:pt idx="416">
                  <c:v>44163</c:v>
                </c:pt>
                <c:pt idx="417">
                  <c:v>44162</c:v>
                </c:pt>
                <c:pt idx="418">
                  <c:v>44161</c:v>
                </c:pt>
                <c:pt idx="419">
                  <c:v>44160</c:v>
                </c:pt>
                <c:pt idx="420">
                  <c:v>44159</c:v>
                </c:pt>
                <c:pt idx="421">
                  <c:v>44158</c:v>
                </c:pt>
                <c:pt idx="422">
                  <c:v>44157</c:v>
                </c:pt>
                <c:pt idx="423">
                  <c:v>44156</c:v>
                </c:pt>
                <c:pt idx="424">
                  <c:v>44155</c:v>
                </c:pt>
                <c:pt idx="425">
                  <c:v>44154</c:v>
                </c:pt>
                <c:pt idx="426">
                  <c:v>44153</c:v>
                </c:pt>
                <c:pt idx="427">
                  <c:v>44152</c:v>
                </c:pt>
                <c:pt idx="428">
                  <c:v>44151</c:v>
                </c:pt>
                <c:pt idx="429">
                  <c:v>44150</c:v>
                </c:pt>
                <c:pt idx="430">
                  <c:v>44149</c:v>
                </c:pt>
                <c:pt idx="431">
                  <c:v>44148</c:v>
                </c:pt>
                <c:pt idx="432">
                  <c:v>44147</c:v>
                </c:pt>
                <c:pt idx="433">
                  <c:v>44146</c:v>
                </c:pt>
                <c:pt idx="434">
                  <c:v>44145</c:v>
                </c:pt>
                <c:pt idx="435">
                  <c:v>44144</c:v>
                </c:pt>
                <c:pt idx="436">
                  <c:v>44143</c:v>
                </c:pt>
                <c:pt idx="437">
                  <c:v>44142</c:v>
                </c:pt>
                <c:pt idx="438">
                  <c:v>44141</c:v>
                </c:pt>
                <c:pt idx="439">
                  <c:v>44140</c:v>
                </c:pt>
                <c:pt idx="440">
                  <c:v>44139</c:v>
                </c:pt>
                <c:pt idx="441">
                  <c:v>44138</c:v>
                </c:pt>
                <c:pt idx="442">
                  <c:v>44137</c:v>
                </c:pt>
                <c:pt idx="443">
                  <c:v>44136</c:v>
                </c:pt>
                <c:pt idx="444">
                  <c:v>44135</c:v>
                </c:pt>
                <c:pt idx="445">
                  <c:v>44134</c:v>
                </c:pt>
                <c:pt idx="446">
                  <c:v>44133</c:v>
                </c:pt>
                <c:pt idx="447">
                  <c:v>44132</c:v>
                </c:pt>
                <c:pt idx="448">
                  <c:v>44131</c:v>
                </c:pt>
                <c:pt idx="449">
                  <c:v>44130</c:v>
                </c:pt>
                <c:pt idx="450">
                  <c:v>44129</c:v>
                </c:pt>
                <c:pt idx="451">
                  <c:v>44128</c:v>
                </c:pt>
                <c:pt idx="452">
                  <c:v>44127</c:v>
                </c:pt>
                <c:pt idx="453">
                  <c:v>44126</c:v>
                </c:pt>
                <c:pt idx="454">
                  <c:v>44125</c:v>
                </c:pt>
                <c:pt idx="455">
                  <c:v>44124</c:v>
                </c:pt>
                <c:pt idx="456">
                  <c:v>44123</c:v>
                </c:pt>
                <c:pt idx="457">
                  <c:v>44122</c:v>
                </c:pt>
                <c:pt idx="458">
                  <c:v>44121</c:v>
                </c:pt>
                <c:pt idx="459">
                  <c:v>44120</c:v>
                </c:pt>
                <c:pt idx="460">
                  <c:v>44119</c:v>
                </c:pt>
                <c:pt idx="461">
                  <c:v>44118</c:v>
                </c:pt>
                <c:pt idx="462">
                  <c:v>44117</c:v>
                </c:pt>
                <c:pt idx="463">
                  <c:v>44116</c:v>
                </c:pt>
                <c:pt idx="464">
                  <c:v>44115</c:v>
                </c:pt>
                <c:pt idx="465">
                  <c:v>44114</c:v>
                </c:pt>
                <c:pt idx="466">
                  <c:v>44113</c:v>
                </c:pt>
                <c:pt idx="467">
                  <c:v>44112</c:v>
                </c:pt>
                <c:pt idx="468">
                  <c:v>44111</c:v>
                </c:pt>
                <c:pt idx="469">
                  <c:v>44110</c:v>
                </c:pt>
                <c:pt idx="470">
                  <c:v>44109</c:v>
                </c:pt>
                <c:pt idx="471">
                  <c:v>44108</c:v>
                </c:pt>
                <c:pt idx="472">
                  <c:v>44107</c:v>
                </c:pt>
                <c:pt idx="473">
                  <c:v>44106</c:v>
                </c:pt>
                <c:pt idx="474">
                  <c:v>44105</c:v>
                </c:pt>
                <c:pt idx="475">
                  <c:v>44104</c:v>
                </c:pt>
                <c:pt idx="476">
                  <c:v>44103</c:v>
                </c:pt>
                <c:pt idx="477">
                  <c:v>44102</c:v>
                </c:pt>
                <c:pt idx="478">
                  <c:v>44101</c:v>
                </c:pt>
                <c:pt idx="479">
                  <c:v>44100</c:v>
                </c:pt>
                <c:pt idx="480">
                  <c:v>44099</c:v>
                </c:pt>
                <c:pt idx="481">
                  <c:v>44098</c:v>
                </c:pt>
                <c:pt idx="482">
                  <c:v>44097</c:v>
                </c:pt>
                <c:pt idx="483">
                  <c:v>44096</c:v>
                </c:pt>
                <c:pt idx="484">
                  <c:v>44095</c:v>
                </c:pt>
                <c:pt idx="485">
                  <c:v>44094</c:v>
                </c:pt>
                <c:pt idx="486">
                  <c:v>44093</c:v>
                </c:pt>
                <c:pt idx="487">
                  <c:v>44092</c:v>
                </c:pt>
                <c:pt idx="488">
                  <c:v>44091</c:v>
                </c:pt>
                <c:pt idx="489">
                  <c:v>44090</c:v>
                </c:pt>
                <c:pt idx="490">
                  <c:v>44089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0.56489999999999996</c:v>
                </c:pt>
                <c:pt idx="1">
                  <c:v>0.56489999999999996</c:v>
                </c:pt>
                <c:pt idx="2">
                  <c:v>0.56489999999999996</c:v>
                </c:pt>
                <c:pt idx="3">
                  <c:v>0.56489999999999996</c:v>
                </c:pt>
                <c:pt idx="4">
                  <c:v>0.56489999999999996</c:v>
                </c:pt>
                <c:pt idx="5">
                  <c:v>0.56489999999999996</c:v>
                </c:pt>
                <c:pt idx="6">
                  <c:v>0.56489999999999996</c:v>
                </c:pt>
                <c:pt idx="7">
                  <c:v>0.56489999999999996</c:v>
                </c:pt>
                <c:pt idx="8">
                  <c:v>0.56489999999999996</c:v>
                </c:pt>
                <c:pt idx="9">
                  <c:v>0.56489999999999996</c:v>
                </c:pt>
                <c:pt idx="10">
                  <c:v>0.56489999999999996</c:v>
                </c:pt>
                <c:pt idx="11">
                  <c:v>0.56489999999999996</c:v>
                </c:pt>
                <c:pt idx="12">
                  <c:v>0.56489999999999996</c:v>
                </c:pt>
                <c:pt idx="13">
                  <c:v>0.56489999999999996</c:v>
                </c:pt>
                <c:pt idx="14">
                  <c:v>0.56489999999999996</c:v>
                </c:pt>
                <c:pt idx="15">
                  <c:v>0.56489999999999996</c:v>
                </c:pt>
                <c:pt idx="16">
                  <c:v>0.56489999999999996</c:v>
                </c:pt>
                <c:pt idx="17">
                  <c:v>0.56489999999999996</c:v>
                </c:pt>
                <c:pt idx="18">
                  <c:v>0.56489999999999996</c:v>
                </c:pt>
                <c:pt idx="19">
                  <c:v>0.56489999999999996</c:v>
                </c:pt>
                <c:pt idx="20">
                  <c:v>0.56489999999999996</c:v>
                </c:pt>
                <c:pt idx="21">
                  <c:v>0.56489999999999996</c:v>
                </c:pt>
                <c:pt idx="22">
                  <c:v>0.56489999999999996</c:v>
                </c:pt>
                <c:pt idx="23">
                  <c:v>0.56489999999999996</c:v>
                </c:pt>
                <c:pt idx="24">
                  <c:v>0.56489999999999996</c:v>
                </c:pt>
                <c:pt idx="25">
                  <c:v>0.56489999999999996</c:v>
                </c:pt>
                <c:pt idx="26">
                  <c:v>0.56489999999999996</c:v>
                </c:pt>
                <c:pt idx="27">
                  <c:v>0.56489999999999996</c:v>
                </c:pt>
                <c:pt idx="28">
                  <c:v>0.56489999999999996</c:v>
                </c:pt>
                <c:pt idx="29">
                  <c:v>0.56489999999999996</c:v>
                </c:pt>
                <c:pt idx="30">
                  <c:v>0.56489999999999996</c:v>
                </c:pt>
                <c:pt idx="31">
                  <c:v>0.56489999999999996</c:v>
                </c:pt>
                <c:pt idx="32">
                  <c:v>0.56489999999999996</c:v>
                </c:pt>
                <c:pt idx="33">
                  <c:v>0.56489999999999996</c:v>
                </c:pt>
                <c:pt idx="34">
                  <c:v>0.56489999999999996</c:v>
                </c:pt>
                <c:pt idx="35">
                  <c:v>0.56489999999999996</c:v>
                </c:pt>
                <c:pt idx="36">
                  <c:v>0.56489999999999996</c:v>
                </c:pt>
                <c:pt idx="37">
                  <c:v>0.56489999999999996</c:v>
                </c:pt>
                <c:pt idx="38">
                  <c:v>0.56489999999999996</c:v>
                </c:pt>
                <c:pt idx="39">
                  <c:v>0.56489999999999996</c:v>
                </c:pt>
                <c:pt idx="40">
                  <c:v>0.56489999999999996</c:v>
                </c:pt>
                <c:pt idx="41">
                  <c:v>0.56489999999999996</c:v>
                </c:pt>
                <c:pt idx="42">
                  <c:v>0.56489999999999996</c:v>
                </c:pt>
                <c:pt idx="43">
                  <c:v>0.56489999999999996</c:v>
                </c:pt>
                <c:pt idx="44">
                  <c:v>0.56489999999999996</c:v>
                </c:pt>
                <c:pt idx="45">
                  <c:v>0.56489999999999996</c:v>
                </c:pt>
                <c:pt idx="46">
                  <c:v>0.56489999999999996</c:v>
                </c:pt>
                <c:pt idx="47">
                  <c:v>0.56489999999999996</c:v>
                </c:pt>
                <c:pt idx="48">
                  <c:v>0.56489999999999996</c:v>
                </c:pt>
                <c:pt idx="49">
                  <c:v>0.56489999999999996</c:v>
                </c:pt>
                <c:pt idx="50">
                  <c:v>0.56489999999999996</c:v>
                </c:pt>
                <c:pt idx="51">
                  <c:v>0.56489999999999996</c:v>
                </c:pt>
                <c:pt idx="52">
                  <c:v>0.56489999999999996</c:v>
                </c:pt>
                <c:pt idx="53">
                  <c:v>0.56489999999999996</c:v>
                </c:pt>
                <c:pt idx="54">
                  <c:v>0.56489999999999996</c:v>
                </c:pt>
                <c:pt idx="55">
                  <c:v>0.56489999999999996</c:v>
                </c:pt>
                <c:pt idx="56">
                  <c:v>0.56489999999999996</c:v>
                </c:pt>
                <c:pt idx="57">
                  <c:v>0.56489999999999996</c:v>
                </c:pt>
                <c:pt idx="58">
                  <c:v>0.56489999999999996</c:v>
                </c:pt>
                <c:pt idx="59">
                  <c:v>0.56489999999999996</c:v>
                </c:pt>
                <c:pt idx="60">
                  <c:v>0.56489999999999996</c:v>
                </c:pt>
                <c:pt idx="61">
                  <c:v>0.56489999999999996</c:v>
                </c:pt>
                <c:pt idx="62">
                  <c:v>0.56489999999999996</c:v>
                </c:pt>
                <c:pt idx="63">
                  <c:v>0.56489999999999996</c:v>
                </c:pt>
                <c:pt idx="64">
                  <c:v>0.56489999999999996</c:v>
                </c:pt>
                <c:pt idx="65">
                  <c:v>0.56489999999999996</c:v>
                </c:pt>
                <c:pt idx="66">
                  <c:v>0.56489999999999996</c:v>
                </c:pt>
                <c:pt idx="67">
                  <c:v>0.56489999999999996</c:v>
                </c:pt>
                <c:pt idx="68">
                  <c:v>0.56489999999999996</c:v>
                </c:pt>
                <c:pt idx="69">
                  <c:v>0.56489999999999996</c:v>
                </c:pt>
                <c:pt idx="70">
                  <c:v>0.56489999999999996</c:v>
                </c:pt>
                <c:pt idx="71">
                  <c:v>0.56489999999999996</c:v>
                </c:pt>
                <c:pt idx="72">
                  <c:v>0.56489999999999996</c:v>
                </c:pt>
                <c:pt idx="73">
                  <c:v>0.56489999999999996</c:v>
                </c:pt>
                <c:pt idx="74">
                  <c:v>0.56489999999999996</c:v>
                </c:pt>
                <c:pt idx="75">
                  <c:v>0.56489999999999996</c:v>
                </c:pt>
                <c:pt idx="76">
                  <c:v>0.56489999999999996</c:v>
                </c:pt>
                <c:pt idx="77">
                  <c:v>0.56489999999999996</c:v>
                </c:pt>
                <c:pt idx="78">
                  <c:v>0.56489999999999996</c:v>
                </c:pt>
                <c:pt idx="79">
                  <c:v>0.56489999999999996</c:v>
                </c:pt>
                <c:pt idx="80">
                  <c:v>0.56489999999999996</c:v>
                </c:pt>
                <c:pt idx="81">
                  <c:v>0.56489999999999996</c:v>
                </c:pt>
                <c:pt idx="82">
                  <c:v>0.56489999999999996</c:v>
                </c:pt>
                <c:pt idx="83">
                  <c:v>0.56489999999999996</c:v>
                </c:pt>
                <c:pt idx="84">
                  <c:v>0.56489999999999996</c:v>
                </c:pt>
                <c:pt idx="85">
                  <c:v>0.56489999999999996</c:v>
                </c:pt>
                <c:pt idx="86">
                  <c:v>0.56489999999999996</c:v>
                </c:pt>
                <c:pt idx="87">
                  <c:v>0.56489999999999996</c:v>
                </c:pt>
                <c:pt idx="88">
                  <c:v>0.56489999999999996</c:v>
                </c:pt>
                <c:pt idx="89">
                  <c:v>0.56489999999999996</c:v>
                </c:pt>
                <c:pt idx="90">
                  <c:v>0.56489999999999996</c:v>
                </c:pt>
                <c:pt idx="91">
                  <c:v>0.56489999999999996</c:v>
                </c:pt>
                <c:pt idx="92">
                  <c:v>0.56489999999999996</c:v>
                </c:pt>
                <c:pt idx="93">
                  <c:v>0.56489999999999996</c:v>
                </c:pt>
                <c:pt idx="94">
                  <c:v>0.56489999999999996</c:v>
                </c:pt>
                <c:pt idx="95">
                  <c:v>0.56489999999999996</c:v>
                </c:pt>
                <c:pt idx="96">
                  <c:v>0.56489999999999996</c:v>
                </c:pt>
                <c:pt idx="97">
                  <c:v>0.56489999999999996</c:v>
                </c:pt>
                <c:pt idx="98">
                  <c:v>0.56489999999999996</c:v>
                </c:pt>
                <c:pt idx="99">
                  <c:v>0.56489999999999996</c:v>
                </c:pt>
                <c:pt idx="100">
                  <c:v>0.56489999999999996</c:v>
                </c:pt>
                <c:pt idx="101">
                  <c:v>0.56489999999999996</c:v>
                </c:pt>
                <c:pt idx="102">
                  <c:v>0.56489999999999996</c:v>
                </c:pt>
                <c:pt idx="103">
                  <c:v>0.56489999999999996</c:v>
                </c:pt>
                <c:pt idx="104">
                  <c:v>0.56489999999999996</c:v>
                </c:pt>
                <c:pt idx="105">
                  <c:v>0.56489999999999996</c:v>
                </c:pt>
                <c:pt idx="106">
                  <c:v>0.56489999999999996</c:v>
                </c:pt>
                <c:pt idx="107">
                  <c:v>0.56489999999999996</c:v>
                </c:pt>
                <c:pt idx="108">
                  <c:v>0.56489999999999996</c:v>
                </c:pt>
                <c:pt idx="109">
                  <c:v>0.56489999999999996</c:v>
                </c:pt>
                <c:pt idx="110">
                  <c:v>0.56489999999999996</c:v>
                </c:pt>
                <c:pt idx="111">
                  <c:v>0.58799999999999997</c:v>
                </c:pt>
                <c:pt idx="112">
                  <c:v>0.61639999999999995</c:v>
                </c:pt>
                <c:pt idx="113">
                  <c:v>0.64670000000000005</c:v>
                </c:pt>
                <c:pt idx="114">
                  <c:v>0.7137</c:v>
                </c:pt>
                <c:pt idx="115">
                  <c:v>0.67579999999999996</c:v>
                </c:pt>
                <c:pt idx="116">
                  <c:v>0.84299999999999997</c:v>
                </c:pt>
                <c:pt idx="117">
                  <c:v>1.0156000000000001</c:v>
                </c:pt>
                <c:pt idx="118">
                  <c:v>1.1456999999999999</c:v>
                </c:pt>
                <c:pt idx="119">
                  <c:v>1.0658000000000001</c:v>
                </c:pt>
                <c:pt idx="120">
                  <c:v>1.1474</c:v>
                </c:pt>
                <c:pt idx="121">
                  <c:v>1.1955</c:v>
                </c:pt>
                <c:pt idx="122">
                  <c:v>1.3197000000000001</c:v>
                </c:pt>
                <c:pt idx="123">
                  <c:v>1.3391999999999999</c:v>
                </c:pt>
                <c:pt idx="124">
                  <c:v>1.1068</c:v>
                </c:pt>
                <c:pt idx="125">
                  <c:v>1.1458999999999999</c:v>
                </c:pt>
                <c:pt idx="126">
                  <c:v>1.1249</c:v>
                </c:pt>
                <c:pt idx="127">
                  <c:v>1.05</c:v>
                </c:pt>
                <c:pt idx="128">
                  <c:v>1.1914</c:v>
                </c:pt>
                <c:pt idx="129">
                  <c:v>1.242</c:v>
                </c:pt>
                <c:pt idx="130">
                  <c:v>1.175</c:v>
                </c:pt>
                <c:pt idx="131">
                  <c:v>1.3428</c:v>
                </c:pt>
                <c:pt idx="132">
                  <c:v>1.56</c:v>
                </c:pt>
                <c:pt idx="133">
                  <c:v>1.3272999999999999</c:v>
                </c:pt>
                <c:pt idx="134">
                  <c:v>1.2250000000000001</c:v>
                </c:pt>
                <c:pt idx="135">
                  <c:v>1.1970000000000001</c:v>
                </c:pt>
                <c:pt idx="136">
                  <c:v>0.92030000000000001</c:v>
                </c:pt>
                <c:pt idx="137">
                  <c:v>0.89800000000000002</c:v>
                </c:pt>
                <c:pt idx="138">
                  <c:v>0.86899999999999999</c:v>
                </c:pt>
                <c:pt idx="139">
                  <c:v>0.88890000000000002</c:v>
                </c:pt>
                <c:pt idx="140">
                  <c:v>0.87019999999999997</c:v>
                </c:pt>
                <c:pt idx="141">
                  <c:v>0.871</c:v>
                </c:pt>
                <c:pt idx="142">
                  <c:v>0.92249999999999999</c:v>
                </c:pt>
                <c:pt idx="143">
                  <c:v>0.93030000000000002</c:v>
                </c:pt>
                <c:pt idx="144">
                  <c:v>0.92400000000000004</c:v>
                </c:pt>
                <c:pt idx="145">
                  <c:v>0.91379999999999995</c:v>
                </c:pt>
                <c:pt idx="146">
                  <c:v>0.95</c:v>
                </c:pt>
                <c:pt idx="147">
                  <c:v>0.88</c:v>
                </c:pt>
                <c:pt idx="148">
                  <c:v>0.94799999999999995</c:v>
                </c:pt>
                <c:pt idx="149">
                  <c:v>0.92700000000000005</c:v>
                </c:pt>
                <c:pt idx="150">
                  <c:v>0.92300000000000004</c:v>
                </c:pt>
                <c:pt idx="151">
                  <c:v>0.91900000000000004</c:v>
                </c:pt>
                <c:pt idx="152">
                  <c:v>0.89800000000000002</c:v>
                </c:pt>
                <c:pt idx="153">
                  <c:v>0.85299999999999998</c:v>
                </c:pt>
                <c:pt idx="154">
                  <c:v>0.84799999999999998</c:v>
                </c:pt>
                <c:pt idx="155">
                  <c:v>0.91600000000000004</c:v>
                </c:pt>
                <c:pt idx="156">
                  <c:v>0.94</c:v>
                </c:pt>
                <c:pt idx="157">
                  <c:v>0.95599999999999996</c:v>
                </c:pt>
                <c:pt idx="158">
                  <c:v>0.98699999999999999</c:v>
                </c:pt>
                <c:pt idx="159">
                  <c:v>0.85899999999999999</c:v>
                </c:pt>
                <c:pt idx="160">
                  <c:v>0.9</c:v>
                </c:pt>
                <c:pt idx="161">
                  <c:v>0.89700000000000002</c:v>
                </c:pt>
                <c:pt idx="162">
                  <c:v>0.90300000000000002</c:v>
                </c:pt>
                <c:pt idx="163">
                  <c:v>0.86599999999999999</c:v>
                </c:pt>
                <c:pt idx="164">
                  <c:v>0.89400000000000002</c:v>
                </c:pt>
                <c:pt idx="165">
                  <c:v>0.89</c:v>
                </c:pt>
                <c:pt idx="166">
                  <c:v>0.82799999999999996</c:v>
                </c:pt>
                <c:pt idx="167">
                  <c:v>0.73199999999999998</c:v>
                </c:pt>
                <c:pt idx="168">
                  <c:v>0.69399999999999995</c:v>
                </c:pt>
                <c:pt idx="169">
                  <c:v>0.68100000000000005</c:v>
                </c:pt>
                <c:pt idx="170">
                  <c:v>0.69299999999999995</c:v>
                </c:pt>
                <c:pt idx="171">
                  <c:v>0.71699999999999997</c:v>
                </c:pt>
                <c:pt idx="172">
                  <c:v>0.66200000000000003</c:v>
                </c:pt>
                <c:pt idx="173">
                  <c:v>0.65100000000000002</c:v>
                </c:pt>
                <c:pt idx="174">
                  <c:v>0.65100000000000002</c:v>
                </c:pt>
                <c:pt idx="175">
                  <c:v>0.64600000000000002</c:v>
                </c:pt>
                <c:pt idx="176">
                  <c:v>0.63200000000000001</c:v>
                </c:pt>
                <c:pt idx="177">
                  <c:v>0.64700000000000002</c:v>
                </c:pt>
                <c:pt idx="178">
                  <c:v>0.61599999999999999</c:v>
                </c:pt>
                <c:pt idx="179">
                  <c:v>0.59599999999999997</c:v>
                </c:pt>
                <c:pt idx="180">
                  <c:v>0.55500000000000005</c:v>
                </c:pt>
                <c:pt idx="181">
                  <c:v>0.54600000000000004</c:v>
                </c:pt>
                <c:pt idx="182">
                  <c:v>0.502</c:v>
                </c:pt>
                <c:pt idx="183">
                  <c:v>0.55800000000000005</c:v>
                </c:pt>
                <c:pt idx="184">
                  <c:v>0.58599999999999997</c:v>
                </c:pt>
                <c:pt idx="185">
                  <c:v>0.55900000000000005</c:v>
                </c:pt>
                <c:pt idx="186">
                  <c:v>0.56200000000000006</c:v>
                </c:pt>
                <c:pt idx="187">
                  <c:v>0.60799999999999998</c:v>
                </c:pt>
                <c:pt idx="188">
                  <c:v>0.625</c:v>
                </c:pt>
                <c:pt idx="189">
                  <c:v>0.65300000000000002</c:v>
                </c:pt>
                <c:pt idx="190">
                  <c:v>0.68</c:v>
                </c:pt>
                <c:pt idx="191">
                  <c:v>0.67700000000000005</c:v>
                </c:pt>
                <c:pt idx="192">
                  <c:v>0.66300000000000003</c:v>
                </c:pt>
                <c:pt idx="193">
                  <c:v>0.69599999999999995</c:v>
                </c:pt>
                <c:pt idx="194">
                  <c:v>0.68100000000000005</c:v>
                </c:pt>
                <c:pt idx="195">
                  <c:v>0.70799999999999996</c:v>
                </c:pt>
                <c:pt idx="196">
                  <c:v>0.745</c:v>
                </c:pt>
                <c:pt idx="197">
                  <c:v>0.76300000000000001</c:v>
                </c:pt>
                <c:pt idx="198">
                  <c:v>0.71099999999999997</c:v>
                </c:pt>
                <c:pt idx="199">
                  <c:v>0.68799999999999994</c:v>
                </c:pt>
                <c:pt idx="200">
                  <c:v>0.63500000000000001</c:v>
                </c:pt>
                <c:pt idx="201">
                  <c:v>0.64200000000000002</c:v>
                </c:pt>
                <c:pt idx="202">
                  <c:v>0.67400000000000004</c:v>
                </c:pt>
                <c:pt idx="203">
                  <c:v>0.69</c:v>
                </c:pt>
                <c:pt idx="204">
                  <c:v>0.64200000000000002</c:v>
                </c:pt>
                <c:pt idx="205">
                  <c:v>0.65100000000000002</c:v>
                </c:pt>
                <c:pt idx="206">
                  <c:v>0.59499999999999997</c:v>
                </c:pt>
                <c:pt idx="207">
                  <c:v>0.60099999999999998</c:v>
                </c:pt>
                <c:pt idx="208">
                  <c:v>0.68300000000000005</c:v>
                </c:pt>
                <c:pt idx="209">
                  <c:v>0.70399999999999996</c:v>
                </c:pt>
                <c:pt idx="210">
                  <c:v>0.60899999999999999</c:v>
                </c:pt>
                <c:pt idx="211">
                  <c:v>0.623</c:v>
                </c:pt>
                <c:pt idx="212">
                  <c:v>0.88900000000000001</c:v>
                </c:pt>
                <c:pt idx="213">
                  <c:v>0.87</c:v>
                </c:pt>
                <c:pt idx="214">
                  <c:v>0.79500000000000004</c:v>
                </c:pt>
                <c:pt idx="215">
                  <c:v>0.85799999999999998</c:v>
                </c:pt>
                <c:pt idx="216">
                  <c:v>0.84899999999999998</c:v>
                </c:pt>
                <c:pt idx="217">
                  <c:v>0.90800000000000003</c:v>
                </c:pt>
                <c:pt idx="218">
                  <c:v>0.88900000000000001</c:v>
                </c:pt>
                <c:pt idx="219">
                  <c:v>0.85099999999999998</c:v>
                </c:pt>
                <c:pt idx="220">
                  <c:v>0.79600000000000004</c:v>
                </c:pt>
                <c:pt idx="221">
                  <c:v>0.85899999999999999</c:v>
                </c:pt>
                <c:pt idx="222">
                  <c:v>0.90200000000000002</c:v>
                </c:pt>
                <c:pt idx="223">
                  <c:v>0.97</c:v>
                </c:pt>
                <c:pt idx="224">
                  <c:v>0.91100000000000003</c:v>
                </c:pt>
                <c:pt idx="225">
                  <c:v>0.91500000000000004</c:v>
                </c:pt>
                <c:pt idx="226">
                  <c:v>1.0780000000000001</c:v>
                </c:pt>
                <c:pt idx="227">
                  <c:v>1.095</c:v>
                </c:pt>
                <c:pt idx="228">
                  <c:v>1.032</c:v>
                </c:pt>
                <c:pt idx="229">
                  <c:v>1.1890000000000001</c:v>
                </c:pt>
                <c:pt idx="230">
                  <c:v>1.0309999999999999</c:v>
                </c:pt>
                <c:pt idx="231">
                  <c:v>1.0029999999999999</c:v>
                </c:pt>
                <c:pt idx="232">
                  <c:v>1.044</c:v>
                </c:pt>
                <c:pt idx="233">
                  <c:v>0.98199999999999998</c:v>
                </c:pt>
                <c:pt idx="234">
                  <c:v>0.91200000000000003</c:v>
                </c:pt>
                <c:pt idx="235">
                  <c:v>0.96899999999999997</c:v>
                </c:pt>
                <c:pt idx="236">
                  <c:v>1.0329999999999999</c:v>
                </c:pt>
                <c:pt idx="237">
                  <c:v>1.1399999999999999</c:v>
                </c:pt>
                <c:pt idx="238">
                  <c:v>1.1679999999999999</c:v>
                </c:pt>
                <c:pt idx="239">
                  <c:v>0.86199999999999999</c:v>
                </c:pt>
                <c:pt idx="240">
                  <c:v>0.628</c:v>
                </c:pt>
                <c:pt idx="241">
                  <c:v>0.84</c:v>
                </c:pt>
                <c:pt idx="242">
                  <c:v>0.91200000000000003</c:v>
                </c:pt>
                <c:pt idx="243">
                  <c:v>1.081</c:v>
                </c:pt>
                <c:pt idx="244">
                  <c:v>0.96899999999999997</c:v>
                </c:pt>
                <c:pt idx="245">
                  <c:v>1.56</c:v>
                </c:pt>
                <c:pt idx="246">
                  <c:v>1.571</c:v>
                </c:pt>
                <c:pt idx="247">
                  <c:v>1.694</c:v>
                </c:pt>
                <c:pt idx="248">
                  <c:v>1.6719999999999999</c:v>
                </c:pt>
                <c:pt idx="249">
                  <c:v>1.845</c:v>
                </c:pt>
                <c:pt idx="250">
                  <c:v>1.7929999999999999</c:v>
                </c:pt>
                <c:pt idx="251">
                  <c:v>1.615</c:v>
                </c:pt>
                <c:pt idx="252">
                  <c:v>1.9370000000000001</c:v>
                </c:pt>
                <c:pt idx="253">
                  <c:v>1.885</c:v>
                </c:pt>
                <c:pt idx="254">
                  <c:v>2.13</c:v>
                </c:pt>
                <c:pt idx="255">
                  <c:v>2.214</c:v>
                </c:pt>
                <c:pt idx="256">
                  <c:v>2.3660000000000001</c:v>
                </c:pt>
                <c:pt idx="257">
                  <c:v>2.1019999999999999</c:v>
                </c:pt>
                <c:pt idx="258">
                  <c:v>2.27</c:v>
                </c:pt>
                <c:pt idx="259">
                  <c:v>2.2130000000000001</c:v>
                </c:pt>
                <c:pt idx="260">
                  <c:v>2.3340000000000001</c:v>
                </c:pt>
                <c:pt idx="261">
                  <c:v>2.5289999999999999</c:v>
                </c:pt>
                <c:pt idx="262">
                  <c:v>2.2040000000000002</c:v>
                </c:pt>
                <c:pt idx="263">
                  <c:v>2.4470000000000001</c:v>
                </c:pt>
                <c:pt idx="264">
                  <c:v>2.6440000000000001</c:v>
                </c:pt>
                <c:pt idx="265">
                  <c:v>1.6619999999999999</c:v>
                </c:pt>
                <c:pt idx="266">
                  <c:v>1.784</c:v>
                </c:pt>
                <c:pt idx="267">
                  <c:v>1.524</c:v>
                </c:pt>
                <c:pt idx="268">
                  <c:v>1.288</c:v>
                </c:pt>
                <c:pt idx="269">
                  <c:v>1.2490000000000001</c:v>
                </c:pt>
                <c:pt idx="270">
                  <c:v>1.391</c:v>
                </c:pt>
                <c:pt idx="271">
                  <c:v>1.5309999999999999</c:v>
                </c:pt>
                <c:pt idx="272">
                  <c:v>1.66</c:v>
                </c:pt>
                <c:pt idx="273">
                  <c:v>1.8180000000000001</c:v>
                </c:pt>
                <c:pt idx="274">
                  <c:v>1.744</c:v>
                </c:pt>
                <c:pt idx="275">
                  <c:v>1.9430000000000001</c:v>
                </c:pt>
                <c:pt idx="276">
                  <c:v>2.1869999999999998</c:v>
                </c:pt>
                <c:pt idx="277">
                  <c:v>2.4049999999999998</c:v>
                </c:pt>
                <c:pt idx="278">
                  <c:v>2.5609999999999999</c:v>
                </c:pt>
                <c:pt idx="279">
                  <c:v>2.5</c:v>
                </c:pt>
                <c:pt idx="280">
                  <c:v>2.669</c:v>
                </c:pt>
                <c:pt idx="281">
                  <c:v>2.5739999999999998</c:v>
                </c:pt>
                <c:pt idx="282">
                  <c:v>3.1120000000000001</c:v>
                </c:pt>
                <c:pt idx="283">
                  <c:v>2.2530000000000001</c:v>
                </c:pt>
                <c:pt idx="284">
                  <c:v>1.8460000000000001</c:v>
                </c:pt>
                <c:pt idx="285">
                  <c:v>1.8109999999999999</c:v>
                </c:pt>
                <c:pt idx="286">
                  <c:v>1.8620000000000001</c:v>
                </c:pt>
                <c:pt idx="287">
                  <c:v>2.028</c:v>
                </c:pt>
                <c:pt idx="288">
                  <c:v>1.8120000000000001</c:v>
                </c:pt>
                <c:pt idx="289">
                  <c:v>1.613</c:v>
                </c:pt>
                <c:pt idx="290">
                  <c:v>1.417</c:v>
                </c:pt>
                <c:pt idx="291">
                  <c:v>1.5620000000000001</c:v>
                </c:pt>
                <c:pt idx="292">
                  <c:v>1.53</c:v>
                </c:pt>
                <c:pt idx="293">
                  <c:v>1.593</c:v>
                </c:pt>
                <c:pt idx="294">
                  <c:v>1.6579999999999999</c:v>
                </c:pt>
                <c:pt idx="295">
                  <c:v>1.538</c:v>
                </c:pt>
                <c:pt idx="296">
                  <c:v>1.4890000000000001</c:v>
                </c:pt>
                <c:pt idx="297">
                  <c:v>1.4119999999999999</c:v>
                </c:pt>
                <c:pt idx="298">
                  <c:v>1.5109999999999999</c:v>
                </c:pt>
                <c:pt idx="299">
                  <c:v>1.248</c:v>
                </c:pt>
                <c:pt idx="300">
                  <c:v>1.3420000000000001</c:v>
                </c:pt>
                <c:pt idx="301">
                  <c:v>1.534</c:v>
                </c:pt>
                <c:pt idx="302">
                  <c:v>1.4350000000000001</c:v>
                </c:pt>
                <c:pt idx="303">
                  <c:v>1.5840000000000001</c:v>
                </c:pt>
                <c:pt idx="304">
                  <c:v>1.611</c:v>
                </c:pt>
                <c:pt idx="305">
                  <c:v>1.585</c:v>
                </c:pt>
                <c:pt idx="306">
                  <c:v>1.37</c:v>
                </c:pt>
                <c:pt idx="307">
                  <c:v>1.395</c:v>
                </c:pt>
                <c:pt idx="308">
                  <c:v>1.3380000000000001</c:v>
                </c:pt>
                <c:pt idx="309">
                  <c:v>1.2929999999999999</c:v>
                </c:pt>
                <c:pt idx="310">
                  <c:v>1.3240000000000001</c:v>
                </c:pt>
                <c:pt idx="311">
                  <c:v>1.3680000000000001</c:v>
                </c:pt>
                <c:pt idx="312">
                  <c:v>1.077</c:v>
                </c:pt>
                <c:pt idx="313">
                  <c:v>1.1020000000000001</c:v>
                </c:pt>
                <c:pt idx="314">
                  <c:v>1.151</c:v>
                </c:pt>
                <c:pt idx="315">
                  <c:v>1.208</c:v>
                </c:pt>
                <c:pt idx="316">
                  <c:v>1.1379999999999999</c:v>
                </c:pt>
                <c:pt idx="317">
                  <c:v>1.1559999999999999</c:v>
                </c:pt>
                <c:pt idx="318">
                  <c:v>1.151</c:v>
                </c:pt>
                <c:pt idx="319">
                  <c:v>1.119</c:v>
                </c:pt>
                <c:pt idx="320">
                  <c:v>1.113</c:v>
                </c:pt>
                <c:pt idx="321">
                  <c:v>1.18</c:v>
                </c:pt>
                <c:pt idx="322">
                  <c:v>1.18</c:v>
                </c:pt>
                <c:pt idx="323">
                  <c:v>1.0049999999999999</c:v>
                </c:pt>
                <c:pt idx="324">
                  <c:v>0.93400000000000005</c:v>
                </c:pt>
                <c:pt idx="325">
                  <c:v>1.0860000000000001</c:v>
                </c:pt>
                <c:pt idx="326">
                  <c:v>1.0109999999999999</c:v>
                </c:pt>
                <c:pt idx="327">
                  <c:v>1.01</c:v>
                </c:pt>
                <c:pt idx="328">
                  <c:v>1.202</c:v>
                </c:pt>
                <c:pt idx="329">
                  <c:v>1.1779999999999999</c:v>
                </c:pt>
                <c:pt idx="330">
                  <c:v>1.4219999999999999</c:v>
                </c:pt>
                <c:pt idx="331">
                  <c:v>1.6160000000000001</c:v>
                </c:pt>
                <c:pt idx="332">
                  <c:v>1.66</c:v>
                </c:pt>
                <c:pt idx="333">
                  <c:v>1.7310000000000001</c:v>
                </c:pt>
                <c:pt idx="334">
                  <c:v>1.8979999999999999</c:v>
                </c:pt>
                <c:pt idx="335">
                  <c:v>1.994</c:v>
                </c:pt>
                <c:pt idx="336">
                  <c:v>1.615</c:v>
                </c:pt>
                <c:pt idx="337">
                  <c:v>1.7390000000000001</c:v>
                </c:pt>
                <c:pt idx="338">
                  <c:v>1.9510000000000001</c:v>
                </c:pt>
                <c:pt idx="339">
                  <c:v>2.2080000000000002</c:v>
                </c:pt>
                <c:pt idx="340">
                  <c:v>1.9330000000000001</c:v>
                </c:pt>
                <c:pt idx="341">
                  <c:v>1.7270000000000001</c:v>
                </c:pt>
                <c:pt idx="342">
                  <c:v>1.667</c:v>
                </c:pt>
                <c:pt idx="343">
                  <c:v>1.736</c:v>
                </c:pt>
                <c:pt idx="344">
                  <c:v>1.282</c:v>
                </c:pt>
                <c:pt idx="345">
                  <c:v>1.325</c:v>
                </c:pt>
                <c:pt idx="346">
                  <c:v>1.304</c:v>
                </c:pt>
                <c:pt idx="347">
                  <c:v>1.569</c:v>
                </c:pt>
                <c:pt idx="348">
                  <c:v>1.7569999999999999</c:v>
                </c:pt>
                <c:pt idx="349">
                  <c:v>0.872</c:v>
                </c:pt>
                <c:pt idx="350">
                  <c:v>0.80800000000000005</c:v>
                </c:pt>
                <c:pt idx="351">
                  <c:v>0.77</c:v>
                </c:pt>
                <c:pt idx="352">
                  <c:v>0.90500000000000003</c:v>
                </c:pt>
                <c:pt idx="353">
                  <c:v>0.83</c:v>
                </c:pt>
                <c:pt idx="354">
                  <c:v>0.81299999999999994</c:v>
                </c:pt>
                <c:pt idx="355">
                  <c:v>0.88300000000000001</c:v>
                </c:pt>
                <c:pt idx="356">
                  <c:v>0.72399999999999998</c:v>
                </c:pt>
                <c:pt idx="357">
                  <c:v>0.81100000000000005</c:v>
                </c:pt>
                <c:pt idx="358">
                  <c:v>0.85699999999999998</c:v>
                </c:pt>
                <c:pt idx="359">
                  <c:v>0.89</c:v>
                </c:pt>
                <c:pt idx="360">
                  <c:v>0.78900000000000003</c:v>
                </c:pt>
                <c:pt idx="361">
                  <c:v>0.75800000000000001</c:v>
                </c:pt>
                <c:pt idx="362">
                  <c:v>0.64800000000000002</c:v>
                </c:pt>
                <c:pt idx="363">
                  <c:v>0.73</c:v>
                </c:pt>
                <c:pt idx="364">
                  <c:v>0.72199999999999998</c:v>
                </c:pt>
                <c:pt idx="365">
                  <c:v>0.872</c:v>
                </c:pt>
                <c:pt idx="366">
                  <c:v>0.77400000000000002</c:v>
                </c:pt>
                <c:pt idx="367">
                  <c:v>0.54300000000000004</c:v>
                </c:pt>
                <c:pt idx="368">
                  <c:v>0.52300000000000002</c:v>
                </c:pt>
                <c:pt idx="369">
                  <c:v>0.39300000000000002</c:v>
                </c:pt>
                <c:pt idx="370">
                  <c:v>0.40400000000000003</c:v>
                </c:pt>
                <c:pt idx="371">
                  <c:v>0.38</c:v>
                </c:pt>
                <c:pt idx="372">
                  <c:v>0.38800000000000001</c:v>
                </c:pt>
                <c:pt idx="373">
                  <c:v>0.435</c:v>
                </c:pt>
                <c:pt idx="374">
                  <c:v>0.45400000000000001</c:v>
                </c:pt>
                <c:pt idx="375">
                  <c:v>0.41299999999999998</c:v>
                </c:pt>
                <c:pt idx="376">
                  <c:v>0.45600000000000002</c:v>
                </c:pt>
                <c:pt idx="377">
                  <c:v>0.441</c:v>
                </c:pt>
                <c:pt idx="378">
                  <c:v>0.39700000000000002</c:v>
                </c:pt>
                <c:pt idx="379">
                  <c:v>0.40300000000000002</c:v>
                </c:pt>
                <c:pt idx="380">
                  <c:v>0.39400000000000002</c:v>
                </c:pt>
                <c:pt idx="381">
                  <c:v>0.43</c:v>
                </c:pt>
                <c:pt idx="382">
                  <c:v>0.45100000000000001</c:v>
                </c:pt>
                <c:pt idx="383">
                  <c:v>0.39</c:v>
                </c:pt>
                <c:pt idx="384">
                  <c:v>0.39300000000000002</c:v>
                </c:pt>
                <c:pt idx="385">
                  <c:v>0.39200000000000002</c:v>
                </c:pt>
                <c:pt idx="386">
                  <c:v>0.40899999999999997</c:v>
                </c:pt>
                <c:pt idx="387">
                  <c:v>0.42899999999999999</c:v>
                </c:pt>
                <c:pt idx="388">
                  <c:v>0.44900000000000001</c:v>
                </c:pt>
                <c:pt idx="389">
                  <c:v>0.48</c:v>
                </c:pt>
                <c:pt idx="390">
                  <c:v>0.52100000000000002</c:v>
                </c:pt>
                <c:pt idx="391">
                  <c:v>0.41899999999999998</c:v>
                </c:pt>
                <c:pt idx="392">
                  <c:v>0.53400000000000003</c:v>
                </c:pt>
                <c:pt idx="393">
                  <c:v>0.51700000000000002</c:v>
                </c:pt>
                <c:pt idx="394">
                  <c:v>0.58899999999999997</c:v>
                </c:pt>
                <c:pt idx="395">
                  <c:v>0.61199999999999999</c:v>
                </c:pt>
                <c:pt idx="396">
                  <c:v>0.627</c:v>
                </c:pt>
                <c:pt idx="397">
                  <c:v>0.65300000000000002</c:v>
                </c:pt>
                <c:pt idx="398">
                  <c:v>0.66900000000000004</c:v>
                </c:pt>
                <c:pt idx="399">
                  <c:v>0.67400000000000004</c:v>
                </c:pt>
                <c:pt idx="400">
                  <c:v>0.67900000000000005</c:v>
                </c:pt>
                <c:pt idx="401">
                  <c:v>0.65200000000000002</c:v>
                </c:pt>
                <c:pt idx="402">
                  <c:v>0.63800000000000001</c:v>
                </c:pt>
                <c:pt idx="403">
                  <c:v>0.624</c:v>
                </c:pt>
                <c:pt idx="404">
                  <c:v>0.70599999999999996</c:v>
                </c:pt>
                <c:pt idx="405">
                  <c:v>0.68899999999999995</c:v>
                </c:pt>
                <c:pt idx="406">
                  <c:v>0.69099999999999995</c:v>
                </c:pt>
                <c:pt idx="407">
                  <c:v>0.79200000000000004</c:v>
                </c:pt>
                <c:pt idx="408">
                  <c:v>0.86899999999999999</c:v>
                </c:pt>
                <c:pt idx="409">
                  <c:v>0.81200000000000006</c:v>
                </c:pt>
                <c:pt idx="410">
                  <c:v>0.75900000000000001</c:v>
                </c:pt>
                <c:pt idx="411">
                  <c:v>0.878</c:v>
                </c:pt>
                <c:pt idx="412">
                  <c:v>0.71699999999999997</c:v>
                </c:pt>
                <c:pt idx="413">
                  <c:v>0.64700000000000002</c:v>
                </c:pt>
                <c:pt idx="414">
                  <c:v>0.61199999999999999</c:v>
                </c:pt>
                <c:pt idx="415">
                  <c:v>0.63500000000000001</c:v>
                </c:pt>
                <c:pt idx="416">
                  <c:v>0.66800000000000004</c:v>
                </c:pt>
                <c:pt idx="417">
                  <c:v>0.68799999999999994</c:v>
                </c:pt>
                <c:pt idx="418">
                  <c:v>0.56999999999999995</c:v>
                </c:pt>
                <c:pt idx="419">
                  <c:v>0.66500000000000004</c:v>
                </c:pt>
                <c:pt idx="420">
                  <c:v>0.70199999999999996</c:v>
                </c:pt>
                <c:pt idx="421">
                  <c:v>0.80500000000000005</c:v>
                </c:pt>
                <c:pt idx="422">
                  <c:v>0.79</c:v>
                </c:pt>
                <c:pt idx="423">
                  <c:v>0.86299999999999999</c:v>
                </c:pt>
                <c:pt idx="424">
                  <c:v>1.008</c:v>
                </c:pt>
                <c:pt idx="425">
                  <c:v>0.84199999999999997</c:v>
                </c:pt>
                <c:pt idx="426">
                  <c:v>0.82399999999999995</c:v>
                </c:pt>
                <c:pt idx="427">
                  <c:v>0.88900000000000001</c:v>
                </c:pt>
                <c:pt idx="428">
                  <c:v>1.1060000000000001</c:v>
                </c:pt>
                <c:pt idx="429">
                  <c:v>1.133</c:v>
                </c:pt>
                <c:pt idx="430">
                  <c:v>0.63400000000000001</c:v>
                </c:pt>
                <c:pt idx="431">
                  <c:v>0.497</c:v>
                </c:pt>
                <c:pt idx="432">
                  <c:v>0.47</c:v>
                </c:pt>
                <c:pt idx="433">
                  <c:v>0.49299999999999999</c:v>
                </c:pt>
                <c:pt idx="434">
                  <c:v>0.51900000000000002</c:v>
                </c:pt>
                <c:pt idx="435">
                  <c:v>0.438</c:v>
                </c:pt>
                <c:pt idx="436">
                  <c:v>0.47499999999999998</c:v>
                </c:pt>
                <c:pt idx="437">
                  <c:v>0.44600000000000001</c:v>
                </c:pt>
                <c:pt idx="438">
                  <c:v>0.43099999999999999</c:v>
                </c:pt>
                <c:pt idx="439">
                  <c:v>0.39</c:v>
                </c:pt>
                <c:pt idx="440">
                  <c:v>0.40899999999999997</c:v>
                </c:pt>
                <c:pt idx="441">
                  <c:v>0.40100000000000002</c:v>
                </c:pt>
                <c:pt idx="442">
                  <c:v>0.44800000000000001</c:v>
                </c:pt>
                <c:pt idx="443">
                  <c:v>0.48699999999999999</c:v>
                </c:pt>
                <c:pt idx="444">
                  <c:v>0.52200000000000002</c:v>
                </c:pt>
                <c:pt idx="445">
                  <c:v>0.55800000000000005</c:v>
                </c:pt>
                <c:pt idx="446">
                  <c:v>0.59899999999999998</c:v>
                </c:pt>
                <c:pt idx="447">
                  <c:v>0.60599999999999998</c:v>
                </c:pt>
                <c:pt idx="448">
                  <c:v>0.68500000000000005</c:v>
                </c:pt>
                <c:pt idx="449">
                  <c:v>0.68899999999999995</c:v>
                </c:pt>
                <c:pt idx="450">
                  <c:v>0.61599999999999999</c:v>
                </c:pt>
                <c:pt idx="451">
                  <c:v>0.65500000000000003</c:v>
                </c:pt>
                <c:pt idx="452">
                  <c:v>0.63200000000000001</c:v>
                </c:pt>
                <c:pt idx="453">
                  <c:v>0.60299999999999998</c:v>
                </c:pt>
                <c:pt idx="454">
                  <c:v>0.61799999999999999</c:v>
                </c:pt>
                <c:pt idx="455">
                  <c:v>0.63700000000000001</c:v>
                </c:pt>
                <c:pt idx="456">
                  <c:v>0.61799999999999999</c:v>
                </c:pt>
                <c:pt idx="457">
                  <c:v>0.61199999999999999</c:v>
                </c:pt>
                <c:pt idx="458">
                  <c:v>0.63200000000000001</c:v>
                </c:pt>
                <c:pt idx="459">
                  <c:v>0.623</c:v>
                </c:pt>
                <c:pt idx="460">
                  <c:v>0.64200000000000002</c:v>
                </c:pt>
                <c:pt idx="461">
                  <c:v>0.67700000000000005</c:v>
                </c:pt>
                <c:pt idx="462">
                  <c:v>0.749</c:v>
                </c:pt>
                <c:pt idx="463">
                  <c:v>0.75700000000000001</c:v>
                </c:pt>
                <c:pt idx="464">
                  <c:v>0.78100000000000003</c:v>
                </c:pt>
                <c:pt idx="465">
                  <c:v>0.79900000000000004</c:v>
                </c:pt>
                <c:pt idx="466">
                  <c:v>0.77400000000000002</c:v>
                </c:pt>
                <c:pt idx="467">
                  <c:v>0.68</c:v>
                </c:pt>
                <c:pt idx="468">
                  <c:v>0.72299999999999998</c:v>
                </c:pt>
                <c:pt idx="469">
                  <c:v>0.61199999999999999</c:v>
                </c:pt>
                <c:pt idx="470">
                  <c:v>0.86</c:v>
                </c:pt>
                <c:pt idx="471">
                  <c:v>1.0549999999999999</c:v>
                </c:pt>
                <c:pt idx="472">
                  <c:v>1.1379999999999999</c:v>
                </c:pt>
                <c:pt idx="473">
                  <c:v>1.08</c:v>
                </c:pt>
                <c:pt idx="474">
                  <c:v>1.1910000000000001</c:v>
                </c:pt>
                <c:pt idx="475">
                  <c:v>1.2889999999999999</c:v>
                </c:pt>
                <c:pt idx="476">
                  <c:v>1.39</c:v>
                </c:pt>
                <c:pt idx="477">
                  <c:v>1.25</c:v>
                </c:pt>
                <c:pt idx="478">
                  <c:v>1.3089999999999999</c:v>
                </c:pt>
                <c:pt idx="479">
                  <c:v>1.37</c:v>
                </c:pt>
                <c:pt idx="480">
                  <c:v>1.492</c:v>
                </c:pt>
                <c:pt idx="481">
                  <c:v>1.2809999999999999</c:v>
                </c:pt>
                <c:pt idx="482">
                  <c:v>1.1739999999999999</c:v>
                </c:pt>
                <c:pt idx="483">
                  <c:v>1.55</c:v>
                </c:pt>
                <c:pt idx="484">
                  <c:v>1.29</c:v>
                </c:pt>
                <c:pt idx="485">
                  <c:v>1.742</c:v>
                </c:pt>
                <c:pt idx="486">
                  <c:v>2.9039999999999999</c:v>
                </c:pt>
                <c:pt idx="487">
                  <c:v>3.6509999999999998</c:v>
                </c:pt>
                <c:pt idx="488">
                  <c:v>3.0190000000000001</c:v>
                </c:pt>
                <c:pt idx="489">
                  <c:v>3.8159999999999998</c:v>
                </c:pt>
                <c:pt idx="490">
                  <c:v>4.6749999999999998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99-4831-A7AF-C05BD811F03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44579</c:v>
                </c:pt>
                <c:pt idx="1">
                  <c:v>44578</c:v>
                </c:pt>
                <c:pt idx="2">
                  <c:v>44577</c:v>
                </c:pt>
                <c:pt idx="3">
                  <c:v>44576</c:v>
                </c:pt>
                <c:pt idx="4">
                  <c:v>44575</c:v>
                </c:pt>
                <c:pt idx="5">
                  <c:v>44574</c:v>
                </c:pt>
                <c:pt idx="6">
                  <c:v>44573</c:v>
                </c:pt>
                <c:pt idx="7">
                  <c:v>44572</c:v>
                </c:pt>
                <c:pt idx="8">
                  <c:v>44571</c:v>
                </c:pt>
                <c:pt idx="9">
                  <c:v>44570</c:v>
                </c:pt>
                <c:pt idx="10">
                  <c:v>44569</c:v>
                </c:pt>
                <c:pt idx="11">
                  <c:v>44568</c:v>
                </c:pt>
                <c:pt idx="12">
                  <c:v>44567</c:v>
                </c:pt>
                <c:pt idx="13">
                  <c:v>44566</c:v>
                </c:pt>
                <c:pt idx="14">
                  <c:v>44565</c:v>
                </c:pt>
                <c:pt idx="15">
                  <c:v>44564</c:v>
                </c:pt>
                <c:pt idx="16">
                  <c:v>44563</c:v>
                </c:pt>
                <c:pt idx="17">
                  <c:v>44562</c:v>
                </c:pt>
                <c:pt idx="18">
                  <c:v>44561</c:v>
                </c:pt>
                <c:pt idx="19">
                  <c:v>44560</c:v>
                </c:pt>
                <c:pt idx="20">
                  <c:v>44559</c:v>
                </c:pt>
                <c:pt idx="21">
                  <c:v>44558</c:v>
                </c:pt>
                <c:pt idx="22">
                  <c:v>44557</c:v>
                </c:pt>
                <c:pt idx="23">
                  <c:v>44556</c:v>
                </c:pt>
                <c:pt idx="24">
                  <c:v>44555</c:v>
                </c:pt>
                <c:pt idx="25">
                  <c:v>44554</c:v>
                </c:pt>
                <c:pt idx="26">
                  <c:v>44553</c:v>
                </c:pt>
                <c:pt idx="27">
                  <c:v>44552</c:v>
                </c:pt>
                <c:pt idx="28">
                  <c:v>44551</c:v>
                </c:pt>
                <c:pt idx="29">
                  <c:v>44550</c:v>
                </c:pt>
                <c:pt idx="30">
                  <c:v>44549</c:v>
                </c:pt>
                <c:pt idx="31">
                  <c:v>44548</c:v>
                </c:pt>
                <c:pt idx="32">
                  <c:v>44547</c:v>
                </c:pt>
                <c:pt idx="33">
                  <c:v>44546</c:v>
                </c:pt>
                <c:pt idx="34">
                  <c:v>44545</c:v>
                </c:pt>
                <c:pt idx="35">
                  <c:v>44544</c:v>
                </c:pt>
                <c:pt idx="36">
                  <c:v>44543</c:v>
                </c:pt>
                <c:pt idx="37">
                  <c:v>44542</c:v>
                </c:pt>
                <c:pt idx="38">
                  <c:v>44541</c:v>
                </c:pt>
                <c:pt idx="39">
                  <c:v>44540</c:v>
                </c:pt>
                <c:pt idx="40">
                  <c:v>44539</c:v>
                </c:pt>
                <c:pt idx="41">
                  <c:v>44538</c:v>
                </c:pt>
                <c:pt idx="42">
                  <c:v>44537</c:v>
                </c:pt>
                <c:pt idx="43">
                  <c:v>44536</c:v>
                </c:pt>
                <c:pt idx="44">
                  <c:v>44535</c:v>
                </c:pt>
                <c:pt idx="45">
                  <c:v>44534</c:v>
                </c:pt>
                <c:pt idx="46">
                  <c:v>44533</c:v>
                </c:pt>
                <c:pt idx="47">
                  <c:v>44532</c:v>
                </c:pt>
                <c:pt idx="48">
                  <c:v>44531</c:v>
                </c:pt>
                <c:pt idx="49">
                  <c:v>44530</c:v>
                </c:pt>
                <c:pt idx="50">
                  <c:v>44529</c:v>
                </c:pt>
                <c:pt idx="51">
                  <c:v>44528</c:v>
                </c:pt>
                <c:pt idx="52">
                  <c:v>44527</c:v>
                </c:pt>
                <c:pt idx="53">
                  <c:v>44526</c:v>
                </c:pt>
                <c:pt idx="54">
                  <c:v>44525</c:v>
                </c:pt>
                <c:pt idx="55">
                  <c:v>44524</c:v>
                </c:pt>
                <c:pt idx="56">
                  <c:v>44523</c:v>
                </c:pt>
                <c:pt idx="57">
                  <c:v>44522</c:v>
                </c:pt>
                <c:pt idx="58">
                  <c:v>44521</c:v>
                </c:pt>
                <c:pt idx="59">
                  <c:v>44520</c:v>
                </c:pt>
                <c:pt idx="60">
                  <c:v>44519</c:v>
                </c:pt>
                <c:pt idx="61">
                  <c:v>44518</c:v>
                </c:pt>
                <c:pt idx="62">
                  <c:v>44517</c:v>
                </c:pt>
                <c:pt idx="63">
                  <c:v>44516</c:v>
                </c:pt>
                <c:pt idx="64">
                  <c:v>44515</c:v>
                </c:pt>
                <c:pt idx="65">
                  <c:v>44514</c:v>
                </c:pt>
                <c:pt idx="66">
                  <c:v>44513</c:v>
                </c:pt>
                <c:pt idx="67">
                  <c:v>44512</c:v>
                </c:pt>
                <c:pt idx="68">
                  <c:v>44511</c:v>
                </c:pt>
                <c:pt idx="69">
                  <c:v>44510</c:v>
                </c:pt>
                <c:pt idx="70">
                  <c:v>44509</c:v>
                </c:pt>
                <c:pt idx="71">
                  <c:v>44508</c:v>
                </c:pt>
                <c:pt idx="72">
                  <c:v>44507</c:v>
                </c:pt>
                <c:pt idx="73">
                  <c:v>44506</c:v>
                </c:pt>
                <c:pt idx="74">
                  <c:v>44505</c:v>
                </c:pt>
                <c:pt idx="75">
                  <c:v>44504</c:v>
                </c:pt>
                <c:pt idx="76">
                  <c:v>44503</c:v>
                </c:pt>
                <c:pt idx="77">
                  <c:v>44502</c:v>
                </c:pt>
                <c:pt idx="78">
                  <c:v>44501</c:v>
                </c:pt>
                <c:pt idx="79">
                  <c:v>44500</c:v>
                </c:pt>
                <c:pt idx="80">
                  <c:v>44499</c:v>
                </c:pt>
                <c:pt idx="81">
                  <c:v>44498</c:v>
                </c:pt>
                <c:pt idx="82">
                  <c:v>44497</c:v>
                </c:pt>
                <c:pt idx="83">
                  <c:v>44496</c:v>
                </c:pt>
                <c:pt idx="84">
                  <c:v>44495</c:v>
                </c:pt>
                <c:pt idx="85">
                  <c:v>44494</c:v>
                </c:pt>
                <c:pt idx="86">
                  <c:v>44493</c:v>
                </c:pt>
                <c:pt idx="87">
                  <c:v>44492</c:v>
                </c:pt>
                <c:pt idx="88">
                  <c:v>44491</c:v>
                </c:pt>
                <c:pt idx="89">
                  <c:v>44490</c:v>
                </c:pt>
                <c:pt idx="90">
                  <c:v>44489</c:v>
                </c:pt>
                <c:pt idx="91">
                  <c:v>44488</c:v>
                </c:pt>
                <c:pt idx="92">
                  <c:v>44487</c:v>
                </c:pt>
                <c:pt idx="93">
                  <c:v>44486</c:v>
                </c:pt>
                <c:pt idx="94">
                  <c:v>44485</c:v>
                </c:pt>
                <c:pt idx="95">
                  <c:v>44484</c:v>
                </c:pt>
                <c:pt idx="96">
                  <c:v>44483</c:v>
                </c:pt>
                <c:pt idx="97">
                  <c:v>44482</c:v>
                </c:pt>
                <c:pt idx="98">
                  <c:v>44481</c:v>
                </c:pt>
                <c:pt idx="99">
                  <c:v>44480</c:v>
                </c:pt>
                <c:pt idx="100">
                  <c:v>44479</c:v>
                </c:pt>
                <c:pt idx="101">
                  <c:v>44478</c:v>
                </c:pt>
                <c:pt idx="102">
                  <c:v>44477</c:v>
                </c:pt>
                <c:pt idx="103">
                  <c:v>44476</c:v>
                </c:pt>
                <c:pt idx="104">
                  <c:v>44475</c:v>
                </c:pt>
                <c:pt idx="105">
                  <c:v>44474</c:v>
                </c:pt>
                <c:pt idx="106">
                  <c:v>44473</c:v>
                </c:pt>
                <c:pt idx="107">
                  <c:v>44472</c:v>
                </c:pt>
                <c:pt idx="108">
                  <c:v>44471</c:v>
                </c:pt>
                <c:pt idx="109">
                  <c:v>44470</c:v>
                </c:pt>
                <c:pt idx="110">
                  <c:v>44469</c:v>
                </c:pt>
                <c:pt idx="111">
                  <c:v>44468</c:v>
                </c:pt>
                <c:pt idx="112">
                  <c:v>44467</c:v>
                </c:pt>
                <c:pt idx="113">
                  <c:v>44466</c:v>
                </c:pt>
                <c:pt idx="114">
                  <c:v>44465</c:v>
                </c:pt>
                <c:pt idx="115">
                  <c:v>44464</c:v>
                </c:pt>
                <c:pt idx="116">
                  <c:v>44463</c:v>
                </c:pt>
                <c:pt idx="117">
                  <c:v>44462</c:v>
                </c:pt>
                <c:pt idx="118">
                  <c:v>44461</c:v>
                </c:pt>
                <c:pt idx="119">
                  <c:v>44460</c:v>
                </c:pt>
                <c:pt idx="120">
                  <c:v>44459</c:v>
                </c:pt>
                <c:pt idx="121">
                  <c:v>44458</c:v>
                </c:pt>
                <c:pt idx="122">
                  <c:v>44457</c:v>
                </c:pt>
                <c:pt idx="123">
                  <c:v>44456</c:v>
                </c:pt>
                <c:pt idx="124">
                  <c:v>44455</c:v>
                </c:pt>
                <c:pt idx="125">
                  <c:v>44454</c:v>
                </c:pt>
                <c:pt idx="126">
                  <c:v>44453</c:v>
                </c:pt>
                <c:pt idx="127">
                  <c:v>44452</c:v>
                </c:pt>
                <c:pt idx="128">
                  <c:v>44451</c:v>
                </c:pt>
                <c:pt idx="129">
                  <c:v>44450</c:v>
                </c:pt>
                <c:pt idx="130">
                  <c:v>44449</c:v>
                </c:pt>
                <c:pt idx="131">
                  <c:v>44448</c:v>
                </c:pt>
                <c:pt idx="132">
                  <c:v>44447</c:v>
                </c:pt>
                <c:pt idx="133">
                  <c:v>44446</c:v>
                </c:pt>
                <c:pt idx="134">
                  <c:v>44445</c:v>
                </c:pt>
                <c:pt idx="135">
                  <c:v>44444</c:v>
                </c:pt>
                <c:pt idx="136">
                  <c:v>44443</c:v>
                </c:pt>
                <c:pt idx="137">
                  <c:v>44442</c:v>
                </c:pt>
                <c:pt idx="138">
                  <c:v>44441</c:v>
                </c:pt>
                <c:pt idx="139">
                  <c:v>44440</c:v>
                </c:pt>
                <c:pt idx="140">
                  <c:v>44439</c:v>
                </c:pt>
                <c:pt idx="141">
                  <c:v>44438</c:v>
                </c:pt>
                <c:pt idx="142">
                  <c:v>44437</c:v>
                </c:pt>
                <c:pt idx="143">
                  <c:v>44436</c:v>
                </c:pt>
                <c:pt idx="144">
                  <c:v>44435</c:v>
                </c:pt>
                <c:pt idx="145">
                  <c:v>44434</c:v>
                </c:pt>
                <c:pt idx="146">
                  <c:v>44433</c:v>
                </c:pt>
                <c:pt idx="147">
                  <c:v>44432</c:v>
                </c:pt>
                <c:pt idx="148">
                  <c:v>44431</c:v>
                </c:pt>
                <c:pt idx="149">
                  <c:v>44430</c:v>
                </c:pt>
                <c:pt idx="150">
                  <c:v>44429</c:v>
                </c:pt>
                <c:pt idx="151">
                  <c:v>44428</c:v>
                </c:pt>
                <c:pt idx="152">
                  <c:v>44427</c:v>
                </c:pt>
                <c:pt idx="153">
                  <c:v>44426</c:v>
                </c:pt>
                <c:pt idx="154">
                  <c:v>44425</c:v>
                </c:pt>
                <c:pt idx="155">
                  <c:v>44424</c:v>
                </c:pt>
                <c:pt idx="156">
                  <c:v>44423</c:v>
                </c:pt>
                <c:pt idx="157">
                  <c:v>44422</c:v>
                </c:pt>
                <c:pt idx="158">
                  <c:v>44421</c:v>
                </c:pt>
                <c:pt idx="159">
                  <c:v>44420</c:v>
                </c:pt>
                <c:pt idx="160">
                  <c:v>44419</c:v>
                </c:pt>
                <c:pt idx="161">
                  <c:v>44418</c:v>
                </c:pt>
                <c:pt idx="162">
                  <c:v>44417</c:v>
                </c:pt>
                <c:pt idx="163">
                  <c:v>44416</c:v>
                </c:pt>
                <c:pt idx="164">
                  <c:v>44415</c:v>
                </c:pt>
                <c:pt idx="165">
                  <c:v>44414</c:v>
                </c:pt>
                <c:pt idx="166">
                  <c:v>44413</c:v>
                </c:pt>
                <c:pt idx="167">
                  <c:v>44412</c:v>
                </c:pt>
                <c:pt idx="168">
                  <c:v>44411</c:v>
                </c:pt>
                <c:pt idx="169">
                  <c:v>44410</c:v>
                </c:pt>
                <c:pt idx="170">
                  <c:v>44409</c:v>
                </c:pt>
                <c:pt idx="171">
                  <c:v>44408</c:v>
                </c:pt>
                <c:pt idx="172">
                  <c:v>44407</c:v>
                </c:pt>
                <c:pt idx="173">
                  <c:v>44406</c:v>
                </c:pt>
                <c:pt idx="174">
                  <c:v>44405</c:v>
                </c:pt>
                <c:pt idx="175">
                  <c:v>44404</c:v>
                </c:pt>
                <c:pt idx="176">
                  <c:v>44403</c:v>
                </c:pt>
                <c:pt idx="177">
                  <c:v>44402</c:v>
                </c:pt>
                <c:pt idx="178">
                  <c:v>44401</c:v>
                </c:pt>
                <c:pt idx="179">
                  <c:v>44400</c:v>
                </c:pt>
                <c:pt idx="180">
                  <c:v>44399</c:v>
                </c:pt>
                <c:pt idx="181">
                  <c:v>44398</c:v>
                </c:pt>
                <c:pt idx="182">
                  <c:v>44397</c:v>
                </c:pt>
                <c:pt idx="183">
                  <c:v>44396</c:v>
                </c:pt>
                <c:pt idx="184">
                  <c:v>44395</c:v>
                </c:pt>
                <c:pt idx="185">
                  <c:v>44394</c:v>
                </c:pt>
                <c:pt idx="186">
                  <c:v>44393</c:v>
                </c:pt>
                <c:pt idx="187">
                  <c:v>44392</c:v>
                </c:pt>
                <c:pt idx="188">
                  <c:v>44391</c:v>
                </c:pt>
                <c:pt idx="189">
                  <c:v>44390</c:v>
                </c:pt>
                <c:pt idx="190">
                  <c:v>44389</c:v>
                </c:pt>
                <c:pt idx="191">
                  <c:v>44388</c:v>
                </c:pt>
                <c:pt idx="192">
                  <c:v>44387</c:v>
                </c:pt>
                <c:pt idx="193">
                  <c:v>44386</c:v>
                </c:pt>
                <c:pt idx="194">
                  <c:v>44385</c:v>
                </c:pt>
                <c:pt idx="195">
                  <c:v>44384</c:v>
                </c:pt>
                <c:pt idx="196">
                  <c:v>44383</c:v>
                </c:pt>
                <c:pt idx="197">
                  <c:v>44382</c:v>
                </c:pt>
                <c:pt idx="198">
                  <c:v>44381</c:v>
                </c:pt>
                <c:pt idx="199">
                  <c:v>44380</c:v>
                </c:pt>
                <c:pt idx="200">
                  <c:v>44379</c:v>
                </c:pt>
                <c:pt idx="201">
                  <c:v>44378</c:v>
                </c:pt>
                <c:pt idx="202">
                  <c:v>44377</c:v>
                </c:pt>
                <c:pt idx="203">
                  <c:v>44376</c:v>
                </c:pt>
                <c:pt idx="204">
                  <c:v>44375</c:v>
                </c:pt>
                <c:pt idx="205">
                  <c:v>44374</c:v>
                </c:pt>
                <c:pt idx="206">
                  <c:v>44373</c:v>
                </c:pt>
                <c:pt idx="207">
                  <c:v>44372</c:v>
                </c:pt>
                <c:pt idx="208">
                  <c:v>44371</c:v>
                </c:pt>
                <c:pt idx="209">
                  <c:v>44370</c:v>
                </c:pt>
                <c:pt idx="210">
                  <c:v>44369</c:v>
                </c:pt>
                <c:pt idx="211">
                  <c:v>44368</c:v>
                </c:pt>
                <c:pt idx="212">
                  <c:v>44367</c:v>
                </c:pt>
                <c:pt idx="213">
                  <c:v>44366</c:v>
                </c:pt>
                <c:pt idx="214">
                  <c:v>44365</c:v>
                </c:pt>
                <c:pt idx="215">
                  <c:v>44364</c:v>
                </c:pt>
                <c:pt idx="216">
                  <c:v>44363</c:v>
                </c:pt>
                <c:pt idx="217">
                  <c:v>44362</c:v>
                </c:pt>
                <c:pt idx="218">
                  <c:v>44361</c:v>
                </c:pt>
                <c:pt idx="219">
                  <c:v>44360</c:v>
                </c:pt>
                <c:pt idx="220">
                  <c:v>44359</c:v>
                </c:pt>
                <c:pt idx="221">
                  <c:v>44358</c:v>
                </c:pt>
                <c:pt idx="222">
                  <c:v>44357</c:v>
                </c:pt>
                <c:pt idx="223">
                  <c:v>44356</c:v>
                </c:pt>
                <c:pt idx="224">
                  <c:v>44355</c:v>
                </c:pt>
                <c:pt idx="225">
                  <c:v>44354</c:v>
                </c:pt>
                <c:pt idx="226">
                  <c:v>44353</c:v>
                </c:pt>
                <c:pt idx="227">
                  <c:v>44352</c:v>
                </c:pt>
                <c:pt idx="228">
                  <c:v>44351</c:v>
                </c:pt>
                <c:pt idx="229">
                  <c:v>44350</c:v>
                </c:pt>
                <c:pt idx="230">
                  <c:v>44349</c:v>
                </c:pt>
                <c:pt idx="231">
                  <c:v>44348</c:v>
                </c:pt>
                <c:pt idx="232">
                  <c:v>44347</c:v>
                </c:pt>
                <c:pt idx="233">
                  <c:v>44346</c:v>
                </c:pt>
                <c:pt idx="234">
                  <c:v>44345</c:v>
                </c:pt>
                <c:pt idx="235">
                  <c:v>44344</c:v>
                </c:pt>
                <c:pt idx="236">
                  <c:v>44343</c:v>
                </c:pt>
                <c:pt idx="237">
                  <c:v>44342</c:v>
                </c:pt>
                <c:pt idx="238">
                  <c:v>44341</c:v>
                </c:pt>
                <c:pt idx="239">
                  <c:v>44340</c:v>
                </c:pt>
                <c:pt idx="240">
                  <c:v>44339</c:v>
                </c:pt>
                <c:pt idx="241">
                  <c:v>44338</c:v>
                </c:pt>
                <c:pt idx="242">
                  <c:v>44337</c:v>
                </c:pt>
                <c:pt idx="243">
                  <c:v>44336</c:v>
                </c:pt>
                <c:pt idx="244">
                  <c:v>44335</c:v>
                </c:pt>
                <c:pt idx="245">
                  <c:v>44334</c:v>
                </c:pt>
                <c:pt idx="246">
                  <c:v>44333</c:v>
                </c:pt>
                <c:pt idx="247">
                  <c:v>44332</c:v>
                </c:pt>
                <c:pt idx="248">
                  <c:v>44331</c:v>
                </c:pt>
                <c:pt idx="249">
                  <c:v>44330</c:v>
                </c:pt>
                <c:pt idx="250">
                  <c:v>44329</c:v>
                </c:pt>
                <c:pt idx="251">
                  <c:v>44328</c:v>
                </c:pt>
                <c:pt idx="252">
                  <c:v>44327</c:v>
                </c:pt>
                <c:pt idx="253">
                  <c:v>44326</c:v>
                </c:pt>
                <c:pt idx="254">
                  <c:v>44325</c:v>
                </c:pt>
                <c:pt idx="255">
                  <c:v>44324</c:v>
                </c:pt>
                <c:pt idx="256">
                  <c:v>44323</c:v>
                </c:pt>
                <c:pt idx="257">
                  <c:v>44322</c:v>
                </c:pt>
                <c:pt idx="258">
                  <c:v>44321</c:v>
                </c:pt>
                <c:pt idx="259">
                  <c:v>44320</c:v>
                </c:pt>
                <c:pt idx="260">
                  <c:v>44319</c:v>
                </c:pt>
                <c:pt idx="261">
                  <c:v>44318</c:v>
                </c:pt>
                <c:pt idx="262">
                  <c:v>44317</c:v>
                </c:pt>
                <c:pt idx="263">
                  <c:v>44316</c:v>
                </c:pt>
                <c:pt idx="264">
                  <c:v>44315</c:v>
                </c:pt>
                <c:pt idx="265">
                  <c:v>44314</c:v>
                </c:pt>
                <c:pt idx="266">
                  <c:v>44313</c:v>
                </c:pt>
                <c:pt idx="267">
                  <c:v>44312</c:v>
                </c:pt>
                <c:pt idx="268">
                  <c:v>44311</c:v>
                </c:pt>
                <c:pt idx="269">
                  <c:v>44310</c:v>
                </c:pt>
                <c:pt idx="270">
                  <c:v>44309</c:v>
                </c:pt>
                <c:pt idx="271">
                  <c:v>44308</c:v>
                </c:pt>
                <c:pt idx="272">
                  <c:v>44307</c:v>
                </c:pt>
                <c:pt idx="273">
                  <c:v>44306</c:v>
                </c:pt>
                <c:pt idx="274">
                  <c:v>44305</c:v>
                </c:pt>
                <c:pt idx="275">
                  <c:v>44304</c:v>
                </c:pt>
                <c:pt idx="276">
                  <c:v>44303</c:v>
                </c:pt>
                <c:pt idx="277">
                  <c:v>44302</c:v>
                </c:pt>
                <c:pt idx="278">
                  <c:v>44301</c:v>
                </c:pt>
                <c:pt idx="279">
                  <c:v>44300</c:v>
                </c:pt>
                <c:pt idx="280">
                  <c:v>44299</c:v>
                </c:pt>
                <c:pt idx="281">
                  <c:v>44298</c:v>
                </c:pt>
                <c:pt idx="282">
                  <c:v>44297</c:v>
                </c:pt>
                <c:pt idx="283">
                  <c:v>44296</c:v>
                </c:pt>
                <c:pt idx="284">
                  <c:v>44295</c:v>
                </c:pt>
                <c:pt idx="285">
                  <c:v>44294</c:v>
                </c:pt>
                <c:pt idx="286">
                  <c:v>44293</c:v>
                </c:pt>
                <c:pt idx="287">
                  <c:v>44292</c:v>
                </c:pt>
                <c:pt idx="288">
                  <c:v>44291</c:v>
                </c:pt>
                <c:pt idx="289">
                  <c:v>44290</c:v>
                </c:pt>
                <c:pt idx="290">
                  <c:v>44289</c:v>
                </c:pt>
                <c:pt idx="291">
                  <c:v>44288</c:v>
                </c:pt>
                <c:pt idx="292">
                  <c:v>44287</c:v>
                </c:pt>
                <c:pt idx="293">
                  <c:v>44286</c:v>
                </c:pt>
                <c:pt idx="294">
                  <c:v>44285</c:v>
                </c:pt>
                <c:pt idx="295">
                  <c:v>44284</c:v>
                </c:pt>
                <c:pt idx="296">
                  <c:v>44283</c:v>
                </c:pt>
                <c:pt idx="297">
                  <c:v>44282</c:v>
                </c:pt>
                <c:pt idx="298">
                  <c:v>44281</c:v>
                </c:pt>
                <c:pt idx="299">
                  <c:v>44280</c:v>
                </c:pt>
                <c:pt idx="300">
                  <c:v>44279</c:v>
                </c:pt>
                <c:pt idx="301">
                  <c:v>44278</c:v>
                </c:pt>
                <c:pt idx="302">
                  <c:v>44277</c:v>
                </c:pt>
                <c:pt idx="303">
                  <c:v>44276</c:v>
                </c:pt>
                <c:pt idx="304">
                  <c:v>44275</c:v>
                </c:pt>
                <c:pt idx="305">
                  <c:v>44274</c:v>
                </c:pt>
                <c:pt idx="306">
                  <c:v>44273</c:v>
                </c:pt>
                <c:pt idx="307">
                  <c:v>44272</c:v>
                </c:pt>
                <c:pt idx="308">
                  <c:v>44271</c:v>
                </c:pt>
                <c:pt idx="309">
                  <c:v>44270</c:v>
                </c:pt>
                <c:pt idx="310">
                  <c:v>44269</c:v>
                </c:pt>
                <c:pt idx="311">
                  <c:v>44268</c:v>
                </c:pt>
                <c:pt idx="312">
                  <c:v>44267</c:v>
                </c:pt>
                <c:pt idx="313">
                  <c:v>44266</c:v>
                </c:pt>
                <c:pt idx="314">
                  <c:v>44265</c:v>
                </c:pt>
                <c:pt idx="315">
                  <c:v>44264</c:v>
                </c:pt>
                <c:pt idx="316">
                  <c:v>44263</c:v>
                </c:pt>
                <c:pt idx="317">
                  <c:v>44262</c:v>
                </c:pt>
                <c:pt idx="318">
                  <c:v>44261</c:v>
                </c:pt>
                <c:pt idx="319">
                  <c:v>44260</c:v>
                </c:pt>
                <c:pt idx="320">
                  <c:v>44259</c:v>
                </c:pt>
                <c:pt idx="321">
                  <c:v>44258</c:v>
                </c:pt>
                <c:pt idx="322">
                  <c:v>44257</c:v>
                </c:pt>
                <c:pt idx="323">
                  <c:v>44256</c:v>
                </c:pt>
                <c:pt idx="324">
                  <c:v>44255</c:v>
                </c:pt>
                <c:pt idx="325">
                  <c:v>44254</c:v>
                </c:pt>
                <c:pt idx="326">
                  <c:v>44253</c:v>
                </c:pt>
                <c:pt idx="327">
                  <c:v>44252</c:v>
                </c:pt>
                <c:pt idx="328">
                  <c:v>44251</c:v>
                </c:pt>
                <c:pt idx="329">
                  <c:v>44250</c:v>
                </c:pt>
                <c:pt idx="330">
                  <c:v>44249</c:v>
                </c:pt>
                <c:pt idx="331">
                  <c:v>44248</c:v>
                </c:pt>
                <c:pt idx="332">
                  <c:v>44247</c:v>
                </c:pt>
                <c:pt idx="333">
                  <c:v>44246</c:v>
                </c:pt>
                <c:pt idx="334">
                  <c:v>44245</c:v>
                </c:pt>
                <c:pt idx="335">
                  <c:v>44244</c:v>
                </c:pt>
                <c:pt idx="336">
                  <c:v>44243</c:v>
                </c:pt>
                <c:pt idx="337">
                  <c:v>44242</c:v>
                </c:pt>
                <c:pt idx="338">
                  <c:v>44241</c:v>
                </c:pt>
                <c:pt idx="339">
                  <c:v>44240</c:v>
                </c:pt>
                <c:pt idx="340">
                  <c:v>44239</c:v>
                </c:pt>
                <c:pt idx="341">
                  <c:v>44238</c:v>
                </c:pt>
                <c:pt idx="342">
                  <c:v>44237</c:v>
                </c:pt>
                <c:pt idx="343">
                  <c:v>44236</c:v>
                </c:pt>
                <c:pt idx="344">
                  <c:v>44235</c:v>
                </c:pt>
                <c:pt idx="345">
                  <c:v>44234</c:v>
                </c:pt>
                <c:pt idx="346">
                  <c:v>44233</c:v>
                </c:pt>
                <c:pt idx="347">
                  <c:v>44232</c:v>
                </c:pt>
                <c:pt idx="348">
                  <c:v>44231</c:v>
                </c:pt>
                <c:pt idx="349">
                  <c:v>44230</c:v>
                </c:pt>
                <c:pt idx="350">
                  <c:v>44229</c:v>
                </c:pt>
                <c:pt idx="351">
                  <c:v>44228</c:v>
                </c:pt>
                <c:pt idx="352">
                  <c:v>44227</c:v>
                </c:pt>
                <c:pt idx="353">
                  <c:v>44226</c:v>
                </c:pt>
                <c:pt idx="354">
                  <c:v>44225</c:v>
                </c:pt>
                <c:pt idx="355">
                  <c:v>44224</c:v>
                </c:pt>
                <c:pt idx="356">
                  <c:v>44223</c:v>
                </c:pt>
                <c:pt idx="357">
                  <c:v>44222</c:v>
                </c:pt>
                <c:pt idx="358">
                  <c:v>44221</c:v>
                </c:pt>
                <c:pt idx="359">
                  <c:v>44220</c:v>
                </c:pt>
                <c:pt idx="360">
                  <c:v>44219</c:v>
                </c:pt>
                <c:pt idx="361">
                  <c:v>44218</c:v>
                </c:pt>
                <c:pt idx="362">
                  <c:v>44217</c:v>
                </c:pt>
                <c:pt idx="363">
                  <c:v>44216</c:v>
                </c:pt>
                <c:pt idx="364">
                  <c:v>44215</c:v>
                </c:pt>
                <c:pt idx="365">
                  <c:v>44214</c:v>
                </c:pt>
                <c:pt idx="366">
                  <c:v>44213</c:v>
                </c:pt>
                <c:pt idx="367">
                  <c:v>44212</c:v>
                </c:pt>
                <c:pt idx="368">
                  <c:v>44211</c:v>
                </c:pt>
                <c:pt idx="369">
                  <c:v>44210</c:v>
                </c:pt>
                <c:pt idx="370">
                  <c:v>44209</c:v>
                </c:pt>
                <c:pt idx="371">
                  <c:v>44208</c:v>
                </c:pt>
                <c:pt idx="372">
                  <c:v>44207</c:v>
                </c:pt>
                <c:pt idx="373">
                  <c:v>44206</c:v>
                </c:pt>
                <c:pt idx="374">
                  <c:v>44205</c:v>
                </c:pt>
                <c:pt idx="375">
                  <c:v>44204</c:v>
                </c:pt>
                <c:pt idx="376">
                  <c:v>44203</c:v>
                </c:pt>
                <c:pt idx="377">
                  <c:v>44202</c:v>
                </c:pt>
                <c:pt idx="378">
                  <c:v>44201</c:v>
                </c:pt>
                <c:pt idx="379">
                  <c:v>44200</c:v>
                </c:pt>
                <c:pt idx="380">
                  <c:v>44199</c:v>
                </c:pt>
                <c:pt idx="381">
                  <c:v>44198</c:v>
                </c:pt>
                <c:pt idx="382">
                  <c:v>44197</c:v>
                </c:pt>
                <c:pt idx="383">
                  <c:v>44196</c:v>
                </c:pt>
                <c:pt idx="384">
                  <c:v>44195</c:v>
                </c:pt>
                <c:pt idx="385">
                  <c:v>44194</c:v>
                </c:pt>
                <c:pt idx="386">
                  <c:v>44193</c:v>
                </c:pt>
                <c:pt idx="387">
                  <c:v>44192</c:v>
                </c:pt>
                <c:pt idx="388">
                  <c:v>44191</c:v>
                </c:pt>
                <c:pt idx="389">
                  <c:v>44190</c:v>
                </c:pt>
                <c:pt idx="390">
                  <c:v>44189</c:v>
                </c:pt>
                <c:pt idx="391">
                  <c:v>44188</c:v>
                </c:pt>
                <c:pt idx="392">
                  <c:v>44187</c:v>
                </c:pt>
                <c:pt idx="393">
                  <c:v>44186</c:v>
                </c:pt>
                <c:pt idx="394">
                  <c:v>44185</c:v>
                </c:pt>
                <c:pt idx="395">
                  <c:v>44184</c:v>
                </c:pt>
                <c:pt idx="396">
                  <c:v>44183</c:v>
                </c:pt>
                <c:pt idx="397">
                  <c:v>44182</c:v>
                </c:pt>
                <c:pt idx="398">
                  <c:v>44181</c:v>
                </c:pt>
                <c:pt idx="399">
                  <c:v>44180</c:v>
                </c:pt>
                <c:pt idx="400">
                  <c:v>44179</c:v>
                </c:pt>
                <c:pt idx="401">
                  <c:v>44178</c:v>
                </c:pt>
                <c:pt idx="402">
                  <c:v>44177</c:v>
                </c:pt>
                <c:pt idx="403">
                  <c:v>44176</c:v>
                </c:pt>
                <c:pt idx="404">
                  <c:v>44175</c:v>
                </c:pt>
                <c:pt idx="405">
                  <c:v>44174</c:v>
                </c:pt>
                <c:pt idx="406">
                  <c:v>44173</c:v>
                </c:pt>
                <c:pt idx="407">
                  <c:v>44172</c:v>
                </c:pt>
                <c:pt idx="408">
                  <c:v>44171</c:v>
                </c:pt>
                <c:pt idx="409">
                  <c:v>44170</c:v>
                </c:pt>
                <c:pt idx="410">
                  <c:v>44169</c:v>
                </c:pt>
                <c:pt idx="411">
                  <c:v>44168</c:v>
                </c:pt>
                <c:pt idx="412">
                  <c:v>44167</c:v>
                </c:pt>
                <c:pt idx="413">
                  <c:v>44166</c:v>
                </c:pt>
                <c:pt idx="414">
                  <c:v>44165</c:v>
                </c:pt>
                <c:pt idx="415">
                  <c:v>44164</c:v>
                </c:pt>
                <c:pt idx="416">
                  <c:v>44163</c:v>
                </c:pt>
                <c:pt idx="417">
                  <c:v>44162</c:v>
                </c:pt>
                <c:pt idx="418">
                  <c:v>44161</c:v>
                </c:pt>
                <c:pt idx="419">
                  <c:v>44160</c:v>
                </c:pt>
                <c:pt idx="420">
                  <c:v>44159</c:v>
                </c:pt>
                <c:pt idx="421">
                  <c:v>44158</c:v>
                </c:pt>
                <c:pt idx="422">
                  <c:v>44157</c:v>
                </c:pt>
                <c:pt idx="423">
                  <c:v>44156</c:v>
                </c:pt>
                <c:pt idx="424">
                  <c:v>44155</c:v>
                </c:pt>
                <c:pt idx="425">
                  <c:v>44154</c:v>
                </c:pt>
                <c:pt idx="426">
                  <c:v>44153</c:v>
                </c:pt>
                <c:pt idx="427">
                  <c:v>44152</c:v>
                </c:pt>
                <c:pt idx="428">
                  <c:v>44151</c:v>
                </c:pt>
                <c:pt idx="429">
                  <c:v>44150</c:v>
                </c:pt>
                <c:pt idx="430">
                  <c:v>44149</c:v>
                </c:pt>
                <c:pt idx="431">
                  <c:v>44148</c:v>
                </c:pt>
                <c:pt idx="432">
                  <c:v>44147</c:v>
                </c:pt>
                <c:pt idx="433">
                  <c:v>44146</c:v>
                </c:pt>
                <c:pt idx="434">
                  <c:v>44145</c:v>
                </c:pt>
                <c:pt idx="435">
                  <c:v>44144</c:v>
                </c:pt>
                <c:pt idx="436">
                  <c:v>44143</c:v>
                </c:pt>
                <c:pt idx="437">
                  <c:v>44142</c:v>
                </c:pt>
                <c:pt idx="438">
                  <c:v>44141</c:v>
                </c:pt>
                <c:pt idx="439">
                  <c:v>44140</c:v>
                </c:pt>
                <c:pt idx="440">
                  <c:v>44139</c:v>
                </c:pt>
                <c:pt idx="441">
                  <c:v>44138</c:v>
                </c:pt>
                <c:pt idx="442">
                  <c:v>44137</c:v>
                </c:pt>
                <c:pt idx="443">
                  <c:v>44136</c:v>
                </c:pt>
                <c:pt idx="444">
                  <c:v>44135</c:v>
                </c:pt>
                <c:pt idx="445">
                  <c:v>44134</c:v>
                </c:pt>
                <c:pt idx="446">
                  <c:v>44133</c:v>
                </c:pt>
                <c:pt idx="447">
                  <c:v>44132</c:v>
                </c:pt>
                <c:pt idx="448">
                  <c:v>44131</c:v>
                </c:pt>
                <c:pt idx="449">
                  <c:v>44130</c:v>
                </c:pt>
                <c:pt idx="450">
                  <c:v>44129</c:v>
                </c:pt>
                <c:pt idx="451">
                  <c:v>44128</c:v>
                </c:pt>
                <c:pt idx="452">
                  <c:v>44127</c:v>
                </c:pt>
                <c:pt idx="453">
                  <c:v>44126</c:v>
                </c:pt>
                <c:pt idx="454">
                  <c:v>44125</c:v>
                </c:pt>
                <c:pt idx="455">
                  <c:v>44124</c:v>
                </c:pt>
                <c:pt idx="456">
                  <c:v>44123</c:v>
                </c:pt>
                <c:pt idx="457">
                  <c:v>44122</c:v>
                </c:pt>
                <c:pt idx="458">
                  <c:v>44121</c:v>
                </c:pt>
                <c:pt idx="459">
                  <c:v>44120</c:v>
                </c:pt>
                <c:pt idx="460">
                  <c:v>44119</c:v>
                </c:pt>
                <c:pt idx="461">
                  <c:v>44118</c:v>
                </c:pt>
                <c:pt idx="462">
                  <c:v>44117</c:v>
                </c:pt>
                <c:pt idx="463">
                  <c:v>44116</c:v>
                </c:pt>
                <c:pt idx="464">
                  <c:v>44115</c:v>
                </c:pt>
                <c:pt idx="465">
                  <c:v>44114</c:v>
                </c:pt>
                <c:pt idx="466">
                  <c:v>44113</c:v>
                </c:pt>
                <c:pt idx="467">
                  <c:v>44112</c:v>
                </c:pt>
                <c:pt idx="468">
                  <c:v>44111</c:v>
                </c:pt>
                <c:pt idx="469">
                  <c:v>44110</c:v>
                </c:pt>
                <c:pt idx="470">
                  <c:v>44109</c:v>
                </c:pt>
                <c:pt idx="471">
                  <c:v>44108</c:v>
                </c:pt>
                <c:pt idx="472">
                  <c:v>44107</c:v>
                </c:pt>
                <c:pt idx="473">
                  <c:v>44106</c:v>
                </c:pt>
                <c:pt idx="474">
                  <c:v>44105</c:v>
                </c:pt>
                <c:pt idx="475">
                  <c:v>44104</c:v>
                </c:pt>
                <c:pt idx="476">
                  <c:v>44103</c:v>
                </c:pt>
                <c:pt idx="477">
                  <c:v>44102</c:v>
                </c:pt>
                <c:pt idx="478">
                  <c:v>44101</c:v>
                </c:pt>
                <c:pt idx="479">
                  <c:v>44100</c:v>
                </c:pt>
                <c:pt idx="480">
                  <c:v>44099</c:v>
                </c:pt>
                <c:pt idx="481">
                  <c:v>44098</c:v>
                </c:pt>
                <c:pt idx="482">
                  <c:v>44097</c:v>
                </c:pt>
                <c:pt idx="483">
                  <c:v>44096</c:v>
                </c:pt>
                <c:pt idx="484">
                  <c:v>44095</c:v>
                </c:pt>
                <c:pt idx="485">
                  <c:v>44094</c:v>
                </c:pt>
                <c:pt idx="486">
                  <c:v>44093</c:v>
                </c:pt>
                <c:pt idx="487">
                  <c:v>44092</c:v>
                </c:pt>
                <c:pt idx="488">
                  <c:v>44091</c:v>
                </c:pt>
                <c:pt idx="489">
                  <c:v>44090</c:v>
                </c:pt>
                <c:pt idx="490">
                  <c:v>44089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-2.1546032037936298</c:v>
                </c:pt>
                <c:pt idx="1">
                  <c:v>-2.1546032037936298</c:v>
                </c:pt>
                <c:pt idx="2">
                  <c:v>-2.1546032037936298</c:v>
                </c:pt>
                <c:pt idx="3">
                  <c:v>-2.1546032037936298</c:v>
                </c:pt>
                <c:pt idx="4">
                  <c:v>-2.1546032037936298</c:v>
                </c:pt>
                <c:pt idx="5">
                  <c:v>-2.1546032037936298</c:v>
                </c:pt>
                <c:pt idx="6">
                  <c:v>-2.1546032037936298</c:v>
                </c:pt>
                <c:pt idx="7">
                  <c:v>-2.1546032037936298</c:v>
                </c:pt>
                <c:pt idx="8">
                  <c:v>-2.1546032037936298</c:v>
                </c:pt>
                <c:pt idx="9">
                  <c:v>-2.1546032037936298</c:v>
                </c:pt>
                <c:pt idx="10">
                  <c:v>-2.1546032037936298</c:v>
                </c:pt>
                <c:pt idx="11">
                  <c:v>-2.1546032037936298</c:v>
                </c:pt>
                <c:pt idx="12">
                  <c:v>-2.1546032037936298</c:v>
                </c:pt>
                <c:pt idx="13">
                  <c:v>-2.1546032037936298</c:v>
                </c:pt>
                <c:pt idx="14">
                  <c:v>-2.1546032037936298</c:v>
                </c:pt>
                <c:pt idx="15">
                  <c:v>-2.1546032037936298</c:v>
                </c:pt>
                <c:pt idx="16">
                  <c:v>-2.1546032037936298</c:v>
                </c:pt>
                <c:pt idx="17">
                  <c:v>-2.1546032037936298</c:v>
                </c:pt>
                <c:pt idx="18">
                  <c:v>-2.1546032037936298</c:v>
                </c:pt>
                <c:pt idx="19">
                  <c:v>-2.1546032037936298</c:v>
                </c:pt>
                <c:pt idx="20">
                  <c:v>-2.1546032037936298</c:v>
                </c:pt>
                <c:pt idx="21">
                  <c:v>-2.1546032037936298</c:v>
                </c:pt>
                <c:pt idx="22">
                  <c:v>-2.1546032037936298</c:v>
                </c:pt>
                <c:pt idx="23">
                  <c:v>-2.1546032037936298</c:v>
                </c:pt>
                <c:pt idx="24">
                  <c:v>-2.1546032037936298</c:v>
                </c:pt>
                <c:pt idx="25">
                  <c:v>-2.1546032037936298</c:v>
                </c:pt>
                <c:pt idx="26">
                  <c:v>-2.1546032037936298</c:v>
                </c:pt>
                <c:pt idx="27">
                  <c:v>-2.1546032037936298</c:v>
                </c:pt>
                <c:pt idx="28">
                  <c:v>-2.1546032037936298</c:v>
                </c:pt>
                <c:pt idx="29">
                  <c:v>-2.1546032037936298</c:v>
                </c:pt>
                <c:pt idx="30">
                  <c:v>-2.1546032037936298</c:v>
                </c:pt>
                <c:pt idx="31">
                  <c:v>-2.1546032037936298</c:v>
                </c:pt>
                <c:pt idx="32">
                  <c:v>-2.1546032037936298</c:v>
                </c:pt>
                <c:pt idx="33">
                  <c:v>-2.1546032037936298</c:v>
                </c:pt>
                <c:pt idx="34">
                  <c:v>-2.1546032037936298</c:v>
                </c:pt>
                <c:pt idx="35">
                  <c:v>-2.1546032037936298</c:v>
                </c:pt>
                <c:pt idx="36">
                  <c:v>-2.1546032037936298</c:v>
                </c:pt>
                <c:pt idx="37">
                  <c:v>-2.1546032037936298</c:v>
                </c:pt>
                <c:pt idx="38">
                  <c:v>-2.1546032037936298</c:v>
                </c:pt>
                <c:pt idx="39">
                  <c:v>-2.1546032037936298</c:v>
                </c:pt>
                <c:pt idx="40">
                  <c:v>-2.1546032037936298</c:v>
                </c:pt>
                <c:pt idx="41">
                  <c:v>-2.1546032037936298</c:v>
                </c:pt>
                <c:pt idx="42">
                  <c:v>-2.1546032037936298</c:v>
                </c:pt>
                <c:pt idx="43">
                  <c:v>-2.1546032037936298</c:v>
                </c:pt>
                <c:pt idx="44">
                  <c:v>-2.1546032037936298</c:v>
                </c:pt>
                <c:pt idx="45">
                  <c:v>-2.1546032037936298</c:v>
                </c:pt>
                <c:pt idx="46">
                  <c:v>-2.1546032037936298</c:v>
                </c:pt>
                <c:pt idx="47">
                  <c:v>-2.1546032037936298</c:v>
                </c:pt>
                <c:pt idx="48">
                  <c:v>-2.1546032037936298</c:v>
                </c:pt>
                <c:pt idx="49">
                  <c:v>-2.1546032037936298</c:v>
                </c:pt>
                <c:pt idx="50">
                  <c:v>-2.1546032037936298</c:v>
                </c:pt>
                <c:pt idx="51">
                  <c:v>-2.1546032037936298</c:v>
                </c:pt>
                <c:pt idx="52">
                  <c:v>-2.1546032037936298</c:v>
                </c:pt>
                <c:pt idx="53">
                  <c:v>-2.1546032037936298</c:v>
                </c:pt>
                <c:pt idx="54">
                  <c:v>-2.1546032037936298</c:v>
                </c:pt>
                <c:pt idx="55">
                  <c:v>-2.1546032037936298</c:v>
                </c:pt>
                <c:pt idx="56">
                  <c:v>-2.1546032037936298</c:v>
                </c:pt>
                <c:pt idx="57">
                  <c:v>-2.1546032037936298</c:v>
                </c:pt>
                <c:pt idx="58">
                  <c:v>-2.1546032037936298</c:v>
                </c:pt>
                <c:pt idx="59">
                  <c:v>-2.1546032037936298</c:v>
                </c:pt>
                <c:pt idx="60">
                  <c:v>-2.1546032037936298</c:v>
                </c:pt>
                <c:pt idx="61">
                  <c:v>-2.1546032037936298</c:v>
                </c:pt>
                <c:pt idx="62">
                  <c:v>-2.1546032037936298</c:v>
                </c:pt>
                <c:pt idx="63">
                  <c:v>-2.1546032037936298</c:v>
                </c:pt>
                <c:pt idx="64">
                  <c:v>-2.1546032037936298</c:v>
                </c:pt>
                <c:pt idx="65">
                  <c:v>-2.1546032037936298</c:v>
                </c:pt>
                <c:pt idx="66">
                  <c:v>-2.1546032037936298</c:v>
                </c:pt>
                <c:pt idx="67">
                  <c:v>-2.1546032037936298</c:v>
                </c:pt>
                <c:pt idx="68">
                  <c:v>-2.1546032037936298</c:v>
                </c:pt>
                <c:pt idx="69">
                  <c:v>-2.1546032037936298</c:v>
                </c:pt>
                <c:pt idx="70">
                  <c:v>-2.1546032037936298</c:v>
                </c:pt>
                <c:pt idx="71">
                  <c:v>-2.1546032037936298</c:v>
                </c:pt>
                <c:pt idx="72">
                  <c:v>-2.1546032037936298</c:v>
                </c:pt>
                <c:pt idx="73">
                  <c:v>-2.1546032037936298</c:v>
                </c:pt>
                <c:pt idx="74">
                  <c:v>-2.1546032037936298</c:v>
                </c:pt>
                <c:pt idx="75">
                  <c:v>-2.1546032037936298</c:v>
                </c:pt>
                <c:pt idx="76">
                  <c:v>-2.1546032037936298</c:v>
                </c:pt>
                <c:pt idx="77">
                  <c:v>-2.1546032037936298</c:v>
                </c:pt>
                <c:pt idx="78">
                  <c:v>-2.1546032037936298</c:v>
                </c:pt>
                <c:pt idx="79">
                  <c:v>-2.1546032037936298</c:v>
                </c:pt>
                <c:pt idx="80">
                  <c:v>-2.1546032037936298</c:v>
                </c:pt>
                <c:pt idx="81">
                  <c:v>-2.1546032037936298</c:v>
                </c:pt>
                <c:pt idx="82">
                  <c:v>-2.1546032037936298</c:v>
                </c:pt>
                <c:pt idx="83">
                  <c:v>-2.1546032037936298</c:v>
                </c:pt>
                <c:pt idx="84">
                  <c:v>-2.1546032037936298</c:v>
                </c:pt>
                <c:pt idx="85">
                  <c:v>-2.1546032037936298</c:v>
                </c:pt>
                <c:pt idx="86">
                  <c:v>-2.1546032037936298</c:v>
                </c:pt>
                <c:pt idx="87">
                  <c:v>-2.1546032037936298</c:v>
                </c:pt>
                <c:pt idx="88">
                  <c:v>-2.1546032037936298</c:v>
                </c:pt>
                <c:pt idx="89">
                  <c:v>-2.1546032037936298</c:v>
                </c:pt>
                <c:pt idx="90">
                  <c:v>-2.1546032037936298</c:v>
                </c:pt>
                <c:pt idx="91">
                  <c:v>-2.1546032037936298</c:v>
                </c:pt>
                <c:pt idx="92">
                  <c:v>-2.1546032037936298</c:v>
                </c:pt>
                <c:pt idx="93">
                  <c:v>-2.1546032037936298</c:v>
                </c:pt>
                <c:pt idx="94">
                  <c:v>-2.1546032037936298</c:v>
                </c:pt>
                <c:pt idx="95">
                  <c:v>-2.1546032037936298</c:v>
                </c:pt>
                <c:pt idx="96">
                  <c:v>-2.1546032037936298</c:v>
                </c:pt>
                <c:pt idx="97">
                  <c:v>-2.1546032037936298</c:v>
                </c:pt>
                <c:pt idx="98">
                  <c:v>-2.1546032037936298</c:v>
                </c:pt>
                <c:pt idx="99">
                  <c:v>-2.1546032037936298</c:v>
                </c:pt>
                <c:pt idx="100">
                  <c:v>-2.1546032037936298</c:v>
                </c:pt>
                <c:pt idx="101">
                  <c:v>-2.1546032037936298</c:v>
                </c:pt>
                <c:pt idx="102">
                  <c:v>-2.1546032037936298</c:v>
                </c:pt>
                <c:pt idx="103">
                  <c:v>-2.1546032037936298</c:v>
                </c:pt>
                <c:pt idx="104">
                  <c:v>-2.1546032037936298</c:v>
                </c:pt>
                <c:pt idx="105">
                  <c:v>-2.1546032037936298</c:v>
                </c:pt>
                <c:pt idx="106">
                  <c:v>-2.1546032037936298</c:v>
                </c:pt>
                <c:pt idx="107">
                  <c:v>-2.1546032037936298</c:v>
                </c:pt>
                <c:pt idx="108">
                  <c:v>-2.1546032037936298</c:v>
                </c:pt>
                <c:pt idx="109">
                  <c:v>-2.1546032037936298</c:v>
                </c:pt>
                <c:pt idx="110">
                  <c:v>-2.1546032037936298</c:v>
                </c:pt>
                <c:pt idx="111">
                  <c:v>-2.1334296385062737</c:v>
                </c:pt>
                <c:pt idx="112">
                  <c:v>-2.1024015656228374</c:v>
                </c:pt>
                <c:pt idx="113">
                  <c:v>-2.012397491465534</c:v>
                </c:pt>
                <c:pt idx="114">
                  <c:v>-1.8882978155607721</c:v>
                </c:pt>
                <c:pt idx="115">
                  <c:v>-1.7363630893313866</c:v>
                </c:pt>
                <c:pt idx="116">
                  <c:v>-1.6885856044590462</c:v>
                </c:pt>
                <c:pt idx="117">
                  <c:v>-1.6375983464260022</c:v>
                </c:pt>
                <c:pt idx="118">
                  <c:v>-1.5449280792220346</c:v>
                </c:pt>
                <c:pt idx="119">
                  <c:v>-1.5510540887262199</c:v>
                </c:pt>
                <c:pt idx="120">
                  <c:v>-1.5017909298098009</c:v>
                </c:pt>
                <c:pt idx="121">
                  <c:v>-1.499526535587993</c:v>
                </c:pt>
                <c:pt idx="122">
                  <c:v>-1.4541685240981239</c:v>
                </c:pt>
                <c:pt idx="123">
                  <c:v>-1.10549975255873</c:v>
                </c:pt>
                <c:pt idx="124">
                  <c:v>-1.0227018891003388</c:v>
                </c:pt>
                <c:pt idx="125">
                  <c:v>-1.0219851559434572</c:v>
                </c:pt>
                <c:pt idx="126">
                  <c:v>-1.0100763521866793</c:v>
                </c:pt>
                <c:pt idx="127">
                  <c:v>-1.0245387940926847</c:v>
                </c:pt>
                <c:pt idx="128">
                  <c:v>-1.0052753852025926</c:v>
                </c:pt>
                <c:pt idx="129">
                  <c:v>-1.0005774265875018</c:v>
                </c:pt>
                <c:pt idx="130">
                  <c:v>-1.0003327590348399</c:v>
                </c:pt>
                <c:pt idx="131">
                  <c:v>-0.965618021978222</c:v>
                </c:pt>
                <c:pt idx="132">
                  <c:v>-0.89265930608536481</c:v>
                </c:pt>
                <c:pt idx="133">
                  <c:v>-0.78614059285395455</c:v>
                </c:pt>
                <c:pt idx="134">
                  <c:v>-0.62135556529331182</c:v>
                </c:pt>
                <c:pt idx="135">
                  <c:v>-0.55527648337261337</c:v>
                </c:pt>
                <c:pt idx="136">
                  <c:v>-0.58496067912736127</c:v>
                </c:pt>
                <c:pt idx="137">
                  <c:v>-0.58188646871593264</c:v>
                </c:pt>
                <c:pt idx="138">
                  <c:v>-0.58307568973927171</c:v>
                </c:pt>
                <c:pt idx="139">
                  <c:v>-0.57659235663582342</c:v>
                </c:pt>
                <c:pt idx="140">
                  <c:v>-0.57800064781321747</c:v>
                </c:pt>
                <c:pt idx="141">
                  <c:v>-0.57616178410169205</c:v>
                </c:pt>
                <c:pt idx="142">
                  <c:v>-0.56919835410169206</c:v>
                </c:pt>
                <c:pt idx="143">
                  <c:v>-0.56839705695883491</c:v>
                </c:pt>
                <c:pt idx="144">
                  <c:v>-0.56985005130911737</c:v>
                </c:pt>
                <c:pt idx="145">
                  <c:v>-0.56981948715629183</c:v>
                </c:pt>
                <c:pt idx="146">
                  <c:v>-0.55276024860088591</c:v>
                </c:pt>
                <c:pt idx="147">
                  <c:v>-0.55989934468955271</c:v>
                </c:pt>
                <c:pt idx="148">
                  <c:v>-0.55405449378529736</c:v>
                </c:pt>
                <c:pt idx="149">
                  <c:v>-0.55794385808279734</c:v>
                </c:pt>
                <c:pt idx="150">
                  <c:v>-0.55804906181125891</c:v>
                </c:pt>
                <c:pt idx="151">
                  <c:v>-0.55851026111661606</c:v>
                </c:pt>
                <c:pt idx="152">
                  <c:v>-0.55627975804461605</c:v>
                </c:pt>
                <c:pt idx="153">
                  <c:v>-0.57528541630568752</c:v>
                </c:pt>
                <c:pt idx="154">
                  <c:v>-0.57052153757684543</c:v>
                </c:pt>
                <c:pt idx="155">
                  <c:v>-0.55992426460968125</c:v>
                </c:pt>
                <c:pt idx="156">
                  <c:v>-0.55243343623236163</c:v>
                </c:pt>
                <c:pt idx="157">
                  <c:v>-0.55066656032009498</c:v>
                </c:pt>
                <c:pt idx="158">
                  <c:v>-0.55330333827209499</c:v>
                </c:pt>
                <c:pt idx="159">
                  <c:v>-0.56005105893016371</c:v>
                </c:pt>
                <c:pt idx="160">
                  <c:v>-0.55456945829993642</c:v>
                </c:pt>
                <c:pt idx="161">
                  <c:v>-0.53683321952196539</c:v>
                </c:pt>
                <c:pt idx="162">
                  <c:v>-0.53782083182296525</c:v>
                </c:pt>
                <c:pt idx="163">
                  <c:v>-0.5422890428998679</c:v>
                </c:pt>
                <c:pt idx="164">
                  <c:v>-0.52458648205055292</c:v>
                </c:pt>
                <c:pt idx="165">
                  <c:v>-0.51736687770255285</c:v>
                </c:pt>
                <c:pt idx="166">
                  <c:v>-0.49691255864816264</c:v>
                </c:pt>
                <c:pt idx="167">
                  <c:v>-0.46038449735289949</c:v>
                </c:pt>
                <c:pt idx="168">
                  <c:v>-0.4640145648957566</c:v>
                </c:pt>
                <c:pt idx="169">
                  <c:v>-0.46472259225877033</c:v>
                </c:pt>
                <c:pt idx="170">
                  <c:v>-0.46276165177147305</c:v>
                </c:pt>
                <c:pt idx="171">
                  <c:v>-0.45475707789009367</c:v>
                </c:pt>
                <c:pt idx="172">
                  <c:v>-0.44169586089261792</c:v>
                </c:pt>
                <c:pt idx="173">
                  <c:v>-0.44507184185446974</c:v>
                </c:pt>
                <c:pt idx="174">
                  <c:v>-0.44684299998532689</c:v>
                </c:pt>
                <c:pt idx="175">
                  <c:v>-0.44669923318354909</c:v>
                </c:pt>
                <c:pt idx="176">
                  <c:v>-0.45061127706245324</c:v>
                </c:pt>
                <c:pt idx="177">
                  <c:v>-0.43768354090419243</c:v>
                </c:pt>
                <c:pt idx="178">
                  <c:v>-0.41783644858169244</c:v>
                </c:pt>
                <c:pt idx="179">
                  <c:v>-0.41557407713169237</c:v>
                </c:pt>
                <c:pt idx="180">
                  <c:v>-0.39996370590427299</c:v>
                </c:pt>
                <c:pt idx="181">
                  <c:v>-0.402411316400273</c:v>
                </c:pt>
                <c:pt idx="182">
                  <c:v>-0.40380461949741586</c:v>
                </c:pt>
                <c:pt idx="183">
                  <c:v>-0.40163163563455873</c:v>
                </c:pt>
                <c:pt idx="184">
                  <c:v>-0.39966946175750956</c:v>
                </c:pt>
                <c:pt idx="185">
                  <c:v>-0.393966860390701</c:v>
                </c:pt>
                <c:pt idx="186">
                  <c:v>-0.39445927440585254</c:v>
                </c:pt>
                <c:pt idx="187">
                  <c:v>-0.38917057552348411</c:v>
                </c:pt>
                <c:pt idx="188">
                  <c:v>-0.38829936930973413</c:v>
                </c:pt>
                <c:pt idx="189">
                  <c:v>-0.38591055897427951</c:v>
                </c:pt>
                <c:pt idx="190">
                  <c:v>-0.3821951621531684</c:v>
                </c:pt>
                <c:pt idx="191">
                  <c:v>-0.37093004829281129</c:v>
                </c:pt>
                <c:pt idx="192">
                  <c:v>-0.37402428513211361</c:v>
                </c:pt>
                <c:pt idx="193">
                  <c:v>-0.37066440350555113</c:v>
                </c:pt>
                <c:pt idx="194">
                  <c:v>-0.37103498035555116</c:v>
                </c:pt>
                <c:pt idx="195">
                  <c:v>-0.36830899087315683</c:v>
                </c:pt>
                <c:pt idx="196">
                  <c:v>-0.35668825917190677</c:v>
                </c:pt>
                <c:pt idx="197">
                  <c:v>-0.33988264509724014</c:v>
                </c:pt>
                <c:pt idx="198">
                  <c:v>-0.33271388235512561</c:v>
                </c:pt>
                <c:pt idx="199">
                  <c:v>-0.33719181342655419</c:v>
                </c:pt>
                <c:pt idx="200">
                  <c:v>-0.34029628890118108</c:v>
                </c:pt>
                <c:pt idx="201">
                  <c:v>-0.34062742531400159</c:v>
                </c:pt>
                <c:pt idx="202">
                  <c:v>-0.33992588417326086</c:v>
                </c:pt>
                <c:pt idx="203">
                  <c:v>-0.34283219833396672</c:v>
                </c:pt>
                <c:pt idx="204">
                  <c:v>-0.34485609706220205</c:v>
                </c:pt>
                <c:pt idx="205">
                  <c:v>-0.34641795338583842</c:v>
                </c:pt>
                <c:pt idx="206">
                  <c:v>-0.35040816971646338</c:v>
                </c:pt>
                <c:pt idx="207">
                  <c:v>-0.35054070827296341</c:v>
                </c:pt>
                <c:pt idx="208">
                  <c:v>-0.34332489353013323</c:v>
                </c:pt>
                <c:pt idx="209">
                  <c:v>-0.34343814957421487</c:v>
                </c:pt>
                <c:pt idx="210">
                  <c:v>-0.3484012896856219</c:v>
                </c:pt>
                <c:pt idx="211">
                  <c:v>-0.349392621056622</c:v>
                </c:pt>
                <c:pt idx="212">
                  <c:v>-0.33755834560876741</c:v>
                </c:pt>
                <c:pt idx="213">
                  <c:v>-0.31002506455365825</c:v>
                </c:pt>
                <c:pt idx="214">
                  <c:v>-0.27790658916296124</c:v>
                </c:pt>
                <c:pt idx="215">
                  <c:v>-0.27556634312056993</c:v>
                </c:pt>
                <c:pt idx="216">
                  <c:v>-0.2741849907405699</c:v>
                </c:pt>
                <c:pt idx="217">
                  <c:v>-0.27103475479716332</c:v>
                </c:pt>
                <c:pt idx="218">
                  <c:v>-0.27227249589403829</c:v>
                </c:pt>
                <c:pt idx="219">
                  <c:v>-0.25097018355522199</c:v>
                </c:pt>
                <c:pt idx="220">
                  <c:v>-0.25315099153994108</c:v>
                </c:pt>
                <c:pt idx="221">
                  <c:v>-0.25218976417448652</c:v>
                </c:pt>
                <c:pt idx="222">
                  <c:v>-0.25017908852899101</c:v>
                </c:pt>
                <c:pt idx="223">
                  <c:v>-0.24056137652672857</c:v>
                </c:pt>
                <c:pt idx="224">
                  <c:v>-0.24266704678261092</c:v>
                </c:pt>
                <c:pt idx="225">
                  <c:v>-0.24528918836215641</c:v>
                </c:pt>
                <c:pt idx="226">
                  <c:v>-0.23977887537655432</c:v>
                </c:pt>
                <c:pt idx="227">
                  <c:v>-0.23826295987578511</c:v>
                </c:pt>
                <c:pt idx="228">
                  <c:v>-0.23078919462144881</c:v>
                </c:pt>
                <c:pt idx="229">
                  <c:v>-0.22678231604655893</c:v>
                </c:pt>
                <c:pt idx="230">
                  <c:v>-0.22813728678719297</c:v>
                </c:pt>
                <c:pt idx="231">
                  <c:v>-0.22735250774719298</c:v>
                </c:pt>
                <c:pt idx="232">
                  <c:v>-0.22780589015035085</c:v>
                </c:pt>
                <c:pt idx="233">
                  <c:v>-0.22956698542594328</c:v>
                </c:pt>
                <c:pt idx="234">
                  <c:v>-0.23205797795935645</c:v>
                </c:pt>
                <c:pt idx="235">
                  <c:v>-0.23089046067540583</c:v>
                </c:pt>
                <c:pt idx="236">
                  <c:v>-0.22978685294395129</c:v>
                </c:pt>
                <c:pt idx="237">
                  <c:v>-0.22846131375777617</c:v>
                </c:pt>
                <c:pt idx="238">
                  <c:v>-0.23640239881447944</c:v>
                </c:pt>
                <c:pt idx="239">
                  <c:v>-0.24200506607275102</c:v>
                </c:pt>
                <c:pt idx="240">
                  <c:v>-0.2545928007954783</c:v>
                </c:pt>
                <c:pt idx="241">
                  <c:v>-0.25025434626288778</c:v>
                </c:pt>
                <c:pt idx="242">
                  <c:v>-0.24881548381313465</c:v>
                </c:pt>
                <c:pt idx="243">
                  <c:v>-0.2463016012042589</c:v>
                </c:pt>
                <c:pt idx="244">
                  <c:v>-0.25074067410133211</c:v>
                </c:pt>
                <c:pt idx="245">
                  <c:v>-0.2402236815125374</c:v>
                </c:pt>
                <c:pt idx="246">
                  <c:v>-0.23857521469418444</c:v>
                </c:pt>
                <c:pt idx="247">
                  <c:v>-0.23776014009786409</c:v>
                </c:pt>
                <c:pt idx="248">
                  <c:v>-0.2364025489555415</c:v>
                </c:pt>
                <c:pt idx="249">
                  <c:v>-0.23075476866692082</c:v>
                </c:pt>
                <c:pt idx="250">
                  <c:v>-0.23775757643603473</c:v>
                </c:pt>
                <c:pt idx="251">
                  <c:v>-0.24482443458977304</c:v>
                </c:pt>
                <c:pt idx="252">
                  <c:v>-0.23320785686236717</c:v>
                </c:pt>
                <c:pt idx="253">
                  <c:v>-0.23180831646228675</c:v>
                </c:pt>
                <c:pt idx="254">
                  <c:v>-0.22607487803697032</c:v>
                </c:pt>
                <c:pt idx="255">
                  <c:v>-0.22513057612001378</c:v>
                </c:pt>
                <c:pt idx="256">
                  <c:v>-0.21679575797447126</c:v>
                </c:pt>
                <c:pt idx="257">
                  <c:v>-0.21627175780284211</c:v>
                </c:pt>
                <c:pt idx="258">
                  <c:v>-0.20929761756550877</c:v>
                </c:pt>
                <c:pt idx="259">
                  <c:v>-0.20707694821502096</c:v>
                </c:pt>
                <c:pt idx="260">
                  <c:v>-0.19745940706372822</c:v>
                </c:pt>
                <c:pt idx="261">
                  <c:v>-0.17806442980985498</c:v>
                </c:pt>
                <c:pt idx="262">
                  <c:v>-0.19032065974848797</c:v>
                </c:pt>
                <c:pt idx="263">
                  <c:v>-0.16005473953961297</c:v>
                </c:pt>
                <c:pt idx="264">
                  <c:v>-6.0432984252479061E-2</c:v>
                </c:pt>
                <c:pt idx="265">
                  <c:v>-4.5861109144656395E-2</c:v>
                </c:pt>
                <c:pt idx="266">
                  <c:v>-4.6045476119092758E-2</c:v>
                </c:pt>
                <c:pt idx="267">
                  <c:v>-5.2107883463842757E-2</c:v>
                </c:pt>
                <c:pt idx="268">
                  <c:v>-5.4791795936933139E-2</c:v>
                </c:pt>
                <c:pt idx="269">
                  <c:v>-5.4581910092823552E-2</c:v>
                </c:pt>
                <c:pt idx="270">
                  <c:v>-5.1557783131639341E-2</c:v>
                </c:pt>
                <c:pt idx="271">
                  <c:v>-5.362171190819795E-2</c:v>
                </c:pt>
                <c:pt idx="272">
                  <c:v>-4.6352162250790543E-2</c:v>
                </c:pt>
                <c:pt idx="273">
                  <c:v>-4.3025993408406432E-2</c:v>
                </c:pt>
                <c:pt idx="274">
                  <c:v>-4.6471767677276003E-2</c:v>
                </c:pt>
                <c:pt idx="275">
                  <c:v>-4.2314951912730547E-2</c:v>
                </c:pt>
                <c:pt idx="276">
                  <c:v>-4.3547051470819047E-2</c:v>
                </c:pt>
                <c:pt idx="277">
                  <c:v>-3.7904990997877863E-2</c:v>
                </c:pt>
                <c:pt idx="278">
                  <c:v>-3.4173129386610247E-2</c:v>
                </c:pt>
                <c:pt idx="279">
                  <c:v>-3.2060087228114015E-2</c:v>
                </c:pt>
                <c:pt idx="280">
                  <c:v>-2.8407430167344781E-2</c:v>
                </c:pt>
                <c:pt idx="281">
                  <c:v>-2.7968549716728169E-2</c:v>
                </c:pt>
                <c:pt idx="282">
                  <c:v>-1.6148705333684687E-2</c:v>
                </c:pt>
                <c:pt idx="283">
                  <c:v>-4.6280829277995816E-2</c:v>
                </c:pt>
                <c:pt idx="284">
                  <c:v>-5.5897403656058116E-2</c:v>
                </c:pt>
                <c:pt idx="285">
                  <c:v>-5.300994032272479E-2</c:v>
                </c:pt>
                <c:pt idx="286">
                  <c:v>-5.0231720438724786E-2</c:v>
                </c:pt>
                <c:pt idx="287">
                  <c:v>-4.7749575258503402E-2</c:v>
                </c:pt>
                <c:pt idx="288">
                  <c:v>-4.8370561443816622E-2</c:v>
                </c:pt>
                <c:pt idx="289">
                  <c:v>-5.7809403803191613E-2</c:v>
                </c:pt>
                <c:pt idx="290">
                  <c:v>-6.2532595448158049E-2</c:v>
                </c:pt>
                <c:pt idx="291">
                  <c:v>-5.6298349486518719E-2</c:v>
                </c:pt>
                <c:pt idx="292">
                  <c:v>-5.4260338572161185E-2</c:v>
                </c:pt>
                <c:pt idx="293">
                  <c:v>-5.0180039836827846E-2</c:v>
                </c:pt>
                <c:pt idx="294">
                  <c:v>-5.0944984107249777E-2</c:v>
                </c:pt>
                <c:pt idx="295">
                  <c:v>-5.6787355721460299E-2</c:v>
                </c:pt>
                <c:pt idx="296">
                  <c:v>-5.7228690092070995E-2</c:v>
                </c:pt>
                <c:pt idx="297">
                  <c:v>-5.6269038994928154E-2</c:v>
                </c:pt>
                <c:pt idx="298">
                  <c:v>-4.7440874075728154E-2</c:v>
                </c:pt>
                <c:pt idx="299">
                  <c:v>-5.0821589954766121E-2</c:v>
                </c:pt>
                <c:pt idx="300">
                  <c:v>-4.9942614485709518E-2</c:v>
                </c:pt>
                <c:pt idx="301">
                  <c:v>-4.7222868869042853E-2</c:v>
                </c:pt>
                <c:pt idx="302">
                  <c:v>-5.170641512078597E-2</c:v>
                </c:pt>
                <c:pt idx="303">
                  <c:v>-4.7305228304753373E-2</c:v>
                </c:pt>
                <c:pt idx="304">
                  <c:v>-4.7805176851323773E-2</c:v>
                </c:pt>
                <c:pt idx="305">
                  <c:v>-4.4749720331592219E-2</c:v>
                </c:pt>
                <c:pt idx="306">
                  <c:v>-4.3279649441540405E-2</c:v>
                </c:pt>
                <c:pt idx="307">
                  <c:v>-3.8557242940701258E-2</c:v>
                </c:pt>
                <c:pt idx="308">
                  <c:v>-3.5285460478951265E-2</c:v>
                </c:pt>
                <c:pt idx="309">
                  <c:v>-3.816243857699049E-2</c:v>
                </c:pt>
                <c:pt idx="310">
                  <c:v>-4.1196873626739225E-2</c:v>
                </c:pt>
                <c:pt idx="311">
                  <c:v>-3.825079825162974E-2</c:v>
                </c:pt>
                <c:pt idx="312">
                  <c:v>-4.5215067047695012E-2</c:v>
                </c:pt>
                <c:pt idx="313">
                  <c:v>-4.5349279861648509E-2</c:v>
                </c:pt>
                <c:pt idx="314">
                  <c:v>-4.3238596214505653E-2</c:v>
                </c:pt>
                <c:pt idx="315">
                  <c:v>-4.1382040770451593E-2</c:v>
                </c:pt>
                <c:pt idx="316">
                  <c:v>-4.9398945687118237E-2</c:v>
                </c:pt>
                <c:pt idx="317">
                  <c:v>-4.9586633721403942E-2</c:v>
                </c:pt>
                <c:pt idx="318">
                  <c:v>-5.0118285960634709E-2</c:v>
                </c:pt>
                <c:pt idx="319">
                  <c:v>-4.9362648126275721E-2</c:v>
                </c:pt>
                <c:pt idx="320">
                  <c:v>-5.0375157665940792E-2</c:v>
                </c:pt>
                <c:pt idx="321">
                  <c:v>-4.6614077344662601E-2</c:v>
                </c:pt>
                <c:pt idx="322">
                  <c:v>-4.7605296805936483E-2</c:v>
                </c:pt>
                <c:pt idx="323">
                  <c:v>-5.1748722070481923E-2</c:v>
                </c:pt>
                <c:pt idx="324">
                  <c:v>-5.1532743152550881E-2</c:v>
                </c:pt>
                <c:pt idx="325">
                  <c:v>-4.9534771802067015E-2</c:v>
                </c:pt>
                <c:pt idx="326">
                  <c:v>-4.7818731653681057E-2</c:v>
                </c:pt>
                <c:pt idx="327">
                  <c:v>-4.6145277403681045E-2</c:v>
                </c:pt>
                <c:pt idx="328">
                  <c:v>-4.0193538966867864E-2</c:v>
                </c:pt>
                <c:pt idx="329">
                  <c:v>-3.5544226901604699E-2</c:v>
                </c:pt>
                <c:pt idx="330">
                  <c:v>-3.6216881004150152E-2</c:v>
                </c:pt>
                <c:pt idx="331">
                  <c:v>-3.731590560657054E-2</c:v>
                </c:pt>
                <c:pt idx="332">
                  <c:v>-3.3982994159185938E-2</c:v>
                </c:pt>
                <c:pt idx="333">
                  <c:v>-2.9482203159001422E-2</c:v>
                </c:pt>
                <c:pt idx="334">
                  <c:v>-2.6166309293270771E-2</c:v>
                </c:pt>
                <c:pt idx="335">
                  <c:v>-2.4355068637116929E-2</c:v>
                </c:pt>
                <c:pt idx="336">
                  <c:v>-2.3683625858516105E-2</c:v>
                </c:pt>
                <c:pt idx="337">
                  <c:v>-2.1110294977607014E-2</c:v>
                </c:pt>
                <c:pt idx="338">
                  <c:v>-2.1775506281580526E-2</c:v>
                </c:pt>
                <c:pt idx="339">
                  <c:v>-1.8147053495580524E-2</c:v>
                </c:pt>
                <c:pt idx="340">
                  <c:v>-2.3877201938770413E-2</c:v>
                </c:pt>
                <c:pt idx="341">
                  <c:v>-3.0411301781366907E-2</c:v>
                </c:pt>
                <c:pt idx="342">
                  <c:v>-3.2997728670287774E-2</c:v>
                </c:pt>
                <c:pt idx="343">
                  <c:v>-3.3060642141262357E-2</c:v>
                </c:pt>
                <c:pt idx="344">
                  <c:v>-3.293047415674908E-2</c:v>
                </c:pt>
                <c:pt idx="345">
                  <c:v>-3.1325767732671414E-2</c:v>
                </c:pt>
                <c:pt idx="346">
                  <c:v>-3.1593779928979097E-2</c:v>
                </c:pt>
                <c:pt idx="347">
                  <c:v>-2.7216824497440641E-2</c:v>
                </c:pt>
                <c:pt idx="348">
                  <c:v>-2.7259818569254111E-2</c:v>
                </c:pt>
                <c:pt idx="349">
                  <c:v>-4.4392502392288216E-2</c:v>
                </c:pt>
                <c:pt idx="350">
                  <c:v>-4.7814628140954878E-2</c:v>
                </c:pt>
                <c:pt idx="351">
                  <c:v>-4.2959262198019106E-2</c:v>
                </c:pt>
                <c:pt idx="352">
                  <c:v>-3.8774440993571156E-2</c:v>
                </c:pt>
                <c:pt idx="353">
                  <c:v>-3.6942962882460045E-2</c:v>
                </c:pt>
                <c:pt idx="354">
                  <c:v>-3.5870882602739372E-2</c:v>
                </c:pt>
                <c:pt idx="355">
                  <c:v>-3.5179310024961594E-2</c:v>
                </c:pt>
                <c:pt idx="356">
                  <c:v>-3.7699486889889132E-2</c:v>
                </c:pt>
                <c:pt idx="357">
                  <c:v>-3.7405926362889128E-2</c:v>
                </c:pt>
                <c:pt idx="358">
                  <c:v>-3.7331590852750882E-2</c:v>
                </c:pt>
                <c:pt idx="359">
                  <c:v>-3.5066316940084212E-2</c:v>
                </c:pt>
                <c:pt idx="360">
                  <c:v>-3.7982355309012783E-2</c:v>
                </c:pt>
                <c:pt idx="361">
                  <c:v>-3.8213963717346117E-2</c:v>
                </c:pt>
                <c:pt idx="362">
                  <c:v>-3.9955181755441362E-2</c:v>
                </c:pt>
                <c:pt idx="363">
                  <c:v>-3.7297859223047E-2</c:v>
                </c:pt>
                <c:pt idx="364">
                  <c:v>-4.1121288788501541E-2</c:v>
                </c:pt>
                <c:pt idx="365">
                  <c:v>-3.5232405398501539E-2</c:v>
                </c:pt>
                <c:pt idx="366">
                  <c:v>-3.0978303319582619E-2</c:v>
                </c:pt>
                <c:pt idx="367">
                  <c:v>-3.6502836731167991E-2</c:v>
                </c:pt>
                <c:pt idx="368">
                  <c:v>-3.0767302639443855E-2</c:v>
                </c:pt>
                <c:pt idx="369">
                  <c:v>-3.6443988385722922E-2</c:v>
                </c:pt>
                <c:pt idx="370">
                  <c:v>-3.5449329537389586E-2</c:v>
                </c:pt>
                <c:pt idx="371">
                  <c:v>-3.6478983212945154E-2</c:v>
                </c:pt>
                <c:pt idx="372">
                  <c:v>-3.6143858967945149E-2</c:v>
                </c:pt>
                <c:pt idx="373">
                  <c:v>-3.5950196941006374E-2</c:v>
                </c:pt>
                <c:pt idx="374">
                  <c:v>-3.5146230778811252E-2</c:v>
                </c:pt>
                <c:pt idx="375">
                  <c:v>-3.5742499627232312E-2</c:v>
                </c:pt>
                <c:pt idx="376">
                  <c:v>-3.4630020299959575E-2</c:v>
                </c:pt>
                <c:pt idx="377">
                  <c:v>-3.4127213178220449E-2</c:v>
                </c:pt>
                <c:pt idx="378">
                  <c:v>-3.471749036506256E-2</c:v>
                </c:pt>
                <c:pt idx="379">
                  <c:v>-3.4225518216601018E-2</c:v>
                </c:pt>
                <c:pt idx="380">
                  <c:v>-3.3859631973934358E-2</c:v>
                </c:pt>
                <c:pt idx="381">
                  <c:v>-3.282351427029799E-2</c:v>
                </c:pt>
                <c:pt idx="382">
                  <c:v>-3.2674529556427016E-2</c:v>
                </c:pt>
                <c:pt idx="383">
                  <c:v>-3.3296745386236545E-2</c:v>
                </c:pt>
                <c:pt idx="384">
                  <c:v>-3.3398573389940248E-2</c:v>
                </c:pt>
                <c:pt idx="385">
                  <c:v>-3.5339239879031155E-2</c:v>
                </c:pt>
                <c:pt idx="386">
                  <c:v>-3.6574046417147101E-2</c:v>
                </c:pt>
                <c:pt idx="387">
                  <c:v>-3.590388143137787E-2</c:v>
                </c:pt>
                <c:pt idx="388">
                  <c:v>-3.6184827323631388E-2</c:v>
                </c:pt>
                <c:pt idx="389">
                  <c:v>-3.5309883131631387E-2</c:v>
                </c:pt>
                <c:pt idx="390">
                  <c:v>-3.4298066302901227E-2</c:v>
                </c:pt>
                <c:pt idx="391">
                  <c:v>-3.5077537553296706E-2</c:v>
                </c:pt>
                <c:pt idx="392">
                  <c:v>-3.3406523391532002E-2</c:v>
                </c:pt>
                <c:pt idx="393">
                  <c:v>-3.2965945436532001E-2</c:v>
                </c:pt>
                <c:pt idx="394">
                  <c:v>-3.2071399755046852E-2</c:v>
                </c:pt>
                <c:pt idx="395">
                  <c:v>-3.1437758355046856E-2</c:v>
                </c:pt>
                <c:pt idx="396">
                  <c:v>-3.0731728853827342E-2</c:v>
                </c:pt>
                <c:pt idx="397">
                  <c:v>-3.0931679103427343E-2</c:v>
                </c:pt>
                <c:pt idx="398">
                  <c:v>-2.8531154394186839E-2</c:v>
                </c:pt>
                <c:pt idx="399">
                  <c:v>-2.8272358294911478E-2</c:v>
                </c:pt>
                <c:pt idx="400">
                  <c:v>-2.828883344268926E-2</c:v>
                </c:pt>
                <c:pt idx="401">
                  <c:v>-2.8232720046089264E-2</c:v>
                </c:pt>
                <c:pt idx="402">
                  <c:v>-2.8515293699285141E-2</c:v>
                </c:pt>
                <c:pt idx="403">
                  <c:v>-2.7271014941226891E-2</c:v>
                </c:pt>
                <c:pt idx="404">
                  <c:v>-2.6847303809541496E-2</c:v>
                </c:pt>
                <c:pt idx="405">
                  <c:v>-2.680003928588932E-2</c:v>
                </c:pt>
                <c:pt idx="406">
                  <c:v>-2.6286061105937165E-2</c:v>
                </c:pt>
                <c:pt idx="407">
                  <c:v>-2.5170307025937165E-2</c:v>
                </c:pt>
                <c:pt idx="408">
                  <c:v>-2.4480717004118985E-2</c:v>
                </c:pt>
                <c:pt idx="409">
                  <c:v>-2.4871290369218983E-2</c:v>
                </c:pt>
                <c:pt idx="410">
                  <c:v>-2.6052683529916663E-2</c:v>
                </c:pt>
                <c:pt idx="411">
                  <c:v>-2.2991547208886621E-2</c:v>
                </c:pt>
                <c:pt idx="412">
                  <c:v>-2.4369955587519716E-2</c:v>
                </c:pt>
                <c:pt idx="413">
                  <c:v>-2.482356170751971E-2</c:v>
                </c:pt>
                <c:pt idx="414">
                  <c:v>-2.3532619591844037E-2</c:v>
                </c:pt>
                <c:pt idx="415">
                  <c:v>-2.3082125880275407E-2</c:v>
                </c:pt>
                <c:pt idx="416">
                  <c:v>-2.2999676103132551E-2</c:v>
                </c:pt>
                <c:pt idx="417">
                  <c:v>-2.3300933495989693E-2</c:v>
                </c:pt>
                <c:pt idx="418">
                  <c:v>-2.3871869279758921E-2</c:v>
                </c:pt>
                <c:pt idx="419">
                  <c:v>-2.3412804672784129E-2</c:v>
                </c:pt>
                <c:pt idx="420">
                  <c:v>-2.2431367605531386E-2</c:v>
                </c:pt>
                <c:pt idx="421">
                  <c:v>-2.119626336836922E-2</c:v>
                </c:pt>
                <c:pt idx="422">
                  <c:v>-2.0846165774083505E-2</c:v>
                </c:pt>
                <c:pt idx="423">
                  <c:v>-2.0620778450375642E-2</c:v>
                </c:pt>
                <c:pt idx="424">
                  <c:v>-1.88327921252801E-2</c:v>
                </c:pt>
                <c:pt idx="425">
                  <c:v>-1.8269289395087054E-2</c:v>
                </c:pt>
                <c:pt idx="426">
                  <c:v>-1.8176723218663694E-2</c:v>
                </c:pt>
                <c:pt idx="427">
                  <c:v>-1.7953830518888412E-2</c:v>
                </c:pt>
                <c:pt idx="428">
                  <c:v>-1.5669624090590539E-2</c:v>
                </c:pt>
                <c:pt idx="429">
                  <c:v>-1.6914695093612517E-2</c:v>
                </c:pt>
                <c:pt idx="430">
                  <c:v>-1.7614152173643479E-2</c:v>
                </c:pt>
                <c:pt idx="431">
                  <c:v>-1.6841300058508341E-2</c:v>
                </c:pt>
                <c:pt idx="432">
                  <c:v>-1.6934996394118097E-2</c:v>
                </c:pt>
                <c:pt idx="433">
                  <c:v>-1.6872248978863861E-2</c:v>
                </c:pt>
                <c:pt idx="434">
                  <c:v>-1.637514932582386E-2</c:v>
                </c:pt>
                <c:pt idx="435">
                  <c:v>-1.6708195813702649E-2</c:v>
                </c:pt>
                <c:pt idx="436">
                  <c:v>-1.6550386994443389E-2</c:v>
                </c:pt>
                <c:pt idx="437">
                  <c:v>-1.6656906746182518E-2</c:v>
                </c:pt>
                <c:pt idx="438">
                  <c:v>-1.6181075760208493E-2</c:v>
                </c:pt>
                <c:pt idx="439">
                  <c:v>-1.5753158070524281E-2</c:v>
                </c:pt>
                <c:pt idx="440">
                  <c:v>-1.5084301890524282E-2</c:v>
                </c:pt>
                <c:pt idx="441">
                  <c:v>-1.5026410711293511E-2</c:v>
                </c:pt>
                <c:pt idx="442">
                  <c:v>-1.4748012239554383E-2</c:v>
                </c:pt>
                <c:pt idx="443">
                  <c:v>-1.4493262459449119E-2</c:v>
                </c:pt>
                <c:pt idx="444">
                  <c:v>-1.4174513872109667E-2</c:v>
                </c:pt>
                <c:pt idx="445">
                  <c:v>-1.393321113440475E-2</c:v>
                </c:pt>
                <c:pt idx="446">
                  <c:v>-1.3874786256309512E-2</c:v>
                </c:pt>
                <c:pt idx="447">
                  <c:v>-1.3636508718809514E-2</c:v>
                </c:pt>
                <c:pt idx="448">
                  <c:v>-1.3431633607085375E-2</c:v>
                </c:pt>
                <c:pt idx="449">
                  <c:v>-1.3391610400222629E-2</c:v>
                </c:pt>
                <c:pt idx="450">
                  <c:v>-1.3426981873134023E-2</c:v>
                </c:pt>
                <c:pt idx="451">
                  <c:v>-1.3294327103568806E-2</c:v>
                </c:pt>
                <c:pt idx="452">
                  <c:v>-1.3281952326587673E-2</c:v>
                </c:pt>
                <c:pt idx="453">
                  <c:v>-1.333473976844814E-2</c:v>
                </c:pt>
                <c:pt idx="454">
                  <c:v>-1.3116713025590997E-2</c:v>
                </c:pt>
                <c:pt idx="455">
                  <c:v>-1.3050041821954633E-2</c:v>
                </c:pt>
                <c:pt idx="456">
                  <c:v>-1.2863956854387066E-2</c:v>
                </c:pt>
                <c:pt idx="457">
                  <c:v>-1.3009846450750703E-2</c:v>
                </c:pt>
                <c:pt idx="458">
                  <c:v>-1.2880523478345639E-2</c:v>
                </c:pt>
                <c:pt idx="459">
                  <c:v>-1.2796926332478973E-2</c:v>
                </c:pt>
                <c:pt idx="460">
                  <c:v>-1.2779740566210316E-2</c:v>
                </c:pt>
                <c:pt idx="461">
                  <c:v>-1.2594880984814967E-2</c:v>
                </c:pt>
                <c:pt idx="462">
                  <c:v>-1.2320125944004157E-2</c:v>
                </c:pt>
                <c:pt idx="463">
                  <c:v>-1.2354894968004156E-2</c:v>
                </c:pt>
                <c:pt idx="464">
                  <c:v>-1.2208613616371504E-2</c:v>
                </c:pt>
                <c:pt idx="465">
                  <c:v>-1.2083812735228648E-2</c:v>
                </c:pt>
                <c:pt idx="466">
                  <c:v>-1.1728369368131873E-2</c:v>
                </c:pt>
                <c:pt idx="467">
                  <c:v>-1.2051091885305787E-2</c:v>
                </c:pt>
                <c:pt idx="468">
                  <c:v>-1.2056514317170195E-2</c:v>
                </c:pt>
                <c:pt idx="469">
                  <c:v>-1.23489107159432E-2</c:v>
                </c:pt>
                <c:pt idx="470">
                  <c:v>-1.0931608755943201E-2</c:v>
                </c:pt>
                <c:pt idx="471">
                  <c:v>-1.0539566080998146E-2</c:v>
                </c:pt>
                <c:pt idx="472">
                  <c:v>-1.0789121830432106E-2</c:v>
                </c:pt>
                <c:pt idx="473">
                  <c:v>-1.0877430731449053E-2</c:v>
                </c:pt>
                <c:pt idx="474">
                  <c:v>-1.0569999289588589E-2</c:v>
                </c:pt>
                <c:pt idx="475">
                  <c:v>-1.0232789245984529E-2</c:v>
                </c:pt>
                <c:pt idx="476">
                  <c:v>-9.9198591649675774E-3</c:v>
                </c:pt>
                <c:pt idx="477">
                  <c:v>-1.0987058710816634E-2</c:v>
                </c:pt>
                <c:pt idx="478">
                  <c:v>-1.0807595522634815E-2</c:v>
                </c:pt>
                <c:pt idx="479">
                  <c:v>-9.8646486970026311E-3</c:v>
                </c:pt>
                <c:pt idx="480">
                  <c:v>-8.8899212570026295E-3</c:v>
                </c:pt>
                <c:pt idx="481">
                  <c:v>-8.9202612400133829E-3</c:v>
                </c:pt>
                <c:pt idx="482">
                  <c:v>-8.636648525230774E-3</c:v>
                </c:pt>
                <c:pt idx="483">
                  <c:v>-7.8008665392475095E-3</c:v>
                </c:pt>
                <c:pt idx="484">
                  <c:v>-8.996163886800702E-3</c:v>
                </c:pt>
                <c:pt idx="485">
                  <c:v>-6.5106095268007026E-3</c:v>
                </c:pt>
                <c:pt idx="486">
                  <c:v>-4.3551797392281828E-3</c:v>
                </c:pt>
                <c:pt idx="487">
                  <c:v>-2.741292614066893E-3</c:v>
                </c:pt>
                <c:pt idx="488">
                  <c:v>-2.6713855571574002E-3</c:v>
                </c:pt>
                <c:pt idx="489">
                  <c:v>-2.3421556317172066E-3</c:v>
                </c:pt>
                <c:pt idx="490">
                  <c:v>-1.6221146116850522E-3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99-4831-A7AF-C05BD811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681200"/>
        <c:axId val="522817296"/>
      </c:lineChart>
      <c:dateAx>
        <c:axId val="143681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817296"/>
        <c:crosses val="autoZero"/>
        <c:auto val="1"/>
        <c:lblOffset val="100"/>
        <c:baseTimeUnit val="days"/>
      </c:dateAx>
      <c:valAx>
        <c:axId val="5228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68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311BD35-11BC-4B53-AB0F-10778AC0AD24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2A7182-3D97-4D83-B6C0-CD7FA081E74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79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MAX(C3:C1903)</f>
        <v>6.8</v>
      </c>
      <c r="D2" s="4">
        <f>MIN(D3:D1903)</f>
        <v>0.33100000000000002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44579</v>
      </c>
      <c r="B5">
        <v>0.56489999999999996</v>
      </c>
      <c r="C5">
        <v>0.56489999999999996</v>
      </c>
      <c r="D5">
        <v>0.56489999999999996</v>
      </c>
      <c r="E5">
        <v>0.56489999999999996</v>
      </c>
      <c r="F5">
        <v>0</v>
      </c>
      <c r="G5">
        <v>0.56489999999999996</v>
      </c>
      <c r="L5" t="s">
        <v>7</v>
      </c>
      <c r="M5" t="s">
        <v>7</v>
      </c>
      <c r="N5" t="s">
        <v>7</v>
      </c>
      <c r="P5">
        <f t="shared" ref="P5" si="0">IF(C5=D5,0,((E5-D5)-(C5-E5))/(C5-D5))</f>
        <v>0</v>
      </c>
      <c r="Q5">
        <f t="shared" ref="Q5" si="1">F5*P5</f>
        <v>0</v>
      </c>
      <c r="R5">
        <f t="shared" ref="R5" si="2">R6+Q5</f>
        <v>-215460320.37936297</v>
      </c>
      <c r="S5">
        <f t="shared" ref="S5" si="3">R5/100000</f>
        <v>-2154.6032037936297</v>
      </c>
      <c r="T5">
        <f t="shared" ref="T5" si="4">S5/1000</f>
        <v>-2.1546032037936298</v>
      </c>
    </row>
    <row r="6" spans="1:20" x14ac:dyDescent="0.25">
      <c r="A6" s="5">
        <v>44578</v>
      </c>
      <c r="B6">
        <v>0.56489999999999996</v>
      </c>
      <c r="C6">
        <v>0.56489999999999996</v>
      </c>
      <c r="D6">
        <v>0.56489999999999996</v>
      </c>
      <c r="E6">
        <v>0.56489999999999996</v>
      </c>
      <c r="F6">
        <v>0</v>
      </c>
      <c r="G6">
        <v>0.56489999999999996</v>
      </c>
      <c r="L6" t="s">
        <v>7</v>
      </c>
      <c r="M6" t="s">
        <v>7</v>
      </c>
      <c r="N6" t="s">
        <v>7</v>
      </c>
      <c r="P6">
        <f t="shared" ref="P6" si="5">IF(C6=D6,0,((E6-D6)-(C6-E6))/(C6-D6))</f>
        <v>0</v>
      </c>
      <c r="Q6">
        <f t="shared" ref="Q6" si="6">F6*P6</f>
        <v>0</v>
      </c>
      <c r="R6">
        <f t="shared" ref="R6" si="7">R7+Q6</f>
        <v>-215460320.37936297</v>
      </c>
      <c r="S6">
        <f t="shared" ref="S6" si="8">R6/100000</f>
        <v>-2154.6032037936297</v>
      </c>
      <c r="T6">
        <f t="shared" ref="T6" si="9">S6/1000</f>
        <v>-2.1546032037936298</v>
      </c>
    </row>
    <row r="7" spans="1:20" x14ac:dyDescent="0.25">
      <c r="A7" s="5">
        <v>44577</v>
      </c>
      <c r="B7">
        <v>0.56489999999999996</v>
      </c>
      <c r="C7">
        <v>0.56489999999999996</v>
      </c>
      <c r="D7">
        <v>0.56489999999999996</v>
      </c>
      <c r="E7">
        <v>0.56489999999999996</v>
      </c>
      <c r="F7">
        <v>0</v>
      </c>
      <c r="G7">
        <v>0.56489999999999996</v>
      </c>
      <c r="L7" t="s">
        <v>7</v>
      </c>
      <c r="M7" t="s">
        <v>7</v>
      </c>
      <c r="N7" t="s">
        <v>7</v>
      </c>
      <c r="P7">
        <f t="shared" ref="P7" si="10">IF(C7=D7,0,((E7-D7)-(C7-E7))/(C7-D7))</f>
        <v>0</v>
      </c>
      <c r="Q7">
        <f t="shared" ref="Q7" si="11">F7*P7</f>
        <v>0</v>
      </c>
      <c r="R7">
        <f t="shared" ref="R7" si="12">R8+Q7</f>
        <v>-215460320.37936297</v>
      </c>
      <c r="S7">
        <f t="shared" ref="S7" si="13">R7/100000</f>
        <v>-2154.6032037936297</v>
      </c>
      <c r="T7">
        <f t="shared" ref="T7" si="14">S7/1000</f>
        <v>-2.1546032037936298</v>
      </c>
    </row>
    <row r="8" spans="1:20" x14ac:dyDescent="0.25">
      <c r="A8" s="5">
        <v>44576</v>
      </c>
      <c r="B8">
        <v>0.56489999999999996</v>
      </c>
      <c r="C8">
        <v>0.56489999999999996</v>
      </c>
      <c r="D8">
        <v>0.56489999999999996</v>
      </c>
      <c r="E8">
        <v>0.56489999999999996</v>
      </c>
      <c r="F8">
        <v>0</v>
      </c>
      <c r="G8">
        <v>0.56489999999999996</v>
      </c>
      <c r="L8" t="s">
        <v>7</v>
      </c>
      <c r="M8" t="s">
        <v>7</v>
      </c>
      <c r="N8" t="s">
        <v>7</v>
      </c>
      <c r="P8">
        <f t="shared" ref="P8" si="15">IF(C8=D8,0,((E8-D8)-(C8-E8))/(C8-D8))</f>
        <v>0</v>
      </c>
      <c r="Q8">
        <f t="shared" ref="Q8" si="16">F8*P8</f>
        <v>0</v>
      </c>
      <c r="R8">
        <f t="shared" ref="R8" si="17">R9+Q8</f>
        <v>-215460320.37936297</v>
      </c>
      <c r="S8">
        <f t="shared" ref="S8" si="18">R8/100000</f>
        <v>-2154.6032037936297</v>
      </c>
      <c r="T8">
        <f t="shared" ref="T8" si="19">S8/1000</f>
        <v>-2.1546032037936298</v>
      </c>
    </row>
    <row r="9" spans="1:20" x14ac:dyDescent="0.25">
      <c r="A9" s="5">
        <v>44575</v>
      </c>
      <c r="B9">
        <v>0.56489999999999996</v>
      </c>
      <c r="C9">
        <v>0.56489999999999996</v>
      </c>
      <c r="D9">
        <v>0.56489999999999996</v>
      </c>
      <c r="E9">
        <v>0.56489999999999996</v>
      </c>
      <c r="F9">
        <v>0</v>
      </c>
      <c r="G9">
        <v>0.56489999999999996</v>
      </c>
      <c r="L9" t="s">
        <v>7</v>
      </c>
      <c r="M9" t="s">
        <v>7</v>
      </c>
      <c r="N9" t="s">
        <v>7</v>
      </c>
      <c r="P9">
        <f t="shared" ref="P9" si="20">IF(C9=D9,0,((E9-D9)-(C9-E9))/(C9-D9))</f>
        <v>0</v>
      </c>
      <c r="Q9">
        <f t="shared" ref="Q9" si="21">F9*P9</f>
        <v>0</v>
      </c>
      <c r="R9">
        <f t="shared" ref="R9" si="22">R10+Q9</f>
        <v>-215460320.37936297</v>
      </c>
      <c r="S9">
        <f t="shared" ref="S9" si="23">R9/100000</f>
        <v>-2154.6032037936297</v>
      </c>
      <c r="T9">
        <f t="shared" ref="T9" si="24">S9/1000</f>
        <v>-2.1546032037936298</v>
      </c>
    </row>
    <row r="10" spans="1:20" x14ac:dyDescent="0.25">
      <c r="A10" s="5">
        <v>44574</v>
      </c>
      <c r="B10">
        <v>0.56489999999999996</v>
      </c>
      <c r="C10">
        <v>0.56489999999999996</v>
      </c>
      <c r="D10">
        <v>0.56489999999999996</v>
      </c>
      <c r="E10">
        <v>0.56489999999999996</v>
      </c>
      <c r="F10">
        <v>0</v>
      </c>
      <c r="G10">
        <v>0.56489999999999996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</v>
      </c>
      <c r="Q10">
        <f t="shared" ref="Q10" si="26">F10*P10</f>
        <v>0</v>
      </c>
      <c r="R10">
        <f t="shared" ref="R10" si="27">R11+Q10</f>
        <v>-215460320.37936297</v>
      </c>
      <c r="S10">
        <f t="shared" ref="S10" si="28">R10/100000</f>
        <v>-2154.6032037936297</v>
      </c>
      <c r="T10">
        <f t="shared" ref="T10" si="29">S10/1000</f>
        <v>-2.1546032037936298</v>
      </c>
    </row>
    <row r="11" spans="1:20" x14ac:dyDescent="0.25">
      <c r="A11" s="5">
        <v>44573</v>
      </c>
      <c r="B11">
        <v>0.56489999999999996</v>
      </c>
      <c r="C11">
        <v>0.56489999999999996</v>
      </c>
      <c r="D11">
        <v>0.56489999999999996</v>
      </c>
      <c r="E11">
        <v>0.56489999999999996</v>
      </c>
      <c r="F11">
        <v>0</v>
      </c>
      <c r="G11">
        <v>0.56489999999999996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0</v>
      </c>
      <c r="Q11">
        <f t="shared" ref="Q11" si="31">F11*P11</f>
        <v>0</v>
      </c>
      <c r="R11">
        <f t="shared" ref="R11" si="32">R12+Q11</f>
        <v>-215460320.37936297</v>
      </c>
      <c r="S11">
        <f t="shared" ref="S11" si="33">R11/100000</f>
        <v>-2154.6032037936297</v>
      </c>
      <c r="T11">
        <f t="shared" ref="T11" si="34">S11/1000</f>
        <v>-2.1546032037936298</v>
      </c>
    </row>
    <row r="12" spans="1:20" x14ac:dyDescent="0.25">
      <c r="A12" s="5">
        <v>44572</v>
      </c>
      <c r="B12">
        <v>0.56489999999999996</v>
      </c>
      <c r="C12">
        <v>0.56489999999999996</v>
      </c>
      <c r="D12">
        <v>0.56489999999999996</v>
      </c>
      <c r="E12">
        <v>0.56489999999999996</v>
      </c>
      <c r="F12">
        <v>0</v>
      </c>
      <c r="G12">
        <v>0.56489999999999996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0</v>
      </c>
      <c r="Q12">
        <f t="shared" ref="Q12" si="36">F12*P12</f>
        <v>0</v>
      </c>
      <c r="R12">
        <f t="shared" ref="R12" si="37">R13+Q12</f>
        <v>-215460320.37936297</v>
      </c>
      <c r="S12">
        <f t="shared" ref="S12" si="38">R12/100000</f>
        <v>-2154.6032037936297</v>
      </c>
      <c r="T12">
        <f t="shared" ref="T12" si="39">S12/1000</f>
        <v>-2.1546032037936298</v>
      </c>
    </row>
    <row r="13" spans="1:20" x14ac:dyDescent="0.25">
      <c r="A13" s="5">
        <v>44571</v>
      </c>
      <c r="B13">
        <v>0.56489999999999996</v>
      </c>
      <c r="C13">
        <v>0.56489999999999996</v>
      </c>
      <c r="D13">
        <v>0.56489999999999996</v>
      </c>
      <c r="E13">
        <v>0.56489999999999996</v>
      </c>
      <c r="F13">
        <v>0</v>
      </c>
      <c r="G13">
        <v>0.56489999999999996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0</v>
      </c>
      <c r="Q13">
        <f t="shared" ref="Q13" si="41">F13*P13</f>
        <v>0</v>
      </c>
      <c r="R13">
        <f t="shared" ref="R13" si="42">R14+Q13</f>
        <v>-215460320.37936297</v>
      </c>
      <c r="S13">
        <f t="shared" ref="S13" si="43">R13/100000</f>
        <v>-2154.6032037936297</v>
      </c>
      <c r="T13">
        <f t="shared" ref="T13" si="44">S13/1000</f>
        <v>-2.1546032037936298</v>
      </c>
    </row>
    <row r="14" spans="1:20" x14ac:dyDescent="0.25">
      <c r="A14" s="5">
        <v>44570</v>
      </c>
      <c r="B14">
        <v>0.56489999999999996</v>
      </c>
      <c r="C14">
        <v>0.56489999999999996</v>
      </c>
      <c r="D14">
        <v>0.56489999999999996</v>
      </c>
      <c r="E14">
        <v>0.56489999999999996</v>
      </c>
      <c r="F14">
        <v>0</v>
      </c>
      <c r="G14">
        <v>0.56489999999999996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</v>
      </c>
      <c r="Q14">
        <f t="shared" ref="Q14" si="46">F14*P14</f>
        <v>0</v>
      </c>
      <c r="R14">
        <f t="shared" ref="R14" si="47">R15+Q14</f>
        <v>-215460320.37936297</v>
      </c>
      <c r="S14">
        <f t="shared" ref="S14" si="48">R14/100000</f>
        <v>-2154.6032037936297</v>
      </c>
      <c r="T14">
        <f t="shared" ref="T14" si="49">S14/1000</f>
        <v>-2.1546032037936298</v>
      </c>
    </row>
    <row r="15" spans="1:20" x14ac:dyDescent="0.25">
      <c r="A15" s="5">
        <v>44569</v>
      </c>
      <c r="B15">
        <v>0.56489999999999996</v>
      </c>
      <c r="C15">
        <v>0.56489999999999996</v>
      </c>
      <c r="D15">
        <v>0.56489999999999996</v>
      </c>
      <c r="E15">
        <v>0.56489999999999996</v>
      </c>
      <c r="F15">
        <v>0</v>
      </c>
      <c r="G15">
        <v>0.56489999999999996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0</v>
      </c>
      <c r="Q15">
        <f t="shared" ref="Q15" si="51">F15*P15</f>
        <v>0</v>
      </c>
      <c r="R15">
        <f t="shared" ref="R15" si="52">R16+Q15</f>
        <v>-215460320.37936297</v>
      </c>
      <c r="S15">
        <f t="shared" ref="S15" si="53">R15/100000</f>
        <v>-2154.6032037936297</v>
      </c>
      <c r="T15">
        <f t="shared" ref="T15" si="54">S15/1000</f>
        <v>-2.1546032037936298</v>
      </c>
    </row>
    <row r="16" spans="1:20" x14ac:dyDescent="0.25">
      <c r="A16" s="5">
        <v>44568</v>
      </c>
      <c r="B16">
        <v>0.56489999999999996</v>
      </c>
      <c r="C16">
        <v>0.56489999999999996</v>
      </c>
      <c r="D16">
        <v>0.56489999999999996</v>
      </c>
      <c r="E16">
        <v>0.56489999999999996</v>
      </c>
      <c r="F16">
        <v>0</v>
      </c>
      <c r="G16">
        <v>0.56489999999999996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0</v>
      </c>
      <c r="Q16">
        <f t="shared" ref="Q16" si="56">F16*P16</f>
        <v>0</v>
      </c>
      <c r="R16">
        <f t="shared" ref="R16" si="57">R17+Q16</f>
        <v>-215460320.37936297</v>
      </c>
      <c r="S16">
        <f t="shared" ref="S16" si="58">R16/100000</f>
        <v>-2154.6032037936297</v>
      </c>
      <c r="T16">
        <f t="shared" ref="T16" si="59">S16/1000</f>
        <v>-2.1546032037936298</v>
      </c>
    </row>
    <row r="17" spans="1:20" x14ac:dyDescent="0.25">
      <c r="A17" s="5">
        <v>44567</v>
      </c>
      <c r="B17">
        <v>0.56489999999999996</v>
      </c>
      <c r="C17">
        <v>0.56489999999999996</v>
      </c>
      <c r="D17">
        <v>0.56489999999999996</v>
      </c>
      <c r="E17">
        <v>0.56489999999999996</v>
      </c>
      <c r="F17">
        <v>0</v>
      </c>
      <c r="G17">
        <v>0.56489999999999996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0</v>
      </c>
      <c r="Q17">
        <f t="shared" ref="Q17" si="61">F17*P17</f>
        <v>0</v>
      </c>
      <c r="R17">
        <f t="shared" ref="R17" si="62">R18+Q17</f>
        <v>-215460320.37936297</v>
      </c>
      <c r="S17">
        <f t="shared" ref="S17" si="63">R17/100000</f>
        <v>-2154.6032037936297</v>
      </c>
      <c r="T17">
        <f t="shared" ref="T17" si="64">S17/1000</f>
        <v>-2.1546032037936298</v>
      </c>
    </row>
    <row r="18" spans="1:20" x14ac:dyDescent="0.25">
      <c r="A18" s="5">
        <v>44566</v>
      </c>
      <c r="B18">
        <v>0.56489999999999996</v>
      </c>
      <c r="C18">
        <v>0.56489999999999996</v>
      </c>
      <c r="D18">
        <v>0.56489999999999996</v>
      </c>
      <c r="E18">
        <v>0.56489999999999996</v>
      </c>
      <c r="F18">
        <v>0</v>
      </c>
      <c r="G18">
        <v>0.56489999999999996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</v>
      </c>
      <c r="Q18">
        <f t="shared" ref="Q18" si="66">F18*P18</f>
        <v>0</v>
      </c>
      <c r="R18">
        <f t="shared" ref="R18" si="67">R19+Q18</f>
        <v>-215460320.37936297</v>
      </c>
      <c r="S18">
        <f t="shared" ref="S18" si="68">R18/100000</f>
        <v>-2154.6032037936297</v>
      </c>
      <c r="T18">
        <f t="shared" ref="T18" si="69">S18/1000</f>
        <v>-2.1546032037936298</v>
      </c>
    </row>
    <row r="19" spans="1:20" x14ac:dyDescent="0.25">
      <c r="A19" s="5">
        <v>44565</v>
      </c>
      <c r="B19">
        <v>0.56489999999999996</v>
      </c>
      <c r="C19">
        <v>0.56489999999999996</v>
      </c>
      <c r="D19">
        <v>0.56489999999999996</v>
      </c>
      <c r="E19">
        <v>0.56489999999999996</v>
      </c>
      <c r="F19">
        <v>0</v>
      </c>
      <c r="G19">
        <v>0.56489999999999996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0</v>
      </c>
      <c r="Q19">
        <f t="shared" ref="Q19" si="71">F19*P19</f>
        <v>0</v>
      </c>
      <c r="R19">
        <f t="shared" ref="R19" si="72">R20+Q19</f>
        <v>-215460320.37936297</v>
      </c>
      <c r="S19">
        <f t="shared" ref="S19" si="73">R19/100000</f>
        <v>-2154.6032037936297</v>
      </c>
      <c r="T19">
        <f t="shared" ref="T19" si="74">S19/1000</f>
        <v>-2.1546032037936298</v>
      </c>
    </row>
    <row r="20" spans="1:20" x14ac:dyDescent="0.25">
      <c r="A20" s="5">
        <v>44564</v>
      </c>
      <c r="B20">
        <v>0.56489999999999996</v>
      </c>
      <c r="C20">
        <v>0.56489999999999996</v>
      </c>
      <c r="D20">
        <v>0.56489999999999996</v>
      </c>
      <c r="E20">
        <v>0.56489999999999996</v>
      </c>
      <c r="F20">
        <v>0</v>
      </c>
      <c r="G20">
        <v>0.56489999999999996</v>
      </c>
      <c r="L20" t="s">
        <v>7</v>
      </c>
      <c r="M20" t="s">
        <v>7</v>
      </c>
      <c r="N20" t="s">
        <v>7</v>
      </c>
      <c r="P20">
        <f t="shared" ref="P20" si="75">IF(C20=D20,0,((E20-D20)-(C20-E20))/(C20-D20))</f>
        <v>0</v>
      </c>
      <c r="Q20">
        <f t="shared" ref="Q20" si="76">F20*P20</f>
        <v>0</v>
      </c>
      <c r="R20">
        <f t="shared" ref="R20" si="77">R21+Q20</f>
        <v>-215460320.37936297</v>
      </c>
      <c r="S20">
        <f t="shared" ref="S20" si="78">R20/100000</f>
        <v>-2154.6032037936297</v>
      </c>
      <c r="T20">
        <f t="shared" ref="T20" si="79">S20/1000</f>
        <v>-2.1546032037936298</v>
      </c>
    </row>
    <row r="21" spans="1:20" x14ac:dyDescent="0.25">
      <c r="A21" s="5">
        <v>44563</v>
      </c>
      <c r="B21">
        <v>0.56489999999999996</v>
      </c>
      <c r="C21">
        <v>0.56489999999999996</v>
      </c>
      <c r="D21">
        <v>0.56489999999999996</v>
      </c>
      <c r="E21">
        <v>0.56489999999999996</v>
      </c>
      <c r="F21">
        <v>0</v>
      </c>
      <c r="G21">
        <v>0.56489999999999996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</v>
      </c>
      <c r="Q21">
        <f t="shared" ref="Q21" si="81">F21*P21</f>
        <v>0</v>
      </c>
      <c r="R21">
        <f t="shared" ref="R21" si="82">R22+Q21</f>
        <v>-215460320.37936297</v>
      </c>
      <c r="S21">
        <f t="shared" ref="S21" si="83">R21/100000</f>
        <v>-2154.6032037936297</v>
      </c>
      <c r="T21">
        <f t="shared" ref="T21" si="84">S21/1000</f>
        <v>-2.1546032037936298</v>
      </c>
    </row>
    <row r="22" spans="1:20" x14ac:dyDescent="0.25">
      <c r="A22" s="5">
        <v>44562</v>
      </c>
      <c r="B22">
        <v>0.56489999999999996</v>
      </c>
      <c r="C22">
        <v>0.56489999999999996</v>
      </c>
      <c r="D22">
        <v>0.56489999999999996</v>
      </c>
      <c r="E22">
        <v>0.56489999999999996</v>
      </c>
      <c r="F22">
        <v>0</v>
      </c>
      <c r="G22">
        <v>0.56489999999999996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</v>
      </c>
      <c r="Q22">
        <f t="shared" ref="Q22" si="86">F22*P22</f>
        <v>0</v>
      </c>
      <c r="R22">
        <f t="shared" ref="R22" si="87">R23+Q22</f>
        <v>-215460320.37936297</v>
      </c>
      <c r="S22">
        <f t="shared" ref="S22" si="88">R22/100000</f>
        <v>-2154.6032037936297</v>
      </c>
      <c r="T22">
        <f t="shared" ref="T22" si="89">S22/1000</f>
        <v>-2.1546032037936298</v>
      </c>
    </row>
    <row r="23" spans="1:20" x14ac:dyDescent="0.25">
      <c r="A23" s="5">
        <v>44561</v>
      </c>
      <c r="B23">
        <v>0.56489999999999996</v>
      </c>
      <c r="C23">
        <v>0.56489999999999996</v>
      </c>
      <c r="D23">
        <v>0.56489999999999996</v>
      </c>
      <c r="E23">
        <v>0.56489999999999996</v>
      </c>
      <c r="F23">
        <v>0</v>
      </c>
      <c r="G23">
        <v>0.56489999999999996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</v>
      </c>
      <c r="Q23">
        <f t="shared" ref="Q23" si="91">F23*P23</f>
        <v>0</v>
      </c>
      <c r="R23">
        <f t="shared" ref="R23" si="92">R24+Q23</f>
        <v>-215460320.37936297</v>
      </c>
      <c r="S23">
        <f t="shared" ref="S23" si="93">R23/100000</f>
        <v>-2154.6032037936297</v>
      </c>
      <c r="T23">
        <f t="shared" ref="T23" si="94">S23/1000</f>
        <v>-2.1546032037936298</v>
      </c>
    </row>
    <row r="24" spans="1:20" x14ac:dyDescent="0.25">
      <c r="A24" s="5">
        <v>44560</v>
      </c>
      <c r="B24">
        <v>0.56489999999999996</v>
      </c>
      <c r="C24">
        <v>0.56489999999999996</v>
      </c>
      <c r="D24">
        <v>0.56489999999999996</v>
      </c>
      <c r="E24">
        <v>0.56489999999999996</v>
      </c>
      <c r="F24">
        <v>0</v>
      </c>
      <c r="G24">
        <v>0.56489999999999996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0</v>
      </c>
      <c r="Q24">
        <f t="shared" ref="Q24" si="96">F24*P24</f>
        <v>0</v>
      </c>
      <c r="R24">
        <f t="shared" ref="R24" si="97">R25+Q24</f>
        <v>-215460320.37936297</v>
      </c>
      <c r="S24">
        <f t="shared" ref="S24" si="98">R24/100000</f>
        <v>-2154.6032037936297</v>
      </c>
      <c r="T24">
        <f t="shared" ref="T24" si="99">S24/1000</f>
        <v>-2.1546032037936298</v>
      </c>
    </row>
    <row r="25" spans="1:20" x14ac:dyDescent="0.25">
      <c r="A25" s="5">
        <v>44559</v>
      </c>
      <c r="B25">
        <v>0.56489999999999996</v>
      </c>
      <c r="C25">
        <v>0.56489999999999996</v>
      </c>
      <c r="D25">
        <v>0.56489999999999996</v>
      </c>
      <c r="E25">
        <v>0.56489999999999996</v>
      </c>
      <c r="F25">
        <v>0</v>
      </c>
      <c r="G25">
        <v>0.56489999999999996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</v>
      </c>
      <c r="Q25">
        <f t="shared" ref="Q25" si="101">F25*P25</f>
        <v>0</v>
      </c>
      <c r="R25">
        <f t="shared" ref="R25" si="102">R26+Q25</f>
        <v>-215460320.37936297</v>
      </c>
      <c r="S25">
        <f t="shared" ref="S25" si="103">R25/100000</f>
        <v>-2154.6032037936297</v>
      </c>
      <c r="T25">
        <f t="shared" ref="T25" si="104">S25/1000</f>
        <v>-2.1546032037936298</v>
      </c>
    </row>
    <row r="26" spans="1:20" x14ac:dyDescent="0.25">
      <c r="A26" s="5">
        <v>44558</v>
      </c>
      <c r="B26">
        <v>0.56489999999999996</v>
      </c>
      <c r="C26">
        <v>0.56489999999999996</v>
      </c>
      <c r="D26">
        <v>0.56489999999999996</v>
      </c>
      <c r="E26">
        <v>0.56489999999999996</v>
      </c>
      <c r="F26">
        <v>0</v>
      </c>
      <c r="G26">
        <v>0.56489999999999996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</v>
      </c>
      <c r="Q26">
        <f t="shared" ref="Q26" si="106">F26*P26</f>
        <v>0</v>
      </c>
      <c r="R26">
        <f t="shared" ref="R26" si="107">R27+Q26</f>
        <v>-215460320.37936297</v>
      </c>
      <c r="S26">
        <f t="shared" ref="S26" si="108">R26/100000</f>
        <v>-2154.6032037936297</v>
      </c>
      <c r="T26">
        <f t="shared" ref="T26" si="109">S26/1000</f>
        <v>-2.1546032037936298</v>
      </c>
    </row>
    <row r="27" spans="1:20" x14ac:dyDescent="0.25">
      <c r="A27" s="5">
        <v>44557</v>
      </c>
      <c r="B27">
        <v>0.56489999999999996</v>
      </c>
      <c r="C27">
        <v>0.56489999999999996</v>
      </c>
      <c r="D27">
        <v>0.56489999999999996</v>
      </c>
      <c r="E27">
        <v>0.56489999999999996</v>
      </c>
      <c r="F27">
        <v>0</v>
      </c>
      <c r="G27">
        <v>0.56489999999999996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0</v>
      </c>
      <c r="Q27">
        <f t="shared" ref="Q27" si="111">F27*P27</f>
        <v>0</v>
      </c>
      <c r="R27">
        <f t="shared" ref="R27" si="112">R28+Q27</f>
        <v>-215460320.37936297</v>
      </c>
      <c r="S27">
        <f t="shared" ref="S27" si="113">R27/100000</f>
        <v>-2154.6032037936297</v>
      </c>
      <c r="T27">
        <f t="shared" ref="T27" si="114">S27/1000</f>
        <v>-2.1546032037936298</v>
      </c>
    </row>
    <row r="28" spans="1:20" x14ac:dyDescent="0.25">
      <c r="A28" s="5">
        <v>44556</v>
      </c>
      <c r="B28">
        <v>0.56489999999999996</v>
      </c>
      <c r="C28">
        <v>0.56489999999999996</v>
      </c>
      <c r="D28">
        <v>0.56489999999999996</v>
      </c>
      <c r="E28">
        <v>0.56489999999999996</v>
      </c>
      <c r="F28">
        <v>0</v>
      </c>
      <c r="G28">
        <v>0.56489999999999996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0</v>
      </c>
      <c r="Q28">
        <f t="shared" ref="Q28" si="116">F28*P28</f>
        <v>0</v>
      </c>
      <c r="R28">
        <f t="shared" ref="R28" si="117">R29+Q28</f>
        <v>-215460320.37936297</v>
      </c>
      <c r="S28">
        <f t="shared" ref="S28" si="118">R28/100000</f>
        <v>-2154.6032037936297</v>
      </c>
      <c r="T28">
        <f t="shared" ref="T28" si="119">S28/1000</f>
        <v>-2.1546032037936298</v>
      </c>
    </row>
    <row r="29" spans="1:20" x14ac:dyDescent="0.25">
      <c r="A29" s="5">
        <v>44555</v>
      </c>
      <c r="B29">
        <v>0.56489999999999996</v>
      </c>
      <c r="C29">
        <v>0.56489999999999996</v>
      </c>
      <c r="D29">
        <v>0.56489999999999996</v>
      </c>
      <c r="E29">
        <v>0.56489999999999996</v>
      </c>
      <c r="F29">
        <v>0</v>
      </c>
      <c r="G29">
        <v>0.56489999999999996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0</v>
      </c>
      <c r="Q29">
        <f t="shared" ref="Q29" si="121">F29*P29</f>
        <v>0</v>
      </c>
      <c r="R29">
        <f t="shared" ref="R29" si="122">R30+Q29</f>
        <v>-215460320.37936297</v>
      </c>
      <c r="S29">
        <f t="shared" ref="S29" si="123">R29/100000</f>
        <v>-2154.6032037936297</v>
      </c>
      <c r="T29">
        <f t="shared" ref="T29" si="124">S29/1000</f>
        <v>-2.1546032037936298</v>
      </c>
    </row>
    <row r="30" spans="1:20" x14ac:dyDescent="0.25">
      <c r="A30" s="5">
        <v>44554</v>
      </c>
      <c r="B30">
        <v>0.56489999999999996</v>
      </c>
      <c r="C30">
        <v>0.56489999999999996</v>
      </c>
      <c r="D30">
        <v>0.56489999999999996</v>
      </c>
      <c r="E30">
        <v>0.56489999999999996</v>
      </c>
      <c r="F30">
        <v>0</v>
      </c>
      <c r="G30">
        <v>0.56489999999999996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0</v>
      </c>
      <c r="Q30">
        <f t="shared" ref="Q30" si="126">F30*P30</f>
        <v>0</v>
      </c>
      <c r="R30">
        <f t="shared" ref="R30" si="127">R31+Q30</f>
        <v>-215460320.37936297</v>
      </c>
      <c r="S30">
        <f t="shared" ref="S30" si="128">R30/100000</f>
        <v>-2154.6032037936297</v>
      </c>
      <c r="T30">
        <f t="shared" ref="T30" si="129">S30/1000</f>
        <v>-2.1546032037936298</v>
      </c>
    </row>
    <row r="31" spans="1:20" x14ac:dyDescent="0.25">
      <c r="A31" s="5">
        <v>44553</v>
      </c>
      <c r="B31">
        <v>0.56489999999999996</v>
      </c>
      <c r="C31">
        <v>0.56489999999999996</v>
      </c>
      <c r="D31">
        <v>0.56489999999999996</v>
      </c>
      <c r="E31">
        <v>0.56489999999999996</v>
      </c>
      <c r="F31">
        <v>0</v>
      </c>
      <c r="G31">
        <v>0.56489999999999996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</v>
      </c>
      <c r="Q31">
        <f t="shared" ref="Q31" si="131">F31*P31</f>
        <v>0</v>
      </c>
      <c r="R31">
        <f t="shared" ref="R31" si="132">R32+Q31</f>
        <v>-215460320.37936297</v>
      </c>
      <c r="S31">
        <f t="shared" ref="S31" si="133">R31/100000</f>
        <v>-2154.6032037936297</v>
      </c>
      <c r="T31">
        <f t="shared" ref="T31" si="134">S31/1000</f>
        <v>-2.1546032037936298</v>
      </c>
    </row>
    <row r="32" spans="1:20" x14ac:dyDescent="0.25">
      <c r="A32" s="5">
        <v>44552</v>
      </c>
      <c r="B32">
        <v>0.56489999999999996</v>
      </c>
      <c r="C32">
        <v>0.56489999999999996</v>
      </c>
      <c r="D32">
        <v>0.56489999999999996</v>
      </c>
      <c r="E32">
        <v>0.56489999999999996</v>
      </c>
      <c r="F32">
        <v>0</v>
      </c>
      <c r="G32">
        <v>0.56489999999999996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0</v>
      </c>
      <c r="Q32">
        <f t="shared" ref="Q32" si="136">F32*P32</f>
        <v>0</v>
      </c>
      <c r="R32">
        <f t="shared" ref="R32" si="137">R33+Q32</f>
        <v>-215460320.37936297</v>
      </c>
      <c r="S32">
        <f t="shared" ref="S32" si="138">R32/100000</f>
        <v>-2154.6032037936297</v>
      </c>
      <c r="T32">
        <f t="shared" ref="T32" si="139">S32/1000</f>
        <v>-2.1546032037936298</v>
      </c>
    </row>
    <row r="33" spans="1:20" x14ac:dyDescent="0.25">
      <c r="A33" s="5">
        <v>44551</v>
      </c>
      <c r="B33">
        <v>0.56489999999999996</v>
      </c>
      <c r="C33">
        <v>0.56489999999999996</v>
      </c>
      <c r="D33">
        <v>0.56489999999999996</v>
      </c>
      <c r="E33">
        <v>0.56489999999999996</v>
      </c>
      <c r="F33">
        <v>0</v>
      </c>
      <c r="G33">
        <v>0.56489999999999996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</v>
      </c>
      <c r="Q33">
        <f t="shared" ref="Q33" si="141">F33*P33</f>
        <v>0</v>
      </c>
      <c r="R33">
        <f t="shared" ref="R33" si="142">R34+Q33</f>
        <v>-215460320.37936297</v>
      </c>
      <c r="S33">
        <f t="shared" ref="S33" si="143">R33/100000</f>
        <v>-2154.6032037936297</v>
      </c>
      <c r="T33">
        <f t="shared" ref="T33" si="144">S33/1000</f>
        <v>-2.1546032037936298</v>
      </c>
    </row>
    <row r="34" spans="1:20" x14ac:dyDescent="0.25">
      <c r="A34" s="5">
        <v>44550</v>
      </c>
      <c r="B34">
        <v>0.56489999999999996</v>
      </c>
      <c r="C34">
        <v>0.56489999999999996</v>
      </c>
      <c r="D34">
        <v>0.56489999999999996</v>
      </c>
      <c r="E34">
        <v>0.56489999999999996</v>
      </c>
      <c r="F34">
        <v>0</v>
      </c>
      <c r="G34">
        <v>0.56489999999999996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0</v>
      </c>
      <c r="Q34">
        <f t="shared" ref="Q34" si="146">F34*P34</f>
        <v>0</v>
      </c>
      <c r="R34">
        <f t="shared" ref="R34" si="147">R35+Q34</f>
        <v>-215460320.37936297</v>
      </c>
      <c r="S34">
        <f t="shared" ref="S34" si="148">R34/100000</f>
        <v>-2154.6032037936297</v>
      </c>
      <c r="T34">
        <f t="shared" ref="T34" si="149">S34/1000</f>
        <v>-2.1546032037936298</v>
      </c>
    </row>
    <row r="35" spans="1:20" x14ac:dyDescent="0.25">
      <c r="A35" s="5">
        <v>44549</v>
      </c>
      <c r="B35">
        <v>0.56489999999999996</v>
      </c>
      <c r="C35">
        <v>0.56489999999999996</v>
      </c>
      <c r="D35">
        <v>0.56489999999999996</v>
      </c>
      <c r="E35">
        <v>0.56489999999999996</v>
      </c>
      <c r="F35">
        <v>0</v>
      </c>
      <c r="G35">
        <v>0.56489999999999996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0</v>
      </c>
      <c r="Q35">
        <f t="shared" ref="Q35" si="151">F35*P35</f>
        <v>0</v>
      </c>
      <c r="R35">
        <f t="shared" ref="R35" si="152">R36+Q35</f>
        <v>-215460320.37936297</v>
      </c>
      <c r="S35">
        <f t="shared" ref="S35" si="153">R35/100000</f>
        <v>-2154.6032037936297</v>
      </c>
      <c r="T35">
        <f t="shared" ref="T35" si="154">S35/1000</f>
        <v>-2.1546032037936298</v>
      </c>
    </row>
    <row r="36" spans="1:20" x14ac:dyDescent="0.25">
      <c r="A36" s="5">
        <v>44548</v>
      </c>
      <c r="B36">
        <v>0.56489999999999996</v>
      </c>
      <c r="C36">
        <v>0.56489999999999996</v>
      </c>
      <c r="D36">
        <v>0.56489999999999996</v>
      </c>
      <c r="E36">
        <v>0.56489999999999996</v>
      </c>
      <c r="F36">
        <v>0</v>
      </c>
      <c r="G36">
        <v>0.56489999999999996</v>
      </c>
      <c r="L36" t="s">
        <v>7</v>
      </c>
      <c r="M36" t="s">
        <v>7</v>
      </c>
      <c r="N36" t="s">
        <v>7</v>
      </c>
      <c r="P36">
        <f t="shared" ref="P36" si="155">IF(C36=D36,0,((E36-D36)-(C36-E36))/(C36-D36))</f>
        <v>0</v>
      </c>
      <c r="Q36">
        <f t="shared" ref="Q36" si="156">F36*P36</f>
        <v>0</v>
      </c>
      <c r="R36">
        <f t="shared" ref="R36" si="157">R37+Q36</f>
        <v>-215460320.37936297</v>
      </c>
      <c r="S36">
        <f t="shared" ref="S36" si="158">R36/100000</f>
        <v>-2154.6032037936297</v>
      </c>
      <c r="T36">
        <f t="shared" ref="T36" si="159">S36/1000</f>
        <v>-2.1546032037936298</v>
      </c>
    </row>
    <row r="37" spans="1:20" x14ac:dyDescent="0.25">
      <c r="A37" s="5">
        <v>44547</v>
      </c>
      <c r="B37">
        <v>0.56489999999999996</v>
      </c>
      <c r="C37">
        <v>0.56489999999999996</v>
      </c>
      <c r="D37">
        <v>0.56489999999999996</v>
      </c>
      <c r="E37">
        <v>0.56489999999999996</v>
      </c>
      <c r="F37">
        <v>0</v>
      </c>
      <c r="G37">
        <v>0.56489999999999996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0</v>
      </c>
      <c r="Q37">
        <f t="shared" ref="Q37" si="161">F37*P37</f>
        <v>0</v>
      </c>
      <c r="R37">
        <f t="shared" ref="R37" si="162">R38+Q37</f>
        <v>-215460320.37936297</v>
      </c>
      <c r="S37">
        <f t="shared" ref="S37" si="163">R37/100000</f>
        <v>-2154.6032037936297</v>
      </c>
      <c r="T37">
        <f t="shared" ref="T37" si="164">S37/1000</f>
        <v>-2.1546032037936298</v>
      </c>
    </row>
    <row r="38" spans="1:20" x14ac:dyDescent="0.25">
      <c r="A38" s="5">
        <v>44546</v>
      </c>
      <c r="B38">
        <v>0.56489999999999996</v>
      </c>
      <c r="C38">
        <v>0.56489999999999996</v>
      </c>
      <c r="D38">
        <v>0.56489999999999996</v>
      </c>
      <c r="E38">
        <v>0.56489999999999996</v>
      </c>
      <c r="F38">
        <v>0</v>
      </c>
      <c r="G38">
        <v>0.56489999999999996</v>
      </c>
      <c r="L38" t="s">
        <v>7</v>
      </c>
      <c r="M38" t="s">
        <v>7</v>
      </c>
      <c r="N38" t="s">
        <v>7</v>
      </c>
      <c r="P38">
        <f t="shared" ref="P38" si="165">IF(C38=D38,0,((E38-D38)-(C38-E38))/(C38-D38))</f>
        <v>0</v>
      </c>
      <c r="Q38">
        <f t="shared" ref="Q38" si="166">F38*P38</f>
        <v>0</v>
      </c>
      <c r="R38">
        <f t="shared" ref="R38" si="167">R39+Q38</f>
        <v>-215460320.37936297</v>
      </c>
      <c r="S38">
        <f t="shared" ref="S38" si="168">R38/100000</f>
        <v>-2154.6032037936297</v>
      </c>
      <c r="T38">
        <f t="shared" ref="T38" si="169">S38/1000</f>
        <v>-2.1546032037936298</v>
      </c>
    </row>
    <row r="39" spans="1:20" x14ac:dyDescent="0.25">
      <c r="A39" s="5">
        <v>44545</v>
      </c>
      <c r="B39">
        <v>0.56489999999999996</v>
      </c>
      <c r="C39">
        <v>0.56489999999999996</v>
      </c>
      <c r="D39">
        <v>0.56489999999999996</v>
      </c>
      <c r="E39">
        <v>0.56489999999999996</v>
      </c>
      <c r="F39">
        <v>0</v>
      </c>
      <c r="G39">
        <v>0.56489999999999996</v>
      </c>
      <c r="L39" t="s">
        <v>7</v>
      </c>
      <c r="M39" t="s">
        <v>7</v>
      </c>
      <c r="N39" t="s">
        <v>7</v>
      </c>
      <c r="P39">
        <f t="shared" ref="P39" si="170">IF(C39=D39,0,((E39-D39)-(C39-E39))/(C39-D39))</f>
        <v>0</v>
      </c>
      <c r="Q39">
        <f t="shared" ref="Q39" si="171">F39*P39</f>
        <v>0</v>
      </c>
      <c r="R39">
        <f t="shared" ref="R39" si="172">R40+Q39</f>
        <v>-215460320.37936297</v>
      </c>
      <c r="S39">
        <f t="shared" ref="S39" si="173">R39/100000</f>
        <v>-2154.6032037936297</v>
      </c>
      <c r="T39">
        <f t="shared" ref="T39" si="174">S39/1000</f>
        <v>-2.1546032037936298</v>
      </c>
    </row>
    <row r="40" spans="1:20" x14ac:dyDescent="0.25">
      <c r="A40" s="5">
        <v>44544</v>
      </c>
      <c r="B40">
        <v>0.56489999999999996</v>
      </c>
      <c r="C40">
        <v>0.56489999999999996</v>
      </c>
      <c r="D40">
        <v>0.56489999999999996</v>
      </c>
      <c r="E40">
        <v>0.56489999999999996</v>
      </c>
      <c r="F40">
        <v>0</v>
      </c>
      <c r="G40">
        <v>0.56489999999999996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</v>
      </c>
      <c r="Q40">
        <f t="shared" ref="Q40" si="176">F40*P40</f>
        <v>0</v>
      </c>
      <c r="R40">
        <f t="shared" ref="R40" si="177">R41+Q40</f>
        <v>-215460320.37936297</v>
      </c>
      <c r="S40">
        <f t="shared" ref="S40" si="178">R40/100000</f>
        <v>-2154.6032037936297</v>
      </c>
      <c r="T40">
        <f t="shared" ref="T40" si="179">S40/1000</f>
        <v>-2.1546032037936298</v>
      </c>
    </row>
    <row r="41" spans="1:20" x14ac:dyDescent="0.25">
      <c r="A41" s="5">
        <v>44543</v>
      </c>
      <c r="B41">
        <v>0.56489999999999996</v>
      </c>
      <c r="C41">
        <v>0.56489999999999996</v>
      </c>
      <c r="D41">
        <v>0.56489999999999996</v>
      </c>
      <c r="E41">
        <v>0.56489999999999996</v>
      </c>
      <c r="F41">
        <v>0</v>
      </c>
      <c r="G41">
        <v>0.56489999999999996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0</v>
      </c>
      <c r="Q41">
        <f t="shared" ref="Q41" si="181">F41*P41</f>
        <v>0</v>
      </c>
      <c r="R41">
        <f t="shared" ref="R41" si="182">R42+Q41</f>
        <v>-215460320.37936297</v>
      </c>
      <c r="S41">
        <f t="shared" ref="S41" si="183">R41/100000</f>
        <v>-2154.6032037936297</v>
      </c>
      <c r="T41">
        <f t="shared" ref="T41" si="184">S41/1000</f>
        <v>-2.1546032037936298</v>
      </c>
    </row>
    <row r="42" spans="1:20" x14ac:dyDescent="0.25">
      <c r="A42" s="5">
        <v>44542</v>
      </c>
      <c r="B42">
        <v>0.56489999999999996</v>
      </c>
      <c r="C42">
        <v>0.56489999999999996</v>
      </c>
      <c r="D42">
        <v>0.56489999999999996</v>
      </c>
      <c r="E42">
        <v>0.56489999999999996</v>
      </c>
      <c r="F42">
        <v>0</v>
      </c>
      <c r="G42">
        <v>0.56489999999999996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</v>
      </c>
      <c r="Q42">
        <f t="shared" ref="Q42" si="186">F42*P42</f>
        <v>0</v>
      </c>
      <c r="R42">
        <f t="shared" ref="R42" si="187">R43+Q42</f>
        <v>-215460320.37936297</v>
      </c>
      <c r="S42">
        <f t="shared" ref="S42" si="188">R42/100000</f>
        <v>-2154.6032037936297</v>
      </c>
      <c r="T42">
        <f t="shared" ref="T42" si="189">S42/1000</f>
        <v>-2.1546032037936298</v>
      </c>
    </row>
    <row r="43" spans="1:20" x14ac:dyDescent="0.25">
      <c r="A43" s="5">
        <v>44541</v>
      </c>
      <c r="B43">
        <v>0.56489999999999996</v>
      </c>
      <c r="C43">
        <v>0.56489999999999996</v>
      </c>
      <c r="D43">
        <v>0.56489999999999996</v>
      </c>
      <c r="E43">
        <v>0.56489999999999996</v>
      </c>
      <c r="F43">
        <v>0</v>
      </c>
      <c r="G43">
        <v>0.56489999999999996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</v>
      </c>
      <c r="Q43">
        <f t="shared" ref="Q43" si="191">F43*P43</f>
        <v>0</v>
      </c>
      <c r="R43">
        <f t="shared" ref="R43" si="192">R44+Q43</f>
        <v>-215460320.37936297</v>
      </c>
      <c r="S43">
        <f t="shared" ref="S43" si="193">R43/100000</f>
        <v>-2154.6032037936297</v>
      </c>
      <c r="T43">
        <f t="shared" ref="T43" si="194">S43/1000</f>
        <v>-2.1546032037936298</v>
      </c>
    </row>
    <row r="44" spans="1:20" x14ac:dyDescent="0.25">
      <c r="A44" s="5">
        <v>44540</v>
      </c>
      <c r="B44">
        <v>0.56489999999999996</v>
      </c>
      <c r="C44">
        <v>0.56489999999999996</v>
      </c>
      <c r="D44">
        <v>0.56489999999999996</v>
      </c>
      <c r="E44">
        <v>0.56489999999999996</v>
      </c>
      <c r="F44">
        <v>0</v>
      </c>
      <c r="G44">
        <v>0.56489999999999996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0</v>
      </c>
      <c r="Q44">
        <f t="shared" ref="Q44" si="196">F44*P44</f>
        <v>0</v>
      </c>
      <c r="R44">
        <f t="shared" ref="R44" si="197">R45+Q44</f>
        <v>-215460320.37936297</v>
      </c>
      <c r="S44">
        <f t="shared" ref="S44" si="198">R44/100000</f>
        <v>-2154.6032037936297</v>
      </c>
      <c r="T44">
        <f t="shared" ref="T44" si="199">S44/1000</f>
        <v>-2.1546032037936298</v>
      </c>
    </row>
    <row r="45" spans="1:20" x14ac:dyDescent="0.25">
      <c r="A45" s="5">
        <v>44539</v>
      </c>
      <c r="B45">
        <v>0.56489999999999996</v>
      </c>
      <c r="C45">
        <v>0.56489999999999996</v>
      </c>
      <c r="D45">
        <v>0.56489999999999996</v>
      </c>
      <c r="E45">
        <v>0.56489999999999996</v>
      </c>
      <c r="F45">
        <v>0</v>
      </c>
      <c r="G45">
        <v>0.56489999999999996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</v>
      </c>
      <c r="Q45">
        <f t="shared" ref="Q45" si="201">F45*P45</f>
        <v>0</v>
      </c>
      <c r="R45">
        <f t="shared" ref="R45" si="202">R46+Q45</f>
        <v>-215460320.37936297</v>
      </c>
      <c r="S45">
        <f t="shared" ref="S45" si="203">R45/100000</f>
        <v>-2154.6032037936297</v>
      </c>
      <c r="T45">
        <f t="shared" ref="T45" si="204">S45/1000</f>
        <v>-2.1546032037936298</v>
      </c>
    </row>
    <row r="46" spans="1:20" x14ac:dyDescent="0.25">
      <c r="A46" s="5">
        <v>44538</v>
      </c>
      <c r="B46">
        <v>0.56489999999999996</v>
      </c>
      <c r="C46">
        <v>0.56489999999999996</v>
      </c>
      <c r="D46">
        <v>0.56489999999999996</v>
      </c>
      <c r="E46">
        <v>0.56489999999999996</v>
      </c>
      <c r="F46">
        <v>0</v>
      </c>
      <c r="G46">
        <v>0.56489999999999996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0</v>
      </c>
      <c r="Q46">
        <f t="shared" ref="Q46" si="206">F46*P46</f>
        <v>0</v>
      </c>
      <c r="R46">
        <f t="shared" ref="R46" si="207">R47+Q46</f>
        <v>-215460320.37936297</v>
      </c>
      <c r="S46">
        <f t="shared" ref="S46" si="208">R46/100000</f>
        <v>-2154.6032037936297</v>
      </c>
      <c r="T46">
        <f t="shared" ref="T46" si="209">S46/1000</f>
        <v>-2.1546032037936298</v>
      </c>
    </row>
    <row r="47" spans="1:20" x14ac:dyDescent="0.25">
      <c r="A47" s="5">
        <v>44537</v>
      </c>
      <c r="B47">
        <v>0.56489999999999996</v>
      </c>
      <c r="C47">
        <v>0.56489999999999996</v>
      </c>
      <c r="D47">
        <v>0.56489999999999996</v>
      </c>
      <c r="E47">
        <v>0.56489999999999996</v>
      </c>
      <c r="F47">
        <v>0</v>
      </c>
      <c r="G47">
        <v>0.56489999999999996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0</v>
      </c>
      <c r="Q47">
        <f t="shared" ref="Q47" si="211">F47*P47</f>
        <v>0</v>
      </c>
      <c r="R47">
        <f t="shared" ref="R47" si="212">R48+Q47</f>
        <v>-215460320.37936297</v>
      </c>
      <c r="S47">
        <f t="shared" ref="S47" si="213">R47/100000</f>
        <v>-2154.6032037936297</v>
      </c>
      <c r="T47">
        <f t="shared" ref="T47" si="214">S47/1000</f>
        <v>-2.1546032037936298</v>
      </c>
    </row>
    <row r="48" spans="1:20" x14ac:dyDescent="0.25">
      <c r="A48" s="5">
        <v>44536</v>
      </c>
      <c r="B48">
        <v>0.56489999999999996</v>
      </c>
      <c r="C48">
        <v>0.56489999999999996</v>
      </c>
      <c r="D48">
        <v>0.56489999999999996</v>
      </c>
      <c r="E48">
        <v>0.56489999999999996</v>
      </c>
      <c r="F48">
        <v>0</v>
      </c>
      <c r="G48">
        <v>0.56489999999999996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</v>
      </c>
      <c r="Q48">
        <f t="shared" ref="Q48" si="216">F48*P48</f>
        <v>0</v>
      </c>
      <c r="R48">
        <f t="shared" ref="R48" si="217">R49+Q48</f>
        <v>-215460320.37936297</v>
      </c>
      <c r="S48">
        <f t="shared" ref="S48" si="218">R48/100000</f>
        <v>-2154.6032037936297</v>
      </c>
      <c r="T48">
        <f t="shared" ref="T48" si="219">S48/1000</f>
        <v>-2.1546032037936298</v>
      </c>
    </row>
    <row r="49" spans="1:20" x14ac:dyDescent="0.25">
      <c r="A49" s="5">
        <v>44535</v>
      </c>
      <c r="B49">
        <v>0.56489999999999996</v>
      </c>
      <c r="C49">
        <v>0.56489999999999996</v>
      </c>
      <c r="D49">
        <v>0.56489999999999996</v>
      </c>
      <c r="E49">
        <v>0.56489999999999996</v>
      </c>
      <c r="F49">
        <v>0</v>
      </c>
      <c r="G49">
        <v>0.56489999999999996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</v>
      </c>
      <c r="Q49">
        <f t="shared" ref="Q49" si="221">F49*P49</f>
        <v>0</v>
      </c>
      <c r="R49">
        <f t="shared" ref="R49" si="222">R50+Q49</f>
        <v>-215460320.37936297</v>
      </c>
      <c r="S49">
        <f t="shared" ref="S49" si="223">R49/100000</f>
        <v>-2154.6032037936297</v>
      </c>
      <c r="T49">
        <f t="shared" ref="T49" si="224">S49/1000</f>
        <v>-2.1546032037936298</v>
      </c>
    </row>
    <row r="50" spans="1:20" x14ac:dyDescent="0.25">
      <c r="A50" s="5">
        <v>44534</v>
      </c>
      <c r="B50">
        <v>0.56489999999999996</v>
      </c>
      <c r="C50">
        <v>0.56489999999999996</v>
      </c>
      <c r="D50">
        <v>0.56489999999999996</v>
      </c>
      <c r="E50">
        <v>0.56489999999999996</v>
      </c>
      <c r="F50">
        <v>0</v>
      </c>
      <c r="G50">
        <v>0.56489999999999996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0</v>
      </c>
      <c r="Q50">
        <f t="shared" ref="Q50" si="226">F50*P50</f>
        <v>0</v>
      </c>
      <c r="R50">
        <f t="shared" ref="R50" si="227">R51+Q50</f>
        <v>-215460320.37936297</v>
      </c>
      <c r="S50">
        <f t="shared" ref="S50" si="228">R50/100000</f>
        <v>-2154.6032037936297</v>
      </c>
      <c r="T50">
        <f t="shared" ref="T50" si="229">S50/1000</f>
        <v>-2.1546032037936298</v>
      </c>
    </row>
    <row r="51" spans="1:20" x14ac:dyDescent="0.25">
      <c r="A51" s="5">
        <v>44533</v>
      </c>
      <c r="B51">
        <v>0.56489999999999996</v>
      </c>
      <c r="C51">
        <v>0.56489999999999996</v>
      </c>
      <c r="D51">
        <v>0.56489999999999996</v>
      </c>
      <c r="E51">
        <v>0.56489999999999996</v>
      </c>
      <c r="F51">
        <v>0</v>
      </c>
      <c r="G51">
        <v>0.56489999999999996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0</v>
      </c>
      <c r="Q51">
        <f t="shared" ref="Q51" si="231">F51*P51</f>
        <v>0</v>
      </c>
      <c r="R51">
        <f t="shared" ref="R51" si="232">R52+Q51</f>
        <v>-215460320.37936297</v>
      </c>
      <c r="S51">
        <f t="shared" ref="S51" si="233">R51/100000</f>
        <v>-2154.6032037936297</v>
      </c>
      <c r="T51">
        <f t="shared" ref="T51" si="234">S51/1000</f>
        <v>-2.1546032037936298</v>
      </c>
    </row>
    <row r="52" spans="1:20" x14ac:dyDescent="0.25">
      <c r="A52" s="5">
        <v>44532</v>
      </c>
      <c r="B52">
        <v>0.56489999999999996</v>
      </c>
      <c r="C52">
        <v>0.56489999999999996</v>
      </c>
      <c r="D52">
        <v>0.56489999999999996</v>
      </c>
      <c r="E52">
        <v>0.56489999999999996</v>
      </c>
      <c r="F52">
        <v>0</v>
      </c>
      <c r="G52">
        <v>0.56489999999999996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</v>
      </c>
      <c r="Q52">
        <f t="shared" ref="Q52" si="236">F52*P52</f>
        <v>0</v>
      </c>
      <c r="R52">
        <f t="shared" ref="R52" si="237">R53+Q52</f>
        <v>-215460320.37936297</v>
      </c>
      <c r="S52">
        <f t="shared" ref="S52" si="238">R52/100000</f>
        <v>-2154.6032037936297</v>
      </c>
      <c r="T52">
        <f t="shared" ref="T52" si="239">S52/1000</f>
        <v>-2.1546032037936298</v>
      </c>
    </row>
    <row r="53" spans="1:20" x14ac:dyDescent="0.25">
      <c r="A53" s="5">
        <v>44531</v>
      </c>
      <c r="B53">
        <v>0.56489999999999996</v>
      </c>
      <c r="C53">
        <v>0.56489999999999996</v>
      </c>
      <c r="D53">
        <v>0.56489999999999996</v>
      </c>
      <c r="E53">
        <v>0.56489999999999996</v>
      </c>
      <c r="F53">
        <v>0</v>
      </c>
      <c r="G53">
        <v>0.56489999999999996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0</v>
      </c>
      <c r="Q53">
        <f t="shared" ref="Q53" si="241">F53*P53</f>
        <v>0</v>
      </c>
      <c r="R53">
        <f t="shared" ref="R53" si="242">R54+Q53</f>
        <v>-215460320.37936297</v>
      </c>
      <c r="S53">
        <f t="shared" ref="S53" si="243">R53/100000</f>
        <v>-2154.6032037936297</v>
      </c>
      <c r="T53">
        <f t="shared" ref="T53" si="244">S53/1000</f>
        <v>-2.1546032037936298</v>
      </c>
    </row>
    <row r="54" spans="1:20" x14ac:dyDescent="0.25">
      <c r="A54" s="5">
        <v>44530</v>
      </c>
      <c r="B54">
        <v>0.56489999999999996</v>
      </c>
      <c r="C54">
        <v>0.56489999999999996</v>
      </c>
      <c r="D54">
        <v>0.56489999999999996</v>
      </c>
      <c r="E54">
        <v>0.56489999999999996</v>
      </c>
      <c r="F54">
        <v>0</v>
      </c>
      <c r="G54">
        <v>0.56489999999999996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0</v>
      </c>
      <c r="Q54">
        <f t="shared" ref="Q54" si="246">F54*P54</f>
        <v>0</v>
      </c>
      <c r="R54">
        <f t="shared" ref="R54" si="247">R55+Q54</f>
        <v>-215460320.37936297</v>
      </c>
      <c r="S54">
        <f t="shared" ref="S54" si="248">R54/100000</f>
        <v>-2154.6032037936297</v>
      </c>
      <c r="T54">
        <f t="shared" ref="T54" si="249">S54/1000</f>
        <v>-2.1546032037936298</v>
      </c>
    </row>
    <row r="55" spans="1:20" x14ac:dyDescent="0.25">
      <c r="A55" s="5">
        <v>44529</v>
      </c>
      <c r="B55">
        <v>0.56489999999999996</v>
      </c>
      <c r="C55">
        <v>0.56489999999999996</v>
      </c>
      <c r="D55">
        <v>0.56489999999999996</v>
      </c>
      <c r="E55">
        <v>0.56489999999999996</v>
      </c>
      <c r="F55">
        <v>0</v>
      </c>
      <c r="G55">
        <v>0.56489999999999996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</v>
      </c>
      <c r="Q55">
        <f t="shared" ref="Q55" si="251">F55*P55</f>
        <v>0</v>
      </c>
      <c r="R55">
        <f t="shared" ref="R55" si="252">R56+Q55</f>
        <v>-215460320.37936297</v>
      </c>
      <c r="S55">
        <f t="shared" ref="S55" si="253">R55/100000</f>
        <v>-2154.6032037936297</v>
      </c>
      <c r="T55">
        <f t="shared" ref="T55" si="254">S55/1000</f>
        <v>-2.1546032037936298</v>
      </c>
    </row>
    <row r="56" spans="1:20" x14ac:dyDescent="0.25">
      <c r="A56" s="5">
        <v>44528</v>
      </c>
      <c r="B56">
        <v>0.56489999999999996</v>
      </c>
      <c r="C56">
        <v>0.56489999999999996</v>
      </c>
      <c r="D56">
        <v>0.56489999999999996</v>
      </c>
      <c r="E56">
        <v>0.56489999999999996</v>
      </c>
      <c r="F56">
        <v>0</v>
      </c>
      <c r="G56">
        <v>0.56489999999999996</v>
      </c>
      <c r="L56" t="s">
        <v>7</v>
      </c>
      <c r="M56" t="s">
        <v>7</v>
      </c>
      <c r="N56" t="s">
        <v>7</v>
      </c>
      <c r="P56">
        <f t="shared" ref="P56" si="255">IF(C56=D56,0,((E56-D56)-(C56-E56))/(C56-D56))</f>
        <v>0</v>
      </c>
      <c r="Q56">
        <f t="shared" ref="Q56" si="256">F56*P56</f>
        <v>0</v>
      </c>
      <c r="R56">
        <f t="shared" ref="R56" si="257">R57+Q56</f>
        <v>-215460320.37936297</v>
      </c>
      <c r="S56">
        <f t="shared" ref="S56" si="258">R56/100000</f>
        <v>-2154.6032037936297</v>
      </c>
      <c r="T56">
        <f t="shared" ref="T56" si="259">S56/1000</f>
        <v>-2.1546032037936298</v>
      </c>
    </row>
    <row r="57" spans="1:20" x14ac:dyDescent="0.25">
      <c r="A57" s="5">
        <v>44527</v>
      </c>
      <c r="B57">
        <v>0.56489999999999996</v>
      </c>
      <c r="C57">
        <v>0.56489999999999996</v>
      </c>
      <c r="D57">
        <v>0.56489999999999996</v>
      </c>
      <c r="E57">
        <v>0.56489999999999996</v>
      </c>
      <c r="F57">
        <v>0</v>
      </c>
      <c r="G57">
        <v>0.56489999999999996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</v>
      </c>
      <c r="Q57">
        <f t="shared" ref="Q57" si="261">F57*P57</f>
        <v>0</v>
      </c>
      <c r="R57">
        <f t="shared" ref="R57" si="262">R58+Q57</f>
        <v>-215460320.37936297</v>
      </c>
      <c r="S57">
        <f t="shared" ref="S57" si="263">R57/100000</f>
        <v>-2154.6032037936297</v>
      </c>
      <c r="T57">
        <f t="shared" ref="T57" si="264">S57/1000</f>
        <v>-2.1546032037936298</v>
      </c>
    </row>
    <row r="58" spans="1:20" x14ac:dyDescent="0.25">
      <c r="A58" s="5">
        <v>44526</v>
      </c>
      <c r="B58">
        <v>0.56489999999999996</v>
      </c>
      <c r="C58">
        <v>0.56489999999999996</v>
      </c>
      <c r="D58">
        <v>0.56489999999999996</v>
      </c>
      <c r="E58">
        <v>0.56489999999999996</v>
      </c>
      <c r="F58">
        <v>0</v>
      </c>
      <c r="G58">
        <v>0.56489999999999996</v>
      </c>
      <c r="L58" t="s">
        <v>7</v>
      </c>
      <c r="M58" t="s">
        <v>7</v>
      </c>
      <c r="N58" t="s">
        <v>7</v>
      </c>
      <c r="P58">
        <f t="shared" ref="P58" si="265">IF(C58=D58,0,((E58-D58)-(C58-E58))/(C58-D58))</f>
        <v>0</v>
      </c>
      <c r="Q58">
        <f t="shared" ref="Q58" si="266">F58*P58</f>
        <v>0</v>
      </c>
      <c r="R58">
        <f t="shared" ref="R58" si="267">R59+Q58</f>
        <v>-215460320.37936297</v>
      </c>
      <c r="S58">
        <f t="shared" ref="S58" si="268">R58/100000</f>
        <v>-2154.6032037936297</v>
      </c>
      <c r="T58">
        <f t="shared" ref="T58" si="269">S58/1000</f>
        <v>-2.1546032037936298</v>
      </c>
    </row>
    <row r="59" spans="1:20" x14ac:dyDescent="0.25">
      <c r="A59" s="5">
        <v>44525</v>
      </c>
      <c r="B59">
        <v>0.56489999999999996</v>
      </c>
      <c r="C59">
        <v>0.56489999999999996</v>
      </c>
      <c r="D59">
        <v>0.56489999999999996</v>
      </c>
      <c r="E59">
        <v>0.56489999999999996</v>
      </c>
      <c r="F59">
        <v>0</v>
      </c>
      <c r="G59">
        <v>0.56489999999999996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</v>
      </c>
      <c r="Q59">
        <f t="shared" ref="Q59" si="271">F59*P59</f>
        <v>0</v>
      </c>
      <c r="R59">
        <f t="shared" ref="R59" si="272">R60+Q59</f>
        <v>-215460320.37936297</v>
      </c>
      <c r="S59">
        <f t="shared" ref="S59" si="273">R59/100000</f>
        <v>-2154.6032037936297</v>
      </c>
      <c r="T59">
        <f t="shared" ref="T59" si="274">S59/1000</f>
        <v>-2.1546032037936298</v>
      </c>
    </row>
    <row r="60" spans="1:20" x14ac:dyDescent="0.25">
      <c r="A60" s="5">
        <v>44524</v>
      </c>
      <c r="B60">
        <v>0.56489999999999996</v>
      </c>
      <c r="C60">
        <v>0.56489999999999996</v>
      </c>
      <c r="D60">
        <v>0.56489999999999996</v>
      </c>
      <c r="E60">
        <v>0.56489999999999996</v>
      </c>
      <c r="F60">
        <v>0</v>
      </c>
      <c r="G60">
        <v>0.56489999999999996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0</v>
      </c>
      <c r="Q60">
        <f t="shared" ref="Q60" si="276">F60*P60</f>
        <v>0</v>
      </c>
      <c r="R60">
        <f t="shared" ref="R60" si="277">R61+Q60</f>
        <v>-215460320.37936297</v>
      </c>
      <c r="S60">
        <f t="shared" ref="S60" si="278">R60/100000</f>
        <v>-2154.6032037936297</v>
      </c>
      <c r="T60">
        <f t="shared" ref="T60" si="279">S60/1000</f>
        <v>-2.1546032037936298</v>
      </c>
    </row>
    <row r="61" spans="1:20" x14ac:dyDescent="0.25">
      <c r="A61" s="5">
        <v>44523</v>
      </c>
      <c r="B61">
        <v>0.56489999999999996</v>
      </c>
      <c r="C61">
        <v>0.56489999999999996</v>
      </c>
      <c r="D61">
        <v>0.56489999999999996</v>
      </c>
      <c r="E61">
        <v>0.56489999999999996</v>
      </c>
      <c r="F61">
        <v>0</v>
      </c>
      <c r="G61">
        <v>0.56489999999999996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</v>
      </c>
      <c r="Q61">
        <f t="shared" ref="Q61" si="281">F61*P61</f>
        <v>0</v>
      </c>
      <c r="R61">
        <f t="shared" ref="R61" si="282">R62+Q61</f>
        <v>-215460320.37936297</v>
      </c>
      <c r="S61">
        <f t="shared" ref="S61" si="283">R61/100000</f>
        <v>-2154.6032037936297</v>
      </c>
      <c r="T61">
        <f t="shared" ref="T61" si="284">S61/1000</f>
        <v>-2.1546032037936298</v>
      </c>
    </row>
    <row r="62" spans="1:20" x14ac:dyDescent="0.25">
      <c r="A62" s="5">
        <v>44522</v>
      </c>
      <c r="B62">
        <v>0.56489999999999996</v>
      </c>
      <c r="C62">
        <v>0.56489999999999996</v>
      </c>
      <c r="D62">
        <v>0.56489999999999996</v>
      </c>
      <c r="E62">
        <v>0.56489999999999996</v>
      </c>
      <c r="F62">
        <v>0</v>
      </c>
      <c r="G62">
        <v>0.56489999999999996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0</v>
      </c>
      <c r="Q62">
        <f t="shared" ref="Q62" si="286">F62*P62</f>
        <v>0</v>
      </c>
      <c r="R62">
        <f t="shared" ref="R62" si="287">R63+Q62</f>
        <v>-215460320.37936297</v>
      </c>
      <c r="S62">
        <f t="shared" ref="S62" si="288">R62/100000</f>
        <v>-2154.6032037936297</v>
      </c>
      <c r="T62">
        <f t="shared" ref="T62" si="289">S62/1000</f>
        <v>-2.1546032037936298</v>
      </c>
    </row>
    <row r="63" spans="1:20" x14ac:dyDescent="0.25">
      <c r="A63" s="5">
        <v>44521</v>
      </c>
      <c r="B63">
        <v>0.56489999999999996</v>
      </c>
      <c r="C63">
        <v>0.56489999999999996</v>
      </c>
      <c r="D63">
        <v>0.56489999999999996</v>
      </c>
      <c r="E63">
        <v>0.56489999999999996</v>
      </c>
      <c r="F63">
        <v>0</v>
      </c>
      <c r="G63">
        <v>0.56489999999999996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0</v>
      </c>
      <c r="Q63">
        <f t="shared" ref="Q63" si="291">F63*P63</f>
        <v>0</v>
      </c>
      <c r="R63">
        <f t="shared" ref="R63" si="292">R64+Q63</f>
        <v>-215460320.37936297</v>
      </c>
      <c r="S63">
        <f t="shared" ref="S63" si="293">R63/100000</f>
        <v>-2154.6032037936297</v>
      </c>
      <c r="T63">
        <f t="shared" ref="T63" si="294">S63/1000</f>
        <v>-2.1546032037936298</v>
      </c>
    </row>
    <row r="64" spans="1:20" x14ac:dyDescent="0.25">
      <c r="A64" s="5">
        <v>44520</v>
      </c>
      <c r="B64">
        <v>0.56489999999999996</v>
      </c>
      <c r="C64">
        <v>0.56489999999999996</v>
      </c>
      <c r="D64">
        <v>0.56489999999999996</v>
      </c>
      <c r="E64">
        <v>0.56489999999999996</v>
      </c>
      <c r="F64">
        <v>0</v>
      </c>
      <c r="G64">
        <v>0.56489999999999996</v>
      </c>
      <c r="L64" t="s">
        <v>7</v>
      </c>
      <c r="M64" t="s">
        <v>7</v>
      </c>
      <c r="N64" t="s">
        <v>7</v>
      </c>
      <c r="P64">
        <f t="shared" ref="P64" si="295">IF(C64=D64,0,((E64-D64)-(C64-E64))/(C64-D64))</f>
        <v>0</v>
      </c>
      <c r="Q64">
        <f t="shared" ref="Q64" si="296">F64*P64</f>
        <v>0</v>
      </c>
      <c r="R64">
        <f t="shared" ref="R64" si="297">R65+Q64</f>
        <v>-215460320.37936297</v>
      </c>
      <c r="S64">
        <f t="shared" ref="S64" si="298">R64/100000</f>
        <v>-2154.6032037936297</v>
      </c>
      <c r="T64">
        <f t="shared" ref="T64" si="299">S64/1000</f>
        <v>-2.1546032037936298</v>
      </c>
    </row>
    <row r="65" spans="1:20" x14ac:dyDescent="0.25">
      <c r="A65" s="5">
        <v>44519</v>
      </c>
      <c r="B65">
        <v>0.56489999999999996</v>
      </c>
      <c r="C65">
        <v>0.56489999999999996</v>
      </c>
      <c r="D65">
        <v>0.56489999999999996</v>
      </c>
      <c r="E65">
        <v>0.56489999999999996</v>
      </c>
      <c r="F65">
        <v>0</v>
      </c>
      <c r="G65">
        <v>0.56489999999999996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</v>
      </c>
      <c r="Q65">
        <f t="shared" ref="Q65" si="301">F65*P65</f>
        <v>0</v>
      </c>
      <c r="R65">
        <f t="shared" ref="R65" si="302">R66+Q65</f>
        <v>-215460320.37936297</v>
      </c>
      <c r="S65">
        <f t="shared" ref="S65" si="303">R65/100000</f>
        <v>-2154.6032037936297</v>
      </c>
      <c r="T65">
        <f t="shared" ref="T65" si="304">S65/1000</f>
        <v>-2.1546032037936298</v>
      </c>
    </row>
    <row r="66" spans="1:20" x14ac:dyDescent="0.25">
      <c r="A66" s="5">
        <v>44518</v>
      </c>
      <c r="B66">
        <v>0.56489999999999996</v>
      </c>
      <c r="C66">
        <v>0.56489999999999996</v>
      </c>
      <c r="D66">
        <v>0.56489999999999996</v>
      </c>
      <c r="E66">
        <v>0.56489999999999996</v>
      </c>
      <c r="F66">
        <v>0</v>
      </c>
      <c r="G66">
        <v>0.56489999999999996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0</v>
      </c>
      <c r="Q66">
        <f t="shared" ref="Q66" si="306">F66*P66</f>
        <v>0</v>
      </c>
      <c r="R66">
        <f t="shared" ref="R66" si="307">R67+Q66</f>
        <v>-215460320.37936297</v>
      </c>
      <c r="S66">
        <f t="shared" ref="S66" si="308">R66/100000</f>
        <v>-2154.6032037936297</v>
      </c>
      <c r="T66">
        <f t="shared" ref="T66" si="309">S66/1000</f>
        <v>-2.1546032037936298</v>
      </c>
    </row>
    <row r="67" spans="1:20" x14ac:dyDescent="0.25">
      <c r="A67" s="5">
        <v>44517</v>
      </c>
      <c r="B67">
        <v>0.56489999999999996</v>
      </c>
      <c r="C67">
        <v>0.56489999999999996</v>
      </c>
      <c r="D67">
        <v>0.56489999999999996</v>
      </c>
      <c r="E67">
        <v>0.56489999999999996</v>
      </c>
      <c r="F67">
        <v>0</v>
      </c>
      <c r="G67">
        <v>0.56489999999999996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0</v>
      </c>
      <c r="Q67">
        <f t="shared" ref="Q67" si="311">F67*P67</f>
        <v>0</v>
      </c>
      <c r="R67">
        <f t="shared" ref="R67" si="312">R68+Q67</f>
        <v>-215460320.37936297</v>
      </c>
      <c r="S67">
        <f t="shared" ref="S67" si="313">R67/100000</f>
        <v>-2154.6032037936297</v>
      </c>
      <c r="T67">
        <f t="shared" ref="T67" si="314">S67/1000</f>
        <v>-2.1546032037936298</v>
      </c>
    </row>
    <row r="68" spans="1:20" x14ac:dyDescent="0.25">
      <c r="A68" s="5">
        <v>44516</v>
      </c>
      <c r="B68">
        <v>0.56489999999999996</v>
      </c>
      <c r="C68">
        <v>0.56489999999999996</v>
      </c>
      <c r="D68">
        <v>0.56489999999999996</v>
      </c>
      <c r="E68">
        <v>0.56489999999999996</v>
      </c>
      <c r="F68">
        <v>0</v>
      </c>
      <c r="G68">
        <v>0.56489999999999996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</v>
      </c>
      <c r="Q68">
        <f t="shared" ref="Q68" si="316">F68*P68</f>
        <v>0</v>
      </c>
      <c r="R68">
        <f t="shared" ref="R68" si="317">R69+Q68</f>
        <v>-215460320.37936297</v>
      </c>
      <c r="S68">
        <f t="shared" ref="S68" si="318">R68/100000</f>
        <v>-2154.6032037936297</v>
      </c>
      <c r="T68">
        <f t="shared" ref="T68" si="319">S68/1000</f>
        <v>-2.1546032037936298</v>
      </c>
    </row>
    <row r="69" spans="1:20" x14ac:dyDescent="0.25">
      <c r="A69" s="5">
        <v>44515</v>
      </c>
      <c r="B69">
        <v>0.56489999999999996</v>
      </c>
      <c r="C69">
        <v>0.56489999999999996</v>
      </c>
      <c r="D69">
        <v>0.56489999999999996</v>
      </c>
      <c r="E69">
        <v>0.56489999999999996</v>
      </c>
      <c r="F69">
        <v>0</v>
      </c>
      <c r="G69">
        <v>0.56489999999999996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0</v>
      </c>
      <c r="Q69">
        <f t="shared" ref="Q69" si="321">F69*P69</f>
        <v>0</v>
      </c>
      <c r="R69">
        <f t="shared" ref="R69" si="322">R70+Q69</f>
        <v>-215460320.37936297</v>
      </c>
      <c r="S69">
        <f t="shared" ref="S69" si="323">R69/100000</f>
        <v>-2154.6032037936297</v>
      </c>
      <c r="T69">
        <f t="shared" ref="T69" si="324">S69/1000</f>
        <v>-2.1546032037936298</v>
      </c>
    </row>
    <row r="70" spans="1:20" x14ac:dyDescent="0.25">
      <c r="A70" s="5">
        <v>44514</v>
      </c>
      <c r="B70">
        <v>0.56489999999999996</v>
      </c>
      <c r="C70">
        <v>0.56489999999999996</v>
      </c>
      <c r="D70">
        <v>0.56489999999999996</v>
      </c>
      <c r="E70">
        <v>0.56489999999999996</v>
      </c>
      <c r="F70">
        <v>0</v>
      </c>
      <c r="G70">
        <v>0.56489999999999996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</v>
      </c>
      <c r="Q70">
        <f t="shared" ref="Q70" si="326">F70*P70</f>
        <v>0</v>
      </c>
      <c r="R70">
        <f t="shared" ref="R70" si="327">R71+Q70</f>
        <v>-215460320.37936297</v>
      </c>
      <c r="S70">
        <f t="shared" ref="S70" si="328">R70/100000</f>
        <v>-2154.6032037936297</v>
      </c>
      <c r="T70">
        <f t="shared" ref="T70" si="329">S70/1000</f>
        <v>-2.1546032037936298</v>
      </c>
    </row>
    <row r="71" spans="1:20" x14ac:dyDescent="0.25">
      <c r="A71" s="5">
        <v>44513</v>
      </c>
      <c r="B71">
        <v>0.56489999999999996</v>
      </c>
      <c r="C71">
        <v>0.56489999999999996</v>
      </c>
      <c r="D71">
        <v>0.56489999999999996</v>
      </c>
      <c r="E71">
        <v>0.56489999999999996</v>
      </c>
      <c r="F71">
        <v>0</v>
      </c>
      <c r="G71">
        <v>0.56489999999999996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0</v>
      </c>
      <c r="Q71">
        <f t="shared" ref="Q71" si="331">F71*P71</f>
        <v>0</v>
      </c>
      <c r="R71">
        <f t="shared" ref="R71" si="332">R72+Q71</f>
        <v>-215460320.37936297</v>
      </c>
      <c r="S71">
        <f t="shared" ref="S71" si="333">R71/100000</f>
        <v>-2154.6032037936297</v>
      </c>
      <c r="T71">
        <f t="shared" ref="T71" si="334">S71/1000</f>
        <v>-2.1546032037936298</v>
      </c>
    </row>
    <row r="72" spans="1:20" x14ac:dyDescent="0.25">
      <c r="A72" s="5">
        <v>44512</v>
      </c>
      <c r="B72">
        <v>0.56489999999999996</v>
      </c>
      <c r="C72">
        <v>0.56489999999999996</v>
      </c>
      <c r="D72">
        <v>0.56489999999999996</v>
      </c>
      <c r="E72">
        <v>0.56489999999999996</v>
      </c>
      <c r="F72">
        <v>0</v>
      </c>
      <c r="G72">
        <v>0.56489999999999996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0</v>
      </c>
      <c r="Q72">
        <f t="shared" ref="Q72" si="336">F72*P72</f>
        <v>0</v>
      </c>
      <c r="R72">
        <f t="shared" ref="R72" si="337">R73+Q72</f>
        <v>-215460320.37936297</v>
      </c>
      <c r="S72">
        <f t="shared" ref="S72" si="338">R72/100000</f>
        <v>-2154.6032037936297</v>
      </c>
      <c r="T72">
        <f t="shared" ref="T72" si="339">S72/1000</f>
        <v>-2.1546032037936298</v>
      </c>
    </row>
    <row r="73" spans="1:20" x14ac:dyDescent="0.25">
      <c r="A73" s="5">
        <v>44511</v>
      </c>
      <c r="B73">
        <v>0.56489999999999996</v>
      </c>
      <c r="C73">
        <v>0.56489999999999996</v>
      </c>
      <c r="D73">
        <v>0.56489999999999996</v>
      </c>
      <c r="E73">
        <v>0.56489999999999996</v>
      </c>
      <c r="F73">
        <v>0</v>
      </c>
      <c r="G73">
        <v>0.56489999999999996</v>
      </c>
      <c r="L73" t="s">
        <v>7</v>
      </c>
      <c r="M73" t="s">
        <v>7</v>
      </c>
      <c r="N73" t="s">
        <v>7</v>
      </c>
      <c r="P73">
        <f t="shared" ref="P73" si="340">IF(C73=D73,0,((E73-D73)-(C73-E73))/(C73-D73))</f>
        <v>0</v>
      </c>
      <c r="Q73">
        <f t="shared" ref="Q73" si="341">F73*P73</f>
        <v>0</v>
      </c>
      <c r="R73">
        <f t="shared" ref="R73" si="342">R74+Q73</f>
        <v>-215460320.37936297</v>
      </c>
      <c r="S73">
        <f t="shared" ref="S73" si="343">R73/100000</f>
        <v>-2154.6032037936297</v>
      </c>
      <c r="T73">
        <f t="shared" ref="T73" si="344">S73/1000</f>
        <v>-2.1546032037936298</v>
      </c>
    </row>
    <row r="74" spans="1:20" x14ac:dyDescent="0.25">
      <c r="A74" s="5">
        <v>44510</v>
      </c>
      <c r="B74">
        <v>0.56489999999999996</v>
      </c>
      <c r="C74">
        <v>0.56489999999999996</v>
      </c>
      <c r="D74">
        <v>0.56489999999999996</v>
      </c>
      <c r="E74">
        <v>0.56489999999999996</v>
      </c>
      <c r="F74">
        <v>0</v>
      </c>
      <c r="G74">
        <v>0.56489999999999996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</v>
      </c>
      <c r="Q74">
        <f t="shared" ref="Q74" si="346">F74*P74</f>
        <v>0</v>
      </c>
      <c r="R74">
        <f t="shared" ref="R74" si="347">R75+Q74</f>
        <v>-215460320.37936297</v>
      </c>
      <c r="S74">
        <f t="shared" ref="S74" si="348">R74/100000</f>
        <v>-2154.6032037936297</v>
      </c>
      <c r="T74">
        <f t="shared" ref="T74" si="349">S74/1000</f>
        <v>-2.1546032037936298</v>
      </c>
    </row>
    <row r="75" spans="1:20" x14ac:dyDescent="0.25">
      <c r="A75" s="5">
        <v>44509</v>
      </c>
      <c r="B75">
        <v>0.56489999999999996</v>
      </c>
      <c r="C75">
        <v>0.56489999999999996</v>
      </c>
      <c r="D75">
        <v>0.56489999999999996</v>
      </c>
      <c r="E75">
        <v>0.56489999999999996</v>
      </c>
      <c r="F75">
        <v>0</v>
      </c>
      <c r="G75">
        <v>0.56489999999999996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0</v>
      </c>
      <c r="Q75">
        <f t="shared" ref="Q75" si="351">F75*P75</f>
        <v>0</v>
      </c>
      <c r="R75">
        <f t="shared" ref="R75" si="352">R76+Q75</f>
        <v>-215460320.37936297</v>
      </c>
      <c r="S75">
        <f t="shared" ref="S75" si="353">R75/100000</f>
        <v>-2154.6032037936297</v>
      </c>
      <c r="T75">
        <f t="shared" ref="T75" si="354">S75/1000</f>
        <v>-2.1546032037936298</v>
      </c>
    </row>
    <row r="76" spans="1:20" x14ac:dyDescent="0.25">
      <c r="A76" s="5">
        <v>44508</v>
      </c>
      <c r="B76">
        <v>0.56489999999999996</v>
      </c>
      <c r="C76">
        <v>0.56489999999999996</v>
      </c>
      <c r="D76">
        <v>0.56489999999999996</v>
      </c>
      <c r="E76">
        <v>0.56489999999999996</v>
      </c>
      <c r="F76">
        <v>0</v>
      </c>
      <c r="G76">
        <v>0.56489999999999996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</v>
      </c>
      <c r="Q76">
        <f t="shared" ref="Q76" si="356">F76*P76</f>
        <v>0</v>
      </c>
      <c r="R76">
        <f t="shared" ref="R76" si="357">R77+Q76</f>
        <v>-215460320.37936297</v>
      </c>
      <c r="S76">
        <f t="shared" ref="S76" si="358">R76/100000</f>
        <v>-2154.6032037936297</v>
      </c>
      <c r="T76">
        <f t="shared" ref="T76" si="359">S76/1000</f>
        <v>-2.1546032037936298</v>
      </c>
    </row>
    <row r="77" spans="1:20" x14ac:dyDescent="0.25">
      <c r="A77" s="5">
        <v>44507</v>
      </c>
      <c r="B77">
        <v>0.56489999999999996</v>
      </c>
      <c r="C77">
        <v>0.56489999999999996</v>
      </c>
      <c r="D77">
        <v>0.56489999999999996</v>
      </c>
      <c r="E77">
        <v>0.56489999999999996</v>
      </c>
      <c r="F77">
        <v>0</v>
      </c>
      <c r="G77">
        <v>0.56489999999999996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</v>
      </c>
      <c r="Q77">
        <f t="shared" ref="Q77" si="361">F77*P77</f>
        <v>0</v>
      </c>
      <c r="R77">
        <f t="shared" ref="R77" si="362">R78+Q77</f>
        <v>-215460320.37936297</v>
      </c>
      <c r="S77">
        <f t="shared" ref="S77" si="363">R77/100000</f>
        <v>-2154.6032037936297</v>
      </c>
      <c r="T77">
        <f t="shared" ref="T77" si="364">S77/1000</f>
        <v>-2.1546032037936298</v>
      </c>
    </row>
    <row r="78" spans="1:20" x14ac:dyDescent="0.25">
      <c r="A78" s="5">
        <v>44506</v>
      </c>
      <c r="B78">
        <v>0.56489999999999996</v>
      </c>
      <c r="C78">
        <v>0.56489999999999996</v>
      </c>
      <c r="D78">
        <v>0.56489999999999996</v>
      </c>
      <c r="E78">
        <v>0.56489999999999996</v>
      </c>
      <c r="F78">
        <v>0</v>
      </c>
      <c r="G78">
        <v>0.56489999999999996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0</v>
      </c>
      <c r="Q78">
        <f t="shared" ref="Q78" si="366">F78*P78</f>
        <v>0</v>
      </c>
      <c r="R78">
        <f t="shared" ref="R78" si="367">R79+Q78</f>
        <v>-215460320.37936297</v>
      </c>
      <c r="S78">
        <f t="shared" ref="S78" si="368">R78/100000</f>
        <v>-2154.6032037936297</v>
      </c>
      <c r="T78">
        <f t="shared" ref="T78" si="369">S78/1000</f>
        <v>-2.1546032037936298</v>
      </c>
    </row>
    <row r="79" spans="1:20" x14ac:dyDescent="0.25">
      <c r="A79" s="5">
        <v>44505</v>
      </c>
      <c r="B79">
        <v>0.56489999999999996</v>
      </c>
      <c r="C79">
        <v>0.56489999999999996</v>
      </c>
      <c r="D79">
        <v>0.56489999999999996</v>
      </c>
      <c r="E79">
        <v>0.56489999999999996</v>
      </c>
      <c r="F79">
        <v>0</v>
      </c>
      <c r="G79">
        <v>0.56489999999999996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</v>
      </c>
      <c r="Q79">
        <f t="shared" ref="Q79" si="371">F79*P79</f>
        <v>0</v>
      </c>
      <c r="R79">
        <f t="shared" ref="R79" si="372">R80+Q79</f>
        <v>-215460320.37936297</v>
      </c>
      <c r="S79">
        <f t="shared" ref="S79" si="373">R79/100000</f>
        <v>-2154.6032037936297</v>
      </c>
      <c r="T79">
        <f t="shared" ref="T79" si="374">S79/1000</f>
        <v>-2.1546032037936298</v>
      </c>
    </row>
    <row r="80" spans="1:20" x14ac:dyDescent="0.25">
      <c r="A80" s="5">
        <v>44504</v>
      </c>
      <c r="B80">
        <v>0.56489999999999996</v>
      </c>
      <c r="C80">
        <v>0.56489999999999996</v>
      </c>
      <c r="D80">
        <v>0.56489999999999996</v>
      </c>
      <c r="E80">
        <v>0.56489999999999996</v>
      </c>
      <c r="F80">
        <v>0</v>
      </c>
      <c r="G80">
        <v>0.56489999999999996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0</v>
      </c>
      <c r="Q80">
        <f t="shared" ref="Q80" si="376">F80*P80</f>
        <v>0</v>
      </c>
      <c r="R80">
        <f t="shared" ref="R80" si="377">R81+Q80</f>
        <v>-215460320.37936297</v>
      </c>
      <c r="S80">
        <f t="shared" ref="S80" si="378">R80/100000</f>
        <v>-2154.6032037936297</v>
      </c>
      <c r="T80">
        <f t="shared" ref="T80" si="379">S80/1000</f>
        <v>-2.1546032037936298</v>
      </c>
    </row>
    <row r="81" spans="1:20" x14ac:dyDescent="0.25">
      <c r="A81" s="5">
        <v>44503</v>
      </c>
      <c r="B81">
        <v>0.56489999999999996</v>
      </c>
      <c r="C81">
        <v>0.56489999999999996</v>
      </c>
      <c r="D81">
        <v>0.56489999999999996</v>
      </c>
      <c r="E81">
        <v>0.56489999999999996</v>
      </c>
      <c r="F81">
        <v>0</v>
      </c>
      <c r="G81">
        <v>0.56489999999999996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</v>
      </c>
      <c r="Q81">
        <f t="shared" ref="Q81" si="381">F81*P81</f>
        <v>0</v>
      </c>
      <c r="R81">
        <f t="shared" ref="R81" si="382">R82+Q81</f>
        <v>-215460320.37936297</v>
      </c>
      <c r="S81">
        <f t="shared" ref="S81" si="383">R81/100000</f>
        <v>-2154.6032037936297</v>
      </c>
      <c r="T81">
        <f t="shared" ref="T81" si="384">S81/1000</f>
        <v>-2.1546032037936298</v>
      </c>
    </row>
    <row r="82" spans="1:20" x14ac:dyDescent="0.25">
      <c r="A82" s="5">
        <v>44502</v>
      </c>
      <c r="B82">
        <v>0.56489999999999996</v>
      </c>
      <c r="C82">
        <v>0.56489999999999996</v>
      </c>
      <c r="D82">
        <v>0.56489999999999996</v>
      </c>
      <c r="E82">
        <v>0.56489999999999996</v>
      </c>
      <c r="F82">
        <v>0</v>
      </c>
      <c r="G82">
        <v>0.56489999999999996</v>
      </c>
      <c r="L82" t="s">
        <v>7</v>
      </c>
      <c r="M82" t="s">
        <v>7</v>
      </c>
      <c r="N82" t="s">
        <v>7</v>
      </c>
      <c r="P82">
        <f t="shared" ref="P82" si="385">IF(C82=D82,0,((E82-D82)-(C82-E82))/(C82-D82))</f>
        <v>0</v>
      </c>
      <c r="Q82">
        <f t="shared" ref="Q82" si="386">F82*P82</f>
        <v>0</v>
      </c>
      <c r="R82">
        <f t="shared" ref="R82" si="387">R83+Q82</f>
        <v>-215460320.37936297</v>
      </c>
      <c r="S82">
        <f t="shared" ref="S82" si="388">R82/100000</f>
        <v>-2154.6032037936297</v>
      </c>
      <c r="T82">
        <f t="shared" ref="T82" si="389">S82/1000</f>
        <v>-2.1546032037936298</v>
      </c>
    </row>
    <row r="83" spans="1:20" x14ac:dyDescent="0.25">
      <c r="A83" s="5">
        <v>44501</v>
      </c>
      <c r="B83">
        <v>0.56489999999999996</v>
      </c>
      <c r="C83">
        <v>0.56489999999999996</v>
      </c>
      <c r="D83">
        <v>0.56489999999999996</v>
      </c>
      <c r="E83">
        <v>0.56489999999999996</v>
      </c>
      <c r="F83">
        <v>0</v>
      </c>
      <c r="G83">
        <v>0.56489999999999996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0</v>
      </c>
      <c r="Q83">
        <f t="shared" ref="Q83" si="391">F83*P83</f>
        <v>0</v>
      </c>
      <c r="R83">
        <f t="shared" ref="R83" si="392">R84+Q83</f>
        <v>-215460320.37936297</v>
      </c>
      <c r="S83">
        <f t="shared" ref="S83" si="393">R83/100000</f>
        <v>-2154.6032037936297</v>
      </c>
      <c r="T83">
        <f t="shared" ref="T83" si="394">S83/1000</f>
        <v>-2.1546032037936298</v>
      </c>
    </row>
    <row r="84" spans="1:20" x14ac:dyDescent="0.25">
      <c r="A84" s="5">
        <v>44500</v>
      </c>
      <c r="B84">
        <v>0.56489999999999996</v>
      </c>
      <c r="C84">
        <v>0.56489999999999996</v>
      </c>
      <c r="D84">
        <v>0.56489999999999996</v>
      </c>
      <c r="E84">
        <v>0.56489999999999996</v>
      </c>
      <c r="F84">
        <v>0</v>
      </c>
      <c r="G84">
        <v>0.56489999999999996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0</v>
      </c>
      <c r="Q84">
        <f t="shared" ref="Q84" si="396">F84*P84</f>
        <v>0</v>
      </c>
      <c r="R84">
        <f t="shared" ref="R84" si="397">R85+Q84</f>
        <v>-215460320.37936297</v>
      </c>
      <c r="S84">
        <f t="shared" ref="S84" si="398">R84/100000</f>
        <v>-2154.6032037936297</v>
      </c>
      <c r="T84">
        <f t="shared" ref="T84" si="399">S84/1000</f>
        <v>-2.1546032037936298</v>
      </c>
    </row>
    <row r="85" spans="1:20" x14ac:dyDescent="0.25">
      <c r="A85" s="5">
        <v>44499</v>
      </c>
      <c r="B85">
        <v>0.56489999999999996</v>
      </c>
      <c r="C85">
        <v>0.56489999999999996</v>
      </c>
      <c r="D85">
        <v>0.56489999999999996</v>
      </c>
      <c r="E85">
        <v>0.56489999999999996</v>
      </c>
      <c r="F85">
        <v>0</v>
      </c>
      <c r="G85">
        <v>0.56489999999999996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0</v>
      </c>
      <c r="Q85">
        <f t="shared" ref="Q85" si="401">F85*P85</f>
        <v>0</v>
      </c>
      <c r="R85">
        <f t="shared" ref="R85" si="402">R86+Q85</f>
        <v>-215460320.37936297</v>
      </c>
      <c r="S85">
        <f t="shared" ref="S85" si="403">R85/100000</f>
        <v>-2154.6032037936297</v>
      </c>
      <c r="T85">
        <f t="shared" ref="T85" si="404">S85/1000</f>
        <v>-2.1546032037936298</v>
      </c>
    </row>
    <row r="86" spans="1:20" x14ac:dyDescent="0.25">
      <c r="A86" s="5">
        <v>44498</v>
      </c>
      <c r="B86">
        <v>0.56489999999999996</v>
      </c>
      <c r="C86">
        <v>0.56489999999999996</v>
      </c>
      <c r="D86">
        <v>0.56489999999999996</v>
      </c>
      <c r="E86">
        <v>0.56489999999999996</v>
      </c>
      <c r="F86">
        <v>0</v>
      </c>
      <c r="G86">
        <v>0.56489999999999996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0</v>
      </c>
      <c r="Q86">
        <f t="shared" ref="Q86" si="406">F86*P86</f>
        <v>0</v>
      </c>
      <c r="R86">
        <f t="shared" ref="R86" si="407">R87+Q86</f>
        <v>-215460320.37936297</v>
      </c>
      <c r="S86">
        <f t="shared" ref="S86" si="408">R86/100000</f>
        <v>-2154.6032037936297</v>
      </c>
      <c r="T86">
        <f t="shared" ref="T86" si="409">S86/1000</f>
        <v>-2.1546032037936298</v>
      </c>
    </row>
    <row r="87" spans="1:20" x14ac:dyDescent="0.25">
      <c r="A87" s="5">
        <v>44497</v>
      </c>
      <c r="B87">
        <v>0.56489999999999996</v>
      </c>
      <c r="C87">
        <v>0.56489999999999996</v>
      </c>
      <c r="D87">
        <v>0.56489999999999996</v>
      </c>
      <c r="E87">
        <v>0.56489999999999996</v>
      </c>
      <c r="F87">
        <v>0</v>
      </c>
      <c r="G87">
        <v>0.56489999999999996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</v>
      </c>
      <c r="Q87">
        <f t="shared" ref="Q87" si="411">F87*P87</f>
        <v>0</v>
      </c>
      <c r="R87">
        <f t="shared" ref="R87" si="412">R88+Q87</f>
        <v>-215460320.37936297</v>
      </c>
      <c r="S87">
        <f t="shared" ref="S87" si="413">R87/100000</f>
        <v>-2154.6032037936297</v>
      </c>
      <c r="T87">
        <f t="shared" ref="T87" si="414">S87/1000</f>
        <v>-2.1546032037936298</v>
      </c>
    </row>
    <row r="88" spans="1:20" x14ac:dyDescent="0.25">
      <c r="A88" s="5">
        <v>44496</v>
      </c>
      <c r="B88">
        <v>0.56489999999999996</v>
      </c>
      <c r="C88">
        <v>0.56489999999999996</v>
      </c>
      <c r="D88">
        <v>0.56489999999999996</v>
      </c>
      <c r="E88">
        <v>0.56489999999999996</v>
      </c>
      <c r="F88">
        <v>0</v>
      </c>
      <c r="G88">
        <v>0.56489999999999996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0</v>
      </c>
      <c r="Q88">
        <f t="shared" ref="Q88" si="416">F88*P88</f>
        <v>0</v>
      </c>
      <c r="R88">
        <f t="shared" ref="R88" si="417">R89+Q88</f>
        <v>-215460320.37936297</v>
      </c>
      <c r="S88">
        <f t="shared" ref="S88" si="418">R88/100000</f>
        <v>-2154.6032037936297</v>
      </c>
      <c r="T88">
        <f t="shared" ref="T88" si="419">S88/1000</f>
        <v>-2.1546032037936298</v>
      </c>
    </row>
    <row r="89" spans="1:20" x14ac:dyDescent="0.25">
      <c r="A89" s="5">
        <v>44495</v>
      </c>
      <c r="B89">
        <v>0.56489999999999996</v>
      </c>
      <c r="C89">
        <v>0.56489999999999996</v>
      </c>
      <c r="D89">
        <v>0.56489999999999996</v>
      </c>
      <c r="E89">
        <v>0.56489999999999996</v>
      </c>
      <c r="F89">
        <v>0</v>
      </c>
      <c r="G89">
        <v>0.56489999999999996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0</v>
      </c>
      <c r="Q89">
        <f t="shared" ref="Q89" si="421">F89*P89</f>
        <v>0</v>
      </c>
      <c r="R89">
        <f t="shared" ref="R89" si="422">R90+Q89</f>
        <v>-215460320.37936297</v>
      </c>
      <c r="S89">
        <f t="shared" ref="S89" si="423">R89/100000</f>
        <v>-2154.6032037936297</v>
      </c>
      <c r="T89">
        <f t="shared" ref="T89" si="424">S89/1000</f>
        <v>-2.1546032037936298</v>
      </c>
    </row>
    <row r="90" spans="1:20" x14ac:dyDescent="0.25">
      <c r="A90" s="5">
        <v>44494</v>
      </c>
      <c r="B90">
        <v>0.56489999999999996</v>
      </c>
      <c r="C90">
        <v>0.56489999999999996</v>
      </c>
      <c r="D90">
        <v>0.56489999999999996</v>
      </c>
      <c r="E90">
        <v>0.56489999999999996</v>
      </c>
      <c r="F90">
        <v>0</v>
      </c>
      <c r="G90">
        <v>0.56489999999999996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0</v>
      </c>
      <c r="Q90">
        <f t="shared" ref="Q90" si="426">F90*P90</f>
        <v>0</v>
      </c>
      <c r="R90">
        <f t="shared" ref="R90" si="427">R91+Q90</f>
        <v>-215460320.37936297</v>
      </c>
      <c r="S90">
        <f t="shared" ref="S90" si="428">R90/100000</f>
        <v>-2154.6032037936297</v>
      </c>
      <c r="T90">
        <f t="shared" ref="T90" si="429">S90/1000</f>
        <v>-2.1546032037936298</v>
      </c>
    </row>
    <row r="91" spans="1:20" x14ac:dyDescent="0.25">
      <c r="A91" s="5">
        <v>44493</v>
      </c>
      <c r="B91">
        <v>0.56489999999999996</v>
      </c>
      <c r="C91">
        <v>0.56489999999999996</v>
      </c>
      <c r="D91">
        <v>0.56489999999999996</v>
      </c>
      <c r="E91">
        <v>0.56489999999999996</v>
      </c>
      <c r="F91">
        <v>0</v>
      </c>
      <c r="G91">
        <v>0.56489999999999996</v>
      </c>
      <c r="L91" t="s">
        <v>7</v>
      </c>
      <c r="M91" t="s">
        <v>7</v>
      </c>
      <c r="N91" t="s">
        <v>7</v>
      </c>
      <c r="P91">
        <f t="shared" ref="P91" si="430">IF(C91=D91,0,((E91-D91)-(C91-E91))/(C91-D91))</f>
        <v>0</v>
      </c>
      <c r="Q91">
        <f t="shared" ref="Q91" si="431">F91*P91</f>
        <v>0</v>
      </c>
      <c r="R91">
        <f t="shared" ref="R91" si="432">R92+Q91</f>
        <v>-215460320.37936297</v>
      </c>
      <c r="S91">
        <f t="shared" ref="S91" si="433">R91/100000</f>
        <v>-2154.6032037936297</v>
      </c>
      <c r="T91">
        <f t="shared" ref="T91" si="434">S91/1000</f>
        <v>-2.1546032037936298</v>
      </c>
    </row>
    <row r="92" spans="1:20" x14ac:dyDescent="0.25">
      <c r="A92" s="5">
        <v>44492</v>
      </c>
      <c r="B92">
        <v>0.56489999999999996</v>
      </c>
      <c r="C92">
        <v>0.56489999999999996</v>
      </c>
      <c r="D92">
        <v>0.56489999999999996</v>
      </c>
      <c r="E92">
        <v>0.56489999999999996</v>
      </c>
      <c r="F92">
        <v>0</v>
      </c>
      <c r="G92">
        <v>0.56489999999999996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</v>
      </c>
      <c r="Q92">
        <f t="shared" ref="Q92" si="436">F92*P92</f>
        <v>0</v>
      </c>
      <c r="R92">
        <f t="shared" ref="R92" si="437">R93+Q92</f>
        <v>-215460320.37936297</v>
      </c>
      <c r="S92">
        <f t="shared" ref="S92" si="438">R92/100000</f>
        <v>-2154.6032037936297</v>
      </c>
      <c r="T92">
        <f t="shared" ref="T92" si="439">S92/1000</f>
        <v>-2.1546032037936298</v>
      </c>
    </row>
    <row r="93" spans="1:20" x14ac:dyDescent="0.25">
      <c r="A93" s="5">
        <v>44491</v>
      </c>
      <c r="B93">
        <v>0.56489999999999996</v>
      </c>
      <c r="C93">
        <v>0.56489999999999996</v>
      </c>
      <c r="D93">
        <v>0.56489999999999996</v>
      </c>
      <c r="E93">
        <v>0.56489999999999996</v>
      </c>
      <c r="F93">
        <v>0</v>
      </c>
      <c r="G93">
        <v>0.56489999999999996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0</v>
      </c>
      <c r="Q93">
        <f t="shared" ref="Q93" si="441">F93*P93</f>
        <v>0</v>
      </c>
      <c r="R93">
        <f t="shared" ref="R93" si="442">R94+Q93</f>
        <v>-215460320.37936297</v>
      </c>
      <c r="S93">
        <f t="shared" ref="S93" si="443">R93/100000</f>
        <v>-2154.6032037936297</v>
      </c>
      <c r="T93">
        <f t="shared" ref="T93" si="444">S93/1000</f>
        <v>-2.1546032037936298</v>
      </c>
    </row>
    <row r="94" spans="1:20" x14ac:dyDescent="0.25">
      <c r="A94" s="5">
        <v>44490</v>
      </c>
      <c r="B94">
        <v>0.56489999999999996</v>
      </c>
      <c r="C94">
        <v>0.56489999999999996</v>
      </c>
      <c r="D94">
        <v>0.56489999999999996</v>
      </c>
      <c r="E94">
        <v>0.56489999999999996</v>
      </c>
      <c r="F94">
        <v>0</v>
      </c>
      <c r="G94">
        <v>0.56489999999999996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0</v>
      </c>
      <c r="Q94">
        <f t="shared" ref="Q94" si="446">F94*P94</f>
        <v>0</v>
      </c>
      <c r="R94">
        <f t="shared" ref="R94" si="447">R95+Q94</f>
        <v>-215460320.37936297</v>
      </c>
      <c r="S94">
        <f t="shared" ref="S94" si="448">R94/100000</f>
        <v>-2154.6032037936297</v>
      </c>
      <c r="T94">
        <f t="shared" ref="T94" si="449">S94/1000</f>
        <v>-2.1546032037936298</v>
      </c>
    </row>
    <row r="95" spans="1:20" x14ac:dyDescent="0.25">
      <c r="A95" s="5">
        <v>44489</v>
      </c>
      <c r="B95">
        <v>0.56489999999999996</v>
      </c>
      <c r="C95">
        <v>0.56489999999999996</v>
      </c>
      <c r="D95">
        <v>0.56489999999999996</v>
      </c>
      <c r="E95">
        <v>0.56489999999999996</v>
      </c>
      <c r="F95">
        <v>0</v>
      </c>
      <c r="G95">
        <v>0.56489999999999996</v>
      </c>
      <c r="L95" t="s">
        <v>7</v>
      </c>
      <c r="M95" t="s">
        <v>7</v>
      </c>
      <c r="N95" t="s">
        <v>7</v>
      </c>
      <c r="P95">
        <f t="shared" ref="P95" si="450">IF(C95=D95,0,((E95-D95)-(C95-E95))/(C95-D95))</f>
        <v>0</v>
      </c>
      <c r="Q95">
        <f t="shared" ref="Q95" si="451">F95*P95</f>
        <v>0</v>
      </c>
      <c r="R95">
        <f t="shared" ref="R95" si="452">R96+Q95</f>
        <v>-215460320.37936297</v>
      </c>
      <c r="S95">
        <f t="shared" ref="S95" si="453">R95/100000</f>
        <v>-2154.6032037936297</v>
      </c>
      <c r="T95">
        <f t="shared" ref="T95" si="454">S95/1000</f>
        <v>-2.1546032037936298</v>
      </c>
    </row>
    <row r="96" spans="1:20" x14ac:dyDescent="0.25">
      <c r="A96" s="5">
        <v>44488</v>
      </c>
      <c r="B96">
        <v>0.56489999999999996</v>
      </c>
      <c r="C96">
        <v>0.56489999999999996</v>
      </c>
      <c r="D96">
        <v>0.56489999999999996</v>
      </c>
      <c r="E96">
        <v>0.56489999999999996</v>
      </c>
      <c r="F96">
        <v>0</v>
      </c>
      <c r="G96">
        <v>0.56489999999999996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</v>
      </c>
      <c r="Q96">
        <f t="shared" ref="Q96" si="456">F96*P96</f>
        <v>0</v>
      </c>
      <c r="R96">
        <f t="shared" ref="R96" si="457">R97+Q96</f>
        <v>-215460320.37936297</v>
      </c>
      <c r="S96">
        <f t="shared" ref="S96" si="458">R96/100000</f>
        <v>-2154.6032037936297</v>
      </c>
      <c r="T96">
        <f t="shared" ref="T96" si="459">S96/1000</f>
        <v>-2.1546032037936298</v>
      </c>
    </row>
    <row r="97" spans="1:20" x14ac:dyDescent="0.25">
      <c r="A97" s="5">
        <v>44487</v>
      </c>
      <c r="B97">
        <v>0.56489999999999996</v>
      </c>
      <c r="C97">
        <v>0.56489999999999996</v>
      </c>
      <c r="D97">
        <v>0.56489999999999996</v>
      </c>
      <c r="E97">
        <v>0.56489999999999996</v>
      </c>
      <c r="F97">
        <v>0</v>
      </c>
      <c r="G97">
        <v>0.56489999999999996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0</v>
      </c>
      <c r="Q97">
        <f t="shared" ref="Q97" si="461">F97*P97</f>
        <v>0</v>
      </c>
      <c r="R97">
        <f t="shared" ref="R97" si="462">R98+Q97</f>
        <v>-215460320.37936297</v>
      </c>
      <c r="S97">
        <f t="shared" ref="S97" si="463">R97/100000</f>
        <v>-2154.6032037936297</v>
      </c>
      <c r="T97">
        <f t="shared" ref="T97" si="464">S97/1000</f>
        <v>-2.1546032037936298</v>
      </c>
    </row>
    <row r="98" spans="1:20" x14ac:dyDescent="0.25">
      <c r="A98" s="5">
        <v>44486</v>
      </c>
      <c r="B98">
        <v>0.56489999999999996</v>
      </c>
      <c r="C98">
        <v>0.56489999999999996</v>
      </c>
      <c r="D98">
        <v>0.56489999999999996</v>
      </c>
      <c r="E98">
        <v>0.56489999999999996</v>
      </c>
      <c r="F98">
        <v>0</v>
      </c>
      <c r="G98">
        <v>0.56489999999999996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0</v>
      </c>
      <c r="Q98">
        <f t="shared" ref="Q98" si="466">F98*P98</f>
        <v>0</v>
      </c>
      <c r="R98">
        <f t="shared" ref="R98" si="467">R99+Q98</f>
        <v>-215460320.37936297</v>
      </c>
      <c r="S98">
        <f t="shared" ref="S98" si="468">R98/100000</f>
        <v>-2154.6032037936297</v>
      </c>
      <c r="T98">
        <f t="shared" ref="T98" si="469">S98/1000</f>
        <v>-2.1546032037936298</v>
      </c>
    </row>
    <row r="99" spans="1:20" x14ac:dyDescent="0.25">
      <c r="A99" s="5">
        <v>44485</v>
      </c>
      <c r="B99">
        <v>0.56489999999999996</v>
      </c>
      <c r="C99">
        <v>0.56489999999999996</v>
      </c>
      <c r="D99">
        <v>0.56489999999999996</v>
      </c>
      <c r="E99">
        <v>0.56489999999999996</v>
      </c>
      <c r="F99">
        <v>0</v>
      </c>
      <c r="G99">
        <v>0.56489999999999996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</v>
      </c>
      <c r="Q99">
        <f t="shared" ref="Q99" si="471">F99*P99</f>
        <v>0</v>
      </c>
      <c r="R99">
        <f t="shared" ref="R99" si="472">R100+Q99</f>
        <v>-215460320.37936297</v>
      </c>
      <c r="S99">
        <f t="shared" ref="S99" si="473">R99/100000</f>
        <v>-2154.6032037936297</v>
      </c>
      <c r="T99">
        <f t="shared" ref="T99" si="474">S99/1000</f>
        <v>-2.1546032037936298</v>
      </c>
    </row>
    <row r="100" spans="1:20" x14ac:dyDescent="0.25">
      <c r="A100" s="5">
        <v>44484</v>
      </c>
      <c r="B100">
        <v>0.56489999999999996</v>
      </c>
      <c r="C100">
        <v>0.56489999999999996</v>
      </c>
      <c r="D100">
        <v>0.56489999999999996</v>
      </c>
      <c r="E100">
        <v>0.56489999999999996</v>
      </c>
      <c r="F100">
        <v>0</v>
      </c>
      <c r="G100">
        <v>0.56489999999999996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0</v>
      </c>
      <c r="Q100">
        <f t="shared" ref="Q100" si="476">F100*P100</f>
        <v>0</v>
      </c>
      <c r="R100">
        <f t="shared" ref="R100" si="477">R101+Q100</f>
        <v>-215460320.37936297</v>
      </c>
      <c r="S100">
        <f t="shared" ref="S100" si="478">R100/100000</f>
        <v>-2154.6032037936297</v>
      </c>
      <c r="T100">
        <f t="shared" ref="T100" si="479">S100/1000</f>
        <v>-2.1546032037936298</v>
      </c>
    </row>
    <row r="101" spans="1:20" x14ac:dyDescent="0.25">
      <c r="A101" s="5">
        <v>44483</v>
      </c>
      <c r="B101">
        <v>0.56489999999999996</v>
      </c>
      <c r="C101">
        <v>0.56489999999999996</v>
      </c>
      <c r="D101">
        <v>0.56489999999999996</v>
      </c>
      <c r="E101">
        <v>0.56489999999999996</v>
      </c>
      <c r="F101">
        <v>0</v>
      </c>
      <c r="G101">
        <v>0.56489999999999996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0</v>
      </c>
      <c r="Q101">
        <f t="shared" ref="Q101" si="481">F101*P101</f>
        <v>0</v>
      </c>
      <c r="R101">
        <f t="shared" ref="R101" si="482">R102+Q101</f>
        <v>-215460320.37936297</v>
      </c>
      <c r="S101">
        <f t="shared" ref="S101" si="483">R101/100000</f>
        <v>-2154.6032037936297</v>
      </c>
      <c r="T101">
        <f t="shared" ref="T101" si="484">S101/1000</f>
        <v>-2.1546032037936298</v>
      </c>
    </row>
    <row r="102" spans="1:20" x14ac:dyDescent="0.25">
      <c r="A102" s="5">
        <v>44482</v>
      </c>
      <c r="B102">
        <v>0.56489999999999996</v>
      </c>
      <c r="C102">
        <v>0.56489999999999996</v>
      </c>
      <c r="D102">
        <v>0.56489999999999996</v>
      </c>
      <c r="E102">
        <v>0.56489999999999996</v>
      </c>
      <c r="F102">
        <v>0</v>
      </c>
      <c r="G102">
        <v>0.56489999999999996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0</v>
      </c>
      <c r="Q102">
        <f t="shared" ref="Q102" si="486">F102*P102</f>
        <v>0</v>
      </c>
      <c r="R102">
        <f t="shared" ref="R102" si="487">R103+Q102</f>
        <v>-215460320.37936297</v>
      </c>
      <c r="S102">
        <f t="shared" ref="S102" si="488">R102/100000</f>
        <v>-2154.6032037936297</v>
      </c>
      <c r="T102">
        <f t="shared" ref="T102" si="489">S102/1000</f>
        <v>-2.1546032037936298</v>
      </c>
    </row>
    <row r="103" spans="1:20" x14ac:dyDescent="0.25">
      <c r="A103" s="5">
        <v>44481</v>
      </c>
      <c r="B103">
        <v>0.56489999999999996</v>
      </c>
      <c r="C103">
        <v>0.56489999999999996</v>
      </c>
      <c r="D103">
        <v>0.56489999999999996</v>
      </c>
      <c r="E103">
        <v>0.56489999999999996</v>
      </c>
      <c r="F103">
        <v>0</v>
      </c>
      <c r="G103">
        <v>0.56489999999999996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0</v>
      </c>
      <c r="Q103">
        <f t="shared" ref="Q103" si="491">F103*P103</f>
        <v>0</v>
      </c>
      <c r="R103">
        <f t="shared" ref="R103" si="492">R104+Q103</f>
        <v>-215460320.37936297</v>
      </c>
      <c r="S103">
        <f t="shared" ref="S103" si="493">R103/100000</f>
        <v>-2154.6032037936297</v>
      </c>
      <c r="T103">
        <f t="shared" ref="T103" si="494">S103/1000</f>
        <v>-2.1546032037936298</v>
      </c>
    </row>
    <row r="104" spans="1:20" x14ac:dyDescent="0.25">
      <c r="A104" s="5">
        <v>44480</v>
      </c>
      <c r="B104">
        <v>0.56489999999999996</v>
      </c>
      <c r="C104">
        <v>0.56489999999999996</v>
      </c>
      <c r="D104">
        <v>0.56489999999999996</v>
      </c>
      <c r="E104">
        <v>0.56489999999999996</v>
      </c>
      <c r="F104">
        <v>0</v>
      </c>
      <c r="G104">
        <v>0.56489999999999996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</v>
      </c>
      <c r="Q104">
        <f t="shared" ref="Q104" si="496">F104*P104</f>
        <v>0</v>
      </c>
      <c r="R104">
        <f t="shared" ref="R104" si="497">R105+Q104</f>
        <v>-215460320.37936297</v>
      </c>
      <c r="S104">
        <f t="shared" ref="S104" si="498">R104/100000</f>
        <v>-2154.6032037936297</v>
      </c>
      <c r="T104">
        <f t="shared" ref="T104" si="499">S104/1000</f>
        <v>-2.1546032037936298</v>
      </c>
    </row>
    <row r="105" spans="1:20" x14ac:dyDescent="0.25">
      <c r="A105" s="5">
        <v>44479</v>
      </c>
      <c r="B105">
        <v>0.56489999999999996</v>
      </c>
      <c r="C105">
        <v>0.56489999999999996</v>
      </c>
      <c r="D105">
        <v>0.56489999999999996</v>
      </c>
      <c r="E105">
        <v>0.56489999999999996</v>
      </c>
      <c r="F105">
        <v>0</v>
      </c>
      <c r="G105">
        <v>0.56489999999999996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0</v>
      </c>
      <c r="Q105">
        <f t="shared" ref="Q105" si="501">F105*P105</f>
        <v>0</v>
      </c>
      <c r="R105">
        <f t="shared" ref="R105" si="502">R106+Q105</f>
        <v>-215460320.37936297</v>
      </c>
      <c r="S105">
        <f t="shared" ref="S105" si="503">R105/100000</f>
        <v>-2154.6032037936297</v>
      </c>
      <c r="T105">
        <f t="shared" ref="T105" si="504">S105/1000</f>
        <v>-2.1546032037936298</v>
      </c>
    </row>
    <row r="106" spans="1:20" x14ac:dyDescent="0.25">
      <c r="A106" s="5">
        <v>44478</v>
      </c>
      <c r="B106">
        <v>0.56489999999999996</v>
      </c>
      <c r="C106">
        <v>0.56489999999999996</v>
      </c>
      <c r="D106">
        <v>0.56489999999999996</v>
      </c>
      <c r="E106">
        <v>0.56489999999999996</v>
      </c>
      <c r="F106">
        <v>0</v>
      </c>
      <c r="G106">
        <v>0.56489999999999996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0</v>
      </c>
      <c r="Q106">
        <f t="shared" ref="Q106" si="506">F106*P106</f>
        <v>0</v>
      </c>
      <c r="R106">
        <f t="shared" ref="R106" si="507">R107+Q106</f>
        <v>-215460320.37936297</v>
      </c>
      <c r="S106">
        <f t="shared" ref="S106" si="508">R106/100000</f>
        <v>-2154.6032037936297</v>
      </c>
      <c r="T106">
        <f t="shared" ref="T106" si="509">S106/1000</f>
        <v>-2.1546032037936298</v>
      </c>
    </row>
    <row r="107" spans="1:20" x14ac:dyDescent="0.25">
      <c r="A107" s="5">
        <v>44477</v>
      </c>
      <c r="B107">
        <v>0.56489999999999996</v>
      </c>
      <c r="C107">
        <v>0.56489999999999996</v>
      </c>
      <c r="D107">
        <v>0.56489999999999996</v>
      </c>
      <c r="E107">
        <v>0.56489999999999996</v>
      </c>
      <c r="F107">
        <v>0</v>
      </c>
      <c r="G107">
        <v>0.56489999999999996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0</v>
      </c>
      <c r="Q107">
        <f t="shared" ref="Q107" si="511">F107*P107</f>
        <v>0</v>
      </c>
      <c r="R107">
        <f t="shared" ref="R107" si="512">R108+Q107</f>
        <v>-215460320.37936297</v>
      </c>
      <c r="S107">
        <f t="shared" ref="S107" si="513">R107/100000</f>
        <v>-2154.6032037936297</v>
      </c>
      <c r="T107">
        <f t="shared" ref="T107" si="514">S107/1000</f>
        <v>-2.1546032037936298</v>
      </c>
    </row>
    <row r="108" spans="1:20" x14ac:dyDescent="0.25">
      <c r="A108" s="5">
        <v>44476</v>
      </c>
      <c r="B108">
        <v>0.56489999999999996</v>
      </c>
      <c r="C108">
        <v>0.56489999999999996</v>
      </c>
      <c r="D108">
        <v>0.56489999999999996</v>
      </c>
      <c r="E108">
        <v>0.56489999999999996</v>
      </c>
      <c r="F108">
        <v>0</v>
      </c>
      <c r="G108">
        <v>0.56489999999999996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0</v>
      </c>
      <c r="Q108">
        <f t="shared" ref="Q108" si="516">F108*P108</f>
        <v>0</v>
      </c>
      <c r="R108">
        <f t="shared" ref="R108" si="517">R109+Q108</f>
        <v>-215460320.37936297</v>
      </c>
      <c r="S108">
        <f t="shared" ref="S108" si="518">R108/100000</f>
        <v>-2154.6032037936297</v>
      </c>
      <c r="T108">
        <f t="shared" ref="T108" si="519">S108/1000</f>
        <v>-2.1546032037936298</v>
      </c>
    </row>
    <row r="109" spans="1:20" x14ac:dyDescent="0.25">
      <c r="A109" s="5">
        <v>44475</v>
      </c>
      <c r="B109">
        <v>0.56489999999999996</v>
      </c>
      <c r="C109">
        <v>0.56489999999999996</v>
      </c>
      <c r="D109">
        <v>0.56489999999999996</v>
      </c>
      <c r="E109">
        <v>0.56489999999999996</v>
      </c>
      <c r="F109">
        <v>0</v>
      </c>
      <c r="G109">
        <v>0.56489999999999996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0</v>
      </c>
      <c r="Q109">
        <f t="shared" ref="Q109" si="521">F109*P109</f>
        <v>0</v>
      </c>
      <c r="R109">
        <f t="shared" ref="R109" si="522">R110+Q109</f>
        <v>-215460320.37936297</v>
      </c>
      <c r="S109">
        <f t="shared" ref="S109" si="523">R109/100000</f>
        <v>-2154.6032037936297</v>
      </c>
      <c r="T109">
        <f t="shared" ref="T109" si="524">S109/1000</f>
        <v>-2.1546032037936298</v>
      </c>
    </row>
    <row r="110" spans="1:20" x14ac:dyDescent="0.25">
      <c r="A110" s="5">
        <v>44474</v>
      </c>
      <c r="B110">
        <v>0.56489999999999996</v>
      </c>
      <c r="C110">
        <v>0.56489999999999996</v>
      </c>
      <c r="D110">
        <v>0.56489999999999996</v>
      </c>
      <c r="E110">
        <v>0.56489999999999996</v>
      </c>
      <c r="F110">
        <v>0</v>
      </c>
      <c r="G110">
        <v>0.56489999999999996</v>
      </c>
      <c r="L110" t="s">
        <v>7</v>
      </c>
      <c r="M110" t="s">
        <v>7</v>
      </c>
      <c r="N110" t="s">
        <v>7</v>
      </c>
      <c r="P110">
        <f t="shared" ref="P110" si="525">IF(C110=D110,0,((E110-D110)-(C110-E110))/(C110-D110))</f>
        <v>0</v>
      </c>
      <c r="Q110">
        <f t="shared" ref="Q110" si="526">F110*P110</f>
        <v>0</v>
      </c>
      <c r="R110">
        <f t="shared" ref="R110" si="527">R111+Q110</f>
        <v>-215460320.37936297</v>
      </c>
      <c r="S110">
        <f t="shared" ref="S110" si="528">R110/100000</f>
        <v>-2154.6032037936297</v>
      </c>
      <c r="T110">
        <f t="shared" ref="T110" si="529">S110/1000</f>
        <v>-2.1546032037936298</v>
      </c>
    </row>
    <row r="111" spans="1:20" x14ac:dyDescent="0.25">
      <c r="A111" s="5">
        <v>44473</v>
      </c>
      <c r="B111">
        <v>0.56489999999999996</v>
      </c>
      <c r="C111">
        <v>0.56489999999999996</v>
      </c>
      <c r="D111">
        <v>0.56489999999999996</v>
      </c>
      <c r="E111">
        <v>0.56489999999999996</v>
      </c>
      <c r="F111">
        <v>0</v>
      </c>
      <c r="G111">
        <v>0.56489999999999996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</v>
      </c>
      <c r="Q111">
        <f t="shared" ref="Q111" si="531">F111*P111</f>
        <v>0</v>
      </c>
      <c r="R111">
        <f t="shared" ref="R111" si="532">R112+Q111</f>
        <v>-215460320.37936297</v>
      </c>
      <c r="S111">
        <f t="shared" ref="S111" si="533">R111/100000</f>
        <v>-2154.6032037936297</v>
      </c>
      <c r="T111">
        <f t="shared" ref="T111" si="534">S111/1000</f>
        <v>-2.1546032037936298</v>
      </c>
    </row>
    <row r="112" spans="1:20" x14ac:dyDescent="0.25">
      <c r="A112" s="5">
        <v>44472</v>
      </c>
      <c r="B112">
        <v>0.56489999999999996</v>
      </c>
      <c r="C112">
        <v>0.56489999999999996</v>
      </c>
      <c r="D112">
        <v>0.56489999999999996</v>
      </c>
      <c r="E112">
        <v>0.56489999999999996</v>
      </c>
      <c r="F112">
        <v>0</v>
      </c>
      <c r="G112">
        <v>0.56489999999999996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</v>
      </c>
      <c r="Q112">
        <f t="shared" ref="Q112" si="536">F112*P112</f>
        <v>0</v>
      </c>
      <c r="R112">
        <f t="shared" ref="R112" si="537">R113+Q112</f>
        <v>-215460320.37936297</v>
      </c>
      <c r="S112">
        <f t="shared" ref="S112" si="538">R112/100000</f>
        <v>-2154.6032037936297</v>
      </c>
      <c r="T112">
        <f t="shared" ref="T112" si="539">S112/1000</f>
        <v>-2.1546032037936298</v>
      </c>
    </row>
    <row r="113" spans="1:20" x14ac:dyDescent="0.25">
      <c r="A113" s="5">
        <v>44471</v>
      </c>
      <c r="B113">
        <v>0.56489999999999996</v>
      </c>
      <c r="C113">
        <v>0.56489999999999996</v>
      </c>
      <c r="D113">
        <v>0.56489999999999996</v>
      </c>
      <c r="E113">
        <v>0.56489999999999996</v>
      </c>
      <c r="F113">
        <v>0</v>
      </c>
      <c r="G113">
        <v>0.56489999999999996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0</v>
      </c>
      <c r="Q113">
        <f t="shared" ref="Q113" si="541">F113*P113</f>
        <v>0</v>
      </c>
      <c r="R113">
        <f t="shared" ref="R113" si="542">R114+Q113</f>
        <v>-215460320.37936297</v>
      </c>
      <c r="S113">
        <f t="shared" ref="S113" si="543">R113/100000</f>
        <v>-2154.6032037936297</v>
      </c>
      <c r="T113">
        <f t="shared" ref="T113" si="544">S113/1000</f>
        <v>-2.1546032037936298</v>
      </c>
    </row>
    <row r="114" spans="1:20" x14ac:dyDescent="0.25">
      <c r="A114" s="5">
        <v>44470</v>
      </c>
      <c r="B114">
        <v>0.56489999999999996</v>
      </c>
      <c r="C114">
        <v>0.56489999999999996</v>
      </c>
      <c r="D114">
        <v>0.56489999999999996</v>
      </c>
      <c r="E114">
        <v>0.56489999999999996</v>
      </c>
      <c r="F114">
        <v>0</v>
      </c>
      <c r="G114">
        <v>0.56489999999999996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0</v>
      </c>
      <c r="Q114">
        <f t="shared" ref="Q114" si="546">F114*P114</f>
        <v>0</v>
      </c>
      <c r="R114">
        <f t="shared" ref="R114" si="547">R115+Q114</f>
        <v>-215460320.37936297</v>
      </c>
      <c r="S114">
        <f t="shared" ref="S114" si="548">R114/100000</f>
        <v>-2154.6032037936297</v>
      </c>
      <c r="T114">
        <f t="shared" ref="T114" si="549">S114/1000</f>
        <v>-2.1546032037936298</v>
      </c>
    </row>
    <row r="115" spans="1:20" x14ac:dyDescent="0.25">
      <c r="A115" s="5">
        <v>44469</v>
      </c>
      <c r="B115">
        <v>0.58709999999999996</v>
      </c>
      <c r="C115">
        <v>0.61870000000000003</v>
      </c>
      <c r="D115">
        <v>0.55779999999999996</v>
      </c>
      <c r="E115">
        <v>0.56489999999999996</v>
      </c>
      <c r="F115">
        <v>2761178</v>
      </c>
      <c r="G115">
        <v>0.56489999999999996</v>
      </c>
      <c r="L115" t="s">
        <v>8</v>
      </c>
      <c r="M115" t="s">
        <v>7</v>
      </c>
      <c r="N115" t="s">
        <v>7</v>
      </c>
      <c r="P115">
        <f t="shared" ref="P115" si="550">IF(C115=D115,0,((E115-D115)-(C115-E115))/(C115-D115))</f>
        <v>-0.76683087027914654</v>
      </c>
      <c r="Q115">
        <f t="shared" ref="Q115" si="551">F115*P115</f>
        <v>-2117356.5287356335</v>
      </c>
      <c r="R115">
        <f t="shared" ref="R115" si="552">R116+Q115</f>
        <v>-215460320.37936297</v>
      </c>
      <c r="S115">
        <f t="shared" ref="S115" si="553">R115/100000</f>
        <v>-2154.6032037936297</v>
      </c>
      <c r="T115">
        <f t="shared" ref="T115" si="554">S115/1000</f>
        <v>-2.1546032037936298</v>
      </c>
    </row>
    <row r="116" spans="1:20" x14ac:dyDescent="0.25">
      <c r="A116" s="5">
        <v>44468</v>
      </c>
      <c r="B116">
        <v>0.61550000000000005</v>
      </c>
      <c r="C116">
        <v>0.64400000000000002</v>
      </c>
      <c r="D116">
        <v>0.5625</v>
      </c>
      <c r="E116">
        <v>0.58799999999999997</v>
      </c>
      <c r="F116">
        <v>8291108</v>
      </c>
      <c r="G116">
        <v>0.58799999999999997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-0.37423312883435678</v>
      </c>
      <c r="Q116">
        <f t="shared" ref="Q116" si="556">F116*P116</f>
        <v>-3102807.288343566</v>
      </c>
      <c r="R116">
        <f t="shared" ref="R116" si="557">R117+Q116</f>
        <v>-213342963.85062733</v>
      </c>
      <c r="S116">
        <f t="shared" ref="S116" si="558">R116/100000</f>
        <v>-2133.4296385062735</v>
      </c>
      <c r="T116">
        <f t="shared" ref="T116" si="559">S116/1000</f>
        <v>-2.1334296385062737</v>
      </c>
    </row>
    <row r="117" spans="1:20" x14ac:dyDescent="0.25">
      <c r="A117" s="5">
        <v>44467</v>
      </c>
      <c r="B117">
        <v>0.64600000000000002</v>
      </c>
      <c r="C117">
        <v>0.67730000000000001</v>
      </c>
      <c r="D117">
        <v>0.61499999999999999</v>
      </c>
      <c r="E117">
        <v>0.61639999999999995</v>
      </c>
      <c r="F117">
        <v>9423956</v>
      </c>
      <c r="G117">
        <v>0.61639999999999995</v>
      </c>
      <c r="L117" t="s">
        <v>7</v>
      </c>
      <c r="M117" t="s">
        <v>7</v>
      </c>
      <c r="N117" t="s">
        <v>8</v>
      </c>
      <c r="P117">
        <f t="shared" ref="P117" si="560">IF(C117=D117,0,((E117-D117)-(C117-E117))/(C117-D117))</f>
        <v>-0.95505617977528234</v>
      </c>
      <c r="Q117">
        <f t="shared" ref="Q117" si="561">F117*P117</f>
        <v>-9000407.4157303516</v>
      </c>
      <c r="R117">
        <f t="shared" ref="R117" si="562">R118+Q117</f>
        <v>-210240156.56228375</v>
      </c>
      <c r="S117">
        <f t="shared" ref="S117" si="563">R117/100000</f>
        <v>-2102.4015656228376</v>
      </c>
      <c r="T117">
        <f t="shared" ref="T117" si="564">S117/1000</f>
        <v>-2.1024015656228374</v>
      </c>
    </row>
    <row r="118" spans="1:20" x14ac:dyDescent="0.25">
      <c r="A118" s="5">
        <v>44466</v>
      </c>
      <c r="B118">
        <v>0.7137</v>
      </c>
      <c r="C118">
        <v>0.80189999999999995</v>
      </c>
      <c r="D118">
        <v>0.63390000000000002</v>
      </c>
      <c r="E118">
        <v>0.64670000000000005</v>
      </c>
      <c r="F118">
        <v>14640973</v>
      </c>
      <c r="G118">
        <v>0.64670000000000005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-0.84761904761904716</v>
      </c>
      <c r="Q118">
        <f t="shared" ref="Q118" si="566">F118*P118</f>
        <v>-12409967.590476183</v>
      </c>
      <c r="R118">
        <f t="shared" ref="R118" si="567">R119+Q118</f>
        <v>-201239749.1465534</v>
      </c>
      <c r="S118">
        <f t="shared" ref="S118" si="568">R118/100000</f>
        <v>-2012.3974914655339</v>
      </c>
      <c r="T118">
        <f t="shared" ref="T118" si="569">S118/1000</f>
        <v>-2.012397491465534</v>
      </c>
    </row>
    <row r="119" spans="1:20" x14ac:dyDescent="0.25">
      <c r="A119" s="5">
        <v>44465</v>
      </c>
      <c r="B119">
        <v>0.67569999999999997</v>
      </c>
      <c r="C119">
        <v>1.1171</v>
      </c>
      <c r="D119">
        <v>0.55730000000000002</v>
      </c>
      <c r="E119">
        <v>0.7137</v>
      </c>
      <c r="F119">
        <v>34434437.142999999</v>
      </c>
      <c r="G119">
        <v>0.7137</v>
      </c>
      <c r="L119" t="s">
        <v>7</v>
      </c>
      <c r="M119" t="s">
        <v>7</v>
      </c>
      <c r="N119" t="s">
        <v>7</v>
      </c>
      <c r="P119">
        <f t="shared" ref="P119" si="570">IF(C119=D119,0,((E119-D119)-(C119-E119))/(C119-D119))</f>
        <v>-0.44122901036084317</v>
      </c>
      <c r="Q119">
        <f t="shared" ref="Q119" si="571">F119*P119</f>
        <v>-15193472.622938549</v>
      </c>
      <c r="R119">
        <f t="shared" ref="R119" si="572">R120+Q119</f>
        <v>-188829781.55607721</v>
      </c>
      <c r="S119">
        <f t="shared" ref="S119" si="573">R119/100000</f>
        <v>-1888.2978155607721</v>
      </c>
      <c r="T119">
        <f t="shared" ref="T119" si="574">S119/1000</f>
        <v>-1.8882978155607721</v>
      </c>
    </row>
    <row r="120" spans="1:20" x14ac:dyDescent="0.25">
      <c r="A120" s="5">
        <v>44464</v>
      </c>
      <c r="B120">
        <v>0.84299999999999997</v>
      </c>
      <c r="C120">
        <v>0.84760000000000002</v>
      </c>
      <c r="D120">
        <v>0.65959999999999996</v>
      </c>
      <c r="E120">
        <v>0.67579999999999996</v>
      </c>
      <c r="F120">
        <v>5772601</v>
      </c>
      <c r="G120">
        <v>0.67579999999999996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-0.82765957446808525</v>
      </c>
      <c r="Q120">
        <f t="shared" ref="Q120" si="576">F120*P120</f>
        <v>-4777748.487234043</v>
      </c>
      <c r="R120">
        <f t="shared" ref="R120" si="577">R121+Q120</f>
        <v>-173636308.93313867</v>
      </c>
      <c r="S120">
        <f t="shared" ref="S120" si="578">R120/100000</f>
        <v>-1736.3630893313866</v>
      </c>
      <c r="T120">
        <f t="shared" ref="T120" si="579">S120/1000</f>
        <v>-1.7363630893313866</v>
      </c>
    </row>
    <row r="121" spans="1:20" x14ac:dyDescent="0.25">
      <c r="A121" s="5">
        <v>44463</v>
      </c>
      <c r="B121">
        <v>1.0156000000000001</v>
      </c>
      <c r="C121">
        <v>1.016</v>
      </c>
      <c r="D121">
        <v>0.7893</v>
      </c>
      <c r="E121">
        <v>0.84299999999999997</v>
      </c>
      <c r="F121">
        <v>9688861.1870000008</v>
      </c>
      <c r="G121">
        <v>0.84299999999999997</v>
      </c>
      <c r="L121" t="s">
        <v>7</v>
      </c>
      <c r="M121" t="s">
        <v>7</v>
      </c>
      <c r="N121" t="s">
        <v>7</v>
      </c>
      <c r="P121">
        <f t="shared" ref="P121" si="580">IF(C121=D121,0,((E121-D121)-(C121-E121))/(C121-D121))</f>
        <v>-0.52624614027348948</v>
      </c>
      <c r="Q121">
        <f t="shared" ref="Q121" si="581">F121*P121</f>
        <v>-5098725.8033043705</v>
      </c>
      <c r="R121">
        <f t="shared" ref="R121" si="582">R122+Q121</f>
        <v>-168858560.44590461</v>
      </c>
      <c r="S121">
        <f t="shared" ref="S121" si="583">R121/100000</f>
        <v>-1688.5856044590462</v>
      </c>
      <c r="T121">
        <f t="shared" ref="T121" si="584">S121/1000</f>
        <v>-1.6885856044590462</v>
      </c>
    </row>
    <row r="122" spans="1:20" x14ac:dyDescent="0.25">
      <c r="A122" s="5">
        <v>44462</v>
      </c>
      <c r="B122">
        <v>1.1456999999999999</v>
      </c>
      <c r="C122">
        <v>1.2619</v>
      </c>
      <c r="D122">
        <v>0.93930000000000002</v>
      </c>
      <c r="E122">
        <v>1.0156000000000001</v>
      </c>
      <c r="F122">
        <v>17585546</v>
      </c>
      <c r="G122">
        <v>1.0156000000000001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-0.52696838189708595</v>
      </c>
      <c r="Q122">
        <f t="shared" ref="Q122" si="586">F122*P122</f>
        <v>-9267026.720396772</v>
      </c>
      <c r="R122">
        <f t="shared" ref="R122" si="587">R123+Q122</f>
        <v>-163759834.64260024</v>
      </c>
      <c r="S122">
        <f t="shared" ref="S122" si="588">R122/100000</f>
        <v>-1637.5983464260023</v>
      </c>
      <c r="T122">
        <f t="shared" ref="T122" si="589">S122/1000</f>
        <v>-1.6375983464260022</v>
      </c>
    </row>
    <row r="123" spans="1:20" x14ac:dyDescent="0.25">
      <c r="A123" s="5">
        <v>44461</v>
      </c>
      <c r="B123">
        <v>1.0647</v>
      </c>
      <c r="C123">
        <v>1.2052</v>
      </c>
      <c r="D123">
        <v>1.0499000000000001</v>
      </c>
      <c r="E123">
        <v>1.1456999999999999</v>
      </c>
      <c r="F123">
        <v>2620852</v>
      </c>
      <c r="G123">
        <v>1.1456999999999999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0.23374114616870431</v>
      </c>
      <c r="Q123">
        <f t="shared" ref="Q123" si="591">F123*P123</f>
        <v>612600.95041854098</v>
      </c>
      <c r="R123">
        <f t="shared" ref="R123" si="592">R124+Q123</f>
        <v>-154492807.92220345</v>
      </c>
      <c r="S123">
        <f t="shared" ref="S123" si="593">R123/100000</f>
        <v>-1544.9280792220345</v>
      </c>
      <c r="T123">
        <f t="shared" ref="T123" si="594">S123/1000</f>
        <v>-1.5449280792220346</v>
      </c>
    </row>
    <row r="124" spans="1:20" x14ac:dyDescent="0.25">
      <c r="A124" s="5">
        <v>44460</v>
      </c>
      <c r="B124">
        <v>1.1089</v>
      </c>
      <c r="C124">
        <v>1.32</v>
      </c>
      <c r="D124">
        <v>1.0173000000000001</v>
      </c>
      <c r="E124">
        <v>1.0658000000000001</v>
      </c>
      <c r="F124">
        <v>7249372</v>
      </c>
      <c r="G124">
        <v>1.0658000000000001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-0.67955071027419889</v>
      </c>
      <c r="Q124">
        <f t="shared" ref="Q124" si="596">F124*P124</f>
        <v>-4926315.8916418897</v>
      </c>
      <c r="R124">
        <f t="shared" ref="R124" si="597">R125+Q124</f>
        <v>-155105408.87262198</v>
      </c>
      <c r="S124">
        <f t="shared" ref="S124" si="598">R124/100000</f>
        <v>-1551.0540887262198</v>
      </c>
      <c r="T124">
        <f t="shared" ref="T124" si="599">S124/1000</f>
        <v>-1.5510540887262199</v>
      </c>
    </row>
    <row r="125" spans="1:20" x14ac:dyDescent="0.25">
      <c r="A125" s="5">
        <v>44459</v>
      </c>
      <c r="B125">
        <v>1.1955</v>
      </c>
      <c r="C125">
        <v>1.2073</v>
      </c>
      <c r="D125">
        <v>1.1000000000000001</v>
      </c>
      <c r="E125">
        <v>1.1474</v>
      </c>
      <c r="F125">
        <v>1943756</v>
      </c>
      <c r="G125">
        <v>1.1474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-0.11649580615098028</v>
      </c>
      <c r="Q125">
        <f t="shared" ref="Q125" si="601">F125*P125</f>
        <v>-226439.42218080483</v>
      </c>
      <c r="R125">
        <f t="shared" ref="R125" si="602">R126+Q125</f>
        <v>-150179092.9809801</v>
      </c>
      <c r="S125">
        <f t="shared" ref="S125" si="603">R125/100000</f>
        <v>-1501.7909298098009</v>
      </c>
      <c r="T125">
        <f t="shared" ref="T125" si="604">S125/1000</f>
        <v>-1.5017909298098009</v>
      </c>
    </row>
    <row r="126" spans="1:20" x14ac:dyDescent="0.25">
      <c r="A126" s="5">
        <v>44458</v>
      </c>
      <c r="B126">
        <v>1.3162</v>
      </c>
      <c r="C126">
        <v>1.3483000000000001</v>
      </c>
      <c r="D126">
        <v>1.1805000000000001</v>
      </c>
      <c r="E126">
        <v>1.1955</v>
      </c>
      <c r="F126">
        <v>5523276</v>
      </c>
      <c r="G126">
        <v>1.1955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-0.82121573301549577</v>
      </c>
      <c r="Q126">
        <f t="shared" ref="Q126" si="606">F126*P126</f>
        <v>-4535801.1489868956</v>
      </c>
      <c r="R126">
        <f t="shared" ref="R126" si="607">R127+Q126</f>
        <v>-149952653.5587993</v>
      </c>
      <c r="S126">
        <f t="shared" ref="S126" si="608">R126/100000</f>
        <v>-1499.5265355879931</v>
      </c>
      <c r="T126">
        <f t="shared" ref="T126" si="609">S126/1000</f>
        <v>-1.499526535587993</v>
      </c>
    </row>
    <row r="127" spans="1:20" x14ac:dyDescent="0.25">
      <c r="A127" s="5">
        <v>44457</v>
      </c>
      <c r="B127">
        <v>1.3398000000000001</v>
      </c>
      <c r="C127">
        <v>1.742</v>
      </c>
      <c r="D127">
        <v>1.2470000000000001</v>
      </c>
      <c r="E127">
        <v>1.3197000000000001</v>
      </c>
      <c r="F127">
        <v>49368147</v>
      </c>
      <c r="G127">
        <v>1.3197000000000001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-0.70626262626262626</v>
      </c>
      <c r="Q127">
        <f t="shared" ref="Q127" si="611">F127*P127</f>
        <v>-34866877.153939396</v>
      </c>
      <c r="R127">
        <f t="shared" ref="R127" si="612">R128+Q127</f>
        <v>-145416852.40981239</v>
      </c>
      <c r="S127">
        <f t="shared" ref="S127" si="613">R127/100000</f>
        <v>-1454.168524098124</v>
      </c>
      <c r="T127">
        <f t="shared" ref="T127" si="614">S127/1000</f>
        <v>-1.4541685240981239</v>
      </c>
    </row>
    <row r="128" spans="1:20" x14ac:dyDescent="0.25">
      <c r="A128" s="5">
        <v>44456</v>
      </c>
      <c r="B128">
        <v>1.1069</v>
      </c>
      <c r="C128">
        <v>1.8204</v>
      </c>
      <c r="D128">
        <v>1.0261</v>
      </c>
      <c r="E128">
        <v>1.3391999999999999</v>
      </c>
      <c r="F128">
        <v>39123345</v>
      </c>
      <c r="G128">
        <v>1.3391999999999999</v>
      </c>
      <c r="L128" t="s">
        <v>7</v>
      </c>
      <c r="M128" t="s">
        <v>8</v>
      </c>
      <c r="N128" t="s">
        <v>8</v>
      </c>
      <c r="P128">
        <f t="shared" ref="P128" si="615">IF(C128=D128,0,((E128-D128)-(C128-E128))/(C128-D128))</f>
        <v>-0.21163288430064225</v>
      </c>
      <c r="Q128">
        <f t="shared" ref="Q128" si="616">F128*P128</f>
        <v>-8279786.3458391102</v>
      </c>
      <c r="R128">
        <f t="shared" ref="R128" si="617">R129+Q128</f>
        <v>-110549975.25587299</v>
      </c>
      <c r="S128">
        <f t="shared" ref="S128" si="618">R128/100000</f>
        <v>-1105.4997525587301</v>
      </c>
      <c r="T128">
        <f t="shared" ref="T128" si="619">S128/1000</f>
        <v>-1.10549975255873</v>
      </c>
    </row>
    <row r="129" spans="1:20" x14ac:dyDescent="0.25">
      <c r="A129" s="5">
        <v>44455</v>
      </c>
      <c r="B129">
        <v>1.1424000000000001</v>
      </c>
      <c r="C129">
        <v>1.1599999999999999</v>
      </c>
      <c r="D129">
        <v>1.0561</v>
      </c>
      <c r="E129">
        <v>1.1068</v>
      </c>
      <c r="F129">
        <v>2978743</v>
      </c>
      <c r="G129">
        <v>1.1068</v>
      </c>
      <c r="L129" t="s">
        <v>7</v>
      </c>
      <c r="M129" t="s">
        <v>8</v>
      </c>
      <c r="N129" t="s">
        <v>7</v>
      </c>
      <c r="P129">
        <f t="shared" ref="P129" si="620">IF(C129=D129,0,((E129-D129)-(C129-E129))/(C129-D129))</f>
        <v>-2.4061597690086135E-2</v>
      </c>
      <c r="Q129">
        <f t="shared" ref="Q129" si="621">F129*P129</f>
        <v>-71673.315688160248</v>
      </c>
      <c r="R129">
        <f t="shared" ref="R129" si="622">R130+Q129</f>
        <v>-102270188.91003388</v>
      </c>
      <c r="S129">
        <f t="shared" ref="S129" si="623">R129/100000</f>
        <v>-1022.7018891003388</v>
      </c>
      <c r="T129">
        <f t="shared" ref="T129" si="624">S129/1000</f>
        <v>-1.0227018891003388</v>
      </c>
    </row>
    <row r="130" spans="1:20" x14ac:dyDescent="0.25">
      <c r="A130" s="5">
        <v>44454</v>
      </c>
      <c r="B130">
        <v>1.1248</v>
      </c>
      <c r="C130">
        <v>1.2350000000000001</v>
      </c>
      <c r="D130">
        <v>1.1059000000000001</v>
      </c>
      <c r="E130">
        <v>1.1458999999999999</v>
      </c>
      <c r="F130">
        <v>3131215</v>
      </c>
      <c r="G130">
        <v>1.1458999999999999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-0.38032532920217171</v>
      </c>
      <c r="Q130">
        <f t="shared" ref="Q130" si="626">F130*P130</f>
        <v>-1190880.3756777782</v>
      </c>
      <c r="R130">
        <f t="shared" ref="R130" si="627">R131+Q130</f>
        <v>-102198515.59434572</v>
      </c>
      <c r="S130">
        <f t="shared" ref="S130" si="628">R130/100000</f>
        <v>-1021.9851559434571</v>
      </c>
      <c r="T130">
        <f t="shared" ref="T130" si="629">S130/1000</f>
        <v>-1.0219851559434572</v>
      </c>
    </row>
    <row r="131" spans="1:20" x14ac:dyDescent="0.25">
      <c r="A131" s="5">
        <v>44453</v>
      </c>
      <c r="B131">
        <v>1.05</v>
      </c>
      <c r="C131">
        <v>1.1600999999999999</v>
      </c>
      <c r="D131">
        <v>1.0451999999999999</v>
      </c>
      <c r="E131">
        <v>1.1249</v>
      </c>
      <c r="F131">
        <v>3734235</v>
      </c>
      <c r="G131">
        <v>1.1249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0.38729329852045435</v>
      </c>
      <c r="Q131">
        <f t="shared" ref="Q131" si="631">F131*P131</f>
        <v>1446244.1906005288</v>
      </c>
      <c r="R131">
        <f t="shared" ref="R131" si="632">R132+Q131</f>
        <v>-101007635.21866794</v>
      </c>
      <c r="S131">
        <f t="shared" ref="S131" si="633">R131/100000</f>
        <v>-1010.0763521866794</v>
      </c>
      <c r="T131">
        <f t="shared" ref="T131" si="634">S131/1000</f>
        <v>-1.0100763521866793</v>
      </c>
    </row>
    <row r="132" spans="1:20" x14ac:dyDescent="0.25">
      <c r="A132" s="5">
        <v>44452</v>
      </c>
      <c r="B132">
        <v>1.1883999999999999</v>
      </c>
      <c r="C132">
        <v>1.1914</v>
      </c>
      <c r="D132">
        <v>1.0066999999999999</v>
      </c>
      <c r="E132">
        <v>1.05</v>
      </c>
      <c r="F132">
        <v>3626862</v>
      </c>
      <c r="G132">
        <v>1.05</v>
      </c>
      <c r="L132" t="s">
        <v>7</v>
      </c>
      <c r="M132" t="s">
        <v>7</v>
      </c>
      <c r="N132" t="s">
        <v>7</v>
      </c>
      <c r="P132">
        <f t="shared" ref="P132" si="635">IF(C132=D132,0,((E132-D132)-(C132-E132))/(C132-D132))</f>
        <v>-0.53113156469951173</v>
      </c>
      <c r="Q132">
        <f t="shared" ref="Q132" si="636">F132*P132</f>
        <v>-1926340.8890092005</v>
      </c>
      <c r="R132">
        <f t="shared" ref="R132" si="637">R133+Q132</f>
        <v>-102453879.40926847</v>
      </c>
      <c r="S132">
        <f t="shared" ref="S132" si="638">R132/100000</f>
        <v>-1024.5387940926846</v>
      </c>
      <c r="T132">
        <f t="shared" ref="T132" si="639">S132/1000</f>
        <v>-1.0245387940926847</v>
      </c>
    </row>
    <row r="133" spans="1:20" x14ac:dyDescent="0.25">
      <c r="A133" s="5">
        <v>44451</v>
      </c>
      <c r="B133">
        <v>1.2476</v>
      </c>
      <c r="C133">
        <v>1.2512000000000001</v>
      </c>
      <c r="D133">
        <v>1.1465000000000001</v>
      </c>
      <c r="E133">
        <v>1.1914</v>
      </c>
      <c r="F133">
        <v>3301183</v>
      </c>
      <c r="G133">
        <v>1.1914</v>
      </c>
      <c r="L133" t="s">
        <v>8</v>
      </c>
      <c r="M133" t="s">
        <v>7</v>
      </c>
      <c r="N133" t="s">
        <v>7</v>
      </c>
      <c r="P133">
        <f t="shared" ref="P133" si="640">IF(C133=D133,0,((E133-D133)-(C133-E133))/(C133-D133))</f>
        <v>-0.14231136580706907</v>
      </c>
      <c r="Q133">
        <f t="shared" ref="Q133" si="641">F133*P133</f>
        <v>-469795.86150907772</v>
      </c>
      <c r="R133">
        <f t="shared" ref="R133" si="642">R134+Q133</f>
        <v>-100527538.52025926</v>
      </c>
      <c r="S133">
        <f t="shared" ref="S133" si="643">R133/100000</f>
        <v>-1005.2753852025926</v>
      </c>
      <c r="T133">
        <f t="shared" ref="T133" si="644">S133/1000</f>
        <v>-1.0052753852025926</v>
      </c>
    </row>
    <row r="134" spans="1:20" x14ac:dyDescent="0.25">
      <c r="A134" s="5">
        <v>44450</v>
      </c>
      <c r="B134">
        <v>1.175</v>
      </c>
      <c r="C134">
        <v>1.3731</v>
      </c>
      <c r="D134">
        <v>1.1120000000000001</v>
      </c>
      <c r="E134">
        <v>1.242</v>
      </c>
      <c r="F134">
        <v>5807518</v>
      </c>
      <c r="G134">
        <v>1.242</v>
      </c>
      <c r="L134" t="s">
        <v>7</v>
      </c>
      <c r="M134" t="s">
        <v>8</v>
      </c>
      <c r="N134" t="s">
        <v>7</v>
      </c>
      <c r="P134">
        <f t="shared" ref="P134" si="645">IF(C134=D134,0,((E134-D134)-(C134-E134))/(C134-D134))</f>
        <v>-4.2129452317123759E-3</v>
      </c>
      <c r="Q134">
        <f t="shared" ref="Q134" si="646">F134*P134</f>
        <v>-24466.755266183794</v>
      </c>
      <c r="R134">
        <f t="shared" ref="R134" si="647">R135+Q134</f>
        <v>-100057742.65875018</v>
      </c>
      <c r="S134">
        <f t="shared" ref="S134" si="648">R134/100000</f>
        <v>-1000.5774265875018</v>
      </c>
      <c r="T134">
        <f t="shared" ref="T134" si="649">S134/1000</f>
        <v>-1.0005774265875018</v>
      </c>
    </row>
    <row r="135" spans="1:20" x14ac:dyDescent="0.25">
      <c r="A135" s="5">
        <v>44449</v>
      </c>
      <c r="B135">
        <v>1.3426</v>
      </c>
      <c r="C135">
        <v>1.3998999999999999</v>
      </c>
      <c r="D135">
        <v>1.1332</v>
      </c>
      <c r="E135">
        <v>1.175</v>
      </c>
      <c r="F135">
        <v>5056483</v>
      </c>
      <c r="G135">
        <v>1.175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-0.68653918260217417</v>
      </c>
      <c r="Q135">
        <f t="shared" ref="Q135" si="651">F135*P135</f>
        <v>-3471473.7056617895</v>
      </c>
      <c r="R135">
        <f t="shared" ref="R135" si="652">R136+Q135</f>
        <v>-100033275.90348399</v>
      </c>
      <c r="S135">
        <f t="shared" ref="S135" si="653">R135/100000</f>
        <v>-1000.3327590348399</v>
      </c>
      <c r="T135">
        <f t="shared" ref="T135" si="654">S135/1000</f>
        <v>-1.0003327590348399</v>
      </c>
    </row>
    <row r="136" spans="1:20" x14ac:dyDescent="0.25">
      <c r="A136" s="5">
        <v>44448</v>
      </c>
      <c r="B136">
        <v>1.5601</v>
      </c>
      <c r="C136">
        <v>1.6920999999999999</v>
      </c>
      <c r="D136">
        <v>1.3001</v>
      </c>
      <c r="E136">
        <v>1.3428</v>
      </c>
      <c r="F136">
        <v>9328055</v>
      </c>
      <c r="G136">
        <v>1.3428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-0.78214285714285725</v>
      </c>
      <c r="Q136">
        <f t="shared" ref="Q136" si="656">F136*P136</f>
        <v>-7295871.5892857155</v>
      </c>
      <c r="R136">
        <f t="shared" ref="R136" si="657">R137+Q136</f>
        <v>-96561802.197822198</v>
      </c>
      <c r="S136">
        <f t="shared" ref="S136" si="658">R136/100000</f>
        <v>-965.61802197822203</v>
      </c>
      <c r="T136">
        <f t="shared" ref="T136" si="659">S136/1000</f>
        <v>-0.965618021978222</v>
      </c>
    </row>
    <row r="137" spans="1:20" x14ac:dyDescent="0.25">
      <c r="A137" s="5">
        <v>44447</v>
      </c>
      <c r="B137">
        <v>1.3272999999999999</v>
      </c>
      <c r="C137">
        <v>1.99</v>
      </c>
      <c r="D137">
        <v>1.3249</v>
      </c>
      <c r="E137">
        <v>1.56</v>
      </c>
      <c r="F137">
        <v>36349715.839000002</v>
      </c>
      <c r="G137">
        <v>1.56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-0.29303864080589359</v>
      </c>
      <c r="Q137">
        <f t="shared" ref="Q137" si="661">F137*P137</f>
        <v>-10651871.323141022</v>
      </c>
      <c r="R137">
        <f t="shared" ref="R137" si="662">R138+Q137</f>
        <v>-89265930.608536482</v>
      </c>
      <c r="S137">
        <f t="shared" ref="S137" si="663">R137/100000</f>
        <v>-892.65930608536485</v>
      </c>
      <c r="T137">
        <f t="shared" ref="T137" si="664">S137/1000</f>
        <v>-0.89265930608536481</v>
      </c>
    </row>
    <row r="138" spans="1:20" x14ac:dyDescent="0.25">
      <c r="A138" s="5">
        <v>44446</v>
      </c>
      <c r="B138">
        <v>1.2218</v>
      </c>
      <c r="C138">
        <v>1.8842000000000001</v>
      </c>
      <c r="D138">
        <v>1.1000000000000001</v>
      </c>
      <c r="E138">
        <v>1.3272999999999999</v>
      </c>
      <c r="F138">
        <v>39206437.685999997</v>
      </c>
      <c r="G138">
        <v>1.3272999999999999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-0.42030094363682774</v>
      </c>
      <c r="Q138">
        <f t="shared" ref="Q138" si="666">F138*P138</f>
        <v>-16478502.756064285</v>
      </c>
      <c r="R138">
        <f t="shared" ref="R138" si="667">R139+Q138</f>
        <v>-78614059.285395458</v>
      </c>
      <c r="S138">
        <f t="shared" ref="S138" si="668">R138/100000</f>
        <v>-786.14059285395456</v>
      </c>
      <c r="T138">
        <f t="shared" ref="T138" si="669">S138/1000</f>
        <v>-0.78614059285395455</v>
      </c>
    </row>
    <row r="139" spans="1:20" x14ac:dyDescent="0.25">
      <c r="A139" s="5">
        <v>44445</v>
      </c>
      <c r="B139">
        <v>1.1975</v>
      </c>
      <c r="C139">
        <v>1.4855</v>
      </c>
      <c r="D139">
        <v>1.056</v>
      </c>
      <c r="E139">
        <v>1.2250000000000001</v>
      </c>
      <c r="F139">
        <v>31017448.835999999</v>
      </c>
      <c r="G139">
        <v>1.2250000000000001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-0.21303841676367849</v>
      </c>
      <c r="Q139">
        <f t="shared" ref="Q139" si="671">F139*P139</f>
        <v>-6607908.1920698425</v>
      </c>
      <c r="R139">
        <f t="shared" ref="R139" si="672">R140+Q139</f>
        <v>-62135556.529331177</v>
      </c>
      <c r="S139">
        <f t="shared" ref="S139" si="673">R139/100000</f>
        <v>-621.35556529331177</v>
      </c>
      <c r="T139">
        <f t="shared" ref="T139" si="674">S139/1000</f>
        <v>-0.62135556529331182</v>
      </c>
    </row>
    <row r="140" spans="1:20" x14ac:dyDescent="0.25">
      <c r="A140" s="5">
        <v>44444</v>
      </c>
      <c r="B140">
        <v>0.92010000000000003</v>
      </c>
      <c r="C140">
        <v>1.4473</v>
      </c>
      <c r="D140">
        <v>0.90980000000000005</v>
      </c>
      <c r="E140">
        <v>1.1970000000000001</v>
      </c>
      <c r="F140">
        <v>43239174.033</v>
      </c>
      <c r="G140">
        <v>1.1970000000000001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6.8651162790697759E-2</v>
      </c>
      <c r="Q140">
        <f t="shared" ref="Q140" si="676">F140*P140</f>
        <v>2968419.5754747945</v>
      </c>
      <c r="R140">
        <f t="shared" ref="R140" si="677">R141+Q140</f>
        <v>-55527648.337261334</v>
      </c>
      <c r="S140">
        <f t="shared" ref="S140" si="678">R140/100000</f>
        <v>-555.27648337261337</v>
      </c>
      <c r="T140">
        <f t="shared" ref="T140" si="679">S140/1000</f>
        <v>-0.55527648337261337</v>
      </c>
    </row>
    <row r="141" spans="1:20" x14ac:dyDescent="0.25">
      <c r="A141" s="5">
        <v>44443</v>
      </c>
      <c r="B141">
        <v>0.89410000000000001</v>
      </c>
      <c r="C141">
        <v>0.97540000000000004</v>
      </c>
      <c r="D141">
        <v>0.88790000000000002</v>
      </c>
      <c r="E141">
        <v>0.92030000000000001</v>
      </c>
      <c r="F141">
        <v>1184993</v>
      </c>
      <c r="G141">
        <v>0.92030000000000001</v>
      </c>
      <c r="L141" t="s">
        <v>8</v>
      </c>
      <c r="M141" t="s">
        <v>7</v>
      </c>
      <c r="N141" t="s">
        <v>7</v>
      </c>
      <c r="P141">
        <f t="shared" ref="P141" si="680">IF(C141=D141,0,((E141-D141)-(C141-E141))/(C141-D141))</f>
        <v>-0.25942857142857195</v>
      </c>
      <c r="Q141">
        <f t="shared" ref="Q141" si="681">F141*P141</f>
        <v>-307421.04114285775</v>
      </c>
      <c r="R141">
        <f t="shared" ref="R141" si="682">R142+Q141</f>
        <v>-58496067.912736125</v>
      </c>
      <c r="S141">
        <f t="shared" ref="S141" si="683">R141/100000</f>
        <v>-584.96067912736123</v>
      </c>
      <c r="T141">
        <f t="shared" ref="T141" si="684">S141/1000</f>
        <v>-0.58496067912736127</v>
      </c>
    </row>
    <row r="142" spans="1:20" x14ac:dyDescent="0.25">
      <c r="A142" s="5">
        <v>44442</v>
      </c>
      <c r="B142">
        <v>0.86899999999999999</v>
      </c>
      <c r="C142">
        <v>0.95</v>
      </c>
      <c r="D142">
        <v>0.8347</v>
      </c>
      <c r="E142">
        <v>0.89800000000000002</v>
      </c>
      <c r="F142">
        <v>1213426.4069999999</v>
      </c>
      <c r="G142">
        <v>0.89800000000000002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9.8005203816132633E-2</v>
      </c>
      <c r="Q142">
        <f t="shared" ref="Q142" si="686">F142*P142</f>
        <v>118922.10233391249</v>
      </c>
      <c r="R142">
        <f t="shared" ref="R142" si="687">R143+Q142</f>
        <v>-58188646.871593267</v>
      </c>
      <c r="S142">
        <f t="shared" ref="S142" si="688">R142/100000</f>
        <v>-581.88646871593266</v>
      </c>
      <c r="T142">
        <f t="shared" ref="T142" si="689">S142/1000</f>
        <v>-0.58188646871593264</v>
      </c>
    </row>
    <row r="143" spans="1:20" x14ac:dyDescent="0.25">
      <c r="A143" s="5">
        <v>44441</v>
      </c>
      <c r="B143">
        <v>0.88890000000000002</v>
      </c>
      <c r="C143">
        <v>0.91300000000000003</v>
      </c>
      <c r="D143">
        <v>0.86660000000000004</v>
      </c>
      <c r="E143">
        <v>0.86899999999999999</v>
      </c>
      <c r="F143">
        <v>723141</v>
      </c>
      <c r="G143">
        <v>0.86899999999999999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-0.89655172413793283</v>
      </c>
      <c r="Q143">
        <f t="shared" ref="Q143" si="691">F143*P143</f>
        <v>-648333.31034482887</v>
      </c>
      <c r="R143">
        <f t="shared" ref="R143" si="692">R144+Q143</f>
        <v>-58307568.973927177</v>
      </c>
      <c r="S143">
        <f t="shared" ref="S143" si="693">R143/100000</f>
        <v>-583.07568973927175</v>
      </c>
      <c r="T143">
        <f t="shared" ref="T143" si="694">S143/1000</f>
        <v>-0.58307568973927171</v>
      </c>
    </row>
    <row r="144" spans="1:20" x14ac:dyDescent="0.25">
      <c r="A144" s="5">
        <v>44440</v>
      </c>
      <c r="B144">
        <v>0.86529999999999996</v>
      </c>
      <c r="C144">
        <v>0.91369999999999996</v>
      </c>
      <c r="D144">
        <v>0.85</v>
      </c>
      <c r="E144">
        <v>0.88890000000000002</v>
      </c>
      <c r="F144">
        <v>636228</v>
      </c>
      <c r="G144">
        <v>0.88890000000000002</v>
      </c>
      <c r="L144" t="s">
        <v>8</v>
      </c>
      <c r="M144" t="s">
        <v>7</v>
      </c>
      <c r="N144" t="s">
        <v>7</v>
      </c>
      <c r="P144">
        <f t="shared" ref="P144" si="695">IF(C144=D144,0,((E144-D144)-(C144-E144))/(C144-D144))</f>
        <v>0.22135007849293747</v>
      </c>
      <c r="Q144">
        <f t="shared" ref="Q144" si="696">F144*P144</f>
        <v>140829.11773940461</v>
      </c>
      <c r="R144">
        <f t="shared" ref="R144" si="697">R145+Q144</f>
        <v>-57659235.663582347</v>
      </c>
      <c r="S144">
        <f t="shared" ref="S144" si="698">R144/100000</f>
        <v>-576.59235663582342</v>
      </c>
      <c r="T144">
        <f t="shared" ref="T144" si="699">S144/1000</f>
        <v>-0.57659235663582342</v>
      </c>
    </row>
    <row r="145" spans="1:20" x14ac:dyDescent="0.25">
      <c r="A145" s="5">
        <v>44439</v>
      </c>
      <c r="B145">
        <v>0.87570000000000003</v>
      </c>
      <c r="C145">
        <v>0.91</v>
      </c>
      <c r="D145">
        <v>0.84509999999999996</v>
      </c>
      <c r="E145">
        <v>0.87019999999999997</v>
      </c>
      <c r="F145">
        <v>811852.07400000002</v>
      </c>
      <c r="G145">
        <v>0.87019999999999997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-0.22650231124807443</v>
      </c>
      <c r="Q145">
        <f t="shared" ref="Q145" si="701">F145*P145</f>
        <v>-183886.37115254276</v>
      </c>
      <c r="R145">
        <f t="shared" ref="R145" si="702">R146+Q145</f>
        <v>-57800064.781321749</v>
      </c>
      <c r="S145">
        <f t="shared" ref="S145" si="703">R145/100000</f>
        <v>-578.00064781321748</v>
      </c>
      <c r="T145">
        <f t="shared" ref="T145" si="704">S145/1000</f>
        <v>-0.57800064781321747</v>
      </c>
    </row>
    <row r="146" spans="1:20" x14ac:dyDescent="0.25">
      <c r="A146" s="5">
        <v>44438</v>
      </c>
      <c r="B146">
        <v>0.9224</v>
      </c>
      <c r="C146">
        <v>0.92559999999999998</v>
      </c>
      <c r="D146">
        <v>0.871</v>
      </c>
      <c r="E146">
        <v>0.871</v>
      </c>
      <c r="F146">
        <v>696343</v>
      </c>
      <c r="G146">
        <v>0.871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-1</v>
      </c>
      <c r="Q146">
        <f t="shared" ref="Q146" si="706">F146*P146</f>
        <v>-696343</v>
      </c>
      <c r="R146">
        <f t="shared" ref="R146" si="707">R147+Q146</f>
        <v>-57616178.410169207</v>
      </c>
      <c r="S146">
        <f t="shared" ref="S146" si="708">R146/100000</f>
        <v>-576.16178410169209</v>
      </c>
      <c r="T146">
        <f t="shared" ref="T146" si="709">S146/1000</f>
        <v>-0.57616178410169205</v>
      </c>
    </row>
    <row r="147" spans="1:20" x14ac:dyDescent="0.25">
      <c r="A147" s="5">
        <v>44437</v>
      </c>
      <c r="B147">
        <v>0.93030000000000002</v>
      </c>
      <c r="C147">
        <v>0.95</v>
      </c>
      <c r="D147">
        <v>0.90380000000000005</v>
      </c>
      <c r="E147">
        <v>0.92249999999999999</v>
      </c>
      <c r="F147">
        <v>420681</v>
      </c>
      <c r="G147">
        <v>0.92249999999999999</v>
      </c>
      <c r="L147" t="s">
        <v>8</v>
      </c>
      <c r="M147" t="s">
        <v>7</v>
      </c>
      <c r="N147" t="s">
        <v>7</v>
      </c>
      <c r="P147">
        <f t="shared" ref="P147" si="710">IF(C147=D147,0,((E147-D147)-(C147-E147))/(C147-D147))</f>
        <v>-0.19047619047619149</v>
      </c>
      <c r="Q147">
        <f t="shared" ref="Q147" si="711">F147*P147</f>
        <v>-80129.714285714712</v>
      </c>
      <c r="R147">
        <f t="shared" ref="R147" si="712">R148+Q147</f>
        <v>-56919835.410169207</v>
      </c>
      <c r="S147">
        <f t="shared" ref="S147" si="713">R147/100000</f>
        <v>-569.19835410169208</v>
      </c>
      <c r="T147">
        <f t="shared" ref="T147" si="714">S147/1000</f>
        <v>-0.56919835410169206</v>
      </c>
    </row>
    <row r="148" spans="1:20" x14ac:dyDescent="0.25">
      <c r="A148" s="5">
        <v>44436</v>
      </c>
      <c r="B148">
        <v>0.92449999999999999</v>
      </c>
      <c r="C148">
        <v>0.95299999999999996</v>
      </c>
      <c r="D148">
        <v>0.89990000000000003</v>
      </c>
      <c r="E148">
        <v>0.93030000000000002</v>
      </c>
      <c r="F148">
        <v>1002000</v>
      </c>
      <c r="G148">
        <v>0.93030000000000002</v>
      </c>
      <c r="L148" t="s">
        <v>8</v>
      </c>
      <c r="M148" t="s">
        <v>7</v>
      </c>
      <c r="N148" t="s">
        <v>7</v>
      </c>
      <c r="P148">
        <f t="shared" ref="P148" si="715">IF(C148=D148,0,((E148-D148)-(C148-E148))/(C148-D148))</f>
        <v>0.14500941619585783</v>
      </c>
      <c r="Q148">
        <f t="shared" ref="Q148" si="716">F148*P148</f>
        <v>145299.43502824954</v>
      </c>
      <c r="R148">
        <f t="shared" ref="R148" si="717">R149+Q148</f>
        <v>-56839705.69588349</v>
      </c>
      <c r="S148">
        <f t="shared" ref="S148" si="718">R148/100000</f>
        <v>-568.39705695883492</v>
      </c>
      <c r="T148">
        <f t="shared" ref="T148" si="719">S148/1000</f>
        <v>-0.56839705695883491</v>
      </c>
    </row>
    <row r="149" spans="1:20" x14ac:dyDescent="0.25">
      <c r="A149" s="5">
        <v>44435</v>
      </c>
      <c r="B149">
        <v>0.91379999999999995</v>
      </c>
      <c r="C149">
        <v>0.97829999999999995</v>
      </c>
      <c r="D149">
        <v>0.87</v>
      </c>
      <c r="E149">
        <v>0.92400000000000004</v>
      </c>
      <c r="F149">
        <v>1103365.9169999999</v>
      </c>
      <c r="G149">
        <v>0.92400000000000004</v>
      </c>
      <c r="L149" t="s">
        <v>7</v>
      </c>
      <c r="M149" t="s">
        <v>7</v>
      </c>
      <c r="N149" t="s">
        <v>7</v>
      </c>
      <c r="P149">
        <f t="shared" ref="P149" si="720">IF(C149=D149,0,((E149-D149)-(C149-E149))/(C149-D149))</f>
        <v>-2.770083102491746E-3</v>
      </c>
      <c r="Q149">
        <f t="shared" ref="Q149" si="721">F149*P149</f>
        <v>-3056.4152825470101</v>
      </c>
      <c r="R149">
        <f t="shared" ref="R149" si="722">R150+Q149</f>
        <v>-56985005.130911738</v>
      </c>
      <c r="S149">
        <f t="shared" ref="S149" si="723">R149/100000</f>
        <v>-569.85005130911736</v>
      </c>
      <c r="T149">
        <f t="shared" ref="T149" si="724">S149/1000</f>
        <v>-0.56985005130911737</v>
      </c>
    </row>
    <row r="150" spans="1:20" x14ac:dyDescent="0.25">
      <c r="A150" s="5">
        <v>44434</v>
      </c>
      <c r="B150">
        <v>0.94699999999999995</v>
      </c>
      <c r="C150">
        <v>1.0900000000000001</v>
      </c>
      <c r="D150">
        <v>0.88800000000000001</v>
      </c>
      <c r="E150">
        <v>0.91379999999999995</v>
      </c>
      <c r="F150">
        <v>2291200.923</v>
      </c>
      <c r="G150">
        <v>0.91379999999999995</v>
      </c>
      <c r="L150" t="s">
        <v>8</v>
      </c>
      <c r="M150" t="s">
        <v>8</v>
      </c>
      <c r="N150" t="s">
        <v>7</v>
      </c>
      <c r="P150">
        <f t="shared" ref="P150" si="725">IF(C150=D150,0,((E150-D150)-(C150-E150))/(C150-D150))</f>
        <v>-0.74455445544554533</v>
      </c>
      <c r="Q150">
        <f t="shared" ref="Q150" si="726">F150*P150</f>
        <v>-1705923.8555405957</v>
      </c>
      <c r="R150">
        <f t="shared" ref="R150" si="727">R151+Q150</f>
        <v>-56981948.71562919</v>
      </c>
      <c r="S150">
        <f t="shared" ref="S150" si="728">R150/100000</f>
        <v>-569.81948715629187</v>
      </c>
      <c r="T150">
        <f t="shared" ref="T150" si="729">S150/1000</f>
        <v>-0.56981948715629183</v>
      </c>
    </row>
    <row r="151" spans="1:20" x14ac:dyDescent="0.25">
      <c r="A151" s="5">
        <v>44433</v>
      </c>
      <c r="B151">
        <v>0.88</v>
      </c>
      <c r="C151">
        <v>0.96399999999999997</v>
      </c>
      <c r="D151">
        <v>0.85899999999999999</v>
      </c>
      <c r="E151">
        <v>0.95</v>
      </c>
      <c r="F151">
        <v>973513.103</v>
      </c>
      <c r="G151">
        <v>0.95</v>
      </c>
      <c r="L151" t="s">
        <v>8</v>
      </c>
      <c r="M151" t="s">
        <v>8</v>
      </c>
      <c r="N151" t="s">
        <v>7</v>
      </c>
      <c r="P151">
        <f t="shared" ref="P151" si="730">IF(C151=D151,0,((E151-D151)-(C151-E151))/(C151-D151))</f>
        <v>0.73333333333333306</v>
      </c>
      <c r="Q151">
        <f t="shared" ref="Q151" si="731">F151*P151</f>
        <v>713909.60886666644</v>
      </c>
      <c r="R151">
        <f t="shared" ref="R151" si="732">R152+Q151</f>
        <v>-55276024.860088594</v>
      </c>
      <c r="S151">
        <f t="shared" ref="S151" si="733">R151/100000</f>
        <v>-552.76024860088592</v>
      </c>
      <c r="T151">
        <f t="shared" ref="T151" si="734">S151/1000</f>
        <v>-0.55276024860088591</v>
      </c>
    </row>
    <row r="152" spans="1:20" x14ac:dyDescent="0.25">
      <c r="A152" s="5">
        <v>44432</v>
      </c>
      <c r="B152">
        <v>0.94699999999999995</v>
      </c>
      <c r="C152">
        <v>0.95199999999999996</v>
      </c>
      <c r="D152">
        <v>0.85799999999999998</v>
      </c>
      <c r="E152">
        <v>0.88</v>
      </c>
      <c r="F152">
        <v>1098831.97</v>
      </c>
      <c r="G152">
        <v>0.88</v>
      </c>
      <c r="L152" t="s">
        <v>7</v>
      </c>
      <c r="M152" t="s">
        <v>8</v>
      </c>
      <c r="N152" t="s">
        <v>7</v>
      </c>
      <c r="P152">
        <f t="shared" ref="P152" si="735">IF(C152=D152,0,((E152-D152)-(C152-E152))/(C152-D152))</f>
        <v>-0.53191489361702071</v>
      </c>
      <c r="Q152">
        <f t="shared" ref="Q152" si="736">F152*P152</f>
        <v>-584485.09042553126</v>
      </c>
      <c r="R152">
        <f t="shared" ref="R152" si="737">R153+Q152</f>
        <v>-55989934.468955263</v>
      </c>
      <c r="S152">
        <f t="shared" ref="S152" si="738">R152/100000</f>
        <v>-559.89934468955266</v>
      </c>
      <c r="T152">
        <f t="shared" ref="T152" si="739">S152/1000</f>
        <v>-0.55989934468955271</v>
      </c>
    </row>
    <row r="153" spans="1:20" x14ac:dyDescent="0.25">
      <c r="A153" s="5">
        <v>44431</v>
      </c>
      <c r="B153">
        <v>0.90500000000000003</v>
      </c>
      <c r="C153">
        <v>0.97499999999999998</v>
      </c>
      <c r="D153">
        <v>0.90300000000000002</v>
      </c>
      <c r="E153">
        <v>0.94799999999999995</v>
      </c>
      <c r="F153">
        <v>1555745.719</v>
      </c>
      <c r="G153">
        <v>0.94799999999999995</v>
      </c>
      <c r="L153" t="s">
        <v>8</v>
      </c>
      <c r="M153" t="s">
        <v>8</v>
      </c>
      <c r="N153" t="s">
        <v>7</v>
      </c>
      <c r="P153">
        <f t="shared" ref="P153" si="740">IF(C153=D153,0,((E153-D153)-(C153-E153))/(C153-D153))</f>
        <v>0.24999999999999883</v>
      </c>
      <c r="Q153">
        <f t="shared" ref="Q153" si="741">F153*P153</f>
        <v>388936.42974999821</v>
      </c>
      <c r="R153">
        <f t="shared" ref="R153" si="742">R154+Q153</f>
        <v>-55405449.378529735</v>
      </c>
      <c r="S153">
        <f t="shared" ref="S153" si="743">R153/100000</f>
        <v>-554.05449378529738</v>
      </c>
      <c r="T153">
        <f t="shared" ref="T153" si="744">S153/1000</f>
        <v>-0.55405449378529736</v>
      </c>
    </row>
    <row r="154" spans="1:20" x14ac:dyDescent="0.25">
      <c r="A154" s="5">
        <v>44430</v>
      </c>
      <c r="B154">
        <v>0.92200000000000004</v>
      </c>
      <c r="C154">
        <v>0.93899999999999995</v>
      </c>
      <c r="D154">
        <v>0.91300000000000003</v>
      </c>
      <c r="E154">
        <v>0.92700000000000005</v>
      </c>
      <c r="F154">
        <v>136764.84700000001</v>
      </c>
      <c r="G154">
        <v>0.92700000000000005</v>
      </c>
      <c r="L154" t="s">
        <v>8</v>
      </c>
      <c r="M154" t="s">
        <v>8</v>
      </c>
      <c r="N154" t="s">
        <v>7</v>
      </c>
      <c r="P154">
        <f t="shared" ref="P154" si="745">IF(C154=D154,0,((E154-D154)-(C154-E154))/(C154-D154))</f>
        <v>7.6923076923081521E-2</v>
      </c>
      <c r="Q154">
        <f t="shared" ref="Q154" si="746">F154*P154</f>
        <v>10520.372846154476</v>
      </c>
      <c r="R154">
        <f t="shared" ref="R154" si="747">R155+Q154</f>
        <v>-55794385.80827973</v>
      </c>
      <c r="S154">
        <f t="shared" ref="S154" si="748">R154/100000</f>
        <v>-557.94385808279731</v>
      </c>
      <c r="T154">
        <f t="shared" ref="T154" si="749">S154/1000</f>
        <v>-0.55794385808279734</v>
      </c>
    </row>
    <row r="155" spans="1:20" x14ac:dyDescent="0.25">
      <c r="A155" s="5">
        <v>44429</v>
      </c>
      <c r="B155">
        <v>0.92200000000000004</v>
      </c>
      <c r="C155">
        <v>0.95</v>
      </c>
      <c r="D155">
        <v>0.89400000000000002</v>
      </c>
      <c r="E155">
        <v>0.92300000000000004</v>
      </c>
      <c r="F155">
        <v>1291358.0549999999</v>
      </c>
      <c r="G155">
        <v>0.92300000000000004</v>
      </c>
      <c r="L155" t="s">
        <v>8</v>
      </c>
      <c r="M155" t="s">
        <v>8</v>
      </c>
      <c r="N155" t="s">
        <v>7</v>
      </c>
      <c r="P155">
        <f t="shared" ref="P155" si="750">IF(C155=D155,0,((E155-D155)-(C155-E155))/(C155-D155))</f>
        <v>3.5714285714287766E-2</v>
      </c>
      <c r="Q155">
        <f t="shared" ref="Q155" si="751">F155*P155</f>
        <v>46119.930535716936</v>
      </c>
      <c r="R155">
        <f t="shared" ref="R155" si="752">R156+Q155</f>
        <v>-55804906.181125887</v>
      </c>
      <c r="S155">
        <f t="shared" ref="S155" si="753">R155/100000</f>
        <v>-558.04906181125887</v>
      </c>
      <c r="T155">
        <f t="shared" ref="T155" si="754">S155/1000</f>
        <v>-0.55804906181125891</v>
      </c>
    </row>
    <row r="156" spans="1:20" x14ac:dyDescent="0.25">
      <c r="A156" s="5">
        <v>44428</v>
      </c>
      <c r="B156">
        <v>0.89800000000000002</v>
      </c>
      <c r="C156">
        <v>0.96</v>
      </c>
      <c r="D156">
        <v>0.89</v>
      </c>
      <c r="E156">
        <v>0.91900000000000004</v>
      </c>
      <c r="F156">
        <v>1301126.7919999999</v>
      </c>
      <c r="G156">
        <v>0.91900000000000004</v>
      </c>
      <c r="L156" t="s">
        <v>8</v>
      </c>
      <c r="M156" t="s">
        <v>8</v>
      </c>
      <c r="N156" t="s">
        <v>7</v>
      </c>
      <c r="P156">
        <f t="shared" ref="P156" si="755">IF(C156=D156,0,((E156-D156)-(C156-E156))/(C156-D156))</f>
        <v>-0.17142857142857013</v>
      </c>
      <c r="Q156">
        <f t="shared" ref="Q156" si="756">F156*P156</f>
        <v>-223050.30719999829</v>
      </c>
      <c r="R156">
        <f t="shared" ref="R156" si="757">R157+Q156</f>
        <v>-55851026.111661606</v>
      </c>
      <c r="S156">
        <f t="shared" ref="S156" si="758">R156/100000</f>
        <v>-558.51026111661611</v>
      </c>
      <c r="T156">
        <f t="shared" ref="T156" si="759">S156/1000</f>
        <v>-0.55851026111661606</v>
      </c>
    </row>
    <row r="157" spans="1:20" x14ac:dyDescent="0.25">
      <c r="A157" s="5">
        <v>44427</v>
      </c>
      <c r="B157">
        <v>0.85399999999999998</v>
      </c>
      <c r="C157">
        <v>0.9</v>
      </c>
      <c r="D157">
        <v>0.78800000000000003</v>
      </c>
      <c r="E157">
        <v>0.89800000000000002</v>
      </c>
      <c r="F157">
        <v>1970957.1529999999</v>
      </c>
      <c r="G157">
        <v>0.89800000000000002</v>
      </c>
      <c r="L157" t="s">
        <v>7</v>
      </c>
      <c r="M157" t="s">
        <v>7</v>
      </c>
      <c r="N157" t="s">
        <v>7</v>
      </c>
      <c r="P157">
        <f t="shared" ref="P157" si="760">IF(C157=D157,0,((E157-D157)-(C157-E157))/(C157-D157))</f>
        <v>0.9642857142857143</v>
      </c>
      <c r="Q157">
        <f t="shared" ref="Q157" si="761">F157*P157</f>
        <v>1900565.8261071427</v>
      </c>
      <c r="R157">
        <f t="shared" ref="R157" si="762">R158+Q157</f>
        <v>-55627975.804461606</v>
      </c>
      <c r="S157">
        <f t="shared" ref="S157" si="763">R157/100000</f>
        <v>-556.27975804461607</v>
      </c>
      <c r="T157">
        <f t="shared" ref="T157" si="764">S157/1000</f>
        <v>-0.55627975804461605</v>
      </c>
    </row>
    <row r="158" spans="1:20" x14ac:dyDescent="0.25">
      <c r="A158" s="5">
        <v>44426</v>
      </c>
      <c r="B158">
        <v>0.85099999999999998</v>
      </c>
      <c r="C158">
        <v>0.91900000000000004</v>
      </c>
      <c r="D158">
        <v>0.82399999999999995</v>
      </c>
      <c r="E158">
        <v>0.85299999999999998</v>
      </c>
      <c r="F158">
        <v>1223158.0519999999</v>
      </c>
      <c r="G158">
        <v>0.85299999999999998</v>
      </c>
      <c r="L158" t="s">
        <v>8</v>
      </c>
      <c r="M158" t="s">
        <v>7</v>
      </c>
      <c r="N158" t="s">
        <v>7</v>
      </c>
      <c r="P158">
        <f t="shared" ref="P158" si="765">IF(C158=D158,0,((E158-D158)-(C158-E158))/(C158-D158))</f>
        <v>-0.38947368421052631</v>
      </c>
      <c r="Q158">
        <f t="shared" ref="Q158" si="766">F158*P158</f>
        <v>-476387.87288421049</v>
      </c>
      <c r="R158">
        <f t="shared" ref="R158" si="767">R159+Q158</f>
        <v>-57528541.63056875</v>
      </c>
      <c r="S158">
        <f t="shared" ref="S158" si="768">R158/100000</f>
        <v>-575.28541630568748</v>
      </c>
      <c r="T158">
        <f t="shared" ref="T158" si="769">S158/1000</f>
        <v>-0.57528541630568752</v>
      </c>
    </row>
    <row r="159" spans="1:20" x14ac:dyDescent="0.25">
      <c r="A159" s="5">
        <v>44425</v>
      </c>
      <c r="B159">
        <v>0.91600000000000004</v>
      </c>
      <c r="C159">
        <v>0.96299999999999997</v>
      </c>
      <c r="D159">
        <v>0.82899999999999996</v>
      </c>
      <c r="E159">
        <v>0.84799999999999998</v>
      </c>
      <c r="F159">
        <v>1479202.6850000001</v>
      </c>
      <c r="G159">
        <v>0.84799999999999998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-0.71641791044776093</v>
      </c>
      <c r="Q159">
        <f t="shared" ref="Q159" si="771">F159*P159</f>
        <v>-1059727.2967164177</v>
      </c>
      <c r="R159">
        <f t="shared" ref="R159" si="772">R160+Q159</f>
        <v>-57052153.757684536</v>
      </c>
      <c r="S159">
        <f t="shared" ref="S159" si="773">R159/100000</f>
        <v>-570.52153757684539</v>
      </c>
      <c r="T159">
        <f t="shared" ref="T159" si="774">S159/1000</f>
        <v>-0.57052153757684543</v>
      </c>
    </row>
    <row r="160" spans="1:20" x14ac:dyDescent="0.25">
      <c r="A160" s="5">
        <v>44424</v>
      </c>
      <c r="B160">
        <v>0.94</v>
      </c>
      <c r="C160">
        <v>0.99199999999999999</v>
      </c>
      <c r="D160">
        <v>0.89500000000000002</v>
      </c>
      <c r="E160">
        <v>0.91600000000000004</v>
      </c>
      <c r="F160">
        <v>1321109.7320000001</v>
      </c>
      <c r="G160">
        <v>0.91600000000000004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-0.56701030927835006</v>
      </c>
      <c r="Q160">
        <f t="shared" ref="Q160" si="776">F160*P160</f>
        <v>-749082.83773195825</v>
      </c>
      <c r="R160">
        <f t="shared" ref="R160" si="777">R161+Q160</f>
        <v>-55992426.460968122</v>
      </c>
      <c r="S160">
        <f t="shared" ref="S160" si="778">R160/100000</f>
        <v>-559.92426460968125</v>
      </c>
      <c r="T160">
        <f t="shared" ref="T160" si="779">S160/1000</f>
        <v>-0.55992426460968125</v>
      </c>
    </row>
    <row r="161" spans="1:20" x14ac:dyDescent="0.25">
      <c r="A161" s="5">
        <v>44423</v>
      </c>
      <c r="B161">
        <v>0.95799999999999996</v>
      </c>
      <c r="C161">
        <v>0.98299999999999998</v>
      </c>
      <c r="D161">
        <v>0.90800000000000003</v>
      </c>
      <c r="E161">
        <v>0.94</v>
      </c>
      <c r="F161">
        <v>1204688.122</v>
      </c>
      <c r="G161">
        <v>0.94</v>
      </c>
      <c r="L161" t="s">
        <v>8</v>
      </c>
      <c r="M161" t="s">
        <v>7</v>
      </c>
      <c r="N161" t="s">
        <v>7</v>
      </c>
      <c r="P161">
        <f t="shared" ref="P161" si="780">IF(C161=D161,0,((E161-D161)-(C161-E161))/(C161-D161))</f>
        <v>-0.14666666666666836</v>
      </c>
      <c r="Q161">
        <f t="shared" ref="Q161" si="781">F161*P161</f>
        <v>-176687.59122666871</v>
      </c>
      <c r="R161">
        <f t="shared" ref="R161" si="782">R162+Q161</f>
        <v>-55243343.623236164</v>
      </c>
      <c r="S161">
        <f t="shared" ref="S161" si="783">R161/100000</f>
        <v>-552.4334362323616</v>
      </c>
      <c r="T161">
        <f t="shared" ref="T161" si="784">S161/1000</f>
        <v>-0.55243343623236163</v>
      </c>
    </row>
    <row r="162" spans="1:20" x14ac:dyDescent="0.25">
      <c r="A162" s="5">
        <v>44422</v>
      </c>
      <c r="B162">
        <v>0.98799999999999999</v>
      </c>
      <c r="C162">
        <v>1</v>
      </c>
      <c r="D162">
        <v>0.9</v>
      </c>
      <c r="E162">
        <v>0.95599999999999996</v>
      </c>
      <c r="F162">
        <v>2197314.96</v>
      </c>
      <c r="G162">
        <v>0.95599999999999996</v>
      </c>
      <c r="L162" t="s">
        <v>7</v>
      </c>
      <c r="M162" t="s">
        <v>7</v>
      </c>
      <c r="N162" t="s">
        <v>7</v>
      </c>
      <c r="P162">
        <f t="shared" ref="P162" si="785">IF(C162=D162,0,((E162-D162)-(C162-E162))/(C162-D162))</f>
        <v>0.11999999999999902</v>
      </c>
      <c r="Q162">
        <f t="shared" ref="Q162" si="786">F162*P162</f>
        <v>263677.79519999784</v>
      </c>
      <c r="R162">
        <f t="shared" ref="R162" si="787">R163+Q162</f>
        <v>-55066656.032009497</v>
      </c>
      <c r="S162">
        <f t="shared" ref="S162" si="788">R162/100000</f>
        <v>-550.66656032009496</v>
      </c>
      <c r="T162">
        <f t="shared" ref="T162" si="789">S162/1000</f>
        <v>-0.55066656032009498</v>
      </c>
    </row>
    <row r="163" spans="1:20" x14ac:dyDescent="0.25">
      <c r="A163" s="5">
        <v>44421</v>
      </c>
      <c r="B163">
        <v>0.86</v>
      </c>
      <c r="C163">
        <v>1.0780000000000001</v>
      </c>
      <c r="D163">
        <v>0.84499999999999997</v>
      </c>
      <c r="E163">
        <v>0.98699999999999999</v>
      </c>
      <c r="F163">
        <v>3082782.1830000002</v>
      </c>
      <c r="G163">
        <v>0.98699999999999999</v>
      </c>
      <c r="L163" t="s">
        <v>8</v>
      </c>
      <c r="M163" t="s">
        <v>8</v>
      </c>
      <c r="N163" t="s">
        <v>7</v>
      </c>
      <c r="P163">
        <f t="shared" ref="P163" si="790">IF(C163=D163,0,((E163-D163)-(C163-E163))/(C163-D163))</f>
        <v>0.21888412017167344</v>
      </c>
      <c r="Q163">
        <f t="shared" ref="Q163" si="791">F163*P163</f>
        <v>674772.06580686581</v>
      </c>
      <c r="R163">
        <f t="shared" ref="R163" si="792">R164+Q163</f>
        <v>-55330333.827209495</v>
      </c>
      <c r="S163">
        <f t="shared" ref="S163" si="793">R163/100000</f>
        <v>-553.30333827209495</v>
      </c>
      <c r="T163">
        <f t="shared" ref="T163" si="794">S163/1000</f>
        <v>-0.55330333827209499</v>
      </c>
    </row>
    <row r="164" spans="1:20" x14ac:dyDescent="0.25">
      <c r="A164" s="5">
        <v>44420</v>
      </c>
      <c r="B164">
        <v>0.89900000000000002</v>
      </c>
      <c r="C164">
        <v>0.91</v>
      </c>
      <c r="D164">
        <v>0.82199999999999995</v>
      </c>
      <c r="E164">
        <v>0.85899999999999999</v>
      </c>
      <c r="F164">
        <v>3445577.5389999999</v>
      </c>
      <c r="G164">
        <v>0.85899999999999999</v>
      </c>
      <c r="L164" t="s">
        <v>7</v>
      </c>
      <c r="M164" t="s">
        <v>7</v>
      </c>
      <c r="N164" t="s">
        <v>7</v>
      </c>
      <c r="P164">
        <f t="shared" ref="P164" si="795">IF(C164=D164,0,((E164-D164)-(C164-E164))/(C164-D164))</f>
        <v>-0.15909090909090909</v>
      </c>
      <c r="Q164">
        <f t="shared" ref="Q164" si="796">F164*P164</f>
        <v>-548160.06302272726</v>
      </c>
      <c r="R164">
        <f t="shared" ref="R164" si="797">R165+Q164</f>
        <v>-56005105.893016361</v>
      </c>
      <c r="S164">
        <f t="shared" ref="S164" si="798">R164/100000</f>
        <v>-560.05105893016366</v>
      </c>
      <c r="T164">
        <f t="shared" ref="T164" si="799">S164/1000</f>
        <v>-0.56005105893016371</v>
      </c>
    </row>
    <row r="165" spans="1:20" x14ac:dyDescent="0.25">
      <c r="A165" s="5">
        <v>44419</v>
      </c>
      <c r="B165">
        <v>0.89800000000000002</v>
      </c>
      <c r="C165">
        <v>1.03</v>
      </c>
      <c r="D165">
        <v>0.89200000000000002</v>
      </c>
      <c r="E165">
        <v>0.9</v>
      </c>
      <c r="F165">
        <v>2006230.2879999999</v>
      </c>
      <c r="G165">
        <v>0.9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-0.88405797101449268</v>
      </c>
      <c r="Q165">
        <f t="shared" ref="Q165" si="801">F165*P165</f>
        <v>-1773623.8777971012</v>
      </c>
      <c r="R165">
        <f t="shared" ref="R165" si="802">R166+Q165</f>
        <v>-55456945.829993635</v>
      </c>
      <c r="S165">
        <f t="shared" ref="S165" si="803">R165/100000</f>
        <v>-554.5694582999364</v>
      </c>
      <c r="T165">
        <f t="shared" ref="T165" si="804">S165/1000</f>
        <v>-0.55456945829993642</v>
      </c>
    </row>
    <row r="166" spans="1:20" x14ac:dyDescent="0.25">
      <c r="A166" s="5">
        <v>44418</v>
      </c>
      <c r="B166">
        <v>0.90400000000000003</v>
      </c>
      <c r="C166">
        <v>0.92400000000000004</v>
      </c>
      <c r="D166">
        <v>0.86399999999999999</v>
      </c>
      <c r="E166">
        <v>0.89700000000000002</v>
      </c>
      <c r="F166">
        <v>987612.30099999998</v>
      </c>
      <c r="G166">
        <v>0.89700000000000002</v>
      </c>
      <c r="L166" t="s">
        <v>8</v>
      </c>
      <c r="M166" t="s">
        <v>8</v>
      </c>
      <c r="N166" t="s">
        <v>7</v>
      </c>
      <c r="P166">
        <f t="shared" ref="P166" si="805">IF(C166=D166,0,((E166-D166)-(C166-E166))/(C166-D166))</f>
        <v>0.1</v>
      </c>
      <c r="Q166">
        <f t="shared" ref="Q166" si="806">F166*P166</f>
        <v>98761.230100000001</v>
      </c>
      <c r="R166">
        <f t="shared" ref="R166" si="807">R167+Q166</f>
        <v>-53683321.952196531</v>
      </c>
      <c r="S166">
        <f t="shared" ref="S166" si="808">R166/100000</f>
        <v>-536.83321952196536</v>
      </c>
      <c r="T166">
        <f t="shared" ref="T166" si="809">S166/1000</f>
        <v>-0.53683321952196539</v>
      </c>
    </row>
    <row r="167" spans="1:20" x14ac:dyDescent="0.25">
      <c r="A167" s="5">
        <v>44417</v>
      </c>
      <c r="B167">
        <v>0.86699999999999999</v>
      </c>
      <c r="C167">
        <v>0.94299999999999995</v>
      </c>
      <c r="D167">
        <v>0.83</v>
      </c>
      <c r="E167">
        <v>0.90300000000000002</v>
      </c>
      <c r="F167">
        <v>1530023.7930000001</v>
      </c>
      <c r="G167">
        <v>0.90300000000000002</v>
      </c>
      <c r="L167" t="s">
        <v>7</v>
      </c>
      <c r="M167" t="s">
        <v>8</v>
      </c>
      <c r="N167" t="s">
        <v>7</v>
      </c>
      <c r="P167">
        <f t="shared" ref="P167" si="810">IF(C167=D167,0,((E167-D167)-(C167-E167))/(C167-D167))</f>
        <v>0.29203539823008978</v>
      </c>
      <c r="Q167">
        <f t="shared" ref="Q167" si="811">F167*P167</f>
        <v>446821.1076902675</v>
      </c>
      <c r="R167">
        <f t="shared" ref="R167" si="812">R168+Q167</f>
        <v>-53782083.182296529</v>
      </c>
      <c r="S167">
        <f t="shared" ref="S167" si="813">R167/100000</f>
        <v>-537.82083182296526</v>
      </c>
      <c r="T167">
        <f t="shared" ref="T167" si="814">S167/1000</f>
        <v>-0.53782083182296525</v>
      </c>
    </row>
    <row r="168" spans="1:20" x14ac:dyDescent="0.25">
      <c r="A168" s="5">
        <v>44416</v>
      </c>
      <c r="B168">
        <v>0.89100000000000001</v>
      </c>
      <c r="C168">
        <v>0.999</v>
      </c>
      <c r="D168">
        <v>0.85299999999999998</v>
      </c>
      <c r="E168">
        <v>0.86599999999999999</v>
      </c>
      <c r="F168">
        <v>2153811.5699999998</v>
      </c>
      <c r="G168">
        <v>0.86599999999999999</v>
      </c>
      <c r="L168" t="s">
        <v>8</v>
      </c>
      <c r="M168" t="s">
        <v>8</v>
      </c>
      <c r="N168" t="s">
        <v>7</v>
      </c>
      <c r="P168">
        <f t="shared" ref="P168" si="815">IF(C168=D168,0,((E168-D168)-(C168-E168))/(C168-D168))</f>
        <v>-0.82191780821917793</v>
      </c>
      <c r="Q168">
        <f t="shared" ref="Q168" si="816">F168*P168</f>
        <v>-1770256.0849315063</v>
      </c>
      <c r="R168">
        <f t="shared" ref="R168" si="817">R169+Q168</f>
        <v>-54228904.289986797</v>
      </c>
      <c r="S168">
        <f t="shared" ref="S168" si="818">R168/100000</f>
        <v>-542.28904289986792</v>
      </c>
      <c r="T168">
        <f t="shared" ref="T168" si="819">S168/1000</f>
        <v>-0.5422890428998679</v>
      </c>
    </row>
    <row r="169" spans="1:20" x14ac:dyDescent="0.25">
      <c r="A169" s="5">
        <v>44415</v>
      </c>
      <c r="B169">
        <v>0.89</v>
      </c>
      <c r="C169">
        <v>0.95</v>
      </c>
      <c r="D169">
        <v>0.87</v>
      </c>
      <c r="E169">
        <v>0.89400000000000002</v>
      </c>
      <c r="F169">
        <v>1804901.0870000001</v>
      </c>
      <c r="G169">
        <v>0.89400000000000002</v>
      </c>
      <c r="L169" t="s">
        <v>8</v>
      </c>
      <c r="M169" t="s">
        <v>7</v>
      </c>
      <c r="N169" t="s">
        <v>7</v>
      </c>
      <c r="P169">
        <f t="shared" ref="P169" si="820">IF(C169=D169,0,((E169-D169)-(C169-E169))/(C169-D169))</f>
        <v>-0.39999999999999919</v>
      </c>
      <c r="Q169">
        <f t="shared" ref="Q169" si="821">F169*P169</f>
        <v>-721960.43479999853</v>
      </c>
      <c r="R169">
        <f t="shared" ref="R169" si="822">R170+Q169</f>
        <v>-52458648.205055289</v>
      </c>
      <c r="S169">
        <f t="shared" ref="S169" si="823">R169/100000</f>
        <v>-524.58648205055295</v>
      </c>
      <c r="T169">
        <f t="shared" ref="T169" si="824">S169/1000</f>
        <v>-0.52458648205055292</v>
      </c>
    </row>
    <row r="170" spans="1:20" x14ac:dyDescent="0.25">
      <c r="A170" s="5">
        <v>44414</v>
      </c>
      <c r="B170">
        <v>0.83</v>
      </c>
      <c r="C170">
        <v>1.05</v>
      </c>
      <c r="D170">
        <v>0.80400000000000005</v>
      </c>
      <c r="E170">
        <v>0.89</v>
      </c>
      <c r="F170">
        <v>6799679.0369999995</v>
      </c>
      <c r="G170">
        <v>0.89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-0.30081300813008155</v>
      </c>
      <c r="Q170">
        <f t="shared" ref="Q170" si="826">F170*P170</f>
        <v>-2045431.905439026</v>
      </c>
      <c r="R170">
        <f t="shared" ref="R170" si="827">R171+Q170</f>
        <v>-51736687.77025529</v>
      </c>
      <c r="S170">
        <f t="shared" ref="S170" si="828">R170/100000</f>
        <v>-517.36687770255287</v>
      </c>
      <c r="T170">
        <f t="shared" ref="T170" si="829">S170/1000</f>
        <v>-0.51736687770255285</v>
      </c>
    </row>
    <row r="171" spans="1:20" x14ac:dyDescent="0.25">
      <c r="A171" s="5">
        <v>44413</v>
      </c>
      <c r="B171">
        <v>0.73399999999999999</v>
      </c>
      <c r="C171">
        <v>1.129</v>
      </c>
      <c r="D171">
        <v>0.73</v>
      </c>
      <c r="E171">
        <v>0.82799999999999996</v>
      </c>
      <c r="F171">
        <v>7179653.4270000001</v>
      </c>
      <c r="G171">
        <v>0.82799999999999996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-0.50877192982456154</v>
      </c>
      <c r="Q171">
        <f t="shared" ref="Q171" si="831">F171*P171</f>
        <v>-3652806.1295263167</v>
      </c>
      <c r="R171">
        <f t="shared" ref="R171" si="832">R172+Q171</f>
        <v>-49691255.864816263</v>
      </c>
      <c r="S171">
        <f t="shared" ref="S171" si="833">R171/100000</f>
        <v>-496.91255864816264</v>
      </c>
      <c r="T171">
        <f t="shared" ref="T171" si="834">S171/1000</f>
        <v>-0.49691255864816264</v>
      </c>
    </row>
    <row r="172" spans="1:20" x14ac:dyDescent="0.25">
      <c r="A172" s="5">
        <v>44412</v>
      </c>
      <c r="B172">
        <v>0.69399999999999995</v>
      </c>
      <c r="C172">
        <v>0.745</v>
      </c>
      <c r="D172">
        <v>0.68899999999999995</v>
      </c>
      <c r="E172">
        <v>0.73199999999999998</v>
      </c>
      <c r="F172">
        <v>677612.60800000001</v>
      </c>
      <c r="G172">
        <v>0.73199999999999998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0.5357142857142857</v>
      </c>
      <c r="Q172">
        <f t="shared" ref="Q172" si="836">F172*P172</f>
        <v>363006.7542857143</v>
      </c>
      <c r="R172">
        <f t="shared" ref="R172" si="837">R173+Q172</f>
        <v>-46038449.735289946</v>
      </c>
      <c r="S172">
        <f t="shared" ref="S172" si="838">R172/100000</f>
        <v>-460.38449735289947</v>
      </c>
      <c r="T172">
        <f t="shared" ref="T172" si="839">S172/1000</f>
        <v>-0.46038449735289949</v>
      </c>
    </row>
    <row r="173" spans="1:20" x14ac:dyDescent="0.25">
      <c r="A173" s="5">
        <v>44411</v>
      </c>
      <c r="B173">
        <v>0.68400000000000005</v>
      </c>
      <c r="C173">
        <v>0.72799999999999998</v>
      </c>
      <c r="D173">
        <v>0.65500000000000003</v>
      </c>
      <c r="E173">
        <v>0.69399999999999995</v>
      </c>
      <c r="F173">
        <v>1033719.95</v>
      </c>
      <c r="G173">
        <v>0.69399999999999995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6.8493150684930088E-2</v>
      </c>
      <c r="Q173">
        <f t="shared" ref="Q173" si="841">F173*P173</f>
        <v>70802.736301368393</v>
      </c>
      <c r="R173">
        <f t="shared" ref="R173" si="842">R174+Q173</f>
        <v>-46401456.489575662</v>
      </c>
      <c r="S173">
        <f t="shared" ref="S173" si="843">R173/100000</f>
        <v>-464.01456489575662</v>
      </c>
      <c r="T173">
        <f t="shared" ref="T173" si="844">S173/1000</f>
        <v>-0.4640145648957566</v>
      </c>
    </row>
    <row r="174" spans="1:20" x14ac:dyDescent="0.25">
      <c r="A174" s="5">
        <v>44410</v>
      </c>
      <c r="B174">
        <v>0.69399999999999995</v>
      </c>
      <c r="C174">
        <v>0.70499999999999996</v>
      </c>
      <c r="D174">
        <v>0.66800000000000004</v>
      </c>
      <c r="E174">
        <v>0.68100000000000005</v>
      </c>
      <c r="F174">
        <v>659589.07299999997</v>
      </c>
      <c r="G174">
        <v>0.68100000000000005</v>
      </c>
      <c r="L174" t="s">
        <v>7</v>
      </c>
      <c r="M174" t="s">
        <v>7</v>
      </c>
      <c r="N174" t="s">
        <v>8</v>
      </c>
      <c r="P174">
        <f t="shared" ref="P174" si="845">IF(C174=D174,0,((E174-D174)-(C174-E174))/(C174-D174))</f>
        <v>-0.2972972972972952</v>
      </c>
      <c r="Q174">
        <f t="shared" ref="Q174" si="846">F174*P174</f>
        <v>-196094.04872972835</v>
      </c>
      <c r="R174">
        <f t="shared" ref="R174" si="847">R175+Q174</f>
        <v>-46472259.225877032</v>
      </c>
      <c r="S174">
        <f t="shared" ref="S174" si="848">R174/100000</f>
        <v>-464.72259225877031</v>
      </c>
      <c r="T174">
        <f t="shared" ref="T174" si="849">S174/1000</f>
        <v>-0.46472259225877033</v>
      </c>
    </row>
    <row r="175" spans="1:20" x14ac:dyDescent="0.25">
      <c r="A175" s="5">
        <v>44409</v>
      </c>
      <c r="B175">
        <v>0.71699999999999997</v>
      </c>
      <c r="C175">
        <v>0.73499999999999999</v>
      </c>
      <c r="D175">
        <v>0.67700000000000005</v>
      </c>
      <c r="E175">
        <v>0.69299999999999995</v>
      </c>
      <c r="F175">
        <v>1785635.7120000001</v>
      </c>
      <c r="G175">
        <v>0.69299999999999995</v>
      </c>
      <c r="L175" t="s">
        <v>7</v>
      </c>
      <c r="M175" t="s">
        <v>7</v>
      </c>
      <c r="N175" t="s">
        <v>8</v>
      </c>
      <c r="P175">
        <f t="shared" ref="P175" si="850">IF(C175=D175,0,((E175-D175)-(C175-E175))/(C175-D175))</f>
        <v>-0.4482758620689683</v>
      </c>
      <c r="Q175">
        <f t="shared" ref="Q175" si="851">F175*P175</f>
        <v>-800457.38813793601</v>
      </c>
      <c r="R175">
        <f t="shared" ref="R175" si="852">R176+Q175</f>
        <v>-46276165.177147307</v>
      </c>
      <c r="S175">
        <f t="shared" ref="S175" si="853">R175/100000</f>
        <v>-462.76165177147305</v>
      </c>
      <c r="T175">
        <f t="shared" ref="T175" si="854">S175/1000</f>
        <v>-0.46276165177147305</v>
      </c>
    </row>
    <row r="176" spans="1:20" x14ac:dyDescent="0.25">
      <c r="A176" s="5">
        <v>44408</v>
      </c>
      <c r="B176">
        <v>0.66300000000000003</v>
      </c>
      <c r="C176">
        <v>0.84599999999999997</v>
      </c>
      <c r="D176">
        <v>0.64</v>
      </c>
      <c r="E176">
        <v>0.71699999999999997</v>
      </c>
      <c r="F176">
        <v>5174251.3490000004</v>
      </c>
      <c r="G176">
        <v>0.71699999999999997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-0.25242718446601969</v>
      </c>
      <c r="Q176">
        <f t="shared" ref="Q176" si="856">F176*P176</f>
        <v>-1306121.6997475743</v>
      </c>
      <c r="R176">
        <f t="shared" ref="R176" si="857">R177+Q176</f>
        <v>-45475707.78900937</v>
      </c>
      <c r="S176">
        <f t="shared" ref="S176" si="858">R176/100000</f>
        <v>-454.75707789009368</v>
      </c>
      <c r="T176">
        <f t="shared" ref="T176" si="859">S176/1000</f>
        <v>-0.45475707789009367</v>
      </c>
    </row>
    <row r="177" spans="1:20" x14ac:dyDescent="0.25">
      <c r="A177" s="5">
        <v>44407</v>
      </c>
      <c r="B177">
        <v>0.65100000000000002</v>
      </c>
      <c r="C177">
        <v>0.67</v>
      </c>
      <c r="D177">
        <v>0.61599999999999999</v>
      </c>
      <c r="E177">
        <v>0.66200000000000003</v>
      </c>
      <c r="F177">
        <v>479744.663</v>
      </c>
      <c r="G177">
        <v>0.66200000000000003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0.70370370370370372</v>
      </c>
      <c r="Q177">
        <f t="shared" ref="Q177" si="861">F177*P177</f>
        <v>337598.09618518519</v>
      </c>
      <c r="R177">
        <f t="shared" ref="R177" si="862">R178+Q177</f>
        <v>-44169586.089261793</v>
      </c>
      <c r="S177">
        <f t="shared" ref="S177" si="863">R177/100000</f>
        <v>-441.69586089261793</v>
      </c>
      <c r="T177">
        <f t="shared" ref="T177" si="864">S177/1000</f>
        <v>-0.44169586089261792</v>
      </c>
    </row>
    <row r="178" spans="1:20" x14ac:dyDescent="0.25">
      <c r="A178" s="5">
        <v>44406</v>
      </c>
      <c r="B178">
        <v>0.65100000000000002</v>
      </c>
      <c r="C178">
        <v>0.66200000000000003</v>
      </c>
      <c r="D178">
        <v>0.627</v>
      </c>
      <c r="E178">
        <v>0.65100000000000002</v>
      </c>
      <c r="F178">
        <v>476850.266</v>
      </c>
      <c r="G178">
        <v>0.65100000000000002</v>
      </c>
      <c r="L178" t="s">
        <v>7</v>
      </c>
      <c r="M178" t="s">
        <v>7</v>
      </c>
      <c r="N178" t="s">
        <v>8</v>
      </c>
      <c r="P178">
        <f t="shared" ref="P178" si="865">IF(C178=D178,0,((E178-D178)-(C178-E178))/(C178-D178))</f>
        <v>0.37142857142857144</v>
      </c>
      <c r="Q178">
        <f t="shared" ref="Q178" si="866">F178*P178</f>
        <v>177115.8130857143</v>
      </c>
      <c r="R178">
        <f t="shared" ref="R178" si="867">R179+Q178</f>
        <v>-44507184.185446978</v>
      </c>
      <c r="S178">
        <f t="shared" ref="S178" si="868">R178/100000</f>
        <v>-445.07184185446977</v>
      </c>
      <c r="T178">
        <f t="shared" ref="T178" si="869">S178/1000</f>
        <v>-0.44507184185446974</v>
      </c>
    </row>
    <row r="179" spans="1:20" x14ac:dyDescent="0.25">
      <c r="A179" s="5">
        <v>44405</v>
      </c>
      <c r="B179">
        <v>0.64600000000000002</v>
      </c>
      <c r="C179">
        <v>0.67400000000000004</v>
      </c>
      <c r="D179">
        <v>0.629</v>
      </c>
      <c r="E179">
        <v>0.65100000000000002</v>
      </c>
      <c r="F179">
        <v>646950.60800000001</v>
      </c>
      <c r="G179">
        <v>0.65100000000000002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-2.2222222222222223E-2</v>
      </c>
      <c r="Q179">
        <f t="shared" ref="Q179" si="871">F179*P179</f>
        <v>-14376.680177777778</v>
      </c>
      <c r="R179">
        <f t="shared" ref="R179" si="872">R180+Q179</f>
        <v>-44684299.99853269</v>
      </c>
      <c r="S179">
        <f t="shared" ref="S179" si="873">R179/100000</f>
        <v>-446.84299998532691</v>
      </c>
      <c r="T179">
        <f t="shared" ref="T179" si="874">S179/1000</f>
        <v>-0.44684299998532689</v>
      </c>
    </row>
    <row r="180" spans="1:20" x14ac:dyDescent="0.25">
      <c r="A180" s="5">
        <v>44404</v>
      </c>
      <c r="B180">
        <v>0.63200000000000001</v>
      </c>
      <c r="C180">
        <v>0.66700000000000004</v>
      </c>
      <c r="D180">
        <v>0.59399999999999997</v>
      </c>
      <c r="E180">
        <v>0.64600000000000002</v>
      </c>
      <c r="F180">
        <v>921223.23600000003</v>
      </c>
      <c r="G180">
        <v>0.64600000000000002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0.42465753424657532</v>
      </c>
      <c r="Q180">
        <f t="shared" ref="Q180" si="876">F180*P180</f>
        <v>391204.38789041096</v>
      </c>
      <c r="R180">
        <f t="shared" ref="R180" si="877">R181+Q180</f>
        <v>-44669923.318354912</v>
      </c>
      <c r="S180">
        <f t="shared" ref="S180" si="878">R180/100000</f>
        <v>-446.6992331835491</v>
      </c>
      <c r="T180">
        <f t="shared" ref="T180" si="879">S180/1000</f>
        <v>-0.44669923318354909</v>
      </c>
    </row>
    <row r="181" spans="1:20" x14ac:dyDescent="0.25">
      <c r="A181" s="5">
        <v>44403</v>
      </c>
      <c r="B181">
        <v>0.64600000000000002</v>
      </c>
      <c r="C181">
        <v>0.69599999999999995</v>
      </c>
      <c r="D181">
        <v>0.627</v>
      </c>
      <c r="E181">
        <v>0.63200000000000001</v>
      </c>
      <c r="F181">
        <v>1511887.7879999999</v>
      </c>
      <c r="G181">
        <v>0.63200000000000001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-0.85507246376811574</v>
      </c>
      <c r="Q181">
        <f t="shared" ref="Q181" si="881">F181*P181</f>
        <v>-1292773.6158260866</v>
      </c>
      <c r="R181">
        <f t="shared" ref="R181" si="882">R182+Q181</f>
        <v>-45061127.706245326</v>
      </c>
      <c r="S181">
        <f t="shared" ref="S181" si="883">R181/100000</f>
        <v>-450.61127706245327</v>
      </c>
      <c r="T181">
        <f t="shared" ref="T181" si="884">S181/1000</f>
        <v>-0.45061127706245324</v>
      </c>
    </row>
    <row r="182" spans="1:20" x14ac:dyDescent="0.25">
      <c r="A182" s="5">
        <v>44402</v>
      </c>
      <c r="B182">
        <v>0.61499999999999999</v>
      </c>
      <c r="C182">
        <v>0.78</v>
      </c>
      <c r="D182">
        <v>0.59599999999999997</v>
      </c>
      <c r="E182">
        <v>0.64700000000000002</v>
      </c>
      <c r="F182">
        <v>4453493.8870000001</v>
      </c>
      <c r="G182">
        <v>0.64700000000000002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-0.44565217391304313</v>
      </c>
      <c r="Q182">
        <f t="shared" ref="Q182" si="886">F182*P182</f>
        <v>-1984709.2322499985</v>
      </c>
      <c r="R182">
        <f t="shared" ref="R182" si="887">R183+Q182</f>
        <v>-43768354.09041924</v>
      </c>
      <c r="S182">
        <f t="shared" ref="S182" si="888">R182/100000</f>
        <v>-437.6835409041924</v>
      </c>
      <c r="T182">
        <f t="shared" ref="T182:T188" si="889">S182/1000</f>
        <v>-0.43768354090419243</v>
      </c>
    </row>
    <row r="183" spans="1:20" x14ac:dyDescent="0.25">
      <c r="A183" s="5">
        <v>44401</v>
      </c>
      <c r="B183">
        <v>0.59599999999999997</v>
      </c>
      <c r="C183">
        <v>0.66</v>
      </c>
      <c r="D183">
        <v>0.58299999999999996</v>
      </c>
      <c r="E183">
        <v>0.61599999999999999</v>
      </c>
      <c r="F183">
        <v>1583660.0149999999</v>
      </c>
      <c r="G183">
        <v>0.61599999999999999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-0.14285714285714285</v>
      </c>
      <c r="Q183">
        <f t="shared" ref="Q183" si="891">F183*P183</f>
        <v>-226237.14499999996</v>
      </c>
      <c r="R183">
        <f t="shared" ref="R183" si="892">R184+Q183</f>
        <v>-41783644.858169243</v>
      </c>
      <c r="S183">
        <f t="shared" ref="S183" si="893">R183/100000</f>
        <v>-417.83644858169242</v>
      </c>
      <c r="T183">
        <f t="shared" si="889"/>
        <v>-0.41783644858169244</v>
      </c>
    </row>
    <row r="184" spans="1:20" x14ac:dyDescent="0.25">
      <c r="A184" s="5">
        <v>44400</v>
      </c>
      <c r="B184">
        <v>0.55600000000000005</v>
      </c>
      <c r="C184">
        <v>0.69599999999999995</v>
      </c>
      <c r="D184">
        <v>0.54100000000000004</v>
      </c>
      <c r="E184">
        <v>0.59599999999999997</v>
      </c>
      <c r="F184">
        <v>5376905.6449999996</v>
      </c>
      <c r="G184">
        <v>0.59599999999999997</v>
      </c>
      <c r="L184" t="s">
        <v>8</v>
      </c>
      <c r="M184" t="s">
        <v>8</v>
      </c>
      <c r="N184" t="s">
        <v>8</v>
      </c>
      <c r="P184">
        <f t="shared" ref="P184" si="894">IF(C184=D184,0,((E184-D184)-(C184-E184))/(C184-D184))</f>
        <v>-0.2903225806451617</v>
      </c>
      <c r="Q184">
        <f t="shared" ref="Q184" si="895">F184*P184</f>
        <v>-1561037.1227419376</v>
      </c>
      <c r="R184">
        <f t="shared" ref="R184" si="896">R185+Q184</f>
        <v>-41557407.713169239</v>
      </c>
      <c r="S184">
        <f t="shared" ref="S184" si="897">R184/100000</f>
        <v>-415.57407713169238</v>
      </c>
      <c r="T184">
        <f t="shared" si="889"/>
        <v>-0.41557407713169237</v>
      </c>
    </row>
    <row r="185" spans="1:20" x14ac:dyDescent="0.25">
      <c r="A185" s="5">
        <v>44399</v>
      </c>
      <c r="B185">
        <v>0.54300000000000004</v>
      </c>
      <c r="C185">
        <v>0.55900000000000005</v>
      </c>
      <c r="D185">
        <v>0.53400000000000003</v>
      </c>
      <c r="E185">
        <v>0.55500000000000005</v>
      </c>
      <c r="F185">
        <v>359942.72</v>
      </c>
      <c r="G185">
        <v>0.55500000000000005</v>
      </c>
      <c r="L185" t="s">
        <v>8</v>
      </c>
      <c r="M185" t="s">
        <v>8</v>
      </c>
      <c r="N185" t="s">
        <v>7</v>
      </c>
      <c r="P185">
        <f t="shared" ref="P185" si="898">IF(C185=D185,0,((E185-D185)-(C185-E185))/(C185-D185))</f>
        <v>0.68</v>
      </c>
      <c r="Q185">
        <f t="shared" ref="Q185" si="899">F185*P185</f>
        <v>244761.0496</v>
      </c>
      <c r="R185">
        <f t="shared" ref="R185" si="900">R186+Q185</f>
        <v>-39996370.590427302</v>
      </c>
      <c r="S185">
        <f t="shared" ref="S185" si="901">R185/100000</f>
        <v>-399.96370590427301</v>
      </c>
      <c r="T185">
        <f t="shared" si="889"/>
        <v>-0.39996370590427299</v>
      </c>
    </row>
    <row r="186" spans="1:20" x14ac:dyDescent="0.25">
      <c r="A186" s="5">
        <v>44398</v>
      </c>
      <c r="B186">
        <v>0.503</v>
      </c>
      <c r="C186">
        <v>0.56899999999999995</v>
      </c>
      <c r="D186">
        <v>0.499</v>
      </c>
      <c r="E186">
        <v>0.54600000000000004</v>
      </c>
      <c r="F186">
        <v>406380.07</v>
      </c>
      <c r="G186">
        <v>0.54600000000000004</v>
      </c>
      <c r="L186" t="s">
        <v>8</v>
      </c>
      <c r="M186" t="s">
        <v>8</v>
      </c>
      <c r="N186" t="s">
        <v>7</v>
      </c>
      <c r="P186">
        <f t="shared" ref="P186" si="902">IF(C186=D186,0,((E186-D186)-(C186-E186))/(C186-D186))</f>
        <v>0.34285714285714497</v>
      </c>
      <c r="Q186">
        <f t="shared" ref="Q186" si="903">F186*P186</f>
        <v>139330.30971428659</v>
      </c>
      <c r="R186">
        <f t="shared" ref="R186" si="904">R187+Q186</f>
        <v>-40241131.6400273</v>
      </c>
      <c r="S186">
        <f t="shared" ref="S186" si="905">R186/100000</f>
        <v>-402.41131640027299</v>
      </c>
      <c r="T186">
        <f t="shared" si="889"/>
        <v>-0.402411316400273</v>
      </c>
    </row>
    <row r="187" spans="1:20" x14ac:dyDescent="0.25">
      <c r="A187" s="5">
        <v>44397</v>
      </c>
      <c r="B187">
        <v>0.55800000000000005</v>
      </c>
      <c r="C187">
        <v>0.56000000000000005</v>
      </c>
      <c r="D187">
        <v>0.47599999999999998</v>
      </c>
      <c r="E187">
        <v>0.502</v>
      </c>
      <c r="F187">
        <v>570408.26399999997</v>
      </c>
      <c r="G187">
        <v>0.502</v>
      </c>
      <c r="L187" t="s">
        <v>7</v>
      </c>
      <c r="M187" t="s">
        <v>7</v>
      </c>
      <c r="N187" t="s">
        <v>7</v>
      </c>
      <c r="P187">
        <f t="shared" ref="P187" si="906">IF(C187=D187,0,((E187-D187)-(C187-E187))/(C187-D187))</f>
        <v>-0.38095238095238093</v>
      </c>
      <c r="Q187">
        <f t="shared" ref="Q187" si="907">F187*P187</f>
        <v>-217298.38628571425</v>
      </c>
      <c r="R187">
        <f t="shared" ref="R187" si="908">R188+Q187</f>
        <v>-40380461.949741587</v>
      </c>
      <c r="S187">
        <f t="shared" ref="S187" si="909">R187/100000</f>
        <v>-403.80461949741584</v>
      </c>
      <c r="T187">
        <f t="shared" si="889"/>
        <v>-0.40380461949741586</v>
      </c>
    </row>
    <row r="188" spans="1:20" x14ac:dyDescent="0.25">
      <c r="A188" s="5">
        <v>44396</v>
      </c>
      <c r="B188">
        <v>0.58599999999999997</v>
      </c>
      <c r="C188">
        <v>0.59599999999999997</v>
      </c>
      <c r="D188">
        <v>0.53500000000000003</v>
      </c>
      <c r="E188">
        <v>0.55800000000000005</v>
      </c>
      <c r="F188">
        <v>797950.71</v>
      </c>
      <c r="G188">
        <v>0</v>
      </c>
      <c r="L188" t="s">
        <v>7</v>
      </c>
      <c r="M188" t="s">
        <v>7</v>
      </c>
      <c r="N188" t="s">
        <v>7</v>
      </c>
      <c r="P188">
        <f t="shared" ref="P188" si="910">IF(C188=D188,0,((E188-D188)-(C188-E188))/(C188-D188))</f>
        <v>-0.24590163934426093</v>
      </c>
      <c r="Q188">
        <f t="shared" ref="Q188" si="911">F188*P188</f>
        <v>-196217.38770491694</v>
      </c>
      <c r="R188">
        <f t="shared" ref="R188" si="912">R189+Q188</f>
        <v>-40163163.563455872</v>
      </c>
      <c r="S188">
        <f t="shared" ref="S188" si="913">R188/100000</f>
        <v>-401.63163563455873</v>
      </c>
      <c r="T188">
        <f t="shared" si="889"/>
        <v>-0.40163163563455873</v>
      </c>
    </row>
    <row r="189" spans="1:20" x14ac:dyDescent="0.25">
      <c r="A189" s="5">
        <v>44395</v>
      </c>
      <c r="B189">
        <v>0.56100000000000005</v>
      </c>
      <c r="C189">
        <v>0.65200000000000002</v>
      </c>
      <c r="D189">
        <v>0.55800000000000005</v>
      </c>
      <c r="E189">
        <v>0.58599999999999997</v>
      </c>
      <c r="F189">
        <v>1410643.496</v>
      </c>
      <c r="G189">
        <v>0</v>
      </c>
      <c r="L189" t="s">
        <v>8</v>
      </c>
      <c r="M189" t="s">
        <v>8</v>
      </c>
      <c r="N189" t="s">
        <v>7</v>
      </c>
      <c r="P189">
        <f t="shared" ref="P189:P252" si="914">IF(C189=D189,0,((E189-D189)-(C189-E189))/(C189-D189))</f>
        <v>-0.40425531914893781</v>
      </c>
      <c r="Q189">
        <f t="shared" ref="Q189:Q252" si="915">F189*P189</f>
        <v>-570260.13668085344</v>
      </c>
      <c r="R189">
        <f t="shared" ref="R189:R252" si="916">R190+Q189</f>
        <v>-39966946.175750956</v>
      </c>
      <c r="S189">
        <f t="shared" ref="S189:S252" si="917">R189/100000</f>
        <v>-399.66946175750957</v>
      </c>
      <c r="T189">
        <f t="shared" ref="T189:T252" si="918">S189/1000</f>
        <v>-0.39966946175750956</v>
      </c>
    </row>
    <row r="190" spans="1:20" x14ac:dyDescent="0.25">
      <c r="A190" s="5">
        <v>44394</v>
      </c>
      <c r="B190">
        <v>0.56100000000000005</v>
      </c>
      <c r="C190">
        <v>0.57299999999999995</v>
      </c>
      <c r="D190">
        <v>0.54</v>
      </c>
      <c r="E190">
        <v>0.55900000000000005</v>
      </c>
      <c r="F190">
        <v>324993.25</v>
      </c>
      <c r="G190">
        <v>0</v>
      </c>
      <c r="L190" t="s">
        <v>7</v>
      </c>
      <c r="M190" t="s">
        <v>7</v>
      </c>
      <c r="N190" t="s">
        <v>7</v>
      </c>
      <c r="P190">
        <f t="shared" si="914"/>
        <v>0.15151515151515538</v>
      </c>
      <c r="Q190">
        <f t="shared" si="915"/>
        <v>49241.401515152771</v>
      </c>
      <c r="R190">
        <f t="shared" si="916"/>
        <v>-39396686.0390701</v>
      </c>
      <c r="S190">
        <f t="shared" si="917"/>
        <v>-393.96686039070102</v>
      </c>
      <c r="T190">
        <f t="shared" si="918"/>
        <v>-0.393966860390701</v>
      </c>
    </row>
    <row r="191" spans="1:20" x14ac:dyDescent="0.25">
      <c r="A191" s="5">
        <v>44393</v>
      </c>
      <c r="B191">
        <v>0.60799999999999998</v>
      </c>
      <c r="C191">
        <v>0.63700000000000001</v>
      </c>
      <c r="D191">
        <v>0.56100000000000005</v>
      </c>
      <c r="E191">
        <v>0.56200000000000006</v>
      </c>
      <c r="F191">
        <v>543163.66899999999</v>
      </c>
      <c r="G191">
        <v>0</v>
      </c>
      <c r="L191" t="s">
        <v>7</v>
      </c>
      <c r="M191" t="s">
        <v>7</v>
      </c>
      <c r="N191" t="s">
        <v>7</v>
      </c>
      <c r="P191">
        <f t="shared" si="914"/>
        <v>-0.97368421052631571</v>
      </c>
      <c r="Q191">
        <f t="shared" si="915"/>
        <v>-528869.888236842</v>
      </c>
      <c r="R191">
        <f t="shared" si="916"/>
        <v>-39445927.440585256</v>
      </c>
      <c r="S191">
        <f t="shared" si="917"/>
        <v>-394.45927440585257</v>
      </c>
      <c r="T191">
        <f t="shared" si="918"/>
        <v>-0.39445927440585254</v>
      </c>
    </row>
    <row r="192" spans="1:20" x14ac:dyDescent="0.25">
      <c r="A192" s="5">
        <v>44392</v>
      </c>
      <c r="B192">
        <v>0.627</v>
      </c>
      <c r="C192">
        <v>0.64400000000000002</v>
      </c>
      <c r="D192">
        <v>0.57999999999999996</v>
      </c>
      <c r="E192">
        <v>0.60799999999999998</v>
      </c>
      <c r="F192">
        <v>696964.97100000002</v>
      </c>
      <c r="G192">
        <v>0</v>
      </c>
      <c r="L192" t="s">
        <v>7</v>
      </c>
      <c r="M192" t="s">
        <v>7</v>
      </c>
      <c r="N192" t="s">
        <v>7</v>
      </c>
      <c r="P192">
        <f t="shared" si="914"/>
        <v>-0.125</v>
      </c>
      <c r="Q192">
        <f t="shared" si="915"/>
        <v>-87120.621375000002</v>
      </c>
      <c r="R192">
        <f t="shared" si="916"/>
        <v>-38917057.552348413</v>
      </c>
      <c r="S192">
        <f t="shared" si="917"/>
        <v>-389.1705755234841</v>
      </c>
      <c r="T192">
        <f t="shared" si="918"/>
        <v>-0.38917057552348411</v>
      </c>
    </row>
    <row r="193" spans="1:20" x14ac:dyDescent="0.25">
      <c r="A193" s="5">
        <v>44391</v>
      </c>
      <c r="B193">
        <v>0.65300000000000002</v>
      </c>
      <c r="C193">
        <v>0.66700000000000004</v>
      </c>
      <c r="D193">
        <v>0.60099999999999998</v>
      </c>
      <c r="E193">
        <v>0.625</v>
      </c>
      <c r="F193">
        <v>875897.12300000002</v>
      </c>
      <c r="G193">
        <v>0</v>
      </c>
      <c r="L193" t="s">
        <v>7</v>
      </c>
      <c r="M193" t="s">
        <v>7</v>
      </c>
      <c r="N193" t="s">
        <v>7</v>
      </c>
      <c r="P193">
        <f t="shared" si="914"/>
        <v>-0.27272727272727271</v>
      </c>
      <c r="Q193">
        <f t="shared" si="915"/>
        <v>-238881.03354545453</v>
      </c>
      <c r="R193">
        <f t="shared" si="916"/>
        <v>-38829936.930973411</v>
      </c>
      <c r="S193">
        <f t="shared" si="917"/>
        <v>-388.29936930973412</v>
      </c>
      <c r="T193">
        <f t="shared" si="918"/>
        <v>-0.38829936930973413</v>
      </c>
    </row>
    <row r="194" spans="1:20" x14ac:dyDescent="0.25">
      <c r="A194" s="5">
        <v>44390</v>
      </c>
      <c r="B194">
        <v>0.67800000000000005</v>
      </c>
      <c r="C194">
        <v>0.69299999999999995</v>
      </c>
      <c r="D194">
        <v>0.64800000000000002</v>
      </c>
      <c r="E194">
        <v>0.65300000000000002</v>
      </c>
      <c r="F194">
        <v>477693.87699999998</v>
      </c>
      <c r="G194">
        <v>0</v>
      </c>
      <c r="L194" t="s">
        <v>7</v>
      </c>
      <c r="M194" t="s">
        <v>8</v>
      </c>
      <c r="N194" t="s">
        <v>8</v>
      </c>
      <c r="P194">
        <f t="shared" si="914"/>
        <v>-0.77777777777777724</v>
      </c>
      <c r="Q194">
        <f t="shared" si="915"/>
        <v>-371539.68211111083</v>
      </c>
      <c r="R194">
        <f t="shared" si="916"/>
        <v>-38591055.897427954</v>
      </c>
      <c r="S194">
        <f t="shared" si="917"/>
        <v>-385.91055897427952</v>
      </c>
      <c r="T194">
        <f t="shared" si="918"/>
        <v>-0.38591055897427951</v>
      </c>
    </row>
    <row r="195" spans="1:20" x14ac:dyDescent="0.25">
      <c r="A195" s="5">
        <v>44389</v>
      </c>
      <c r="B195">
        <v>0.67700000000000005</v>
      </c>
      <c r="C195">
        <v>0.77700000000000002</v>
      </c>
      <c r="D195">
        <v>0.66500000000000004</v>
      </c>
      <c r="E195">
        <v>0.68</v>
      </c>
      <c r="F195">
        <v>1538649.6980000001</v>
      </c>
      <c r="G195">
        <v>0</v>
      </c>
      <c r="L195" t="s">
        <v>8</v>
      </c>
      <c r="M195" t="s">
        <v>8</v>
      </c>
      <c r="N195" t="s">
        <v>8</v>
      </c>
      <c r="P195">
        <f t="shared" si="914"/>
        <v>-0.73214285714285687</v>
      </c>
      <c r="Q195">
        <f t="shared" si="915"/>
        <v>-1126511.3860357138</v>
      </c>
      <c r="R195">
        <f t="shared" si="916"/>
        <v>-38219516.21531684</v>
      </c>
      <c r="S195">
        <f t="shared" si="917"/>
        <v>-382.19516215316838</v>
      </c>
      <c r="T195">
        <f t="shared" si="918"/>
        <v>-0.3821951621531684</v>
      </c>
    </row>
    <row r="196" spans="1:20" x14ac:dyDescent="0.25">
      <c r="A196" s="5">
        <v>44388</v>
      </c>
      <c r="B196">
        <v>0.66600000000000004</v>
      </c>
      <c r="C196">
        <v>0.68799999999999994</v>
      </c>
      <c r="D196">
        <v>0.64500000000000002</v>
      </c>
      <c r="E196">
        <v>0.67700000000000005</v>
      </c>
      <c r="F196">
        <v>633581.82900000003</v>
      </c>
      <c r="G196">
        <v>0</v>
      </c>
      <c r="L196" t="s">
        <v>8</v>
      </c>
      <c r="M196" t="s">
        <v>7</v>
      </c>
      <c r="N196" t="s">
        <v>8</v>
      </c>
      <c r="P196">
        <f t="shared" si="914"/>
        <v>0.48837209302325968</v>
      </c>
      <c r="Q196">
        <f t="shared" si="915"/>
        <v>309423.68393023504</v>
      </c>
      <c r="R196">
        <f t="shared" si="916"/>
        <v>-37093004.829281129</v>
      </c>
      <c r="S196">
        <f t="shared" si="917"/>
        <v>-370.93004829281131</v>
      </c>
      <c r="T196">
        <f t="shared" si="918"/>
        <v>-0.37093004829281129</v>
      </c>
    </row>
    <row r="197" spans="1:20" x14ac:dyDescent="0.25">
      <c r="A197" s="5">
        <v>44387</v>
      </c>
      <c r="B197">
        <v>0.69899999999999995</v>
      </c>
      <c r="C197">
        <v>0.70799999999999996</v>
      </c>
      <c r="D197">
        <v>0.64400000000000002</v>
      </c>
      <c r="E197">
        <v>0.66300000000000003</v>
      </c>
      <c r="F197">
        <v>827047.78500000003</v>
      </c>
      <c r="G197">
        <v>0</v>
      </c>
      <c r="L197" t="s">
        <v>7</v>
      </c>
      <c r="M197" t="s">
        <v>7</v>
      </c>
      <c r="N197" t="s">
        <v>8</v>
      </c>
      <c r="P197">
        <f t="shared" si="914"/>
        <v>-0.40624999999999895</v>
      </c>
      <c r="Q197">
        <f t="shared" si="915"/>
        <v>-335988.16265624913</v>
      </c>
      <c r="R197">
        <f t="shared" si="916"/>
        <v>-37402428.513211362</v>
      </c>
      <c r="S197">
        <f t="shared" si="917"/>
        <v>-374.02428513211362</v>
      </c>
      <c r="T197">
        <f t="shared" si="918"/>
        <v>-0.37402428513211361</v>
      </c>
    </row>
    <row r="198" spans="1:20" x14ac:dyDescent="0.25">
      <c r="A198" s="5">
        <v>44386</v>
      </c>
      <c r="B198">
        <v>0.67800000000000005</v>
      </c>
      <c r="C198">
        <v>0.72199999999999998</v>
      </c>
      <c r="D198">
        <v>0.66300000000000003</v>
      </c>
      <c r="E198">
        <v>0.69599999999999995</v>
      </c>
      <c r="F198">
        <v>312343.34499999997</v>
      </c>
      <c r="G198">
        <v>0</v>
      </c>
      <c r="L198" t="s">
        <v>8</v>
      </c>
      <c r="M198" t="s">
        <v>7</v>
      </c>
      <c r="N198" t="s">
        <v>8</v>
      </c>
      <c r="P198">
        <f t="shared" si="914"/>
        <v>0.11864406779660851</v>
      </c>
      <c r="Q198">
        <f t="shared" si="915"/>
        <v>37057.684999999481</v>
      </c>
      <c r="R198">
        <f t="shared" si="916"/>
        <v>-37066440.350555114</v>
      </c>
      <c r="S198">
        <f t="shared" si="917"/>
        <v>-370.66440350555115</v>
      </c>
      <c r="T198">
        <f t="shared" si="918"/>
        <v>-0.37066440350555113</v>
      </c>
    </row>
    <row r="199" spans="1:20" x14ac:dyDescent="0.25">
      <c r="A199" s="5">
        <v>44385</v>
      </c>
      <c r="B199">
        <v>0.70799999999999996</v>
      </c>
      <c r="C199">
        <v>0.73099999999999998</v>
      </c>
      <c r="D199">
        <v>0.66</v>
      </c>
      <c r="E199">
        <v>0.68100000000000005</v>
      </c>
      <c r="F199">
        <v>667397.42500000005</v>
      </c>
      <c r="G199">
        <v>0</v>
      </c>
      <c r="L199" t="s">
        <v>7</v>
      </c>
      <c r="M199" t="s">
        <v>7</v>
      </c>
      <c r="N199" t="s">
        <v>8</v>
      </c>
      <c r="P199">
        <f t="shared" si="914"/>
        <v>-0.40845070422535118</v>
      </c>
      <c r="Q199">
        <f t="shared" si="915"/>
        <v>-272598.94823943602</v>
      </c>
      <c r="R199">
        <f t="shared" si="916"/>
        <v>-37103498.035555117</v>
      </c>
      <c r="S199">
        <f t="shared" si="917"/>
        <v>-371.03498035555117</v>
      </c>
      <c r="T199">
        <f t="shared" si="918"/>
        <v>-0.37103498035555116</v>
      </c>
    </row>
    <row r="200" spans="1:20" x14ac:dyDescent="0.25">
      <c r="A200" s="5">
        <v>44384</v>
      </c>
      <c r="B200">
        <v>0.745</v>
      </c>
      <c r="C200">
        <v>0.79800000000000004</v>
      </c>
      <c r="D200">
        <v>0.70199999999999996</v>
      </c>
      <c r="E200">
        <v>0.70799999999999996</v>
      </c>
      <c r="F200">
        <v>1328083.6229999999</v>
      </c>
      <c r="G200">
        <v>0</v>
      </c>
      <c r="L200" t="s">
        <v>7</v>
      </c>
      <c r="M200" t="s">
        <v>7</v>
      </c>
      <c r="N200" t="s">
        <v>8</v>
      </c>
      <c r="P200">
        <f t="shared" si="914"/>
        <v>-0.875</v>
      </c>
      <c r="Q200">
        <f t="shared" si="915"/>
        <v>-1162073.1701249999</v>
      </c>
      <c r="R200">
        <f t="shared" si="916"/>
        <v>-36830899.087315679</v>
      </c>
      <c r="S200">
        <f t="shared" si="917"/>
        <v>-368.3089908731568</v>
      </c>
      <c r="T200">
        <f t="shared" si="918"/>
        <v>-0.36830899087315683</v>
      </c>
    </row>
    <row r="201" spans="1:20" x14ac:dyDescent="0.25">
      <c r="A201" s="5">
        <v>44383</v>
      </c>
      <c r="B201">
        <v>0.76300000000000001</v>
      </c>
      <c r="C201">
        <v>0.876</v>
      </c>
      <c r="D201">
        <v>0.72599999999999998</v>
      </c>
      <c r="E201">
        <v>0.745</v>
      </c>
      <c r="F201">
        <v>2250751.8849999998</v>
      </c>
      <c r="G201">
        <v>0</v>
      </c>
      <c r="L201" t="s">
        <v>7</v>
      </c>
      <c r="M201" t="s">
        <v>7</v>
      </c>
      <c r="N201" t="s">
        <v>8</v>
      </c>
      <c r="P201">
        <f t="shared" si="914"/>
        <v>-0.74666666666666648</v>
      </c>
      <c r="Q201">
        <f t="shared" si="915"/>
        <v>-1680561.4074666661</v>
      </c>
      <c r="R201">
        <f t="shared" si="916"/>
        <v>-35668825.917190678</v>
      </c>
      <c r="S201">
        <f t="shared" si="917"/>
        <v>-356.68825917190679</v>
      </c>
      <c r="T201">
        <f t="shared" si="918"/>
        <v>-0.35668825917190677</v>
      </c>
    </row>
    <row r="202" spans="1:20" x14ac:dyDescent="0.25">
      <c r="A202" s="5">
        <v>44382</v>
      </c>
      <c r="B202">
        <v>0.70799999999999996</v>
      </c>
      <c r="C202">
        <v>0.89</v>
      </c>
      <c r="D202">
        <v>0.66300000000000003</v>
      </c>
      <c r="E202">
        <v>0.76300000000000001</v>
      </c>
      <c r="F202">
        <v>6027070.898</v>
      </c>
      <c r="G202">
        <v>0</v>
      </c>
      <c r="L202" t="s">
        <v>8</v>
      </c>
      <c r="M202" t="s">
        <v>8</v>
      </c>
      <c r="N202" t="s">
        <v>8</v>
      </c>
      <c r="P202">
        <f t="shared" si="914"/>
        <v>-0.11894273127753316</v>
      </c>
      <c r="Q202">
        <f t="shared" si="915"/>
        <v>-716876.27421145444</v>
      </c>
      <c r="R202">
        <f t="shared" si="916"/>
        <v>-33988264.509724014</v>
      </c>
      <c r="S202">
        <f t="shared" si="917"/>
        <v>-339.88264509724013</v>
      </c>
      <c r="T202">
        <f t="shared" si="918"/>
        <v>-0.33988264509724014</v>
      </c>
    </row>
    <row r="203" spans="1:20" x14ac:dyDescent="0.25">
      <c r="A203" s="5">
        <v>44381</v>
      </c>
      <c r="B203">
        <v>0.68700000000000006</v>
      </c>
      <c r="C203">
        <v>0.72399999999999998</v>
      </c>
      <c r="D203">
        <v>0.65400000000000003</v>
      </c>
      <c r="E203">
        <v>0.71099999999999997</v>
      </c>
      <c r="F203">
        <v>712398.125</v>
      </c>
      <c r="G203">
        <v>0</v>
      </c>
      <c r="L203" t="s">
        <v>8</v>
      </c>
      <c r="M203" t="s">
        <v>8</v>
      </c>
      <c r="N203" t="s">
        <v>7</v>
      </c>
      <c r="P203">
        <f t="shared" si="914"/>
        <v>0.628571428571428</v>
      </c>
      <c r="Q203">
        <f t="shared" si="915"/>
        <v>447793.10714285675</v>
      </c>
      <c r="R203">
        <f t="shared" si="916"/>
        <v>-33271388.235512562</v>
      </c>
      <c r="S203">
        <f t="shared" si="917"/>
        <v>-332.71388235512563</v>
      </c>
      <c r="T203">
        <f t="shared" si="918"/>
        <v>-0.33271388235512561</v>
      </c>
    </row>
    <row r="204" spans="1:20" x14ac:dyDescent="0.25">
      <c r="A204" s="5">
        <v>44380</v>
      </c>
      <c r="B204">
        <v>0.63900000000000001</v>
      </c>
      <c r="C204">
        <v>0.69899999999999995</v>
      </c>
      <c r="D204">
        <v>0.63200000000000001</v>
      </c>
      <c r="E204">
        <v>0.68799999999999994</v>
      </c>
      <c r="F204">
        <v>462221.90399999998</v>
      </c>
      <c r="G204">
        <v>0</v>
      </c>
      <c r="L204" t="s">
        <v>8</v>
      </c>
      <c r="M204" t="s">
        <v>7</v>
      </c>
      <c r="N204" t="s">
        <v>7</v>
      </c>
      <c r="P204">
        <f t="shared" si="914"/>
        <v>0.67164179104477562</v>
      </c>
      <c r="Q204">
        <f t="shared" si="915"/>
        <v>310447.54746268631</v>
      </c>
      <c r="R204">
        <f t="shared" si="916"/>
        <v>-33719181.34265542</v>
      </c>
      <c r="S204">
        <f t="shared" si="917"/>
        <v>-337.19181342655418</v>
      </c>
      <c r="T204">
        <f t="shared" si="918"/>
        <v>-0.33719181342655419</v>
      </c>
    </row>
    <row r="205" spans="1:20" x14ac:dyDescent="0.25">
      <c r="A205" s="5">
        <v>44379</v>
      </c>
      <c r="B205">
        <v>0.64300000000000002</v>
      </c>
      <c r="C205">
        <v>0.65200000000000002</v>
      </c>
      <c r="D205">
        <v>0.61299999999999999</v>
      </c>
      <c r="E205">
        <v>0.63500000000000001</v>
      </c>
      <c r="F205">
        <v>258286.402</v>
      </c>
      <c r="G205">
        <v>0</v>
      </c>
      <c r="L205" t="s">
        <v>7</v>
      </c>
      <c r="M205" t="s">
        <v>7</v>
      </c>
      <c r="N205" t="s">
        <v>7</v>
      </c>
      <c r="P205">
        <f t="shared" si="914"/>
        <v>0.12820512820512819</v>
      </c>
      <c r="Q205">
        <f t="shared" si="915"/>
        <v>33113.641282051278</v>
      </c>
      <c r="R205">
        <f t="shared" si="916"/>
        <v>-34029628.890118107</v>
      </c>
      <c r="S205">
        <f t="shared" si="917"/>
        <v>-340.29628890118107</v>
      </c>
      <c r="T205">
        <f t="shared" si="918"/>
        <v>-0.34029628890118108</v>
      </c>
    </row>
    <row r="206" spans="1:20" x14ac:dyDescent="0.25">
      <c r="A206" s="5">
        <v>44378</v>
      </c>
      <c r="B206">
        <v>0.67400000000000004</v>
      </c>
      <c r="C206">
        <v>0.67600000000000005</v>
      </c>
      <c r="D206">
        <v>0.622</v>
      </c>
      <c r="E206">
        <v>0.64200000000000002</v>
      </c>
      <c r="F206">
        <v>270594.44</v>
      </c>
      <c r="G206">
        <v>0</v>
      </c>
      <c r="L206" t="s">
        <v>8</v>
      </c>
      <c r="M206" t="s">
        <v>7</v>
      </c>
      <c r="N206" t="s">
        <v>7</v>
      </c>
      <c r="P206">
        <f t="shared" si="914"/>
        <v>-0.25925925925925924</v>
      </c>
      <c r="Q206">
        <f t="shared" si="915"/>
        <v>-70154.114074074067</v>
      </c>
      <c r="R206">
        <f t="shared" si="916"/>
        <v>-34062742.531400159</v>
      </c>
      <c r="S206">
        <f t="shared" si="917"/>
        <v>-340.62742531400158</v>
      </c>
      <c r="T206">
        <f t="shared" si="918"/>
        <v>-0.34062742531400159</v>
      </c>
    </row>
    <row r="207" spans="1:20" x14ac:dyDescent="0.25">
      <c r="A207" s="5">
        <v>44377</v>
      </c>
      <c r="B207">
        <v>0.69</v>
      </c>
      <c r="C207">
        <v>0.69499999999999995</v>
      </c>
      <c r="D207">
        <v>0.61</v>
      </c>
      <c r="E207">
        <v>0.67400000000000004</v>
      </c>
      <c r="F207">
        <v>574503.96200000006</v>
      </c>
      <c r="G207">
        <v>0</v>
      </c>
      <c r="L207" t="s">
        <v>7</v>
      </c>
      <c r="M207" t="s">
        <v>7</v>
      </c>
      <c r="N207" t="s">
        <v>7</v>
      </c>
      <c r="P207">
        <f t="shared" si="914"/>
        <v>0.50588235294117845</v>
      </c>
      <c r="Q207">
        <f t="shared" si="915"/>
        <v>290631.41607058939</v>
      </c>
      <c r="R207">
        <f t="shared" si="916"/>
        <v>-33992588.417326085</v>
      </c>
      <c r="S207">
        <f t="shared" si="917"/>
        <v>-339.92588417326084</v>
      </c>
      <c r="T207">
        <f t="shared" si="918"/>
        <v>-0.33992588417326086</v>
      </c>
    </row>
    <row r="208" spans="1:20" x14ac:dyDescent="0.25">
      <c r="A208" s="5">
        <v>44376</v>
      </c>
      <c r="B208">
        <v>0.64400000000000002</v>
      </c>
      <c r="C208">
        <v>0.71199999999999997</v>
      </c>
      <c r="D208">
        <v>0.64400000000000002</v>
      </c>
      <c r="E208">
        <v>0.69</v>
      </c>
      <c r="F208">
        <v>573437.973</v>
      </c>
      <c r="G208">
        <v>0</v>
      </c>
      <c r="L208" t="s">
        <v>8</v>
      </c>
      <c r="M208" t="s">
        <v>8</v>
      </c>
      <c r="N208" t="s">
        <v>7</v>
      </c>
      <c r="P208">
        <f t="shared" si="914"/>
        <v>0.3529411764705872</v>
      </c>
      <c r="Q208">
        <f t="shared" si="915"/>
        <v>202389.87282352883</v>
      </c>
      <c r="R208">
        <f t="shared" si="916"/>
        <v>-34283219.833396673</v>
      </c>
      <c r="S208">
        <f t="shared" si="917"/>
        <v>-342.83219833396674</v>
      </c>
      <c r="T208">
        <f t="shared" si="918"/>
        <v>-0.34283219833396672</v>
      </c>
    </row>
    <row r="209" spans="1:20" x14ac:dyDescent="0.25">
      <c r="A209" s="5">
        <v>44375</v>
      </c>
      <c r="B209">
        <v>0.65300000000000002</v>
      </c>
      <c r="C209">
        <v>0.65600000000000003</v>
      </c>
      <c r="D209">
        <v>0.61199999999999999</v>
      </c>
      <c r="E209">
        <v>0.64200000000000002</v>
      </c>
      <c r="F209">
        <v>429510.489</v>
      </c>
      <c r="G209">
        <v>0</v>
      </c>
      <c r="L209" t="s">
        <v>7</v>
      </c>
      <c r="M209" t="s">
        <v>8</v>
      </c>
      <c r="N209" t="s">
        <v>7</v>
      </c>
      <c r="P209">
        <f t="shared" si="914"/>
        <v>0.36363636363636365</v>
      </c>
      <c r="Q209">
        <f t="shared" si="915"/>
        <v>156185.63236363637</v>
      </c>
      <c r="R209">
        <f t="shared" si="916"/>
        <v>-34485609.706220202</v>
      </c>
      <c r="S209">
        <f t="shared" si="917"/>
        <v>-344.85609706220202</v>
      </c>
      <c r="T209">
        <f t="shared" si="918"/>
        <v>-0.34485609706220205</v>
      </c>
    </row>
    <row r="210" spans="1:20" x14ac:dyDescent="0.25">
      <c r="A210" s="5">
        <v>44374</v>
      </c>
      <c r="B210">
        <v>0.59499999999999997</v>
      </c>
      <c r="C210">
        <v>0.67800000000000005</v>
      </c>
      <c r="D210">
        <v>0.58199999999999996</v>
      </c>
      <c r="E210">
        <v>0.65100000000000002</v>
      </c>
      <c r="F210">
        <v>912049.44700000004</v>
      </c>
      <c r="G210">
        <v>0</v>
      </c>
      <c r="L210" t="s">
        <v>8</v>
      </c>
      <c r="M210" t="s">
        <v>8</v>
      </c>
      <c r="N210" t="s">
        <v>7</v>
      </c>
      <c r="P210">
        <f t="shared" si="914"/>
        <v>0.4375</v>
      </c>
      <c r="Q210">
        <f t="shared" si="915"/>
        <v>399021.63306250004</v>
      </c>
      <c r="R210">
        <f t="shared" si="916"/>
        <v>-34641795.338583842</v>
      </c>
      <c r="S210">
        <f t="shared" si="917"/>
        <v>-346.41795338583842</v>
      </c>
      <c r="T210">
        <f t="shared" si="918"/>
        <v>-0.34641795338583842</v>
      </c>
    </row>
    <row r="211" spans="1:20" x14ac:dyDescent="0.25">
      <c r="A211" s="5">
        <v>44373</v>
      </c>
      <c r="B211">
        <v>0.6</v>
      </c>
      <c r="C211">
        <v>0.65400000000000003</v>
      </c>
      <c r="D211">
        <v>0.53400000000000003</v>
      </c>
      <c r="E211">
        <v>0.59499999999999997</v>
      </c>
      <c r="F211">
        <v>795231.33900000004</v>
      </c>
      <c r="G211">
        <v>0</v>
      </c>
      <c r="L211" t="s">
        <v>7</v>
      </c>
      <c r="M211" t="s">
        <v>7</v>
      </c>
      <c r="N211" t="s">
        <v>7</v>
      </c>
      <c r="P211">
        <f t="shared" si="914"/>
        <v>1.6666666666665757E-2</v>
      </c>
      <c r="Q211">
        <f t="shared" si="915"/>
        <v>13253.855649999277</v>
      </c>
      <c r="R211">
        <f t="shared" si="916"/>
        <v>-35040816.971646339</v>
      </c>
      <c r="S211">
        <f t="shared" si="917"/>
        <v>-350.40816971646336</v>
      </c>
      <c r="T211">
        <f t="shared" si="918"/>
        <v>-0.35040816971646338</v>
      </c>
    </row>
    <row r="212" spans="1:20" x14ac:dyDescent="0.25">
      <c r="A212" s="5">
        <v>44372</v>
      </c>
      <c r="B212">
        <v>0.68300000000000005</v>
      </c>
      <c r="C212">
        <v>0.74</v>
      </c>
      <c r="D212">
        <v>0.58099999999999996</v>
      </c>
      <c r="E212">
        <v>0.60099999999999998</v>
      </c>
      <c r="F212">
        <v>964129.86899999995</v>
      </c>
      <c r="G212">
        <v>0</v>
      </c>
      <c r="L212" t="s">
        <v>7</v>
      </c>
      <c r="M212" t="s">
        <v>7</v>
      </c>
      <c r="N212" t="s">
        <v>8</v>
      </c>
      <c r="P212">
        <f t="shared" si="914"/>
        <v>-0.74842767295597468</v>
      </c>
      <c r="Q212">
        <f t="shared" si="915"/>
        <v>-721581.47428301862</v>
      </c>
      <c r="R212">
        <f t="shared" si="916"/>
        <v>-35054070.827296339</v>
      </c>
      <c r="S212">
        <f t="shared" si="917"/>
        <v>-350.5407082729634</v>
      </c>
      <c r="T212">
        <f t="shared" si="918"/>
        <v>-0.35054070827296341</v>
      </c>
    </row>
    <row r="213" spans="1:20" x14ac:dyDescent="0.25">
      <c r="A213" s="5">
        <v>44371</v>
      </c>
      <c r="B213">
        <v>0.71</v>
      </c>
      <c r="C213">
        <v>0.73099999999999998</v>
      </c>
      <c r="D213">
        <v>0.63300000000000001</v>
      </c>
      <c r="E213">
        <v>0.68300000000000005</v>
      </c>
      <c r="F213">
        <v>554954.61600000004</v>
      </c>
      <c r="G213">
        <v>0</v>
      </c>
      <c r="L213" t="s">
        <v>7</v>
      </c>
      <c r="M213" t="s">
        <v>7</v>
      </c>
      <c r="N213" t="s">
        <v>8</v>
      </c>
      <c r="P213">
        <f t="shared" si="914"/>
        <v>2.040816326530728E-2</v>
      </c>
      <c r="Q213">
        <f t="shared" si="915"/>
        <v>11325.604408163908</v>
      </c>
      <c r="R213">
        <f t="shared" si="916"/>
        <v>-34332489.353013322</v>
      </c>
      <c r="S213">
        <f t="shared" si="917"/>
        <v>-343.32489353013324</v>
      </c>
      <c r="T213">
        <f t="shared" si="918"/>
        <v>-0.34332489353013323</v>
      </c>
    </row>
    <row r="214" spans="1:20" x14ac:dyDescent="0.25">
      <c r="A214" s="5">
        <v>44370</v>
      </c>
      <c r="B214">
        <v>0.61099999999999999</v>
      </c>
      <c r="C214">
        <v>0.76</v>
      </c>
      <c r="D214">
        <v>0.56100000000000005</v>
      </c>
      <c r="E214">
        <v>0.70399999999999996</v>
      </c>
      <c r="F214">
        <v>1135246.9909999999</v>
      </c>
      <c r="G214">
        <v>0</v>
      </c>
      <c r="L214" t="s">
        <v>8</v>
      </c>
      <c r="M214" t="s">
        <v>8</v>
      </c>
      <c r="N214" t="s">
        <v>8</v>
      </c>
      <c r="P214">
        <f t="shared" si="914"/>
        <v>0.4371859296482406</v>
      </c>
      <c r="Q214">
        <f t="shared" si="915"/>
        <v>496314.01114070282</v>
      </c>
      <c r="R214">
        <f t="shared" si="916"/>
        <v>-34343814.957421489</v>
      </c>
      <c r="S214">
        <f t="shared" si="917"/>
        <v>-343.43814957421489</v>
      </c>
      <c r="T214">
        <f t="shared" si="918"/>
        <v>-0.34343814957421487</v>
      </c>
    </row>
    <row r="215" spans="1:20" x14ac:dyDescent="0.25">
      <c r="A215" s="5">
        <v>44369</v>
      </c>
      <c r="B215">
        <v>0.623</v>
      </c>
      <c r="C215">
        <v>0.69</v>
      </c>
      <c r="D215">
        <v>0.51</v>
      </c>
      <c r="E215">
        <v>0.60899999999999999</v>
      </c>
      <c r="F215">
        <v>991331.37100000004</v>
      </c>
      <c r="G215">
        <v>0</v>
      </c>
      <c r="L215" t="s">
        <v>7</v>
      </c>
      <c r="M215" t="s">
        <v>7</v>
      </c>
      <c r="N215" t="s">
        <v>7</v>
      </c>
      <c r="P215">
        <f t="shared" si="914"/>
        <v>0.10000000000000012</v>
      </c>
      <c r="Q215">
        <f t="shared" si="915"/>
        <v>99133.137100000124</v>
      </c>
      <c r="R215">
        <f t="shared" si="916"/>
        <v>-34840128.968562193</v>
      </c>
      <c r="S215">
        <f t="shared" si="917"/>
        <v>-348.40128968562192</v>
      </c>
      <c r="T215">
        <f t="shared" si="918"/>
        <v>-0.3484012896856219</v>
      </c>
    </row>
    <row r="216" spans="1:20" x14ac:dyDescent="0.25">
      <c r="A216" s="5">
        <v>44368</v>
      </c>
      <c r="B216">
        <v>0.89</v>
      </c>
      <c r="C216">
        <v>0.89400000000000002</v>
      </c>
      <c r="D216">
        <v>0.61899999999999999</v>
      </c>
      <c r="E216">
        <v>0.623</v>
      </c>
      <c r="F216">
        <v>1218886.048</v>
      </c>
      <c r="G216">
        <v>0</v>
      </c>
      <c r="L216" t="s">
        <v>7</v>
      </c>
      <c r="M216" t="s">
        <v>7</v>
      </c>
      <c r="N216" t="s">
        <v>7</v>
      </c>
      <c r="P216">
        <f t="shared" si="914"/>
        <v>-0.97090909090909083</v>
      </c>
      <c r="Q216">
        <f t="shared" si="915"/>
        <v>-1183427.5447854544</v>
      </c>
      <c r="R216">
        <f t="shared" si="916"/>
        <v>-34939262.105662197</v>
      </c>
      <c r="S216">
        <f t="shared" si="917"/>
        <v>-349.39262105662198</v>
      </c>
      <c r="T216">
        <f t="shared" si="918"/>
        <v>-0.349392621056622</v>
      </c>
    </row>
    <row r="217" spans="1:20" x14ac:dyDescent="0.25">
      <c r="A217" s="5">
        <v>44367</v>
      </c>
      <c r="B217">
        <v>0.86799999999999999</v>
      </c>
      <c r="C217">
        <v>1.08</v>
      </c>
      <c r="D217">
        <v>0.85099999999999998</v>
      </c>
      <c r="E217">
        <v>0.88900000000000001</v>
      </c>
      <c r="F217">
        <v>4120994.3539999998</v>
      </c>
      <c r="G217">
        <v>0</v>
      </c>
      <c r="L217" t="s">
        <v>7</v>
      </c>
      <c r="M217" t="s">
        <v>7</v>
      </c>
      <c r="N217" t="s">
        <v>8</v>
      </c>
      <c r="P217">
        <f t="shared" si="914"/>
        <v>-0.66812227074235797</v>
      </c>
      <c r="Q217">
        <f t="shared" si="915"/>
        <v>-2753328.1055109166</v>
      </c>
      <c r="R217">
        <f t="shared" si="916"/>
        <v>-33755834.560876742</v>
      </c>
      <c r="S217">
        <f t="shared" si="917"/>
        <v>-337.55834560876741</v>
      </c>
      <c r="T217">
        <f t="shared" si="918"/>
        <v>-0.33755834560876741</v>
      </c>
    </row>
    <row r="218" spans="1:20" x14ac:dyDescent="0.25">
      <c r="A218" s="5">
        <v>44366</v>
      </c>
      <c r="B218">
        <v>0.79500000000000004</v>
      </c>
      <c r="C218">
        <v>1.1599999999999999</v>
      </c>
      <c r="D218">
        <v>0.78700000000000003</v>
      </c>
      <c r="E218">
        <v>0.87</v>
      </c>
      <c r="F218">
        <v>5787532.0389999999</v>
      </c>
      <c r="G218">
        <v>0</v>
      </c>
      <c r="L218" t="s">
        <v>8</v>
      </c>
      <c r="M218" t="s">
        <v>8</v>
      </c>
      <c r="N218" t="s">
        <v>8</v>
      </c>
      <c r="P218">
        <f t="shared" si="914"/>
        <v>-0.55495978552278824</v>
      </c>
      <c r="Q218">
        <f t="shared" si="915"/>
        <v>-3211847.5390697052</v>
      </c>
      <c r="R218">
        <f t="shared" si="916"/>
        <v>-31002506.455365825</v>
      </c>
      <c r="S218">
        <f t="shared" si="917"/>
        <v>-310.02506455365824</v>
      </c>
      <c r="T218">
        <f t="shared" si="918"/>
        <v>-0.31002506455365825</v>
      </c>
    </row>
    <row r="219" spans="1:20" x14ac:dyDescent="0.25">
      <c r="A219" s="5">
        <v>44365</v>
      </c>
      <c r="B219">
        <v>0.85699999999999998</v>
      </c>
      <c r="C219">
        <v>0.86799999999999999</v>
      </c>
      <c r="D219">
        <v>0.77600000000000002</v>
      </c>
      <c r="E219">
        <v>0.79500000000000004</v>
      </c>
      <c r="F219">
        <v>398708.58500000002</v>
      </c>
      <c r="G219">
        <v>0</v>
      </c>
      <c r="L219" t="s">
        <v>7</v>
      </c>
      <c r="M219" t="s">
        <v>7</v>
      </c>
      <c r="N219" t="s">
        <v>8</v>
      </c>
      <c r="P219">
        <f t="shared" si="914"/>
        <v>-0.58695652173912993</v>
      </c>
      <c r="Q219">
        <f t="shared" si="915"/>
        <v>-234024.60423913025</v>
      </c>
      <c r="R219">
        <f t="shared" si="916"/>
        <v>-27790658.916296121</v>
      </c>
      <c r="S219">
        <f t="shared" si="917"/>
        <v>-277.90658916296121</v>
      </c>
      <c r="T219">
        <f t="shared" si="918"/>
        <v>-0.27790658916296124</v>
      </c>
    </row>
    <row r="220" spans="1:20" x14ac:dyDescent="0.25">
      <c r="A220" s="5">
        <v>44364</v>
      </c>
      <c r="B220">
        <v>0.85199999999999998</v>
      </c>
      <c r="C220">
        <v>0.89400000000000002</v>
      </c>
      <c r="D220">
        <v>0.84</v>
      </c>
      <c r="E220">
        <v>0.85799999999999998</v>
      </c>
      <c r="F220">
        <v>414405.71399999998</v>
      </c>
      <c r="G220">
        <v>0</v>
      </c>
      <c r="L220" t="s">
        <v>7</v>
      </c>
      <c r="M220" t="s">
        <v>7</v>
      </c>
      <c r="N220" t="s">
        <v>8</v>
      </c>
      <c r="P220">
        <f t="shared" si="914"/>
        <v>-0.33333333333333331</v>
      </c>
      <c r="Q220">
        <f t="shared" si="915"/>
        <v>-138135.23799999998</v>
      </c>
      <c r="R220">
        <f t="shared" si="916"/>
        <v>-27556634.312056992</v>
      </c>
      <c r="S220">
        <f t="shared" si="917"/>
        <v>-275.56634312056991</v>
      </c>
      <c r="T220">
        <f t="shared" si="918"/>
        <v>-0.27556634312056993</v>
      </c>
    </row>
    <row r="221" spans="1:20" x14ac:dyDescent="0.25">
      <c r="A221" s="5">
        <v>44363</v>
      </c>
      <c r="B221">
        <v>0.90300000000000002</v>
      </c>
      <c r="C221">
        <v>0.93100000000000005</v>
      </c>
      <c r="D221">
        <v>0.84</v>
      </c>
      <c r="E221">
        <v>0.84899999999999998</v>
      </c>
      <c r="F221">
        <v>392700.64500000002</v>
      </c>
      <c r="G221">
        <v>0</v>
      </c>
      <c r="L221" t="s">
        <v>7</v>
      </c>
      <c r="M221" t="s">
        <v>7</v>
      </c>
      <c r="N221" t="s">
        <v>8</v>
      </c>
      <c r="P221">
        <f t="shared" si="914"/>
        <v>-0.80219780219780223</v>
      </c>
      <c r="Q221">
        <f t="shared" si="915"/>
        <v>-315023.59434065939</v>
      </c>
      <c r="R221">
        <f t="shared" si="916"/>
        <v>-27418499.07405699</v>
      </c>
      <c r="S221">
        <f t="shared" si="917"/>
        <v>-274.1849907405699</v>
      </c>
      <c r="T221">
        <f t="shared" si="918"/>
        <v>-0.2741849907405699</v>
      </c>
    </row>
    <row r="222" spans="1:20" x14ac:dyDescent="0.25">
      <c r="A222" s="5">
        <v>44362</v>
      </c>
      <c r="B222">
        <v>0.89100000000000001</v>
      </c>
      <c r="C222">
        <v>0.93400000000000005</v>
      </c>
      <c r="D222">
        <v>0.87</v>
      </c>
      <c r="E222">
        <v>0.90800000000000003</v>
      </c>
      <c r="F222">
        <v>660128.58499999996</v>
      </c>
      <c r="G222">
        <v>0</v>
      </c>
      <c r="L222" t="s">
        <v>7</v>
      </c>
      <c r="M222" t="s">
        <v>7</v>
      </c>
      <c r="N222" t="s">
        <v>8</v>
      </c>
      <c r="P222">
        <f t="shared" si="914"/>
        <v>0.1875</v>
      </c>
      <c r="Q222">
        <f t="shared" si="915"/>
        <v>123774.10968749999</v>
      </c>
      <c r="R222">
        <f t="shared" si="916"/>
        <v>-27103475.479716331</v>
      </c>
      <c r="S222">
        <f t="shared" si="917"/>
        <v>-271.03475479716332</v>
      </c>
      <c r="T222">
        <f t="shared" si="918"/>
        <v>-0.27103475479716332</v>
      </c>
    </row>
    <row r="223" spans="1:20" x14ac:dyDescent="0.25">
      <c r="A223" s="5">
        <v>44361</v>
      </c>
      <c r="B223">
        <v>0.85</v>
      </c>
      <c r="C223">
        <v>1.0900000000000001</v>
      </c>
      <c r="D223">
        <v>0.84499999999999997</v>
      </c>
      <c r="E223">
        <v>0.88900000000000001</v>
      </c>
      <c r="F223">
        <v>3324246.193</v>
      </c>
      <c r="G223">
        <v>0</v>
      </c>
      <c r="L223" t="s">
        <v>8</v>
      </c>
      <c r="M223" t="s">
        <v>8</v>
      </c>
      <c r="N223" t="s">
        <v>8</v>
      </c>
      <c r="P223">
        <f t="shared" si="914"/>
        <v>-0.64081632653061205</v>
      </c>
      <c r="Q223">
        <f t="shared" si="915"/>
        <v>-2130231.2338816319</v>
      </c>
      <c r="R223">
        <f t="shared" si="916"/>
        <v>-27227249.58940383</v>
      </c>
      <c r="S223">
        <f t="shared" si="917"/>
        <v>-272.27249589403829</v>
      </c>
      <c r="T223">
        <f t="shared" si="918"/>
        <v>-0.27227249589403829</v>
      </c>
    </row>
    <row r="224" spans="1:20" x14ac:dyDescent="0.25">
      <c r="A224" s="5">
        <v>44360</v>
      </c>
      <c r="B224">
        <v>0.79900000000000004</v>
      </c>
      <c r="C224">
        <v>0.872</v>
      </c>
      <c r="D224">
        <v>0.78300000000000003</v>
      </c>
      <c r="E224">
        <v>0.85099999999999998</v>
      </c>
      <c r="F224">
        <v>412961.51199999999</v>
      </c>
      <c r="G224">
        <v>0</v>
      </c>
      <c r="L224" t="s">
        <v>8</v>
      </c>
      <c r="M224" t="s">
        <v>7</v>
      </c>
      <c r="N224" t="s">
        <v>7</v>
      </c>
      <c r="P224">
        <f t="shared" si="914"/>
        <v>0.52808988764044884</v>
      </c>
      <c r="Q224">
        <f t="shared" si="915"/>
        <v>218080.79847190986</v>
      </c>
      <c r="R224">
        <f t="shared" si="916"/>
        <v>-25097018.355522197</v>
      </c>
      <c r="S224">
        <f t="shared" si="917"/>
        <v>-250.97018355522198</v>
      </c>
      <c r="T224">
        <f t="shared" si="918"/>
        <v>-0.25097018355522199</v>
      </c>
    </row>
    <row r="225" spans="1:20" x14ac:dyDescent="0.25">
      <c r="A225" s="5">
        <v>44359</v>
      </c>
      <c r="B225">
        <v>0.85799999999999998</v>
      </c>
      <c r="C225">
        <v>0.86099999999999999</v>
      </c>
      <c r="D225">
        <v>0.751</v>
      </c>
      <c r="E225">
        <v>0.79600000000000004</v>
      </c>
      <c r="F225">
        <v>528675.05099999998</v>
      </c>
      <c r="G225">
        <v>0</v>
      </c>
      <c r="L225" t="s">
        <v>7</v>
      </c>
      <c r="M225" t="s">
        <v>7</v>
      </c>
      <c r="N225" t="s">
        <v>7</v>
      </c>
      <c r="P225">
        <f t="shared" si="914"/>
        <v>-0.18181818181818099</v>
      </c>
      <c r="Q225">
        <f t="shared" si="915"/>
        <v>-96122.7365454541</v>
      </c>
      <c r="R225">
        <f t="shared" si="916"/>
        <v>-25315099.153994106</v>
      </c>
      <c r="S225">
        <f t="shared" si="917"/>
        <v>-253.15099153994106</v>
      </c>
      <c r="T225">
        <f t="shared" si="918"/>
        <v>-0.25315099153994108</v>
      </c>
    </row>
    <row r="226" spans="1:20" x14ac:dyDescent="0.25">
      <c r="A226" s="5">
        <v>44358</v>
      </c>
      <c r="B226">
        <v>0.90200000000000002</v>
      </c>
      <c r="C226">
        <v>0.93899999999999995</v>
      </c>
      <c r="D226">
        <v>0.82799999999999996</v>
      </c>
      <c r="E226">
        <v>0.85899999999999999</v>
      </c>
      <c r="F226">
        <v>455479.58500000002</v>
      </c>
      <c r="G226">
        <v>0</v>
      </c>
      <c r="L226" t="s">
        <v>7</v>
      </c>
      <c r="M226" t="s">
        <v>7</v>
      </c>
      <c r="N226" t="s">
        <v>7</v>
      </c>
      <c r="P226">
        <f t="shared" si="914"/>
        <v>-0.44144144144144087</v>
      </c>
      <c r="Q226">
        <f t="shared" si="915"/>
        <v>-201067.56454954931</v>
      </c>
      <c r="R226">
        <f t="shared" si="916"/>
        <v>-25218976.417448651</v>
      </c>
      <c r="S226">
        <f t="shared" si="917"/>
        <v>-252.1897641744865</v>
      </c>
      <c r="T226">
        <f t="shared" si="918"/>
        <v>-0.25218976417448652</v>
      </c>
    </row>
    <row r="227" spans="1:20" x14ac:dyDescent="0.25">
      <c r="A227" s="5">
        <v>44357</v>
      </c>
      <c r="B227">
        <v>0.97799999999999998</v>
      </c>
      <c r="C227">
        <v>1.1000000000000001</v>
      </c>
      <c r="D227">
        <v>0.879</v>
      </c>
      <c r="E227">
        <v>0.90200000000000002</v>
      </c>
      <c r="F227">
        <v>1214579.6299999999</v>
      </c>
      <c r="G227">
        <v>0</v>
      </c>
      <c r="L227" t="s">
        <v>8</v>
      </c>
      <c r="M227" t="s">
        <v>8</v>
      </c>
      <c r="N227" t="s">
        <v>7</v>
      </c>
      <c r="P227">
        <f t="shared" si="914"/>
        <v>-0.79185520361990935</v>
      </c>
      <c r="Q227">
        <f t="shared" si="915"/>
        <v>-961771.20022624405</v>
      </c>
      <c r="R227">
        <f t="shared" si="916"/>
        <v>-25017908.852899101</v>
      </c>
      <c r="S227">
        <f t="shared" si="917"/>
        <v>-250.179088528991</v>
      </c>
      <c r="T227">
        <f t="shared" si="918"/>
        <v>-0.25017908852899101</v>
      </c>
    </row>
    <row r="228" spans="1:20" x14ac:dyDescent="0.25">
      <c r="A228" s="5">
        <v>44356</v>
      </c>
      <c r="B228">
        <v>0.90700000000000003</v>
      </c>
      <c r="C228">
        <v>1.03</v>
      </c>
      <c r="D228">
        <v>0.86</v>
      </c>
      <c r="E228">
        <v>0.97</v>
      </c>
      <c r="F228">
        <v>715927.88699999999</v>
      </c>
      <c r="G228">
        <v>0</v>
      </c>
      <c r="L228" t="s">
        <v>8</v>
      </c>
      <c r="M228" t="s">
        <v>8</v>
      </c>
      <c r="N228" t="s">
        <v>7</v>
      </c>
      <c r="P228">
        <f t="shared" si="914"/>
        <v>0.2941176470588231</v>
      </c>
      <c r="Q228">
        <f t="shared" si="915"/>
        <v>210567.02558823497</v>
      </c>
      <c r="R228">
        <f t="shared" si="916"/>
        <v>-24056137.652672857</v>
      </c>
      <c r="S228">
        <f t="shared" si="917"/>
        <v>-240.56137652672857</v>
      </c>
      <c r="T228">
        <f t="shared" si="918"/>
        <v>-0.24056137652672857</v>
      </c>
    </row>
    <row r="229" spans="1:20" x14ac:dyDescent="0.25">
      <c r="A229" s="5">
        <v>44355</v>
      </c>
      <c r="B229">
        <v>0.91500000000000004</v>
      </c>
      <c r="C229">
        <v>0.95199999999999996</v>
      </c>
      <c r="D229">
        <v>0.82</v>
      </c>
      <c r="E229">
        <v>0.91100000000000003</v>
      </c>
      <c r="F229">
        <v>692245.37699999998</v>
      </c>
      <c r="G229">
        <v>0</v>
      </c>
      <c r="L229" t="s">
        <v>7</v>
      </c>
      <c r="M229" t="s">
        <v>7</v>
      </c>
      <c r="N229" t="s">
        <v>7</v>
      </c>
      <c r="P229">
        <f t="shared" si="914"/>
        <v>0.37878787878787995</v>
      </c>
      <c r="Q229">
        <f t="shared" si="915"/>
        <v>262214.15795454627</v>
      </c>
      <c r="R229">
        <f t="shared" si="916"/>
        <v>-24266704.678261094</v>
      </c>
      <c r="S229">
        <f t="shared" si="917"/>
        <v>-242.66704678261092</v>
      </c>
      <c r="T229">
        <f t="shared" si="918"/>
        <v>-0.24266704678261092</v>
      </c>
    </row>
    <row r="230" spans="1:20" x14ac:dyDescent="0.25">
      <c r="A230" s="5">
        <v>44354</v>
      </c>
      <c r="B230">
        <v>1.075</v>
      </c>
      <c r="C230">
        <v>1.0980000000000001</v>
      </c>
      <c r="D230">
        <v>0.90700000000000003</v>
      </c>
      <c r="E230">
        <v>0.91500000000000004</v>
      </c>
      <c r="F230">
        <v>601411.30299999996</v>
      </c>
      <c r="G230">
        <v>0</v>
      </c>
      <c r="L230" t="s">
        <v>7</v>
      </c>
      <c r="M230" t="s">
        <v>7</v>
      </c>
      <c r="N230" t="s">
        <v>7</v>
      </c>
      <c r="P230">
        <f t="shared" si="914"/>
        <v>-0.91623036649214651</v>
      </c>
      <c r="Q230">
        <f t="shared" si="915"/>
        <v>-551031.29856020934</v>
      </c>
      <c r="R230">
        <f t="shared" si="916"/>
        <v>-24528918.836215641</v>
      </c>
      <c r="S230">
        <f t="shared" si="917"/>
        <v>-245.28918836215641</v>
      </c>
      <c r="T230">
        <f t="shared" si="918"/>
        <v>-0.24528918836215641</v>
      </c>
    </row>
    <row r="231" spans="1:20" x14ac:dyDescent="0.25">
      <c r="A231" s="5">
        <v>44353</v>
      </c>
      <c r="B231">
        <v>1.089</v>
      </c>
      <c r="C231">
        <v>1.1499999999999999</v>
      </c>
      <c r="D231">
        <v>1.0329999999999999</v>
      </c>
      <c r="E231">
        <v>1.0780000000000001</v>
      </c>
      <c r="F231">
        <v>656896.71699999995</v>
      </c>
      <c r="G231">
        <v>0</v>
      </c>
      <c r="L231" t="s">
        <v>7</v>
      </c>
      <c r="M231" t="s">
        <v>7</v>
      </c>
      <c r="N231" t="s">
        <v>7</v>
      </c>
      <c r="P231">
        <f t="shared" si="914"/>
        <v>-0.23076923076922815</v>
      </c>
      <c r="Q231">
        <f t="shared" si="915"/>
        <v>-151591.55007692135</v>
      </c>
      <c r="R231">
        <f t="shared" si="916"/>
        <v>-23977887.537655432</v>
      </c>
      <c r="S231">
        <f t="shared" si="917"/>
        <v>-239.77887537655431</v>
      </c>
      <c r="T231">
        <f t="shared" si="918"/>
        <v>-0.23977887537655432</v>
      </c>
    </row>
    <row r="232" spans="1:20" x14ac:dyDescent="0.25">
      <c r="A232" s="5">
        <v>44352</v>
      </c>
      <c r="B232">
        <v>1.028</v>
      </c>
      <c r="C232">
        <v>1.25</v>
      </c>
      <c r="D232">
        <v>1.024</v>
      </c>
      <c r="E232">
        <v>1.095</v>
      </c>
      <c r="F232">
        <v>2010798.747</v>
      </c>
      <c r="G232">
        <v>0</v>
      </c>
      <c r="L232" t="s">
        <v>8</v>
      </c>
      <c r="M232" t="s">
        <v>8</v>
      </c>
      <c r="N232" t="s">
        <v>7</v>
      </c>
      <c r="P232">
        <f t="shared" si="914"/>
        <v>-0.3716814159292039</v>
      </c>
      <c r="Q232">
        <f t="shared" si="915"/>
        <v>-747376.52543362905</v>
      </c>
      <c r="R232">
        <f t="shared" si="916"/>
        <v>-23826295.987578511</v>
      </c>
      <c r="S232">
        <f t="shared" si="917"/>
        <v>-238.2629598757851</v>
      </c>
      <c r="T232">
        <f t="shared" si="918"/>
        <v>-0.23826295987578511</v>
      </c>
    </row>
    <row r="233" spans="1:20" x14ac:dyDescent="0.25">
      <c r="A233" s="5">
        <v>44351</v>
      </c>
      <c r="B233">
        <v>1.1890000000000001</v>
      </c>
      <c r="C233">
        <v>1.1919999999999999</v>
      </c>
      <c r="D233">
        <v>0.96499999999999997</v>
      </c>
      <c r="E233">
        <v>1.032</v>
      </c>
      <c r="F233">
        <v>978023.05</v>
      </c>
      <c r="G233">
        <v>0</v>
      </c>
      <c r="L233" t="s">
        <v>7</v>
      </c>
      <c r="M233" t="s">
        <v>7</v>
      </c>
      <c r="N233" t="s">
        <v>7</v>
      </c>
      <c r="P233">
        <f t="shared" si="914"/>
        <v>-0.40969162995594655</v>
      </c>
      <c r="Q233">
        <f t="shared" si="915"/>
        <v>-400687.85748898622</v>
      </c>
      <c r="R233">
        <f t="shared" si="916"/>
        <v>-23078919.462144881</v>
      </c>
      <c r="S233">
        <f t="shared" si="917"/>
        <v>-230.78919462144881</v>
      </c>
      <c r="T233">
        <f t="shared" si="918"/>
        <v>-0.23078919462144881</v>
      </c>
    </row>
    <row r="234" spans="1:20" x14ac:dyDescent="0.25">
      <c r="A234" s="5">
        <v>44350</v>
      </c>
      <c r="B234">
        <v>1.0309999999999999</v>
      </c>
      <c r="C234">
        <v>1.35</v>
      </c>
      <c r="D234">
        <v>1.0029999999999999</v>
      </c>
      <c r="E234">
        <v>1.1890000000000001</v>
      </c>
      <c r="F234">
        <v>1880699.388</v>
      </c>
      <c r="G234">
        <v>0</v>
      </c>
      <c r="L234" t="s">
        <v>8</v>
      </c>
      <c r="M234" t="s">
        <v>8</v>
      </c>
      <c r="N234" t="s">
        <v>8</v>
      </c>
      <c r="P234">
        <f t="shared" si="914"/>
        <v>7.2046109510086803E-2</v>
      </c>
      <c r="Q234">
        <f t="shared" si="915"/>
        <v>135497.07406340123</v>
      </c>
      <c r="R234">
        <f t="shared" si="916"/>
        <v>-22678231.604655895</v>
      </c>
      <c r="S234">
        <f t="shared" si="917"/>
        <v>-226.78231604655895</v>
      </c>
      <c r="T234">
        <f t="shared" si="918"/>
        <v>-0.22678231604655893</v>
      </c>
    </row>
    <row r="235" spans="1:20" x14ac:dyDescent="0.25">
      <c r="A235" s="5">
        <v>44349</v>
      </c>
      <c r="B235">
        <v>1.01</v>
      </c>
      <c r="C235">
        <v>1.099</v>
      </c>
      <c r="D235">
        <v>0.98</v>
      </c>
      <c r="E235">
        <v>1.0309999999999999</v>
      </c>
      <c r="F235">
        <v>549345.32799999998</v>
      </c>
      <c r="G235">
        <v>0</v>
      </c>
      <c r="L235" t="s">
        <v>8</v>
      </c>
      <c r="M235" t="s">
        <v>7</v>
      </c>
      <c r="N235" t="s">
        <v>7</v>
      </c>
      <c r="P235">
        <f t="shared" si="914"/>
        <v>-0.14285714285714393</v>
      </c>
      <c r="Q235">
        <f t="shared" si="915"/>
        <v>-78477.904000000592</v>
      </c>
      <c r="R235">
        <f t="shared" si="916"/>
        <v>-22813728.678719297</v>
      </c>
      <c r="S235">
        <f t="shared" si="917"/>
        <v>-228.13728678719298</v>
      </c>
      <c r="T235">
        <f t="shared" si="918"/>
        <v>-0.22813728678719297</v>
      </c>
    </row>
    <row r="236" spans="1:20" x14ac:dyDescent="0.25">
      <c r="A236" s="5">
        <v>44348</v>
      </c>
      <c r="B236">
        <v>1.05</v>
      </c>
      <c r="C236">
        <v>1.054</v>
      </c>
      <c r="D236">
        <v>0.94</v>
      </c>
      <c r="E236">
        <v>1.0029999999999999</v>
      </c>
      <c r="F236">
        <v>430713.283</v>
      </c>
      <c r="G236">
        <v>0</v>
      </c>
      <c r="L236" t="s">
        <v>7</v>
      </c>
      <c r="M236" t="s">
        <v>7</v>
      </c>
      <c r="N236" t="s">
        <v>7</v>
      </c>
      <c r="P236">
        <f t="shared" si="914"/>
        <v>0.10526315789473489</v>
      </c>
      <c r="Q236">
        <f t="shared" si="915"/>
        <v>45338.240315788637</v>
      </c>
      <c r="R236">
        <f t="shared" si="916"/>
        <v>-22735250.774719298</v>
      </c>
      <c r="S236">
        <f t="shared" si="917"/>
        <v>-227.35250774719299</v>
      </c>
      <c r="T236">
        <f t="shared" si="918"/>
        <v>-0.22735250774719298</v>
      </c>
    </row>
    <row r="237" spans="1:20" x14ac:dyDescent="0.25">
      <c r="A237" s="5">
        <v>44347</v>
      </c>
      <c r="B237">
        <v>0.98199999999999998</v>
      </c>
      <c r="C237">
        <v>1.1100000000000001</v>
      </c>
      <c r="D237">
        <v>0.89900000000000002</v>
      </c>
      <c r="E237">
        <v>1.044</v>
      </c>
      <c r="F237">
        <v>470368.48499999999</v>
      </c>
      <c r="G237">
        <v>0</v>
      </c>
      <c r="L237" t="s">
        <v>8</v>
      </c>
      <c r="M237" t="s">
        <v>8</v>
      </c>
      <c r="N237" t="s">
        <v>7</v>
      </c>
      <c r="P237">
        <f t="shared" si="914"/>
        <v>0.37440758293838827</v>
      </c>
      <c r="Q237">
        <f t="shared" si="915"/>
        <v>176109.52755924154</v>
      </c>
      <c r="R237">
        <f t="shared" si="916"/>
        <v>-22780589.015035085</v>
      </c>
      <c r="S237">
        <f t="shared" si="917"/>
        <v>-227.80589015035085</v>
      </c>
      <c r="T237">
        <f t="shared" si="918"/>
        <v>-0.22780589015035085</v>
      </c>
    </row>
    <row r="238" spans="1:20" x14ac:dyDescent="0.25">
      <c r="A238" s="5">
        <v>44346</v>
      </c>
      <c r="B238">
        <v>0.91</v>
      </c>
      <c r="C238">
        <v>1.0289999999999999</v>
      </c>
      <c r="D238">
        <v>0.86199999999999999</v>
      </c>
      <c r="E238">
        <v>0.98199999999999998</v>
      </c>
      <c r="F238">
        <v>569857.196</v>
      </c>
      <c r="G238">
        <v>0</v>
      </c>
      <c r="L238" t="s">
        <v>8</v>
      </c>
      <c r="M238" t="s">
        <v>8</v>
      </c>
      <c r="N238" t="s">
        <v>7</v>
      </c>
      <c r="P238">
        <f t="shared" si="914"/>
        <v>0.43712574850299457</v>
      </c>
      <c r="Q238">
        <f t="shared" si="915"/>
        <v>249099.25334131767</v>
      </c>
      <c r="R238">
        <f t="shared" si="916"/>
        <v>-22956698.542594329</v>
      </c>
      <c r="S238">
        <f t="shared" si="917"/>
        <v>-229.56698542594327</v>
      </c>
      <c r="T238">
        <f t="shared" si="918"/>
        <v>-0.22956698542594328</v>
      </c>
    </row>
    <row r="239" spans="1:20" x14ac:dyDescent="0.25">
      <c r="A239" s="5">
        <v>44345</v>
      </c>
      <c r="B239">
        <v>0.97</v>
      </c>
      <c r="C239">
        <v>1.018</v>
      </c>
      <c r="D239">
        <v>0.85599999999999998</v>
      </c>
      <c r="E239">
        <v>0.91200000000000003</v>
      </c>
      <c r="F239">
        <v>378275.6</v>
      </c>
      <c r="G239">
        <v>0</v>
      </c>
      <c r="L239" t="s">
        <v>7</v>
      </c>
      <c r="M239" t="s">
        <v>7</v>
      </c>
      <c r="N239" t="s">
        <v>7</v>
      </c>
      <c r="P239">
        <f t="shared" si="914"/>
        <v>-0.30864197530864151</v>
      </c>
      <c r="Q239">
        <f t="shared" si="915"/>
        <v>-116751.72839506155</v>
      </c>
      <c r="R239">
        <f t="shared" si="916"/>
        <v>-23205797.795935646</v>
      </c>
      <c r="S239">
        <f t="shared" si="917"/>
        <v>-232.05797795935646</v>
      </c>
      <c r="T239">
        <f t="shared" si="918"/>
        <v>-0.23205797795935645</v>
      </c>
    </row>
    <row r="240" spans="1:20" x14ac:dyDescent="0.25">
      <c r="A240" s="5">
        <v>44344</v>
      </c>
      <c r="B240">
        <v>1.0349999999999999</v>
      </c>
      <c r="C240">
        <v>1.0649999999999999</v>
      </c>
      <c r="D240">
        <v>0.9</v>
      </c>
      <c r="E240">
        <v>0.96899999999999997</v>
      </c>
      <c r="F240">
        <v>674426.94700000004</v>
      </c>
      <c r="G240">
        <v>0</v>
      </c>
      <c r="L240" t="s">
        <v>7</v>
      </c>
      <c r="M240" t="s">
        <v>7</v>
      </c>
      <c r="N240" t="s">
        <v>7</v>
      </c>
      <c r="P240">
        <f t="shared" si="914"/>
        <v>-0.16363636363636386</v>
      </c>
      <c r="Q240">
        <f t="shared" si="915"/>
        <v>-110360.7731454547</v>
      </c>
      <c r="R240">
        <f t="shared" si="916"/>
        <v>-23089046.067540586</v>
      </c>
      <c r="S240">
        <f t="shared" si="917"/>
        <v>-230.89046067540585</v>
      </c>
      <c r="T240">
        <f t="shared" si="918"/>
        <v>-0.23089046067540583</v>
      </c>
    </row>
    <row r="241" spans="1:20" x14ac:dyDescent="0.25">
      <c r="A241" s="5">
        <v>44343</v>
      </c>
      <c r="B241">
        <v>1.1399999999999999</v>
      </c>
      <c r="C241">
        <v>1.1599999999999999</v>
      </c>
      <c r="D241">
        <v>0.94299999999999995</v>
      </c>
      <c r="E241">
        <v>1.0329999999999999</v>
      </c>
      <c r="F241">
        <v>777410.82</v>
      </c>
      <c r="G241">
        <v>0</v>
      </c>
      <c r="L241" t="s">
        <v>7</v>
      </c>
      <c r="M241" t="s">
        <v>7</v>
      </c>
      <c r="N241" t="s">
        <v>7</v>
      </c>
      <c r="P241">
        <f t="shared" si="914"/>
        <v>-0.17050691244239649</v>
      </c>
      <c r="Q241">
        <f t="shared" si="915"/>
        <v>-132553.91861751166</v>
      </c>
      <c r="R241">
        <f t="shared" si="916"/>
        <v>-22978685.29439513</v>
      </c>
      <c r="S241">
        <f t="shared" si="917"/>
        <v>-229.78685294395129</v>
      </c>
      <c r="T241">
        <f t="shared" si="918"/>
        <v>-0.22978685294395129</v>
      </c>
    </row>
    <row r="242" spans="1:20" x14ac:dyDescent="0.25">
      <c r="A242" s="5">
        <v>44342</v>
      </c>
      <c r="B242">
        <v>1.167</v>
      </c>
      <c r="C242">
        <v>1.1719999999999999</v>
      </c>
      <c r="D242">
        <v>0.99</v>
      </c>
      <c r="E242">
        <v>1.1399999999999999</v>
      </c>
      <c r="F242">
        <v>1224811.4240000001</v>
      </c>
      <c r="G242">
        <v>0</v>
      </c>
      <c r="L242" t="s">
        <v>7</v>
      </c>
      <c r="M242" t="s">
        <v>7</v>
      </c>
      <c r="N242" t="s">
        <v>7</v>
      </c>
      <c r="P242">
        <f t="shared" si="914"/>
        <v>0.64835164835164794</v>
      </c>
      <c r="Q242">
        <f t="shared" si="915"/>
        <v>794108.50567032921</v>
      </c>
      <c r="R242">
        <f t="shared" si="916"/>
        <v>-22846131.375777617</v>
      </c>
      <c r="S242">
        <f t="shared" si="917"/>
        <v>-228.46131375777617</v>
      </c>
      <c r="T242">
        <f t="shared" si="918"/>
        <v>-0.22846131375777617</v>
      </c>
    </row>
    <row r="243" spans="1:20" x14ac:dyDescent="0.25">
      <c r="A243" s="5">
        <v>44341</v>
      </c>
      <c r="B243">
        <v>0.85099999999999998</v>
      </c>
      <c r="C243">
        <v>1.46</v>
      </c>
      <c r="D243">
        <v>0.81200000000000006</v>
      </c>
      <c r="E243">
        <v>1.1679999999999999</v>
      </c>
      <c r="F243">
        <v>5672700.5990000004</v>
      </c>
      <c r="G243">
        <v>0</v>
      </c>
      <c r="L243" t="s">
        <v>8</v>
      </c>
      <c r="M243" t="s">
        <v>8</v>
      </c>
      <c r="N243" t="s">
        <v>8</v>
      </c>
      <c r="P243">
        <f t="shared" si="914"/>
        <v>9.8765432098765191E-2</v>
      </c>
      <c r="Q243">
        <f t="shared" si="915"/>
        <v>560266.72582715913</v>
      </c>
      <c r="R243">
        <f t="shared" si="916"/>
        <v>-23640239.881447945</v>
      </c>
      <c r="S243">
        <f t="shared" si="917"/>
        <v>-236.40239881447945</v>
      </c>
      <c r="T243">
        <f t="shared" si="918"/>
        <v>-0.23640239881447944</v>
      </c>
    </row>
    <row r="244" spans="1:20" x14ac:dyDescent="0.25">
      <c r="A244" s="5">
        <v>44340</v>
      </c>
      <c r="B244">
        <v>0.628</v>
      </c>
      <c r="C244">
        <v>0.86399999999999999</v>
      </c>
      <c r="D244">
        <v>0.6</v>
      </c>
      <c r="E244">
        <v>0.86199999999999999</v>
      </c>
      <c r="F244">
        <v>1278139.2180000001</v>
      </c>
      <c r="G244">
        <v>0</v>
      </c>
      <c r="L244" t="s">
        <v>8</v>
      </c>
      <c r="M244" t="s">
        <v>8</v>
      </c>
      <c r="N244" t="s">
        <v>8</v>
      </c>
      <c r="P244">
        <f t="shared" si="914"/>
        <v>0.98484848484848486</v>
      </c>
      <c r="Q244">
        <f t="shared" si="915"/>
        <v>1258773.4722727274</v>
      </c>
      <c r="R244">
        <f t="shared" si="916"/>
        <v>-24200506.607275102</v>
      </c>
      <c r="S244">
        <f t="shared" si="917"/>
        <v>-242.00506607275102</v>
      </c>
      <c r="T244">
        <f t="shared" si="918"/>
        <v>-0.24200506607275102</v>
      </c>
    </row>
    <row r="245" spans="1:20" x14ac:dyDescent="0.25">
      <c r="A245" s="5">
        <v>44339</v>
      </c>
      <c r="B245">
        <v>0.83899999999999997</v>
      </c>
      <c r="C245">
        <v>0.88800000000000001</v>
      </c>
      <c r="D245">
        <v>0.52900000000000003</v>
      </c>
      <c r="E245">
        <v>0.628</v>
      </c>
      <c r="F245">
        <v>967394.52</v>
      </c>
      <c r="G245">
        <v>0</v>
      </c>
      <c r="L245" t="s">
        <v>7</v>
      </c>
      <c r="M245" t="s">
        <v>7</v>
      </c>
      <c r="N245" t="s">
        <v>7</v>
      </c>
      <c r="P245">
        <f t="shared" si="914"/>
        <v>-0.44846796657381627</v>
      </c>
      <c r="Q245">
        <f t="shared" si="915"/>
        <v>-433845.45325905306</v>
      </c>
      <c r="R245">
        <f t="shared" si="916"/>
        <v>-25459280.07954783</v>
      </c>
      <c r="S245">
        <f t="shared" si="917"/>
        <v>-254.5928007954783</v>
      </c>
      <c r="T245">
        <f t="shared" si="918"/>
        <v>-0.2545928007954783</v>
      </c>
    </row>
    <row r="246" spans="1:20" x14ac:dyDescent="0.25">
      <c r="A246" s="5">
        <v>44338</v>
      </c>
      <c r="B246">
        <v>0.91300000000000003</v>
      </c>
      <c r="C246">
        <v>0.95</v>
      </c>
      <c r="D246">
        <v>0.78800000000000003</v>
      </c>
      <c r="E246">
        <v>0.84</v>
      </c>
      <c r="F246">
        <v>401889.16700000002</v>
      </c>
      <c r="G246">
        <v>0</v>
      </c>
      <c r="L246" t="s">
        <v>7</v>
      </c>
      <c r="M246" t="s">
        <v>7</v>
      </c>
      <c r="N246" t="s">
        <v>7</v>
      </c>
      <c r="P246">
        <f t="shared" si="914"/>
        <v>-0.35802469135802517</v>
      </c>
      <c r="Q246">
        <f t="shared" si="915"/>
        <v>-143886.24497530883</v>
      </c>
      <c r="R246">
        <f t="shared" si="916"/>
        <v>-25025434.626288775</v>
      </c>
      <c r="S246">
        <f t="shared" si="917"/>
        <v>-250.25434626288776</v>
      </c>
      <c r="T246">
        <f t="shared" si="918"/>
        <v>-0.25025434626288778</v>
      </c>
    </row>
    <row r="247" spans="1:20" x14ac:dyDescent="0.25">
      <c r="A247" s="5">
        <v>44337</v>
      </c>
      <c r="B247">
        <v>1.0720000000000001</v>
      </c>
      <c r="C247">
        <v>1.1339999999999999</v>
      </c>
      <c r="D247">
        <v>0.79600000000000004</v>
      </c>
      <c r="E247">
        <v>0.91200000000000003</v>
      </c>
      <c r="F247">
        <v>801596.53</v>
      </c>
      <c r="G247">
        <v>0</v>
      </c>
      <c r="L247" t="s">
        <v>7</v>
      </c>
      <c r="M247" t="s">
        <v>8</v>
      </c>
      <c r="N247" t="s">
        <v>8</v>
      </c>
      <c r="P247">
        <f t="shared" si="914"/>
        <v>-0.31360946745562107</v>
      </c>
      <c r="Q247">
        <f t="shared" si="915"/>
        <v>-251388.26088757379</v>
      </c>
      <c r="R247">
        <f t="shared" si="916"/>
        <v>-24881548.381313466</v>
      </c>
      <c r="S247">
        <f t="shared" si="917"/>
        <v>-248.81548381313465</v>
      </c>
      <c r="T247">
        <f t="shared" si="918"/>
        <v>-0.24881548381313465</v>
      </c>
    </row>
    <row r="248" spans="1:20" x14ac:dyDescent="0.25">
      <c r="A248" s="5">
        <v>44336</v>
      </c>
      <c r="B248">
        <v>0.96899999999999997</v>
      </c>
      <c r="C248">
        <v>1.1890000000000001</v>
      </c>
      <c r="D248">
        <v>0.82</v>
      </c>
      <c r="E248">
        <v>1.081</v>
      </c>
      <c r="F248">
        <v>1070599.9339999999</v>
      </c>
      <c r="G248">
        <v>0</v>
      </c>
      <c r="L248" t="s">
        <v>7</v>
      </c>
      <c r="M248" t="s">
        <v>7</v>
      </c>
      <c r="N248" t="s">
        <v>7</v>
      </c>
      <c r="P248">
        <f t="shared" si="914"/>
        <v>0.41463414634146306</v>
      </c>
      <c r="Q248">
        <f t="shared" si="915"/>
        <v>443907.28970731667</v>
      </c>
      <c r="R248">
        <f t="shared" si="916"/>
        <v>-24630160.120425891</v>
      </c>
      <c r="S248">
        <f t="shared" si="917"/>
        <v>-246.3016012042589</v>
      </c>
      <c r="T248">
        <f t="shared" si="918"/>
        <v>-0.2463016012042589</v>
      </c>
    </row>
    <row r="249" spans="1:20" x14ac:dyDescent="0.25">
      <c r="A249" s="5">
        <v>44335</v>
      </c>
      <c r="B249">
        <v>1.5649999999999999</v>
      </c>
      <c r="C249">
        <v>1.6</v>
      </c>
      <c r="D249">
        <v>0.84499999999999997</v>
      </c>
      <c r="E249">
        <v>0.96899999999999997</v>
      </c>
      <c r="F249">
        <v>1566139.922</v>
      </c>
      <c r="G249">
        <v>0</v>
      </c>
      <c r="L249" t="s">
        <v>7</v>
      </c>
      <c r="M249" t="s">
        <v>7</v>
      </c>
      <c r="N249" t="s">
        <v>7</v>
      </c>
      <c r="P249">
        <f t="shared" si="914"/>
        <v>-0.6715231788079471</v>
      </c>
      <c r="Q249">
        <f t="shared" si="915"/>
        <v>-1051699.2588794704</v>
      </c>
      <c r="R249">
        <f t="shared" si="916"/>
        <v>-25074067.410133209</v>
      </c>
      <c r="S249">
        <f t="shared" si="917"/>
        <v>-250.7406741013321</v>
      </c>
      <c r="T249">
        <f t="shared" si="918"/>
        <v>-0.25074067410133211</v>
      </c>
    </row>
    <row r="250" spans="1:20" x14ac:dyDescent="0.25">
      <c r="A250" s="5">
        <v>44334</v>
      </c>
      <c r="B250">
        <v>1.57</v>
      </c>
      <c r="C250">
        <v>1.673</v>
      </c>
      <c r="D250">
        <v>1.5029999999999999</v>
      </c>
      <c r="E250">
        <v>1.56</v>
      </c>
      <c r="F250">
        <v>500427.42700000003</v>
      </c>
      <c r="G250">
        <v>0</v>
      </c>
      <c r="L250" t="s">
        <v>8</v>
      </c>
      <c r="M250" t="s">
        <v>7</v>
      </c>
      <c r="N250" t="s">
        <v>7</v>
      </c>
      <c r="P250">
        <f t="shared" si="914"/>
        <v>-0.32941176470588107</v>
      </c>
      <c r="Q250">
        <f t="shared" si="915"/>
        <v>-164846.68183529348</v>
      </c>
      <c r="R250">
        <f t="shared" si="916"/>
        <v>-24022368.151253738</v>
      </c>
      <c r="S250">
        <f t="shared" si="917"/>
        <v>-240.22368151253738</v>
      </c>
      <c r="T250">
        <f t="shared" si="918"/>
        <v>-0.2402236815125374</v>
      </c>
    </row>
    <row r="251" spans="1:20" x14ac:dyDescent="0.25">
      <c r="A251" s="5">
        <v>44333</v>
      </c>
      <c r="B251">
        <v>1.6930000000000001</v>
      </c>
      <c r="C251">
        <v>1.7010000000000001</v>
      </c>
      <c r="D251">
        <v>1.47</v>
      </c>
      <c r="E251">
        <v>1.571</v>
      </c>
      <c r="F251">
        <v>649249.07499999995</v>
      </c>
      <c r="G251">
        <v>0</v>
      </c>
      <c r="L251" t="s">
        <v>7</v>
      </c>
      <c r="M251" t="s">
        <v>7</v>
      </c>
      <c r="N251" t="s">
        <v>7</v>
      </c>
      <c r="P251">
        <f t="shared" si="914"/>
        <v>-0.12554112554112609</v>
      </c>
      <c r="Q251">
        <f t="shared" si="915"/>
        <v>-81507.459632034981</v>
      </c>
      <c r="R251">
        <f t="shared" si="916"/>
        <v>-23857521.469418444</v>
      </c>
      <c r="S251">
        <f t="shared" si="917"/>
        <v>-238.57521469418444</v>
      </c>
      <c r="T251">
        <f t="shared" si="918"/>
        <v>-0.23857521469418444</v>
      </c>
    </row>
    <row r="252" spans="1:20" x14ac:dyDescent="0.25">
      <c r="A252" s="5">
        <v>44332</v>
      </c>
      <c r="B252">
        <v>1.6719999999999999</v>
      </c>
      <c r="C252">
        <v>1.8759999999999999</v>
      </c>
      <c r="D252">
        <v>1.5660000000000001</v>
      </c>
      <c r="E252">
        <v>1.694</v>
      </c>
      <c r="F252">
        <v>779357.87800000003</v>
      </c>
      <c r="G252">
        <v>0</v>
      </c>
      <c r="L252" t="s">
        <v>7</v>
      </c>
      <c r="M252" t="s">
        <v>7</v>
      </c>
      <c r="N252" t="s">
        <v>7</v>
      </c>
      <c r="P252">
        <f t="shared" si="914"/>
        <v>-0.17419354838709702</v>
      </c>
      <c r="Q252">
        <f t="shared" si="915"/>
        <v>-135759.11423225826</v>
      </c>
      <c r="R252">
        <f t="shared" si="916"/>
        <v>-23776014.009786408</v>
      </c>
      <c r="S252">
        <f t="shared" si="917"/>
        <v>-237.76014009786408</v>
      </c>
      <c r="T252">
        <f t="shared" si="918"/>
        <v>-0.23776014009786409</v>
      </c>
    </row>
    <row r="253" spans="1:20" x14ac:dyDescent="0.25">
      <c r="A253" s="5">
        <v>44331</v>
      </c>
      <c r="B253">
        <v>1.855</v>
      </c>
      <c r="C253">
        <v>1.95</v>
      </c>
      <c r="D253">
        <v>1.66</v>
      </c>
      <c r="E253">
        <v>1.6719999999999999</v>
      </c>
      <c r="F253">
        <v>615735.44499999995</v>
      </c>
      <c r="G253">
        <v>0</v>
      </c>
      <c r="L253" t="s">
        <v>8</v>
      </c>
      <c r="M253" t="s">
        <v>8</v>
      </c>
      <c r="N253" t="s">
        <v>7</v>
      </c>
      <c r="P253">
        <f t="shared" ref="P253:P316" si="919">IF(C253=D253,0,((E253-D253)-(C253-E253))/(C253-D253))</f>
        <v>-0.91724137931034477</v>
      </c>
      <c r="Q253">
        <f t="shared" ref="Q253:Q316" si="920">F253*P253</f>
        <v>-564778.0288620689</v>
      </c>
      <c r="R253">
        <f t="shared" ref="R253:R316" si="921">R254+Q253</f>
        <v>-23640254.895554151</v>
      </c>
      <c r="S253">
        <f t="shared" ref="S253:S316" si="922">R253/100000</f>
        <v>-236.4025489555415</v>
      </c>
      <c r="T253">
        <f t="shared" ref="T253:T316" si="923">S253/1000</f>
        <v>-0.2364025489555415</v>
      </c>
    </row>
    <row r="254" spans="1:20" x14ac:dyDescent="0.25">
      <c r="A254" s="5">
        <v>44330</v>
      </c>
      <c r="B254">
        <v>1.7929999999999999</v>
      </c>
      <c r="C254">
        <v>1.86</v>
      </c>
      <c r="D254">
        <v>1.702</v>
      </c>
      <c r="E254">
        <v>1.845</v>
      </c>
      <c r="F254">
        <v>864409.08400000003</v>
      </c>
      <c r="G254">
        <v>0</v>
      </c>
      <c r="L254" t="s">
        <v>8</v>
      </c>
      <c r="M254" t="s">
        <v>8</v>
      </c>
      <c r="N254" t="s">
        <v>7</v>
      </c>
      <c r="P254">
        <f t="shared" si="919"/>
        <v>0.81012658227847956</v>
      </c>
      <c r="Q254">
        <f t="shared" si="920"/>
        <v>700280.77691139118</v>
      </c>
      <c r="R254">
        <f t="shared" si="921"/>
        <v>-23075476.866692081</v>
      </c>
      <c r="S254">
        <f t="shared" si="922"/>
        <v>-230.75476866692082</v>
      </c>
      <c r="T254">
        <f t="shared" si="923"/>
        <v>-0.23075476866692082</v>
      </c>
    </row>
    <row r="255" spans="1:20" x14ac:dyDescent="0.25">
      <c r="A255" s="5">
        <v>44329</v>
      </c>
      <c r="B255">
        <v>1.6180000000000001</v>
      </c>
      <c r="C255">
        <v>1.85</v>
      </c>
      <c r="D255">
        <v>1.5289999999999999</v>
      </c>
      <c r="E255">
        <v>1.7929999999999999</v>
      </c>
      <c r="F255">
        <v>1095875.105</v>
      </c>
      <c r="G255">
        <v>0</v>
      </c>
      <c r="L255" t="s">
        <v>7</v>
      </c>
      <c r="M255" t="s">
        <v>7</v>
      </c>
      <c r="N255" t="s">
        <v>7</v>
      </c>
      <c r="P255">
        <f t="shared" si="919"/>
        <v>0.64485981308411133</v>
      </c>
      <c r="Q255">
        <f t="shared" si="920"/>
        <v>706685.81537383085</v>
      </c>
      <c r="R255">
        <f t="shared" si="921"/>
        <v>-23775757.643603474</v>
      </c>
      <c r="S255">
        <f t="shared" si="922"/>
        <v>-237.75757643603473</v>
      </c>
      <c r="T255">
        <f t="shared" si="923"/>
        <v>-0.23775757643603473</v>
      </c>
    </row>
    <row r="256" spans="1:20" x14ac:dyDescent="0.25">
      <c r="A256" s="5">
        <v>44328</v>
      </c>
      <c r="B256">
        <v>1.9390000000000001</v>
      </c>
      <c r="C256">
        <v>2.089</v>
      </c>
      <c r="D256">
        <v>1.611</v>
      </c>
      <c r="E256">
        <v>1.615</v>
      </c>
      <c r="F256">
        <v>1181430.6710000001</v>
      </c>
      <c r="G256">
        <v>0</v>
      </c>
      <c r="L256" t="s">
        <v>7</v>
      </c>
      <c r="M256" t="s">
        <v>7</v>
      </c>
      <c r="N256" t="s">
        <v>7</v>
      </c>
      <c r="P256">
        <f t="shared" si="919"/>
        <v>-0.98326359832635979</v>
      </c>
      <c r="Q256">
        <f t="shared" si="920"/>
        <v>-1161657.7727405857</v>
      </c>
      <c r="R256">
        <f t="shared" si="921"/>
        <v>-24482443.458977304</v>
      </c>
      <c r="S256">
        <f t="shared" si="922"/>
        <v>-244.82443458977303</v>
      </c>
      <c r="T256">
        <f t="shared" si="923"/>
        <v>-0.24482443458977304</v>
      </c>
    </row>
    <row r="257" spans="1:20" x14ac:dyDescent="0.25">
      <c r="A257" s="5">
        <v>44327</v>
      </c>
      <c r="B257">
        <v>1.885</v>
      </c>
      <c r="C257">
        <v>2.1480000000000001</v>
      </c>
      <c r="D257">
        <v>1.7749999999999999</v>
      </c>
      <c r="E257">
        <v>1.9370000000000001</v>
      </c>
      <c r="F257">
        <v>1065364.4269999999</v>
      </c>
      <c r="G257">
        <v>0</v>
      </c>
      <c r="L257" t="s">
        <v>7</v>
      </c>
      <c r="M257" t="s">
        <v>7</v>
      </c>
      <c r="N257" t="s">
        <v>7</v>
      </c>
      <c r="P257">
        <f t="shared" si="919"/>
        <v>-0.13136729222520083</v>
      </c>
      <c r="Q257">
        <f t="shared" si="920"/>
        <v>-139954.04000804262</v>
      </c>
      <c r="R257">
        <f t="shared" si="921"/>
        <v>-23320785.686236717</v>
      </c>
      <c r="S257">
        <f t="shared" si="922"/>
        <v>-233.20785686236718</v>
      </c>
      <c r="T257">
        <f t="shared" si="923"/>
        <v>-0.23320785686236717</v>
      </c>
    </row>
    <row r="258" spans="1:20" x14ac:dyDescent="0.25">
      <c r="A258" s="5">
        <v>44326</v>
      </c>
      <c r="B258">
        <v>2.1230000000000002</v>
      </c>
      <c r="C258">
        <v>2.1949999999999998</v>
      </c>
      <c r="D258">
        <v>1.8</v>
      </c>
      <c r="E258">
        <v>1.885</v>
      </c>
      <c r="F258">
        <v>1006536.968</v>
      </c>
      <c r="G258">
        <v>0</v>
      </c>
      <c r="L258" t="s">
        <v>7</v>
      </c>
      <c r="M258" t="s">
        <v>7</v>
      </c>
      <c r="N258" t="s">
        <v>7</v>
      </c>
      <c r="P258">
        <f t="shared" si="919"/>
        <v>-0.56962025316455689</v>
      </c>
      <c r="Q258">
        <f t="shared" si="920"/>
        <v>-573343.84253164544</v>
      </c>
      <c r="R258">
        <f t="shared" si="921"/>
        <v>-23180831.646228675</v>
      </c>
      <c r="S258">
        <f t="shared" si="922"/>
        <v>-231.80831646228674</v>
      </c>
      <c r="T258">
        <f t="shared" si="923"/>
        <v>-0.23180831646228675</v>
      </c>
    </row>
    <row r="259" spans="1:20" x14ac:dyDescent="0.25">
      <c r="A259" s="5">
        <v>44325</v>
      </c>
      <c r="B259">
        <v>2.2130000000000001</v>
      </c>
      <c r="C259">
        <v>2.234</v>
      </c>
      <c r="D259">
        <v>2.0499999999999998</v>
      </c>
      <c r="E259">
        <v>2.13</v>
      </c>
      <c r="F259">
        <v>723964.80299999996</v>
      </c>
      <c r="G259">
        <v>0</v>
      </c>
      <c r="L259" t="s">
        <v>7</v>
      </c>
      <c r="M259" t="s">
        <v>7</v>
      </c>
      <c r="N259" t="s">
        <v>7</v>
      </c>
      <c r="P259">
        <f t="shared" si="919"/>
        <v>-0.13043478260869565</v>
      </c>
      <c r="Q259">
        <f t="shared" si="920"/>
        <v>-94430.19169565216</v>
      </c>
      <c r="R259">
        <f t="shared" si="921"/>
        <v>-22607487.803697031</v>
      </c>
      <c r="S259">
        <f t="shared" si="922"/>
        <v>-226.07487803697032</v>
      </c>
      <c r="T259">
        <f t="shared" si="923"/>
        <v>-0.22607487803697032</v>
      </c>
    </row>
    <row r="260" spans="1:20" x14ac:dyDescent="0.25">
      <c r="A260" s="5">
        <v>44324</v>
      </c>
      <c r="B260">
        <v>2.3650000000000002</v>
      </c>
      <c r="C260">
        <v>2.4809999999999999</v>
      </c>
      <c r="D260">
        <v>2.14</v>
      </c>
      <c r="E260">
        <v>2.214</v>
      </c>
      <c r="F260">
        <v>1472628.4909999999</v>
      </c>
      <c r="G260">
        <v>0</v>
      </c>
      <c r="L260" t="s">
        <v>8</v>
      </c>
      <c r="M260" t="s">
        <v>7</v>
      </c>
      <c r="N260" t="s">
        <v>7</v>
      </c>
      <c r="P260">
        <f t="shared" si="919"/>
        <v>-0.56598240469208272</v>
      </c>
      <c r="Q260">
        <f t="shared" si="920"/>
        <v>-833481.81455425301</v>
      </c>
      <c r="R260">
        <f t="shared" si="921"/>
        <v>-22513057.612001378</v>
      </c>
      <c r="S260">
        <f t="shared" si="922"/>
        <v>-225.13057612001379</v>
      </c>
      <c r="T260">
        <f t="shared" si="923"/>
        <v>-0.22513057612001378</v>
      </c>
    </row>
    <row r="261" spans="1:20" x14ac:dyDescent="0.25">
      <c r="A261" s="5">
        <v>44323</v>
      </c>
      <c r="B261">
        <v>2.101</v>
      </c>
      <c r="C261">
        <v>2.75</v>
      </c>
      <c r="D261">
        <v>1.9950000000000001</v>
      </c>
      <c r="E261">
        <v>2.3660000000000001</v>
      </c>
      <c r="F261">
        <v>3043231.7659999998</v>
      </c>
      <c r="G261">
        <v>0</v>
      </c>
      <c r="L261" t="s">
        <v>7</v>
      </c>
      <c r="M261" t="s">
        <v>8</v>
      </c>
      <c r="N261" t="s">
        <v>7</v>
      </c>
      <c r="P261">
        <f t="shared" si="919"/>
        <v>-1.7218543046357487E-2</v>
      </c>
      <c r="Q261">
        <f t="shared" si="920"/>
        <v>-52400.017162913507</v>
      </c>
      <c r="R261">
        <f t="shared" si="921"/>
        <v>-21679575.797447126</v>
      </c>
      <c r="S261">
        <f t="shared" si="922"/>
        <v>-216.79575797447126</v>
      </c>
      <c r="T261">
        <f t="shared" si="923"/>
        <v>-0.21679575797447126</v>
      </c>
    </row>
    <row r="262" spans="1:20" x14ac:dyDescent="0.25">
      <c r="A262" s="5">
        <v>44322</v>
      </c>
      <c r="B262">
        <v>2.27</v>
      </c>
      <c r="C262">
        <v>2.35</v>
      </c>
      <c r="D262">
        <v>2.0649999999999999</v>
      </c>
      <c r="E262">
        <v>2.1019999999999999</v>
      </c>
      <c r="F262">
        <v>942004.72400000005</v>
      </c>
      <c r="G262">
        <v>0</v>
      </c>
      <c r="L262" t="s">
        <v>7</v>
      </c>
      <c r="M262" t="s">
        <v>7</v>
      </c>
      <c r="N262" t="s">
        <v>7</v>
      </c>
      <c r="P262">
        <f t="shared" si="919"/>
        <v>-0.74035087719298309</v>
      </c>
      <c r="Q262">
        <f t="shared" si="920"/>
        <v>-697414.02373333392</v>
      </c>
      <c r="R262">
        <f t="shared" si="921"/>
        <v>-21627175.780284211</v>
      </c>
      <c r="S262">
        <f t="shared" si="922"/>
        <v>-216.2717578028421</v>
      </c>
      <c r="T262">
        <f t="shared" si="923"/>
        <v>-0.21627175780284211</v>
      </c>
    </row>
    <row r="263" spans="1:20" x14ac:dyDescent="0.25">
      <c r="A263" s="5">
        <v>44321</v>
      </c>
      <c r="B263">
        <v>2.2130000000000001</v>
      </c>
      <c r="C263">
        <v>2.44</v>
      </c>
      <c r="D263">
        <v>2.153</v>
      </c>
      <c r="E263">
        <v>2.27</v>
      </c>
      <c r="F263">
        <v>1202513.4029999999</v>
      </c>
      <c r="G263">
        <v>0</v>
      </c>
      <c r="L263" t="s">
        <v>7</v>
      </c>
      <c r="M263" t="s">
        <v>7</v>
      </c>
      <c r="N263" t="s">
        <v>8</v>
      </c>
      <c r="P263">
        <f t="shared" si="919"/>
        <v>-0.18466898954703814</v>
      </c>
      <c r="Q263">
        <f t="shared" si="920"/>
        <v>-222066.93504878026</v>
      </c>
      <c r="R263">
        <f t="shared" si="921"/>
        <v>-20929761.756550878</v>
      </c>
      <c r="S263">
        <f t="shared" si="922"/>
        <v>-209.29761756550877</v>
      </c>
      <c r="T263">
        <f t="shared" si="923"/>
        <v>-0.20929761756550877</v>
      </c>
    </row>
    <row r="264" spans="1:20" x14ac:dyDescent="0.25">
      <c r="A264" s="5">
        <v>44320</v>
      </c>
      <c r="B264">
        <v>2.34</v>
      </c>
      <c r="C264">
        <v>2.44</v>
      </c>
      <c r="D264">
        <v>2.177</v>
      </c>
      <c r="E264">
        <v>2.2130000000000001</v>
      </c>
      <c r="F264">
        <v>1324300.169</v>
      </c>
      <c r="G264">
        <v>0</v>
      </c>
      <c r="L264" t="s">
        <v>7</v>
      </c>
      <c r="M264" t="s">
        <v>7</v>
      </c>
      <c r="N264" t="s">
        <v>8</v>
      </c>
      <c r="P264">
        <f t="shared" si="919"/>
        <v>-0.72623574144486658</v>
      </c>
      <c r="Q264">
        <f t="shared" si="920"/>
        <v>-961754.11512927711</v>
      </c>
      <c r="R264">
        <f t="shared" si="921"/>
        <v>-20707694.821502097</v>
      </c>
      <c r="S264">
        <f t="shared" si="922"/>
        <v>-207.07694821502096</v>
      </c>
      <c r="T264">
        <f t="shared" si="923"/>
        <v>-0.20707694821502096</v>
      </c>
    </row>
    <row r="265" spans="1:20" x14ac:dyDescent="0.25">
      <c r="A265" s="5">
        <v>44319</v>
      </c>
      <c r="B265">
        <v>2.532</v>
      </c>
      <c r="C265">
        <v>2.8639999999999999</v>
      </c>
      <c r="D265">
        <v>2.2959999999999998</v>
      </c>
      <c r="E265">
        <v>2.3340000000000001</v>
      </c>
      <c r="F265">
        <v>2239094.9350000001</v>
      </c>
      <c r="G265">
        <v>0</v>
      </c>
      <c r="L265" t="s">
        <v>8</v>
      </c>
      <c r="M265" t="s">
        <v>8</v>
      </c>
      <c r="N265" t="s">
        <v>8</v>
      </c>
      <c r="P265">
        <f t="shared" si="919"/>
        <v>-0.86619718309859062</v>
      </c>
      <c r="Q265">
        <f t="shared" si="920"/>
        <v>-1939497.725387322</v>
      </c>
      <c r="R265">
        <f t="shared" si="921"/>
        <v>-19745940.70637282</v>
      </c>
      <c r="S265">
        <f t="shared" si="922"/>
        <v>-197.45940706372821</v>
      </c>
      <c r="T265">
        <f t="shared" si="923"/>
        <v>-0.19745940706372822</v>
      </c>
    </row>
    <row r="266" spans="1:20" x14ac:dyDescent="0.25">
      <c r="A266" s="5">
        <v>44318</v>
      </c>
      <c r="B266">
        <v>2.2040000000000002</v>
      </c>
      <c r="C266">
        <v>2.7429999999999999</v>
      </c>
      <c r="D266">
        <v>2.0699999999999998</v>
      </c>
      <c r="E266">
        <v>2.5289999999999999</v>
      </c>
      <c r="F266">
        <v>3366711.3259999999</v>
      </c>
      <c r="G266">
        <v>0</v>
      </c>
      <c r="L266" t="s">
        <v>7</v>
      </c>
      <c r="M266" t="s">
        <v>7</v>
      </c>
      <c r="N266" t="s">
        <v>7</v>
      </c>
      <c r="P266">
        <f t="shared" si="919"/>
        <v>0.36404160475482927</v>
      </c>
      <c r="Q266">
        <f t="shared" si="920"/>
        <v>1225622.993863299</v>
      </c>
      <c r="R266">
        <f t="shared" si="921"/>
        <v>-17806442.980985496</v>
      </c>
      <c r="S266">
        <f t="shared" si="922"/>
        <v>-178.06442980985497</v>
      </c>
      <c r="T266">
        <f t="shared" si="923"/>
        <v>-0.17806442980985498</v>
      </c>
    </row>
    <row r="267" spans="1:20" x14ac:dyDescent="0.25">
      <c r="A267" s="5">
        <v>44317</v>
      </c>
      <c r="B267">
        <v>2.4470000000000001</v>
      </c>
      <c r="C267">
        <v>2.5049999999999999</v>
      </c>
      <c r="D267">
        <v>2.1850000000000001</v>
      </c>
      <c r="E267">
        <v>2.2040000000000002</v>
      </c>
      <c r="F267">
        <v>3434430.662</v>
      </c>
      <c r="G267">
        <v>0</v>
      </c>
      <c r="L267" t="s">
        <v>7</v>
      </c>
      <c r="M267" t="s">
        <v>7</v>
      </c>
      <c r="N267" t="s">
        <v>7</v>
      </c>
      <c r="P267">
        <f t="shared" si="919"/>
        <v>-0.88124999999999909</v>
      </c>
      <c r="Q267">
        <f t="shared" si="920"/>
        <v>-3026592.0208874969</v>
      </c>
      <c r="R267">
        <f t="shared" si="921"/>
        <v>-19032065.974848796</v>
      </c>
      <c r="S267">
        <f t="shared" si="922"/>
        <v>-190.32065974848797</v>
      </c>
      <c r="T267">
        <f t="shared" si="923"/>
        <v>-0.19032065974848797</v>
      </c>
    </row>
    <row r="268" spans="1:20" x14ac:dyDescent="0.25">
      <c r="A268" s="5">
        <v>44316</v>
      </c>
      <c r="B268">
        <v>2.6440000000000001</v>
      </c>
      <c r="C268">
        <v>3.133</v>
      </c>
      <c r="D268">
        <v>2.3340000000000001</v>
      </c>
      <c r="E268">
        <v>2.4470000000000001</v>
      </c>
      <c r="F268">
        <v>13891410.554</v>
      </c>
      <c r="G268">
        <v>0</v>
      </c>
      <c r="L268" t="s">
        <v>7</v>
      </c>
      <c r="M268" t="s">
        <v>7</v>
      </c>
      <c r="N268" t="s">
        <v>7</v>
      </c>
      <c r="P268">
        <f t="shared" si="919"/>
        <v>-0.71714643304130166</v>
      </c>
      <c r="Q268">
        <f t="shared" si="920"/>
        <v>-9962175.5287133921</v>
      </c>
      <c r="R268">
        <f t="shared" si="921"/>
        <v>-16005473.953961298</v>
      </c>
      <c r="S268">
        <f t="shared" si="922"/>
        <v>-160.05473953961297</v>
      </c>
      <c r="T268">
        <f t="shared" si="923"/>
        <v>-0.16005473953961297</v>
      </c>
    </row>
    <row r="269" spans="1:20" x14ac:dyDescent="0.25">
      <c r="A269" s="5">
        <v>44315</v>
      </c>
      <c r="B269">
        <v>1.667</v>
      </c>
      <c r="C269">
        <v>3.9009999999999998</v>
      </c>
      <c r="D269">
        <v>1.6</v>
      </c>
      <c r="E269">
        <v>2.6440000000000001</v>
      </c>
      <c r="F269">
        <v>15741729.869999999</v>
      </c>
      <c r="G269">
        <v>0</v>
      </c>
      <c r="L269" t="s">
        <v>8</v>
      </c>
      <c r="M269" t="s">
        <v>8</v>
      </c>
      <c r="N269" t="s">
        <v>8</v>
      </c>
      <c r="P269">
        <f t="shared" si="919"/>
        <v>-9.256844850065174E-2</v>
      </c>
      <c r="Q269">
        <f t="shared" si="920"/>
        <v>-1457187.510782266</v>
      </c>
      <c r="R269">
        <f t="shared" si="921"/>
        <v>-6043298.4252479058</v>
      </c>
      <c r="S269">
        <f t="shared" si="922"/>
        <v>-60.432984252479059</v>
      </c>
      <c r="T269">
        <f t="shared" si="923"/>
        <v>-6.0432984252479061E-2</v>
      </c>
    </row>
    <row r="270" spans="1:20" x14ac:dyDescent="0.25">
      <c r="A270" s="5">
        <v>44314</v>
      </c>
      <c r="B270">
        <v>1.772</v>
      </c>
      <c r="C270">
        <v>1.7949999999999999</v>
      </c>
      <c r="D270">
        <v>1.52</v>
      </c>
      <c r="E270">
        <v>1.6619999999999999</v>
      </c>
      <c r="F270">
        <v>563343.53300000005</v>
      </c>
      <c r="G270">
        <v>0</v>
      </c>
      <c r="L270" t="s">
        <v>7</v>
      </c>
      <c r="M270" t="s">
        <v>7</v>
      </c>
      <c r="N270" t="s">
        <v>8</v>
      </c>
      <c r="P270">
        <f t="shared" si="919"/>
        <v>3.2727272727272362E-2</v>
      </c>
      <c r="Q270">
        <f t="shared" si="920"/>
        <v>18436.69744363616</v>
      </c>
      <c r="R270">
        <f t="shared" si="921"/>
        <v>-4586110.9144656397</v>
      </c>
      <c r="S270">
        <f t="shared" si="922"/>
        <v>-45.861109144656396</v>
      </c>
      <c r="T270">
        <f t="shared" si="923"/>
        <v>-4.5861109144656395E-2</v>
      </c>
    </row>
    <row r="271" spans="1:20" x14ac:dyDescent="0.25">
      <c r="A271" s="5">
        <v>44313</v>
      </c>
      <c r="B271">
        <v>1.5309999999999999</v>
      </c>
      <c r="C271">
        <v>1.82</v>
      </c>
      <c r="D271">
        <v>1.5</v>
      </c>
      <c r="E271">
        <v>1.784</v>
      </c>
      <c r="F271">
        <v>782246.10900000005</v>
      </c>
      <c r="G271">
        <v>0</v>
      </c>
      <c r="L271" t="s">
        <v>8</v>
      </c>
      <c r="M271" t="s">
        <v>8</v>
      </c>
      <c r="N271" t="s">
        <v>8</v>
      </c>
      <c r="P271">
        <f t="shared" si="919"/>
        <v>0.7749999999999998</v>
      </c>
      <c r="Q271">
        <f t="shared" si="920"/>
        <v>606240.73447499983</v>
      </c>
      <c r="R271">
        <f t="shared" si="921"/>
        <v>-4604547.6119092759</v>
      </c>
      <c r="S271">
        <f t="shared" si="922"/>
        <v>-46.045476119092761</v>
      </c>
      <c r="T271">
        <f t="shared" si="923"/>
        <v>-4.6045476119092758E-2</v>
      </c>
    </row>
    <row r="272" spans="1:20" x14ac:dyDescent="0.25">
      <c r="A272" s="5">
        <v>44312</v>
      </c>
      <c r="B272">
        <v>1.3</v>
      </c>
      <c r="C272">
        <v>1.6259999999999999</v>
      </c>
      <c r="D272">
        <v>1.2829999999999999</v>
      </c>
      <c r="E272">
        <v>1.524</v>
      </c>
      <c r="F272">
        <v>662289.19299999997</v>
      </c>
      <c r="G272">
        <v>0</v>
      </c>
      <c r="L272" t="s">
        <v>8</v>
      </c>
      <c r="M272" t="s">
        <v>8</v>
      </c>
      <c r="N272" t="s">
        <v>8</v>
      </c>
      <c r="P272">
        <f t="shared" si="919"/>
        <v>0.40524781341107946</v>
      </c>
      <c r="Q272">
        <f t="shared" si="920"/>
        <v>268391.24730903836</v>
      </c>
      <c r="R272">
        <f t="shared" si="921"/>
        <v>-5210788.3463842757</v>
      </c>
      <c r="S272">
        <f t="shared" si="922"/>
        <v>-52.107883463842754</v>
      </c>
      <c r="T272">
        <f t="shared" si="923"/>
        <v>-5.2107883463842757E-2</v>
      </c>
    </row>
    <row r="273" spans="1:20" x14ac:dyDescent="0.25">
      <c r="A273" s="5">
        <v>44311</v>
      </c>
      <c r="B273">
        <v>1.2490000000000001</v>
      </c>
      <c r="C273">
        <v>1.4039999999999999</v>
      </c>
      <c r="D273">
        <v>1.1850000000000001</v>
      </c>
      <c r="E273">
        <v>1.288</v>
      </c>
      <c r="F273">
        <v>353576.92200000002</v>
      </c>
      <c r="G273">
        <v>0</v>
      </c>
      <c r="L273" t="s">
        <v>8</v>
      </c>
      <c r="M273" t="s">
        <v>8</v>
      </c>
      <c r="N273" t="s">
        <v>7</v>
      </c>
      <c r="P273">
        <f t="shared" si="919"/>
        <v>-5.9360730593606886E-2</v>
      </c>
      <c r="Q273">
        <f t="shared" si="920"/>
        <v>-20988.584410958756</v>
      </c>
      <c r="R273">
        <f t="shared" si="921"/>
        <v>-5479179.5936933141</v>
      </c>
      <c r="S273">
        <f t="shared" si="922"/>
        <v>-54.791795936933141</v>
      </c>
      <c r="T273">
        <f t="shared" si="923"/>
        <v>-5.4791795936933139E-2</v>
      </c>
    </row>
    <row r="274" spans="1:20" x14ac:dyDescent="0.25">
      <c r="A274" s="5">
        <v>44310</v>
      </c>
      <c r="B274">
        <v>1.3839999999999999</v>
      </c>
      <c r="C274">
        <v>1.3939999999999999</v>
      </c>
      <c r="D274">
        <v>1.242</v>
      </c>
      <c r="E274">
        <v>1.2490000000000001</v>
      </c>
      <c r="F274">
        <v>333092.245</v>
      </c>
      <c r="G274">
        <v>0</v>
      </c>
      <c r="L274" t="s">
        <v>8</v>
      </c>
      <c r="M274" t="s">
        <v>8</v>
      </c>
      <c r="N274" t="s">
        <v>7</v>
      </c>
      <c r="P274">
        <f t="shared" si="919"/>
        <v>-0.90789473684210364</v>
      </c>
      <c r="Q274">
        <f t="shared" si="920"/>
        <v>-302412.69611842051</v>
      </c>
      <c r="R274">
        <f t="shared" si="921"/>
        <v>-5458191.0092823552</v>
      </c>
      <c r="S274">
        <f t="shared" si="922"/>
        <v>-54.581910092823549</v>
      </c>
      <c r="T274">
        <f t="shared" si="923"/>
        <v>-5.4581910092823552E-2</v>
      </c>
    </row>
    <row r="275" spans="1:20" x14ac:dyDescent="0.25">
      <c r="A275" s="5">
        <v>44309</v>
      </c>
      <c r="B275">
        <v>1.54</v>
      </c>
      <c r="C275">
        <v>1.5529999999999999</v>
      </c>
      <c r="D275">
        <v>1.1519999999999999</v>
      </c>
      <c r="E275">
        <v>1.391</v>
      </c>
      <c r="F275">
        <v>1074851.22</v>
      </c>
      <c r="G275">
        <v>0</v>
      </c>
      <c r="L275" t="s">
        <v>7</v>
      </c>
      <c r="M275" t="s">
        <v>7</v>
      </c>
      <c r="N275" t="s">
        <v>7</v>
      </c>
      <c r="P275">
        <f t="shared" si="919"/>
        <v>0.19201995012468873</v>
      </c>
      <c r="Q275">
        <f t="shared" si="920"/>
        <v>206392.87765586082</v>
      </c>
      <c r="R275">
        <f t="shared" si="921"/>
        <v>-5155778.3131639343</v>
      </c>
      <c r="S275">
        <f t="shared" si="922"/>
        <v>-51.55778313163934</v>
      </c>
      <c r="T275">
        <f t="shared" si="923"/>
        <v>-5.1557783131639341E-2</v>
      </c>
    </row>
    <row r="276" spans="1:20" x14ac:dyDescent="0.25">
      <c r="A276" s="5">
        <v>44308</v>
      </c>
      <c r="B276">
        <v>1.6519999999999999</v>
      </c>
      <c r="C276">
        <v>1.8440000000000001</v>
      </c>
      <c r="D276">
        <v>1.52</v>
      </c>
      <c r="E276">
        <v>1.5309999999999999</v>
      </c>
      <c r="F276">
        <v>779911.95</v>
      </c>
      <c r="G276">
        <v>0</v>
      </c>
      <c r="L276" t="s">
        <v>7</v>
      </c>
      <c r="M276" t="s">
        <v>7</v>
      </c>
      <c r="N276" t="s">
        <v>7</v>
      </c>
      <c r="P276">
        <f t="shared" si="919"/>
        <v>-0.93209876543209935</v>
      </c>
      <c r="Q276">
        <f t="shared" si="920"/>
        <v>-726954.96574074111</v>
      </c>
      <c r="R276">
        <f t="shared" si="921"/>
        <v>-5362171.1908197952</v>
      </c>
      <c r="S276">
        <f t="shared" si="922"/>
        <v>-53.621711908197952</v>
      </c>
      <c r="T276">
        <f t="shared" si="923"/>
        <v>-5.362171190819795E-2</v>
      </c>
    </row>
    <row r="277" spans="1:20" x14ac:dyDescent="0.25">
      <c r="A277" s="5">
        <v>44307</v>
      </c>
      <c r="B277">
        <v>1.82</v>
      </c>
      <c r="C277">
        <v>1.8959999999999999</v>
      </c>
      <c r="D277">
        <v>1.5940000000000001</v>
      </c>
      <c r="E277">
        <v>1.66</v>
      </c>
      <c r="F277">
        <v>590884.11199999996</v>
      </c>
      <c r="G277">
        <v>0</v>
      </c>
      <c r="L277" t="s">
        <v>8</v>
      </c>
      <c r="M277" t="s">
        <v>8</v>
      </c>
      <c r="N277" t="s">
        <v>7</v>
      </c>
      <c r="P277">
        <f t="shared" si="919"/>
        <v>-0.56291390728476909</v>
      </c>
      <c r="Q277">
        <f t="shared" si="920"/>
        <v>-332616.88423841109</v>
      </c>
      <c r="R277">
        <f t="shared" si="921"/>
        <v>-4635216.225079054</v>
      </c>
      <c r="S277">
        <f t="shared" si="922"/>
        <v>-46.352162250790542</v>
      </c>
      <c r="T277">
        <f t="shared" si="923"/>
        <v>-4.6352162250790543E-2</v>
      </c>
    </row>
    <row r="278" spans="1:20" x14ac:dyDescent="0.25">
      <c r="A278" s="5">
        <v>44306</v>
      </c>
      <c r="B278">
        <v>1.738</v>
      </c>
      <c r="C278">
        <v>1.96</v>
      </c>
      <c r="D278">
        <v>1.5</v>
      </c>
      <c r="E278">
        <v>1.8180000000000001</v>
      </c>
      <c r="F278">
        <v>900600.09299999999</v>
      </c>
      <c r="G278">
        <v>0</v>
      </c>
      <c r="L278" t="s">
        <v>7</v>
      </c>
      <c r="M278" t="s">
        <v>7</v>
      </c>
      <c r="N278" t="s">
        <v>7</v>
      </c>
      <c r="P278">
        <f t="shared" si="919"/>
        <v>0.38260869565217426</v>
      </c>
      <c r="Q278">
        <f t="shared" si="920"/>
        <v>344577.42688695685</v>
      </c>
      <c r="R278">
        <f t="shared" si="921"/>
        <v>-4302599.3408406433</v>
      </c>
      <c r="S278">
        <f t="shared" si="922"/>
        <v>-43.025993408406435</v>
      </c>
      <c r="T278">
        <f t="shared" si="923"/>
        <v>-4.3025993408406432E-2</v>
      </c>
    </row>
    <row r="279" spans="1:20" x14ac:dyDescent="0.25">
      <c r="A279" s="5">
        <v>44305</v>
      </c>
      <c r="B279">
        <v>1.9450000000000001</v>
      </c>
      <c r="C279">
        <v>2.1120000000000001</v>
      </c>
      <c r="D279">
        <v>1.65</v>
      </c>
      <c r="E279">
        <v>1.744</v>
      </c>
      <c r="F279">
        <v>700893.75300000003</v>
      </c>
      <c r="G279">
        <v>0</v>
      </c>
      <c r="L279" t="s">
        <v>8</v>
      </c>
      <c r="M279" t="s">
        <v>8</v>
      </c>
      <c r="N279" t="s">
        <v>7</v>
      </c>
      <c r="P279">
        <f t="shared" si="919"/>
        <v>-0.59307359307359286</v>
      </c>
      <c r="Q279">
        <f t="shared" si="920"/>
        <v>-415681.57645454531</v>
      </c>
      <c r="R279">
        <f t="shared" si="921"/>
        <v>-4647176.7677276004</v>
      </c>
      <c r="S279">
        <f t="shared" si="922"/>
        <v>-46.471767677276006</v>
      </c>
      <c r="T279">
        <f t="shared" si="923"/>
        <v>-4.6471767677276003E-2</v>
      </c>
    </row>
    <row r="280" spans="1:20" x14ac:dyDescent="0.25">
      <c r="A280" s="5">
        <v>44304</v>
      </c>
      <c r="B280">
        <v>2.1869999999999998</v>
      </c>
      <c r="C280">
        <v>2.19</v>
      </c>
      <c r="D280">
        <v>1.625</v>
      </c>
      <c r="E280">
        <v>1.9430000000000001</v>
      </c>
      <c r="F280">
        <v>980473.59199999995</v>
      </c>
      <c r="G280">
        <v>0</v>
      </c>
      <c r="L280" t="s">
        <v>7</v>
      </c>
      <c r="M280" t="s">
        <v>7</v>
      </c>
      <c r="N280" t="s">
        <v>7</v>
      </c>
      <c r="P280">
        <f t="shared" si="919"/>
        <v>0.12566371681415961</v>
      </c>
      <c r="Q280">
        <f t="shared" si="920"/>
        <v>123209.95580884986</v>
      </c>
      <c r="R280">
        <f t="shared" si="921"/>
        <v>-4231495.191273055</v>
      </c>
      <c r="S280">
        <f t="shared" si="922"/>
        <v>-42.31495191273055</v>
      </c>
      <c r="T280">
        <f t="shared" si="923"/>
        <v>-4.2314951912730547E-2</v>
      </c>
    </row>
    <row r="281" spans="1:20" x14ac:dyDescent="0.25">
      <c r="A281" s="5">
        <v>44303</v>
      </c>
      <c r="B281">
        <v>2.4049999999999998</v>
      </c>
      <c r="C281">
        <v>2.4950000000000001</v>
      </c>
      <c r="D281">
        <v>2.0870000000000002</v>
      </c>
      <c r="E281">
        <v>2.1869999999999998</v>
      </c>
      <c r="F281">
        <v>1106711.862</v>
      </c>
      <c r="G281">
        <v>0</v>
      </c>
      <c r="L281" t="s">
        <v>7</v>
      </c>
      <c r="M281" t="s">
        <v>7</v>
      </c>
      <c r="N281" t="s">
        <v>7</v>
      </c>
      <c r="P281">
        <f t="shared" si="919"/>
        <v>-0.50980392156862908</v>
      </c>
      <c r="Q281">
        <f t="shared" si="920"/>
        <v>-564206.04729411949</v>
      </c>
      <c r="R281">
        <f t="shared" si="921"/>
        <v>-4354705.147081905</v>
      </c>
      <c r="S281">
        <f t="shared" si="922"/>
        <v>-43.547051470819049</v>
      </c>
      <c r="T281">
        <f t="shared" si="923"/>
        <v>-4.3547051470819047E-2</v>
      </c>
    </row>
    <row r="282" spans="1:20" x14ac:dyDescent="0.25">
      <c r="A282" s="5">
        <v>44302</v>
      </c>
      <c r="B282">
        <v>2.5619999999999998</v>
      </c>
      <c r="C282">
        <v>2.69</v>
      </c>
      <c r="D282">
        <v>2.2639999999999998</v>
      </c>
      <c r="E282">
        <v>2.4049999999999998</v>
      </c>
      <c r="F282">
        <v>1104009.06</v>
      </c>
      <c r="G282">
        <v>0</v>
      </c>
      <c r="L282" t="s">
        <v>7</v>
      </c>
      <c r="M282" t="s">
        <v>7</v>
      </c>
      <c r="N282" t="s">
        <v>7</v>
      </c>
      <c r="P282">
        <f t="shared" si="919"/>
        <v>-0.33802816901408467</v>
      </c>
      <c r="Q282">
        <f t="shared" si="920"/>
        <v>-373186.16112676077</v>
      </c>
      <c r="R282">
        <f t="shared" si="921"/>
        <v>-3790499.0997877857</v>
      </c>
      <c r="S282">
        <f t="shared" si="922"/>
        <v>-37.90499099787786</v>
      </c>
      <c r="T282">
        <f t="shared" si="923"/>
        <v>-3.7904990997877863E-2</v>
      </c>
    </row>
    <row r="283" spans="1:20" x14ac:dyDescent="0.25">
      <c r="A283" s="5">
        <v>44301</v>
      </c>
      <c r="B283">
        <v>2.5019999999999998</v>
      </c>
      <c r="C283">
        <v>2.8039999999999998</v>
      </c>
      <c r="D283">
        <v>2.4049999999999998</v>
      </c>
      <c r="E283">
        <v>2.5609999999999999</v>
      </c>
      <c r="F283">
        <v>969084.85199999996</v>
      </c>
      <c r="G283">
        <v>0</v>
      </c>
      <c r="L283" t="s">
        <v>8</v>
      </c>
      <c r="M283" t="s">
        <v>8</v>
      </c>
      <c r="N283" t="s">
        <v>7</v>
      </c>
      <c r="P283">
        <f t="shared" si="919"/>
        <v>-0.21804511278195424</v>
      </c>
      <c r="Q283">
        <f t="shared" si="920"/>
        <v>-211304.21584962343</v>
      </c>
      <c r="R283">
        <f t="shared" si="921"/>
        <v>-3417312.9386610249</v>
      </c>
      <c r="S283">
        <f t="shared" si="922"/>
        <v>-34.173129386610249</v>
      </c>
      <c r="T283">
        <f t="shared" si="923"/>
        <v>-3.4173129386610247E-2</v>
      </c>
    </row>
    <row r="284" spans="1:20" x14ac:dyDescent="0.25">
      <c r="A284" s="5">
        <v>44300</v>
      </c>
      <c r="B284">
        <v>2.6850000000000001</v>
      </c>
      <c r="C284">
        <v>2.7679999999999998</v>
      </c>
      <c r="D284">
        <v>2.3650000000000002</v>
      </c>
      <c r="E284">
        <v>2.5</v>
      </c>
      <c r="F284">
        <v>1106782.5530000001</v>
      </c>
      <c r="G284">
        <v>0</v>
      </c>
      <c r="L284" t="s">
        <v>8</v>
      </c>
      <c r="M284" t="s">
        <v>7</v>
      </c>
      <c r="N284" t="s">
        <v>7</v>
      </c>
      <c r="P284">
        <f t="shared" si="919"/>
        <v>-0.33002481389578198</v>
      </c>
      <c r="Q284">
        <f t="shared" si="920"/>
        <v>-365265.70607692347</v>
      </c>
      <c r="R284">
        <f t="shared" si="921"/>
        <v>-3206008.7228114014</v>
      </c>
      <c r="S284">
        <f t="shared" si="922"/>
        <v>-32.060087228114014</v>
      </c>
      <c r="T284">
        <f t="shared" si="923"/>
        <v>-3.2060087228114015E-2</v>
      </c>
    </row>
    <row r="285" spans="1:20" x14ac:dyDescent="0.25">
      <c r="A285" s="5">
        <v>44299</v>
      </c>
      <c r="B285">
        <v>2.5720000000000001</v>
      </c>
      <c r="C285">
        <v>3.05</v>
      </c>
      <c r="D285">
        <v>2.3039999999999998</v>
      </c>
      <c r="E285">
        <v>2.669</v>
      </c>
      <c r="F285">
        <v>2046280.101</v>
      </c>
      <c r="G285">
        <v>0</v>
      </c>
      <c r="L285" t="s">
        <v>7</v>
      </c>
      <c r="M285" t="s">
        <v>7</v>
      </c>
      <c r="N285" t="s">
        <v>7</v>
      </c>
      <c r="P285">
        <f t="shared" si="919"/>
        <v>-2.1447721179624089E-2</v>
      </c>
      <c r="Q285">
        <f t="shared" si="920"/>
        <v>-43888.045061661018</v>
      </c>
      <c r="R285">
        <f t="shared" si="921"/>
        <v>-2840743.0167344781</v>
      </c>
      <c r="S285">
        <f t="shared" si="922"/>
        <v>-28.407430167344781</v>
      </c>
      <c r="T285">
        <f t="shared" si="923"/>
        <v>-2.8407430167344781E-2</v>
      </c>
    </row>
    <row r="286" spans="1:20" x14ac:dyDescent="0.25">
      <c r="A286" s="5">
        <v>44298</v>
      </c>
      <c r="B286">
        <v>3.1120000000000001</v>
      </c>
      <c r="C286">
        <v>3.2389999999999999</v>
      </c>
      <c r="D286">
        <v>2.411</v>
      </c>
      <c r="E286">
        <v>2.5739999999999998</v>
      </c>
      <c r="F286">
        <v>1949567.9580000001</v>
      </c>
      <c r="G286">
        <v>0</v>
      </c>
      <c r="L286" t="s">
        <v>7</v>
      </c>
      <c r="M286" t="s">
        <v>7</v>
      </c>
      <c r="N286" t="s">
        <v>8</v>
      </c>
      <c r="P286">
        <f t="shared" si="919"/>
        <v>-0.60628019323671534</v>
      </c>
      <c r="Q286">
        <f t="shared" si="920"/>
        <v>-1181984.4383043486</v>
      </c>
      <c r="R286">
        <f t="shared" si="921"/>
        <v>-2796854.9716728171</v>
      </c>
      <c r="S286">
        <f t="shared" si="922"/>
        <v>-27.96854971672817</v>
      </c>
      <c r="T286">
        <f t="shared" si="923"/>
        <v>-2.7968549716728169E-2</v>
      </c>
    </row>
    <row r="287" spans="1:20" x14ac:dyDescent="0.25">
      <c r="A287" s="5">
        <v>44297</v>
      </c>
      <c r="B287">
        <v>2.2509999999999999</v>
      </c>
      <c r="C287">
        <v>3.3359999999999999</v>
      </c>
      <c r="D287">
        <v>2.2109999999999999</v>
      </c>
      <c r="E287">
        <v>3.1120000000000001</v>
      </c>
      <c r="F287">
        <v>5007184.5549999997</v>
      </c>
      <c r="G287">
        <v>0</v>
      </c>
      <c r="L287" t="s">
        <v>8</v>
      </c>
      <c r="M287" t="s">
        <v>8</v>
      </c>
      <c r="N287" t="s">
        <v>8</v>
      </c>
      <c r="P287">
        <f t="shared" si="919"/>
        <v>0.60177777777777819</v>
      </c>
      <c r="Q287">
        <f t="shared" si="920"/>
        <v>3013212.3944311128</v>
      </c>
      <c r="R287">
        <f t="shared" si="921"/>
        <v>-1614870.5333684688</v>
      </c>
      <c r="S287">
        <f t="shared" si="922"/>
        <v>-16.148705333684688</v>
      </c>
      <c r="T287">
        <f t="shared" si="923"/>
        <v>-1.6148705333684687E-2</v>
      </c>
    </row>
    <row r="288" spans="1:20" x14ac:dyDescent="0.25">
      <c r="A288" s="5">
        <v>44296</v>
      </c>
      <c r="B288">
        <v>1.8460000000000001</v>
      </c>
      <c r="C288">
        <v>2.3809999999999998</v>
      </c>
      <c r="D288">
        <v>1.8029999999999999</v>
      </c>
      <c r="E288">
        <v>2.2530000000000001</v>
      </c>
      <c r="F288">
        <v>1726204.966</v>
      </c>
      <c r="G288">
        <v>0</v>
      </c>
      <c r="L288" t="s">
        <v>8</v>
      </c>
      <c r="M288" t="s">
        <v>8</v>
      </c>
      <c r="N288" t="s">
        <v>8</v>
      </c>
      <c r="P288">
        <f t="shared" si="919"/>
        <v>0.55709342560553732</v>
      </c>
      <c r="Q288">
        <f t="shared" si="920"/>
        <v>961657.43780623004</v>
      </c>
      <c r="R288">
        <f t="shared" si="921"/>
        <v>-4628082.9277995816</v>
      </c>
      <c r="S288">
        <f t="shared" si="922"/>
        <v>-46.280829277995814</v>
      </c>
      <c r="T288">
        <f t="shared" si="923"/>
        <v>-4.6280829277995816E-2</v>
      </c>
    </row>
    <row r="289" spans="1:20" x14ac:dyDescent="0.25">
      <c r="A289" s="5">
        <v>44295</v>
      </c>
      <c r="B289">
        <v>1.8109999999999999</v>
      </c>
      <c r="C289">
        <v>1.96</v>
      </c>
      <c r="D289">
        <v>1.798</v>
      </c>
      <c r="E289">
        <v>1.8460000000000001</v>
      </c>
      <c r="F289">
        <v>708741</v>
      </c>
      <c r="G289">
        <v>0</v>
      </c>
      <c r="L289" t="s">
        <v>7</v>
      </c>
      <c r="M289" t="s">
        <v>8</v>
      </c>
      <c r="N289" t="s">
        <v>7</v>
      </c>
      <c r="P289">
        <f t="shared" si="919"/>
        <v>-0.40740740740740661</v>
      </c>
      <c r="Q289">
        <f t="shared" si="920"/>
        <v>-288746.33333333279</v>
      </c>
      <c r="R289">
        <f t="shared" si="921"/>
        <v>-5589740.3656058116</v>
      </c>
      <c r="S289">
        <f t="shared" si="922"/>
        <v>-55.897403656058117</v>
      </c>
      <c r="T289">
        <f t="shared" si="923"/>
        <v>-5.5897403656058116E-2</v>
      </c>
    </row>
    <row r="290" spans="1:20" x14ac:dyDescent="0.25">
      <c r="A290" s="5">
        <v>44294</v>
      </c>
      <c r="B290">
        <v>1.8640000000000001</v>
      </c>
      <c r="C290">
        <v>1.9550000000000001</v>
      </c>
      <c r="D290">
        <v>1.7549999999999999</v>
      </c>
      <c r="E290">
        <v>1.8109999999999999</v>
      </c>
      <c r="F290">
        <v>631413.61</v>
      </c>
      <c r="G290">
        <v>0</v>
      </c>
      <c r="L290" t="s">
        <v>8</v>
      </c>
      <c r="M290" t="s">
        <v>8</v>
      </c>
      <c r="N290" t="s">
        <v>7</v>
      </c>
      <c r="P290">
        <f t="shared" si="919"/>
        <v>-0.44</v>
      </c>
      <c r="Q290">
        <f t="shared" si="920"/>
        <v>-277821.98839999997</v>
      </c>
      <c r="R290">
        <f t="shared" si="921"/>
        <v>-5300994.0322724786</v>
      </c>
      <c r="S290">
        <f t="shared" si="922"/>
        <v>-53.009940322724788</v>
      </c>
      <c r="T290">
        <f t="shared" si="923"/>
        <v>-5.300994032272479E-2</v>
      </c>
    </row>
    <row r="291" spans="1:20" x14ac:dyDescent="0.25">
      <c r="A291" s="5">
        <v>44293</v>
      </c>
      <c r="B291">
        <v>2.0299999999999998</v>
      </c>
      <c r="C291">
        <v>2.17</v>
      </c>
      <c r="D291">
        <v>1.6279999999999999</v>
      </c>
      <c r="E291">
        <v>1.8620000000000001</v>
      </c>
      <c r="F291">
        <v>1818003.632</v>
      </c>
      <c r="G291">
        <v>0</v>
      </c>
      <c r="L291" t="s">
        <v>7</v>
      </c>
      <c r="M291" t="s">
        <v>7</v>
      </c>
      <c r="N291" t="s">
        <v>7</v>
      </c>
      <c r="P291">
        <f t="shared" si="919"/>
        <v>-0.13653136531365243</v>
      </c>
      <c r="Q291">
        <f t="shared" si="920"/>
        <v>-248214.51802213892</v>
      </c>
      <c r="R291">
        <f t="shared" si="921"/>
        <v>-5023172.0438724784</v>
      </c>
      <c r="S291">
        <f t="shared" si="922"/>
        <v>-50.231720438724786</v>
      </c>
      <c r="T291">
        <f t="shared" si="923"/>
        <v>-5.0231720438724786E-2</v>
      </c>
    </row>
    <row r="292" spans="1:20" x14ac:dyDescent="0.25">
      <c r="A292" s="5">
        <v>44292</v>
      </c>
      <c r="B292">
        <v>1.8180000000000001</v>
      </c>
      <c r="C292">
        <v>2.4500000000000002</v>
      </c>
      <c r="D292">
        <v>1.5880000000000001</v>
      </c>
      <c r="E292">
        <v>2.028</v>
      </c>
      <c r="F292">
        <v>2973833.8429999999</v>
      </c>
      <c r="G292">
        <v>0</v>
      </c>
      <c r="L292" t="s">
        <v>8</v>
      </c>
      <c r="M292" t="s">
        <v>8</v>
      </c>
      <c r="N292" t="s">
        <v>8</v>
      </c>
      <c r="P292">
        <f t="shared" si="919"/>
        <v>2.0881670533642451E-2</v>
      </c>
      <c r="Q292">
        <f t="shared" si="920"/>
        <v>62098.618531321787</v>
      </c>
      <c r="R292">
        <f t="shared" si="921"/>
        <v>-4774957.5258503398</v>
      </c>
      <c r="S292">
        <f t="shared" si="922"/>
        <v>-47.749575258503398</v>
      </c>
      <c r="T292">
        <f t="shared" si="923"/>
        <v>-4.7749575258503402E-2</v>
      </c>
    </row>
    <row r="293" spans="1:20" x14ac:dyDescent="0.25">
      <c r="A293" s="5">
        <v>44291</v>
      </c>
      <c r="B293">
        <v>1.6140000000000001</v>
      </c>
      <c r="C293">
        <v>1.84</v>
      </c>
      <c r="D293">
        <v>1.5840000000000001</v>
      </c>
      <c r="E293">
        <v>1.8120000000000001</v>
      </c>
      <c r="F293">
        <v>1208171.8219999999</v>
      </c>
      <c r="G293">
        <v>0</v>
      </c>
      <c r="L293" t="s">
        <v>8</v>
      </c>
      <c r="M293" t="s">
        <v>8</v>
      </c>
      <c r="N293" t="s">
        <v>8</v>
      </c>
      <c r="P293">
        <f t="shared" si="919"/>
        <v>0.78124999999999978</v>
      </c>
      <c r="Q293">
        <f t="shared" si="920"/>
        <v>943884.23593749967</v>
      </c>
      <c r="R293">
        <f t="shared" si="921"/>
        <v>-4837056.1443816619</v>
      </c>
      <c r="S293">
        <f t="shared" si="922"/>
        <v>-48.370561443816619</v>
      </c>
      <c r="T293">
        <f t="shared" si="923"/>
        <v>-4.8370561443816622E-2</v>
      </c>
    </row>
    <row r="294" spans="1:20" x14ac:dyDescent="0.25">
      <c r="A294" s="5">
        <v>44290</v>
      </c>
      <c r="B294">
        <v>1.423</v>
      </c>
      <c r="C294">
        <v>1.7</v>
      </c>
      <c r="D294">
        <v>1.4019999999999999</v>
      </c>
      <c r="E294">
        <v>1.613</v>
      </c>
      <c r="F294">
        <v>1135089.605</v>
      </c>
      <c r="G294">
        <v>0</v>
      </c>
      <c r="L294" t="s">
        <v>8</v>
      </c>
      <c r="M294" t="s">
        <v>8</v>
      </c>
      <c r="N294" t="s">
        <v>8</v>
      </c>
      <c r="P294">
        <f t="shared" si="919"/>
        <v>0.41610738255033586</v>
      </c>
      <c r="Q294">
        <f t="shared" si="920"/>
        <v>472319.16449664463</v>
      </c>
      <c r="R294">
        <f t="shared" si="921"/>
        <v>-5780940.3803191613</v>
      </c>
      <c r="S294">
        <f t="shared" si="922"/>
        <v>-57.809403803191614</v>
      </c>
      <c r="T294">
        <f t="shared" si="923"/>
        <v>-5.7809403803191613E-2</v>
      </c>
    </row>
    <row r="295" spans="1:20" x14ac:dyDescent="0.25">
      <c r="A295" s="5">
        <v>44289</v>
      </c>
      <c r="B295">
        <v>1.569</v>
      </c>
      <c r="C295">
        <v>1.645</v>
      </c>
      <c r="D295">
        <v>1.401</v>
      </c>
      <c r="E295">
        <v>1.417</v>
      </c>
      <c r="F295">
        <v>717526.42200000002</v>
      </c>
      <c r="G295">
        <v>0</v>
      </c>
      <c r="L295" t="s">
        <v>7</v>
      </c>
      <c r="M295" t="s">
        <v>7</v>
      </c>
      <c r="N295" t="s">
        <v>8</v>
      </c>
      <c r="P295">
        <f t="shared" si="919"/>
        <v>-0.8688524590163933</v>
      </c>
      <c r="Q295">
        <f t="shared" si="920"/>
        <v>-623424.59616393433</v>
      </c>
      <c r="R295">
        <f t="shared" si="921"/>
        <v>-6253259.5448158057</v>
      </c>
      <c r="S295">
        <f t="shared" si="922"/>
        <v>-62.532595448158055</v>
      </c>
      <c r="T295">
        <f t="shared" si="923"/>
        <v>-6.2532595448158049E-2</v>
      </c>
    </row>
    <row r="296" spans="1:20" x14ac:dyDescent="0.25">
      <c r="A296" s="5">
        <v>44288</v>
      </c>
      <c r="B296">
        <v>1.5289999999999999</v>
      </c>
      <c r="C296">
        <v>1.671</v>
      </c>
      <c r="D296">
        <v>1.492</v>
      </c>
      <c r="E296">
        <v>1.5620000000000001</v>
      </c>
      <c r="F296">
        <v>935394.75300000003</v>
      </c>
      <c r="G296">
        <v>0</v>
      </c>
      <c r="L296" t="s">
        <v>7</v>
      </c>
      <c r="M296" t="s">
        <v>8</v>
      </c>
      <c r="N296" t="s">
        <v>8</v>
      </c>
      <c r="P296">
        <f t="shared" si="919"/>
        <v>-0.21787709497206656</v>
      </c>
      <c r="Q296">
        <f t="shared" si="920"/>
        <v>-203801.09143575374</v>
      </c>
      <c r="R296">
        <f t="shared" si="921"/>
        <v>-5629834.9486518716</v>
      </c>
      <c r="S296">
        <f t="shared" si="922"/>
        <v>-56.298349486518717</v>
      </c>
      <c r="T296">
        <f t="shared" si="923"/>
        <v>-5.6298349486518719E-2</v>
      </c>
    </row>
    <row r="297" spans="1:20" x14ac:dyDescent="0.25">
      <c r="A297" s="5">
        <v>44287</v>
      </c>
      <c r="B297">
        <v>1.593</v>
      </c>
      <c r="C297">
        <v>1.671</v>
      </c>
      <c r="D297">
        <v>1.4910000000000001</v>
      </c>
      <c r="E297">
        <v>1.53</v>
      </c>
      <c r="F297">
        <v>720052.71799999999</v>
      </c>
      <c r="G297">
        <v>0</v>
      </c>
      <c r="L297" t="s">
        <v>8</v>
      </c>
      <c r="M297" t="s">
        <v>8</v>
      </c>
      <c r="N297" t="s">
        <v>8</v>
      </c>
      <c r="P297">
        <f t="shared" si="919"/>
        <v>-0.56666666666666732</v>
      </c>
      <c r="Q297">
        <f t="shared" si="920"/>
        <v>-408029.87353333383</v>
      </c>
      <c r="R297">
        <f t="shared" si="921"/>
        <v>-5426033.8572161179</v>
      </c>
      <c r="S297">
        <f t="shared" si="922"/>
        <v>-54.260338572161182</v>
      </c>
      <c r="T297">
        <f t="shared" si="923"/>
        <v>-5.4260338572161185E-2</v>
      </c>
    </row>
    <row r="298" spans="1:20" x14ac:dyDescent="0.25">
      <c r="A298" s="5">
        <v>44286</v>
      </c>
      <c r="B298">
        <v>1.6579999999999999</v>
      </c>
      <c r="C298">
        <v>1.7</v>
      </c>
      <c r="D298">
        <v>1.4630000000000001</v>
      </c>
      <c r="E298">
        <v>1.593</v>
      </c>
      <c r="F298">
        <v>788225.18299999996</v>
      </c>
      <c r="G298">
        <v>0</v>
      </c>
      <c r="L298" t="s">
        <v>7</v>
      </c>
      <c r="M298" t="s">
        <v>8</v>
      </c>
      <c r="N298" t="s">
        <v>8</v>
      </c>
      <c r="P298">
        <f t="shared" si="919"/>
        <v>9.7046413502109366E-2</v>
      </c>
      <c r="Q298">
        <f t="shared" si="920"/>
        <v>76494.427042193827</v>
      </c>
      <c r="R298">
        <f t="shared" si="921"/>
        <v>-5018003.9836827843</v>
      </c>
      <c r="S298">
        <f t="shared" si="922"/>
        <v>-50.180039836827845</v>
      </c>
      <c r="T298">
        <f t="shared" si="923"/>
        <v>-5.0180039836827846E-2</v>
      </c>
    </row>
    <row r="299" spans="1:20" x14ac:dyDescent="0.25">
      <c r="A299" s="5">
        <v>44285</v>
      </c>
      <c r="B299">
        <v>1.5429999999999999</v>
      </c>
      <c r="C299">
        <v>1.69</v>
      </c>
      <c r="D299">
        <v>1.5</v>
      </c>
      <c r="E299">
        <v>1.6579999999999999</v>
      </c>
      <c r="F299">
        <v>880992.54500000004</v>
      </c>
      <c r="G299">
        <v>0</v>
      </c>
      <c r="L299" t="s">
        <v>8</v>
      </c>
      <c r="M299" t="s">
        <v>8</v>
      </c>
      <c r="N299" t="s">
        <v>8</v>
      </c>
      <c r="P299">
        <f t="shared" si="919"/>
        <v>0.66315789473684172</v>
      </c>
      <c r="Q299">
        <f t="shared" si="920"/>
        <v>584237.1614210523</v>
      </c>
      <c r="R299">
        <f t="shared" si="921"/>
        <v>-5094498.410724978</v>
      </c>
      <c r="S299">
        <f t="shared" si="922"/>
        <v>-50.94498410724978</v>
      </c>
      <c r="T299">
        <f t="shared" si="923"/>
        <v>-5.0944984107249777E-2</v>
      </c>
    </row>
    <row r="300" spans="1:20" x14ac:dyDescent="0.25">
      <c r="A300" s="5">
        <v>44284</v>
      </c>
      <c r="B300">
        <v>1.4890000000000001</v>
      </c>
      <c r="C300">
        <v>1.599</v>
      </c>
      <c r="D300">
        <v>1.468</v>
      </c>
      <c r="E300">
        <v>1.538</v>
      </c>
      <c r="F300">
        <v>642386.69499999995</v>
      </c>
      <c r="G300">
        <v>0</v>
      </c>
      <c r="L300" t="s">
        <v>7</v>
      </c>
      <c r="M300" t="s">
        <v>7</v>
      </c>
      <c r="N300" t="s">
        <v>8</v>
      </c>
      <c r="P300">
        <f t="shared" si="919"/>
        <v>6.8702290076336783E-2</v>
      </c>
      <c r="Q300">
        <f t="shared" si="920"/>
        <v>44133.437061069279</v>
      </c>
      <c r="R300">
        <f t="shared" si="921"/>
        <v>-5678735.5721460301</v>
      </c>
      <c r="S300">
        <f t="shared" si="922"/>
        <v>-56.787355721460301</v>
      </c>
      <c r="T300">
        <f t="shared" si="923"/>
        <v>-5.6787355721460299E-2</v>
      </c>
    </row>
    <row r="301" spans="1:20" x14ac:dyDescent="0.25">
      <c r="A301" s="5">
        <v>44283</v>
      </c>
      <c r="B301">
        <v>1.4139999999999999</v>
      </c>
      <c r="C301">
        <v>1.589</v>
      </c>
      <c r="D301">
        <v>1.4139999999999999</v>
      </c>
      <c r="E301">
        <v>1.4890000000000001</v>
      </c>
      <c r="F301">
        <v>671755.76800000004</v>
      </c>
      <c r="G301">
        <v>0</v>
      </c>
      <c r="L301" t="s">
        <v>8</v>
      </c>
      <c r="M301" t="s">
        <v>7</v>
      </c>
      <c r="N301" t="s">
        <v>8</v>
      </c>
      <c r="P301">
        <f t="shared" si="919"/>
        <v>-0.14285714285714105</v>
      </c>
      <c r="Q301">
        <f t="shared" si="920"/>
        <v>-95965.109714284496</v>
      </c>
      <c r="R301">
        <f t="shared" si="921"/>
        <v>-5722869.0092070997</v>
      </c>
      <c r="S301">
        <f t="shared" si="922"/>
        <v>-57.228690092070998</v>
      </c>
      <c r="T301">
        <f t="shared" si="923"/>
        <v>-5.7228690092070995E-2</v>
      </c>
    </row>
    <row r="302" spans="1:20" x14ac:dyDescent="0.25">
      <c r="A302" s="5">
        <v>44282</v>
      </c>
      <c r="B302">
        <v>1.514</v>
      </c>
      <c r="C302">
        <v>1.6</v>
      </c>
      <c r="D302">
        <v>1.4</v>
      </c>
      <c r="E302">
        <v>1.4119999999999999</v>
      </c>
      <c r="F302">
        <v>1003200.559</v>
      </c>
      <c r="G302">
        <v>0</v>
      </c>
      <c r="L302" t="s">
        <v>7</v>
      </c>
      <c r="M302" t="s">
        <v>7</v>
      </c>
      <c r="N302" t="s">
        <v>8</v>
      </c>
      <c r="P302">
        <f t="shared" si="919"/>
        <v>-0.88</v>
      </c>
      <c r="Q302">
        <f t="shared" si="920"/>
        <v>-882816.49192000006</v>
      </c>
      <c r="R302">
        <f t="shared" si="921"/>
        <v>-5626903.8994928151</v>
      </c>
      <c r="S302">
        <f t="shared" si="922"/>
        <v>-56.269038994928152</v>
      </c>
      <c r="T302">
        <f t="shared" si="923"/>
        <v>-5.6269038994928154E-2</v>
      </c>
    </row>
    <row r="303" spans="1:20" x14ac:dyDescent="0.25">
      <c r="A303" s="5">
        <v>44281</v>
      </c>
      <c r="B303">
        <v>1.248</v>
      </c>
      <c r="C303">
        <v>1.643</v>
      </c>
      <c r="D303">
        <v>1.248</v>
      </c>
      <c r="E303">
        <v>1.5109999999999999</v>
      </c>
      <c r="F303">
        <v>1019376.162</v>
      </c>
      <c r="G303">
        <v>0</v>
      </c>
      <c r="L303" t="s">
        <v>8</v>
      </c>
      <c r="M303" t="s">
        <v>8</v>
      </c>
      <c r="N303" t="s">
        <v>8</v>
      </c>
      <c r="P303">
        <f t="shared" si="919"/>
        <v>0.3316455696202526</v>
      </c>
      <c r="Q303">
        <f t="shared" si="920"/>
        <v>338071.58790379687</v>
      </c>
      <c r="R303">
        <f t="shared" si="921"/>
        <v>-4744087.4075728152</v>
      </c>
      <c r="S303">
        <f t="shared" si="922"/>
        <v>-47.440874075728154</v>
      </c>
      <c r="T303">
        <f t="shared" si="923"/>
        <v>-4.7440874075728154E-2</v>
      </c>
    </row>
    <row r="304" spans="1:20" x14ac:dyDescent="0.25">
      <c r="A304" s="5">
        <v>44280</v>
      </c>
      <c r="B304">
        <v>1.3460000000000001</v>
      </c>
      <c r="C304">
        <v>1.373</v>
      </c>
      <c r="D304">
        <v>1.161</v>
      </c>
      <c r="E304">
        <v>1.248</v>
      </c>
      <c r="F304">
        <v>490375.788</v>
      </c>
      <c r="G304">
        <v>0</v>
      </c>
      <c r="L304" t="s">
        <v>7</v>
      </c>
      <c r="M304" t="s">
        <v>7</v>
      </c>
      <c r="N304" t="s">
        <v>7</v>
      </c>
      <c r="P304">
        <f t="shared" si="919"/>
        <v>-0.17924528301886811</v>
      </c>
      <c r="Q304">
        <f t="shared" si="920"/>
        <v>-87897.546905660463</v>
      </c>
      <c r="R304">
        <f t="shared" si="921"/>
        <v>-5082158.9954766119</v>
      </c>
      <c r="S304">
        <f t="shared" si="922"/>
        <v>-50.821589954766118</v>
      </c>
      <c r="T304">
        <f t="shared" si="923"/>
        <v>-5.0821589954766121E-2</v>
      </c>
    </row>
    <row r="305" spans="1:20" x14ac:dyDescent="0.25">
      <c r="A305" s="5">
        <v>44279</v>
      </c>
      <c r="B305">
        <v>1.534</v>
      </c>
      <c r="C305">
        <v>1.5429999999999999</v>
      </c>
      <c r="D305">
        <v>1.3180000000000001</v>
      </c>
      <c r="E305">
        <v>1.3420000000000001</v>
      </c>
      <c r="F305">
        <v>345730.375</v>
      </c>
      <c r="G305">
        <v>0</v>
      </c>
      <c r="L305" t="s">
        <v>7</v>
      </c>
      <c r="M305" t="s">
        <v>7</v>
      </c>
      <c r="N305" t="s">
        <v>7</v>
      </c>
      <c r="P305">
        <f t="shared" si="919"/>
        <v>-0.7866666666666664</v>
      </c>
      <c r="Q305">
        <f t="shared" si="920"/>
        <v>-271974.56166666659</v>
      </c>
      <c r="R305">
        <f t="shared" si="921"/>
        <v>-4994261.4485709518</v>
      </c>
      <c r="S305">
        <f t="shared" si="922"/>
        <v>-49.94261448570952</v>
      </c>
      <c r="T305">
        <f t="shared" si="923"/>
        <v>-4.9942614485709518E-2</v>
      </c>
    </row>
    <row r="306" spans="1:20" x14ac:dyDescent="0.25">
      <c r="A306" s="5">
        <v>44278</v>
      </c>
      <c r="B306">
        <v>1.4350000000000001</v>
      </c>
      <c r="C306">
        <v>1.5489999999999999</v>
      </c>
      <c r="D306">
        <v>1.331</v>
      </c>
      <c r="E306">
        <v>1.534</v>
      </c>
      <c r="F306">
        <v>519900.576</v>
      </c>
      <c r="G306">
        <v>0</v>
      </c>
      <c r="L306" t="s">
        <v>7</v>
      </c>
      <c r="M306" t="s">
        <v>7</v>
      </c>
      <c r="N306" t="s">
        <v>8</v>
      </c>
      <c r="P306">
        <f t="shared" si="919"/>
        <v>0.86238532110091826</v>
      </c>
      <c r="Q306">
        <f t="shared" si="920"/>
        <v>448354.62517431233</v>
      </c>
      <c r="R306">
        <f t="shared" si="921"/>
        <v>-4722286.8869042853</v>
      </c>
      <c r="S306">
        <f t="shared" si="922"/>
        <v>-47.222868869042856</v>
      </c>
      <c r="T306">
        <f t="shared" si="923"/>
        <v>-4.7222868869042853E-2</v>
      </c>
    </row>
    <row r="307" spans="1:20" x14ac:dyDescent="0.25">
      <c r="A307" s="5">
        <v>44277</v>
      </c>
      <c r="B307">
        <v>1.585</v>
      </c>
      <c r="C307">
        <v>1.75</v>
      </c>
      <c r="D307">
        <v>1.3819999999999999</v>
      </c>
      <c r="E307">
        <v>1.4350000000000001</v>
      </c>
      <c r="F307">
        <v>618181.96499999997</v>
      </c>
      <c r="G307">
        <v>0</v>
      </c>
      <c r="L307" t="s">
        <v>7</v>
      </c>
      <c r="M307" t="s">
        <v>7</v>
      </c>
      <c r="N307" t="s">
        <v>8</v>
      </c>
      <c r="P307">
        <f t="shared" si="919"/>
        <v>-0.71195652173912971</v>
      </c>
      <c r="Q307">
        <f t="shared" si="920"/>
        <v>-440118.6816032604</v>
      </c>
      <c r="R307">
        <f t="shared" si="921"/>
        <v>-5170641.5120785972</v>
      </c>
      <c r="S307">
        <f t="shared" si="922"/>
        <v>-51.706415120785969</v>
      </c>
      <c r="T307">
        <f t="shared" si="923"/>
        <v>-5.170641512078597E-2</v>
      </c>
    </row>
    <row r="308" spans="1:20" x14ac:dyDescent="0.25">
      <c r="A308" s="5">
        <v>44276</v>
      </c>
      <c r="B308">
        <v>1.611</v>
      </c>
      <c r="C308">
        <v>1.712</v>
      </c>
      <c r="D308">
        <v>1.4350000000000001</v>
      </c>
      <c r="E308">
        <v>1.5840000000000001</v>
      </c>
      <c r="F308">
        <v>659455.93999999994</v>
      </c>
      <c r="G308">
        <v>0</v>
      </c>
      <c r="L308" t="s">
        <v>7</v>
      </c>
      <c r="M308" t="s">
        <v>7</v>
      </c>
      <c r="N308" t="s">
        <v>8</v>
      </c>
      <c r="P308">
        <f t="shared" si="919"/>
        <v>7.5812274368231541E-2</v>
      </c>
      <c r="Q308">
        <f t="shared" si="920"/>
        <v>49994.854657040036</v>
      </c>
      <c r="R308">
        <f t="shared" si="921"/>
        <v>-4730522.8304753369</v>
      </c>
      <c r="S308">
        <f t="shared" si="922"/>
        <v>-47.305228304753371</v>
      </c>
      <c r="T308">
        <f t="shared" si="923"/>
        <v>-4.7305228304753373E-2</v>
      </c>
    </row>
    <row r="309" spans="1:20" x14ac:dyDescent="0.25">
      <c r="A309" s="5">
        <v>44275</v>
      </c>
      <c r="B309">
        <v>1.5860000000000001</v>
      </c>
      <c r="C309">
        <v>1.8080000000000001</v>
      </c>
      <c r="D309">
        <v>1.51</v>
      </c>
      <c r="E309">
        <v>1.611</v>
      </c>
      <c r="F309">
        <v>948464.62800000003</v>
      </c>
      <c r="G309">
        <v>0</v>
      </c>
      <c r="L309" t="s">
        <v>8</v>
      </c>
      <c r="M309" t="s">
        <v>8</v>
      </c>
      <c r="N309" t="s">
        <v>8</v>
      </c>
      <c r="P309">
        <f t="shared" si="919"/>
        <v>-0.32214765100671167</v>
      </c>
      <c r="Q309">
        <f t="shared" si="920"/>
        <v>-305545.65197315463</v>
      </c>
      <c r="R309">
        <f t="shared" si="921"/>
        <v>-4780517.6851323768</v>
      </c>
      <c r="S309">
        <f t="shared" si="922"/>
        <v>-47.805176851323772</v>
      </c>
      <c r="T309">
        <f t="shared" si="923"/>
        <v>-4.7805176851323773E-2</v>
      </c>
    </row>
    <row r="310" spans="1:20" x14ac:dyDescent="0.25">
      <c r="A310" s="5">
        <v>44274</v>
      </c>
      <c r="B310">
        <v>1.37</v>
      </c>
      <c r="C310">
        <v>1.9</v>
      </c>
      <c r="D310">
        <v>1.321</v>
      </c>
      <c r="E310">
        <v>1.585</v>
      </c>
      <c r="F310">
        <v>1668962.834</v>
      </c>
      <c r="G310">
        <v>0</v>
      </c>
      <c r="L310" t="s">
        <v>7</v>
      </c>
      <c r="M310" t="s">
        <v>7</v>
      </c>
      <c r="N310" t="s">
        <v>8</v>
      </c>
      <c r="P310">
        <f t="shared" si="919"/>
        <v>-8.8082901554404042E-2</v>
      </c>
      <c r="Q310">
        <f t="shared" si="920"/>
        <v>-147007.08900518119</v>
      </c>
      <c r="R310">
        <f t="shared" si="921"/>
        <v>-4474972.0331592225</v>
      </c>
      <c r="S310">
        <f t="shared" si="922"/>
        <v>-44.749720331592222</v>
      </c>
      <c r="T310">
        <f t="shared" si="923"/>
        <v>-4.4749720331592219E-2</v>
      </c>
    </row>
    <row r="311" spans="1:20" x14ac:dyDescent="0.25">
      <c r="A311" s="5">
        <v>44273</v>
      </c>
      <c r="B311">
        <v>1.3859999999999999</v>
      </c>
      <c r="C311">
        <v>1.498</v>
      </c>
      <c r="D311">
        <v>1.355</v>
      </c>
      <c r="E311">
        <v>1.37</v>
      </c>
      <c r="F311">
        <v>597614.27399999998</v>
      </c>
      <c r="G311">
        <v>0</v>
      </c>
      <c r="L311" t="s">
        <v>7</v>
      </c>
      <c r="M311" t="s">
        <v>7</v>
      </c>
      <c r="N311" t="s">
        <v>8</v>
      </c>
      <c r="P311">
        <f t="shared" si="919"/>
        <v>-0.79020979020978854</v>
      </c>
      <c r="Q311">
        <f t="shared" si="920"/>
        <v>-472240.6500839151</v>
      </c>
      <c r="R311">
        <f t="shared" si="921"/>
        <v>-4327964.9441540409</v>
      </c>
      <c r="S311">
        <f t="shared" si="922"/>
        <v>-43.279649441540407</v>
      </c>
      <c r="T311">
        <f t="shared" si="923"/>
        <v>-4.3279649441540405E-2</v>
      </c>
    </row>
    <row r="312" spans="1:20" x14ac:dyDescent="0.25">
      <c r="A312" s="5">
        <v>44272</v>
      </c>
      <c r="B312">
        <v>1.339</v>
      </c>
      <c r="C312">
        <v>1.65</v>
      </c>
      <c r="D312">
        <v>1.25</v>
      </c>
      <c r="E312">
        <v>1.395</v>
      </c>
      <c r="F312">
        <v>1189739.077</v>
      </c>
      <c r="G312">
        <v>0</v>
      </c>
      <c r="L312" t="s">
        <v>8</v>
      </c>
      <c r="M312" t="s">
        <v>8</v>
      </c>
      <c r="N312" t="s">
        <v>8</v>
      </c>
      <c r="P312">
        <f t="shared" si="919"/>
        <v>-0.27499999999999974</v>
      </c>
      <c r="Q312">
        <f t="shared" si="920"/>
        <v>-327178.24617499969</v>
      </c>
      <c r="R312">
        <f t="shared" si="921"/>
        <v>-3855724.294070126</v>
      </c>
      <c r="S312">
        <f t="shared" si="922"/>
        <v>-38.557242940701258</v>
      </c>
      <c r="T312">
        <f t="shared" si="923"/>
        <v>-3.8557242940701258E-2</v>
      </c>
    </row>
    <row r="313" spans="1:20" x14ac:dyDescent="0.25">
      <c r="A313" s="5">
        <v>44271</v>
      </c>
      <c r="B313">
        <v>1.2969999999999999</v>
      </c>
      <c r="C313">
        <v>1.39</v>
      </c>
      <c r="D313">
        <v>1.1859999999999999</v>
      </c>
      <c r="E313">
        <v>1.3380000000000001</v>
      </c>
      <c r="F313">
        <v>586903.53200000001</v>
      </c>
      <c r="G313">
        <v>0</v>
      </c>
      <c r="L313" t="s">
        <v>8</v>
      </c>
      <c r="M313" t="s">
        <v>8</v>
      </c>
      <c r="N313" t="s">
        <v>8</v>
      </c>
      <c r="P313">
        <f t="shared" si="919"/>
        <v>0.49019607843137419</v>
      </c>
      <c r="Q313">
        <f t="shared" si="920"/>
        <v>287697.80980392254</v>
      </c>
      <c r="R313">
        <f t="shared" si="921"/>
        <v>-3528546.0478951265</v>
      </c>
      <c r="S313">
        <f t="shared" si="922"/>
        <v>-35.285460478951265</v>
      </c>
      <c r="T313">
        <f t="shared" si="923"/>
        <v>-3.5285460478951265E-2</v>
      </c>
    </row>
    <row r="314" spans="1:20" x14ac:dyDescent="0.25">
      <c r="A314" s="5">
        <v>44270</v>
      </c>
      <c r="B314">
        <v>1.323</v>
      </c>
      <c r="C314">
        <v>1.35</v>
      </c>
      <c r="D314">
        <v>1.151</v>
      </c>
      <c r="E314">
        <v>1.2929999999999999</v>
      </c>
      <c r="F314">
        <v>710414.79399999999</v>
      </c>
      <c r="G314">
        <v>0</v>
      </c>
      <c r="L314" t="s">
        <v>7</v>
      </c>
      <c r="M314" t="s">
        <v>7</v>
      </c>
      <c r="N314" t="s">
        <v>8</v>
      </c>
      <c r="P314">
        <f t="shared" si="919"/>
        <v>0.42713567839195837</v>
      </c>
      <c r="Q314">
        <f t="shared" si="920"/>
        <v>303443.50497487333</v>
      </c>
      <c r="R314">
        <f t="shared" si="921"/>
        <v>-3816243.8576990492</v>
      </c>
      <c r="S314">
        <f t="shared" si="922"/>
        <v>-38.162438576990489</v>
      </c>
      <c r="T314">
        <f t="shared" si="923"/>
        <v>-3.816243857699049E-2</v>
      </c>
    </row>
    <row r="315" spans="1:20" x14ac:dyDescent="0.25">
      <c r="A315" s="5">
        <v>44269</v>
      </c>
      <c r="B315">
        <v>1.3680000000000001</v>
      </c>
      <c r="C315">
        <v>1.5</v>
      </c>
      <c r="D315">
        <v>1.226</v>
      </c>
      <c r="E315">
        <v>1.3240000000000001</v>
      </c>
      <c r="F315">
        <v>1034903.401</v>
      </c>
      <c r="G315">
        <v>0</v>
      </c>
      <c r="L315" t="s">
        <v>7</v>
      </c>
      <c r="M315" t="s">
        <v>7</v>
      </c>
      <c r="N315" t="s">
        <v>8</v>
      </c>
      <c r="P315">
        <f t="shared" si="919"/>
        <v>-0.28467153284671476</v>
      </c>
      <c r="Q315">
        <f t="shared" si="920"/>
        <v>-294607.53751094831</v>
      </c>
      <c r="R315">
        <f t="shared" si="921"/>
        <v>-4119687.3626739224</v>
      </c>
      <c r="S315">
        <f t="shared" si="922"/>
        <v>-41.196873626739226</v>
      </c>
      <c r="T315">
        <f t="shared" si="923"/>
        <v>-4.1196873626739225E-2</v>
      </c>
    </row>
    <row r="316" spans="1:20" x14ac:dyDescent="0.25">
      <c r="A316" s="5">
        <v>44268</v>
      </c>
      <c r="B316">
        <v>1.0740000000000001</v>
      </c>
      <c r="C316">
        <v>1.5209999999999999</v>
      </c>
      <c r="D316">
        <v>1</v>
      </c>
      <c r="E316">
        <v>1.3680000000000001</v>
      </c>
      <c r="F316">
        <v>1687620.4850000001</v>
      </c>
      <c r="G316">
        <v>0</v>
      </c>
      <c r="L316" t="s">
        <v>8</v>
      </c>
      <c r="M316" t="s">
        <v>8</v>
      </c>
      <c r="N316" t="s">
        <v>8</v>
      </c>
      <c r="P316">
        <f t="shared" si="919"/>
        <v>0.41266794625719833</v>
      </c>
      <c r="Q316">
        <f t="shared" si="920"/>
        <v>696426.87960652704</v>
      </c>
      <c r="R316">
        <f t="shared" si="921"/>
        <v>-3825079.8251629742</v>
      </c>
      <c r="S316">
        <f t="shared" si="922"/>
        <v>-38.250798251629739</v>
      </c>
      <c r="T316">
        <f t="shared" si="923"/>
        <v>-3.825079825162974E-2</v>
      </c>
    </row>
    <row r="317" spans="1:20" x14ac:dyDescent="0.25">
      <c r="A317" s="5">
        <v>44267</v>
      </c>
      <c r="B317">
        <v>1.101</v>
      </c>
      <c r="C317">
        <v>1.1399999999999999</v>
      </c>
      <c r="D317">
        <v>1.0109999999999999</v>
      </c>
      <c r="E317">
        <v>1.077</v>
      </c>
      <c r="F317">
        <v>577115.1</v>
      </c>
      <c r="G317">
        <v>0</v>
      </c>
      <c r="L317" t="s">
        <v>7</v>
      </c>
      <c r="M317" t="s">
        <v>7</v>
      </c>
      <c r="N317" t="s">
        <v>8</v>
      </c>
      <c r="P317">
        <f t="shared" ref="P317:P380" si="924">IF(C317=D317,0,((E317-D317)-(C317-E317))/(C317-D317))</f>
        <v>2.3255813953489253E-2</v>
      </c>
      <c r="Q317">
        <f t="shared" ref="Q317:Q380" si="925">F317*P317</f>
        <v>13421.281395349344</v>
      </c>
      <c r="R317">
        <f t="shared" ref="R317:R380" si="926">R318+Q317</f>
        <v>-4521506.7047695015</v>
      </c>
      <c r="S317">
        <f t="shared" ref="S317:S380" si="927">R317/100000</f>
        <v>-45.215067047695015</v>
      </c>
      <c r="T317">
        <f t="shared" ref="T317:T380" si="928">S317/1000</f>
        <v>-4.5215067047695012E-2</v>
      </c>
    </row>
    <row r="318" spans="1:20" x14ac:dyDescent="0.25">
      <c r="A318" s="5">
        <v>44266</v>
      </c>
      <c r="B318">
        <v>1.1519999999999999</v>
      </c>
      <c r="C318">
        <v>1.177</v>
      </c>
      <c r="D318">
        <v>1.0720000000000001</v>
      </c>
      <c r="E318">
        <v>1.1020000000000001</v>
      </c>
      <c r="F318">
        <v>492492.85100000002</v>
      </c>
      <c r="G318">
        <v>0</v>
      </c>
      <c r="L318" t="s">
        <v>7</v>
      </c>
      <c r="M318" t="s">
        <v>8</v>
      </c>
      <c r="N318" t="s">
        <v>8</v>
      </c>
      <c r="P318">
        <f t="shared" si="924"/>
        <v>-0.42857142857142799</v>
      </c>
      <c r="Q318">
        <f t="shared" si="925"/>
        <v>-211068.36471428545</v>
      </c>
      <c r="R318">
        <f t="shared" si="926"/>
        <v>-4534927.9861648511</v>
      </c>
      <c r="S318">
        <f t="shared" si="927"/>
        <v>-45.349279861648512</v>
      </c>
      <c r="T318">
        <f t="shared" si="928"/>
        <v>-4.5349279861648509E-2</v>
      </c>
    </row>
    <row r="319" spans="1:20" x14ac:dyDescent="0.25">
      <c r="A319" s="5">
        <v>44265</v>
      </c>
      <c r="B319">
        <v>1.206</v>
      </c>
      <c r="C319">
        <v>1.2210000000000001</v>
      </c>
      <c r="D319">
        <v>1.1100000000000001</v>
      </c>
      <c r="E319">
        <v>1.151</v>
      </c>
      <c r="F319">
        <v>710612.60100000002</v>
      </c>
      <c r="G319">
        <v>0</v>
      </c>
      <c r="L319" t="s">
        <v>8</v>
      </c>
      <c r="M319" t="s">
        <v>8</v>
      </c>
      <c r="N319" t="s">
        <v>8</v>
      </c>
      <c r="P319">
        <f t="shared" si="924"/>
        <v>-0.26126126126126253</v>
      </c>
      <c r="Q319">
        <f t="shared" si="925"/>
        <v>-185655.54440540631</v>
      </c>
      <c r="R319">
        <f t="shared" si="926"/>
        <v>-4323859.6214505658</v>
      </c>
      <c r="S319">
        <f t="shared" si="927"/>
        <v>-43.238596214505655</v>
      </c>
      <c r="T319">
        <f t="shared" si="928"/>
        <v>-4.3238596214505653E-2</v>
      </c>
    </row>
    <row r="320" spans="1:20" x14ac:dyDescent="0.25">
      <c r="A320" s="5">
        <v>44264</v>
      </c>
      <c r="B320">
        <v>1.1379999999999999</v>
      </c>
      <c r="C320">
        <v>1.2110000000000001</v>
      </c>
      <c r="D320">
        <v>1.1299999999999999</v>
      </c>
      <c r="E320">
        <v>1.208</v>
      </c>
      <c r="F320">
        <v>865825.73100000003</v>
      </c>
      <c r="G320">
        <v>0</v>
      </c>
      <c r="L320" t="s">
        <v>8</v>
      </c>
      <c r="M320" t="s">
        <v>8</v>
      </c>
      <c r="N320" t="s">
        <v>8</v>
      </c>
      <c r="P320">
        <f t="shared" si="924"/>
        <v>0.92592592592592327</v>
      </c>
      <c r="Q320">
        <f t="shared" si="925"/>
        <v>801690.49166666437</v>
      </c>
      <c r="R320">
        <f t="shared" si="926"/>
        <v>-4138204.0770451594</v>
      </c>
      <c r="S320">
        <f t="shared" si="927"/>
        <v>-41.382040770451596</v>
      </c>
      <c r="T320">
        <f t="shared" si="928"/>
        <v>-4.1382040770451593E-2</v>
      </c>
    </row>
    <row r="321" spans="1:20" x14ac:dyDescent="0.25">
      <c r="A321" s="5">
        <v>44263</v>
      </c>
      <c r="B321">
        <v>1.159</v>
      </c>
      <c r="C321">
        <v>1.1919999999999999</v>
      </c>
      <c r="D321">
        <v>1.08</v>
      </c>
      <c r="E321">
        <v>1.1379999999999999</v>
      </c>
      <c r="F321">
        <v>525526.49600000004</v>
      </c>
      <c r="G321">
        <v>0</v>
      </c>
      <c r="L321" t="s">
        <v>7</v>
      </c>
      <c r="M321" t="s">
        <v>8</v>
      </c>
      <c r="N321" t="s">
        <v>8</v>
      </c>
      <c r="P321">
        <f t="shared" si="924"/>
        <v>3.5714285714283804E-2</v>
      </c>
      <c r="Q321">
        <f t="shared" si="925"/>
        <v>18768.803428570427</v>
      </c>
      <c r="R321">
        <f t="shared" si="926"/>
        <v>-4939894.5687118238</v>
      </c>
      <c r="S321">
        <f t="shared" si="927"/>
        <v>-49.398945687118236</v>
      </c>
      <c r="T321">
        <f t="shared" si="928"/>
        <v>-4.9398945687118237E-2</v>
      </c>
    </row>
    <row r="322" spans="1:20" x14ac:dyDescent="0.25">
      <c r="A322" s="5">
        <v>44262</v>
      </c>
      <c r="B322">
        <v>1.151</v>
      </c>
      <c r="C322">
        <v>1.204</v>
      </c>
      <c r="D322">
        <v>1.1000000000000001</v>
      </c>
      <c r="E322">
        <v>1.1559999999999999</v>
      </c>
      <c r="F322">
        <v>691147.91099999996</v>
      </c>
      <c r="G322">
        <v>0</v>
      </c>
      <c r="L322" t="s">
        <v>7</v>
      </c>
      <c r="M322" t="s">
        <v>8</v>
      </c>
      <c r="N322" t="s">
        <v>8</v>
      </c>
      <c r="P322">
        <f t="shared" si="924"/>
        <v>7.6923076923074957E-2</v>
      </c>
      <c r="Q322">
        <f t="shared" si="925"/>
        <v>53165.223923075559</v>
      </c>
      <c r="R322">
        <f t="shared" si="926"/>
        <v>-4958663.3721403945</v>
      </c>
      <c r="S322">
        <f t="shared" si="927"/>
        <v>-49.586633721403942</v>
      </c>
      <c r="T322">
        <f t="shared" si="928"/>
        <v>-4.9586633721403942E-2</v>
      </c>
    </row>
    <row r="323" spans="1:20" x14ac:dyDescent="0.25">
      <c r="A323" s="5">
        <v>44261</v>
      </c>
      <c r="B323">
        <v>1.1240000000000001</v>
      </c>
      <c r="C323">
        <v>1.236</v>
      </c>
      <c r="D323">
        <v>1.08</v>
      </c>
      <c r="E323">
        <v>1.151</v>
      </c>
      <c r="F323">
        <v>841996.44400000002</v>
      </c>
      <c r="G323">
        <v>0</v>
      </c>
      <c r="L323" t="s">
        <v>8</v>
      </c>
      <c r="M323" t="s">
        <v>8</v>
      </c>
      <c r="N323" t="s">
        <v>8</v>
      </c>
      <c r="P323">
        <f t="shared" si="924"/>
        <v>-8.9743589743589869E-2</v>
      </c>
      <c r="Q323">
        <f t="shared" si="925"/>
        <v>-75563.783435897538</v>
      </c>
      <c r="R323">
        <f t="shared" si="926"/>
        <v>-5011828.5960634705</v>
      </c>
      <c r="S323">
        <f t="shared" si="927"/>
        <v>-50.118285960634708</v>
      </c>
      <c r="T323">
        <f t="shared" si="928"/>
        <v>-5.0118285960634709E-2</v>
      </c>
    </row>
    <row r="324" spans="1:20" x14ac:dyDescent="0.25">
      <c r="A324" s="5">
        <v>44260</v>
      </c>
      <c r="B324">
        <v>1.111</v>
      </c>
      <c r="C324">
        <v>1.2090000000000001</v>
      </c>
      <c r="D324">
        <v>1</v>
      </c>
      <c r="E324">
        <v>1.119</v>
      </c>
      <c r="F324">
        <v>729705.15099999995</v>
      </c>
      <c r="G324">
        <v>0</v>
      </c>
      <c r="L324" t="s">
        <v>7</v>
      </c>
      <c r="M324" t="s">
        <v>7</v>
      </c>
      <c r="N324" t="s">
        <v>8</v>
      </c>
      <c r="P324">
        <f t="shared" si="924"/>
        <v>0.13875598086124355</v>
      </c>
      <c r="Q324">
        <f t="shared" si="925"/>
        <v>101250.95396650683</v>
      </c>
      <c r="R324">
        <f t="shared" si="926"/>
        <v>-4936264.8126275726</v>
      </c>
      <c r="S324">
        <f t="shared" si="927"/>
        <v>-49.362648126275722</v>
      </c>
      <c r="T324">
        <f t="shared" si="928"/>
        <v>-4.9362648126275721E-2</v>
      </c>
    </row>
    <row r="325" spans="1:20" x14ac:dyDescent="0.25">
      <c r="A325" s="5">
        <v>44259</v>
      </c>
      <c r="B325">
        <v>1.19</v>
      </c>
      <c r="C325">
        <v>1.23</v>
      </c>
      <c r="D325">
        <v>1.097</v>
      </c>
      <c r="E325">
        <v>1.113</v>
      </c>
      <c r="F325">
        <v>495270.973</v>
      </c>
      <c r="G325">
        <v>0</v>
      </c>
      <c r="L325" t="s">
        <v>8</v>
      </c>
      <c r="M325" t="s">
        <v>7</v>
      </c>
      <c r="N325" t="s">
        <v>8</v>
      </c>
      <c r="P325">
        <f t="shared" si="924"/>
        <v>-0.7593984962406013</v>
      </c>
      <c r="Q325">
        <f t="shared" si="925"/>
        <v>-376108.03212781943</v>
      </c>
      <c r="R325">
        <f t="shared" si="926"/>
        <v>-5037515.7665940793</v>
      </c>
      <c r="S325">
        <f t="shared" si="927"/>
        <v>-50.37515766594079</v>
      </c>
      <c r="T325">
        <f t="shared" si="928"/>
        <v>-5.0375157665940792E-2</v>
      </c>
    </row>
    <row r="326" spans="1:20" x14ac:dyDescent="0.25">
      <c r="A326" s="5">
        <v>44258</v>
      </c>
      <c r="B326">
        <v>1.1910000000000001</v>
      </c>
      <c r="C326">
        <v>1.25</v>
      </c>
      <c r="D326">
        <v>1.093</v>
      </c>
      <c r="E326">
        <v>1.18</v>
      </c>
      <c r="F326">
        <v>915420.326</v>
      </c>
      <c r="G326">
        <v>0</v>
      </c>
      <c r="L326" t="s">
        <v>7</v>
      </c>
      <c r="M326" t="s">
        <v>7</v>
      </c>
      <c r="N326" t="s">
        <v>8</v>
      </c>
      <c r="P326">
        <f t="shared" si="924"/>
        <v>0.10828025477706943</v>
      </c>
      <c r="Q326">
        <f t="shared" si="925"/>
        <v>99121.946127387957</v>
      </c>
      <c r="R326">
        <f t="shared" si="926"/>
        <v>-4661407.7344662603</v>
      </c>
      <c r="S326">
        <f t="shared" si="927"/>
        <v>-46.614077344662604</v>
      </c>
      <c r="T326">
        <f t="shared" si="928"/>
        <v>-4.6614077344662601E-2</v>
      </c>
    </row>
    <row r="327" spans="1:20" x14ac:dyDescent="0.25">
      <c r="A327" s="5">
        <v>44257</v>
      </c>
      <c r="B327">
        <v>1.0049999999999999</v>
      </c>
      <c r="C327">
        <v>1.31</v>
      </c>
      <c r="D327">
        <v>0.95799999999999996</v>
      </c>
      <c r="E327">
        <v>1.18</v>
      </c>
      <c r="F327">
        <v>1585310.5360000001</v>
      </c>
      <c r="G327">
        <v>0</v>
      </c>
      <c r="L327" t="s">
        <v>8</v>
      </c>
      <c r="M327" t="s">
        <v>8</v>
      </c>
      <c r="N327" t="s">
        <v>8</v>
      </c>
      <c r="P327">
        <f t="shared" si="924"/>
        <v>0.26136363636363591</v>
      </c>
      <c r="Q327">
        <f t="shared" si="925"/>
        <v>414342.52645454474</v>
      </c>
      <c r="R327">
        <f t="shared" si="926"/>
        <v>-4760529.680593648</v>
      </c>
      <c r="S327">
        <f t="shared" si="927"/>
        <v>-47.605296805936483</v>
      </c>
      <c r="T327">
        <f t="shared" si="928"/>
        <v>-4.7605296805936483E-2</v>
      </c>
    </row>
    <row r="328" spans="1:20" x14ac:dyDescent="0.25">
      <c r="A328" s="5">
        <v>44256</v>
      </c>
      <c r="B328">
        <v>0.93500000000000005</v>
      </c>
      <c r="C328">
        <v>1.08</v>
      </c>
      <c r="D328">
        <v>0.93500000000000005</v>
      </c>
      <c r="E328">
        <v>1.0049999999999999</v>
      </c>
      <c r="F328">
        <v>626338.86199999996</v>
      </c>
      <c r="G328">
        <v>0</v>
      </c>
      <c r="L328" t="s">
        <v>8</v>
      </c>
      <c r="M328" t="s">
        <v>8</v>
      </c>
      <c r="N328" t="s">
        <v>7</v>
      </c>
      <c r="P328">
        <f t="shared" si="924"/>
        <v>-3.4482758620691979E-2</v>
      </c>
      <c r="Q328">
        <f t="shared" si="925"/>
        <v>-21597.891793104904</v>
      </c>
      <c r="R328">
        <f t="shared" si="926"/>
        <v>-5174872.2070481926</v>
      </c>
      <c r="S328">
        <f t="shared" si="927"/>
        <v>-51.748722070481925</v>
      </c>
      <c r="T328">
        <f t="shared" si="928"/>
        <v>-5.1748722070481923E-2</v>
      </c>
    </row>
    <row r="329" spans="1:20" x14ac:dyDescent="0.25">
      <c r="A329" s="5">
        <v>44255</v>
      </c>
      <c r="B329">
        <v>1.081</v>
      </c>
      <c r="C329">
        <v>1.1399999999999999</v>
      </c>
      <c r="D329">
        <v>0.89200000000000002</v>
      </c>
      <c r="E329">
        <v>0.93400000000000005</v>
      </c>
      <c r="F329">
        <v>302132.25300000003</v>
      </c>
      <c r="G329">
        <v>0</v>
      </c>
      <c r="L329" t="s">
        <v>7</v>
      </c>
      <c r="M329" t="s">
        <v>7</v>
      </c>
      <c r="N329" t="s">
        <v>7</v>
      </c>
      <c r="P329">
        <f t="shared" si="924"/>
        <v>-0.66129032258064468</v>
      </c>
      <c r="Q329">
        <f t="shared" si="925"/>
        <v>-199797.13504838696</v>
      </c>
      <c r="R329">
        <f t="shared" si="926"/>
        <v>-5153274.3152550878</v>
      </c>
      <c r="S329">
        <f t="shared" si="927"/>
        <v>-51.532743152550879</v>
      </c>
      <c r="T329">
        <f t="shared" si="928"/>
        <v>-5.1532743152550881E-2</v>
      </c>
    </row>
    <row r="330" spans="1:20" x14ac:dyDescent="0.25">
      <c r="A330" s="5">
        <v>44254</v>
      </c>
      <c r="B330">
        <v>1.0129999999999999</v>
      </c>
      <c r="C330">
        <v>1.28</v>
      </c>
      <c r="D330">
        <v>0.995</v>
      </c>
      <c r="E330">
        <v>1.0860000000000001</v>
      </c>
      <c r="F330">
        <v>474826.64299999998</v>
      </c>
      <c r="G330">
        <v>0</v>
      </c>
      <c r="L330" t="s">
        <v>8</v>
      </c>
      <c r="M330" t="s">
        <v>8</v>
      </c>
      <c r="N330" t="s">
        <v>7</v>
      </c>
      <c r="P330">
        <f t="shared" si="924"/>
        <v>-0.36140350877192934</v>
      </c>
      <c r="Q330">
        <f t="shared" si="925"/>
        <v>-171604.01483859625</v>
      </c>
      <c r="R330">
        <f t="shared" si="926"/>
        <v>-4953477.1802067012</v>
      </c>
      <c r="S330">
        <f t="shared" si="927"/>
        <v>-49.534771802067013</v>
      </c>
      <c r="T330">
        <f t="shared" si="928"/>
        <v>-4.9534771802067015E-2</v>
      </c>
    </row>
    <row r="331" spans="1:20" x14ac:dyDescent="0.25">
      <c r="A331" s="5">
        <v>44253</v>
      </c>
      <c r="B331">
        <v>1.006</v>
      </c>
      <c r="C331">
        <v>1.117</v>
      </c>
      <c r="D331">
        <v>0.97</v>
      </c>
      <c r="E331">
        <v>1.0109999999999999</v>
      </c>
      <c r="F331">
        <v>378458.11499999999</v>
      </c>
      <c r="G331">
        <v>0</v>
      </c>
      <c r="L331" t="s">
        <v>7</v>
      </c>
      <c r="M331" t="s">
        <v>7</v>
      </c>
      <c r="N331" t="s">
        <v>7</v>
      </c>
      <c r="P331">
        <f t="shared" si="924"/>
        <v>-0.44217687074830042</v>
      </c>
      <c r="Q331">
        <f t="shared" si="925"/>
        <v>-167345.42500000042</v>
      </c>
      <c r="R331">
        <f t="shared" si="926"/>
        <v>-4781873.1653681053</v>
      </c>
      <c r="S331">
        <f t="shared" si="927"/>
        <v>-47.818731653681056</v>
      </c>
      <c r="T331">
        <f t="shared" si="928"/>
        <v>-4.7818731653681057E-2</v>
      </c>
    </row>
    <row r="332" spans="1:20" x14ac:dyDescent="0.25">
      <c r="A332" s="5">
        <v>44252</v>
      </c>
      <c r="B332">
        <v>1.194</v>
      </c>
      <c r="C332">
        <v>1.274</v>
      </c>
      <c r="D332">
        <v>1.0009999999999999</v>
      </c>
      <c r="E332">
        <v>1.01</v>
      </c>
      <c r="F332">
        <v>637186.11499999999</v>
      </c>
      <c r="G332">
        <v>0</v>
      </c>
      <c r="L332" t="s">
        <v>7</v>
      </c>
      <c r="M332" t="s">
        <v>7</v>
      </c>
      <c r="N332" t="s">
        <v>7</v>
      </c>
      <c r="P332">
        <f t="shared" si="924"/>
        <v>-0.93406593406593319</v>
      </c>
      <c r="Q332">
        <f t="shared" si="925"/>
        <v>-595173.8436813181</v>
      </c>
      <c r="R332">
        <f t="shared" si="926"/>
        <v>-4614527.7403681045</v>
      </c>
      <c r="S332">
        <f t="shared" si="927"/>
        <v>-46.145277403681042</v>
      </c>
      <c r="T332">
        <f t="shared" si="928"/>
        <v>-4.6145277403681045E-2</v>
      </c>
    </row>
    <row r="333" spans="1:20" x14ac:dyDescent="0.25">
      <c r="A333" s="5">
        <v>44251</v>
      </c>
      <c r="B333">
        <v>1.1759999999999999</v>
      </c>
      <c r="C333">
        <v>1.5</v>
      </c>
      <c r="D333">
        <v>1.1200000000000001</v>
      </c>
      <c r="E333">
        <v>1.202</v>
      </c>
      <c r="F333">
        <v>817934.53</v>
      </c>
      <c r="G333">
        <v>0</v>
      </c>
      <c r="L333" t="s">
        <v>8</v>
      </c>
      <c r="M333" t="s">
        <v>8</v>
      </c>
      <c r="N333" t="s">
        <v>8</v>
      </c>
      <c r="P333">
        <f t="shared" si="924"/>
        <v>-0.5684210526315796</v>
      </c>
      <c r="Q333">
        <f t="shared" si="925"/>
        <v>-464931.20652631635</v>
      </c>
      <c r="R333">
        <f t="shared" si="926"/>
        <v>-4019353.8966867863</v>
      </c>
      <c r="S333">
        <f t="shared" si="927"/>
        <v>-40.193538966867862</v>
      </c>
      <c r="T333">
        <f t="shared" si="928"/>
        <v>-4.0193538966867864E-2</v>
      </c>
    </row>
    <row r="334" spans="1:20" x14ac:dyDescent="0.25">
      <c r="A334" s="5">
        <v>44250</v>
      </c>
      <c r="B334">
        <v>1.421</v>
      </c>
      <c r="C334">
        <v>1.43</v>
      </c>
      <c r="D334">
        <v>0.88</v>
      </c>
      <c r="E334">
        <v>1.1779999999999999</v>
      </c>
      <c r="F334">
        <v>804260.34</v>
      </c>
      <c r="G334">
        <v>0</v>
      </c>
      <c r="L334" t="s">
        <v>7</v>
      </c>
      <c r="M334" t="s">
        <v>7</v>
      </c>
      <c r="N334" t="s">
        <v>7</v>
      </c>
      <c r="P334">
        <f t="shared" si="924"/>
        <v>8.3636363636363523E-2</v>
      </c>
      <c r="Q334">
        <f t="shared" si="925"/>
        <v>67265.410254545364</v>
      </c>
      <c r="R334">
        <f t="shared" si="926"/>
        <v>-3554422.6901604701</v>
      </c>
      <c r="S334">
        <f t="shared" si="927"/>
        <v>-35.544226901604702</v>
      </c>
      <c r="T334">
        <f t="shared" si="928"/>
        <v>-3.5544226901604699E-2</v>
      </c>
    </row>
    <row r="335" spans="1:20" x14ac:dyDescent="0.25">
      <c r="A335" s="5">
        <v>44249</v>
      </c>
      <c r="B335">
        <v>1.619</v>
      </c>
      <c r="C335">
        <v>1.7</v>
      </c>
      <c r="D335">
        <v>1.0720000000000001</v>
      </c>
      <c r="E335">
        <v>1.4219999999999999</v>
      </c>
      <c r="F335">
        <v>958593.68099999998</v>
      </c>
      <c r="G335">
        <v>0</v>
      </c>
      <c r="L335" t="s">
        <v>7</v>
      </c>
      <c r="M335" t="s">
        <v>7</v>
      </c>
      <c r="N335" t="s">
        <v>7</v>
      </c>
      <c r="P335">
        <f t="shared" si="924"/>
        <v>0.11464968152866219</v>
      </c>
      <c r="Q335">
        <f t="shared" si="925"/>
        <v>109902.460242038</v>
      </c>
      <c r="R335">
        <f t="shared" si="926"/>
        <v>-3621688.1004150156</v>
      </c>
      <c r="S335">
        <f t="shared" si="927"/>
        <v>-36.216881004150153</v>
      </c>
      <c r="T335">
        <f t="shared" si="928"/>
        <v>-3.6216881004150152E-2</v>
      </c>
    </row>
    <row r="336" spans="1:20" x14ac:dyDescent="0.25">
      <c r="A336" s="5">
        <v>44248</v>
      </c>
      <c r="B336">
        <v>1.6579999999999999</v>
      </c>
      <c r="C336">
        <v>1.7090000000000001</v>
      </c>
      <c r="D336">
        <v>1.579</v>
      </c>
      <c r="E336">
        <v>1.6160000000000001</v>
      </c>
      <c r="F336">
        <v>773711.58600000001</v>
      </c>
      <c r="G336">
        <v>0</v>
      </c>
      <c r="L336" t="s">
        <v>8</v>
      </c>
      <c r="M336" t="s">
        <v>7</v>
      </c>
      <c r="N336" t="s">
        <v>7</v>
      </c>
      <c r="P336">
        <f t="shared" si="924"/>
        <v>-0.43076923076922907</v>
      </c>
      <c r="Q336">
        <f t="shared" si="925"/>
        <v>-333291.14473846025</v>
      </c>
      <c r="R336">
        <f t="shared" si="926"/>
        <v>-3731590.5606570537</v>
      </c>
      <c r="S336">
        <f t="shared" si="927"/>
        <v>-37.315905606570539</v>
      </c>
      <c r="T336">
        <f t="shared" si="928"/>
        <v>-3.731590560657054E-2</v>
      </c>
    </row>
    <row r="337" spans="1:20" x14ac:dyDescent="0.25">
      <c r="A337" s="5">
        <v>44247</v>
      </c>
      <c r="B337">
        <v>1.72</v>
      </c>
      <c r="C337">
        <v>1.871</v>
      </c>
      <c r="D337">
        <v>1.6</v>
      </c>
      <c r="E337">
        <v>1.66</v>
      </c>
      <c r="F337">
        <v>807757.85499999998</v>
      </c>
      <c r="G337">
        <v>0</v>
      </c>
      <c r="L337" t="s">
        <v>7</v>
      </c>
      <c r="M337" t="s">
        <v>7</v>
      </c>
      <c r="N337" t="s">
        <v>7</v>
      </c>
      <c r="P337">
        <f t="shared" si="924"/>
        <v>-0.55719557195572067</v>
      </c>
      <c r="Q337">
        <f t="shared" si="925"/>
        <v>-450079.10001845105</v>
      </c>
      <c r="R337">
        <f t="shared" si="926"/>
        <v>-3398299.4159185933</v>
      </c>
      <c r="S337">
        <f t="shared" si="927"/>
        <v>-33.982994159185935</v>
      </c>
      <c r="T337">
        <f t="shared" si="928"/>
        <v>-3.3982994159185938E-2</v>
      </c>
    </row>
    <row r="338" spans="1:20" x14ac:dyDescent="0.25">
      <c r="A338" s="5">
        <v>44246</v>
      </c>
      <c r="B338">
        <v>1.9159999999999999</v>
      </c>
      <c r="C338">
        <v>1.97</v>
      </c>
      <c r="D338">
        <v>1.621</v>
      </c>
      <c r="E338">
        <v>1.7310000000000001</v>
      </c>
      <c r="F338">
        <v>897090.66599999997</v>
      </c>
      <c r="G338">
        <v>0</v>
      </c>
      <c r="L338" t="s">
        <v>7</v>
      </c>
      <c r="M338" t="s">
        <v>7</v>
      </c>
      <c r="N338" t="s">
        <v>7</v>
      </c>
      <c r="P338">
        <f t="shared" si="924"/>
        <v>-0.36962750716332315</v>
      </c>
      <c r="Q338">
        <f t="shared" si="925"/>
        <v>-331589.38657306531</v>
      </c>
      <c r="R338">
        <f t="shared" si="926"/>
        <v>-2948220.3159001423</v>
      </c>
      <c r="S338">
        <f t="shared" si="927"/>
        <v>-29.482203159001422</v>
      </c>
      <c r="T338">
        <f t="shared" si="928"/>
        <v>-2.9482203159001422E-2</v>
      </c>
    </row>
    <row r="339" spans="1:20" x14ac:dyDescent="0.25">
      <c r="A339" s="5">
        <v>44245</v>
      </c>
      <c r="B339">
        <v>1.994</v>
      </c>
      <c r="C339">
        <v>2.0499999999999998</v>
      </c>
      <c r="D339">
        <v>1.8029999999999999</v>
      </c>
      <c r="E339">
        <v>1.8979999999999999</v>
      </c>
      <c r="F339">
        <v>784870.951</v>
      </c>
      <c r="G339">
        <v>0</v>
      </c>
      <c r="L339" t="s">
        <v>7</v>
      </c>
      <c r="M339" t="s">
        <v>7</v>
      </c>
      <c r="N339" t="s">
        <v>8</v>
      </c>
      <c r="P339">
        <f t="shared" si="924"/>
        <v>-0.23076923076923064</v>
      </c>
      <c r="Q339">
        <f t="shared" si="925"/>
        <v>-181124.06561538452</v>
      </c>
      <c r="R339">
        <f t="shared" si="926"/>
        <v>-2616630.9293270772</v>
      </c>
      <c r="S339">
        <f t="shared" si="927"/>
        <v>-26.166309293270771</v>
      </c>
      <c r="T339">
        <f t="shared" si="928"/>
        <v>-2.6166309293270771E-2</v>
      </c>
    </row>
    <row r="340" spans="1:20" x14ac:dyDescent="0.25">
      <c r="A340" s="5">
        <v>44244</v>
      </c>
      <c r="B340">
        <v>1.615</v>
      </c>
      <c r="C340">
        <v>2.5</v>
      </c>
      <c r="D340">
        <v>1.528</v>
      </c>
      <c r="E340">
        <v>1.994</v>
      </c>
      <c r="F340">
        <v>1631605.952</v>
      </c>
      <c r="G340">
        <v>0</v>
      </c>
      <c r="L340" t="s">
        <v>8</v>
      </c>
      <c r="M340" t="s">
        <v>8</v>
      </c>
      <c r="N340" t="s">
        <v>8</v>
      </c>
      <c r="P340">
        <f t="shared" si="924"/>
        <v>-4.1152263374485631E-2</v>
      </c>
      <c r="Q340">
        <f t="shared" si="925"/>
        <v>-67144.277860082366</v>
      </c>
      <c r="R340">
        <f t="shared" si="926"/>
        <v>-2435506.8637116929</v>
      </c>
      <c r="S340">
        <f t="shared" si="927"/>
        <v>-24.355068637116929</v>
      </c>
      <c r="T340">
        <f t="shared" si="928"/>
        <v>-2.4355068637116929E-2</v>
      </c>
    </row>
    <row r="341" spans="1:20" x14ac:dyDescent="0.25">
      <c r="A341" s="5">
        <v>44243</v>
      </c>
      <c r="B341">
        <v>1.738</v>
      </c>
      <c r="C341">
        <v>1.8580000000000001</v>
      </c>
      <c r="D341">
        <v>1.5609999999999999</v>
      </c>
      <c r="E341">
        <v>1.615</v>
      </c>
      <c r="F341">
        <v>404380.56699999998</v>
      </c>
      <c r="G341">
        <v>0</v>
      </c>
      <c r="L341" t="s">
        <v>8</v>
      </c>
      <c r="M341" t="s">
        <v>8</v>
      </c>
      <c r="N341" t="s">
        <v>7</v>
      </c>
      <c r="P341">
        <f t="shared" si="924"/>
        <v>-0.63636363636363624</v>
      </c>
      <c r="Q341">
        <f t="shared" si="925"/>
        <v>-257333.08809090903</v>
      </c>
      <c r="R341">
        <f t="shared" si="926"/>
        <v>-2368362.5858516106</v>
      </c>
      <c r="S341">
        <f t="shared" si="927"/>
        <v>-23.683625858516105</v>
      </c>
      <c r="T341">
        <f t="shared" si="928"/>
        <v>-2.3683625858516105E-2</v>
      </c>
    </row>
    <row r="342" spans="1:20" x14ac:dyDescent="0.25">
      <c r="A342" s="5">
        <v>44242</v>
      </c>
      <c r="B342">
        <v>1.952</v>
      </c>
      <c r="C342">
        <v>2.0110000000000001</v>
      </c>
      <c r="D342">
        <v>1.407</v>
      </c>
      <c r="E342">
        <v>1.7390000000000001</v>
      </c>
      <c r="F342">
        <v>669646.04599999997</v>
      </c>
      <c r="G342">
        <v>0</v>
      </c>
      <c r="L342" t="s">
        <v>7</v>
      </c>
      <c r="M342" t="s">
        <v>7</v>
      </c>
      <c r="N342" t="s">
        <v>7</v>
      </c>
      <c r="P342">
        <f t="shared" si="924"/>
        <v>9.9337748344370938E-2</v>
      </c>
      <c r="Q342">
        <f t="shared" si="925"/>
        <v>66521.130397351037</v>
      </c>
      <c r="R342">
        <f t="shared" si="926"/>
        <v>-2111029.4977607015</v>
      </c>
      <c r="S342">
        <f t="shared" si="927"/>
        <v>-21.110294977607015</v>
      </c>
      <c r="T342">
        <f t="shared" si="928"/>
        <v>-2.1110294977607014E-2</v>
      </c>
    </row>
    <row r="343" spans="1:20" x14ac:dyDescent="0.25">
      <c r="A343" s="5">
        <v>44241</v>
      </c>
      <c r="B343">
        <v>2.2170000000000001</v>
      </c>
      <c r="C343">
        <v>2.2949999999999999</v>
      </c>
      <c r="D343">
        <v>1.865</v>
      </c>
      <c r="E343">
        <v>1.9510000000000001</v>
      </c>
      <c r="F343">
        <v>604742.13100000005</v>
      </c>
      <c r="G343">
        <v>0</v>
      </c>
      <c r="L343" t="s">
        <v>7</v>
      </c>
      <c r="M343" t="s">
        <v>7</v>
      </c>
      <c r="N343" t="s">
        <v>8</v>
      </c>
      <c r="P343">
        <f t="shared" si="924"/>
        <v>-0.59999999999999953</v>
      </c>
      <c r="Q343">
        <f t="shared" si="925"/>
        <v>-362845.27859999973</v>
      </c>
      <c r="R343">
        <f t="shared" si="926"/>
        <v>-2177550.6281580525</v>
      </c>
      <c r="S343">
        <f t="shared" si="927"/>
        <v>-21.775506281580526</v>
      </c>
      <c r="T343">
        <f t="shared" si="928"/>
        <v>-2.1775506281580526E-2</v>
      </c>
    </row>
    <row r="344" spans="1:20" x14ac:dyDescent="0.25">
      <c r="A344" s="5">
        <v>44240</v>
      </c>
      <c r="B344">
        <v>1.93</v>
      </c>
      <c r="C344">
        <v>2.2989999999999999</v>
      </c>
      <c r="D344">
        <v>1.9039999999999999</v>
      </c>
      <c r="E344">
        <v>2.2080000000000002</v>
      </c>
      <c r="F344">
        <v>1062633.162</v>
      </c>
      <c r="G344">
        <v>0</v>
      </c>
      <c r="L344" t="s">
        <v>8</v>
      </c>
      <c r="M344" t="s">
        <v>8</v>
      </c>
      <c r="N344" t="s">
        <v>8</v>
      </c>
      <c r="P344">
        <f t="shared" si="924"/>
        <v>0.53924050632911524</v>
      </c>
      <c r="Q344">
        <f t="shared" si="925"/>
        <v>573014.84431898873</v>
      </c>
      <c r="R344">
        <f t="shared" si="926"/>
        <v>-1814705.3495580526</v>
      </c>
      <c r="S344">
        <f t="shared" si="927"/>
        <v>-18.147053495580526</v>
      </c>
      <c r="T344">
        <f t="shared" si="928"/>
        <v>-1.8147053495580524E-2</v>
      </c>
    </row>
    <row r="345" spans="1:20" x14ac:dyDescent="0.25">
      <c r="A345" s="5">
        <v>44239</v>
      </c>
      <c r="B345">
        <v>1.726</v>
      </c>
      <c r="C345">
        <v>1.9350000000000001</v>
      </c>
      <c r="D345">
        <v>1.65</v>
      </c>
      <c r="E345">
        <v>1.9330000000000001</v>
      </c>
      <c r="F345">
        <v>662711.19400000002</v>
      </c>
      <c r="G345">
        <v>0</v>
      </c>
      <c r="L345" t="s">
        <v>8</v>
      </c>
      <c r="M345" t="s">
        <v>8</v>
      </c>
      <c r="N345" t="s">
        <v>7</v>
      </c>
      <c r="P345">
        <f t="shared" si="924"/>
        <v>0.98596491228070171</v>
      </c>
      <c r="Q345">
        <f t="shared" si="925"/>
        <v>653409.98425964906</v>
      </c>
      <c r="R345">
        <f t="shared" si="926"/>
        <v>-2387720.1938770413</v>
      </c>
      <c r="S345">
        <f t="shared" si="927"/>
        <v>-23.877201938770412</v>
      </c>
      <c r="T345">
        <f t="shared" si="928"/>
        <v>-2.3877201938770413E-2</v>
      </c>
    </row>
    <row r="346" spans="1:20" x14ac:dyDescent="0.25">
      <c r="A346" s="5">
        <v>44238</v>
      </c>
      <c r="B346">
        <v>1.667</v>
      </c>
      <c r="C346">
        <v>1.8080000000000001</v>
      </c>
      <c r="D346">
        <v>1.53</v>
      </c>
      <c r="E346">
        <v>1.7270000000000001</v>
      </c>
      <c r="F346">
        <v>619850.58200000005</v>
      </c>
      <c r="G346">
        <v>0</v>
      </c>
      <c r="L346" t="s">
        <v>8</v>
      </c>
      <c r="M346" t="s">
        <v>8</v>
      </c>
      <c r="N346" t="s">
        <v>7</v>
      </c>
      <c r="P346">
        <f t="shared" si="924"/>
        <v>0.41726618705036006</v>
      </c>
      <c r="Q346">
        <f t="shared" si="925"/>
        <v>258642.68889208656</v>
      </c>
      <c r="R346">
        <f t="shared" si="926"/>
        <v>-3041130.1781366905</v>
      </c>
      <c r="S346">
        <f t="shared" si="927"/>
        <v>-30.411301781366905</v>
      </c>
      <c r="T346">
        <f t="shared" si="928"/>
        <v>-3.0411301781366907E-2</v>
      </c>
    </row>
    <row r="347" spans="1:20" x14ac:dyDescent="0.25">
      <c r="A347" s="5">
        <v>44237</v>
      </c>
      <c r="B347">
        <v>1.706</v>
      </c>
      <c r="C347">
        <v>1.9019999999999999</v>
      </c>
      <c r="D347">
        <v>1.43</v>
      </c>
      <c r="E347">
        <v>1.667</v>
      </c>
      <c r="F347">
        <v>1484757.915</v>
      </c>
      <c r="G347">
        <v>0</v>
      </c>
      <c r="L347" t="s">
        <v>7</v>
      </c>
      <c r="M347" t="s">
        <v>7</v>
      </c>
      <c r="N347" t="s">
        <v>7</v>
      </c>
      <c r="P347">
        <f t="shared" si="924"/>
        <v>4.2372881355936948E-3</v>
      </c>
      <c r="Q347">
        <f t="shared" si="925"/>
        <v>6291.3470974583315</v>
      </c>
      <c r="R347">
        <f t="shared" si="926"/>
        <v>-3299772.867028777</v>
      </c>
      <c r="S347">
        <f t="shared" si="927"/>
        <v>-32.997728670287771</v>
      </c>
      <c r="T347">
        <f t="shared" si="928"/>
        <v>-3.2997728670287774E-2</v>
      </c>
    </row>
    <row r="348" spans="1:20" x14ac:dyDescent="0.25">
      <c r="A348" s="5">
        <v>44236</v>
      </c>
      <c r="B348">
        <v>1.3009999999999999</v>
      </c>
      <c r="C348">
        <v>2.19</v>
      </c>
      <c r="D348">
        <v>1.286</v>
      </c>
      <c r="E348">
        <v>1.736</v>
      </c>
      <c r="F348">
        <v>2941796.45</v>
      </c>
      <c r="G348">
        <v>0</v>
      </c>
      <c r="L348" t="s">
        <v>8</v>
      </c>
      <c r="M348" t="s">
        <v>8</v>
      </c>
      <c r="N348" t="s">
        <v>8</v>
      </c>
      <c r="P348">
        <f t="shared" si="924"/>
        <v>-4.4247787610619512E-3</v>
      </c>
      <c r="Q348">
        <f t="shared" si="925"/>
        <v>-13016.798451327448</v>
      </c>
      <c r="R348">
        <f t="shared" si="926"/>
        <v>-3306064.2141262353</v>
      </c>
      <c r="S348">
        <f t="shared" si="927"/>
        <v>-33.060642141262356</v>
      </c>
      <c r="T348">
        <f t="shared" si="928"/>
        <v>-3.3060642141262357E-2</v>
      </c>
    </row>
    <row r="349" spans="1:20" x14ac:dyDescent="0.25">
      <c r="A349" s="5">
        <v>44235</v>
      </c>
      <c r="B349">
        <v>1.3180000000000001</v>
      </c>
      <c r="C349">
        <v>1.421</v>
      </c>
      <c r="D349">
        <v>1.2150000000000001</v>
      </c>
      <c r="E349">
        <v>1.282</v>
      </c>
      <c r="F349">
        <v>459124.33799999999</v>
      </c>
      <c r="G349">
        <v>0</v>
      </c>
      <c r="L349" t="s">
        <v>8</v>
      </c>
      <c r="M349" t="s">
        <v>8</v>
      </c>
      <c r="N349" t="s">
        <v>7</v>
      </c>
      <c r="P349">
        <f t="shared" si="924"/>
        <v>-0.34951456310679652</v>
      </c>
      <c r="Q349">
        <f t="shared" si="925"/>
        <v>-160470.64240776718</v>
      </c>
      <c r="R349">
        <f t="shared" si="926"/>
        <v>-3293047.4156749081</v>
      </c>
      <c r="S349">
        <f t="shared" si="927"/>
        <v>-32.930474156749078</v>
      </c>
      <c r="T349">
        <f t="shared" si="928"/>
        <v>-3.293047415674908E-2</v>
      </c>
    </row>
    <row r="350" spans="1:20" x14ac:dyDescent="0.25">
      <c r="A350" s="5">
        <v>44234</v>
      </c>
      <c r="B350">
        <v>1.304</v>
      </c>
      <c r="C350">
        <v>1.48</v>
      </c>
      <c r="D350">
        <v>1.155</v>
      </c>
      <c r="E350">
        <v>1.325</v>
      </c>
      <c r="F350">
        <v>580693.09199999995</v>
      </c>
      <c r="G350">
        <v>0</v>
      </c>
      <c r="L350" t="s">
        <v>7</v>
      </c>
      <c r="M350" t="s">
        <v>7</v>
      </c>
      <c r="N350" t="s">
        <v>7</v>
      </c>
      <c r="P350">
        <f t="shared" si="924"/>
        <v>4.6153846153845858E-2</v>
      </c>
      <c r="Q350">
        <f t="shared" si="925"/>
        <v>26801.219630769057</v>
      </c>
      <c r="R350">
        <f t="shared" si="926"/>
        <v>-3132576.7732671411</v>
      </c>
      <c r="S350">
        <f t="shared" si="927"/>
        <v>-31.325767732671412</v>
      </c>
      <c r="T350">
        <f t="shared" si="928"/>
        <v>-3.1325767732671414E-2</v>
      </c>
    </row>
    <row r="351" spans="1:20" x14ac:dyDescent="0.25">
      <c r="A351" s="5">
        <v>44233</v>
      </c>
      <c r="B351">
        <v>1.569</v>
      </c>
      <c r="C351">
        <v>1.5920000000000001</v>
      </c>
      <c r="D351">
        <v>1.28</v>
      </c>
      <c r="E351">
        <v>1.304</v>
      </c>
      <c r="F351">
        <v>517276.55099999998</v>
      </c>
      <c r="G351">
        <v>0</v>
      </c>
      <c r="L351" t="s">
        <v>7</v>
      </c>
      <c r="M351" t="s">
        <v>7</v>
      </c>
      <c r="N351" t="s">
        <v>7</v>
      </c>
      <c r="P351">
        <f t="shared" si="924"/>
        <v>-0.84615384615384603</v>
      </c>
      <c r="Q351">
        <f t="shared" si="925"/>
        <v>-437695.54315384605</v>
      </c>
      <c r="R351">
        <f t="shared" si="926"/>
        <v>-3159377.9928979101</v>
      </c>
      <c r="S351">
        <f t="shared" si="927"/>
        <v>-31.593779928979099</v>
      </c>
      <c r="T351">
        <f t="shared" si="928"/>
        <v>-3.1593779928979097E-2</v>
      </c>
    </row>
    <row r="352" spans="1:20" x14ac:dyDescent="0.25">
      <c r="A352" s="5">
        <v>44232</v>
      </c>
      <c r="B352">
        <v>1.7609999999999999</v>
      </c>
      <c r="C352">
        <v>1.7609999999999999</v>
      </c>
      <c r="D352">
        <v>1.375</v>
      </c>
      <c r="E352">
        <v>1.569</v>
      </c>
      <c r="F352">
        <v>829785.58600000001</v>
      </c>
      <c r="G352">
        <v>0</v>
      </c>
      <c r="L352" t="s">
        <v>7</v>
      </c>
      <c r="M352" t="s">
        <v>7</v>
      </c>
      <c r="N352" t="s">
        <v>7</v>
      </c>
      <c r="P352">
        <f t="shared" si="924"/>
        <v>5.1813471502590736E-3</v>
      </c>
      <c r="Q352">
        <f t="shared" si="925"/>
        <v>4299.4071813471555</v>
      </c>
      <c r="R352">
        <f t="shared" si="926"/>
        <v>-2721682.4497440639</v>
      </c>
      <c r="S352">
        <f t="shared" si="927"/>
        <v>-27.216824497440641</v>
      </c>
      <c r="T352">
        <f t="shared" si="928"/>
        <v>-2.7216824497440641E-2</v>
      </c>
    </row>
    <row r="353" spans="1:20" x14ac:dyDescent="0.25">
      <c r="A353" s="5">
        <v>44231</v>
      </c>
      <c r="B353">
        <v>0.86699999999999999</v>
      </c>
      <c r="C353">
        <v>1.9550000000000001</v>
      </c>
      <c r="D353">
        <v>0.84099999999999997</v>
      </c>
      <c r="E353">
        <v>1.7569999999999999</v>
      </c>
      <c r="F353">
        <v>2658190.7769999998</v>
      </c>
      <c r="G353">
        <v>0</v>
      </c>
      <c r="L353" t="s">
        <v>8</v>
      </c>
      <c r="M353" t="s">
        <v>8</v>
      </c>
      <c r="N353" t="s">
        <v>8</v>
      </c>
      <c r="P353">
        <f t="shared" si="924"/>
        <v>0.64452423698384176</v>
      </c>
      <c r="Q353">
        <f t="shared" si="925"/>
        <v>1713268.3823034102</v>
      </c>
      <c r="R353">
        <f t="shared" si="926"/>
        <v>-2725981.8569254111</v>
      </c>
      <c r="S353">
        <f t="shared" si="927"/>
        <v>-27.259818569254112</v>
      </c>
      <c r="T353">
        <f t="shared" si="928"/>
        <v>-2.7259818569254111E-2</v>
      </c>
    </row>
    <row r="354" spans="1:20" x14ac:dyDescent="0.25">
      <c r="A354" s="5">
        <v>44230</v>
      </c>
      <c r="B354">
        <v>0.81200000000000006</v>
      </c>
      <c r="C354">
        <v>0.89500000000000002</v>
      </c>
      <c r="D354">
        <v>0.79</v>
      </c>
      <c r="E354">
        <v>0.872</v>
      </c>
      <c r="F354">
        <v>609022.37899999996</v>
      </c>
      <c r="G354">
        <v>0</v>
      </c>
      <c r="L354" t="s">
        <v>7</v>
      </c>
      <c r="M354" t="s">
        <v>7</v>
      </c>
      <c r="N354" t="s">
        <v>8</v>
      </c>
      <c r="P354">
        <f t="shared" si="924"/>
        <v>0.56190476190476146</v>
      </c>
      <c r="Q354">
        <f t="shared" si="925"/>
        <v>342212.5748666664</v>
      </c>
      <c r="R354">
        <f t="shared" si="926"/>
        <v>-4439250.2392288214</v>
      </c>
      <c r="S354">
        <f t="shared" si="927"/>
        <v>-44.392502392288215</v>
      </c>
      <c r="T354">
        <f t="shared" si="928"/>
        <v>-4.4392502392288216E-2</v>
      </c>
    </row>
    <row r="355" spans="1:20" x14ac:dyDescent="0.25">
      <c r="A355" s="5">
        <v>44229</v>
      </c>
      <c r="B355">
        <v>0.77</v>
      </c>
      <c r="C355">
        <v>0.97099999999999997</v>
      </c>
      <c r="D355">
        <v>0.753</v>
      </c>
      <c r="E355">
        <v>0.80800000000000005</v>
      </c>
      <c r="F355">
        <v>980064.60699999996</v>
      </c>
      <c r="G355">
        <v>0</v>
      </c>
      <c r="L355" t="s">
        <v>8</v>
      </c>
      <c r="M355" t="s">
        <v>8</v>
      </c>
      <c r="N355" t="s">
        <v>8</v>
      </c>
      <c r="P355">
        <f t="shared" si="924"/>
        <v>-0.49541284403669672</v>
      </c>
      <c r="Q355">
        <f t="shared" si="925"/>
        <v>-485536.59429357742</v>
      </c>
      <c r="R355">
        <f t="shared" si="926"/>
        <v>-4781462.8140954878</v>
      </c>
      <c r="S355">
        <f t="shared" si="927"/>
        <v>-47.814628140954881</v>
      </c>
      <c r="T355">
        <f t="shared" si="928"/>
        <v>-4.7814628140954878E-2</v>
      </c>
    </row>
    <row r="356" spans="1:20" x14ac:dyDescent="0.25">
      <c r="A356" s="5">
        <v>44228</v>
      </c>
      <c r="B356">
        <v>0.90100000000000002</v>
      </c>
      <c r="C356">
        <v>0.98</v>
      </c>
      <c r="D356">
        <v>0.66300000000000003</v>
      </c>
      <c r="E356">
        <v>0.77</v>
      </c>
      <c r="F356">
        <v>1287949.827</v>
      </c>
      <c r="G356">
        <v>0</v>
      </c>
      <c r="L356" t="s">
        <v>7</v>
      </c>
      <c r="M356" t="s">
        <v>7</v>
      </c>
      <c r="N356" t="s">
        <v>7</v>
      </c>
      <c r="P356">
        <f t="shared" si="924"/>
        <v>-0.32492113564668768</v>
      </c>
      <c r="Q356">
        <f t="shared" si="925"/>
        <v>-418482.12044479494</v>
      </c>
      <c r="R356">
        <f t="shared" si="926"/>
        <v>-4295926.2198019102</v>
      </c>
      <c r="S356">
        <f t="shared" si="927"/>
        <v>-42.959262198019104</v>
      </c>
      <c r="T356">
        <f t="shared" si="928"/>
        <v>-4.2959262198019106E-2</v>
      </c>
    </row>
    <row r="357" spans="1:20" x14ac:dyDescent="0.25">
      <c r="A357" s="5">
        <v>44227</v>
      </c>
      <c r="B357">
        <v>0.83099999999999996</v>
      </c>
      <c r="C357">
        <v>1.07</v>
      </c>
      <c r="D357">
        <v>0.8</v>
      </c>
      <c r="E357">
        <v>0.90500000000000003</v>
      </c>
      <c r="F357">
        <v>824165.15</v>
      </c>
      <c r="G357">
        <v>0</v>
      </c>
      <c r="L357" t="s">
        <v>8</v>
      </c>
      <c r="M357" t="s">
        <v>8</v>
      </c>
      <c r="N357" t="s">
        <v>8</v>
      </c>
      <c r="P357">
        <f t="shared" si="924"/>
        <v>-0.2222222222222224</v>
      </c>
      <c r="Q357">
        <f t="shared" si="925"/>
        <v>-183147.81111111125</v>
      </c>
      <c r="R357">
        <f t="shared" si="926"/>
        <v>-3877444.0993571156</v>
      </c>
      <c r="S357">
        <f t="shared" si="927"/>
        <v>-38.774440993571154</v>
      </c>
      <c r="T357">
        <f t="shared" si="928"/>
        <v>-3.8774440993571156E-2</v>
      </c>
    </row>
    <row r="358" spans="1:20" x14ac:dyDescent="0.25">
      <c r="A358" s="5">
        <v>44226</v>
      </c>
      <c r="B358">
        <v>0.81699999999999995</v>
      </c>
      <c r="C358">
        <v>0.94499999999999995</v>
      </c>
      <c r="D358">
        <v>0.76600000000000001</v>
      </c>
      <c r="E358">
        <v>0.83</v>
      </c>
      <c r="F358">
        <v>376279.15700000001</v>
      </c>
      <c r="G358">
        <v>0</v>
      </c>
      <c r="L358" t="s">
        <v>8</v>
      </c>
      <c r="M358" t="s">
        <v>8</v>
      </c>
      <c r="N358" t="s">
        <v>8</v>
      </c>
      <c r="P358">
        <f t="shared" si="924"/>
        <v>-0.2849162011173188</v>
      </c>
      <c r="Q358">
        <f t="shared" si="925"/>
        <v>-107208.02797206718</v>
      </c>
      <c r="R358">
        <f t="shared" si="926"/>
        <v>-3694296.2882460044</v>
      </c>
      <c r="S358">
        <f t="shared" si="927"/>
        <v>-36.942962882460044</v>
      </c>
      <c r="T358">
        <f t="shared" si="928"/>
        <v>-3.6942962882460045E-2</v>
      </c>
    </row>
    <row r="359" spans="1:20" x14ac:dyDescent="0.25">
      <c r="A359" s="5">
        <v>44225</v>
      </c>
      <c r="B359">
        <v>0.876</v>
      </c>
      <c r="C359">
        <v>0.91200000000000003</v>
      </c>
      <c r="D359">
        <v>0.75</v>
      </c>
      <c r="E359">
        <v>0.81299999999999994</v>
      </c>
      <c r="F359">
        <v>311207.65999999997</v>
      </c>
      <c r="G359">
        <v>0</v>
      </c>
      <c r="L359" t="s">
        <v>7</v>
      </c>
      <c r="M359" t="s">
        <v>7</v>
      </c>
      <c r="N359" t="s">
        <v>8</v>
      </c>
      <c r="P359">
        <f t="shared" si="924"/>
        <v>-0.22222222222222307</v>
      </c>
      <c r="Q359">
        <f t="shared" si="925"/>
        <v>-69157.257777778039</v>
      </c>
      <c r="R359">
        <f t="shared" si="926"/>
        <v>-3587088.2602739371</v>
      </c>
      <c r="S359">
        <f t="shared" si="927"/>
        <v>-35.870882602739371</v>
      </c>
      <c r="T359">
        <f t="shared" si="928"/>
        <v>-3.5870882602739372E-2</v>
      </c>
    </row>
    <row r="360" spans="1:20" x14ac:dyDescent="0.25">
      <c r="A360" s="5">
        <v>44224</v>
      </c>
      <c r="B360">
        <v>0.72299999999999998</v>
      </c>
      <c r="C360">
        <v>0.96899999999999997</v>
      </c>
      <c r="D360">
        <v>0.69299999999999995</v>
      </c>
      <c r="E360">
        <v>0.88300000000000001</v>
      </c>
      <c r="F360">
        <v>668816.16799999995</v>
      </c>
      <c r="G360">
        <v>0</v>
      </c>
      <c r="L360" t="s">
        <v>8</v>
      </c>
      <c r="M360" t="s">
        <v>8</v>
      </c>
      <c r="N360" t="s">
        <v>8</v>
      </c>
      <c r="P360">
        <f t="shared" si="924"/>
        <v>0.37681159420289884</v>
      </c>
      <c r="Q360">
        <f t="shared" si="925"/>
        <v>252017.6864927538</v>
      </c>
      <c r="R360">
        <f t="shared" si="926"/>
        <v>-3517931.0024961592</v>
      </c>
      <c r="S360">
        <f t="shared" si="927"/>
        <v>-35.179310024961595</v>
      </c>
      <c r="T360">
        <f t="shared" si="928"/>
        <v>-3.5179310024961594E-2</v>
      </c>
    </row>
    <row r="361" spans="1:20" x14ac:dyDescent="0.25">
      <c r="A361" s="5">
        <v>44223</v>
      </c>
      <c r="B361">
        <v>0.81200000000000006</v>
      </c>
      <c r="C361">
        <v>0.81200000000000006</v>
      </c>
      <c r="D361">
        <v>0.65200000000000002</v>
      </c>
      <c r="E361">
        <v>0.72399999999999998</v>
      </c>
      <c r="F361">
        <v>293560.527</v>
      </c>
      <c r="G361">
        <v>0</v>
      </c>
      <c r="L361" t="s">
        <v>7</v>
      </c>
      <c r="M361" t="s">
        <v>7</v>
      </c>
      <c r="N361" t="s">
        <v>7</v>
      </c>
      <c r="P361">
        <f t="shared" si="924"/>
        <v>-0.10000000000000077</v>
      </c>
      <c r="Q361">
        <f t="shared" si="925"/>
        <v>-29356.052700000226</v>
      </c>
      <c r="R361">
        <f t="shared" si="926"/>
        <v>-3769948.6889889129</v>
      </c>
      <c r="S361">
        <f t="shared" si="927"/>
        <v>-37.69948688988913</v>
      </c>
      <c r="T361">
        <f t="shared" si="928"/>
        <v>-3.7699486889889132E-2</v>
      </c>
    </row>
    <row r="362" spans="1:20" x14ac:dyDescent="0.25">
      <c r="A362" s="5">
        <v>44222</v>
      </c>
      <c r="B362">
        <v>0.86799999999999999</v>
      </c>
      <c r="C362">
        <v>0.92200000000000004</v>
      </c>
      <c r="D362">
        <v>0.70499999999999996</v>
      </c>
      <c r="E362">
        <v>0.81100000000000005</v>
      </c>
      <c r="F362">
        <v>322616.114</v>
      </c>
      <c r="G362">
        <v>0</v>
      </c>
      <c r="L362" t="s">
        <v>7</v>
      </c>
      <c r="M362" t="s">
        <v>7</v>
      </c>
      <c r="N362" t="s">
        <v>8</v>
      </c>
      <c r="P362">
        <f t="shared" si="924"/>
        <v>-2.3041474654377381E-2</v>
      </c>
      <c r="Q362">
        <f t="shared" si="925"/>
        <v>-7433.5510138247237</v>
      </c>
      <c r="R362">
        <f t="shared" si="926"/>
        <v>-3740592.6362889125</v>
      </c>
      <c r="S362">
        <f t="shared" si="927"/>
        <v>-37.405926362889126</v>
      </c>
      <c r="T362">
        <f t="shared" si="928"/>
        <v>-3.7405926362889128E-2</v>
      </c>
    </row>
    <row r="363" spans="1:20" x14ac:dyDescent="0.25">
      <c r="A363" s="5">
        <v>44221</v>
      </c>
      <c r="B363">
        <v>0.89200000000000002</v>
      </c>
      <c r="C363">
        <v>0.99</v>
      </c>
      <c r="D363">
        <v>0.81</v>
      </c>
      <c r="E363">
        <v>0.85699999999999998</v>
      </c>
      <c r="F363">
        <v>474127.098</v>
      </c>
      <c r="G363">
        <v>0</v>
      </c>
      <c r="L363" t="s">
        <v>8</v>
      </c>
      <c r="M363" t="s">
        <v>8</v>
      </c>
      <c r="N363" t="s">
        <v>8</v>
      </c>
      <c r="P363">
        <f t="shared" si="924"/>
        <v>-0.47777777777777836</v>
      </c>
      <c r="Q363">
        <f t="shared" si="925"/>
        <v>-226527.39126666693</v>
      </c>
      <c r="R363">
        <f t="shared" si="926"/>
        <v>-3733159.085275088</v>
      </c>
      <c r="S363">
        <f t="shared" si="927"/>
        <v>-37.331590852750878</v>
      </c>
      <c r="T363">
        <f t="shared" si="928"/>
        <v>-3.7331590852750882E-2</v>
      </c>
    </row>
    <row r="364" spans="1:20" x14ac:dyDescent="0.25">
      <c r="A364" s="5">
        <v>44220</v>
      </c>
      <c r="B364">
        <v>0.78900000000000003</v>
      </c>
      <c r="C364">
        <v>0.89200000000000002</v>
      </c>
      <c r="D364">
        <v>0.78</v>
      </c>
      <c r="E364">
        <v>0.89</v>
      </c>
      <c r="F364">
        <v>302403.97899999999</v>
      </c>
      <c r="G364">
        <v>0</v>
      </c>
      <c r="L364" t="s">
        <v>8</v>
      </c>
      <c r="M364" t="s">
        <v>8</v>
      </c>
      <c r="N364" t="s">
        <v>8</v>
      </c>
      <c r="P364">
        <f t="shared" si="924"/>
        <v>0.9642857142857143</v>
      </c>
      <c r="Q364">
        <f t="shared" si="925"/>
        <v>291603.83689285716</v>
      </c>
      <c r="R364">
        <f t="shared" si="926"/>
        <v>-3506631.6940084212</v>
      </c>
      <c r="S364">
        <f t="shared" si="927"/>
        <v>-35.066316940084214</v>
      </c>
      <c r="T364">
        <f t="shared" si="928"/>
        <v>-3.5066316940084212E-2</v>
      </c>
    </row>
    <row r="365" spans="1:20" x14ac:dyDescent="0.25">
      <c r="A365" s="5">
        <v>44219</v>
      </c>
      <c r="B365">
        <v>0.75700000000000001</v>
      </c>
      <c r="C365">
        <v>0.84399999999999997</v>
      </c>
      <c r="D365">
        <v>0.72399999999999998</v>
      </c>
      <c r="E365">
        <v>0.78900000000000003</v>
      </c>
      <c r="F365">
        <v>277930.09000000003</v>
      </c>
      <c r="G365">
        <v>0</v>
      </c>
      <c r="L365" t="s">
        <v>8</v>
      </c>
      <c r="M365" t="s">
        <v>8</v>
      </c>
      <c r="N365" t="s">
        <v>8</v>
      </c>
      <c r="P365">
        <f t="shared" si="924"/>
        <v>8.3333333333334342E-2</v>
      </c>
      <c r="Q365">
        <f t="shared" si="925"/>
        <v>23160.840833333616</v>
      </c>
      <c r="R365">
        <f t="shared" si="926"/>
        <v>-3798235.5309012784</v>
      </c>
      <c r="S365">
        <f t="shared" si="927"/>
        <v>-37.982355309012782</v>
      </c>
      <c r="T365">
        <f t="shared" si="928"/>
        <v>-3.7982355309012783E-2</v>
      </c>
    </row>
    <row r="366" spans="1:20" x14ac:dyDescent="0.25">
      <c r="A366" s="5">
        <v>44218</v>
      </c>
      <c r="B366">
        <v>0.64400000000000002</v>
      </c>
      <c r="C366">
        <v>0.83099999999999996</v>
      </c>
      <c r="D366">
        <v>0.6</v>
      </c>
      <c r="E366">
        <v>0.75800000000000001</v>
      </c>
      <c r="F366">
        <v>473201.60800000001</v>
      </c>
      <c r="G366">
        <v>0</v>
      </c>
      <c r="L366" t="s">
        <v>7</v>
      </c>
      <c r="M366" t="s">
        <v>8</v>
      </c>
      <c r="N366" t="s">
        <v>8</v>
      </c>
      <c r="P366">
        <f t="shared" si="924"/>
        <v>0.36796536796536833</v>
      </c>
      <c r="Q366">
        <f t="shared" si="925"/>
        <v>174121.80380952399</v>
      </c>
      <c r="R366">
        <f t="shared" si="926"/>
        <v>-3821396.3717346122</v>
      </c>
      <c r="S366">
        <f t="shared" si="927"/>
        <v>-38.213963717346118</v>
      </c>
      <c r="T366">
        <f t="shared" si="928"/>
        <v>-3.8213963717346117E-2</v>
      </c>
    </row>
    <row r="367" spans="1:20" x14ac:dyDescent="0.25">
      <c r="A367" s="5">
        <v>44217</v>
      </c>
      <c r="B367">
        <v>0.73</v>
      </c>
      <c r="C367">
        <v>0.755</v>
      </c>
      <c r="D367">
        <v>0.61299999999999999</v>
      </c>
      <c r="E367">
        <v>0.64800000000000002</v>
      </c>
      <c r="F367">
        <v>524083.05499999999</v>
      </c>
      <c r="G367">
        <v>0</v>
      </c>
      <c r="L367" t="s">
        <v>7</v>
      </c>
      <c r="M367" t="s">
        <v>7</v>
      </c>
      <c r="N367" t="s">
        <v>7</v>
      </c>
      <c r="P367">
        <f t="shared" si="924"/>
        <v>-0.50704225352112642</v>
      </c>
      <c r="Q367">
        <f t="shared" si="925"/>
        <v>-265732.25323943642</v>
      </c>
      <c r="R367">
        <f t="shared" si="926"/>
        <v>-3995518.1755441362</v>
      </c>
      <c r="S367">
        <f t="shared" si="927"/>
        <v>-39.955181755441359</v>
      </c>
      <c r="T367">
        <f t="shared" si="928"/>
        <v>-3.9955181755441362E-2</v>
      </c>
    </row>
    <row r="368" spans="1:20" x14ac:dyDescent="0.25">
      <c r="A368" s="5">
        <v>44216</v>
      </c>
      <c r="B368">
        <v>0.72</v>
      </c>
      <c r="C368">
        <v>0.74</v>
      </c>
      <c r="D368">
        <v>0.63</v>
      </c>
      <c r="E368">
        <v>0.73</v>
      </c>
      <c r="F368">
        <v>467308.05800000002</v>
      </c>
      <c r="G368">
        <v>0</v>
      </c>
      <c r="L368" t="s">
        <v>7</v>
      </c>
      <c r="M368" t="s">
        <v>7</v>
      </c>
      <c r="N368" t="s">
        <v>7</v>
      </c>
      <c r="P368">
        <f t="shared" si="924"/>
        <v>0.81818181818181801</v>
      </c>
      <c r="Q368">
        <f t="shared" si="925"/>
        <v>382342.95654545451</v>
      </c>
      <c r="R368">
        <f t="shared" si="926"/>
        <v>-3729785.9223046997</v>
      </c>
      <c r="S368">
        <f t="shared" si="927"/>
        <v>-37.297859223046999</v>
      </c>
      <c r="T368">
        <f t="shared" si="928"/>
        <v>-3.7297859223047E-2</v>
      </c>
    </row>
    <row r="369" spans="1:20" x14ac:dyDescent="0.25">
      <c r="A369" s="5">
        <v>44215</v>
      </c>
      <c r="B369">
        <v>0.878</v>
      </c>
      <c r="C369">
        <v>0.89500000000000002</v>
      </c>
      <c r="D369">
        <v>0.72199999999999998</v>
      </c>
      <c r="E369">
        <v>0.72199999999999998</v>
      </c>
      <c r="F369">
        <v>588888.33900000004</v>
      </c>
      <c r="G369">
        <v>0</v>
      </c>
      <c r="L369" t="s">
        <v>7</v>
      </c>
      <c r="M369" t="s">
        <v>7</v>
      </c>
      <c r="N369" t="s">
        <v>7</v>
      </c>
      <c r="P369">
        <f t="shared" si="924"/>
        <v>-1</v>
      </c>
      <c r="Q369">
        <f t="shared" si="925"/>
        <v>-588888.33900000004</v>
      </c>
      <c r="R369">
        <f t="shared" si="926"/>
        <v>-4112128.8788501541</v>
      </c>
      <c r="S369">
        <f t="shared" si="927"/>
        <v>-41.121288788501538</v>
      </c>
      <c r="T369">
        <f t="shared" si="928"/>
        <v>-4.1121288788501541E-2</v>
      </c>
    </row>
    <row r="370" spans="1:20" x14ac:dyDescent="0.25">
      <c r="A370" s="5">
        <v>44214</v>
      </c>
      <c r="B370">
        <v>0.78200000000000003</v>
      </c>
      <c r="C370">
        <v>1.1000000000000001</v>
      </c>
      <c r="D370">
        <v>0.73</v>
      </c>
      <c r="E370">
        <v>0.872</v>
      </c>
      <c r="F370">
        <v>1830253.22</v>
      </c>
      <c r="G370">
        <v>0</v>
      </c>
      <c r="L370" t="s">
        <v>8</v>
      </c>
      <c r="M370" t="s">
        <v>8</v>
      </c>
      <c r="N370" t="s">
        <v>8</v>
      </c>
      <c r="P370">
        <f t="shared" si="924"/>
        <v>-0.23243243243243258</v>
      </c>
      <c r="Q370">
        <f t="shared" si="925"/>
        <v>-425410.20789189218</v>
      </c>
      <c r="R370">
        <f t="shared" si="926"/>
        <v>-3523240.539850154</v>
      </c>
      <c r="S370">
        <f t="shared" si="927"/>
        <v>-35.232405398501541</v>
      </c>
      <c r="T370">
        <f t="shared" si="928"/>
        <v>-3.5232405398501539E-2</v>
      </c>
    </row>
    <row r="371" spans="1:20" x14ac:dyDescent="0.25">
      <c r="A371" s="5">
        <v>44213</v>
      </c>
      <c r="B371">
        <v>0.54300000000000004</v>
      </c>
      <c r="C371">
        <v>0.84799999999999998</v>
      </c>
      <c r="D371">
        <v>0.52</v>
      </c>
      <c r="E371">
        <v>0.77400000000000002</v>
      </c>
      <c r="F371">
        <v>1006692.755</v>
      </c>
      <c r="G371">
        <v>0</v>
      </c>
      <c r="L371" t="s">
        <v>8</v>
      </c>
      <c r="M371" t="s">
        <v>8</v>
      </c>
      <c r="N371" t="s">
        <v>8</v>
      </c>
      <c r="P371">
        <f t="shared" si="924"/>
        <v>0.54878048780487831</v>
      </c>
      <c r="Q371">
        <f t="shared" si="925"/>
        <v>552453.34115853684</v>
      </c>
      <c r="R371">
        <f t="shared" si="926"/>
        <v>-3097830.3319582618</v>
      </c>
      <c r="S371">
        <f t="shared" si="927"/>
        <v>-30.978303319582619</v>
      </c>
      <c r="T371">
        <f t="shared" si="928"/>
        <v>-3.0978303319582619E-2</v>
      </c>
    </row>
    <row r="372" spans="1:20" x14ac:dyDescent="0.25">
      <c r="A372" s="5">
        <v>44212</v>
      </c>
      <c r="B372">
        <v>0.52600000000000002</v>
      </c>
      <c r="C372">
        <v>0.629</v>
      </c>
      <c r="D372">
        <v>0.51300000000000001</v>
      </c>
      <c r="E372">
        <v>0.54300000000000004</v>
      </c>
      <c r="F372">
        <v>1188074.919</v>
      </c>
      <c r="G372">
        <v>0</v>
      </c>
      <c r="L372" t="s">
        <v>8</v>
      </c>
      <c r="M372" t="s">
        <v>8</v>
      </c>
      <c r="N372" t="s">
        <v>8</v>
      </c>
      <c r="P372">
        <f t="shared" si="924"/>
        <v>-0.48275862068965469</v>
      </c>
      <c r="Q372">
        <f t="shared" si="925"/>
        <v>-573553.40917241317</v>
      </c>
      <c r="R372">
        <f t="shared" si="926"/>
        <v>-3650283.6731167985</v>
      </c>
      <c r="S372">
        <f t="shared" si="927"/>
        <v>-36.502836731167989</v>
      </c>
      <c r="T372">
        <f t="shared" si="928"/>
        <v>-3.6502836731167991E-2</v>
      </c>
    </row>
    <row r="373" spans="1:20" x14ac:dyDescent="0.25">
      <c r="A373" s="5">
        <v>44211</v>
      </c>
      <c r="B373">
        <v>0.39500000000000002</v>
      </c>
      <c r="C373">
        <v>0.55500000000000005</v>
      </c>
      <c r="D373">
        <v>0.38300000000000001</v>
      </c>
      <c r="E373">
        <v>0.52300000000000002</v>
      </c>
      <c r="F373">
        <v>904064.76699999999</v>
      </c>
      <c r="G373">
        <v>0</v>
      </c>
      <c r="L373" t="s">
        <v>8</v>
      </c>
      <c r="M373" t="s">
        <v>8</v>
      </c>
      <c r="N373" t="s">
        <v>8</v>
      </c>
      <c r="P373">
        <f t="shared" si="924"/>
        <v>0.62790697674418583</v>
      </c>
      <c r="Q373">
        <f t="shared" si="925"/>
        <v>567668.57462790678</v>
      </c>
      <c r="R373">
        <f t="shared" si="926"/>
        <v>-3076730.2639443856</v>
      </c>
      <c r="S373">
        <f t="shared" si="927"/>
        <v>-30.767302639443855</v>
      </c>
      <c r="T373">
        <f t="shared" si="928"/>
        <v>-3.0767302639443855E-2</v>
      </c>
    </row>
    <row r="374" spans="1:20" x14ac:dyDescent="0.25">
      <c r="A374" s="5">
        <v>44210</v>
      </c>
      <c r="B374">
        <v>0.40799999999999997</v>
      </c>
      <c r="C374">
        <v>0.42199999999999999</v>
      </c>
      <c r="D374">
        <v>0.38600000000000001</v>
      </c>
      <c r="E374">
        <v>0.39300000000000002</v>
      </c>
      <c r="F374">
        <v>162762.35699999999</v>
      </c>
      <c r="G374">
        <v>0</v>
      </c>
      <c r="L374" t="s">
        <v>8</v>
      </c>
      <c r="M374" t="s">
        <v>8</v>
      </c>
      <c r="N374" t="s">
        <v>7</v>
      </c>
      <c r="P374">
        <f t="shared" si="924"/>
        <v>-0.61111111111111049</v>
      </c>
      <c r="Q374">
        <f t="shared" si="925"/>
        <v>-99465.884833333228</v>
      </c>
      <c r="R374">
        <f t="shared" si="926"/>
        <v>-3644398.8385722921</v>
      </c>
      <c r="S374">
        <f t="shared" si="927"/>
        <v>-36.443988385722925</v>
      </c>
      <c r="T374">
        <f t="shared" si="928"/>
        <v>-3.6443988385722922E-2</v>
      </c>
    </row>
    <row r="375" spans="1:20" x14ac:dyDescent="0.25">
      <c r="A375" s="5">
        <v>44209</v>
      </c>
      <c r="B375">
        <v>0.38200000000000001</v>
      </c>
      <c r="C375">
        <v>0.40899999999999997</v>
      </c>
      <c r="D375">
        <v>0.373</v>
      </c>
      <c r="E375">
        <v>0.40400000000000003</v>
      </c>
      <c r="F375">
        <v>142567.432</v>
      </c>
      <c r="G375">
        <v>0</v>
      </c>
      <c r="L375" t="s">
        <v>8</v>
      </c>
      <c r="M375" t="s">
        <v>7</v>
      </c>
      <c r="N375" t="s">
        <v>7</v>
      </c>
      <c r="P375">
        <f t="shared" si="924"/>
        <v>0.72222222222222487</v>
      </c>
      <c r="Q375">
        <f t="shared" si="925"/>
        <v>102965.36755555593</v>
      </c>
      <c r="R375">
        <f t="shared" si="926"/>
        <v>-3544932.953738959</v>
      </c>
      <c r="S375">
        <f t="shared" si="927"/>
        <v>-35.449329537389588</v>
      </c>
      <c r="T375">
        <f t="shared" si="928"/>
        <v>-3.5449329537389586E-2</v>
      </c>
    </row>
    <row r="376" spans="1:20" x14ac:dyDescent="0.25">
      <c r="A376" s="5">
        <v>44208</v>
      </c>
      <c r="B376">
        <v>0.38600000000000001</v>
      </c>
      <c r="C376">
        <v>0.4</v>
      </c>
      <c r="D376">
        <v>0.36799999999999999</v>
      </c>
      <c r="E376">
        <v>0.38</v>
      </c>
      <c r="F376">
        <v>134049.698</v>
      </c>
      <c r="G376">
        <v>0</v>
      </c>
      <c r="L376" t="s">
        <v>8</v>
      </c>
      <c r="M376" t="s">
        <v>7</v>
      </c>
      <c r="N376" t="s">
        <v>7</v>
      </c>
      <c r="P376">
        <f t="shared" si="924"/>
        <v>-0.25</v>
      </c>
      <c r="Q376">
        <f t="shared" si="925"/>
        <v>-33512.424500000001</v>
      </c>
      <c r="R376">
        <f t="shared" si="926"/>
        <v>-3647898.3212945149</v>
      </c>
      <c r="S376">
        <f t="shared" si="927"/>
        <v>-36.478983212945153</v>
      </c>
      <c r="T376">
        <f t="shared" si="928"/>
        <v>-3.6478983212945154E-2</v>
      </c>
    </row>
    <row r="377" spans="1:20" x14ac:dyDescent="0.25">
      <c r="A377" s="5">
        <v>44207</v>
      </c>
      <c r="B377">
        <v>0.436</v>
      </c>
      <c r="C377">
        <v>0.443</v>
      </c>
      <c r="D377">
        <v>0.34499999999999997</v>
      </c>
      <c r="E377">
        <v>0.38800000000000001</v>
      </c>
      <c r="F377">
        <v>158157.32199999999</v>
      </c>
      <c r="G377">
        <v>0</v>
      </c>
      <c r="L377" t="s">
        <v>7</v>
      </c>
      <c r="M377" t="s">
        <v>7</v>
      </c>
      <c r="N377" t="s">
        <v>7</v>
      </c>
      <c r="P377">
        <f t="shared" si="924"/>
        <v>-0.12244897959183623</v>
      </c>
      <c r="Q377">
        <f t="shared" si="925"/>
        <v>-19366.202693877469</v>
      </c>
      <c r="R377">
        <f t="shared" si="926"/>
        <v>-3614385.8967945147</v>
      </c>
      <c r="S377">
        <f t="shared" si="927"/>
        <v>-36.14385896794515</v>
      </c>
      <c r="T377">
        <f t="shared" si="928"/>
        <v>-3.6143858967945149E-2</v>
      </c>
    </row>
    <row r="378" spans="1:20" x14ac:dyDescent="0.25">
      <c r="A378" s="5">
        <v>44206</v>
      </c>
      <c r="B378">
        <v>0.46</v>
      </c>
      <c r="C378">
        <v>0.49099999999999999</v>
      </c>
      <c r="D378">
        <v>0.40899999999999997</v>
      </c>
      <c r="E378">
        <v>0.435</v>
      </c>
      <c r="F378">
        <v>219750.75099999999</v>
      </c>
      <c r="G378">
        <v>0</v>
      </c>
      <c r="L378" t="s">
        <v>8</v>
      </c>
      <c r="M378" t="s">
        <v>7</v>
      </c>
      <c r="N378" t="s">
        <v>8</v>
      </c>
      <c r="P378">
        <f t="shared" si="924"/>
        <v>-0.36585365853658491</v>
      </c>
      <c r="Q378">
        <f t="shared" si="925"/>
        <v>-80396.616219512085</v>
      </c>
      <c r="R378">
        <f t="shared" si="926"/>
        <v>-3595019.6941006375</v>
      </c>
      <c r="S378">
        <f t="shared" si="927"/>
        <v>-35.950196941006375</v>
      </c>
      <c r="T378">
        <f t="shared" si="928"/>
        <v>-3.5950196941006374E-2</v>
      </c>
    </row>
    <row r="379" spans="1:20" x14ac:dyDescent="0.25">
      <c r="A379" s="5">
        <v>44205</v>
      </c>
      <c r="B379">
        <v>0.41099999999999998</v>
      </c>
      <c r="C379">
        <v>0.48399999999999999</v>
      </c>
      <c r="D379">
        <v>0.40799999999999997</v>
      </c>
      <c r="E379">
        <v>0.45400000000000001</v>
      </c>
      <c r="F379">
        <v>283227.70299999998</v>
      </c>
      <c r="G379">
        <v>0</v>
      </c>
      <c r="L379" t="s">
        <v>8</v>
      </c>
      <c r="M379" t="s">
        <v>8</v>
      </c>
      <c r="N379" t="s">
        <v>8</v>
      </c>
      <c r="P379">
        <f t="shared" si="924"/>
        <v>0.21052631578947456</v>
      </c>
      <c r="Q379">
        <f t="shared" si="925"/>
        <v>59626.884842105508</v>
      </c>
      <c r="R379">
        <f t="shared" si="926"/>
        <v>-3514623.0778811253</v>
      </c>
      <c r="S379">
        <f t="shared" si="927"/>
        <v>-35.146230778811251</v>
      </c>
      <c r="T379">
        <f t="shared" si="928"/>
        <v>-3.5146230778811252E-2</v>
      </c>
    </row>
    <row r="380" spans="1:20" x14ac:dyDescent="0.25">
      <c r="A380" s="5">
        <v>44204</v>
      </c>
      <c r="B380">
        <v>0.44700000000000001</v>
      </c>
      <c r="C380">
        <v>0.46600000000000003</v>
      </c>
      <c r="D380">
        <v>0.4</v>
      </c>
      <c r="E380">
        <v>0.41299999999999998</v>
      </c>
      <c r="F380">
        <v>183559.08900000001</v>
      </c>
      <c r="G380">
        <v>0</v>
      </c>
      <c r="L380" t="s">
        <v>7</v>
      </c>
      <c r="M380" t="s">
        <v>7</v>
      </c>
      <c r="N380" t="s">
        <v>8</v>
      </c>
      <c r="P380">
        <f t="shared" si="924"/>
        <v>-0.60606060606060741</v>
      </c>
      <c r="Q380">
        <f t="shared" si="925"/>
        <v>-111247.93272727299</v>
      </c>
      <c r="R380">
        <f t="shared" si="926"/>
        <v>-3574249.9627232309</v>
      </c>
      <c r="S380">
        <f t="shared" si="927"/>
        <v>-35.742499627232313</v>
      </c>
      <c r="T380">
        <f t="shared" si="928"/>
        <v>-3.5742499627232312E-2</v>
      </c>
    </row>
    <row r="381" spans="1:20" x14ac:dyDescent="0.25">
      <c r="A381" s="5">
        <v>44203</v>
      </c>
      <c r="B381">
        <v>0.443</v>
      </c>
      <c r="C381">
        <v>0.51</v>
      </c>
      <c r="D381">
        <v>0.41799999999999998</v>
      </c>
      <c r="E381">
        <v>0.45600000000000002</v>
      </c>
      <c r="F381">
        <v>289114.09499999997</v>
      </c>
      <c r="G381">
        <v>0</v>
      </c>
      <c r="L381" t="s">
        <v>8</v>
      </c>
      <c r="M381" t="s">
        <v>8</v>
      </c>
      <c r="N381" t="s">
        <v>8</v>
      </c>
      <c r="P381">
        <f t="shared" ref="P381:P444" si="929">IF(C381=D381,0,((E381-D381)-(C381-E381))/(C381-D381))</f>
        <v>-0.17391304347826037</v>
      </c>
      <c r="Q381">
        <f t="shared" ref="Q381:Q444" si="930">F381*P381</f>
        <v>-50280.712173912892</v>
      </c>
      <c r="R381">
        <f t="shared" ref="R381:R444" si="931">R382+Q381</f>
        <v>-3463002.0299959579</v>
      </c>
      <c r="S381">
        <f t="shared" ref="S381:S444" si="932">R381/100000</f>
        <v>-34.630020299959575</v>
      </c>
      <c r="T381">
        <f t="shared" ref="T381:T444" si="933">S381/1000</f>
        <v>-3.4630020299959575E-2</v>
      </c>
    </row>
    <row r="382" spans="1:20" x14ac:dyDescent="0.25">
      <c r="A382" s="5">
        <v>44202</v>
      </c>
      <c r="B382">
        <v>0.4</v>
      </c>
      <c r="C382">
        <v>0.46899999999999997</v>
      </c>
      <c r="D382">
        <v>0.39300000000000002</v>
      </c>
      <c r="E382">
        <v>0.441</v>
      </c>
      <c r="F382">
        <v>224305.33100000001</v>
      </c>
      <c r="G382">
        <v>0</v>
      </c>
      <c r="L382" t="s">
        <v>8</v>
      </c>
      <c r="M382" t="s">
        <v>8</v>
      </c>
      <c r="N382" t="s">
        <v>8</v>
      </c>
      <c r="P382">
        <f t="shared" si="929"/>
        <v>0.26315789473684248</v>
      </c>
      <c r="Q382">
        <f t="shared" si="930"/>
        <v>59027.718684210609</v>
      </c>
      <c r="R382">
        <f t="shared" si="931"/>
        <v>-3412721.3178220452</v>
      </c>
      <c r="S382">
        <f t="shared" si="932"/>
        <v>-34.127213178220451</v>
      </c>
      <c r="T382">
        <f t="shared" si="933"/>
        <v>-3.4127213178220449E-2</v>
      </c>
    </row>
    <row r="383" spans="1:20" x14ac:dyDescent="0.25">
      <c r="A383" s="5">
        <v>44201</v>
      </c>
      <c r="B383">
        <v>0.41299999999999998</v>
      </c>
      <c r="C383">
        <v>0.434</v>
      </c>
      <c r="D383">
        <v>0.38200000000000001</v>
      </c>
      <c r="E383">
        <v>0.39700000000000002</v>
      </c>
      <c r="F383">
        <v>116284.326</v>
      </c>
      <c r="G383">
        <v>0</v>
      </c>
      <c r="L383" t="s">
        <v>8</v>
      </c>
      <c r="M383" t="s">
        <v>7</v>
      </c>
      <c r="N383" t="s">
        <v>8</v>
      </c>
      <c r="P383">
        <f t="shared" si="929"/>
        <v>-0.42307692307692246</v>
      </c>
      <c r="Q383">
        <f t="shared" si="930"/>
        <v>-49197.214846153773</v>
      </c>
      <c r="R383">
        <f t="shared" si="931"/>
        <v>-3471749.0365062556</v>
      </c>
      <c r="S383">
        <f t="shared" si="932"/>
        <v>-34.717490365062559</v>
      </c>
      <c r="T383">
        <f t="shared" si="933"/>
        <v>-3.471749036506256E-2</v>
      </c>
    </row>
    <row r="384" spans="1:20" x14ac:dyDescent="0.25">
      <c r="A384" s="5">
        <v>44200</v>
      </c>
      <c r="B384">
        <v>0.40100000000000002</v>
      </c>
      <c r="C384">
        <v>0.45</v>
      </c>
      <c r="D384">
        <v>0.375</v>
      </c>
      <c r="E384">
        <v>0.40300000000000002</v>
      </c>
      <c r="F384">
        <v>144428.78</v>
      </c>
      <c r="G384">
        <v>0</v>
      </c>
      <c r="L384" t="s">
        <v>7</v>
      </c>
      <c r="M384" t="s">
        <v>7</v>
      </c>
      <c r="N384" t="s">
        <v>8</v>
      </c>
      <c r="P384">
        <f t="shared" si="929"/>
        <v>-0.2533333333333328</v>
      </c>
      <c r="Q384">
        <f t="shared" si="930"/>
        <v>-36588.624266666586</v>
      </c>
      <c r="R384">
        <f t="shared" si="931"/>
        <v>-3422551.8216601019</v>
      </c>
      <c r="S384">
        <f t="shared" si="932"/>
        <v>-34.225518216601017</v>
      </c>
      <c r="T384">
        <f t="shared" si="933"/>
        <v>-3.4225518216601018E-2</v>
      </c>
    </row>
    <row r="385" spans="1:20" x14ac:dyDescent="0.25">
      <c r="A385" s="5">
        <v>44199</v>
      </c>
      <c r="B385">
        <v>0.437</v>
      </c>
      <c r="C385">
        <v>0.45300000000000001</v>
      </c>
      <c r="D385">
        <v>0.38700000000000001</v>
      </c>
      <c r="E385">
        <v>0.39400000000000002</v>
      </c>
      <c r="F385">
        <v>131507.247</v>
      </c>
      <c r="G385">
        <v>0</v>
      </c>
      <c r="L385" t="s">
        <v>7</v>
      </c>
      <c r="M385" t="s">
        <v>7</v>
      </c>
      <c r="N385" t="s">
        <v>8</v>
      </c>
      <c r="P385">
        <f t="shared" si="929"/>
        <v>-0.78787878787878773</v>
      </c>
      <c r="Q385">
        <f t="shared" si="930"/>
        <v>-103611.77036363634</v>
      </c>
      <c r="R385">
        <f t="shared" si="931"/>
        <v>-3385963.1973934355</v>
      </c>
      <c r="S385">
        <f t="shared" si="932"/>
        <v>-33.859631973934356</v>
      </c>
      <c r="T385">
        <f t="shared" si="933"/>
        <v>-3.3859631973934358E-2</v>
      </c>
    </row>
    <row r="386" spans="1:20" x14ac:dyDescent="0.25">
      <c r="A386" s="5">
        <v>44198</v>
      </c>
      <c r="B386">
        <v>0.45200000000000001</v>
      </c>
      <c r="C386">
        <v>0.46400000000000002</v>
      </c>
      <c r="D386">
        <v>0.40200000000000002</v>
      </c>
      <c r="E386">
        <v>0.43</v>
      </c>
      <c r="F386">
        <v>153950.87100000001</v>
      </c>
      <c r="G386">
        <v>0</v>
      </c>
      <c r="L386" t="s">
        <v>7</v>
      </c>
      <c r="M386" t="s">
        <v>7</v>
      </c>
      <c r="N386" t="s">
        <v>8</v>
      </c>
      <c r="P386">
        <f t="shared" si="929"/>
        <v>-9.6774193548388079E-2</v>
      </c>
      <c r="Q386">
        <f t="shared" si="930"/>
        <v>-14898.471387096926</v>
      </c>
      <c r="R386">
        <f t="shared" si="931"/>
        <v>-3282351.4270297992</v>
      </c>
      <c r="S386">
        <f t="shared" si="932"/>
        <v>-32.823514270297991</v>
      </c>
      <c r="T386">
        <f t="shared" si="933"/>
        <v>-3.282351427029799E-2</v>
      </c>
    </row>
    <row r="387" spans="1:20" x14ac:dyDescent="0.25">
      <c r="A387" s="5">
        <v>44197</v>
      </c>
      <c r="B387">
        <v>0.39300000000000002</v>
      </c>
      <c r="C387">
        <v>0.48799999999999999</v>
      </c>
      <c r="D387">
        <v>0.38300000000000001</v>
      </c>
      <c r="E387">
        <v>0.45100000000000001</v>
      </c>
      <c r="F387">
        <v>210750.52299999999</v>
      </c>
      <c r="G387">
        <v>0</v>
      </c>
      <c r="L387" t="s">
        <v>8</v>
      </c>
      <c r="M387" t="s">
        <v>8</v>
      </c>
      <c r="N387" t="s">
        <v>8</v>
      </c>
      <c r="P387">
        <f t="shared" si="929"/>
        <v>0.29523809523809558</v>
      </c>
      <c r="Q387">
        <f t="shared" si="930"/>
        <v>62221.582980952451</v>
      </c>
      <c r="R387">
        <f t="shared" si="931"/>
        <v>-3267452.9556427021</v>
      </c>
      <c r="S387">
        <f t="shared" si="932"/>
        <v>-32.674529556427018</v>
      </c>
      <c r="T387">
        <f t="shared" si="933"/>
        <v>-3.2674529556427016E-2</v>
      </c>
    </row>
    <row r="388" spans="1:20" x14ac:dyDescent="0.25">
      <c r="A388" s="5">
        <v>44196</v>
      </c>
      <c r="B388">
        <v>0.39700000000000002</v>
      </c>
      <c r="C388">
        <v>0.41499999999999998</v>
      </c>
      <c r="D388">
        <v>0.36099999999999999</v>
      </c>
      <c r="E388">
        <v>0.39</v>
      </c>
      <c r="F388">
        <v>137467.80499999999</v>
      </c>
      <c r="G388">
        <v>0</v>
      </c>
      <c r="L388" t="s">
        <v>8</v>
      </c>
      <c r="M388" t="s">
        <v>8</v>
      </c>
      <c r="N388" t="s">
        <v>7</v>
      </c>
      <c r="P388">
        <f t="shared" si="929"/>
        <v>7.407407407407518E-2</v>
      </c>
      <c r="Q388">
        <f t="shared" si="930"/>
        <v>10182.800370370522</v>
      </c>
      <c r="R388">
        <f t="shared" si="931"/>
        <v>-3329674.5386236543</v>
      </c>
      <c r="S388">
        <f t="shared" si="932"/>
        <v>-33.296745386236545</v>
      </c>
      <c r="T388">
        <f t="shared" si="933"/>
        <v>-3.3296745386236545E-2</v>
      </c>
    </row>
    <row r="389" spans="1:20" x14ac:dyDescent="0.25">
      <c r="A389" s="5">
        <v>44195</v>
      </c>
      <c r="B389">
        <v>0.38700000000000001</v>
      </c>
      <c r="C389">
        <v>0.40799999999999997</v>
      </c>
      <c r="D389">
        <v>0.33100000000000002</v>
      </c>
      <c r="E389">
        <v>0.39300000000000002</v>
      </c>
      <c r="F389">
        <v>317938.978</v>
      </c>
      <c r="G389">
        <v>0</v>
      </c>
      <c r="L389" t="s">
        <v>7</v>
      </c>
      <c r="M389" t="s">
        <v>7</v>
      </c>
      <c r="N389" t="s">
        <v>7</v>
      </c>
      <c r="P389">
        <f t="shared" si="929"/>
        <v>0.61038961038961126</v>
      </c>
      <c r="Q389">
        <f t="shared" si="930"/>
        <v>194066.64890909119</v>
      </c>
      <c r="R389">
        <f t="shared" si="931"/>
        <v>-3339857.3389940248</v>
      </c>
      <c r="S389">
        <f t="shared" si="932"/>
        <v>-33.398573389940246</v>
      </c>
      <c r="T389">
        <f t="shared" si="933"/>
        <v>-3.3398573389940248E-2</v>
      </c>
    </row>
    <row r="390" spans="1:20" x14ac:dyDescent="0.25">
      <c r="A390" s="5">
        <v>44194</v>
      </c>
      <c r="B390">
        <v>0.40899999999999997</v>
      </c>
      <c r="C390">
        <v>0.41199999999999998</v>
      </c>
      <c r="D390">
        <v>0.34300000000000003</v>
      </c>
      <c r="E390">
        <v>0.39200000000000002</v>
      </c>
      <c r="F390">
        <v>293798.79700000002</v>
      </c>
      <c r="G390">
        <v>0</v>
      </c>
      <c r="L390" t="s">
        <v>7</v>
      </c>
      <c r="M390" t="s">
        <v>7</v>
      </c>
      <c r="N390" t="s">
        <v>7</v>
      </c>
      <c r="P390">
        <f t="shared" si="929"/>
        <v>0.42028985507246447</v>
      </c>
      <c r="Q390">
        <f t="shared" si="930"/>
        <v>123480.65381159441</v>
      </c>
      <c r="R390">
        <f t="shared" si="931"/>
        <v>-3533923.9879031158</v>
      </c>
      <c r="S390">
        <f t="shared" si="932"/>
        <v>-35.339239879031155</v>
      </c>
      <c r="T390">
        <f t="shared" si="933"/>
        <v>-3.5339239879031155E-2</v>
      </c>
    </row>
    <row r="391" spans="1:20" x14ac:dyDescent="0.25">
      <c r="A391" s="5">
        <v>44193</v>
      </c>
      <c r="B391">
        <v>0.42899999999999999</v>
      </c>
      <c r="C391">
        <v>0.44600000000000001</v>
      </c>
      <c r="D391">
        <v>0.39400000000000002</v>
      </c>
      <c r="E391">
        <v>0.40899999999999997</v>
      </c>
      <c r="F391">
        <v>158402.633</v>
      </c>
      <c r="G391">
        <v>0</v>
      </c>
      <c r="L391" t="s">
        <v>8</v>
      </c>
      <c r="M391" t="s">
        <v>7</v>
      </c>
      <c r="N391" t="s">
        <v>7</v>
      </c>
      <c r="P391">
        <f t="shared" si="929"/>
        <v>-0.42307692307692457</v>
      </c>
      <c r="Q391">
        <f t="shared" si="930"/>
        <v>-67016.498576923317</v>
      </c>
      <c r="R391">
        <f t="shared" si="931"/>
        <v>-3657404.6417147103</v>
      </c>
      <c r="S391">
        <f t="shared" si="932"/>
        <v>-36.574046417147102</v>
      </c>
      <c r="T391">
        <f t="shared" si="933"/>
        <v>-3.6574046417147101E-2</v>
      </c>
    </row>
    <row r="392" spans="1:20" x14ac:dyDescent="0.25">
      <c r="A392" s="5">
        <v>44192</v>
      </c>
      <c r="B392">
        <v>0.441</v>
      </c>
      <c r="C392">
        <v>0.46100000000000002</v>
      </c>
      <c r="D392">
        <v>0.39</v>
      </c>
      <c r="E392">
        <v>0.42899999999999999</v>
      </c>
      <c r="F392">
        <v>284959.40500000003</v>
      </c>
      <c r="G392">
        <v>0</v>
      </c>
      <c r="L392" t="s">
        <v>7</v>
      </c>
      <c r="M392" t="s">
        <v>7</v>
      </c>
      <c r="N392" t="s">
        <v>7</v>
      </c>
      <c r="P392">
        <f t="shared" si="929"/>
        <v>9.8591549295773948E-2</v>
      </c>
      <c r="Q392">
        <f t="shared" si="930"/>
        <v>28094.589225351916</v>
      </c>
      <c r="R392">
        <f t="shared" si="931"/>
        <v>-3590388.143137787</v>
      </c>
      <c r="S392">
        <f t="shared" si="932"/>
        <v>-35.903881431377869</v>
      </c>
      <c r="T392">
        <f t="shared" si="933"/>
        <v>-3.590388143137787E-2</v>
      </c>
    </row>
    <row r="393" spans="1:20" x14ac:dyDescent="0.25">
      <c r="A393" s="5">
        <v>44191</v>
      </c>
      <c r="B393">
        <v>0.46800000000000003</v>
      </c>
      <c r="C393">
        <v>0.49299999999999999</v>
      </c>
      <c r="D393">
        <v>0.438</v>
      </c>
      <c r="E393">
        <v>0.44900000000000001</v>
      </c>
      <c r="F393">
        <v>145824.03200000001</v>
      </c>
      <c r="G393">
        <v>0</v>
      </c>
      <c r="L393" t="s">
        <v>7</v>
      </c>
      <c r="M393" t="s">
        <v>7</v>
      </c>
      <c r="N393" t="s">
        <v>8</v>
      </c>
      <c r="P393">
        <f t="shared" si="929"/>
        <v>-0.59999999999999964</v>
      </c>
      <c r="Q393">
        <f t="shared" si="930"/>
        <v>-87494.419199999946</v>
      </c>
      <c r="R393">
        <f t="shared" si="931"/>
        <v>-3618482.7323631388</v>
      </c>
      <c r="S393">
        <f t="shared" si="932"/>
        <v>-36.184827323631389</v>
      </c>
      <c r="T393">
        <f t="shared" si="933"/>
        <v>-3.6184827323631388E-2</v>
      </c>
    </row>
    <row r="394" spans="1:20" x14ac:dyDescent="0.25">
      <c r="A394" s="5">
        <v>44190</v>
      </c>
      <c r="B394">
        <v>0.51900000000000002</v>
      </c>
      <c r="C394">
        <v>0.56000000000000005</v>
      </c>
      <c r="D394">
        <v>0.434</v>
      </c>
      <c r="E394">
        <v>0.48</v>
      </c>
      <c r="F394">
        <v>374967.413</v>
      </c>
      <c r="G394">
        <v>0</v>
      </c>
      <c r="L394" t="s">
        <v>8</v>
      </c>
      <c r="M394" t="s">
        <v>7</v>
      </c>
      <c r="N394" t="s">
        <v>8</v>
      </c>
      <c r="P394">
        <f t="shared" si="929"/>
        <v>-0.26984126984127038</v>
      </c>
      <c r="Q394">
        <f t="shared" si="930"/>
        <v>-101181.68287301608</v>
      </c>
      <c r="R394">
        <f t="shared" si="931"/>
        <v>-3530988.3131631389</v>
      </c>
      <c r="S394">
        <f t="shared" si="932"/>
        <v>-35.309883131631388</v>
      </c>
      <c r="T394">
        <f t="shared" si="933"/>
        <v>-3.5309883131631387E-2</v>
      </c>
    </row>
    <row r="395" spans="1:20" x14ac:dyDescent="0.25">
      <c r="A395" s="5">
        <v>44189</v>
      </c>
      <c r="B395">
        <v>0.41899999999999998</v>
      </c>
      <c r="C395">
        <v>0.58599999999999997</v>
      </c>
      <c r="D395">
        <v>0.40899999999999997</v>
      </c>
      <c r="E395">
        <v>0.52100000000000002</v>
      </c>
      <c r="F395">
        <v>293545.55599999998</v>
      </c>
      <c r="G395">
        <v>0</v>
      </c>
      <c r="L395" t="s">
        <v>7</v>
      </c>
      <c r="M395" t="s">
        <v>8</v>
      </c>
      <c r="N395" t="s">
        <v>8</v>
      </c>
      <c r="P395">
        <f t="shared" si="929"/>
        <v>0.26553672316384236</v>
      </c>
      <c r="Q395">
        <f t="shared" si="930"/>
        <v>77947.125039548177</v>
      </c>
      <c r="R395">
        <f t="shared" si="931"/>
        <v>-3429806.6302901227</v>
      </c>
      <c r="S395">
        <f t="shared" si="932"/>
        <v>-34.298066302901226</v>
      </c>
      <c r="T395">
        <f t="shared" si="933"/>
        <v>-3.4298066302901227E-2</v>
      </c>
    </row>
    <row r="396" spans="1:20" x14ac:dyDescent="0.25">
      <c r="A396" s="5">
        <v>44188</v>
      </c>
      <c r="B396">
        <v>0.53</v>
      </c>
      <c r="C396">
        <v>0.54700000000000004</v>
      </c>
      <c r="D396">
        <v>0.41099999999999998</v>
      </c>
      <c r="E396">
        <v>0.41899999999999998</v>
      </c>
      <c r="F396">
        <v>189381.60500000001</v>
      </c>
      <c r="G396">
        <v>0</v>
      </c>
      <c r="L396" t="s">
        <v>7</v>
      </c>
      <c r="M396" t="s">
        <v>7</v>
      </c>
      <c r="N396" t="s">
        <v>7</v>
      </c>
      <c r="P396">
        <f t="shared" si="929"/>
        <v>-0.88235294117647056</v>
      </c>
      <c r="Q396">
        <f t="shared" si="930"/>
        <v>-167101.41617647058</v>
      </c>
      <c r="R396">
        <f t="shared" si="931"/>
        <v>-3507753.7553296709</v>
      </c>
      <c r="S396">
        <f t="shared" si="932"/>
        <v>-35.077537553296708</v>
      </c>
      <c r="T396">
        <f t="shared" si="933"/>
        <v>-3.5077537553296706E-2</v>
      </c>
    </row>
    <row r="397" spans="1:20" x14ac:dyDescent="0.25">
      <c r="A397" s="5">
        <v>44187</v>
      </c>
      <c r="B397">
        <v>0.53</v>
      </c>
      <c r="C397">
        <v>0.59399999999999997</v>
      </c>
      <c r="D397">
        <v>0.498</v>
      </c>
      <c r="E397">
        <v>0.53400000000000003</v>
      </c>
      <c r="F397">
        <v>176231.182</v>
      </c>
      <c r="G397">
        <v>0</v>
      </c>
      <c r="L397" t="s">
        <v>7</v>
      </c>
      <c r="M397" t="s">
        <v>8</v>
      </c>
      <c r="N397" t="s">
        <v>7</v>
      </c>
      <c r="P397">
        <f t="shared" si="929"/>
        <v>-0.24999999999999914</v>
      </c>
      <c r="Q397">
        <f t="shared" si="930"/>
        <v>-44057.795499999847</v>
      </c>
      <c r="R397">
        <f t="shared" si="931"/>
        <v>-3340652.3391532004</v>
      </c>
      <c r="S397">
        <f t="shared" si="932"/>
        <v>-33.406523391532005</v>
      </c>
      <c r="T397">
        <f t="shared" si="933"/>
        <v>-3.3406523391532002E-2</v>
      </c>
    </row>
    <row r="398" spans="1:20" x14ac:dyDescent="0.25">
      <c r="A398" s="5">
        <v>44186</v>
      </c>
      <c r="B398">
        <v>0.58399999999999996</v>
      </c>
      <c r="C398">
        <v>0.60299999999999998</v>
      </c>
      <c r="D398">
        <v>0.502</v>
      </c>
      <c r="E398">
        <v>0.51700000000000002</v>
      </c>
      <c r="F398">
        <v>127252.273</v>
      </c>
      <c r="G398">
        <v>0</v>
      </c>
      <c r="L398" t="s">
        <v>7</v>
      </c>
      <c r="M398" t="s">
        <v>7</v>
      </c>
      <c r="N398" t="s">
        <v>7</v>
      </c>
      <c r="P398">
        <f t="shared" si="929"/>
        <v>-0.7029702970297026</v>
      </c>
      <c r="Q398">
        <f t="shared" si="930"/>
        <v>-89454.568148514809</v>
      </c>
      <c r="R398">
        <f t="shared" si="931"/>
        <v>-3296594.5436532004</v>
      </c>
      <c r="S398">
        <f t="shared" si="932"/>
        <v>-32.965945436532003</v>
      </c>
      <c r="T398">
        <f t="shared" si="933"/>
        <v>-3.2965945436532001E-2</v>
      </c>
    </row>
    <row r="399" spans="1:20" x14ac:dyDescent="0.25">
      <c r="A399" s="5">
        <v>44185</v>
      </c>
      <c r="B399">
        <v>0.61599999999999999</v>
      </c>
      <c r="C399">
        <v>0.66</v>
      </c>
      <c r="D399">
        <v>0.56000000000000005</v>
      </c>
      <c r="E399">
        <v>0.58899999999999997</v>
      </c>
      <c r="F399">
        <v>150867</v>
      </c>
      <c r="G399">
        <v>0</v>
      </c>
      <c r="L399" t="s">
        <v>7</v>
      </c>
      <c r="M399" t="s">
        <v>7</v>
      </c>
      <c r="N399" t="s">
        <v>7</v>
      </c>
      <c r="P399">
        <f t="shared" si="929"/>
        <v>-0.42000000000000159</v>
      </c>
      <c r="Q399">
        <f t="shared" si="930"/>
        <v>-63364.14000000024</v>
      </c>
      <c r="R399">
        <f t="shared" si="931"/>
        <v>-3207139.9755046857</v>
      </c>
      <c r="S399">
        <f t="shared" si="932"/>
        <v>-32.071399755046855</v>
      </c>
      <c r="T399">
        <f t="shared" si="933"/>
        <v>-3.2071399755046852E-2</v>
      </c>
    </row>
    <row r="400" spans="1:20" x14ac:dyDescent="0.25">
      <c r="A400" s="5">
        <v>44184</v>
      </c>
      <c r="B400">
        <v>0.627</v>
      </c>
      <c r="C400">
        <v>0.68799999999999994</v>
      </c>
      <c r="D400">
        <v>0.60599999999999998</v>
      </c>
      <c r="E400">
        <v>0.61199999999999999</v>
      </c>
      <c r="F400">
        <v>82706.312999999995</v>
      </c>
      <c r="G400">
        <v>0</v>
      </c>
      <c r="L400" t="s">
        <v>8</v>
      </c>
      <c r="M400" t="s">
        <v>7</v>
      </c>
      <c r="N400" t="s">
        <v>7</v>
      </c>
      <c r="P400">
        <f t="shared" si="929"/>
        <v>-0.85365853658536561</v>
      </c>
      <c r="Q400">
        <f t="shared" si="930"/>
        <v>-70602.950121951202</v>
      </c>
      <c r="R400">
        <f t="shared" si="931"/>
        <v>-3143775.8355046855</v>
      </c>
      <c r="S400">
        <f t="shared" si="932"/>
        <v>-31.437758355046856</v>
      </c>
      <c r="T400">
        <f t="shared" si="933"/>
        <v>-3.1437758355046856E-2</v>
      </c>
    </row>
    <row r="401" spans="1:20" x14ac:dyDescent="0.25">
      <c r="A401" s="5">
        <v>44183</v>
      </c>
      <c r="B401">
        <v>0.65300000000000002</v>
      </c>
      <c r="C401">
        <v>0.66</v>
      </c>
      <c r="D401">
        <v>0.58499999999999996</v>
      </c>
      <c r="E401">
        <v>0.627</v>
      </c>
      <c r="F401">
        <v>166625.20800000001</v>
      </c>
      <c r="G401">
        <v>0</v>
      </c>
      <c r="L401" t="s">
        <v>7</v>
      </c>
      <c r="M401" t="s">
        <v>7</v>
      </c>
      <c r="N401" t="s">
        <v>7</v>
      </c>
      <c r="P401">
        <f t="shared" si="929"/>
        <v>0.12</v>
      </c>
      <c r="Q401">
        <f t="shared" si="930"/>
        <v>19995.024960000002</v>
      </c>
      <c r="R401">
        <f t="shared" si="931"/>
        <v>-3073172.8853827342</v>
      </c>
      <c r="S401">
        <f t="shared" si="932"/>
        <v>-30.731728853827342</v>
      </c>
      <c r="T401">
        <f t="shared" si="933"/>
        <v>-3.0731728853827342E-2</v>
      </c>
    </row>
    <row r="402" spans="1:20" x14ac:dyDescent="0.25">
      <c r="A402" s="5">
        <v>44182</v>
      </c>
      <c r="B402">
        <v>0.66700000000000004</v>
      </c>
      <c r="C402">
        <v>0.72899999999999998</v>
      </c>
      <c r="D402">
        <v>0.65</v>
      </c>
      <c r="E402">
        <v>0.65300000000000002</v>
      </c>
      <c r="F402">
        <v>259782.81099999999</v>
      </c>
      <c r="G402">
        <v>0</v>
      </c>
      <c r="L402" t="s">
        <v>8</v>
      </c>
      <c r="M402" t="s">
        <v>8</v>
      </c>
      <c r="N402" t="s">
        <v>7</v>
      </c>
      <c r="P402">
        <f t="shared" si="929"/>
        <v>-0.92405063291139233</v>
      </c>
      <c r="Q402">
        <f t="shared" si="930"/>
        <v>-240052.47092405061</v>
      </c>
      <c r="R402">
        <f t="shared" si="931"/>
        <v>-3093167.9103427343</v>
      </c>
      <c r="S402">
        <f t="shared" si="932"/>
        <v>-30.931679103427342</v>
      </c>
      <c r="T402">
        <f t="shared" si="933"/>
        <v>-3.0931679103427343E-2</v>
      </c>
    </row>
    <row r="403" spans="1:20" x14ac:dyDescent="0.25">
      <c r="A403" s="5">
        <v>44181</v>
      </c>
      <c r="B403">
        <v>0.67400000000000004</v>
      </c>
      <c r="C403">
        <v>0.70899999999999996</v>
      </c>
      <c r="D403">
        <v>0.64</v>
      </c>
      <c r="E403">
        <v>0.66900000000000004</v>
      </c>
      <c r="F403">
        <v>162335.73499999999</v>
      </c>
      <c r="G403">
        <v>0</v>
      </c>
      <c r="L403" t="s">
        <v>8</v>
      </c>
      <c r="M403" t="s">
        <v>8</v>
      </c>
      <c r="N403" t="s">
        <v>7</v>
      </c>
      <c r="P403">
        <f t="shared" si="929"/>
        <v>-0.15942028985507112</v>
      </c>
      <c r="Q403">
        <f t="shared" si="930"/>
        <v>-25879.60992753601</v>
      </c>
      <c r="R403">
        <f t="shared" si="931"/>
        <v>-2853115.4394186838</v>
      </c>
      <c r="S403">
        <f t="shared" si="932"/>
        <v>-28.531154394186839</v>
      </c>
      <c r="T403">
        <f t="shared" si="933"/>
        <v>-2.8531154394186839E-2</v>
      </c>
    </row>
    <row r="404" spans="1:20" x14ac:dyDescent="0.25">
      <c r="A404" s="5">
        <v>44180</v>
      </c>
      <c r="B404">
        <v>0.67900000000000005</v>
      </c>
      <c r="C404">
        <v>0.71399999999999997</v>
      </c>
      <c r="D404">
        <v>0.63300000000000001</v>
      </c>
      <c r="E404">
        <v>0.67400000000000004</v>
      </c>
      <c r="F404">
        <v>133448.69699999999</v>
      </c>
      <c r="G404">
        <v>0</v>
      </c>
      <c r="L404" t="s">
        <v>7</v>
      </c>
      <c r="M404" t="s">
        <v>8</v>
      </c>
      <c r="N404" t="s">
        <v>7</v>
      </c>
      <c r="P404">
        <f t="shared" si="929"/>
        <v>1.2345679012347066E-2</v>
      </c>
      <c r="Q404">
        <f t="shared" si="930"/>
        <v>1647.5147777779628</v>
      </c>
      <c r="R404">
        <f t="shared" si="931"/>
        <v>-2827235.8294911478</v>
      </c>
      <c r="S404">
        <f t="shared" si="932"/>
        <v>-28.272358294911477</v>
      </c>
      <c r="T404">
        <f t="shared" si="933"/>
        <v>-2.8272358294911478E-2</v>
      </c>
    </row>
    <row r="405" spans="1:20" x14ac:dyDescent="0.25">
      <c r="A405" s="5">
        <v>44179</v>
      </c>
      <c r="B405">
        <v>0.65</v>
      </c>
      <c r="C405">
        <v>0.73</v>
      </c>
      <c r="D405">
        <v>0.63</v>
      </c>
      <c r="E405">
        <v>0.67900000000000005</v>
      </c>
      <c r="F405">
        <v>280566.98300000001</v>
      </c>
      <c r="G405">
        <v>0</v>
      </c>
      <c r="L405" t="s">
        <v>8</v>
      </c>
      <c r="M405" t="s">
        <v>8</v>
      </c>
      <c r="N405" t="s">
        <v>7</v>
      </c>
      <c r="P405">
        <f t="shared" si="929"/>
        <v>-1.9999999999998911E-2</v>
      </c>
      <c r="Q405">
        <f t="shared" si="930"/>
        <v>-5611.339659999695</v>
      </c>
      <c r="R405">
        <f t="shared" si="931"/>
        <v>-2828883.344268926</v>
      </c>
      <c r="S405">
        <f t="shared" si="932"/>
        <v>-28.28883344268926</v>
      </c>
      <c r="T405">
        <f t="shared" si="933"/>
        <v>-2.828883344268926E-2</v>
      </c>
    </row>
    <row r="406" spans="1:20" x14ac:dyDescent="0.25">
      <c r="A406" s="5">
        <v>44178</v>
      </c>
      <c r="B406">
        <v>0.63900000000000001</v>
      </c>
      <c r="C406">
        <v>0.69</v>
      </c>
      <c r="D406">
        <v>0.59299999999999997</v>
      </c>
      <c r="E406">
        <v>0.65200000000000002</v>
      </c>
      <c r="F406">
        <v>130522.11599999999</v>
      </c>
      <c r="G406">
        <v>0</v>
      </c>
      <c r="L406" t="s">
        <v>7</v>
      </c>
      <c r="M406" t="s">
        <v>7</v>
      </c>
      <c r="N406" t="s">
        <v>7</v>
      </c>
      <c r="P406">
        <f t="shared" si="929"/>
        <v>0.21649484536082614</v>
      </c>
      <c r="Q406">
        <f t="shared" si="930"/>
        <v>28257.365319587811</v>
      </c>
      <c r="R406">
        <f t="shared" si="931"/>
        <v>-2823272.0046089264</v>
      </c>
      <c r="S406">
        <f t="shared" si="932"/>
        <v>-28.232720046089263</v>
      </c>
      <c r="T406">
        <f t="shared" si="933"/>
        <v>-2.8232720046089264E-2</v>
      </c>
    </row>
    <row r="407" spans="1:20" x14ac:dyDescent="0.25">
      <c r="A407" s="5">
        <v>44177</v>
      </c>
      <c r="B407">
        <v>0.63700000000000001</v>
      </c>
      <c r="C407">
        <v>0.72</v>
      </c>
      <c r="D407">
        <v>0.61699999999999999</v>
      </c>
      <c r="E407">
        <v>0.63800000000000001</v>
      </c>
      <c r="F407">
        <v>210099.52799999999</v>
      </c>
      <c r="G407">
        <v>0</v>
      </c>
      <c r="L407" t="s">
        <v>8</v>
      </c>
      <c r="M407" t="s">
        <v>8</v>
      </c>
      <c r="N407" t="s">
        <v>7</v>
      </c>
      <c r="P407">
        <f t="shared" si="929"/>
        <v>-0.59223300970873738</v>
      </c>
      <c r="Q407">
        <f t="shared" si="930"/>
        <v>-124427.87580582514</v>
      </c>
      <c r="R407">
        <f t="shared" si="931"/>
        <v>-2851529.3699285141</v>
      </c>
      <c r="S407">
        <f t="shared" si="932"/>
        <v>-28.515293699285142</v>
      </c>
      <c r="T407">
        <f t="shared" si="933"/>
        <v>-2.8515293699285141E-2</v>
      </c>
    </row>
    <row r="408" spans="1:20" x14ac:dyDescent="0.25">
      <c r="A408" s="5">
        <v>44176</v>
      </c>
      <c r="B408">
        <v>0.70499999999999996</v>
      </c>
      <c r="C408">
        <v>0.72899999999999998</v>
      </c>
      <c r="D408">
        <v>0.55100000000000005</v>
      </c>
      <c r="E408">
        <v>0.624</v>
      </c>
      <c r="F408">
        <v>235689.31700000001</v>
      </c>
      <c r="G408">
        <v>0</v>
      </c>
      <c r="L408" t="s">
        <v>7</v>
      </c>
      <c r="M408" t="s">
        <v>7</v>
      </c>
      <c r="N408" t="s">
        <v>7</v>
      </c>
      <c r="P408">
        <f t="shared" si="929"/>
        <v>-0.17977528089887662</v>
      </c>
      <c r="Q408">
        <f t="shared" si="930"/>
        <v>-42371.113168539378</v>
      </c>
      <c r="R408">
        <f t="shared" si="931"/>
        <v>-2727101.4941226891</v>
      </c>
      <c r="S408">
        <f t="shared" si="932"/>
        <v>-27.271014941226891</v>
      </c>
      <c r="T408">
        <f t="shared" si="933"/>
        <v>-2.7271014941226891E-2</v>
      </c>
    </row>
    <row r="409" spans="1:20" x14ac:dyDescent="0.25">
      <c r="A409" s="5">
        <v>44175</v>
      </c>
      <c r="B409">
        <v>0.70099999999999996</v>
      </c>
      <c r="C409">
        <v>0.76500000000000001</v>
      </c>
      <c r="D409">
        <v>0.65</v>
      </c>
      <c r="E409">
        <v>0.70599999999999996</v>
      </c>
      <c r="F409">
        <v>181180.674</v>
      </c>
      <c r="G409">
        <v>0</v>
      </c>
      <c r="L409" t="s">
        <v>8</v>
      </c>
      <c r="M409" t="s">
        <v>8</v>
      </c>
      <c r="N409" t="s">
        <v>7</v>
      </c>
      <c r="P409">
        <f t="shared" si="929"/>
        <v>-2.6086956521740121E-2</v>
      </c>
      <c r="Q409">
        <f t="shared" si="930"/>
        <v>-4726.4523652175712</v>
      </c>
      <c r="R409">
        <f t="shared" si="931"/>
        <v>-2684730.3809541496</v>
      </c>
      <c r="S409">
        <f t="shared" si="932"/>
        <v>-26.847303809541497</v>
      </c>
      <c r="T409">
        <f t="shared" si="933"/>
        <v>-2.6847303809541496E-2</v>
      </c>
    </row>
    <row r="410" spans="1:20" x14ac:dyDescent="0.25">
      <c r="A410" s="5">
        <v>44174</v>
      </c>
      <c r="B410">
        <v>0.69</v>
      </c>
      <c r="C410">
        <v>0.84399999999999997</v>
      </c>
      <c r="D410">
        <v>0.63500000000000001</v>
      </c>
      <c r="E410">
        <v>0.68899999999999995</v>
      </c>
      <c r="F410">
        <v>106357.861</v>
      </c>
      <c r="G410">
        <v>0</v>
      </c>
      <c r="L410" t="s">
        <v>7</v>
      </c>
      <c r="M410" t="s">
        <v>7</v>
      </c>
      <c r="N410" t="s">
        <v>7</v>
      </c>
      <c r="P410">
        <f t="shared" si="929"/>
        <v>-0.48325358851674693</v>
      </c>
      <c r="Q410">
        <f t="shared" si="930"/>
        <v>-51397.817995215366</v>
      </c>
      <c r="R410">
        <f t="shared" si="931"/>
        <v>-2680003.9285889319</v>
      </c>
      <c r="S410">
        <f t="shared" si="932"/>
        <v>-26.800039285889319</v>
      </c>
      <c r="T410">
        <f t="shared" si="933"/>
        <v>-2.680003928588932E-2</v>
      </c>
    </row>
    <row r="411" spans="1:20" x14ac:dyDescent="0.25">
      <c r="A411" s="5">
        <v>44173</v>
      </c>
      <c r="B411">
        <v>0.79700000000000004</v>
      </c>
      <c r="C411">
        <v>0.81699999999999995</v>
      </c>
      <c r="D411">
        <v>0.69099999999999995</v>
      </c>
      <c r="E411">
        <v>0.69099999999999995</v>
      </c>
      <c r="F411">
        <v>111575.408</v>
      </c>
      <c r="G411">
        <v>0</v>
      </c>
      <c r="L411" t="s">
        <v>7</v>
      </c>
      <c r="M411" t="s">
        <v>7</v>
      </c>
      <c r="N411" t="s">
        <v>8</v>
      </c>
      <c r="P411">
        <f t="shared" si="929"/>
        <v>-1</v>
      </c>
      <c r="Q411">
        <f t="shared" si="930"/>
        <v>-111575.408</v>
      </c>
      <c r="R411">
        <f t="shared" si="931"/>
        <v>-2628606.1105937166</v>
      </c>
      <c r="S411">
        <f t="shared" si="932"/>
        <v>-26.286061105937165</v>
      </c>
      <c r="T411">
        <f t="shared" si="933"/>
        <v>-2.6286061105937165E-2</v>
      </c>
    </row>
    <row r="412" spans="1:20" x14ac:dyDescent="0.25">
      <c r="A412" s="5">
        <v>44172</v>
      </c>
      <c r="B412">
        <v>0.86099999999999999</v>
      </c>
      <c r="C412">
        <v>0.86799999999999999</v>
      </c>
      <c r="D412">
        <v>0.78</v>
      </c>
      <c r="E412">
        <v>0.79200000000000004</v>
      </c>
      <c r="F412">
        <v>94818.627999999997</v>
      </c>
      <c r="G412">
        <v>0</v>
      </c>
      <c r="L412" t="s">
        <v>7</v>
      </c>
      <c r="M412" t="s">
        <v>7</v>
      </c>
      <c r="N412" t="s">
        <v>8</v>
      </c>
      <c r="P412">
        <f t="shared" si="929"/>
        <v>-0.72727272727272696</v>
      </c>
      <c r="Q412">
        <f t="shared" si="930"/>
        <v>-68959.002181818156</v>
      </c>
      <c r="R412">
        <f t="shared" si="931"/>
        <v>-2517030.7025937168</v>
      </c>
      <c r="S412">
        <f t="shared" si="932"/>
        <v>-25.170307025937166</v>
      </c>
      <c r="T412">
        <f t="shared" si="933"/>
        <v>-2.5170307025937165E-2</v>
      </c>
    </row>
    <row r="413" spans="1:20" x14ac:dyDescent="0.25">
      <c r="A413" s="5">
        <v>44171</v>
      </c>
      <c r="B413">
        <v>0.81799999999999995</v>
      </c>
      <c r="C413">
        <v>0.95</v>
      </c>
      <c r="D413">
        <v>0.75</v>
      </c>
      <c r="E413">
        <v>0.86899999999999999</v>
      </c>
      <c r="F413">
        <v>205564.929</v>
      </c>
      <c r="G413">
        <v>0</v>
      </c>
      <c r="L413" t="s">
        <v>8</v>
      </c>
      <c r="M413" t="s">
        <v>8</v>
      </c>
      <c r="N413" t="s">
        <v>8</v>
      </c>
      <c r="P413">
        <f t="shared" si="929"/>
        <v>0.19000000000000022</v>
      </c>
      <c r="Q413">
        <f t="shared" si="930"/>
        <v>39057.336510000045</v>
      </c>
      <c r="R413">
        <f t="shared" si="931"/>
        <v>-2448071.7004118985</v>
      </c>
      <c r="S413">
        <f t="shared" si="932"/>
        <v>-24.480717004118986</v>
      </c>
      <c r="T413">
        <f t="shared" si="933"/>
        <v>-2.4480717004118985E-2</v>
      </c>
    </row>
    <row r="414" spans="1:20" x14ac:dyDescent="0.25">
      <c r="A414" s="5">
        <v>44170</v>
      </c>
      <c r="B414">
        <v>0.745</v>
      </c>
      <c r="C414">
        <v>0.81799999999999995</v>
      </c>
      <c r="D414">
        <v>0.73199999999999998</v>
      </c>
      <c r="E414">
        <v>0.81200000000000006</v>
      </c>
      <c r="F414">
        <v>137297.04300000001</v>
      </c>
      <c r="G414">
        <v>0</v>
      </c>
      <c r="L414" t="s">
        <v>8</v>
      </c>
      <c r="M414" t="s">
        <v>7</v>
      </c>
      <c r="N414" t="s">
        <v>8</v>
      </c>
      <c r="P414">
        <f t="shared" si="929"/>
        <v>0.86046511627907218</v>
      </c>
      <c r="Q414">
        <f t="shared" si="930"/>
        <v>118139.31606976778</v>
      </c>
      <c r="R414">
        <f t="shared" si="931"/>
        <v>-2487129.0369218984</v>
      </c>
      <c r="S414">
        <f t="shared" si="932"/>
        <v>-24.871290369218983</v>
      </c>
      <c r="T414">
        <f t="shared" si="933"/>
        <v>-2.4871290369218983E-2</v>
      </c>
    </row>
    <row r="415" spans="1:20" x14ac:dyDescent="0.25">
      <c r="A415" s="5">
        <v>44169</v>
      </c>
      <c r="B415">
        <v>0.878</v>
      </c>
      <c r="C415">
        <v>0.96599999999999997</v>
      </c>
      <c r="D415">
        <v>0.73299999999999998</v>
      </c>
      <c r="E415">
        <v>0.75900000000000001</v>
      </c>
      <c r="F415">
        <v>394057.88</v>
      </c>
      <c r="G415">
        <v>0</v>
      </c>
      <c r="L415" t="s">
        <v>7</v>
      </c>
      <c r="M415" t="s">
        <v>7</v>
      </c>
      <c r="N415" t="s">
        <v>8</v>
      </c>
      <c r="P415">
        <f t="shared" si="929"/>
        <v>-0.77682403433476377</v>
      </c>
      <c r="Q415">
        <f t="shared" si="930"/>
        <v>-306113.6321030042</v>
      </c>
      <c r="R415">
        <f t="shared" si="931"/>
        <v>-2605268.3529916662</v>
      </c>
      <c r="S415">
        <f t="shared" si="932"/>
        <v>-26.052683529916663</v>
      </c>
      <c r="T415">
        <f t="shared" si="933"/>
        <v>-2.6052683529916663E-2</v>
      </c>
    </row>
    <row r="416" spans="1:20" x14ac:dyDescent="0.25">
      <c r="A416" s="5">
        <v>44168</v>
      </c>
      <c r="B416">
        <v>0.71499999999999997</v>
      </c>
      <c r="C416">
        <v>0.98</v>
      </c>
      <c r="D416">
        <v>0.70199999999999996</v>
      </c>
      <c r="E416">
        <v>0.878</v>
      </c>
      <c r="F416">
        <v>517834.49900000001</v>
      </c>
      <c r="G416">
        <v>0</v>
      </c>
      <c r="L416" t="s">
        <v>8</v>
      </c>
      <c r="M416" t="s">
        <v>8</v>
      </c>
      <c r="N416" t="s">
        <v>8</v>
      </c>
      <c r="P416">
        <f t="shared" si="929"/>
        <v>0.26618705035971246</v>
      </c>
      <c r="Q416">
        <f t="shared" si="930"/>
        <v>137840.83786330948</v>
      </c>
      <c r="R416">
        <f t="shared" si="931"/>
        <v>-2299154.7208886622</v>
      </c>
      <c r="S416">
        <f t="shared" si="932"/>
        <v>-22.991547208886622</v>
      </c>
      <c r="T416">
        <f t="shared" si="933"/>
        <v>-2.2991547208886621E-2</v>
      </c>
    </row>
    <row r="417" spans="1:20" x14ac:dyDescent="0.25">
      <c r="A417" s="5">
        <v>44167</v>
      </c>
      <c r="B417">
        <v>0.63500000000000001</v>
      </c>
      <c r="C417">
        <v>0.76</v>
      </c>
      <c r="D417">
        <v>0.63</v>
      </c>
      <c r="E417">
        <v>0.71699999999999997</v>
      </c>
      <c r="F417">
        <v>134019.99</v>
      </c>
      <c r="G417">
        <v>0</v>
      </c>
      <c r="L417" t="s">
        <v>8</v>
      </c>
      <c r="M417" t="s">
        <v>7</v>
      </c>
      <c r="N417" t="s">
        <v>8</v>
      </c>
      <c r="P417">
        <f t="shared" si="929"/>
        <v>0.33846153846153787</v>
      </c>
      <c r="Q417">
        <f t="shared" si="930"/>
        <v>45360.611999999921</v>
      </c>
      <c r="R417">
        <f t="shared" si="931"/>
        <v>-2436995.5587519715</v>
      </c>
      <c r="S417">
        <f t="shared" si="932"/>
        <v>-24.369955587519716</v>
      </c>
      <c r="T417">
        <f t="shared" si="933"/>
        <v>-2.4369955587519716E-2</v>
      </c>
    </row>
    <row r="418" spans="1:20" x14ac:dyDescent="0.25">
      <c r="A418" s="5">
        <v>44166</v>
      </c>
      <c r="B418">
        <v>0.621</v>
      </c>
      <c r="C418">
        <v>0.82</v>
      </c>
      <c r="D418">
        <v>0.59799999999999998</v>
      </c>
      <c r="E418">
        <v>0.64700000000000002</v>
      </c>
      <c r="F418">
        <v>231120.28200000001</v>
      </c>
      <c r="G418">
        <v>0</v>
      </c>
      <c r="L418" t="s">
        <v>7</v>
      </c>
      <c r="M418" t="s">
        <v>8</v>
      </c>
      <c r="N418" t="s">
        <v>8</v>
      </c>
      <c r="P418">
        <f t="shared" si="929"/>
        <v>-0.55855855855855807</v>
      </c>
      <c r="Q418">
        <f t="shared" si="930"/>
        <v>-129094.21156756746</v>
      </c>
      <c r="R418">
        <f t="shared" si="931"/>
        <v>-2482356.1707519712</v>
      </c>
      <c r="S418">
        <f t="shared" si="932"/>
        <v>-24.823561707519712</v>
      </c>
      <c r="T418">
        <f t="shared" si="933"/>
        <v>-2.482356170751971E-2</v>
      </c>
    </row>
    <row r="419" spans="1:20" x14ac:dyDescent="0.25">
      <c r="A419" s="5">
        <v>44165</v>
      </c>
      <c r="B419">
        <v>0.63300000000000001</v>
      </c>
      <c r="C419">
        <v>0.66200000000000003</v>
      </c>
      <c r="D419">
        <v>0.61099999999999999</v>
      </c>
      <c r="E419">
        <v>0.61199999999999999</v>
      </c>
      <c r="F419">
        <v>46888.120999999999</v>
      </c>
      <c r="G419">
        <v>0</v>
      </c>
      <c r="L419" t="s">
        <v>7</v>
      </c>
      <c r="M419" t="s">
        <v>7</v>
      </c>
      <c r="N419" t="s">
        <v>8</v>
      </c>
      <c r="P419">
        <f t="shared" si="929"/>
        <v>-0.96078431372549022</v>
      </c>
      <c r="Q419">
        <f t="shared" si="930"/>
        <v>-45049.371156862748</v>
      </c>
      <c r="R419">
        <f t="shared" si="931"/>
        <v>-2353261.9591844035</v>
      </c>
      <c r="S419">
        <f t="shared" si="932"/>
        <v>-23.532619591844036</v>
      </c>
      <c r="T419">
        <f t="shared" si="933"/>
        <v>-2.3532619591844037E-2</v>
      </c>
    </row>
    <row r="420" spans="1:20" x14ac:dyDescent="0.25">
      <c r="A420" s="5">
        <v>44164</v>
      </c>
      <c r="B420">
        <v>0.65700000000000003</v>
      </c>
      <c r="C420">
        <v>0.66700000000000004</v>
      </c>
      <c r="D420">
        <v>0.61099999999999999</v>
      </c>
      <c r="E420">
        <v>0.63500000000000001</v>
      </c>
      <c r="F420">
        <v>57714.843999999997</v>
      </c>
      <c r="G420">
        <v>0</v>
      </c>
      <c r="L420" t="s">
        <v>8</v>
      </c>
      <c r="M420" t="s">
        <v>7</v>
      </c>
      <c r="N420" t="s">
        <v>8</v>
      </c>
      <c r="P420">
        <f t="shared" si="929"/>
        <v>-0.14285714285714285</v>
      </c>
      <c r="Q420">
        <f t="shared" si="930"/>
        <v>-8244.9777142857129</v>
      </c>
      <c r="R420">
        <f t="shared" si="931"/>
        <v>-2308212.5880275406</v>
      </c>
      <c r="S420">
        <f t="shared" si="932"/>
        <v>-23.082125880275406</v>
      </c>
      <c r="T420">
        <f t="shared" si="933"/>
        <v>-2.3082125880275407E-2</v>
      </c>
    </row>
    <row r="421" spans="1:20" x14ac:dyDescent="0.25">
      <c r="A421" s="5">
        <v>44163</v>
      </c>
      <c r="B421">
        <v>0.68799999999999994</v>
      </c>
      <c r="C421">
        <v>0.71299999999999997</v>
      </c>
      <c r="D421">
        <v>0.60099999999999998</v>
      </c>
      <c r="E421">
        <v>0.66800000000000004</v>
      </c>
      <c r="F421">
        <v>153367.4</v>
      </c>
      <c r="G421">
        <v>0</v>
      </c>
      <c r="L421" t="s">
        <v>7</v>
      </c>
      <c r="M421" t="s">
        <v>7</v>
      </c>
      <c r="N421" t="s">
        <v>8</v>
      </c>
      <c r="P421">
        <f t="shared" si="929"/>
        <v>0.19642857142857262</v>
      </c>
      <c r="Q421">
        <f t="shared" si="930"/>
        <v>30125.739285714466</v>
      </c>
      <c r="R421">
        <f t="shared" si="931"/>
        <v>-2299967.6103132549</v>
      </c>
      <c r="S421">
        <f t="shared" si="932"/>
        <v>-22.999676103132551</v>
      </c>
      <c r="T421">
        <f t="shared" si="933"/>
        <v>-2.2999676103132551E-2</v>
      </c>
    </row>
    <row r="422" spans="1:20" x14ac:dyDescent="0.25">
      <c r="A422" s="5">
        <v>44162</v>
      </c>
      <c r="B422">
        <v>0.56399999999999995</v>
      </c>
      <c r="C422">
        <v>0.79100000000000004</v>
      </c>
      <c r="D422">
        <v>0.53100000000000003</v>
      </c>
      <c r="E422">
        <v>0.68799999999999994</v>
      </c>
      <c r="F422">
        <v>274895.00699999998</v>
      </c>
      <c r="G422">
        <v>0</v>
      </c>
      <c r="L422" t="s">
        <v>8</v>
      </c>
      <c r="M422" t="s">
        <v>8</v>
      </c>
      <c r="N422" t="s">
        <v>8</v>
      </c>
      <c r="P422">
        <f t="shared" si="929"/>
        <v>0.20769230769230701</v>
      </c>
      <c r="Q422">
        <f t="shared" si="930"/>
        <v>57093.578376922887</v>
      </c>
      <c r="R422">
        <f t="shared" si="931"/>
        <v>-2330093.3495989693</v>
      </c>
      <c r="S422">
        <f t="shared" si="932"/>
        <v>-23.300933495989693</v>
      </c>
      <c r="T422">
        <f t="shared" si="933"/>
        <v>-2.3300933495989693E-2</v>
      </c>
    </row>
    <row r="423" spans="1:20" x14ac:dyDescent="0.25">
      <c r="A423" s="5">
        <v>44161</v>
      </c>
      <c r="B423">
        <v>0.747</v>
      </c>
      <c r="C423">
        <v>0.748</v>
      </c>
      <c r="D423">
        <v>0.51</v>
      </c>
      <c r="E423">
        <v>0.56999999999999995</v>
      </c>
      <c r="F423">
        <v>92590.997000000003</v>
      </c>
      <c r="G423">
        <v>0</v>
      </c>
      <c r="L423" t="s">
        <v>7</v>
      </c>
      <c r="M423" t="s">
        <v>7</v>
      </c>
      <c r="N423" t="s">
        <v>7</v>
      </c>
      <c r="P423">
        <f t="shared" si="929"/>
        <v>-0.49579831932773155</v>
      </c>
      <c r="Q423">
        <f t="shared" si="930"/>
        <v>-45906.460697479037</v>
      </c>
      <c r="R423">
        <f t="shared" si="931"/>
        <v>-2387186.9279758921</v>
      </c>
      <c r="S423">
        <f t="shared" si="932"/>
        <v>-23.871869279758922</v>
      </c>
      <c r="T423">
        <f t="shared" si="933"/>
        <v>-2.3871869279758921E-2</v>
      </c>
    </row>
    <row r="424" spans="1:20" x14ac:dyDescent="0.25">
      <c r="A424" s="5">
        <v>44160</v>
      </c>
      <c r="B424">
        <v>0.71499999999999997</v>
      </c>
      <c r="C424">
        <v>0.82</v>
      </c>
      <c r="D424">
        <v>0.63800000000000001</v>
      </c>
      <c r="E424">
        <v>0.66500000000000004</v>
      </c>
      <c r="F424">
        <v>139548.08300000001</v>
      </c>
      <c r="G424">
        <v>0</v>
      </c>
      <c r="L424" t="s">
        <v>7</v>
      </c>
      <c r="M424" t="s">
        <v>7</v>
      </c>
      <c r="N424" t="s">
        <v>7</v>
      </c>
      <c r="P424">
        <f t="shared" si="929"/>
        <v>-0.70329670329670291</v>
      </c>
      <c r="Q424">
        <f t="shared" si="930"/>
        <v>-98143.706725274678</v>
      </c>
      <c r="R424">
        <f t="shared" si="931"/>
        <v>-2341280.467278413</v>
      </c>
      <c r="S424">
        <f t="shared" si="932"/>
        <v>-23.41280467278413</v>
      </c>
      <c r="T424">
        <f t="shared" si="933"/>
        <v>-2.3412804672784129E-2</v>
      </c>
    </row>
    <row r="425" spans="1:20" x14ac:dyDescent="0.25">
      <c r="A425" s="5">
        <v>44159</v>
      </c>
      <c r="B425">
        <v>0.79800000000000004</v>
      </c>
      <c r="C425">
        <v>0.84099999999999997</v>
      </c>
      <c r="D425">
        <v>0.69299999999999995</v>
      </c>
      <c r="E425">
        <v>0.70199999999999996</v>
      </c>
      <c r="F425">
        <v>140611.867</v>
      </c>
      <c r="G425">
        <v>0</v>
      </c>
      <c r="L425" t="s">
        <v>7</v>
      </c>
      <c r="M425" t="s">
        <v>7</v>
      </c>
      <c r="N425" t="s">
        <v>7</v>
      </c>
      <c r="P425">
        <f t="shared" si="929"/>
        <v>-0.87837837837837829</v>
      </c>
      <c r="Q425">
        <f t="shared" si="930"/>
        <v>-123510.4237162162</v>
      </c>
      <c r="R425">
        <f t="shared" si="931"/>
        <v>-2243136.7605531383</v>
      </c>
      <c r="S425">
        <f t="shared" si="932"/>
        <v>-22.431367605531385</v>
      </c>
      <c r="T425">
        <f t="shared" si="933"/>
        <v>-2.2431367605531386E-2</v>
      </c>
    </row>
    <row r="426" spans="1:20" x14ac:dyDescent="0.25">
      <c r="A426" s="5">
        <v>44158</v>
      </c>
      <c r="B426">
        <v>0.80300000000000005</v>
      </c>
      <c r="C426">
        <v>0.88</v>
      </c>
      <c r="D426">
        <v>0.754</v>
      </c>
      <c r="E426">
        <v>0.80500000000000005</v>
      </c>
      <c r="F426">
        <v>183801.23699999999</v>
      </c>
      <c r="G426">
        <v>0</v>
      </c>
      <c r="L426" t="s">
        <v>8</v>
      </c>
      <c r="M426" t="s">
        <v>8</v>
      </c>
      <c r="N426" t="s">
        <v>7</v>
      </c>
      <c r="P426">
        <f t="shared" si="929"/>
        <v>-0.19047619047618977</v>
      </c>
      <c r="Q426">
        <f t="shared" si="930"/>
        <v>-35009.759428571298</v>
      </c>
      <c r="R426">
        <f t="shared" si="931"/>
        <v>-2119626.336836922</v>
      </c>
      <c r="S426">
        <f t="shared" si="932"/>
        <v>-21.19626336836922</v>
      </c>
      <c r="T426">
        <f t="shared" si="933"/>
        <v>-2.119626336836922E-2</v>
      </c>
    </row>
    <row r="427" spans="1:20" x14ac:dyDescent="0.25">
      <c r="A427" s="5">
        <v>44157</v>
      </c>
      <c r="B427">
        <v>0.87</v>
      </c>
      <c r="C427">
        <v>0.89600000000000002</v>
      </c>
      <c r="D427">
        <v>0.71799999999999997</v>
      </c>
      <c r="E427">
        <v>0.79</v>
      </c>
      <c r="F427">
        <v>117996.893</v>
      </c>
      <c r="G427">
        <v>0</v>
      </c>
      <c r="L427" t="s">
        <v>7</v>
      </c>
      <c r="M427" t="s">
        <v>7</v>
      </c>
      <c r="N427" t="s">
        <v>7</v>
      </c>
      <c r="P427">
        <f t="shared" si="929"/>
        <v>-0.19101123595505567</v>
      </c>
      <c r="Q427">
        <f t="shared" si="930"/>
        <v>-22538.732370786456</v>
      </c>
      <c r="R427">
        <f t="shared" si="931"/>
        <v>-2084616.5774083505</v>
      </c>
      <c r="S427">
        <f t="shared" si="932"/>
        <v>-20.846165774083506</v>
      </c>
      <c r="T427">
        <f t="shared" si="933"/>
        <v>-2.0846165774083505E-2</v>
      </c>
    </row>
    <row r="428" spans="1:20" x14ac:dyDescent="0.25">
      <c r="A428" s="5">
        <v>44156</v>
      </c>
      <c r="B428">
        <v>1.006</v>
      </c>
      <c r="C428">
        <v>1.0069999999999999</v>
      </c>
      <c r="D428">
        <v>0.85</v>
      </c>
      <c r="E428">
        <v>0.86299999999999999</v>
      </c>
      <c r="F428">
        <v>214285.38399999999</v>
      </c>
      <c r="G428">
        <v>0</v>
      </c>
      <c r="L428" t="s">
        <v>7</v>
      </c>
      <c r="M428" t="s">
        <v>7</v>
      </c>
      <c r="N428" t="s">
        <v>7</v>
      </c>
      <c r="P428">
        <f t="shared" si="929"/>
        <v>-0.83439490445859854</v>
      </c>
      <c r="Q428">
        <f t="shared" si="930"/>
        <v>-178798.6325095541</v>
      </c>
      <c r="R428">
        <f t="shared" si="931"/>
        <v>-2062077.8450375642</v>
      </c>
      <c r="S428">
        <f t="shared" si="932"/>
        <v>-20.620778450375642</v>
      </c>
      <c r="T428">
        <f t="shared" si="933"/>
        <v>-2.0620778450375642E-2</v>
      </c>
    </row>
    <row r="429" spans="1:20" x14ac:dyDescent="0.25">
      <c r="A429" s="5">
        <v>44155</v>
      </c>
      <c r="B429">
        <v>0.83399999999999996</v>
      </c>
      <c r="C429">
        <v>1.3</v>
      </c>
      <c r="D429">
        <v>0.78200000000000003</v>
      </c>
      <c r="E429">
        <v>1.008</v>
      </c>
      <c r="F429">
        <v>442264.26400000002</v>
      </c>
      <c r="G429">
        <v>0</v>
      </c>
      <c r="L429" t="s">
        <v>8</v>
      </c>
      <c r="M429" t="s">
        <v>8</v>
      </c>
      <c r="N429" t="s">
        <v>8</v>
      </c>
      <c r="P429">
        <f t="shared" si="929"/>
        <v>-0.12741312741312752</v>
      </c>
      <c r="Q429">
        <f t="shared" si="930"/>
        <v>-56350.273019305067</v>
      </c>
      <c r="R429">
        <f t="shared" si="931"/>
        <v>-1883279.2125280101</v>
      </c>
      <c r="S429">
        <f t="shared" si="932"/>
        <v>-18.8327921252801</v>
      </c>
      <c r="T429">
        <f t="shared" si="933"/>
        <v>-1.88327921252801E-2</v>
      </c>
    </row>
    <row r="430" spans="1:20" x14ac:dyDescent="0.25">
      <c r="A430" s="5">
        <v>44154</v>
      </c>
      <c r="B430">
        <v>0.82499999999999996</v>
      </c>
      <c r="C430">
        <v>0.91700000000000004</v>
      </c>
      <c r="D430">
        <v>0.78</v>
      </c>
      <c r="E430">
        <v>0.84199999999999997</v>
      </c>
      <c r="F430">
        <v>97550.509000000005</v>
      </c>
      <c r="G430">
        <v>0</v>
      </c>
      <c r="L430" t="s">
        <v>8</v>
      </c>
      <c r="M430" t="s">
        <v>8</v>
      </c>
      <c r="N430" t="s">
        <v>7</v>
      </c>
      <c r="P430">
        <f t="shared" si="929"/>
        <v>-9.4890510948905993E-2</v>
      </c>
      <c r="Q430">
        <f t="shared" si="930"/>
        <v>-9256.6176423358538</v>
      </c>
      <c r="R430">
        <f t="shared" si="931"/>
        <v>-1826928.9395087052</v>
      </c>
      <c r="S430">
        <f t="shared" si="932"/>
        <v>-18.269289395087053</v>
      </c>
      <c r="T430">
        <f t="shared" si="933"/>
        <v>-1.8269289395087054E-2</v>
      </c>
    </row>
    <row r="431" spans="1:20" x14ac:dyDescent="0.25">
      <c r="A431" s="5">
        <v>44153</v>
      </c>
      <c r="B431">
        <v>0.88500000000000001</v>
      </c>
      <c r="C431">
        <v>0.93</v>
      </c>
      <c r="D431">
        <v>0.752</v>
      </c>
      <c r="E431">
        <v>0.82399999999999995</v>
      </c>
      <c r="F431">
        <v>116690.88400000001</v>
      </c>
      <c r="G431">
        <v>0</v>
      </c>
      <c r="L431" t="s">
        <v>7</v>
      </c>
      <c r="M431" t="s">
        <v>7</v>
      </c>
      <c r="N431" t="s">
        <v>7</v>
      </c>
      <c r="P431">
        <f t="shared" si="929"/>
        <v>-0.19101123595505692</v>
      </c>
      <c r="Q431">
        <f t="shared" si="930"/>
        <v>-22289.269977528176</v>
      </c>
      <c r="R431">
        <f t="shared" si="931"/>
        <v>-1817672.3218663693</v>
      </c>
      <c r="S431">
        <f t="shared" si="932"/>
        <v>-18.176723218663692</v>
      </c>
      <c r="T431">
        <f t="shared" si="933"/>
        <v>-1.8176723218663694E-2</v>
      </c>
    </row>
    <row r="432" spans="1:20" x14ac:dyDescent="0.25">
      <c r="A432" s="5">
        <v>44152</v>
      </c>
      <c r="B432">
        <v>1.0880000000000001</v>
      </c>
      <c r="C432">
        <v>1.095</v>
      </c>
      <c r="D432">
        <v>0.86</v>
      </c>
      <c r="E432">
        <v>0.88900000000000001</v>
      </c>
      <c r="F432">
        <v>303270.34499999997</v>
      </c>
      <c r="G432">
        <v>0</v>
      </c>
      <c r="L432" t="s">
        <v>7</v>
      </c>
      <c r="M432" t="s">
        <v>7</v>
      </c>
      <c r="N432" t="s">
        <v>7</v>
      </c>
      <c r="P432">
        <f t="shared" si="929"/>
        <v>-0.75319148936170188</v>
      </c>
      <c r="Q432">
        <f t="shared" si="930"/>
        <v>-228420.64282978713</v>
      </c>
      <c r="R432">
        <f t="shared" si="931"/>
        <v>-1795383.0518888412</v>
      </c>
      <c r="S432">
        <f t="shared" si="932"/>
        <v>-17.953830518888413</v>
      </c>
      <c r="T432">
        <f t="shared" si="933"/>
        <v>-1.7953830518888412E-2</v>
      </c>
    </row>
    <row r="433" spans="1:20" x14ac:dyDescent="0.25">
      <c r="A433" s="5">
        <v>44151</v>
      </c>
      <c r="B433">
        <v>1.133</v>
      </c>
      <c r="C433">
        <v>1.2470000000000001</v>
      </c>
      <c r="D433">
        <v>0.88300000000000001</v>
      </c>
      <c r="E433">
        <v>1.1060000000000001</v>
      </c>
      <c r="F433">
        <v>552690.05500000005</v>
      </c>
      <c r="G433">
        <v>0</v>
      </c>
      <c r="L433" t="s">
        <v>7</v>
      </c>
      <c r="M433" t="s">
        <v>7</v>
      </c>
      <c r="N433" t="s">
        <v>7</v>
      </c>
      <c r="P433">
        <f t="shared" si="929"/>
        <v>0.22527472527472542</v>
      </c>
      <c r="Q433">
        <f t="shared" si="930"/>
        <v>124507.1003021979</v>
      </c>
      <c r="R433">
        <f t="shared" si="931"/>
        <v>-1566962.409059054</v>
      </c>
      <c r="S433">
        <f t="shared" si="932"/>
        <v>-15.66962409059054</v>
      </c>
      <c r="T433">
        <f t="shared" si="933"/>
        <v>-1.5669624090590539E-2</v>
      </c>
    </row>
    <row r="434" spans="1:20" x14ac:dyDescent="0.25">
      <c r="A434" s="5">
        <v>44150</v>
      </c>
      <c r="B434">
        <v>0.628</v>
      </c>
      <c r="C434">
        <v>1.59</v>
      </c>
      <c r="D434">
        <v>0.621</v>
      </c>
      <c r="E434">
        <v>1.133</v>
      </c>
      <c r="F434">
        <v>1232316.2009999999</v>
      </c>
      <c r="G434">
        <v>0</v>
      </c>
      <c r="L434" t="s">
        <v>8</v>
      </c>
      <c r="M434" t="s">
        <v>8</v>
      </c>
      <c r="N434" t="s">
        <v>8</v>
      </c>
      <c r="P434">
        <f t="shared" si="929"/>
        <v>5.675954592363254E-2</v>
      </c>
      <c r="Q434">
        <f t="shared" si="930"/>
        <v>69945.708003095875</v>
      </c>
      <c r="R434">
        <f t="shared" si="931"/>
        <v>-1691469.509361252</v>
      </c>
      <c r="S434">
        <f t="shared" si="932"/>
        <v>-16.914695093612519</v>
      </c>
      <c r="T434">
        <f t="shared" si="933"/>
        <v>-1.6914695093612517E-2</v>
      </c>
    </row>
    <row r="435" spans="1:20" x14ac:dyDescent="0.25">
      <c r="A435" s="5">
        <v>44149</v>
      </c>
      <c r="B435">
        <v>0.503</v>
      </c>
      <c r="C435">
        <v>0.90900000000000003</v>
      </c>
      <c r="D435">
        <v>0.502</v>
      </c>
      <c r="E435">
        <v>0.63400000000000001</v>
      </c>
      <c r="F435">
        <v>219965.60200000001</v>
      </c>
      <c r="G435">
        <v>0</v>
      </c>
      <c r="L435" t="s">
        <v>8</v>
      </c>
      <c r="M435" t="s">
        <v>8</v>
      </c>
      <c r="N435" t="s">
        <v>8</v>
      </c>
      <c r="P435">
        <f t="shared" si="929"/>
        <v>-0.35135135135135137</v>
      </c>
      <c r="Q435">
        <f t="shared" si="930"/>
        <v>-77285.211513513525</v>
      </c>
      <c r="R435">
        <f t="shared" si="931"/>
        <v>-1761415.2173643478</v>
      </c>
      <c r="S435">
        <f t="shared" si="932"/>
        <v>-17.614152173643479</v>
      </c>
      <c r="T435">
        <f t="shared" si="933"/>
        <v>-1.7614152173643479E-2</v>
      </c>
    </row>
    <row r="436" spans="1:20" x14ac:dyDescent="0.25">
      <c r="A436" s="5">
        <v>44148</v>
      </c>
      <c r="B436">
        <v>0.46100000000000002</v>
      </c>
      <c r="C436">
        <v>0.502</v>
      </c>
      <c r="D436">
        <v>0.46100000000000002</v>
      </c>
      <c r="E436">
        <v>0.497</v>
      </c>
      <c r="F436">
        <v>12392.096</v>
      </c>
      <c r="G436">
        <v>0</v>
      </c>
      <c r="L436" t="s">
        <v>8</v>
      </c>
      <c r="M436" t="s">
        <v>7</v>
      </c>
      <c r="N436" t="s">
        <v>8</v>
      </c>
      <c r="P436">
        <f t="shared" si="929"/>
        <v>0.75609756097560943</v>
      </c>
      <c r="Q436">
        <f t="shared" si="930"/>
        <v>9369.6335609756061</v>
      </c>
      <c r="R436">
        <f t="shared" si="931"/>
        <v>-1684130.0058508343</v>
      </c>
      <c r="S436">
        <f t="shared" si="932"/>
        <v>-16.841300058508342</v>
      </c>
      <c r="T436">
        <f t="shared" si="933"/>
        <v>-1.6841300058508341E-2</v>
      </c>
    </row>
    <row r="437" spans="1:20" x14ac:dyDescent="0.25">
      <c r="A437" s="5">
        <v>44147</v>
      </c>
      <c r="B437">
        <v>0.48699999999999999</v>
      </c>
      <c r="C437">
        <v>0.51200000000000001</v>
      </c>
      <c r="D437">
        <v>0.45300000000000001</v>
      </c>
      <c r="E437">
        <v>0.47</v>
      </c>
      <c r="F437">
        <v>14808.39</v>
      </c>
      <c r="G437">
        <v>0</v>
      </c>
      <c r="L437" t="s">
        <v>7</v>
      </c>
      <c r="M437" t="s">
        <v>7</v>
      </c>
      <c r="N437" t="s">
        <v>8</v>
      </c>
      <c r="P437">
        <f t="shared" si="929"/>
        <v>-0.42372881355932335</v>
      </c>
      <c r="Q437">
        <f t="shared" si="930"/>
        <v>-6274.7415254237476</v>
      </c>
      <c r="R437">
        <f t="shared" si="931"/>
        <v>-1693499.6394118099</v>
      </c>
      <c r="S437">
        <f t="shared" si="932"/>
        <v>-16.934996394118098</v>
      </c>
      <c r="T437">
        <f t="shared" si="933"/>
        <v>-1.6934996394118097E-2</v>
      </c>
    </row>
    <row r="438" spans="1:20" x14ac:dyDescent="0.25">
      <c r="A438" s="5">
        <v>44146</v>
      </c>
      <c r="B438">
        <v>0.51200000000000001</v>
      </c>
      <c r="C438">
        <v>0.6</v>
      </c>
      <c r="D438">
        <v>0.47499999999999998</v>
      </c>
      <c r="E438">
        <v>0.49299999999999999</v>
      </c>
      <c r="F438">
        <v>69817.366999999998</v>
      </c>
      <c r="G438">
        <v>0</v>
      </c>
      <c r="L438" t="s">
        <v>8</v>
      </c>
      <c r="M438" t="s">
        <v>8</v>
      </c>
      <c r="N438" t="s">
        <v>8</v>
      </c>
      <c r="P438">
        <f t="shared" si="929"/>
        <v>-0.71199999999999974</v>
      </c>
      <c r="Q438">
        <f t="shared" si="930"/>
        <v>-49709.965303999983</v>
      </c>
      <c r="R438">
        <f t="shared" si="931"/>
        <v>-1687224.8978863861</v>
      </c>
      <c r="S438">
        <f t="shared" si="932"/>
        <v>-16.872248978863862</v>
      </c>
      <c r="T438">
        <f t="shared" si="933"/>
        <v>-1.6872248978863861E-2</v>
      </c>
    </row>
    <row r="439" spans="1:20" x14ac:dyDescent="0.25">
      <c r="A439" s="5">
        <v>44145</v>
      </c>
      <c r="B439">
        <v>0.435</v>
      </c>
      <c r="C439">
        <v>0.55000000000000004</v>
      </c>
      <c r="D439">
        <v>0.41799999999999998</v>
      </c>
      <c r="E439">
        <v>0.51900000000000002</v>
      </c>
      <c r="F439">
        <v>62803.052000000003</v>
      </c>
      <c r="G439">
        <v>0</v>
      </c>
      <c r="L439" t="s">
        <v>7</v>
      </c>
      <c r="M439" t="s">
        <v>8</v>
      </c>
      <c r="N439" t="s">
        <v>7</v>
      </c>
      <c r="P439">
        <f t="shared" si="929"/>
        <v>0.53030303030303005</v>
      </c>
      <c r="Q439">
        <f t="shared" si="930"/>
        <v>33304.648787878774</v>
      </c>
      <c r="R439">
        <f t="shared" si="931"/>
        <v>-1637514.9325823861</v>
      </c>
      <c r="S439">
        <f t="shared" si="932"/>
        <v>-16.375149325823859</v>
      </c>
      <c r="T439">
        <f t="shared" si="933"/>
        <v>-1.637514932582386E-2</v>
      </c>
    </row>
    <row r="440" spans="1:20" x14ac:dyDescent="0.25">
      <c r="A440" s="5">
        <v>44144</v>
      </c>
      <c r="B440">
        <v>0.47199999999999998</v>
      </c>
      <c r="C440">
        <v>0.48699999999999999</v>
      </c>
      <c r="D440">
        <v>0.433</v>
      </c>
      <c r="E440">
        <v>0.438</v>
      </c>
      <c r="F440">
        <v>19367.446</v>
      </c>
      <c r="G440">
        <v>0</v>
      </c>
      <c r="L440" t="s">
        <v>7</v>
      </c>
      <c r="M440" t="s">
        <v>7</v>
      </c>
      <c r="N440" t="s">
        <v>7</v>
      </c>
      <c r="P440">
        <f t="shared" si="929"/>
        <v>-0.81481481481481466</v>
      </c>
      <c r="Q440">
        <f t="shared" si="930"/>
        <v>-15780.881925925923</v>
      </c>
      <c r="R440">
        <f t="shared" si="931"/>
        <v>-1670819.5813702648</v>
      </c>
      <c r="S440">
        <f t="shared" si="932"/>
        <v>-16.708195813702648</v>
      </c>
      <c r="T440">
        <f t="shared" si="933"/>
        <v>-1.6708195813702649E-2</v>
      </c>
    </row>
    <row r="441" spans="1:20" x14ac:dyDescent="0.25">
      <c r="A441" s="5">
        <v>44143</v>
      </c>
      <c r="B441">
        <v>0.45600000000000002</v>
      </c>
      <c r="C441">
        <v>0.50700000000000001</v>
      </c>
      <c r="D441">
        <v>0.41499999999999998</v>
      </c>
      <c r="E441">
        <v>0.47499999999999998</v>
      </c>
      <c r="F441">
        <v>34999.347000000002</v>
      </c>
      <c r="G441">
        <v>0</v>
      </c>
      <c r="L441" t="s">
        <v>8</v>
      </c>
      <c r="M441" t="s">
        <v>8</v>
      </c>
      <c r="N441" t="s">
        <v>7</v>
      </c>
      <c r="P441">
        <f t="shared" si="929"/>
        <v>0.3043478260869561</v>
      </c>
      <c r="Q441">
        <f t="shared" si="930"/>
        <v>10651.97517391303</v>
      </c>
      <c r="R441">
        <f t="shared" si="931"/>
        <v>-1655038.6994443389</v>
      </c>
      <c r="S441">
        <f t="shared" si="932"/>
        <v>-16.550386994443389</v>
      </c>
      <c r="T441">
        <f t="shared" si="933"/>
        <v>-1.6550386994443389E-2</v>
      </c>
    </row>
    <row r="442" spans="1:20" x14ac:dyDescent="0.25">
      <c r="A442" s="5">
        <v>44142</v>
      </c>
      <c r="B442">
        <v>0.44400000000000001</v>
      </c>
      <c r="C442">
        <v>0.55500000000000005</v>
      </c>
      <c r="D442">
        <v>0.40100000000000002</v>
      </c>
      <c r="E442">
        <v>0.44600000000000001</v>
      </c>
      <c r="F442">
        <v>114496.83100000001</v>
      </c>
      <c r="G442">
        <v>0</v>
      </c>
      <c r="L442" t="s">
        <v>7</v>
      </c>
      <c r="M442" t="s">
        <v>7</v>
      </c>
      <c r="N442" t="s">
        <v>7</v>
      </c>
      <c r="P442">
        <f t="shared" si="929"/>
        <v>-0.41558441558441589</v>
      </c>
      <c r="Q442">
        <f t="shared" si="930"/>
        <v>-47583.098597402633</v>
      </c>
      <c r="R442">
        <f t="shared" si="931"/>
        <v>-1665690.6746182519</v>
      </c>
      <c r="S442">
        <f t="shared" si="932"/>
        <v>-16.656906746182518</v>
      </c>
      <c r="T442">
        <f t="shared" si="933"/>
        <v>-1.6656906746182518E-2</v>
      </c>
    </row>
    <row r="443" spans="1:20" x14ac:dyDescent="0.25">
      <c r="A443" s="5">
        <v>44141</v>
      </c>
      <c r="B443">
        <v>0.39400000000000002</v>
      </c>
      <c r="C443">
        <v>0.56799999999999995</v>
      </c>
      <c r="D443">
        <v>0.378</v>
      </c>
      <c r="E443">
        <v>0.43099999999999999</v>
      </c>
      <c r="F443">
        <v>96790.906000000003</v>
      </c>
      <c r="G443">
        <v>0</v>
      </c>
      <c r="L443" t="s">
        <v>8</v>
      </c>
      <c r="M443" t="s">
        <v>8</v>
      </c>
      <c r="N443" t="s">
        <v>8</v>
      </c>
      <c r="P443">
        <f t="shared" si="929"/>
        <v>-0.44210526315789467</v>
      </c>
      <c r="Q443">
        <f t="shared" si="930"/>
        <v>-42791.768968421049</v>
      </c>
      <c r="R443">
        <f t="shared" si="931"/>
        <v>-1618107.5760208492</v>
      </c>
      <c r="S443">
        <f t="shared" si="932"/>
        <v>-16.181075760208493</v>
      </c>
      <c r="T443">
        <f t="shared" si="933"/>
        <v>-1.6181075760208493E-2</v>
      </c>
    </row>
    <row r="444" spans="1:20" x14ac:dyDescent="0.25">
      <c r="A444" s="5">
        <v>44140</v>
      </c>
      <c r="B444">
        <v>0.41299999999999998</v>
      </c>
      <c r="C444">
        <v>0.42399999999999999</v>
      </c>
      <c r="D444">
        <v>0.39</v>
      </c>
      <c r="E444">
        <v>0.39</v>
      </c>
      <c r="F444">
        <v>66885.618000000002</v>
      </c>
      <c r="G444">
        <v>0</v>
      </c>
      <c r="L444" t="s">
        <v>8</v>
      </c>
      <c r="M444" t="s">
        <v>7</v>
      </c>
      <c r="N444" t="s">
        <v>7</v>
      </c>
      <c r="P444">
        <f t="shared" si="929"/>
        <v>-1</v>
      </c>
      <c r="Q444">
        <f t="shared" si="930"/>
        <v>-66885.618000000002</v>
      </c>
      <c r="R444">
        <f t="shared" si="931"/>
        <v>-1575315.8070524281</v>
      </c>
      <c r="S444">
        <f t="shared" si="932"/>
        <v>-15.753158070524281</v>
      </c>
      <c r="T444">
        <f t="shared" si="933"/>
        <v>-1.5753158070524281E-2</v>
      </c>
    </row>
    <row r="445" spans="1:20" x14ac:dyDescent="0.25">
      <c r="A445" s="5">
        <v>44139</v>
      </c>
      <c r="B445">
        <v>0.40200000000000002</v>
      </c>
      <c r="C445">
        <v>0.44500000000000001</v>
      </c>
      <c r="D445">
        <v>0.38</v>
      </c>
      <c r="E445">
        <v>0.40899999999999997</v>
      </c>
      <c r="F445">
        <v>53756.095000000001</v>
      </c>
      <c r="G445">
        <v>0</v>
      </c>
      <c r="L445" t="s">
        <v>7</v>
      </c>
      <c r="M445" t="s">
        <v>7</v>
      </c>
      <c r="N445" t="s">
        <v>7</v>
      </c>
      <c r="P445">
        <f t="shared" ref="P445:P508" si="934">IF(C445=D445,0,((E445-D445)-(C445-E445))/(C445-D445))</f>
        <v>-0.10769230769230864</v>
      </c>
      <c r="Q445">
        <f t="shared" ref="Q445:Q508" si="935">F445*P445</f>
        <v>-5789.117923076974</v>
      </c>
      <c r="R445">
        <f t="shared" ref="R445:R508" si="936">R446+Q445</f>
        <v>-1508430.1890524281</v>
      </c>
      <c r="S445">
        <f t="shared" ref="S445:S508" si="937">R445/100000</f>
        <v>-15.084301890524282</v>
      </c>
      <c r="T445">
        <f t="shared" ref="T445:T508" si="938">S445/1000</f>
        <v>-1.5084301890524282E-2</v>
      </c>
    </row>
    <row r="446" spans="1:20" x14ac:dyDescent="0.25">
      <c r="A446" s="5">
        <v>44138</v>
      </c>
      <c r="B446">
        <v>0.45800000000000002</v>
      </c>
      <c r="C446">
        <v>0.45900000000000002</v>
      </c>
      <c r="D446">
        <v>0.39</v>
      </c>
      <c r="E446">
        <v>0.40100000000000002</v>
      </c>
      <c r="F446">
        <v>40871.264999999999</v>
      </c>
      <c r="G446">
        <v>0</v>
      </c>
      <c r="L446" t="s">
        <v>7</v>
      </c>
      <c r="M446" t="s">
        <v>7</v>
      </c>
      <c r="N446" t="s">
        <v>7</v>
      </c>
      <c r="P446">
        <f t="shared" si="934"/>
        <v>-0.68115942028985477</v>
      </c>
      <c r="Q446">
        <f t="shared" si="935"/>
        <v>-27839.847173913029</v>
      </c>
      <c r="R446">
        <f t="shared" si="936"/>
        <v>-1502641.0711293512</v>
      </c>
      <c r="S446">
        <f t="shared" si="937"/>
        <v>-15.026410711293511</v>
      </c>
      <c r="T446">
        <f t="shared" si="938"/>
        <v>-1.5026410711293511E-2</v>
      </c>
    </row>
    <row r="447" spans="1:20" x14ac:dyDescent="0.25">
      <c r="A447" s="5">
        <v>44137</v>
      </c>
      <c r="B447">
        <v>0.49</v>
      </c>
      <c r="C447">
        <v>0.51100000000000001</v>
      </c>
      <c r="D447">
        <v>0.41599999999999998</v>
      </c>
      <c r="E447">
        <v>0.44800000000000001</v>
      </c>
      <c r="F447">
        <v>78068.481</v>
      </c>
      <c r="G447">
        <v>0</v>
      </c>
      <c r="L447" t="s">
        <v>7</v>
      </c>
      <c r="M447" t="s">
        <v>7</v>
      </c>
      <c r="N447" t="s">
        <v>7</v>
      </c>
      <c r="P447">
        <f t="shared" si="934"/>
        <v>-0.32631578947368384</v>
      </c>
      <c r="Q447">
        <f t="shared" si="935"/>
        <v>-25474.978010526287</v>
      </c>
      <c r="R447">
        <f t="shared" si="936"/>
        <v>-1474801.2239554382</v>
      </c>
      <c r="S447">
        <f t="shared" si="937"/>
        <v>-14.748012239554383</v>
      </c>
      <c r="T447">
        <f t="shared" si="938"/>
        <v>-1.4748012239554383E-2</v>
      </c>
    </row>
    <row r="448" spans="1:20" x14ac:dyDescent="0.25">
      <c r="A448" s="5">
        <v>44136</v>
      </c>
      <c r="B448">
        <v>0.51700000000000002</v>
      </c>
      <c r="C448">
        <v>0.56599999999999995</v>
      </c>
      <c r="D448">
        <v>0.45700000000000002</v>
      </c>
      <c r="E448">
        <v>0.48699999999999999</v>
      </c>
      <c r="F448">
        <v>70905.297999999995</v>
      </c>
      <c r="G448">
        <v>0</v>
      </c>
      <c r="L448" t="s">
        <v>7</v>
      </c>
      <c r="M448" t="s">
        <v>7</v>
      </c>
      <c r="N448" t="s">
        <v>7</v>
      </c>
      <c r="P448">
        <f t="shared" si="934"/>
        <v>-0.44954128440366992</v>
      </c>
      <c r="Q448">
        <f t="shared" si="935"/>
        <v>-31874.858733944966</v>
      </c>
      <c r="R448">
        <f t="shared" si="936"/>
        <v>-1449326.2459449118</v>
      </c>
      <c r="S448">
        <f t="shared" si="937"/>
        <v>-14.493262459449118</v>
      </c>
      <c r="T448">
        <f t="shared" si="938"/>
        <v>-1.4493262459449119E-2</v>
      </c>
    </row>
    <row r="449" spans="1:20" x14ac:dyDescent="0.25">
      <c r="A449" s="5">
        <v>44135</v>
      </c>
      <c r="B449">
        <v>0.56999999999999995</v>
      </c>
      <c r="C449">
        <v>0.56999999999999995</v>
      </c>
      <c r="D449">
        <v>0.50900000000000001</v>
      </c>
      <c r="E449">
        <v>0.52200000000000002</v>
      </c>
      <c r="F449">
        <v>42055.62</v>
      </c>
      <c r="G449">
        <v>0</v>
      </c>
      <c r="L449" t="s">
        <v>7</v>
      </c>
      <c r="M449" t="s">
        <v>7</v>
      </c>
      <c r="N449" t="s">
        <v>7</v>
      </c>
      <c r="P449">
        <f t="shared" si="934"/>
        <v>-0.57377049180327788</v>
      </c>
      <c r="Q449">
        <f t="shared" si="935"/>
        <v>-24130.273770491771</v>
      </c>
      <c r="R449">
        <f t="shared" si="936"/>
        <v>-1417451.3872109668</v>
      </c>
      <c r="S449">
        <f t="shared" si="937"/>
        <v>-14.174513872109667</v>
      </c>
      <c r="T449">
        <f t="shared" si="938"/>
        <v>-1.4174513872109667E-2</v>
      </c>
    </row>
    <row r="450" spans="1:20" x14ac:dyDescent="0.25">
      <c r="A450" s="5">
        <v>44134</v>
      </c>
      <c r="B450">
        <v>0.60199999999999998</v>
      </c>
      <c r="C450">
        <v>0.60399999999999998</v>
      </c>
      <c r="D450">
        <v>0.52</v>
      </c>
      <c r="E450">
        <v>0.55800000000000005</v>
      </c>
      <c r="F450">
        <v>61346.122000000003</v>
      </c>
      <c r="G450">
        <v>0</v>
      </c>
      <c r="L450" t="s">
        <v>7</v>
      </c>
      <c r="M450" t="s">
        <v>7</v>
      </c>
      <c r="N450" t="s">
        <v>7</v>
      </c>
      <c r="P450">
        <f t="shared" si="934"/>
        <v>-9.5238095238094039E-2</v>
      </c>
      <c r="Q450">
        <f t="shared" si="935"/>
        <v>-5842.4878095237364</v>
      </c>
      <c r="R450">
        <f t="shared" si="936"/>
        <v>-1393321.113440475</v>
      </c>
      <c r="S450">
        <f t="shared" si="937"/>
        <v>-13.93321113440475</v>
      </c>
      <c r="T450">
        <f t="shared" si="938"/>
        <v>-1.393321113440475E-2</v>
      </c>
    </row>
    <row r="451" spans="1:20" x14ac:dyDescent="0.25">
      <c r="A451" s="5">
        <v>44133</v>
      </c>
      <c r="B451">
        <v>0.61</v>
      </c>
      <c r="C451">
        <v>0.625</v>
      </c>
      <c r="D451">
        <v>0.59299999999999997</v>
      </c>
      <c r="E451">
        <v>0.59899999999999998</v>
      </c>
      <c r="F451">
        <v>38124.406000000003</v>
      </c>
      <c r="G451">
        <v>0</v>
      </c>
      <c r="L451" t="s">
        <v>7</v>
      </c>
      <c r="M451" t="s">
        <v>7</v>
      </c>
      <c r="N451" t="s">
        <v>7</v>
      </c>
      <c r="P451">
        <f t="shared" si="934"/>
        <v>-0.625</v>
      </c>
      <c r="Q451">
        <f t="shared" si="935"/>
        <v>-23827.753750000003</v>
      </c>
      <c r="R451">
        <f t="shared" si="936"/>
        <v>-1387478.6256309513</v>
      </c>
      <c r="S451">
        <f t="shared" si="937"/>
        <v>-13.874786256309513</v>
      </c>
      <c r="T451">
        <f t="shared" si="938"/>
        <v>-1.3874786256309512E-2</v>
      </c>
    </row>
    <row r="452" spans="1:20" x14ac:dyDescent="0.25">
      <c r="A452" s="5">
        <v>44132</v>
      </c>
      <c r="B452">
        <v>0.68400000000000005</v>
      </c>
      <c r="C452">
        <v>0.72</v>
      </c>
      <c r="D452">
        <v>0.60399999999999998</v>
      </c>
      <c r="E452">
        <v>0.60599999999999998</v>
      </c>
      <c r="F452">
        <v>21219.207999999999</v>
      </c>
      <c r="G452">
        <v>0</v>
      </c>
      <c r="L452" t="s">
        <v>7</v>
      </c>
      <c r="M452" t="s">
        <v>7</v>
      </c>
      <c r="N452" t="s">
        <v>7</v>
      </c>
      <c r="P452">
        <f t="shared" si="934"/>
        <v>-0.96551724137931028</v>
      </c>
      <c r="Q452">
        <f t="shared" si="935"/>
        <v>-20487.51117241379</v>
      </c>
      <c r="R452">
        <f t="shared" si="936"/>
        <v>-1363650.8718809513</v>
      </c>
      <c r="S452">
        <f t="shared" si="937"/>
        <v>-13.636508718809514</v>
      </c>
      <c r="T452">
        <f t="shared" si="938"/>
        <v>-1.3636508718809514E-2</v>
      </c>
    </row>
    <row r="453" spans="1:20" x14ac:dyDescent="0.25">
      <c r="A453" s="5">
        <v>44131</v>
      </c>
      <c r="B453">
        <v>0.68700000000000006</v>
      </c>
      <c r="C453">
        <v>0.74299999999999999</v>
      </c>
      <c r="D453">
        <v>0.64100000000000001</v>
      </c>
      <c r="E453">
        <v>0.68500000000000005</v>
      </c>
      <c r="F453">
        <v>29159.764999999999</v>
      </c>
      <c r="G453">
        <v>0</v>
      </c>
      <c r="L453" t="s">
        <v>7</v>
      </c>
      <c r="M453" t="s">
        <v>7</v>
      </c>
      <c r="N453" t="s">
        <v>7</v>
      </c>
      <c r="P453">
        <f t="shared" si="934"/>
        <v>-0.13725490196078338</v>
      </c>
      <c r="Q453">
        <f t="shared" si="935"/>
        <v>-4002.3206862744823</v>
      </c>
      <c r="R453">
        <f t="shared" si="936"/>
        <v>-1343163.3607085375</v>
      </c>
      <c r="S453">
        <f t="shared" si="937"/>
        <v>-13.431633607085375</v>
      </c>
      <c r="T453">
        <f t="shared" si="938"/>
        <v>-1.3431633607085375E-2</v>
      </c>
    </row>
    <row r="454" spans="1:20" x14ac:dyDescent="0.25">
      <c r="A454" s="5">
        <v>44130</v>
      </c>
      <c r="B454">
        <v>0.61599999999999999</v>
      </c>
      <c r="C454">
        <v>0.76400000000000001</v>
      </c>
      <c r="D454">
        <v>0.60599999999999998</v>
      </c>
      <c r="E454">
        <v>0.68899999999999995</v>
      </c>
      <c r="F454">
        <v>69858.659</v>
      </c>
      <c r="G454">
        <v>0</v>
      </c>
      <c r="L454" t="s">
        <v>8</v>
      </c>
      <c r="M454" t="s">
        <v>8</v>
      </c>
      <c r="N454" t="s">
        <v>7</v>
      </c>
      <c r="P454">
        <f t="shared" si="934"/>
        <v>5.0632911392404396E-2</v>
      </c>
      <c r="Q454">
        <f t="shared" si="935"/>
        <v>3537.1472911391938</v>
      </c>
      <c r="R454">
        <f t="shared" si="936"/>
        <v>-1339161.0400222631</v>
      </c>
      <c r="S454">
        <f t="shared" si="937"/>
        <v>-13.39161040022263</v>
      </c>
      <c r="T454">
        <f t="shared" si="938"/>
        <v>-1.3391610400222629E-2</v>
      </c>
    </row>
    <row r="455" spans="1:20" x14ac:dyDescent="0.25">
      <c r="A455" s="5">
        <v>44129</v>
      </c>
      <c r="B455">
        <v>0.65500000000000003</v>
      </c>
      <c r="C455">
        <v>0.67</v>
      </c>
      <c r="D455">
        <v>0.60099999999999998</v>
      </c>
      <c r="E455">
        <v>0.61599999999999999</v>
      </c>
      <c r="F455">
        <v>23469.69</v>
      </c>
      <c r="G455">
        <v>0</v>
      </c>
      <c r="L455" t="s">
        <v>7</v>
      </c>
      <c r="M455" t="s">
        <v>8</v>
      </c>
      <c r="N455" t="s">
        <v>7</v>
      </c>
      <c r="P455">
        <f t="shared" si="934"/>
        <v>-0.56521739130434778</v>
      </c>
      <c r="Q455">
        <f t="shared" si="935"/>
        <v>-13265.476956521738</v>
      </c>
      <c r="R455">
        <f t="shared" si="936"/>
        <v>-1342698.1873134023</v>
      </c>
      <c r="S455">
        <f t="shared" si="937"/>
        <v>-13.426981873134023</v>
      </c>
      <c r="T455">
        <f t="shared" si="938"/>
        <v>-1.3426981873134023E-2</v>
      </c>
    </row>
    <row r="456" spans="1:20" x14ac:dyDescent="0.25">
      <c r="A456" s="5">
        <v>44128</v>
      </c>
      <c r="B456">
        <v>0.63</v>
      </c>
      <c r="C456">
        <v>0.68300000000000005</v>
      </c>
      <c r="D456">
        <v>0.63</v>
      </c>
      <c r="E456">
        <v>0.65500000000000003</v>
      </c>
      <c r="F456">
        <v>21862.106</v>
      </c>
      <c r="G456">
        <v>0</v>
      </c>
      <c r="L456" t="s">
        <v>8</v>
      </c>
      <c r="M456" t="s">
        <v>8</v>
      </c>
      <c r="N456" t="s">
        <v>7</v>
      </c>
      <c r="P456">
        <f t="shared" si="934"/>
        <v>-5.6603773584905662E-2</v>
      </c>
      <c r="Q456">
        <f t="shared" si="935"/>
        <v>-1237.4776981132075</v>
      </c>
      <c r="R456">
        <f t="shared" si="936"/>
        <v>-1329432.7103568807</v>
      </c>
      <c r="S456">
        <f t="shared" si="937"/>
        <v>-13.294327103568806</v>
      </c>
      <c r="T456">
        <f t="shared" si="938"/>
        <v>-1.3294327103568806E-2</v>
      </c>
    </row>
    <row r="457" spans="1:20" x14ac:dyDescent="0.25">
      <c r="A457" s="5">
        <v>44127</v>
      </c>
      <c r="B457">
        <v>0.61099999999999999</v>
      </c>
      <c r="C457">
        <v>0.65100000000000002</v>
      </c>
      <c r="D457">
        <v>0.60799999999999998</v>
      </c>
      <c r="E457">
        <v>0.63200000000000001</v>
      </c>
      <c r="F457">
        <v>45397.2</v>
      </c>
      <c r="G457">
        <v>0</v>
      </c>
      <c r="L457" t="s">
        <v>8</v>
      </c>
      <c r="M457" t="s">
        <v>8</v>
      </c>
      <c r="N457" t="s">
        <v>7</v>
      </c>
      <c r="P457">
        <f t="shared" si="934"/>
        <v>0.11627906976744186</v>
      </c>
      <c r="Q457">
        <f t="shared" si="935"/>
        <v>5278.7441860465115</v>
      </c>
      <c r="R457">
        <f t="shared" si="936"/>
        <v>-1328195.2326587674</v>
      </c>
      <c r="S457">
        <f t="shared" si="937"/>
        <v>-13.281952326587673</v>
      </c>
      <c r="T457">
        <f t="shared" si="938"/>
        <v>-1.3281952326587673E-2</v>
      </c>
    </row>
    <row r="458" spans="1:20" x14ac:dyDescent="0.25">
      <c r="A458" s="5">
        <v>44126</v>
      </c>
      <c r="B458">
        <v>0.61799999999999999</v>
      </c>
      <c r="C458">
        <v>0.621</v>
      </c>
      <c r="D458">
        <v>0.6</v>
      </c>
      <c r="E458">
        <v>0.60299999999999998</v>
      </c>
      <c r="F458">
        <v>30523.743999999999</v>
      </c>
      <c r="G458">
        <v>0</v>
      </c>
      <c r="L458" t="s">
        <v>7</v>
      </c>
      <c r="M458" t="s">
        <v>8</v>
      </c>
      <c r="N458" t="s">
        <v>7</v>
      </c>
      <c r="P458">
        <f t="shared" si="934"/>
        <v>-0.7142857142857143</v>
      </c>
      <c r="Q458">
        <f t="shared" si="935"/>
        <v>-21802.674285714285</v>
      </c>
      <c r="R458">
        <f t="shared" si="936"/>
        <v>-1333473.9768448139</v>
      </c>
      <c r="S458">
        <f t="shared" si="937"/>
        <v>-13.33473976844814</v>
      </c>
      <c r="T458">
        <f t="shared" si="938"/>
        <v>-1.333473976844814E-2</v>
      </c>
    </row>
    <row r="459" spans="1:20" x14ac:dyDescent="0.25">
      <c r="A459" s="5">
        <v>44125</v>
      </c>
      <c r="B459">
        <v>0.64300000000000002</v>
      </c>
      <c r="C459">
        <v>0.64600000000000002</v>
      </c>
      <c r="D459">
        <v>0.60199999999999998</v>
      </c>
      <c r="E459">
        <v>0.61799999999999999</v>
      </c>
      <c r="F459">
        <v>24446.108</v>
      </c>
      <c r="G459">
        <v>0</v>
      </c>
      <c r="L459" t="s">
        <v>7</v>
      </c>
      <c r="M459" t="s">
        <v>8</v>
      </c>
      <c r="N459" t="s">
        <v>7</v>
      </c>
      <c r="P459">
        <f t="shared" si="934"/>
        <v>-0.27272727272727271</v>
      </c>
      <c r="Q459">
        <f t="shared" si="935"/>
        <v>-6667.1203636363634</v>
      </c>
      <c r="R459">
        <f t="shared" si="936"/>
        <v>-1311671.3025590996</v>
      </c>
      <c r="S459">
        <f t="shared" si="937"/>
        <v>-13.116713025590997</v>
      </c>
      <c r="T459">
        <f t="shared" si="938"/>
        <v>-1.3116713025590997E-2</v>
      </c>
    </row>
    <row r="460" spans="1:20" x14ac:dyDescent="0.25">
      <c r="A460" s="5">
        <v>44124</v>
      </c>
      <c r="B460">
        <v>0.63600000000000001</v>
      </c>
      <c r="C460">
        <v>0.68400000000000005</v>
      </c>
      <c r="D460">
        <v>0.61</v>
      </c>
      <c r="E460">
        <v>0.63700000000000001</v>
      </c>
      <c r="F460">
        <v>68851.437999999995</v>
      </c>
      <c r="G460">
        <v>0</v>
      </c>
      <c r="L460" t="s">
        <v>8</v>
      </c>
      <c r="M460" t="s">
        <v>8</v>
      </c>
      <c r="N460" t="s">
        <v>7</v>
      </c>
      <c r="P460">
        <f t="shared" si="934"/>
        <v>-0.27027027027027029</v>
      </c>
      <c r="Q460">
        <f t="shared" si="935"/>
        <v>-18608.496756756755</v>
      </c>
      <c r="R460">
        <f t="shared" si="936"/>
        <v>-1305004.1821954632</v>
      </c>
      <c r="S460">
        <f t="shared" si="937"/>
        <v>-13.050041821954633</v>
      </c>
      <c r="T460">
        <f t="shared" si="938"/>
        <v>-1.3050041821954633E-2</v>
      </c>
    </row>
    <row r="461" spans="1:20" x14ac:dyDescent="0.25">
      <c r="A461" s="5">
        <v>44123</v>
      </c>
      <c r="B461">
        <v>0.61399999999999999</v>
      </c>
      <c r="C461">
        <v>0.622</v>
      </c>
      <c r="D461">
        <v>0.6</v>
      </c>
      <c r="E461">
        <v>0.61799999999999999</v>
      </c>
      <c r="F461">
        <v>22925.508000000002</v>
      </c>
      <c r="G461">
        <v>0</v>
      </c>
      <c r="L461" t="s">
        <v>8</v>
      </c>
      <c r="M461" t="s">
        <v>7</v>
      </c>
      <c r="N461" t="s">
        <v>7</v>
      </c>
      <c r="P461">
        <f t="shared" si="934"/>
        <v>0.63636363636363635</v>
      </c>
      <c r="Q461">
        <f t="shared" si="935"/>
        <v>14588.959636363637</v>
      </c>
      <c r="R461">
        <f t="shared" si="936"/>
        <v>-1286395.6854387065</v>
      </c>
      <c r="S461">
        <f t="shared" si="937"/>
        <v>-12.863956854387066</v>
      </c>
      <c r="T461">
        <f t="shared" si="938"/>
        <v>-1.2863956854387066E-2</v>
      </c>
    </row>
    <row r="462" spans="1:20" x14ac:dyDescent="0.25">
      <c r="A462" s="5">
        <v>44122</v>
      </c>
      <c r="B462">
        <v>0.63800000000000001</v>
      </c>
      <c r="C462">
        <v>0.66</v>
      </c>
      <c r="D462">
        <v>0.58099999999999996</v>
      </c>
      <c r="E462">
        <v>0.61199999999999999</v>
      </c>
      <c r="F462">
        <v>60097.146000000001</v>
      </c>
      <c r="G462">
        <v>0</v>
      </c>
      <c r="L462" t="s">
        <v>7</v>
      </c>
      <c r="M462" t="s">
        <v>7</v>
      </c>
      <c r="N462" t="s">
        <v>7</v>
      </c>
      <c r="P462">
        <f t="shared" si="934"/>
        <v>-0.21518987341772153</v>
      </c>
      <c r="Q462">
        <f t="shared" si="935"/>
        <v>-12932.29724050633</v>
      </c>
      <c r="R462">
        <f t="shared" si="936"/>
        <v>-1300984.6450750702</v>
      </c>
      <c r="S462">
        <f t="shared" si="937"/>
        <v>-13.009846450750702</v>
      </c>
      <c r="T462">
        <f t="shared" si="938"/>
        <v>-1.3009846450750703E-2</v>
      </c>
    </row>
    <row r="463" spans="1:20" x14ac:dyDescent="0.25">
      <c r="A463" s="5">
        <v>44121</v>
      </c>
      <c r="B463">
        <v>0.61099999999999999</v>
      </c>
      <c r="C463">
        <v>0.67500000000000004</v>
      </c>
      <c r="D463">
        <v>0.6</v>
      </c>
      <c r="E463">
        <v>0.63200000000000001</v>
      </c>
      <c r="F463">
        <v>56998.053999999996</v>
      </c>
      <c r="G463">
        <v>0</v>
      </c>
      <c r="L463" t="s">
        <v>8</v>
      </c>
      <c r="M463" t="s">
        <v>7</v>
      </c>
      <c r="N463" t="s">
        <v>7</v>
      </c>
      <c r="P463">
        <f t="shared" si="934"/>
        <v>-0.14666666666666667</v>
      </c>
      <c r="Q463">
        <f t="shared" si="935"/>
        <v>-8359.7145866666669</v>
      </c>
      <c r="R463">
        <f t="shared" si="936"/>
        <v>-1288052.3478345638</v>
      </c>
      <c r="S463">
        <f t="shared" si="937"/>
        <v>-12.880523478345639</v>
      </c>
      <c r="T463">
        <f t="shared" si="938"/>
        <v>-1.2880523478345639E-2</v>
      </c>
    </row>
    <row r="464" spans="1:20" x14ac:dyDescent="0.25">
      <c r="A464" s="5">
        <v>44120</v>
      </c>
      <c r="B464">
        <v>0.64900000000000002</v>
      </c>
      <c r="C464">
        <v>0.65700000000000003</v>
      </c>
      <c r="D464">
        <v>0.59</v>
      </c>
      <c r="E464">
        <v>0.623</v>
      </c>
      <c r="F464">
        <v>115144.63400000001</v>
      </c>
      <c r="G464">
        <v>0</v>
      </c>
      <c r="L464" t="s">
        <v>7</v>
      </c>
      <c r="M464" t="s">
        <v>7</v>
      </c>
      <c r="N464" t="s">
        <v>7</v>
      </c>
      <c r="P464">
        <f t="shared" si="934"/>
        <v>-1.4925373134328358E-2</v>
      </c>
      <c r="Q464">
        <f t="shared" si="935"/>
        <v>-1718.5766268656716</v>
      </c>
      <c r="R464">
        <f t="shared" si="936"/>
        <v>-1279692.6332478973</v>
      </c>
      <c r="S464">
        <f t="shared" si="937"/>
        <v>-12.796926332478973</v>
      </c>
      <c r="T464">
        <f t="shared" si="938"/>
        <v>-1.2796926332478973E-2</v>
      </c>
    </row>
    <row r="465" spans="1:20" x14ac:dyDescent="0.25">
      <c r="A465" s="5">
        <v>44119</v>
      </c>
      <c r="B465">
        <v>0.67700000000000005</v>
      </c>
      <c r="C465">
        <v>0.71199999999999997</v>
      </c>
      <c r="D465">
        <v>0.626</v>
      </c>
      <c r="E465">
        <v>0.64200000000000002</v>
      </c>
      <c r="F465">
        <v>29440.6</v>
      </c>
      <c r="G465">
        <v>0</v>
      </c>
      <c r="L465" t="s">
        <v>7</v>
      </c>
      <c r="M465" t="s">
        <v>7</v>
      </c>
      <c r="N465" t="s">
        <v>8</v>
      </c>
      <c r="P465">
        <f t="shared" si="934"/>
        <v>-0.62790697674418561</v>
      </c>
      <c r="Q465">
        <f t="shared" si="935"/>
        <v>-18485.958139534869</v>
      </c>
      <c r="R465">
        <f t="shared" si="936"/>
        <v>-1277974.0566210316</v>
      </c>
      <c r="S465">
        <f t="shared" si="937"/>
        <v>-12.779740566210316</v>
      </c>
      <c r="T465">
        <f t="shared" si="938"/>
        <v>-1.2779740566210316E-2</v>
      </c>
    </row>
    <row r="466" spans="1:20" x14ac:dyDescent="0.25">
      <c r="A466" s="5">
        <v>44118</v>
      </c>
      <c r="B466">
        <v>0.755</v>
      </c>
      <c r="C466">
        <v>0.76100000000000001</v>
      </c>
      <c r="D466">
        <v>0.65</v>
      </c>
      <c r="E466">
        <v>0.67700000000000005</v>
      </c>
      <c r="F466">
        <v>53504.928999999996</v>
      </c>
      <c r="G466">
        <v>0</v>
      </c>
      <c r="L466" t="s">
        <v>7</v>
      </c>
      <c r="M466" t="s">
        <v>7</v>
      </c>
      <c r="N466" t="s">
        <v>8</v>
      </c>
      <c r="P466">
        <f t="shared" si="934"/>
        <v>-0.51351351351351304</v>
      </c>
      <c r="Q466">
        <f t="shared" si="935"/>
        <v>-27475.504081081053</v>
      </c>
      <c r="R466">
        <f t="shared" si="936"/>
        <v>-1259488.0984814968</v>
      </c>
      <c r="S466">
        <f t="shared" si="937"/>
        <v>-12.594880984814967</v>
      </c>
      <c r="T466">
        <f t="shared" si="938"/>
        <v>-1.2594880984814967E-2</v>
      </c>
    </row>
    <row r="467" spans="1:20" x14ac:dyDescent="0.25">
      <c r="A467" s="5">
        <v>44117</v>
      </c>
      <c r="B467">
        <v>0.751</v>
      </c>
      <c r="C467">
        <v>0.77700000000000002</v>
      </c>
      <c r="D467">
        <v>0.70699999999999996</v>
      </c>
      <c r="E467">
        <v>0.749</v>
      </c>
      <c r="F467">
        <v>17384.511999999999</v>
      </c>
      <c r="G467">
        <v>0</v>
      </c>
      <c r="L467" t="s">
        <v>8</v>
      </c>
      <c r="M467" t="s">
        <v>7</v>
      </c>
      <c r="N467" t="s">
        <v>8</v>
      </c>
      <c r="P467">
        <f t="shared" si="934"/>
        <v>0.2</v>
      </c>
      <c r="Q467">
        <f t="shared" si="935"/>
        <v>3476.9023999999999</v>
      </c>
      <c r="R467">
        <f t="shared" si="936"/>
        <v>-1232012.5944004157</v>
      </c>
      <c r="S467">
        <f t="shared" si="937"/>
        <v>-12.320125944004158</v>
      </c>
      <c r="T467">
        <f t="shared" si="938"/>
        <v>-1.2320125944004157E-2</v>
      </c>
    </row>
    <row r="468" spans="1:20" x14ac:dyDescent="0.25">
      <c r="A468" s="5">
        <v>44116</v>
      </c>
      <c r="B468">
        <v>0.77300000000000002</v>
      </c>
      <c r="C468">
        <v>0.84699999999999998</v>
      </c>
      <c r="D468">
        <v>0.7</v>
      </c>
      <c r="E468">
        <v>0.75700000000000001</v>
      </c>
      <c r="F468">
        <v>65161.692999999999</v>
      </c>
      <c r="G468">
        <v>0</v>
      </c>
      <c r="L468" t="s">
        <v>7</v>
      </c>
      <c r="M468" t="s">
        <v>7</v>
      </c>
      <c r="N468" t="s">
        <v>8</v>
      </c>
      <c r="P468">
        <f t="shared" si="934"/>
        <v>-0.22448979591836676</v>
      </c>
      <c r="Q468">
        <f t="shared" si="935"/>
        <v>-14628.135163265268</v>
      </c>
      <c r="R468">
        <f t="shared" si="936"/>
        <v>-1235489.4968004157</v>
      </c>
      <c r="S468">
        <f t="shared" si="937"/>
        <v>-12.354894968004157</v>
      </c>
      <c r="T468">
        <f t="shared" si="938"/>
        <v>-1.2354894968004156E-2</v>
      </c>
    </row>
    <row r="469" spans="1:20" x14ac:dyDescent="0.25">
      <c r="A469" s="5">
        <v>44115</v>
      </c>
      <c r="B469">
        <v>0.8</v>
      </c>
      <c r="C469">
        <v>0.82799999999999996</v>
      </c>
      <c r="D469">
        <v>0.75800000000000001</v>
      </c>
      <c r="E469">
        <v>0.78100000000000003</v>
      </c>
      <c r="F469">
        <v>36400.256999999998</v>
      </c>
      <c r="G469">
        <v>0</v>
      </c>
      <c r="L469" t="s">
        <v>7</v>
      </c>
      <c r="M469" t="s">
        <v>8</v>
      </c>
      <c r="N469" t="s">
        <v>8</v>
      </c>
      <c r="P469">
        <f t="shared" si="934"/>
        <v>-0.34285714285714181</v>
      </c>
      <c r="Q469">
        <f t="shared" si="935"/>
        <v>-12480.088114285676</v>
      </c>
      <c r="R469">
        <f t="shared" si="936"/>
        <v>-1220861.3616371504</v>
      </c>
      <c r="S469">
        <f t="shared" si="937"/>
        <v>-12.208613616371505</v>
      </c>
      <c r="T469">
        <f t="shared" si="938"/>
        <v>-1.2208613616371504E-2</v>
      </c>
    </row>
    <row r="470" spans="1:20" x14ac:dyDescent="0.25">
      <c r="A470" s="5">
        <v>44114</v>
      </c>
      <c r="B470">
        <v>0.79300000000000004</v>
      </c>
      <c r="C470">
        <v>0.88900000000000001</v>
      </c>
      <c r="D470">
        <v>0.76500000000000001</v>
      </c>
      <c r="E470">
        <v>0.79900000000000004</v>
      </c>
      <c r="F470">
        <v>78705.316999999995</v>
      </c>
      <c r="G470">
        <v>0</v>
      </c>
      <c r="L470" t="s">
        <v>8</v>
      </c>
      <c r="M470" t="s">
        <v>8</v>
      </c>
      <c r="N470" t="s">
        <v>8</v>
      </c>
      <c r="P470">
        <f t="shared" si="934"/>
        <v>-0.45161290322580594</v>
      </c>
      <c r="Q470">
        <f t="shared" si="935"/>
        <v>-35544.33670967738</v>
      </c>
      <c r="R470">
        <f t="shared" si="936"/>
        <v>-1208381.2735228648</v>
      </c>
      <c r="S470">
        <f t="shared" si="937"/>
        <v>-12.083812735228648</v>
      </c>
      <c r="T470">
        <f t="shared" si="938"/>
        <v>-1.2083812735228648E-2</v>
      </c>
    </row>
    <row r="471" spans="1:20" x14ac:dyDescent="0.25">
      <c r="A471" s="5">
        <v>44113</v>
      </c>
      <c r="B471">
        <v>0.68600000000000005</v>
      </c>
      <c r="C471">
        <v>0.83299999999999996</v>
      </c>
      <c r="D471">
        <v>0.64900000000000002</v>
      </c>
      <c r="E471">
        <v>0.77400000000000002</v>
      </c>
      <c r="F471">
        <v>89971.126000000004</v>
      </c>
      <c r="G471">
        <v>0</v>
      </c>
      <c r="L471" t="s">
        <v>8</v>
      </c>
      <c r="M471" t="s">
        <v>8</v>
      </c>
      <c r="N471" t="s">
        <v>8</v>
      </c>
      <c r="P471">
        <f t="shared" si="934"/>
        <v>0.35869565217391347</v>
      </c>
      <c r="Q471">
        <f t="shared" si="935"/>
        <v>32272.251717391344</v>
      </c>
      <c r="R471">
        <f t="shared" si="936"/>
        <v>-1172836.9368131873</v>
      </c>
      <c r="S471">
        <f t="shared" si="937"/>
        <v>-11.728369368131872</v>
      </c>
      <c r="T471">
        <f t="shared" si="938"/>
        <v>-1.1728369368131873E-2</v>
      </c>
    </row>
    <row r="472" spans="1:20" x14ac:dyDescent="0.25">
      <c r="A472" s="5">
        <v>44112</v>
      </c>
      <c r="B472">
        <v>0.72399999999999998</v>
      </c>
      <c r="C472">
        <v>0.73799999999999999</v>
      </c>
      <c r="D472">
        <v>0.62</v>
      </c>
      <c r="E472">
        <v>0.68</v>
      </c>
      <c r="F472">
        <v>31992.348000000002</v>
      </c>
      <c r="G472">
        <v>0</v>
      </c>
      <c r="L472" t="s">
        <v>8</v>
      </c>
      <c r="M472" t="s">
        <v>7</v>
      </c>
      <c r="N472" t="s">
        <v>7</v>
      </c>
      <c r="P472">
        <f t="shared" si="934"/>
        <v>1.6949152542373839E-2</v>
      </c>
      <c r="Q472">
        <f t="shared" si="935"/>
        <v>542.24318644070866</v>
      </c>
      <c r="R472">
        <f t="shared" si="936"/>
        <v>-1205109.1885305787</v>
      </c>
      <c r="S472">
        <f t="shared" si="937"/>
        <v>-12.051091885305787</v>
      </c>
      <c r="T472">
        <f t="shared" si="938"/>
        <v>-1.2051091885305787E-2</v>
      </c>
    </row>
    <row r="473" spans="1:20" x14ac:dyDescent="0.25">
      <c r="A473" s="5">
        <v>44111</v>
      </c>
      <c r="B473">
        <v>0.61199999999999999</v>
      </c>
      <c r="C473">
        <v>0.76600000000000001</v>
      </c>
      <c r="D473">
        <v>0.60299999999999998</v>
      </c>
      <c r="E473">
        <v>0.72299999999999998</v>
      </c>
      <c r="F473">
        <v>61896.9</v>
      </c>
      <c r="G473">
        <v>0</v>
      </c>
      <c r="L473" t="s">
        <v>7</v>
      </c>
      <c r="M473" t="s">
        <v>8</v>
      </c>
      <c r="N473" t="s">
        <v>7</v>
      </c>
      <c r="P473">
        <f t="shared" si="934"/>
        <v>0.47239263803680948</v>
      </c>
      <c r="Q473">
        <f t="shared" si="935"/>
        <v>29239.639877300593</v>
      </c>
      <c r="R473">
        <f t="shared" si="936"/>
        <v>-1205651.4317170195</v>
      </c>
      <c r="S473">
        <f t="shared" si="937"/>
        <v>-12.056514317170196</v>
      </c>
      <c r="T473">
        <f t="shared" si="938"/>
        <v>-1.2056514317170195E-2</v>
      </c>
    </row>
    <row r="474" spans="1:20" x14ac:dyDescent="0.25">
      <c r="A474" s="5">
        <v>44110</v>
      </c>
      <c r="B474">
        <v>0.86</v>
      </c>
      <c r="C474">
        <v>0.88800000000000001</v>
      </c>
      <c r="D474">
        <v>0.61199999999999999</v>
      </c>
      <c r="E474">
        <v>0.61199999999999999</v>
      </c>
      <c r="F474">
        <v>141730.196</v>
      </c>
      <c r="G474">
        <v>0</v>
      </c>
      <c r="L474" t="s">
        <v>7</v>
      </c>
      <c r="M474" t="s">
        <v>7</v>
      </c>
      <c r="N474" t="s">
        <v>7</v>
      </c>
      <c r="P474">
        <f t="shared" si="934"/>
        <v>-1</v>
      </c>
      <c r="Q474">
        <f t="shared" si="935"/>
        <v>-141730.196</v>
      </c>
      <c r="R474">
        <f t="shared" si="936"/>
        <v>-1234891.07159432</v>
      </c>
      <c r="S474">
        <f t="shared" si="937"/>
        <v>-12.3489107159432</v>
      </c>
      <c r="T474">
        <f t="shared" si="938"/>
        <v>-1.23489107159432E-2</v>
      </c>
    </row>
    <row r="475" spans="1:20" x14ac:dyDescent="0.25">
      <c r="A475" s="5">
        <v>44109</v>
      </c>
      <c r="B475">
        <v>1.046</v>
      </c>
      <c r="C475">
        <v>1.1080000000000001</v>
      </c>
      <c r="D475">
        <v>0.83499999999999996</v>
      </c>
      <c r="E475">
        <v>0.86</v>
      </c>
      <c r="F475">
        <v>47994.462</v>
      </c>
      <c r="G475">
        <v>0</v>
      </c>
      <c r="L475" t="s">
        <v>7</v>
      </c>
      <c r="M475" t="s">
        <v>7</v>
      </c>
      <c r="N475" t="s">
        <v>7</v>
      </c>
      <c r="P475">
        <f t="shared" si="934"/>
        <v>-0.81684981684981672</v>
      </c>
      <c r="Q475">
        <f t="shared" si="935"/>
        <v>-39204.26749450549</v>
      </c>
      <c r="R475">
        <f t="shared" si="936"/>
        <v>-1093160.87559432</v>
      </c>
      <c r="S475">
        <f t="shared" si="937"/>
        <v>-10.9316087559432</v>
      </c>
      <c r="T475">
        <f t="shared" si="938"/>
        <v>-1.0931608755943201E-2</v>
      </c>
    </row>
    <row r="476" spans="1:20" x14ac:dyDescent="0.25">
      <c r="A476" s="5">
        <v>44108</v>
      </c>
      <c r="B476">
        <v>1.091</v>
      </c>
      <c r="C476">
        <v>1.165</v>
      </c>
      <c r="D476">
        <v>0.9</v>
      </c>
      <c r="E476">
        <v>1.0549999999999999</v>
      </c>
      <c r="F476">
        <v>146960.60800000001</v>
      </c>
      <c r="G476">
        <v>0</v>
      </c>
      <c r="L476" t="s">
        <v>7</v>
      </c>
      <c r="M476" t="s">
        <v>7</v>
      </c>
      <c r="N476" t="s">
        <v>7</v>
      </c>
      <c r="P476">
        <f t="shared" si="934"/>
        <v>0.16981132075471628</v>
      </c>
      <c r="Q476">
        <f t="shared" si="935"/>
        <v>24955.574943396125</v>
      </c>
      <c r="R476">
        <f t="shared" si="936"/>
        <v>-1053956.6080998145</v>
      </c>
      <c r="S476">
        <f t="shared" si="937"/>
        <v>-10.539566080998146</v>
      </c>
      <c r="T476">
        <f t="shared" si="938"/>
        <v>-1.0539566080998146E-2</v>
      </c>
    </row>
    <row r="477" spans="1:20" x14ac:dyDescent="0.25">
      <c r="A477" s="5">
        <v>44107</v>
      </c>
      <c r="B477">
        <v>1.085</v>
      </c>
      <c r="C477">
        <v>1.1830000000000001</v>
      </c>
      <c r="D477">
        <v>1.0649999999999999</v>
      </c>
      <c r="E477">
        <v>1.1379999999999999</v>
      </c>
      <c r="F477">
        <v>37215.894</v>
      </c>
      <c r="G477">
        <v>0</v>
      </c>
      <c r="L477" t="s">
        <v>8</v>
      </c>
      <c r="M477" t="s">
        <v>7</v>
      </c>
      <c r="N477" t="s">
        <v>7</v>
      </c>
      <c r="P477">
        <f t="shared" si="934"/>
        <v>0.23728813559321846</v>
      </c>
      <c r="Q477">
        <f t="shared" si="935"/>
        <v>8830.8901016948457</v>
      </c>
      <c r="R477">
        <f t="shared" si="936"/>
        <v>-1078912.1830432105</v>
      </c>
      <c r="S477">
        <f t="shared" si="937"/>
        <v>-10.789121830432105</v>
      </c>
      <c r="T477">
        <f t="shared" si="938"/>
        <v>-1.0789121830432106E-2</v>
      </c>
    </row>
    <row r="478" spans="1:20" x14ac:dyDescent="0.25">
      <c r="A478" s="5">
        <v>44106</v>
      </c>
      <c r="B478">
        <v>1.206</v>
      </c>
      <c r="C478">
        <v>1.2689999999999999</v>
      </c>
      <c r="D478">
        <v>1.0109999999999999</v>
      </c>
      <c r="E478">
        <v>1.08</v>
      </c>
      <c r="F478">
        <v>66097.759999999995</v>
      </c>
      <c r="G478">
        <v>0</v>
      </c>
      <c r="L478" t="s">
        <v>7</v>
      </c>
      <c r="M478" t="s">
        <v>7</v>
      </c>
      <c r="N478" t="s">
        <v>7</v>
      </c>
      <c r="P478">
        <f t="shared" si="934"/>
        <v>-0.4651162790697661</v>
      </c>
      <c r="Q478">
        <f t="shared" si="935"/>
        <v>-30743.144186046422</v>
      </c>
      <c r="R478">
        <f t="shared" si="936"/>
        <v>-1087743.0731449053</v>
      </c>
      <c r="S478">
        <f t="shared" si="937"/>
        <v>-10.877430731449053</v>
      </c>
      <c r="T478">
        <f t="shared" si="938"/>
        <v>-1.0877430731449053E-2</v>
      </c>
    </row>
    <row r="479" spans="1:20" x14ac:dyDescent="0.25">
      <c r="A479" s="5">
        <v>44105</v>
      </c>
      <c r="B479">
        <v>1.2889999999999999</v>
      </c>
      <c r="C479">
        <v>1.333</v>
      </c>
      <c r="D479">
        <v>1.1359999999999999</v>
      </c>
      <c r="E479">
        <v>1.1910000000000001</v>
      </c>
      <c r="F479">
        <v>76356.756999999998</v>
      </c>
      <c r="G479">
        <v>0</v>
      </c>
      <c r="L479" t="s">
        <v>7</v>
      </c>
      <c r="M479" t="s">
        <v>7</v>
      </c>
      <c r="N479" t="s">
        <v>7</v>
      </c>
      <c r="P479">
        <f t="shared" si="934"/>
        <v>-0.44162436548223205</v>
      </c>
      <c r="Q479">
        <f t="shared" si="935"/>
        <v>-33721.004360405983</v>
      </c>
      <c r="R479">
        <f t="shared" si="936"/>
        <v>-1056999.9289588588</v>
      </c>
      <c r="S479">
        <f t="shared" si="937"/>
        <v>-10.569999289588589</v>
      </c>
      <c r="T479">
        <f t="shared" si="938"/>
        <v>-1.0569999289588589E-2</v>
      </c>
    </row>
    <row r="480" spans="1:20" x14ac:dyDescent="0.25">
      <c r="A480" s="5">
        <v>44104</v>
      </c>
      <c r="B480">
        <v>1.423</v>
      </c>
      <c r="C480">
        <v>1.4350000000000001</v>
      </c>
      <c r="D480">
        <v>1.1990000000000001</v>
      </c>
      <c r="E480">
        <v>1.2889999999999999</v>
      </c>
      <c r="F480">
        <v>131877.677</v>
      </c>
      <c r="G480">
        <v>0</v>
      </c>
      <c r="L480" t="s">
        <v>7</v>
      </c>
      <c r="M480" t="s">
        <v>7</v>
      </c>
      <c r="N480" t="s">
        <v>7</v>
      </c>
      <c r="P480">
        <f t="shared" si="934"/>
        <v>-0.23728813559322151</v>
      </c>
      <c r="Q480">
        <f t="shared" si="935"/>
        <v>-31293.008101695068</v>
      </c>
      <c r="R480">
        <f t="shared" si="936"/>
        <v>-1023278.9245984529</v>
      </c>
      <c r="S480">
        <f t="shared" si="937"/>
        <v>-10.232789245984529</v>
      </c>
      <c r="T480">
        <f t="shared" si="938"/>
        <v>-1.0232789245984529E-2</v>
      </c>
    </row>
    <row r="481" spans="1:20" x14ac:dyDescent="0.25">
      <c r="A481" s="5">
        <v>44103</v>
      </c>
      <c r="B481">
        <v>1.2170000000000001</v>
      </c>
      <c r="C481">
        <v>1.45</v>
      </c>
      <c r="D481">
        <v>1.1850000000000001</v>
      </c>
      <c r="E481">
        <v>1.39</v>
      </c>
      <c r="F481">
        <v>195039.91699999999</v>
      </c>
      <c r="G481">
        <v>0</v>
      </c>
      <c r="L481" t="s">
        <v>8</v>
      </c>
      <c r="M481" t="s">
        <v>8</v>
      </c>
      <c r="N481" t="s">
        <v>7</v>
      </c>
      <c r="P481">
        <f t="shared" si="934"/>
        <v>0.54716981132075415</v>
      </c>
      <c r="Q481">
        <f t="shared" si="935"/>
        <v>106719.95458490554</v>
      </c>
      <c r="R481">
        <f t="shared" si="936"/>
        <v>-991985.91649675777</v>
      </c>
      <c r="S481">
        <f t="shared" si="937"/>
        <v>-9.919859164967578</v>
      </c>
      <c r="T481">
        <f t="shared" si="938"/>
        <v>-9.9198591649675774E-3</v>
      </c>
    </row>
    <row r="482" spans="1:20" x14ac:dyDescent="0.25">
      <c r="A482" s="5">
        <v>44102</v>
      </c>
      <c r="B482">
        <v>1.306</v>
      </c>
      <c r="C482">
        <v>1.3340000000000001</v>
      </c>
      <c r="D482">
        <v>1.18</v>
      </c>
      <c r="E482">
        <v>1.25</v>
      </c>
      <c r="F482">
        <v>197409.50700000001</v>
      </c>
      <c r="G482">
        <v>0</v>
      </c>
      <c r="L482" t="s">
        <v>7</v>
      </c>
      <c r="M482" t="s">
        <v>7</v>
      </c>
      <c r="N482" t="s">
        <v>7</v>
      </c>
      <c r="P482">
        <f t="shared" si="934"/>
        <v>-9.0909090909090912E-2</v>
      </c>
      <c r="Q482">
        <f t="shared" si="935"/>
        <v>-17946.318818181819</v>
      </c>
      <c r="R482">
        <f t="shared" si="936"/>
        <v>-1098705.8710816633</v>
      </c>
      <c r="S482">
        <f t="shared" si="937"/>
        <v>-10.987058710816633</v>
      </c>
      <c r="T482">
        <f t="shared" si="938"/>
        <v>-1.0987058710816634E-2</v>
      </c>
    </row>
    <row r="483" spans="1:20" x14ac:dyDescent="0.25">
      <c r="A483" s="5">
        <v>44101</v>
      </c>
      <c r="B483">
        <v>1.381</v>
      </c>
      <c r="C483">
        <v>1.589</v>
      </c>
      <c r="D483">
        <v>1.2410000000000001</v>
      </c>
      <c r="E483">
        <v>1.3089999999999999</v>
      </c>
      <c r="F483">
        <v>154785.611</v>
      </c>
      <c r="G483">
        <v>0</v>
      </c>
      <c r="L483" t="s">
        <v>7</v>
      </c>
      <c r="M483" t="s">
        <v>7</v>
      </c>
      <c r="N483" t="s">
        <v>8</v>
      </c>
      <c r="P483">
        <f t="shared" si="934"/>
        <v>-0.60919540229885139</v>
      </c>
      <c r="Q483">
        <f t="shared" si="935"/>
        <v>-94294.682563218521</v>
      </c>
      <c r="R483">
        <f t="shared" si="936"/>
        <v>-1080759.5522634815</v>
      </c>
      <c r="S483">
        <f t="shared" si="937"/>
        <v>-10.807595522634815</v>
      </c>
      <c r="T483">
        <f t="shared" si="938"/>
        <v>-1.0807595522634815E-2</v>
      </c>
    </row>
    <row r="484" spans="1:20" x14ac:dyDescent="0.25">
      <c r="A484" s="5">
        <v>44100</v>
      </c>
      <c r="B484">
        <v>1.5249999999999999</v>
      </c>
      <c r="C484">
        <v>1.718</v>
      </c>
      <c r="D484">
        <v>1.35</v>
      </c>
      <c r="E484">
        <v>1.37</v>
      </c>
      <c r="F484">
        <v>109359.664</v>
      </c>
      <c r="G484">
        <v>0</v>
      </c>
      <c r="L484" t="s">
        <v>7</v>
      </c>
      <c r="M484" t="s">
        <v>7</v>
      </c>
      <c r="N484" t="s">
        <v>8</v>
      </c>
      <c r="P484">
        <f t="shared" si="934"/>
        <v>-0.89130434782608681</v>
      </c>
      <c r="Q484">
        <f t="shared" si="935"/>
        <v>-97472.743999999992</v>
      </c>
      <c r="R484">
        <f t="shared" si="936"/>
        <v>-986464.86970026302</v>
      </c>
      <c r="S484">
        <f t="shared" si="937"/>
        <v>-9.8646486970026306</v>
      </c>
      <c r="T484">
        <f t="shared" si="938"/>
        <v>-9.8646486970026311E-3</v>
      </c>
    </row>
    <row r="485" spans="1:20" x14ac:dyDescent="0.25">
      <c r="A485" s="5">
        <v>44099</v>
      </c>
      <c r="B485">
        <v>1.282</v>
      </c>
      <c r="C485">
        <v>1.768</v>
      </c>
      <c r="D485">
        <v>1.21</v>
      </c>
      <c r="E485">
        <v>1.492</v>
      </c>
      <c r="F485">
        <v>282161.842</v>
      </c>
      <c r="G485">
        <v>0</v>
      </c>
      <c r="L485" t="s">
        <v>8</v>
      </c>
      <c r="M485" t="s">
        <v>8</v>
      </c>
      <c r="N485" t="s">
        <v>8</v>
      </c>
      <c r="P485">
        <f t="shared" si="934"/>
        <v>1.0752688172043019E-2</v>
      </c>
      <c r="Q485">
        <f t="shared" si="935"/>
        <v>3033.9983010752712</v>
      </c>
      <c r="R485">
        <f t="shared" si="936"/>
        <v>-888992.12570026307</v>
      </c>
      <c r="S485">
        <f t="shared" si="937"/>
        <v>-8.88992125700263</v>
      </c>
      <c r="T485">
        <f t="shared" si="938"/>
        <v>-8.8899212570026295E-3</v>
      </c>
    </row>
    <row r="486" spans="1:20" x14ac:dyDescent="0.25">
      <c r="A486" s="5">
        <v>44098</v>
      </c>
      <c r="B486">
        <v>1.1499999999999999</v>
      </c>
      <c r="C486">
        <v>1.4990000000000001</v>
      </c>
      <c r="D486">
        <v>1.131</v>
      </c>
      <c r="E486">
        <v>1.2809999999999999</v>
      </c>
      <c r="F486">
        <v>153484.52799999999</v>
      </c>
      <c r="G486">
        <v>0</v>
      </c>
      <c r="L486" t="s">
        <v>8</v>
      </c>
      <c r="M486" t="s">
        <v>8</v>
      </c>
      <c r="N486" t="s">
        <v>7</v>
      </c>
      <c r="P486">
        <f t="shared" si="934"/>
        <v>-0.18478260869565288</v>
      </c>
      <c r="Q486">
        <f t="shared" si="935"/>
        <v>-28361.271478260976</v>
      </c>
      <c r="R486">
        <f t="shared" si="936"/>
        <v>-892026.12400133838</v>
      </c>
      <c r="S486">
        <f t="shared" si="937"/>
        <v>-8.9202612400133834</v>
      </c>
      <c r="T486">
        <f t="shared" si="938"/>
        <v>-8.9202612400133829E-3</v>
      </c>
    </row>
    <row r="487" spans="1:20" x14ac:dyDescent="0.25">
      <c r="A487" s="5">
        <v>44097</v>
      </c>
      <c r="B487">
        <v>1.514</v>
      </c>
      <c r="C487">
        <v>1.6</v>
      </c>
      <c r="D487">
        <v>1.1220000000000001</v>
      </c>
      <c r="E487">
        <v>1.1739999999999999</v>
      </c>
      <c r="F487">
        <v>106819.19500000001</v>
      </c>
      <c r="G487">
        <v>0</v>
      </c>
      <c r="L487" t="s">
        <v>7</v>
      </c>
      <c r="M487" t="s">
        <v>7</v>
      </c>
      <c r="N487" t="s">
        <v>7</v>
      </c>
      <c r="P487">
        <f t="shared" si="934"/>
        <v>-0.78242677824267859</v>
      </c>
      <c r="Q487">
        <f t="shared" si="935"/>
        <v>-83578.198598326446</v>
      </c>
      <c r="R487">
        <f t="shared" si="936"/>
        <v>-863664.8525230774</v>
      </c>
      <c r="S487">
        <f t="shared" si="937"/>
        <v>-8.6366485252307736</v>
      </c>
      <c r="T487">
        <f t="shared" si="938"/>
        <v>-8.636648525230774E-3</v>
      </c>
    </row>
    <row r="488" spans="1:20" x14ac:dyDescent="0.25">
      <c r="A488" s="5">
        <v>44096</v>
      </c>
      <c r="B488">
        <v>1.29</v>
      </c>
      <c r="C488">
        <v>1.577</v>
      </c>
      <c r="D488">
        <v>1.2010000000000001</v>
      </c>
      <c r="E488">
        <v>1.55</v>
      </c>
      <c r="F488">
        <v>139575.09400000001</v>
      </c>
      <c r="G488">
        <v>0</v>
      </c>
      <c r="L488" t="s">
        <v>7</v>
      </c>
      <c r="M488" t="s">
        <v>7</v>
      </c>
      <c r="N488" t="s">
        <v>7</v>
      </c>
      <c r="P488">
        <f t="shared" si="934"/>
        <v>0.85638297872340463</v>
      </c>
      <c r="Q488">
        <f t="shared" si="935"/>
        <v>119529.73475531921</v>
      </c>
      <c r="R488">
        <f t="shared" si="936"/>
        <v>-780086.65392475098</v>
      </c>
      <c r="S488">
        <f t="shared" si="937"/>
        <v>-7.8008665392475098</v>
      </c>
      <c r="T488">
        <f t="shared" si="938"/>
        <v>-7.8008665392475095E-3</v>
      </c>
    </row>
    <row r="489" spans="1:20" x14ac:dyDescent="0.25">
      <c r="A489" s="5">
        <v>44095</v>
      </c>
      <c r="B489">
        <v>1.742</v>
      </c>
      <c r="C489">
        <v>1.96</v>
      </c>
      <c r="D489">
        <v>1.29</v>
      </c>
      <c r="E489">
        <v>1.29</v>
      </c>
      <c r="F489">
        <v>248555.43599999999</v>
      </c>
      <c r="G489">
        <v>0</v>
      </c>
      <c r="L489" t="s">
        <v>7</v>
      </c>
      <c r="M489" t="s">
        <v>7</v>
      </c>
      <c r="N489" t="s">
        <v>7</v>
      </c>
      <c r="P489">
        <f t="shared" si="934"/>
        <v>-1</v>
      </c>
      <c r="Q489">
        <f t="shared" si="935"/>
        <v>-248555.43599999999</v>
      </c>
      <c r="R489">
        <f t="shared" si="936"/>
        <v>-899616.38868007017</v>
      </c>
      <c r="S489">
        <f t="shared" si="937"/>
        <v>-8.9961638868007014</v>
      </c>
      <c r="T489">
        <f t="shared" si="938"/>
        <v>-8.996163886800702E-3</v>
      </c>
    </row>
    <row r="490" spans="1:20" x14ac:dyDescent="0.25">
      <c r="A490" s="5">
        <v>44094</v>
      </c>
      <c r="B490">
        <v>2.9039999999999999</v>
      </c>
      <c r="C490">
        <v>2.96</v>
      </c>
      <c r="D490">
        <v>1.65</v>
      </c>
      <c r="E490">
        <v>1.742</v>
      </c>
      <c r="F490">
        <v>250764.92199999999</v>
      </c>
      <c r="G490">
        <v>0</v>
      </c>
      <c r="L490" t="s">
        <v>7</v>
      </c>
      <c r="M490" t="s">
        <v>7</v>
      </c>
      <c r="N490" t="s">
        <v>7</v>
      </c>
      <c r="P490">
        <f t="shared" si="934"/>
        <v>-0.85954198473282428</v>
      </c>
      <c r="Q490">
        <f t="shared" si="935"/>
        <v>-215542.97875725187</v>
      </c>
      <c r="R490">
        <f t="shared" si="936"/>
        <v>-651060.95268007019</v>
      </c>
      <c r="S490">
        <f t="shared" si="937"/>
        <v>-6.5106095268007023</v>
      </c>
      <c r="T490">
        <f t="shared" si="938"/>
        <v>-6.5106095268007026E-3</v>
      </c>
    </row>
    <row r="491" spans="1:20" x14ac:dyDescent="0.25">
      <c r="A491" s="5">
        <v>44093</v>
      </c>
      <c r="B491">
        <v>3.835</v>
      </c>
      <c r="C491">
        <v>4.2</v>
      </c>
      <c r="D491">
        <v>2.5259999999999998</v>
      </c>
      <c r="E491">
        <v>2.9039999999999999</v>
      </c>
      <c r="F491">
        <v>294297.06400000001</v>
      </c>
      <c r="G491">
        <v>0</v>
      </c>
      <c r="L491" t="s">
        <v>7</v>
      </c>
      <c r="M491" t="s">
        <v>7</v>
      </c>
      <c r="N491" t="s">
        <v>7</v>
      </c>
      <c r="P491">
        <f t="shared" si="934"/>
        <v>-0.54838709677419351</v>
      </c>
      <c r="Q491">
        <f t="shared" si="935"/>
        <v>-161388.71251612902</v>
      </c>
      <c r="R491">
        <f t="shared" si="936"/>
        <v>-435517.97392281832</v>
      </c>
      <c r="S491">
        <f t="shared" si="937"/>
        <v>-4.3551797392281832</v>
      </c>
      <c r="T491">
        <f t="shared" si="938"/>
        <v>-4.3551797392281828E-3</v>
      </c>
    </row>
    <row r="492" spans="1:20" x14ac:dyDescent="0.25">
      <c r="A492" s="5">
        <v>44092</v>
      </c>
      <c r="B492">
        <v>3.0009999999999999</v>
      </c>
      <c r="C492">
        <v>4.8159999999999998</v>
      </c>
      <c r="D492">
        <v>2.5510000000000002</v>
      </c>
      <c r="E492">
        <v>3.6509999999999998</v>
      </c>
      <c r="F492">
        <v>243599.20600000001</v>
      </c>
      <c r="G492">
        <v>0</v>
      </c>
      <c r="L492" t="s">
        <v>8</v>
      </c>
      <c r="M492" t="s">
        <v>8</v>
      </c>
      <c r="N492" t="s">
        <v>8</v>
      </c>
      <c r="P492">
        <f t="shared" si="934"/>
        <v>-2.8697571743929538E-2</v>
      </c>
      <c r="Q492">
        <f t="shared" si="935"/>
        <v>-6990.7056909492712</v>
      </c>
      <c r="R492">
        <f t="shared" si="936"/>
        <v>-274129.2614066893</v>
      </c>
      <c r="S492">
        <f t="shared" si="937"/>
        <v>-2.741292614066893</v>
      </c>
      <c r="T492">
        <f t="shared" si="938"/>
        <v>-2.741292614066893E-3</v>
      </c>
    </row>
    <row r="493" spans="1:20" x14ac:dyDescent="0.25">
      <c r="A493" s="5">
        <v>44091</v>
      </c>
      <c r="B493">
        <v>3.9</v>
      </c>
      <c r="C493">
        <v>4.0999999999999996</v>
      </c>
      <c r="D493">
        <v>2.4529999999999998</v>
      </c>
      <c r="E493">
        <v>3.0190000000000001</v>
      </c>
      <c r="F493">
        <v>105289.648</v>
      </c>
      <c r="G493">
        <v>0</v>
      </c>
      <c r="L493" t="s">
        <v>7</v>
      </c>
      <c r="M493" t="s">
        <v>7</v>
      </c>
      <c r="N493" t="s">
        <v>7</v>
      </c>
      <c r="P493">
        <f t="shared" si="934"/>
        <v>-0.31268973891924667</v>
      </c>
      <c r="Q493">
        <f t="shared" si="935"/>
        <v>-32922.992544019384</v>
      </c>
      <c r="R493">
        <f t="shared" si="936"/>
        <v>-267138.55571574002</v>
      </c>
      <c r="S493">
        <f t="shared" si="937"/>
        <v>-2.6713855571574001</v>
      </c>
      <c r="T493">
        <f t="shared" si="938"/>
        <v>-2.6713855571574002E-3</v>
      </c>
    </row>
    <row r="494" spans="1:20" x14ac:dyDescent="0.25">
      <c r="A494" s="5">
        <v>44090</v>
      </c>
      <c r="B494">
        <v>4.6769999999999996</v>
      </c>
      <c r="C494">
        <v>4.9960000000000004</v>
      </c>
      <c r="D494">
        <v>3.7519999999999998</v>
      </c>
      <c r="E494">
        <v>3.8159999999999998</v>
      </c>
      <c r="F494">
        <v>80262.637000000002</v>
      </c>
      <c r="G494">
        <v>0</v>
      </c>
      <c r="L494" t="s">
        <v>8</v>
      </c>
      <c r="M494" t="s">
        <v>8</v>
      </c>
      <c r="N494" t="s">
        <v>8</v>
      </c>
      <c r="P494">
        <f t="shared" si="934"/>
        <v>-0.89710610932475876</v>
      </c>
      <c r="Q494">
        <f t="shared" si="935"/>
        <v>-72004.102003215434</v>
      </c>
      <c r="R494">
        <f t="shared" si="936"/>
        <v>-234215.56317172066</v>
      </c>
      <c r="S494">
        <f t="shared" si="937"/>
        <v>-2.3421556317172065</v>
      </c>
      <c r="T494">
        <f t="shared" si="938"/>
        <v>-2.3421556317172066E-3</v>
      </c>
    </row>
    <row r="495" spans="1:20" x14ac:dyDescent="0.25">
      <c r="A495" s="5">
        <v>44089</v>
      </c>
      <c r="B495">
        <v>5.96</v>
      </c>
      <c r="C495">
        <v>6.8</v>
      </c>
      <c r="D495">
        <v>4.1710000000000003</v>
      </c>
      <c r="E495">
        <v>4.6749999999999998</v>
      </c>
      <c r="F495">
        <v>263080.772</v>
      </c>
      <c r="G495">
        <v>0</v>
      </c>
      <c r="P495">
        <f t="shared" si="934"/>
        <v>-0.61658425256751648</v>
      </c>
      <c r="Q495">
        <f t="shared" si="935"/>
        <v>-162211.46116850522</v>
      </c>
      <c r="R495">
        <f t="shared" si="936"/>
        <v>-162211.46116850522</v>
      </c>
      <c r="S495">
        <f t="shared" si="937"/>
        <v>-1.6221146116850522</v>
      </c>
      <c r="T495">
        <f t="shared" si="938"/>
        <v>-1.6221146116850522E-3</v>
      </c>
    </row>
    <row r="496" spans="1:20" x14ac:dyDescent="0.25">
      <c r="A496" s="5"/>
      <c r="C496"/>
      <c r="D496"/>
      <c r="P496">
        <f t="shared" si="934"/>
        <v>0</v>
      </c>
      <c r="Q496">
        <f t="shared" si="935"/>
        <v>0</v>
      </c>
      <c r="R496">
        <f t="shared" si="936"/>
        <v>0</v>
      </c>
      <c r="S496">
        <f t="shared" si="937"/>
        <v>0</v>
      </c>
      <c r="T496">
        <f t="shared" si="938"/>
        <v>0</v>
      </c>
    </row>
    <row r="497" spans="1:20" x14ac:dyDescent="0.25">
      <c r="A497" s="5"/>
      <c r="C497"/>
      <c r="D497"/>
      <c r="P497">
        <f t="shared" si="934"/>
        <v>0</v>
      </c>
      <c r="Q497">
        <f t="shared" si="935"/>
        <v>0</v>
      </c>
      <c r="R497">
        <f t="shared" si="936"/>
        <v>0</v>
      </c>
      <c r="S497">
        <f t="shared" si="937"/>
        <v>0</v>
      </c>
      <c r="T497">
        <f t="shared" si="938"/>
        <v>0</v>
      </c>
    </row>
    <row r="498" spans="1:20" x14ac:dyDescent="0.25">
      <c r="A498" s="5"/>
      <c r="C498"/>
      <c r="D498"/>
      <c r="P498">
        <f t="shared" si="934"/>
        <v>0</v>
      </c>
      <c r="Q498">
        <f t="shared" si="935"/>
        <v>0</v>
      </c>
      <c r="R498">
        <f t="shared" si="936"/>
        <v>0</v>
      </c>
      <c r="S498">
        <f t="shared" si="937"/>
        <v>0</v>
      </c>
      <c r="T498">
        <f t="shared" si="938"/>
        <v>0</v>
      </c>
    </row>
    <row r="499" spans="1:20" x14ac:dyDescent="0.25">
      <c r="A499" s="5"/>
      <c r="C499"/>
      <c r="D499"/>
      <c r="P499">
        <f t="shared" si="934"/>
        <v>0</v>
      </c>
      <c r="Q499">
        <f t="shared" si="935"/>
        <v>0</v>
      </c>
      <c r="R499">
        <f t="shared" si="936"/>
        <v>0</v>
      </c>
      <c r="S499">
        <f t="shared" si="937"/>
        <v>0</v>
      </c>
      <c r="T499">
        <f t="shared" si="938"/>
        <v>0</v>
      </c>
    </row>
    <row r="500" spans="1:20" x14ac:dyDescent="0.25">
      <c r="A500" s="5"/>
      <c r="C500"/>
      <c r="D500"/>
      <c r="P500">
        <f t="shared" si="934"/>
        <v>0</v>
      </c>
      <c r="Q500">
        <f t="shared" si="935"/>
        <v>0</v>
      </c>
      <c r="R500">
        <f t="shared" si="936"/>
        <v>0</v>
      </c>
      <c r="S500">
        <f t="shared" si="937"/>
        <v>0</v>
      </c>
      <c r="T500">
        <f t="shared" si="938"/>
        <v>0</v>
      </c>
    </row>
    <row r="501" spans="1:20" x14ac:dyDescent="0.25">
      <c r="A501" s="5"/>
      <c r="C501"/>
      <c r="D501"/>
      <c r="P501">
        <f t="shared" si="934"/>
        <v>0</v>
      </c>
      <c r="Q501">
        <f t="shared" si="935"/>
        <v>0</v>
      </c>
      <c r="R501">
        <f t="shared" si="936"/>
        <v>0</v>
      </c>
      <c r="S501">
        <f t="shared" si="937"/>
        <v>0</v>
      </c>
      <c r="T501">
        <f t="shared" si="938"/>
        <v>0</v>
      </c>
    </row>
    <row r="502" spans="1:20" x14ac:dyDescent="0.25">
      <c r="A502" s="5"/>
      <c r="C502"/>
      <c r="D502"/>
      <c r="P502">
        <f t="shared" si="934"/>
        <v>0</v>
      </c>
      <c r="Q502">
        <f t="shared" si="935"/>
        <v>0</v>
      </c>
      <c r="R502">
        <f t="shared" si="936"/>
        <v>0</v>
      </c>
      <c r="S502">
        <f t="shared" si="937"/>
        <v>0</v>
      </c>
      <c r="T502">
        <f t="shared" si="938"/>
        <v>0</v>
      </c>
    </row>
    <row r="503" spans="1:20" x14ac:dyDescent="0.25">
      <c r="A503" s="5"/>
      <c r="C503"/>
      <c r="D503"/>
      <c r="P503">
        <f t="shared" si="934"/>
        <v>0</v>
      </c>
      <c r="Q503">
        <f t="shared" si="935"/>
        <v>0</v>
      </c>
      <c r="R503">
        <f t="shared" si="936"/>
        <v>0</v>
      </c>
      <c r="S503">
        <f t="shared" si="937"/>
        <v>0</v>
      </c>
      <c r="T503">
        <f t="shared" si="938"/>
        <v>0</v>
      </c>
    </row>
    <row r="504" spans="1:20" x14ac:dyDescent="0.25">
      <c r="A504" s="5"/>
      <c r="C504"/>
      <c r="D504"/>
      <c r="P504">
        <f t="shared" si="934"/>
        <v>0</v>
      </c>
      <c r="Q504">
        <f t="shared" si="935"/>
        <v>0</v>
      </c>
      <c r="R504">
        <f t="shared" si="936"/>
        <v>0</v>
      </c>
      <c r="S504">
        <f t="shared" si="937"/>
        <v>0</v>
      </c>
      <c r="T504">
        <f t="shared" si="938"/>
        <v>0</v>
      </c>
    </row>
    <row r="505" spans="1:20" x14ac:dyDescent="0.25">
      <c r="A505" s="5"/>
      <c r="C505"/>
      <c r="D505"/>
      <c r="P505">
        <f t="shared" si="934"/>
        <v>0</v>
      </c>
      <c r="Q505">
        <f t="shared" si="935"/>
        <v>0</v>
      </c>
      <c r="R505">
        <f t="shared" si="936"/>
        <v>0</v>
      </c>
      <c r="S505">
        <f t="shared" si="937"/>
        <v>0</v>
      </c>
      <c r="T505">
        <f t="shared" si="938"/>
        <v>0</v>
      </c>
    </row>
    <row r="506" spans="1:20" x14ac:dyDescent="0.25">
      <c r="A506" s="5"/>
      <c r="C506"/>
      <c r="D506"/>
      <c r="P506">
        <f t="shared" si="934"/>
        <v>0</v>
      </c>
      <c r="Q506">
        <f t="shared" si="935"/>
        <v>0</v>
      </c>
      <c r="R506">
        <f t="shared" si="936"/>
        <v>0</v>
      </c>
      <c r="S506">
        <f t="shared" si="937"/>
        <v>0</v>
      </c>
      <c r="T506">
        <f t="shared" si="938"/>
        <v>0</v>
      </c>
    </row>
    <row r="507" spans="1:20" x14ac:dyDescent="0.25">
      <c r="A507" s="5"/>
      <c r="C507"/>
      <c r="D507"/>
      <c r="P507">
        <f t="shared" si="934"/>
        <v>0</v>
      </c>
      <c r="Q507">
        <f t="shared" si="935"/>
        <v>0</v>
      </c>
      <c r="R507">
        <f t="shared" si="936"/>
        <v>0</v>
      </c>
      <c r="S507">
        <f t="shared" si="937"/>
        <v>0</v>
      </c>
      <c r="T507">
        <f t="shared" si="938"/>
        <v>0</v>
      </c>
    </row>
    <row r="508" spans="1:20" x14ac:dyDescent="0.25">
      <c r="A508" s="5"/>
      <c r="C508"/>
      <c r="D508"/>
      <c r="P508">
        <f t="shared" si="934"/>
        <v>0</v>
      </c>
      <c r="Q508">
        <f t="shared" si="935"/>
        <v>0</v>
      </c>
      <c r="R508">
        <f t="shared" si="936"/>
        <v>0</v>
      </c>
      <c r="S508">
        <f t="shared" si="937"/>
        <v>0</v>
      </c>
      <c r="T508">
        <f t="shared" si="938"/>
        <v>0</v>
      </c>
    </row>
    <row r="509" spans="1:20" x14ac:dyDescent="0.25">
      <c r="A509" s="5"/>
      <c r="C509"/>
      <c r="D509"/>
      <c r="P509">
        <f t="shared" ref="P509:P572" si="939">IF(C509=D509,0,((E509-D509)-(C509-E509))/(C509-D509))</f>
        <v>0</v>
      </c>
      <c r="Q509">
        <f t="shared" ref="Q509:Q572" si="940">F509*P509</f>
        <v>0</v>
      </c>
      <c r="R509">
        <f t="shared" ref="R509:R572" si="941">R510+Q509</f>
        <v>0</v>
      </c>
      <c r="S509">
        <f t="shared" ref="S509:S572" si="942">R509/100000</f>
        <v>0</v>
      </c>
      <c r="T509">
        <f t="shared" ref="T509:T572" si="943">S509/1000</f>
        <v>0</v>
      </c>
    </row>
    <row r="510" spans="1:20" x14ac:dyDescent="0.25">
      <c r="A510" s="5"/>
      <c r="C510"/>
      <c r="D510"/>
      <c r="P510">
        <f t="shared" si="939"/>
        <v>0</v>
      </c>
      <c r="Q510">
        <f t="shared" si="940"/>
        <v>0</v>
      </c>
      <c r="R510">
        <f t="shared" si="941"/>
        <v>0</v>
      </c>
      <c r="S510">
        <f t="shared" si="942"/>
        <v>0</v>
      </c>
      <c r="T510">
        <f t="shared" si="943"/>
        <v>0</v>
      </c>
    </row>
    <row r="511" spans="1:20" x14ac:dyDescent="0.25">
      <c r="A511" s="5"/>
      <c r="C511"/>
      <c r="D511"/>
      <c r="P511">
        <f t="shared" si="939"/>
        <v>0</v>
      </c>
      <c r="Q511">
        <f t="shared" si="940"/>
        <v>0</v>
      </c>
      <c r="R511">
        <f t="shared" si="941"/>
        <v>0</v>
      </c>
      <c r="S511">
        <f t="shared" si="942"/>
        <v>0</v>
      </c>
      <c r="T511">
        <f t="shared" si="943"/>
        <v>0</v>
      </c>
    </row>
    <row r="512" spans="1:20" x14ac:dyDescent="0.25">
      <c r="A512" s="5"/>
      <c r="C512"/>
      <c r="D512"/>
      <c r="P512">
        <f t="shared" si="939"/>
        <v>0</v>
      </c>
      <c r="Q512">
        <f t="shared" si="940"/>
        <v>0</v>
      </c>
      <c r="R512">
        <f t="shared" si="941"/>
        <v>0</v>
      </c>
      <c r="S512">
        <f t="shared" si="942"/>
        <v>0</v>
      </c>
      <c r="T512">
        <f t="shared" si="943"/>
        <v>0</v>
      </c>
    </row>
    <row r="513" spans="1:20" x14ac:dyDescent="0.25">
      <c r="A513" s="5"/>
      <c r="C513"/>
      <c r="D513"/>
      <c r="P513">
        <f t="shared" si="939"/>
        <v>0</v>
      </c>
      <c r="Q513">
        <f t="shared" si="940"/>
        <v>0</v>
      </c>
      <c r="R513">
        <f t="shared" si="941"/>
        <v>0</v>
      </c>
      <c r="S513">
        <f t="shared" si="942"/>
        <v>0</v>
      </c>
      <c r="T513">
        <f t="shared" si="943"/>
        <v>0</v>
      </c>
    </row>
    <row r="514" spans="1:20" x14ac:dyDescent="0.25">
      <c r="A514" s="5"/>
      <c r="C514"/>
      <c r="D514"/>
      <c r="P514">
        <f t="shared" si="939"/>
        <v>0</v>
      </c>
      <c r="Q514">
        <f t="shared" si="940"/>
        <v>0</v>
      </c>
      <c r="R514">
        <f t="shared" si="941"/>
        <v>0</v>
      </c>
      <c r="S514">
        <f t="shared" si="942"/>
        <v>0</v>
      </c>
      <c r="T514">
        <f t="shared" si="943"/>
        <v>0</v>
      </c>
    </row>
    <row r="515" spans="1:20" x14ac:dyDescent="0.25">
      <c r="A515" s="5"/>
      <c r="C515"/>
      <c r="D515"/>
      <c r="P515">
        <f t="shared" si="939"/>
        <v>0</v>
      </c>
      <c r="Q515">
        <f t="shared" si="940"/>
        <v>0</v>
      </c>
      <c r="R515">
        <f t="shared" si="941"/>
        <v>0</v>
      </c>
      <c r="S515">
        <f t="shared" si="942"/>
        <v>0</v>
      </c>
      <c r="T515">
        <f t="shared" si="943"/>
        <v>0</v>
      </c>
    </row>
    <row r="516" spans="1:20" x14ac:dyDescent="0.25">
      <c r="A516" s="5"/>
      <c r="C516"/>
      <c r="D516"/>
      <c r="P516">
        <f t="shared" si="939"/>
        <v>0</v>
      </c>
      <c r="Q516">
        <f t="shared" si="940"/>
        <v>0</v>
      </c>
      <c r="R516">
        <f t="shared" si="941"/>
        <v>0</v>
      </c>
      <c r="S516">
        <f t="shared" si="942"/>
        <v>0</v>
      </c>
      <c r="T516">
        <f t="shared" si="943"/>
        <v>0</v>
      </c>
    </row>
    <row r="517" spans="1:20" x14ac:dyDescent="0.25">
      <c r="A517" s="5"/>
      <c r="C517"/>
      <c r="D517"/>
      <c r="P517">
        <f t="shared" si="939"/>
        <v>0</v>
      </c>
      <c r="Q517">
        <f t="shared" si="940"/>
        <v>0</v>
      </c>
      <c r="R517">
        <f t="shared" si="941"/>
        <v>0</v>
      </c>
      <c r="S517">
        <f t="shared" si="942"/>
        <v>0</v>
      </c>
      <c r="T517">
        <f t="shared" si="943"/>
        <v>0</v>
      </c>
    </row>
    <row r="518" spans="1:20" x14ac:dyDescent="0.25">
      <c r="A518" s="5"/>
      <c r="C518"/>
      <c r="D518"/>
      <c r="P518">
        <f t="shared" si="939"/>
        <v>0</v>
      </c>
      <c r="Q518">
        <f t="shared" si="940"/>
        <v>0</v>
      </c>
      <c r="R518">
        <f t="shared" si="941"/>
        <v>0</v>
      </c>
      <c r="S518">
        <f t="shared" si="942"/>
        <v>0</v>
      </c>
      <c r="T518">
        <f t="shared" si="943"/>
        <v>0</v>
      </c>
    </row>
    <row r="519" spans="1:20" x14ac:dyDescent="0.25">
      <c r="A519" s="5"/>
      <c r="C519"/>
      <c r="D519"/>
      <c r="P519">
        <f t="shared" si="939"/>
        <v>0</v>
      </c>
      <c r="Q519">
        <f t="shared" si="940"/>
        <v>0</v>
      </c>
      <c r="R519">
        <f t="shared" si="941"/>
        <v>0</v>
      </c>
      <c r="S519">
        <f t="shared" si="942"/>
        <v>0</v>
      </c>
      <c r="T519">
        <f t="shared" si="943"/>
        <v>0</v>
      </c>
    </row>
    <row r="520" spans="1:20" x14ac:dyDescent="0.25">
      <c r="A520" s="5"/>
      <c r="C520"/>
      <c r="D520"/>
      <c r="P520">
        <f t="shared" si="939"/>
        <v>0</v>
      </c>
      <c r="Q520">
        <f t="shared" si="940"/>
        <v>0</v>
      </c>
      <c r="R520">
        <f t="shared" si="941"/>
        <v>0</v>
      </c>
      <c r="S520">
        <f t="shared" si="942"/>
        <v>0</v>
      </c>
      <c r="T520">
        <f t="shared" si="943"/>
        <v>0</v>
      </c>
    </row>
    <row r="521" spans="1:20" x14ac:dyDescent="0.25">
      <c r="A521" s="5"/>
      <c r="C521"/>
      <c r="D521"/>
      <c r="P521">
        <f t="shared" si="939"/>
        <v>0</v>
      </c>
      <c r="Q521">
        <f t="shared" si="940"/>
        <v>0</v>
      </c>
      <c r="R521">
        <f t="shared" si="941"/>
        <v>0</v>
      </c>
      <c r="S521">
        <f t="shared" si="942"/>
        <v>0</v>
      </c>
      <c r="T521">
        <f t="shared" si="943"/>
        <v>0</v>
      </c>
    </row>
    <row r="522" spans="1:20" x14ac:dyDescent="0.25">
      <c r="A522" s="5"/>
      <c r="C522"/>
      <c r="D522"/>
      <c r="P522">
        <f t="shared" si="939"/>
        <v>0</v>
      </c>
      <c r="Q522">
        <f t="shared" si="940"/>
        <v>0</v>
      </c>
      <c r="R522">
        <f t="shared" si="941"/>
        <v>0</v>
      </c>
      <c r="S522">
        <f t="shared" si="942"/>
        <v>0</v>
      </c>
      <c r="T522">
        <f t="shared" si="943"/>
        <v>0</v>
      </c>
    </row>
    <row r="523" spans="1:20" x14ac:dyDescent="0.25">
      <c r="A523" s="5"/>
      <c r="C523"/>
      <c r="D523"/>
      <c r="P523">
        <f t="shared" si="939"/>
        <v>0</v>
      </c>
      <c r="Q523">
        <f t="shared" si="940"/>
        <v>0</v>
      </c>
      <c r="R523">
        <f t="shared" si="941"/>
        <v>0</v>
      </c>
      <c r="S523">
        <f t="shared" si="942"/>
        <v>0</v>
      </c>
      <c r="T523">
        <f t="shared" si="943"/>
        <v>0</v>
      </c>
    </row>
    <row r="524" spans="1:20" x14ac:dyDescent="0.25">
      <c r="A524" s="5"/>
      <c r="C524"/>
      <c r="D524"/>
      <c r="P524">
        <f t="shared" si="939"/>
        <v>0</v>
      </c>
      <c r="Q524">
        <f t="shared" si="940"/>
        <v>0</v>
      </c>
      <c r="R524">
        <f t="shared" si="941"/>
        <v>0</v>
      </c>
      <c r="S524">
        <f t="shared" si="942"/>
        <v>0</v>
      </c>
      <c r="T524">
        <f t="shared" si="943"/>
        <v>0</v>
      </c>
    </row>
    <row r="525" spans="1:20" x14ac:dyDescent="0.25">
      <c r="A525" s="5"/>
      <c r="C525"/>
      <c r="D525"/>
      <c r="P525">
        <f t="shared" si="939"/>
        <v>0</v>
      </c>
      <c r="Q525">
        <f t="shared" si="940"/>
        <v>0</v>
      </c>
      <c r="R525">
        <f t="shared" si="941"/>
        <v>0</v>
      </c>
      <c r="S525">
        <f t="shared" si="942"/>
        <v>0</v>
      </c>
      <c r="T525">
        <f t="shared" si="943"/>
        <v>0</v>
      </c>
    </row>
    <row r="526" spans="1:20" x14ac:dyDescent="0.25">
      <c r="A526" s="5"/>
      <c r="C526"/>
      <c r="D526"/>
      <c r="P526">
        <f t="shared" si="939"/>
        <v>0</v>
      </c>
      <c r="Q526">
        <f t="shared" si="940"/>
        <v>0</v>
      </c>
      <c r="R526">
        <f t="shared" si="941"/>
        <v>0</v>
      </c>
      <c r="S526">
        <f t="shared" si="942"/>
        <v>0</v>
      </c>
      <c r="T526">
        <f t="shared" si="943"/>
        <v>0</v>
      </c>
    </row>
    <row r="527" spans="1:20" x14ac:dyDescent="0.25">
      <c r="A527" s="5"/>
      <c r="C527"/>
      <c r="D527"/>
      <c r="P527">
        <f t="shared" si="939"/>
        <v>0</v>
      </c>
      <c r="Q527">
        <f t="shared" si="940"/>
        <v>0</v>
      </c>
      <c r="R527">
        <f t="shared" si="941"/>
        <v>0</v>
      </c>
      <c r="S527">
        <f t="shared" si="942"/>
        <v>0</v>
      </c>
      <c r="T527">
        <f t="shared" si="943"/>
        <v>0</v>
      </c>
    </row>
    <row r="528" spans="1:20" x14ac:dyDescent="0.25">
      <c r="A528" s="5"/>
      <c r="C528"/>
      <c r="D528"/>
      <c r="P528">
        <f t="shared" si="939"/>
        <v>0</v>
      </c>
      <c r="Q528">
        <f t="shared" si="940"/>
        <v>0</v>
      </c>
      <c r="R528">
        <f t="shared" si="941"/>
        <v>0</v>
      </c>
      <c r="S528">
        <f t="shared" si="942"/>
        <v>0</v>
      </c>
      <c r="T528">
        <f t="shared" si="943"/>
        <v>0</v>
      </c>
    </row>
    <row r="529" spans="1:20" x14ac:dyDescent="0.25">
      <c r="A529" s="5"/>
      <c r="C529"/>
      <c r="D529"/>
      <c r="P529">
        <f t="shared" si="939"/>
        <v>0</v>
      </c>
      <c r="Q529">
        <f t="shared" si="940"/>
        <v>0</v>
      </c>
      <c r="R529">
        <f t="shared" si="941"/>
        <v>0</v>
      </c>
      <c r="S529">
        <f t="shared" si="942"/>
        <v>0</v>
      </c>
      <c r="T529">
        <f t="shared" si="943"/>
        <v>0</v>
      </c>
    </row>
    <row r="530" spans="1:20" x14ac:dyDescent="0.25">
      <c r="A530" s="5"/>
      <c r="C530"/>
      <c r="D530"/>
      <c r="P530">
        <f t="shared" si="939"/>
        <v>0</v>
      </c>
      <c r="Q530">
        <f t="shared" si="940"/>
        <v>0</v>
      </c>
      <c r="R530">
        <f t="shared" si="941"/>
        <v>0</v>
      </c>
      <c r="S530">
        <f t="shared" si="942"/>
        <v>0</v>
      </c>
      <c r="T530">
        <f t="shared" si="943"/>
        <v>0</v>
      </c>
    </row>
    <row r="531" spans="1:20" x14ac:dyDescent="0.25">
      <c r="A531" s="5"/>
      <c r="C531"/>
      <c r="D531"/>
      <c r="P531">
        <f t="shared" si="939"/>
        <v>0</v>
      </c>
      <c r="Q531">
        <f t="shared" si="940"/>
        <v>0</v>
      </c>
      <c r="R531">
        <f t="shared" si="941"/>
        <v>0</v>
      </c>
      <c r="S531">
        <f t="shared" si="942"/>
        <v>0</v>
      </c>
      <c r="T531">
        <f t="shared" si="943"/>
        <v>0</v>
      </c>
    </row>
    <row r="532" spans="1:20" x14ac:dyDescent="0.25">
      <c r="A532" s="5"/>
      <c r="C532"/>
      <c r="D532"/>
      <c r="P532">
        <f t="shared" si="939"/>
        <v>0</v>
      </c>
      <c r="Q532">
        <f t="shared" si="940"/>
        <v>0</v>
      </c>
      <c r="R532">
        <f t="shared" si="941"/>
        <v>0</v>
      </c>
      <c r="S532">
        <f t="shared" si="942"/>
        <v>0</v>
      </c>
      <c r="T532">
        <f t="shared" si="943"/>
        <v>0</v>
      </c>
    </row>
    <row r="533" spans="1:20" x14ac:dyDescent="0.25">
      <c r="A533" s="5"/>
      <c r="C533"/>
      <c r="D533"/>
      <c r="P533">
        <f t="shared" si="939"/>
        <v>0</v>
      </c>
      <c r="Q533">
        <f t="shared" si="940"/>
        <v>0</v>
      </c>
      <c r="R533">
        <f t="shared" si="941"/>
        <v>0</v>
      </c>
      <c r="S533">
        <f t="shared" si="942"/>
        <v>0</v>
      </c>
      <c r="T533">
        <f t="shared" si="943"/>
        <v>0</v>
      </c>
    </row>
    <row r="534" spans="1:20" x14ac:dyDescent="0.25">
      <c r="A534" s="5"/>
      <c r="C534"/>
      <c r="D534"/>
      <c r="P534">
        <f t="shared" si="939"/>
        <v>0</v>
      </c>
      <c r="Q534">
        <f t="shared" si="940"/>
        <v>0</v>
      </c>
      <c r="R534">
        <f t="shared" si="941"/>
        <v>0</v>
      </c>
      <c r="S534">
        <f t="shared" si="942"/>
        <v>0</v>
      </c>
      <c r="T534">
        <f t="shared" si="943"/>
        <v>0</v>
      </c>
    </row>
    <row r="535" spans="1:20" x14ac:dyDescent="0.25">
      <c r="A535" s="5"/>
      <c r="C535"/>
      <c r="D535"/>
      <c r="P535">
        <f t="shared" si="939"/>
        <v>0</v>
      </c>
      <c r="Q535">
        <f t="shared" si="940"/>
        <v>0</v>
      </c>
      <c r="R535">
        <f t="shared" si="941"/>
        <v>0</v>
      </c>
      <c r="S535">
        <f t="shared" si="942"/>
        <v>0</v>
      </c>
      <c r="T535">
        <f t="shared" si="943"/>
        <v>0</v>
      </c>
    </row>
    <row r="536" spans="1:20" x14ac:dyDescent="0.25">
      <c r="A536" s="5"/>
      <c r="C536"/>
      <c r="D536"/>
      <c r="P536">
        <f t="shared" si="939"/>
        <v>0</v>
      </c>
      <c r="Q536">
        <f t="shared" si="940"/>
        <v>0</v>
      </c>
      <c r="R536">
        <f t="shared" si="941"/>
        <v>0</v>
      </c>
      <c r="S536">
        <f t="shared" si="942"/>
        <v>0</v>
      </c>
      <c r="T536">
        <f t="shared" si="943"/>
        <v>0</v>
      </c>
    </row>
    <row r="537" spans="1:20" x14ac:dyDescent="0.25">
      <c r="A537" s="5"/>
      <c r="C537"/>
      <c r="D537"/>
      <c r="P537">
        <f t="shared" si="939"/>
        <v>0</v>
      </c>
      <c r="Q537">
        <f t="shared" si="940"/>
        <v>0</v>
      </c>
      <c r="R537">
        <f t="shared" si="941"/>
        <v>0</v>
      </c>
      <c r="S537">
        <f t="shared" si="942"/>
        <v>0</v>
      </c>
      <c r="T537">
        <f t="shared" si="943"/>
        <v>0</v>
      </c>
    </row>
    <row r="538" spans="1:20" x14ac:dyDescent="0.25">
      <c r="A538" s="5"/>
      <c r="C538"/>
      <c r="D538"/>
      <c r="P538">
        <f t="shared" si="939"/>
        <v>0</v>
      </c>
      <c r="Q538">
        <f t="shared" si="940"/>
        <v>0</v>
      </c>
      <c r="R538">
        <f t="shared" si="941"/>
        <v>0</v>
      </c>
      <c r="S538">
        <f t="shared" si="942"/>
        <v>0</v>
      </c>
      <c r="T538">
        <f t="shared" si="943"/>
        <v>0</v>
      </c>
    </row>
    <row r="539" spans="1:20" x14ac:dyDescent="0.25">
      <c r="A539" s="5"/>
      <c r="C539"/>
      <c r="D539"/>
      <c r="P539">
        <f t="shared" si="939"/>
        <v>0</v>
      </c>
      <c r="Q539">
        <f t="shared" si="940"/>
        <v>0</v>
      </c>
      <c r="R539">
        <f t="shared" si="941"/>
        <v>0</v>
      </c>
      <c r="S539">
        <f t="shared" si="942"/>
        <v>0</v>
      </c>
      <c r="T539">
        <f t="shared" si="943"/>
        <v>0</v>
      </c>
    </row>
    <row r="540" spans="1:20" x14ac:dyDescent="0.25">
      <c r="A540" s="5"/>
      <c r="P540">
        <f t="shared" si="939"/>
        <v>0</v>
      </c>
      <c r="Q540">
        <f t="shared" si="940"/>
        <v>0</v>
      </c>
      <c r="R540">
        <f t="shared" si="941"/>
        <v>0</v>
      </c>
      <c r="S540">
        <f t="shared" si="942"/>
        <v>0</v>
      </c>
      <c r="T540">
        <f t="shared" si="943"/>
        <v>0</v>
      </c>
    </row>
    <row r="541" spans="1:20" x14ac:dyDescent="0.25">
      <c r="A541" s="5"/>
      <c r="P541">
        <f t="shared" si="939"/>
        <v>0</v>
      </c>
      <c r="Q541">
        <f t="shared" si="940"/>
        <v>0</v>
      </c>
      <c r="R541">
        <f t="shared" si="941"/>
        <v>0</v>
      </c>
      <c r="S541">
        <f t="shared" si="942"/>
        <v>0</v>
      </c>
      <c r="T541">
        <f t="shared" si="943"/>
        <v>0</v>
      </c>
    </row>
    <row r="542" spans="1:20" x14ac:dyDescent="0.25">
      <c r="A542" s="5"/>
      <c r="P542">
        <f t="shared" si="939"/>
        <v>0</v>
      </c>
      <c r="Q542">
        <f t="shared" si="940"/>
        <v>0</v>
      </c>
      <c r="R542">
        <f t="shared" si="941"/>
        <v>0</v>
      </c>
      <c r="S542">
        <f t="shared" si="942"/>
        <v>0</v>
      </c>
      <c r="T542">
        <f t="shared" si="943"/>
        <v>0</v>
      </c>
    </row>
    <row r="543" spans="1:20" x14ac:dyDescent="0.25">
      <c r="A543" s="5"/>
      <c r="P543">
        <f t="shared" si="939"/>
        <v>0</v>
      </c>
      <c r="Q543">
        <f t="shared" si="940"/>
        <v>0</v>
      </c>
      <c r="R543">
        <f t="shared" si="941"/>
        <v>0</v>
      </c>
      <c r="S543">
        <f t="shared" si="942"/>
        <v>0</v>
      </c>
      <c r="T543">
        <f t="shared" si="943"/>
        <v>0</v>
      </c>
    </row>
    <row r="544" spans="1:20" x14ac:dyDescent="0.25">
      <c r="A544" s="5"/>
      <c r="P544">
        <f t="shared" si="939"/>
        <v>0</v>
      </c>
      <c r="Q544">
        <f t="shared" si="940"/>
        <v>0</v>
      </c>
      <c r="R544">
        <f t="shared" si="941"/>
        <v>0</v>
      </c>
      <c r="S544">
        <f t="shared" si="942"/>
        <v>0</v>
      </c>
      <c r="T544">
        <f t="shared" si="943"/>
        <v>0</v>
      </c>
    </row>
    <row r="545" spans="1:104" x14ac:dyDescent="0.25">
      <c r="A545" s="5"/>
      <c r="P545">
        <f t="shared" si="939"/>
        <v>0</v>
      </c>
      <c r="Q545">
        <f t="shared" si="940"/>
        <v>0</v>
      </c>
      <c r="R545">
        <f t="shared" si="941"/>
        <v>0</v>
      </c>
      <c r="S545">
        <f t="shared" si="942"/>
        <v>0</v>
      </c>
      <c r="T545">
        <f t="shared" si="943"/>
        <v>0</v>
      </c>
    </row>
    <row r="546" spans="1:104" x14ac:dyDescent="0.25">
      <c r="A546" s="5"/>
      <c r="P546">
        <f t="shared" si="939"/>
        <v>0</v>
      </c>
      <c r="Q546">
        <f t="shared" si="940"/>
        <v>0</v>
      </c>
      <c r="R546">
        <f t="shared" si="941"/>
        <v>0</v>
      </c>
      <c r="S546">
        <f t="shared" si="942"/>
        <v>0</v>
      </c>
      <c r="T546">
        <f t="shared" si="943"/>
        <v>0</v>
      </c>
    </row>
    <row r="547" spans="1:104" x14ac:dyDescent="0.25">
      <c r="A547" s="5"/>
      <c r="P547">
        <f t="shared" si="939"/>
        <v>0</v>
      </c>
      <c r="Q547">
        <f t="shared" si="940"/>
        <v>0</v>
      </c>
      <c r="R547">
        <f t="shared" si="941"/>
        <v>0</v>
      </c>
      <c r="S547">
        <f t="shared" si="942"/>
        <v>0</v>
      </c>
      <c r="T547">
        <f t="shared" si="943"/>
        <v>0</v>
      </c>
    </row>
    <row r="548" spans="1:104" x14ac:dyDescent="0.25">
      <c r="A548" s="5"/>
      <c r="P548">
        <f t="shared" si="939"/>
        <v>0</v>
      </c>
      <c r="Q548">
        <f t="shared" si="940"/>
        <v>0</v>
      </c>
      <c r="R548">
        <f t="shared" si="941"/>
        <v>0</v>
      </c>
      <c r="S548">
        <f t="shared" si="942"/>
        <v>0</v>
      </c>
      <c r="T548">
        <f t="shared" si="943"/>
        <v>0</v>
      </c>
    </row>
    <row r="549" spans="1:104" x14ac:dyDescent="0.25">
      <c r="A549" s="5"/>
      <c r="P549">
        <f t="shared" si="939"/>
        <v>0</v>
      </c>
      <c r="Q549">
        <f t="shared" si="940"/>
        <v>0</v>
      </c>
      <c r="R549">
        <f t="shared" si="941"/>
        <v>0</v>
      </c>
      <c r="S549">
        <f t="shared" si="942"/>
        <v>0</v>
      </c>
      <c r="T549">
        <f t="shared" si="943"/>
        <v>0</v>
      </c>
    </row>
    <row r="550" spans="1:104" x14ac:dyDescent="0.25">
      <c r="A550" s="5"/>
      <c r="P550">
        <f t="shared" si="939"/>
        <v>0</v>
      </c>
      <c r="Q550">
        <f t="shared" si="940"/>
        <v>0</v>
      </c>
      <c r="R550">
        <f t="shared" si="941"/>
        <v>0</v>
      </c>
      <c r="S550">
        <f t="shared" si="942"/>
        <v>0</v>
      </c>
      <c r="T550">
        <f t="shared" si="943"/>
        <v>0</v>
      </c>
    </row>
    <row r="551" spans="1:104" x14ac:dyDescent="0.25">
      <c r="A551" s="5"/>
      <c r="P551">
        <f t="shared" si="939"/>
        <v>0</v>
      </c>
      <c r="Q551">
        <f t="shared" si="940"/>
        <v>0</v>
      </c>
      <c r="R551">
        <f t="shared" si="941"/>
        <v>0</v>
      </c>
      <c r="S551">
        <f t="shared" si="942"/>
        <v>0</v>
      </c>
      <c r="T551">
        <f t="shared" si="943"/>
        <v>0</v>
      </c>
    </row>
    <row r="552" spans="1:104" x14ac:dyDescent="0.25">
      <c r="A552" s="5"/>
      <c r="P552">
        <f t="shared" si="939"/>
        <v>0</v>
      </c>
      <c r="Q552">
        <f t="shared" si="940"/>
        <v>0</v>
      </c>
      <c r="R552">
        <f t="shared" si="941"/>
        <v>0</v>
      </c>
      <c r="S552">
        <f t="shared" si="942"/>
        <v>0</v>
      </c>
      <c r="T552">
        <f t="shared" si="943"/>
        <v>0</v>
      </c>
      <c r="CZ552" t="s">
        <v>7</v>
      </c>
    </row>
    <row r="553" spans="1:104" x14ac:dyDescent="0.25">
      <c r="A553" s="5"/>
      <c r="P553">
        <f t="shared" si="939"/>
        <v>0</v>
      </c>
      <c r="Q553">
        <f t="shared" si="940"/>
        <v>0</v>
      </c>
      <c r="R553">
        <f t="shared" si="941"/>
        <v>0</v>
      </c>
      <c r="S553">
        <f t="shared" si="942"/>
        <v>0</v>
      </c>
      <c r="T553">
        <f t="shared" si="943"/>
        <v>0</v>
      </c>
      <c r="CZ553" t="s">
        <v>7</v>
      </c>
    </row>
    <row r="554" spans="1:104" x14ac:dyDescent="0.25">
      <c r="A554" s="5"/>
      <c r="P554">
        <f t="shared" si="939"/>
        <v>0</v>
      </c>
      <c r="Q554">
        <f t="shared" si="940"/>
        <v>0</v>
      </c>
      <c r="R554">
        <f t="shared" si="941"/>
        <v>0</v>
      </c>
      <c r="S554">
        <f t="shared" si="942"/>
        <v>0</v>
      </c>
      <c r="T554">
        <f t="shared" si="943"/>
        <v>0</v>
      </c>
      <c r="CZ554" t="s">
        <v>7</v>
      </c>
    </row>
    <row r="555" spans="1:104" x14ac:dyDescent="0.25">
      <c r="A555" s="5"/>
      <c r="P555">
        <f t="shared" si="939"/>
        <v>0</v>
      </c>
      <c r="Q555">
        <f t="shared" si="940"/>
        <v>0</v>
      </c>
      <c r="R555">
        <f t="shared" si="941"/>
        <v>0</v>
      </c>
      <c r="S555">
        <f t="shared" si="942"/>
        <v>0</v>
      </c>
      <c r="T555">
        <f t="shared" si="943"/>
        <v>0</v>
      </c>
    </row>
    <row r="556" spans="1:104" x14ac:dyDescent="0.25">
      <c r="A556" s="5"/>
      <c r="C556"/>
      <c r="D556"/>
      <c r="P556">
        <f t="shared" si="939"/>
        <v>0</v>
      </c>
      <c r="Q556">
        <f t="shared" si="940"/>
        <v>0</v>
      </c>
      <c r="R556">
        <f t="shared" si="941"/>
        <v>0</v>
      </c>
      <c r="S556">
        <f t="shared" si="942"/>
        <v>0</v>
      </c>
      <c r="T556">
        <f t="shared" si="943"/>
        <v>0</v>
      </c>
    </row>
    <row r="557" spans="1:104" x14ac:dyDescent="0.25">
      <c r="A557" s="5"/>
      <c r="C557"/>
      <c r="D557"/>
      <c r="P557">
        <f t="shared" si="939"/>
        <v>0</v>
      </c>
      <c r="Q557">
        <f t="shared" si="940"/>
        <v>0</v>
      </c>
      <c r="R557">
        <f t="shared" si="941"/>
        <v>0</v>
      </c>
      <c r="S557">
        <f t="shared" si="942"/>
        <v>0</v>
      </c>
      <c r="T557">
        <f t="shared" si="943"/>
        <v>0</v>
      </c>
    </row>
    <row r="558" spans="1:104" x14ac:dyDescent="0.25">
      <c r="A558" s="5"/>
      <c r="C558"/>
      <c r="D558"/>
      <c r="P558">
        <f t="shared" si="939"/>
        <v>0</v>
      </c>
      <c r="Q558">
        <f t="shared" si="940"/>
        <v>0</v>
      </c>
      <c r="R558">
        <f t="shared" si="941"/>
        <v>0</v>
      </c>
      <c r="S558">
        <f t="shared" si="942"/>
        <v>0</v>
      </c>
      <c r="T558">
        <f t="shared" si="943"/>
        <v>0</v>
      </c>
    </row>
    <row r="559" spans="1:104" x14ac:dyDescent="0.25">
      <c r="A559" s="5"/>
      <c r="C559"/>
      <c r="D559"/>
      <c r="P559">
        <f t="shared" si="939"/>
        <v>0</v>
      </c>
      <c r="Q559">
        <f t="shared" si="940"/>
        <v>0</v>
      </c>
      <c r="R559">
        <f t="shared" si="941"/>
        <v>0</v>
      </c>
      <c r="S559">
        <f t="shared" si="942"/>
        <v>0</v>
      </c>
      <c r="T559">
        <f t="shared" si="943"/>
        <v>0</v>
      </c>
    </row>
    <row r="560" spans="1:104" x14ac:dyDescent="0.25">
      <c r="A560" s="5"/>
      <c r="C560"/>
      <c r="D560"/>
      <c r="P560">
        <f t="shared" si="939"/>
        <v>0</v>
      </c>
      <c r="Q560">
        <f t="shared" si="940"/>
        <v>0</v>
      </c>
      <c r="R560">
        <f t="shared" si="941"/>
        <v>0</v>
      </c>
      <c r="S560">
        <f t="shared" si="942"/>
        <v>0</v>
      </c>
      <c r="T560">
        <f t="shared" si="943"/>
        <v>0</v>
      </c>
    </row>
    <row r="561" spans="1:20" x14ac:dyDescent="0.25">
      <c r="A561" s="5"/>
      <c r="C561"/>
      <c r="D561"/>
      <c r="P561">
        <f t="shared" si="939"/>
        <v>0</v>
      </c>
      <c r="Q561">
        <f t="shared" si="940"/>
        <v>0</v>
      </c>
      <c r="R561">
        <f t="shared" si="941"/>
        <v>0</v>
      </c>
      <c r="S561">
        <f t="shared" si="942"/>
        <v>0</v>
      </c>
      <c r="T561">
        <f t="shared" si="943"/>
        <v>0</v>
      </c>
    </row>
    <row r="562" spans="1:20" x14ac:dyDescent="0.25">
      <c r="A562" s="5"/>
      <c r="C562"/>
      <c r="D562"/>
      <c r="P562">
        <f t="shared" si="939"/>
        <v>0</v>
      </c>
      <c r="Q562">
        <f t="shared" si="940"/>
        <v>0</v>
      </c>
      <c r="R562">
        <f t="shared" si="941"/>
        <v>0</v>
      </c>
      <c r="S562">
        <f t="shared" si="942"/>
        <v>0</v>
      </c>
      <c r="T562">
        <f t="shared" si="943"/>
        <v>0</v>
      </c>
    </row>
    <row r="563" spans="1:20" x14ac:dyDescent="0.25">
      <c r="A563" s="5"/>
      <c r="C563"/>
      <c r="D563"/>
      <c r="P563">
        <f t="shared" si="939"/>
        <v>0</v>
      </c>
      <c r="Q563">
        <f t="shared" si="940"/>
        <v>0</v>
      </c>
      <c r="R563">
        <f t="shared" si="941"/>
        <v>0</v>
      </c>
      <c r="S563">
        <f t="shared" si="942"/>
        <v>0</v>
      </c>
      <c r="T563">
        <f t="shared" si="943"/>
        <v>0</v>
      </c>
    </row>
    <row r="564" spans="1:20" x14ac:dyDescent="0.25">
      <c r="A564" s="5"/>
      <c r="C564"/>
      <c r="D564"/>
      <c r="P564">
        <f t="shared" si="939"/>
        <v>0</v>
      </c>
      <c r="Q564">
        <f t="shared" si="940"/>
        <v>0</v>
      </c>
      <c r="R564">
        <f t="shared" si="941"/>
        <v>0</v>
      </c>
      <c r="S564">
        <f t="shared" si="942"/>
        <v>0</v>
      </c>
      <c r="T564">
        <f t="shared" si="943"/>
        <v>0</v>
      </c>
    </row>
    <row r="565" spans="1:20" x14ac:dyDescent="0.25">
      <c r="A565" s="5"/>
      <c r="C565"/>
      <c r="D565"/>
      <c r="P565">
        <f t="shared" si="939"/>
        <v>0</v>
      </c>
      <c r="Q565">
        <f t="shared" si="940"/>
        <v>0</v>
      </c>
      <c r="R565">
        <f t="shared" si="941"/>
        <v>0</v>
      </c>
      <c r="S565">
        <f t="shared" si="942"/>
        <v>0</v>
      </c>
      <c r="T565">
        <f t="shared" si="943"/>
        <v>0</v>
      </c>
    </row>
    <row r="566" spans="1:20" x14ac:dyDescent="0.25">
      <c r="A566" s="5"/>
      <c r="C566"/>
      <c r="D566"/>
      <c r="P566">
        <f t="shared" si="939"/>
        <v>0</v>
      </c>
      <c r="Q566">
        <f t="shared" si="940"/>
        <v>0</v>
      </c>
      <c r="R566">
        <f t="shared" si="941"/>
        <v>0</v>
      </c>
      <c r="S566">
        <f t="shared" si="942"/>
        <v>0</v>
      </c>
      <c r="T566">
        <f t="shared" si="943"/>
        <v>0</v>
      </c>
    </row>
    <row r="567" spans="1:20" x14ac:dyDescent="0.25">
      <c r="A567" s="5"/>
      <c r="C567"/>
      <c r="D567"/>
      <c r="P567">
        <f t="shared" si="939"/>
        <v>0</v>
      </c>
      <c r="Q567">
        <f t="shared" si="940"/>
        <v>0</v>
      </c>
      <c r="R567">
        <f t="shared" si="941"/>
        <v>0</v>
      </c>
      <c r="S567">
        <f t="shared" si="942"/>
        <v>0</v>
      </c>
      <c r="T567">
        <f t="shared" si="943"/>
        <v>0</v>
      </c>
    </row>
    <row r="568" spans="1:20" x14ac:dyDescent="0.25">
      <c r="A568" s="5"/>
      <c r="C568"/>
      <c r="D568"/>
      <c r="P568">
        <f t="shared" si="939"/>
        <v>0</v>
      </c>
      <c r="Q568">
        <f t="shared" si="940"/>
        <v>0</v>
      </c>
      <c r="R568">
        <f t="shared" si="941"/>
        <v>0</v>
      </c>
      <c r="S568">
        <f t="shared" si="942"/>
        <v>0</v>
      </c>
      <c r="T568">
        <f t="shared" si="943"/>
        <v>0</v>
      </c>
    </row>
    <row r="569" spans="1:20" x14ac:dyDescent="0.25">
      <c r="A569" s="5"/>
      <c r="C569"/>
      <c r="D569"/>
      <c r="P569">
        <f t="shared" si="939"/>
        <v>0</v>
      </c>
      <c r="Q569">
        <f t="shared" si="940"/>
        <v>0</v>
      </c>
      <c r="R569">
        <f t="shared" si="941"/>
        <v>0</v>
      </c>
      <c r="S569">
        <f t="shared" si="942"/>
        <v>0</v>
      </c>
      <c r="T569">
        <f t="shared" si="943"/>
        <v>0</v>
      </c>
    </row>
    <row r="570" spans="1:20" x14ac:dyDescent="0.25">
      <c r="A570" s="5"/>
      <c r="C570"/>
      <c r="D570"/>
      <c r="P570">
        <f t="shared" si="939"/>
        <v>0</v>
      </c>
      <c r="Q570">
        <f t="shared" si="940"/>
        <v>0</v>
      </c>
      <c r="R570">
        <f t="shared" si="941"/>
        <v>0</v>
      </c>
      <c r="S570">
        <f t="shared" si="942"/>
        <v>0</v>
      </c>
      <c r="T570">
        <f t="shared" si="943"/>
        <v>0</v>
      </c>
    </row>
    <row r="571" spans="1:20" x14ac:dyDescent="0.25">
      <c r="A571" s="5"/>
      <c r="C571"/>
      <c r="D571"/>
      <c r="P571">
        <f t="shared" si="939"/>
        <v>0</v>
      </c>
      <c r="Q571">
        <f t="shared" si="940"/>
        <v>0</v>
      </c>
      <c r="R571">
        <f t="shared" si="941"/>
        <v>0</v>
      </c>
      <c r="S571">
        <f t="shared" si="942"/>
        <v>0</v>
      </c>
      <c r="T571">
        <f t="shared" si="943"/>
        <v>0</v>
      </c>
    </row>
    <row r="572" spans="1:20" x14ac:dyDescent="0.25">
      <c r="A572" s="5"/>
      <c r="C572"/>
      <c r="D572"/>
      <c r="P572">
        <f t="shared" si="939"/>
        <v>0</v>
      </c>
      <c r="Q572">
        <f t="shared" si="940"/>
        <v>0</v>
      </c>
      <c r="R572">
        <f t="shared" si="941"/>
        <v>0</v>
      </c>
      <c r="S572">
        <f t="shared" si="942"/>
        <v>0</v>
      </c>
      <c r="T572">
        <f t="shared" si="943"/>
        <v>0</v>
      </c>
    </row>
    <row r="573" spans="1:20" x14ac:dyDescent="0.25">
      <c r="A573" s="5"/>
      <c r="C573"/>
      <c r="D573"/>
      <c r="P573">
        <f t="shared" ref="P573:P636" si="944">IF(C573=D573,0,((E573-D573)-(C573-E573))/(C573-D573))</f>
        <v>0</v>
      </c>
      <c r="Q573">
        <f t="shared" ref="Q573:Q636" si="945">F573*P573</f>
        <v>0</v>
      </c>
      <c r="R573">
        <f t="shared" ref="R573:R636" si="946">R574+Q573</f>
        <v>0</v>
      </c>
      <c r="S573">
        <f t="shared" ref="S573:S636" si="947">R573/100000</f>
        <v>0</v>
      </c>
      <c r="T573">
        <f t="shared" ref="T573:T636" si="948">S573/1000</f>
        <v>0</v>
      </c>
    </row>
    <row r="574" spans="1:20" x14ac:dyDescent="0.25">
      <c r="A574" s="5"/>
      <c r="C574"/>
      <c r="D574"/>
      <c r="P574">
        <f t="shared" si="944"/>
        <v>0</v>
      </c>
      <c r="Q574">
        <f t="shared" si="945"/>
        <v>0</v>
      </c>
      <c r="R574">
        <f t="shared" si="946"/>
        <v>0</v>
      </c>
      <c r="S574">
        <f t="shared" si="947"/>
        <v>0</v>
      </c>
      <c r="T574">
        <f t="shared" si="948"/>
        <v>0</v>
      </c>
    </row>
    <row r="575" spans="1:20" x14ac:dyDescent="0.25">
      <c r="A575" s="5"/>
      <c r="C575"/>
      <c r="D575"/>
      <c r="P575">
        <f t="shared" si="944"/>
        <v>0</v>
      </c>
      <c r="Q575">
        <f t="shared" si="945"/>
        <v>0</v>
      </c>
      <c r="R575">
        <f t="shared" si="946"/>
        <v>0</v>
      </c>
      <c r="S575">
        <f t="shared" si="947"/>
        <v>0</v>
      </c>
      <c r="T575">
        <f t="shared" si="948"/>
        <v>0</v>
      </c>
    </row>
    <row r="576" spans="1:20" x14ac:dyDescent="0.25">
      <c r="A576" s="5"/>
      <c r="C576"/>
      <c r="D576"/>
      <c r="P576">
        <f t="shared" si="944"/>
        <v>0</v>
      </c>
      <c r="Q576">
        <f t="shared" si="945"/>
        <v>0</v>
      </c>
      <c r="R576">
        <f t="shared" si="946"/>
        <v>0</v>
      </c>
      <c r="S576">
        <f t="shared" si="947"/>
        <v>0</v>
      </c>
      <c r="T576">
        <f t="shared" si="948"/>
        <v>0</v>
      </c>
    </row>
    <row r="577" spans="1:20" x14ac:dyDescent="0.25">
      <c r="A577" s="5"/>
      <c r="C577"/>
      <c r="D577"/>
      <c r="P577">
        <f t="shared" si="944"/>
        <v>0</v>
      </c>
      <c r="Q577">
        <f t="shared" si="945"/>
        <v>0</v>
      </c>
      <c r="R577">
        <f t="shared" si="946"/>
        <v>0</v>
      </c>
      <c r="S577">
        <f t="shared" si="947"/>
        <v>0</v>
      </c>
      <c r="T577">
        <f t="shared" si="948"/>
        <v>0</v>
      </c>
    </row>
    <row r="578" spans="1:20" x14ac:dyDescent="0.25">
      <c r="A578" s="5"/>
      <c r="C578"/>
      <c r="D578"/>
      <c r="P578">
        <f t="shared" si="944"/>
        <v>0</v>
      </c>
      <c r="Q578">
        <f t="shared" si="945"/>
        <v>0</v>
      </c>
      <c r="R578">
        <f t="shared" si="946"/>
        <v>0</v>
      </c>
      <c r="S578">
        <f t="shared" si="947"/>
        <v>0</v>
      </c>
      <c r="T578">
        <f t="shared" si="948"/>
        <v>0</v>
      </c>
    </row>
    <row r="579" spans="1:20" x14ac:dyDescent="0.25">
      <c r="A579" s="5"/>
      <c r="C579"/>
      <c r="D579"/>
      <c r="P579">
        <f t="shared" si="944"/>
        <v>0</v>
      </c>
      <c r="Q579">
        <f t="shared" si="945"/>
        <v>0</v>
      </c>
      <c r="R579">
        <f t="shared" si="946"/>
        <v>0</v>
      </c>
      <c r="S579">
        <f t="shared" si="947"/>
        <v>0</v>
      </c>
      <c r="T579">
        <f t="shared" si="948"/>
        <v>0</v>
      </c>
    </row>
    <row r="580" spans="1:20" x14ac:dyDescent="0.25">
      <c r="A580" s="5"/>
      <c r="C580"/>
      <c r="D580"/>
      <c r="P580">
        <f t="shared" si="944"/>
        <v>0</v>
      </c>
      <c r="Q580">
        <f t="shared" si="945"/>
        <v>0</v>
      </c>
      <c r="R580">
        <f t="shared" si="946"/>
        <v>0</v>
      </c>
      <c r="S580">
        <f t="shared" si="947"/>
        <v>0</v>
      </c>
      <c r="T580">
        <f t="shared" si="948"/>
        <v>0</v>
      </c>
    </row>
    <row r="581" spans="1:20" x14ac:dyDescent="0.25">
      <c r="A581" s="5"/>
      <c r="C581"/>
      <c r="D581"/>
      <c r="P581">
        <f t="shared" si="944"/>
        <v>0</v>
      </c>
      <c r="Q581">
        <f t="shared" si="945"/>
        <v>0</v>
      </c>
      <c r="R581">
        <f t="shared" si="946"/>
        <v>0</v>
      </c>
      <c r="S581">
        <f t="shared" si="947"/>
        <v>0</v>
      </c>
      <c r="T581">
        <f t="shared" si="948"/>
        <v>0</v>
      </c>
    </row>
    <row r="582" spans="1:20" x14ac:dyDescent="0.25">
      <c r="A582" s="5"/>
      <c r="C582"/>
      <c r="D582"/>
      <c r="P582">
        <f t="shared" si="944"/>
        <v>0</v>
      </c>
      <c r="Q582">
        <f t="shared" si="945"/>
        <v>0</v>
      </c>
      <c r="R582">
        <f t="shared" si="946"/>
        <v>0</v>
      </c>
      <c r="S582">
        <f t="shared" si="947"/>
        <v>0</v>
      </c>
      <c r="T582">
        <f t="shared" si="948"/>
        <v>0</v>
      </c>
    </row>
    <row r="583" spans="1:20" x14ac:dyDescent="0.25">
      <c r="A583" s="5"/>
      <c r="C583"/>
      <c r="D583"/>
      <c r="P583">
        <f t="shared" si="944"/>
        <v>0</v>
      </c>
      <c r="Q583">
        <f t="shared" si="945"/>
        <v>0</v>
      </c>
      <c r="R583">
        <f t="shared" si="946"/>
        <v>0</v>
      </c>
      <c r="S583">
        <f t="shared" si="947"/>
        <v>0</v>
      </c>
      <c r="T583">
        <f t="shared" si="948"/>
        <v>0</v>
      </c>
    </row>
    <row r="584" spans="1:20" x14ac:dyDescent="0.25">
      <c r="A584" s="5"/>
      <c r="C584"/>
      <c r="D584"/>
      <c r="P584">
        <f t="shared" si="944"/>
        <v>0</v>
      </c>
      <c r="Q584">
        <f t="shared" si="945"/>
        <v>0</v>
      </c>
      <c r="R584">
        <f t="shared" si="946"/>
        <v>0</v>
      </c>
      <c r="S584">
        <f t="shared" si="947"/>
        <v>0</v>
      </c>
      <c r="T584">
        <f t="shared" si="948"/>
        <v>0</v>
      </c>
    </row>
    <row r="585" spans="1:20" x14ac:dyDescent="0.25">
      <c r="A585" s="5"/>
      <c r="C585"/>
      <c r="D585"/>
      <c r="P585">
        <f t="shared" si="944"/>
        <v>0</v>
      </c>
      <c r="Q585">
        <f t="shared" si="945"/>
        <v>0</v>
      </c>
      <c r="R585">
        <f t="shared" si="946"/>
        <v>0</v>
      </c>
      <c r="S585">
        <f t="shared" si="947"/>
        <v>0</v>
      </c>
      <c r="T585">
        <f t="shared" si="948"/>
        <v>0</v>
      </c>
    </row>
    <row r="586" spans="1:20" x14ac:dyDescent="0.25">
      <c r="A586" s="5"/>
      <c r="C586"/>
      <c r="D586"/>
      <c r="P586">
        <f t="shared" si="944"/>
        <v>0</v>
      </c>
      <c r="Q586">
        <f t="shared" si="945"/>
        <v>0</v>
      </c>
      <c r="R586">
        <f t="shared" si="946"/>
        <v>0</v>
      </c>
      <c r="S586">
        <f t="shared" si="947"/>
        <v>0</v>
      </c>
      <c r="T586">
        <f t="shared" si="948"/>
        <v>0</v>
      </c>
    </row>
    <row r="587" spans="1:20" x14ac:dyDescent="0.25">
      <c r="A587" s="5"/>
      <c r="C587"/>
      <c r="D587"/>
      <c r="P587">
        <f t="shared" si="944"/>
        <v>0</v>
      </c>
      <c r="Q587">
        <f t="shared" si="945"/>
        <v>0</v>
      </c>
      <c r="R587">
        <f t="shared" si="946"/>
        <v>0</v>
      </c>
      <c r="S587">
        <f t="shared" si="947"/>
        <v>0</v>
      </c>
      <c r="T587">
        <f t="shared" si="948"/>
        <v>0</v>
      </c>
    </row>
    <row r="588" spans="1:20" x14ac:dyDescent="0.25">
      <c r="A588" s="5"/>
      <c r="C588"/>
      <c r="D588"/>
      <c r="P588">
        <f t="shared" si="944"/>
        <v>0</v>
      </c>
      <c r="Q588">
        <f t="shared" si="945"/>
        <v>0</v>
      </c>
      <c r="R588">
        <f t="shared" si="946"/>
        <v>0</v>
      </c>
      <c r="S588">
        <f t="shared" si="947"/>
        <v>0</v>
      </c>
      <c r="T588">
        <f t="shared" si="948"/>
        <v>0</v>
      </c>
    </row>
    <row r="589" spans="1:20" x14ac:dyDescent="0.25">
      <c r="A589" s="5"/>
      <c r="C589"/>
      <c r="D589"/>
      <c r="P589">
        <f t="shared" si="944"/>
        <v>0</v>
      </c>
      <c r="Q589">
        <f t="shared" si="945"/>
        <v>0</v>
      </c>
      <c r="R589">
        <f t="shared" si="946"/>
        <v>0</v>
      </c>
      <c r="S589">
        <f t="shared" si="947"/>
        <v>0</v>
      </c>
      <c r="T589">
        <f t="shared" si="948"/>
        <v>0</v>
      </c>
    </row>
    <row r="590" spans="1:20" x14ac:dyDescent="0.25">
      <c r="A590" s="5"/>
      <c r="C590"/>
      <c r="D590"/>
      <c r="P590">
        <f t="shared" si="944"/>
        <v>0</v>
      </c>
      <c r="Q590">
        <f t="shared" si="945"/>
        <v>0</v>
      </c>
      <c r="R590">
        <f t="shared" si="946"/>
        <v>0</v>
      </c>
      <c r="S590">
        <f t="shared" si="947"/>
        <v>0</v>
      </c>
      <c r="T590">
        <f t="shared" si="948"/>
        <v>0</v>
      </c>
    </row>
    <row r="591" spans="1:20" x14ac:dyDescent="0.25">
      <c r="A591" s="5"/>
      <c r="C591"/>
      <c r="D591"/>
      <c r="P591">
        <f t="shared" si="944"/>
        <v>0</v>
      </c>
      <c r="Q591">
        <f t="shared" si="945"/>
        <v>0</v>
      </c>
      <c r="R591">
        <f t="shared" si="946"/>
        <v>0</v>
      </c>
      <c r="S591">
        <f t="shared" si="947"/>
        <v>0</v>
      </c>
      <c r="T591">
        <f t="shared" si="948"/>
        <v>0</v>
      </c>
    </row>
    <row r="592" spans="1:20" x14ac:dyDescent="0.25">
      <c r="A592" s="5"/>
      <c r="C592"/>
      <c r="D592"/>
      <c r="P592">
        <f t="shared" si="944"/>
        <v>0</v>
      </c>
      <c r="Q592">
        <f t="shared" si="945"/>
        <v>0</v>
      </c>
      <c r="R592">
        <f t="shared" si="946"/>
        <v>0</v>
      </c>
      <c r="S592">
        <f t="shared" si="947"/>
        <v>0</v>
      </c>
      <c r="T592">
        <f t="shared" si="948"/>
        <v>0</v>
      </c>
    </row>
    <row r="593" spans="1:20" x14ac:dyDescent="0.25">
      <c r="A593" s="5"/>
      <c r="C593"/>
      <c r="D593"/>
      <c r="P593">
        <f t="shared" si="944"/>
        <v>0</v>
      </c>
      <c r="Q593">
        <f t="shared" si="945"/>
        <v>0</v>
      </c>
      <c r="R593">
        <f t="shared" si="946"/>
        <v>0</v>
      </c>
      <c r="S593">
        <f t="shared" si="947"/>
        <v>0</v>
      </c>
      <c r="T593">
        <f t="shared" si="948"/>
        <v>0</v>
      </c>
    </row>
    <row r="594" spans="1:20" x14ac:dyDescent="0.25">
      <c r="A594" s="5"/>
      <c r="C594"/>
      <c r="D594"/>
      <c r="P594">
        <f t="shared" si="944"/>
        <v>0</v>
      </c>
      <c r="Q594">
        <f t="shared" si="945"/>
        <v>0</v>
      </c>
      <c r="R594">
        <f t="shared" si="946"/>
        <v>0</v>
      </c>
      <c r="S594">
        <f t="shared" si="947"/>
        <v>0</v>
      </c>
      <c r="T594">
        <f t="shared" si="948"/>
        <v>0</v>
      </c>
    </row>
    <row r="595" spans="1:20" x14ac:dyDescent="0.25">
      <c r="A595" s="5"/>
      <c r="C595"/>
      <c r="D595"/>
      <c r="P595">
        <f t="shared" si="944"/>
        <v>0</v>
      </c>
      <c r="Q595">
        <f t="shared" si="945"/>
        <v>0</v>
      </c>
      <c r="R595">
        <f t="shared" si="946"/>
        <v>0</v>
      </c>
      <c r="S595">
        <f t="shared" si="947"/>
        <v>0</v>
      </c>
      <c r="T595">
        <f t="shared" si="948"/>
        <v>0</v>
      </c>
    </row>
    <row r="596" spans="1:20" x14ac:dyDescent="0.25">
      <c r="A596" s="5"/>
      <c r="C596"/>
      <c r="D596"/>
      <c r="P596">
        <f t="shared" si="944"/>
        <v>0</v>
      </c>
      <c r="Q596">
        <f t="shared" si="945"/>
        <v>0</v>
      </c>
      <c r="R596">
        <f t="shared" si="946"/>
        <v>0</v>
      </c>
      <c r="S596">
        <f t="shared" si="947"/>
        <v>0</v>
      </c>
      <c r="T596">
        <f t="shared" si="948"/>
        <v>0</v>
      </c>
    </row>
    <row r="597" spans="1:20" x14ac:dyDescent="0.25">
      <c r="A597" s="5"/>
      <c r="C597"/>
      <c r="D597"/>
      <c r="P597">
        <f t="shared" si="944"/>
        <v>0</v>
      </c>
      <c r="Q597">
        <f t="shared" si="945"/>
        <v>0</v>
      </c>
      <c r="R597">
        <f t="shared" si="946"/>
        <v>0</v>
      </c>
      <c r="S597">
        <f t="shared" si="947"/>
        <v>0</v>
      </c>
      <c r="T597">
        <f t="shared" si="948"/>
        <v>0</v>
      </c>
    </row>
    <row r="598" spans="1:20" x14ac:dyDescent="0.25">
      <c r="A598" s="5"/>
      <c r="C598"/>
      <c r="D598"/>
      <c r="P598">
        <f t="shared" si="944"/>
        <v>0</v>
      </c>
      <c r="Q598">
        <f t="shared" si="945"/>
        <v>0</v>
      </c>
      <c r="R598">
        <f t="shared" si="946"/>
        <v>0</v>
      </c>
      <c r="S598">
        <f t="shared" si="947"/>
        <v>0</v>
      </c>
      <c r="T598">
        <f t="shared" si="948"/>
        <v>0</v>
      </c>
    </row>
    <row r="599" spans="1:20" x14ac:dyDescent="0.25">
      <c r="A599" s="5"/>
      <c r="C599"/>
      <c r="D599"/>
      <c r="P599">
        <f t="shared" si="944"/>
        <v>0</v>
      </c>
      <c r="Q599">
        <f t="shared" si="945"/>
        <v>0</v>
      </c>
      <c r="R599">
        <f t="shared" si="946"/>
        <v>0</v>
      </c>
      <c r="S599">
        <f t="shared" si="947"/>
        <v>0</v>
      </c>
      <c r="T599">
        <f t="shared" si="948"/>
        <v>0</v>
      </c>
    </row>
    <row r="600" spans="1:20" x14ac:dyDescent="0.25">
      <c r="A600" s="5"/>
      <c r="C600"/>
      <c r="D600"/>
      <c r="P600">
        <f t="shared" si="944"/>
        <v>0</v>
      </c>
      <c r="Q600">
        <f t="shared" si="945"/>
        <v>0</v>
      </c>
      <c r="R600">
        <f t="shared" si="946"/>
        <v>0</v>
      </c>
      <c r="S600">
        <f t="shared" si="947"/>
        <v>0</v>
      </c>
      <c r="T600">
        <f t="shared" si="948"/>
        <v>0</v>
      </c>
    </row>
    <row r="601" spans="1:20" x14ac:dyDescent="0.25">
      <c r="A601" s="5"/>
      <c r="C601"/>
      <c r="D601"/>
      <c r="P601">
        <f t="shared" si="944"/>
        <v>0</v>
      </c>
      <c r="Q601">
        <f t="shared" si="945"/>
        <v>0</v>
      </c>
      <c r="R601">
        <f t="shared" si="946"/>
        <v>0</v>
      </c>
      <c r="S601">
        <f t="shared" si="947"/>
        <v>0</v>
      </c>
      <c r="T601">
        <f t="shared" si="948"/>
        <v>0</v>
      </c>
    </row>
    <row r="602" spans="1:20" x14ac:dyDescent="0.25">
      <c r="A602" s="5"/>
      <c r="C602"/>
      <c r="D602"/>
      <c r="P602">
        <f t="shared" si="944"/>
        <v>0</v>
      </c>
      <c r="Q602">
        <f t="shared" si="945"/>
        <v>0</v>
      </c>
      <c r="R602">
        <f t="shared" si="946"/>
        <v>0</v>
      </c>
      <c r="S602">
        <f t="shared" si="947"/>
        <v>0</v>
      </c>
      <c r="T602">
        <f t="shared" si="948"/>
        <v>0</v>
      </c>
    </row>
    <row r="603" spans="1:20" x14ac:dyDescent="0.25">
      <c r="A603" s="5"/>
      <c r="C603"/>
      <c r="D603"/>
      <c r="P603">
        <f t="shared" si="944"/>
        <v>0</v>
      </c>
      <c r="Q603">
        <f t="shared" si="945"/>
        <v>0</v>
      </c>
      <c r="R603">
        <f t="shared" si="946"/>
        <v>0</v>
      </c>
      <c r="S603">
        <f t="shared" si="947"/>
        <v>0</v>
      </c>
      <c r="T603">
        <f t="shared" si="948"/>
        <v>0</v>
      </c>
    </row>
    <row r="604" spans="1:20" x14ac:dyDescent="0.25">
      <c r="A604" s="5"/>
      <c r="C604"/>
      <c r="D604"/>
      <c r="P604">
        <f t="shared" si="944"/>
        <v>0</v>
      </c>
      <c r="Q604">
        <f t="shared" si="945"/>
        <v>0</v>
      </c>
      <c r="R604">
        <f t="shared" si="946"/>
        <v>0</v>
      </c>
      <c r="S604">
        <f t="shared" si="947"/>
        <v>0</v>
      </c>
      <c r="T604">
        <f t="shared" si="948"/>
        <v>0</v>
      </c>
    </row>
    <row r="605" spans="1:20" x14ac:dyDescent="0.25">
      <c r="A605" s="5"/>
      <c r="C605"/>
      <c r="D605"/>
      <c r="P605">
        <f t="shared" si="944"/>
        <v>0</v>
      </c>
      <c r="Q605">
        <f t="shared" si="945"/>
        <v>0</v>
      </c>
      <c r="R605">
        <f t="shared" si="946"/>
        <v>0</v>
      </c>
      <c r="S605">
        <f t="shared" si="947"/>
        <v>0</v>
      </c>
      <c r="T605">
        <f t="shared" si="948"/>
        <v>0</v>
      </c>
    </row>
    <row r="606" spans="1:20" x14ac:dyDescent="0.25">
      <c r="A606" s="5"/>
      <c r="C606"/>
      <c r="D606"/>
      <c r="P606">
        <f t="shared" si="944"/>
        <v>0</v>
      </c>
      <c r="Q606">
        <f t="shared" si="945"/>
        <v>0</v>
      </c>
      <c r="R606">
        <f t="shared" si="946"/>
        <v>0</v>
      </c>
      <c r="S606">
        <f t="shared" si="947"/>
        <v>0</v>
      </c>
      <c r="T606">
        <f t="shared" si="948"/>
        <v>0</v>
      </c>
    </row>
    <row r="607" spans="1:20" x14ac:dyDescent="0.25">
      <c r="A607" s="5"/>
      <c r="C607"/>
      <c r="D607"/>
      <c r="P607">
        <f t="shared" si="944"/>
        <v>0</v>
      </c>
      <c r="Q607">
        <f t="shared" si="945"/>
        <v>0</v>
      </c>
      <c r="R607">
        <f t="shared" si="946"/>
        <v>0</v>
      </c>
      <c r="S607">
        <f t="shared" si="947"/>
        <v>0</v>
      </c>
      <c r="T607">
        <f t="shared" si="948"/>
        <v>0</v>
      </c>
    </row>
    <row r="608" spans="1:20" x14ac:dyDescent="0.25">
      <c r="A608" s="5"/>
      <c r="C608"/>
      <c r="D608"/>
      <c r="P608">
        <f t="shared" si="944"/>
        <v>0</v>
      </c>
      <c r="Q608">
        <f t="shared" si="945"/>
        <v>0</v>
      </c>
      <c r="R608">
        <f t="shared" si="946"/>
        <v>0</v>
      </c>
      <c r="S608">
        <f t="shared" si="947"/>
        <v>0</v>
      </c>
      <c r="T608">
        <f t="shared" si="948"/>
        <v>0</v>
      </c>
    </row>
    <row r="609" spans="1:20" x14ac:dyDescent="0.25">
      <c r="A609" s="5"/>
      <c r="C609"/>
      <c r="D609"/>
      <c r="P609">
        <f t="shared" si="944"/>
        <v>0</v>
      </c>
      <c r="Q609">
        <f t="shared" si="945"/>
        <v>0</v>
      </c>
      <c r="R609">
        <f t="shared" si="946"/>
        <v>0</v>
      </c>
      <c r="S609">
        <f t="shared" si="947"/>
        <v>0</v>
      </c>
      <c r="T609">
        <f t="shared" si="948"/>
        <v>0</v>
      </c>
    </row>
    <row r="610" spans="1:20" x14ac:dyDescent="0.25">
      <c r="A610" s="5"/>
      <c r="C610"/>
      <c r="D610"/>
      <c r="P610">
        <f t="shared" si="944"/>
        <v>0</v>
      </c>
      <c r="Q610">
        <f t="shared" si="945"/>
        <v>0</v>
      </c>
      <c r="R610">
        <f t="shared" si="946"/>
        <v>0</v>
      </c>
      <c r="S610">
        <f t="shared" si="947"/>
        <v>0</v>
      </c>
      <c r="T610">
        <f t="shared" si="948"/>
        <v>0</v>
      </c>
    </row>
    <row r="611" spans="1:20" x14ac:dyDescent="0.25">
      <c r="A611" s="5"/>
      <c r="C611"/>
      <c r="D611"/>
      <c r="P611">
        <f t="shared" si="944"/>
        <v>0</v>
      </c>
      <c r="Q611">
        <f t="shared" si="945"/>
        <v>0</v>
      </c>
      <c r="R611">
        <f t="shared" si="946"/>
        <v>0</v>
      </c>
      <c r="S611">
        <f t="shared" si="947"/>
        <v>0</v>
      </c>
      <c r="T611">
        <f t="shared" si="948"/>
        <v>0</v>
      </c>
    </row>
    <row r="612" spans="1:20" x14ac:dyDescent="0.25">
      <c r="A612" s="5"/>
      <c r="C612"/>
      <c r="D612"/>
      <c r="P612">
        <f t="shared" si="944"/>
        <v>0</v>
      </c>
      <c r="Q612">
        <f t="shared" si="945"/>
        <v>0</v>
      </c>
      <c r="R612">
        <f t="shared" si="946"/>
        <v>0</v>
      </c>
      <c r="S612">
        <f t="shared" si="947"/>
        <v>0</v>
      </c>
      <c r="T612">
        <f t="shared" si="948"/>
        <v>0</v>
      </c>
    </row>
    <row r="613" spans="1:20" x14ac:dyDescent="0.25">
      <c r="A613" s="5"/>
      <c r="C613"/>
      <c r="D613"/>
      <c r="P613">
        <f t="shared" si="944"/>
        <v>0</v>
      </c>
      <c r="Q613">
        <f t="shared" si="945"/>
        <v>0</v>
      </c>
      <c r="R613">
        <f t="shared" si="946"/>
        <v>0</v>
      </c>
      <c r="S613">
        <f t="shared" si="947"/>
        <v>0</v>
      </c>
      <c r="T613">
        <f t="shared" si="948"/>
        <v>0</v>
      </c>
    </row>
    <row r="614" spans="1:20" x14ac:dyDescent="0.25">
      <c r="A614" s="5"/>
      <c r="C614"/>
      <c r="D614"/>
      <c r="P614">
        <f t="shared" si="944"/>
        <v>0</v>
      </c>
      <c r="Q614">
        <f t="shared" si="945"/>
        <v>0</v>
      </c>
      <c r="R614">
        <f t="shared" si="946"/>
        <v>0</v>
      </c>
      <c r="S614">
        <f t="shared" si="947"/>
        <v>0</v>
      </c>
      <c r="T614">
        <f t="shared" si="948"/>
        <v>0</v>
      </c>
    </row>
    <row r="615" spans="1:20" x14ac:dyDescent="0.25">
      <c r="A615" s="5"/>
      <c r="C615"/>
      <c r="D615"/>
      <c r="P615">
        <f t="shared" si="944"/>
        <v>0</v>
      </c>
      <c r="Q615">
        <f t="shared" si="945"/>
        <v>0</v>
      </c>
      <c r="R615">
        <f t="shared" si="946"/>
        <v>0</v>
      </c>
      <c r="S615">
        <f t="shared" si="947"/>
        <v>0</v>
      </c>
      <c r="T615">
        <f t="shared" si="948"/>
        <v>0</v>
      </c>
    </row>
    <row r="616" spans="1:20" x14ac:dyDescent="0.25">
      <c r="A616" s="5"/>
      <c r="C616"/>
      <c r="D616"/>
      <c r="P616">
        <f t="shared" si="944"/>
        <v>0</v>
      </c>
      <c r="Q616">
        <f t="shared" si="945"/>
        <v>0</v>
      </c>
      <c r="R616">
        <f t="shared" si="946"/>
        <v>0</v>
      </c>
      <c r="S616">
        <f t="shared" si="947"/>
        <v>0</v>
      </c>
      <c r="T616">
        <f t="shared" si="948"/>
        <v>0</v>
      </c>
    </row>
    <row r="617" spans="1:20" x14ac:dyDescent="0.25">
      <c r="A617" s="5"/>
      <c r="C617"/>
      <c r="D617"/>
      <c r="P617">
        <f t="shared" si="944"/>
        <v>0</v>
      </c>
      <c r="Q617">
        <f t="shared" si="945"/>
        <v>0</v>
      </c>
      <c r="R617">
        <f t="shared" si="946"/>
        <v>0</v>
      </c>
      <c r="S617">
        <f t="shared" si="947"/>
        <v>0</v>
      </c>
      <c r="T617">
        <f t="shared" si="948"/>
        <v>0</v>
      </c>
    </row>
    <row r="618" spans="1:20" x14ac:dyDescent="0.25">
      <c r="A618" s="5"/>
      <c r="C618"/>
      <c r="D618"/>
      <c r="P618">
        <f t="shared" si="944"/>
        <v>0</v>
      </c>
      <c r="Q618">
        <f t="shared" si="945"/>
        <v>0</v>
      </c>
      <c r="R618">
        <f t="shared" si="946"/>
        <v>0</v>
      </c>
      <c r="S618">
        <f t="shared" si="947"/>
        <v>0</v>
      </c>
      <c r="T618">
        <f t="shared" si="948"/>
        <v>0</v>
      </c>
    </row>
    <row r="619" spans="1:20" x14ac:dyDescent="0.25">
      <c r="A619" s="5"/>
      <c r="C619"/>
      <c r="D619"/>
      <c r="P619">
        <f t="shared" si="944"/>
        <v>0</v>
      </c>
      <c r="Q619">
        <f t="shared" si="945"/>
        <v>0</v>
      </c>
      <c r="R619">
        <f t="shared" si="946"/>
        <v>0</v>
      </c>
      <c r="S619">
        <f t="shared" si="947"/>
        <v>0</v>
      </c>
      <c r="T619">
        <f t="shared" si="948"/>
        <v>0</v>
      </c>
    </row>
    <row r="620" spans="1:20" x14ac:dyDescent="0.25">
      <c r="A620" s="5"/>
      <c r="C620"/>
      <c r="D620"/>
      <c r="P620">
        <f t="shared" si="944"/>
        <v>0</v>
      </c>
      <c r="Q620">
        <f t="shared" si="945"/>
        <v>0</v>
      </c>
      <c r="R620">
        <f t="shared" si="946"/>
        <v>0</v>
      </c>
      <c r="S620">
        <f t="shared" si="947"/>
        <v>0</v>
      </c>
      <c r="T620">
        <f t="shared" si="948"/>
        <v>0</v>
      </c>
    </row>
    <row r="621" spans="1:20" x14ac:dyDescent="0.25">
      <c r="A621" s="5"/>
      <c r="C621"/>
      <c r="D621"/>
      <c r="P621">
        <f t="shared" si="944"/>
        <v>0</v>
      </c>
      <c r="Q621">
        <f t="shared" si="945"/>
        <v>0</v>
      </c>
      <c r="R621">
        <f t="shared" si="946"/>
        <v>0</v>
      </c>
      <c r="S621">
        <f t="shared" si="947"/>
        <v>0</v>
      </c>
      <c r="T621">
        <f t="shared" si="948"/>
        <v>0</v>
      </c>
    </row>
    <row r="622" spans="1:20" x14ac:dyDescent="0.25">
      <c r="A622" s="5"/>
      <c r="C622"/>
      <c r="D622"/>
      <c r="P622">
        <f t="shared" si="944"/>
        <v>0</v>
      </c>
      <c r="Q622">
        <f t="shared" si="945"/>
        <v>0</v>
      </c>
      <c r="R622">
        <f t="shared" si="946"/>
        <v>0</v>
      </c>
      <c r="S622">
        <f t="shared" si="947"/>
        <v>0</v>
      </c>
      <c r="T622">
        <f t="shared" si="948"/>
        <v>0</v>
      </c>
    </row>
    <row r="623" spans="1:20" x14ac:dyDescent="0.25">
      <c r="A623" s="5"/>
      <c r="C623"/>
      <c r="D623"/>
      <c r="P623">
        <f t="shared" si="944"/>
        <v>0</v>
      </c>
      <c r="Q623">
        <f t="shared" si="945"/>
        <v>0</v>
      </c>
      <c r="R623">
        <f t="shared" si="946"/>
        <v>0</v>
      </c>
      <c r="S623">
        <f t="shared" si="947"/>
        <v>0</v>
      </c>
      <c r="T623">
        <f t="shared" si="948"/>
        <v>0</v>
      </c>
    </row>
    <row r="624" spans="1:20" x14ac:dyDescent="0.25">
      <c r="A624" s="5"/>
      <c r="C624"/>
      <c r="D624"/>
      <c r="P624">
        <f t="shared" si="944"/>
        <v>0</v>
      </c>
      <c r="Q624">
        <f t="shared" si="945"/>
        <v>0</v>
      </c>
      <c r="R624">
        <f t="shared" si="946"/>
        <v>0</v>
      </c>
      <c r="S624">
        <f t="shared" si="947"/>
        <v>0</v>
      </c>
      <c r="T624">
        <f t="shared" si="948"/>
        <v>0</v>
      </c>
    </row>
    <row r="625" spans="1:20" x14ac:dyDescent="0.25">
      <c r="A625" s="5"/>
      <c r="C625"/>
      <c r="D625"/>
      <c r="P625">
        <f t="shared" si="944"/>
        <v>0</v>
      </c>
      <c r="Q625">
        <f t="shared" si="945"/>
        <v>0</v>
      </c>
      <c r="R625">
        <f t="shared" si="946"/>
        <v>0</v>
      </c>
      <c r="S625">
        <f t="shared" si="947"/>
        <v>0</v>
      </c>
      <c r="T625">
        <f t="shared" si="948"/>
        <v>0</v>
      </c>
    </row>
    <row r="626" spans="1:20" x14ac:dyDescent="0.25">
      <c r="A626" s="5"/>
      <c r="C626"/>
      <c r="D626"/>
      <c r="P626">
        <f t="shared" si="944"/>
        <v>0</v>
      </c>
      <c r="Q626">
        <f t="shared" si="945"/>
        <v>0</v>
      </c>
      <c r="R626">
        <f t="shared" si="946"/>
        <v>0</v>
      </c>
      <c r="S626">
        <f t="shared" si="947"/>
        <v>0</v>
      </c>
      <c r="T626">
        <f t="shared" si="948"/>
        <v>0</v>
      </c>
    </row>
    <row r="627" spans="1:20" x14ac:dyDescent="0.25">
      <c r="A627" s="5"/>
      <c r="C627"/>
      <c r="D627"/>
      <c r="P627">
        <f t="shared" si="944"/>
        <v>0</v>
      </c>
      <c r="Q627">
        <f t="shared" si="945"/>
        <v>0</v>
      </c>
      <c r="R627">
        <f t="shared" si="946"/>
        <v>0</v>
      </c>
      <c r="S627">
        <f t="shared" si="947"/>
        <v>0</v>
      </c>
      <c r="T627">
        <f t="shared" si="948"/>
        <v>0</v>
      </c>
    </row>
    <row r="628" spans="1:20" x14ac:dyDescent="0.25">
      <c r="A628" s="5"/>
      <c r="C628"/>
      <c r="D628"/>
      <c r="P628">
        <f t="shared" si="944"/>
        <v>0</v>
      </c>
      <c r="Q628">
        <f t="shared" si="945"/>
        <v>0</v>
      </c>
      <c r="R628">
        <f t="shared" si="946"/>
        <v>0</v>
      </c>
      <c r="S628">
        <f t="shared" si="947"/>
        <v>0</v>
      </c>
      <c r="T628">
        <f t="shared" si="948"/>
        <v>0</v>
      </c>
    </row>
    <row r="629" spans="1:20" x14ac:dyDescent="0.25">
      <c r="A629" s="5"/>
      <c r="C629"/>
      <c r="D629"/>
      <c r="P629">
        <f t="shared" si="944"/>
        <v>0</v>
      </c>
      <c r="Q629">
        <f t="shared" si="945"/>
        <v>0</v>
      </c>
      <c r="R629">
        <f t="shared" si="946"/>
        <v>0</v>
      </c>
      <c r="S629">
        <f t="shared" si="947"/>
        <v>0</v>
      </c>
      <c r="T629">
        <f t="shared" si="948"/>
        <v>0</v>
      </c>
    </row>
    <row r="630" spans="1:20" x14ac:dyDescent="0.25">
      <c r="A630" s="5"/>
      <c r="C630"/>
      <c r="D630"/>
      <c r="P630">
        <f t="shared" si="944"/>
        <v>0</v>
      </c>
      <c r="Q630">
        <f t="shared" si="945"/>
        <v>0</v>
      </c>
      <c r="R630">
        <f t="shared" si="946"/>
        <v>0</v>
      </c>
      <c r="S630">
        <f t="shared" si="947"/>
        <v>0</v>
      </c>
      <c r="T630">
        <f t="shared" si="948"/>
        <v>0</v>
      </c>
    </row>
    <row r="631" spans="1:20" x14ac:dyDescent="0.25">
      <c r="A631" s="5"/>
      <c r="C631"/>
      <c r="D631"/>
      <c r="P631">
        <f t="shared" si="944"/>
        <v>0</v>
      </c>
      <c r="Q631">
        <f t="shared" si="945"/>
        <v>0</v>
      </c>
      <c r="R631">
        <f t="shared" si="946"/>
        <v>0</v>
      </c>
      <c r="S631">
        <f t="shared" si="947"/>
        <v>0</v>
      </c>
      <c r="T631">
        <f t="shared" si="948"/>
        <v>0</v>
      </c>
    </row>
    <row r="632" spans="1:20" x14ac:dyDescent="0.25">
      <c r="A632" s="5"/>
      <c r="C632"/>
      <c r="D632"/>
      <c r="P632">
        <f t="shared" si="944"/>
        <v>0</v>
      </c>
      <c r="Q632">
        <f t="shared" si="945"/>
        <v>0</v>
      </c>
      <c r="R632">
        <f t="shared" si="946"/>
        <v>0</v>
      </c>
      <c r="S632">
        <f t="shared" si="947"/>
        <v>0</v>
      </c>
      <c r="T632">
        <f t="shared" si="948"/>
        <v>0</v>
      </c>
    </row>
    <row r="633" spans="1:20" x14ac:dyDescent="0.25">
      <c r="A633" s="5"/>
      <c r="C633"/>
      <c r="D633"/>
      <c r="P633">
        <f t="shared" si="944"/>
        <v>0</v>
      </c>
      <c r="Q633">
        <f t="shared" si="945"/>
        <v>0</v>
      </c>
      <c r="R633">
        <f t="shared" si="946"/>
        <v>0</v>
      </c>
      <c r="S633">
        <f t="shared" si="947"/>
        <v>0</v>
      </c>
      <c r="T633">
        <f t="shared" si="948"/>
        <v>0</v>
      </c>
    </row>
    <row r="634" spans="1:20" x14ac:dyDescent="0.25">
      <c r="A634" s="5"/>
      <c r="C634"/>
      <c r="D634"/>
      <c r="P634">
        <f t="shared" si="944"/>
        <v>0</v>
      </c>
      <c r="Q634">
        <f t="shared" si="945"/>
        <v>0</v>
      </c>
      <c r="R634">
        <f t="shared" si="946"/>
        <v>0</v>
      </c>
      <c r="S634">
        <f t="shared" si="947"/>
        <v>0</v>
      </c>
      <c r="T634">
        <f t="shared" si="948"/>
        <v>0</v>
      </c>
    </row>
    <row r="635" spans="1:20" x14ac:dyDescent="0.25">
      <c r="A635" s="5"/>
      <c r="C635"/>
      <c r="D635"/>
      <c r="P635">
        <f t="shared" si="944"/>
        <v>0</v>
      </c>
      <c r="Q635">
        <f t="shared" si="945"/>
        <v>0</v>
      </c>
      <c r="R635">
        <f t="shared" si="946"/>
        <v>0</v>
      </c>
      <c r="S635">
        <f t="shared" si="947"/>
        <v>0</v>
      </c>
      <c r="T635">
        <f t="shared" si="948"/>
        <v>0</v>
      </c>
    </row>
    <row r="636" spans="1:20" x14ac:dyDescent="0.25">
      <c r="A636" s="5"/>
      <c r="C636"/>
      <c r="D636"/>
      <c r="P636">
        <f t="shared" si="944"/>
        <v>0</v>
      </c>
      <c r="Q636">
        <f t="shared" si="945"/>
        <v>0</v>
      </c>
      <c r="R636">
        <f t="shared" si="946"/>
        <v>0</v>
      </c>
      <c r="S636">
        <f t="shared" si="947"/>
        <v>0</v>
      </c>
      <c r="T636">
        <f t="shared" si="948"/>
        <v>0</v>
      </c>
    </row>
    <row r="637" spans="1:20" x14ac:dyDescent="0.25">
      <c r="A637" s="5"/>
      <c r="C637"/>
      <c r="D637"/>
      <c r="P637">
        <f t="shared" ref="P637:P700" si="949">IF(C637=D637,0,((E637-D637)-(C637-E637))/(C637-D637))</f>
        <v>0</v>
      </c>
      <c r="Q637">
        <f t="shared" ref="Q637:Q700" si="950">F637*P637</f>
        <v>0</v>
      </c>
      <c r="R637">
        <f t="shared" ref="R637:R700" si="951">R638+Q637</f>
        <v>0</v>
      </c>
      <c r="S637">
        <f t="shared" ref="S637:S700" si="952">R637/100000</f>
        <v>0</v>
      </c>
      <c r="T637">
        <f t="shared" ref="T637:T700" si="953">S637/1000</f>
        <v>0</v>
      </c>
    </row>
    <row r="638" spans="1:20" x14ac:dyDescent="0.25">
      <c r="A638" s="5"/>
      <c r="C638"/>
      <c r="D638"/>
      <c r="P638">
        <f t="shared" si="949"/>
        <v>0</v>
      </c>
      <c r="Q638">
        <f t="shared" si="950"/>
        <v>0</v>
      </c>
      <c r="R638">
        <f t="shared" si="951"/>
        <v>0</v>
      </c>
      <c r="S638">
        <f t="shared" si="952"/>
        <v>0</v>
      </c>
      <c r="T638">
        <f t="shared" si="953"/>
        <v>0</v>
      </c>
    </row>
    <row r="639" spans="1:20" x14ac:dyDescent="0.25">
      <c r="A639" s="5"/>
      <c r="C639"/>
      <c r="D639"/>
      <c r="P639">
        <f t="shared" si="949"/>
        <v>0</v>
      </c>
      <c r="Q639">
        <f t="shared" si="950"/>
        <v>0</v>
      </c>
      <c r="R639">
        <f t="shared" si="951"/>
        <v>0</v>
      </c>
      <c r="S639">
        <f t="shared" si="952"/>
        <v>0</v>
      </c>
      <c r="T639">
        <f t="shared" si="953"/>
        <v>0</v>
      </c>
    </row>
    <row r="640" spans="1:20" x14ac:dyDescent="0.25">
      <c r="A640" s="5"/>
      <c r="C640"/>
      <c r="D640"/>
      <c r="P640">
        <f t="shared" si="949"/>
        <v>0</v>
      </c>
      <c r="Q640">
        <f t="shared" si="950"/>
        <v>0</v>
      </c>
      <c r="R640">
        <f t="shared" si="951"/>
        <v>0</v>
      </c>
      <c r="S640">
        <f t="shared" si="952"/>
        <v>0</v>
      </c>
      <c r="T640">
        <f t="shared" si="953"/>
        <v>0</v>
      </c>
    </row>
    <row r="641" spans="1:20" x14ac:dyDescent="0.25">
      <c r="A641" s="5"/>
      <c r="C641"/>
      <c r="D641"/>
      <c r="P641">
        <f t="shared" si="949"/>
        <v>0</v>
      </c>
      <c r="Q641">
        <f t="shared" si="950"/>
        <v>0</v>
      </c>
      <c r="R641">
        <f t="shared" si="951"/>
        <v>0</v>
      </c>
      <c r="S641">
        <f t="shared" si="952"/>
        <v>0</v>
      </c>
      <c r="T641">
        <f t="shared" si="953"/>
        <v>0</v>
      </c>
    </row>
    <row r="642" spans="1:20" x14ac:dyDescent="0.25">
      <c r="A642" s="5"/>
      <c r="C642"/>
      <c r="D642"/>
      <c r="P642">
        <f t="shared" si="949"/>
        <v>0</v>
      </c>
      <c r="Q642">
        <f t="shared" si="950"/>
        <v>0</v>
      </c>
      <c r="R642">
        <f t="shared" si="951"/>
        <v>0</v>
      </c>
      <c r="S642">
        <f t="shared" si="952"/>
        <v>0</v>
      </c>
      <c r="T642">
        <f t="shared" si="953"/>
        <v>0</v>
      </c>
    </row>
    <row r="643" spans="1:20" x14ac:dyDescent="0.25">
      <c r="A643" s="5"/>
      <c r="C643"/>
      <c r="D643"/>
      <c r="P643">
        <f t="shared" si="949"/>
        <v>0</v>
      </c>
      <c r="Q643">
        <f t="shared" si="950"/>
        <v>0</v>
      </c>
      <c r="R643">
        <f t="shared" si="951"/>
        <v>0</v>
      </c>
      <c r="S643">
        <f t="shared" si="952"/>
        <v>0</v>
      </c>
      <c r="T643">
        <f t="shared" si="953"/>
        <v>0</v>
      </c>
    </row>
    <row r="644" spans="1:20" x14ac:dyDescent="0.25">
      <c r="A644" s="5"/>
      <c r="C644"/>
      <c r="D644"/>
      <c r="P644">
        <f t="shared" si="949"/>
        <v>0</v>
      </c>
      <c r="Q644">
        <f t="shared" si="950"/>
        <v>0</v>
      </c>
      <c r="R644">
        <f t="shared" si="951"/>
        <v>0</v>
      </c>
      <c r="S644">
        <f t="shared" si="952"/>
        <v>0</v>
      </c>
      <c r="T644">
        <f t="shared" si="953"/>
        <v>0</v>
      </c>
    </row>
    <row r="645" spans="1:20" x14ac:dyDescent="0.25">
      <c r="A645" s="5"/>
      <c r="C645"/>
      <c r="D645"/>
      <c r="P645">
        <f t="shared" si="949"/>
        <v>0</v>
      </c>
      <c r="Q645">
        <f t="shared" si="950"/>
        <v>0</v>
      </c>
      <c r="R645">
        <f t="shared" si="951"/>
        <v>0</v>
      </c>
      <c r="S645">
        <f t="shared" si="952"/>
        <v>0</v>
      </c>
      <c r="T645">
        <f t="shared" si="953"/>
        <v>0</v>
      </c>
    </row>
    <row r="646" spans="1:20" x14ac:dyDescent="0.25">
      <c r="A646" s="5"/>
      <c r="C646"/>
      <c r="D646"/>
      <c r="P646">
        <f t="shared" si="949"/>
        <v>0</v>
      </c>
      <c r="Q646">
        <f t="shared" si="950"/>
        <v>0</v>
      </c>
      <c r="R646">
        <f t="shared" si="951"/>
        <v>0</v>
      </c>
      <c r="S646">
        <f t="shared" si="952"/>
        <v>0</v>
      </c>
      <c r="T646">
        <f t="shared" si="953"/>
        <v>0</v>
      </c>
    </row>
    <row r="647" spans="1:20" x14ac:dyDescent="0.25">
      <c r="A647" s="5"/>
      <c r="C647"/>
      <c r="D647"/>
      <c r="P647">
        <f t="shared" si="949"/>
        <v>0</v>
      </c>
      <c r="Q647">
        <f t="shared" si="950"/>
        <v>0</v>
      </c>
      <c r="R647">
        <f t="shared" si="951"/>
        <v>0</v>
      </c>
      <c r="S647">
        <f t="shared" si="952"/>
        <v>0</v>
      </c>
      <c r="T647">
        <f t="shared" si="953"/>
        <v>0</v>
      </c>
    </row>
    <row r="648" spans="1:20" x14ac:dyDescent="0.25">
      <c r="A648" s="5"/>
      <c r="C648"/>
      <c r="D648"/>
      <c r="P648">
        <f t="shared" si="949"/>
        <v>0</v>
      </c>
      <c r="Q648">
        <f t="shared" si="950"/>
        <v>0</v>
      </c>
      <c r="R648">
        <f t="shared" si="951"/>
        <v>0</v>
      </c>
      <c r="S648">
        <f t="shared" si="952"/>
        <v>0</v>
      </c>
      <c r="T648">
        <f t="shared" si="953"/>
        <v>0</v>
      </c>
    </row>
    <row r="649" spans="1:20" x14ac:dyDescent="0.25">
      <c r="A649" s="5"/>
      <c r="C649"/>
      <c r="D649"/>
      <c r="P649">
        <f t="shared" si="949"/>
        <v>0</v>
      </c>
      <c r="Q649">
        <f t="shared" si="950"/>
        <v>0</v>
      </c>
      <c r="R649">
        <f t="shared" si="951"/>
        <v>0</v>
      </c>
      <c r="S649">
        <f t="shared" si="952"/>
        <v>0</v>
      </c>
      <c r="T649">
        <f t="shared" si="953"/>
        <v>0</v>
      </c>
    </row>
    <row r="650" spans="1:20" x14ac:dyDescent="0.25">
      <c r="A650" s="5"/>
      <c r="C650"/>
      <c r="D650"/>
      <c r="P650">
        <f t="shared" si="949"/>
        <v>0</v>
      </c>
      <c r="Q650">
        <f t="shared" si="950"/>
        <v>0</v>
      </c>
      <c r="R650">
        <f t="shared" si="951"/>
        <v>0</v>
      </c>
      <c r="S650">
        <f t="shared" si="952"/>
        <v>0</v>
      </c>
      <c r="T650">
        <f t="shared" si="953"/>
        <v>0</v>
      </c>
    </row>
    <row r="651" spans="1:20" x14ac:dyDescent="0.25">
      <c r="A651" s="5"/>
      <c r="C651"/>
      <c r="D651"/>
      <c r="P651">
        <f t="shared" si="949"/>
        <v>0</v>
      </c>
      <c r="Q651">
        <f t="shared" si="950"/>
        <v>0</v>
      </c>
      <c r="R651">
        <f t="shared" si="951"/>
        <v>0</v>
      </c>
      <c r="S651">
        <f t="shared" si="952"/>
        <v>0</v>
      </c>
      <c r="T651">
        <f t="shared" si="953"/>
        <v>0</v>
      </c>
    </row>
    <row r="652" spans="1:20" x14ac:dyDescent="0.25">
      <c r="A652" s="5"/>
      <c r="P652">
        <f t="shared" si="949"/>
        <v>0</v>
      </c>
      <c r="Q652">
        <f t="shared" si="950"/>
        <v>0</v>
      </c>
      <c r="R652">
        <f t="shared" si="951"/>
        <v>0</v>
      </c>
      <c r="S652">
        <f t="shared" si="952"/>
        <v>0</v>
      </c>
      <c r="T652">
        <f t="shared" si="953"/>
        <v>0</v>
      </c>
    </row>
    <row r="653" spans="1:20" x14ac:dyDescent="0.25">
      <c r="A653" s="5"/>
      <c r="P653">
        <f t="shared" si="949"/>
        <v>0</v>
      </c>
      <c r="Q653">
        <f t="shared" si="950"/>
        <v>0</v>
      </c>
      <c r="R653">
        <f t="shared" si="951"/>
        <v>0</v>
      </c>
      <c r="S653">
        <f t="shared" si="952"/>
        <v>0</v>
      </c>
      <c r="T653">
        <f t="shared" si="953"/>
        <v>0</v>
      </c>
    </row>
    <row r="654" spans="1:20" x14ac:dyDescent="0.25">
      <c r="A654" s="5"/>
      <c r="P654">
        <f t="shared" si="949"/>
        <v>0</v>
      </c>
      <c r="Q654">
        <f t="shared" si="950"/>
        <v>0</v>
      </c>
      <c r="R654">
        <f t="shared" si="951"/>
        <v>0</v>
      </c>
      <c r="S654">
        <f t="shared" si="952"/>
        <v>0</v>
      </c>
      <c r="T654">
        <f t="shared" si="953"/>
        <v>0</v>
      </c>
    </row>
    <row r="655" spans="1:20" x14ac:dyDescent="0.25">
      <c r="A655" s="5"/>
      <c r="C655" s="4"/>
      <c r="D655" s="4"/>
      <c r="P655">
        <f t="shared" si="949"/>
        <v>0</v>
      </c>
      <c r="Q655">
        <f t="shared" si="950"/>
        <v>0</v>
      </c>
      <c r="R655">
        <f t="shared" si="951"/>
        <v>0</v>
      </c>
      <c r="S655">
        <f t="shared" si="952"/>
        <v>0</v>
      </c>
      <c r="T655">
        <f t="shared" si="953"/>
        <v>0</v>
      </c>
    </row>
    <row r="656" spans="1:20" x14ac:dyDescent="0.25">
      <c r="A656" s="5"/>
      <c r="C656" s="4"/>
      <c r="D656" s="4"/>
      <c r="P656">
        <f t="shared" si="949"/>
        <v>0</v>
      </c>
      <c r="Q656">
        <f t="shared" si="950"/>
        <v>0</v>
      </c>
      <c r="R656">
        <f t="shared" si="951"/>
        <v>0</v>
      </c>
      <c r="S656">
        <f t="shared" si="952"/>
        <v>0</v>
      </c>
      <c r="T656">
        <f t="shared" si="953"/>
        <v>0</v>
      </c>
    </row>
    <row r="657" spans="1:20" x14ac:dyDescent="0.25">
      <c r="A657" s="5"/>
      <c r="C657" s="4"/>
      <c r="D657" s="4"/>
      <c r="P657">
        <f t="shared" si="949"/>
        <v>0</v>
      </c>
      <c r="Q657">
        <f t="shared" si="950"/>
        <v>0</v>
      </c>
      <c r="R657">
        <f t="shared" si="951"/>
        <v>0</v>
      </c>
      <c r="S657">
        <f t="shared" si="952"/>
        <v>0</v>
      </c>
      <c r="T657">
        <f t="shared" si="953"/>
        <v>0</v>
      </c>
    </row>
    <row r="658" spans="1:20" x14ac:dyDescent="0.25">
      <c r="A658" s="5"/>
      <c r="C658" s="4"/>
      <c r="D658" s="4"/>
      <c r="P658">
        <f t="shared" si="949"/>
        <v>0</v>
      </c>
      <c r="Q658">
        <f t="shared" si="950"/>
        <v>0</v>
      </c>
      <c r="R658">
        <f t="shared" si="951"/>
        <v>0</v>
      </c>
      <c r="S658">
        <f t="shared" si="952"/>
        <v>0</v>
      </c>
      <c r="T658">
        <f t="shared" si="953"/>
        <v>0</v>
      </c>
    </row>
    <row r="659" spans="1:20" x14ac:dyDescent="0.25">
      <c r="A659" s="5"/>
      <c r="C659" s="4"/>
      <c r="D659" s="4"/>
      <c r="P659">
        <f t="shared" si="949"/>
        <v>0</v>
      </c>
      <c r="Q659">
        <f t="shared" si="950"/>
        <v>0</v>
      </c>
      <c r="R659">
        <f t="shared" si="951"/>
        <v>0</v>
      </c>
      <c r="S659">
        <f t="shared" si="952"/>
        <v>0</v>
      </c>
      <c r="T659">
        <f t="shared" si="953"/>
        <v>0</v>
      </c>
    </row>
    <row r="660" spans="1:20" x14ac:dyDescent="0.25">
      <c r="A660" s="5"/>
      <c r="C660" s="4"/>
      <c r="D660" s="4"/>
      <c r="P660">
        <f t="shared" si="949"/>
        <v>0</v>
      </c>
      <c r="Q660">
        <f t="shared" si="950"/>
        <v>0</v>
      </c>
      <c r="R660">
        <f t="shared" si="951"/>
        <v>0</v>
      </c>
      <c r="S660">
        <f t="shared" si="952"/>
        <v>0</v>
      </c>
      <c r="T660">
        <f t="shared" si="953"/>
        <v>0</v>
      </c>
    </row>
    <row r="661" spans="1:20" x14ac:dyDescent="0.25">
      <c r="A661" s="5"/>
      <c r="C661" s="4"/>
      <c r="D661" s="4"/>
      <c r="P661">
        <f t="shared" si="949"/>
        <v>0</v>
      </c>
      <c r="Q661">
        <f t="shared" si="950"/>
        <v>0</v>
      </c>
      <c r="R661">
        <f t="shared" si="951"/>
        <v>0</v>
      </c>
      <c r="S661">
        <f t="shared" si="952"/>
        <v>0</v>
      </c>
      <c r="T661">
        <f t="shared" si="953"/>
        <v>0</v>
      </c>
    </row>
    <row r="662" spans="1:20" x14ac:dyDescent="0.25">
      <c r="A662" s="5"/>
      <c r="C662" s="4"/>
      <c r="D662" s="4"/>
      <c r="P662">
        <f t="shared" si="949"/>
        <v>0</v>
      </c>
      <c r="Q662">
        <f t="shared" si="950"/>
        <v>0</v>
      </c>
      <c r="R662">
        <f t="shared" si="951"/>
        <v>0</v>
      </c>
      <c r="S662">
        <f t="shared" si="952"/>
        <v>0</v>
      </c>
      <c r="T662">
        <f t="shared" si="953"/>
        <v>0</v>
      </c>
    </row>
    <row r="663" spans="1:20" x14ac:dyDescent="0.25">
      <c r="A663" s="5"/>
      <c r="C663" s="4"/>
      <c r="D663" s="4"/>
      <c r="P663">
        <f t="shared" si="949"/>
        <v>0</v>
      </c>
      <c r="Q663">
        <f t="shared" si="950"/>
        <v>0</v>
      </c>
      <c r="R663">
        <f t="shared" si="951"/>
        <v>0</v>
      </c>
      <c r="S663">
        <f t="shared" si="952"/>
        <v>0</v>
      </c>
      <c r="T663">
        <f t="shared" si="953"/>
        <v>0</v>
      </c>
    </row>
    <row r="664" spans="1:20" x14ac:dyDescent="0.25">
      <c r="A664" s="5"/>
      <c r="C664" s="4"/>
      <c r="D664" s="4"/>
      <c r="P664">
        <f t="shared" si="949"/>
        <v>0</v>
      </c>
      <c r="Q664">
        <f t="shared" si="950"/>
        <v>0</v>
      </c>
      <c r="R664">
        <f t="shared" si="951"/>
        <v>0</v>
      </c>
      <c r="S664">
        <f t="shared" si="952"/>
        <v>0</v>
      </c>
      <c r="T664">
        <f t="shared" si="953"/>
        <v>0</v>
      </c>
    </row>
    <row r="665" spans="1:20" x14ac:dyDescent="0.25">
      <c r="A665" s="5"/>
      <c r="C665" s="4"/>
      <c r="D665" s="4"/>
      <c r="P665">
        <f t="shared" si="949"/>
        <v>0</v>
      </c>
      <c r="Q665">
        <f t="shared" si="950"/>
        <v>0</v>
      </c>
      <c r="R665">
        <f t="shared" si="951"/>
        <v>0</v>
      </c>
      <c r="S665">
        <f t="shared" si="952"/>
        <v>0</v>
      </c>
      <c r="T665">
        <f t="shared" si="953"/>
        <v>0</v>
      </c>
    </row>
    <row r="666" spans="1:20" x14ac:dyDescent="0.25">
      <c r="A666" s="5"/>
      <c r="C666" s="4"/>
      <c r="D666" s="4"/>
      <c r="P666">
        <f t="shared" si="949"/>
        <v>0</v>
      </c>
      <c r="Q666">
        <f t="shared" si="950"/>
        <v>0</v>
      </c>
      <c r="R666">
        <f t="shared" si="951"/>
        <v>0</v>
      </c>
      <c r="S666">
        <f t="shared" si="952"/>
        <v>0</v>
      </c>
      <c r="T666">
        <f t="shared" si="953"/>
        <v>0</v>
      </c>
    </row>
    <row r="667" spans="1:20" x14ac:dyDescent="0.25">
      <c r="A667" s="5"/>
      <c r="C667" s="4"/>
      <c r="D667" s="4"/>
      <c r="P667">
        <f t="shared" si="949"/>
        <v>0</v>
      </c>
      <c r="Q667">
        <f t="shared" si="950"/>
        <v>0</v>
      </c>
      <c r="R667">
        <f t="shared" si="951"/>
        <v>0</v>
      </c>
      <c r="S667">
        <f t="shared" si="952"/>
        <v>0</v>
      </c>
      <c r="T667">
        <f t="shared" si="953"/>
        <v>0</v>
      </c>
    </row>
    <row r="668" spans="1:20" x14ac:dyDescent="0.25">
      <c r="A668" s="5"/>
      <c r="C668" s="4"/>
      <c r="D668" s="4"/>
      <c r="P668">
        <f t="shared" si="949"/>
        <v>0</v>
      </c>
      <c r="Q668">
        <f t="shared" si="950"/>
        <v>0</v>
      </c>
      <c r="R668">
        <f t="shared" si="951"/>
        <v>0</v>
      </c>
      <c r="S668">
        <f t="shared" si="952"/>
        <v>0</v>
      </c>
      <c r="T668">
        <f t="shared" si="953"/>
        <v>0</v>
      </c>
    </row>
    <row r="669" spans="1:20" x14ac:dyDescent="0.25">
      <c r="A669" s="5"/>
      <c r="C669" s="4"/>
      <c r="D669" s="4"/>
      <c r="P669">
        <f t="shared" si="949"/>
        <v>0</v>
      </c>
      <c r="Q669">
        <f t="shared" si="950"/>
        <v>0</v>
      </c>
      <c r="R669">
        <f t="shared" si="951"/>
        <v>0</v>
      </c>
      <c r="S669">
        <f t="shared" si="952"/>
        <v>0</v>
      </c>
      <c r="T669">
        <f t="shared" si="953"/>
        <v>0</v>
      </c>
    </row>
    <row r="670" spans="1:20" x14ac:dyDescent="0.25">
      <c r="A670" s="5"/>
      <c r="C670" s="4"/>
      <c r="D670" s="4"/>
      <c r="P670">
        <f t="shared" si="949"/>
        <v>0</v>
      </c>
      <c r="Q670">
        <f t="shared" si="950"/>
        <v>0</v>
      </c>
      <c r="R670">
        <f t="shared" si="951"/>
        <v>0</v>
      </c>
      <c r="S670">
        <f t="shared" si="952"/>
        <v>0</v>
      </c>
      <c r="T670">
        <f t="shared" si="953"/>
        <v>0</v>
      </c>
    </row>
    <row r="671" spans="1:20" x14ac:dyDescent="0.25">
      <c r="A671" s="5"/>
      <c r="C671" s="4"/>
      <c r="D671" s="4"/>
      <c r="P671">
        <f t="shared" si="949"/>
        <v>0</v>
      </c>
      <c r="Q671">
        <f t="shared" si="950"/>
        <v>0</v>
      </c>
      <c r="R671">
        <f t="shared" si="951"/>
        <v>0</v>
      </c>
      <c r="S671">
        <f t="shared" si="952"/>
        <v>0</v>
      </c>
      <c r="T671">
        <f t="shared" si="953"/>
        <v>0</v>
      </c>
    </row>
    <row r="672" spans="1:20" x14ac:dyDescent="0.25">
      <c r="A672" s="5"/>
      <c r="C672" s="4"/>
      <c r="D672" s="4"/>
      <c r="P672">
        <f t="shared" si="949"/>
        <v>0</v>
      </c>
      <c r="Q672">
        <f t="shared" si="950"/>
        <v>0</v>
      </c>
      <c r="R672">
        <f t="shared" si="951"/>
        <v>0</v>
      </c>
      <c r="S672">
        <f t="shared" si="952"/>
        <v>0</v>
      </c>
      <c r="T672">
        <f t="shared" si="953"/>
        <v>0</v>
      </c>
    </row>
    <row r="673" spans="1:20" x14ac:dyDescent="0.25">
      <c r="A673" s="5"/>
      <c r="C673" s="4"/>
      <c r="D673" s="4"/>
      <c r="P673">
        <f t="shared" si="949"/>
        <v>0</v>
      </c>
      <c r="Q673">
        <f t="shared" si="950"/>
        <v>0</v>
      </c>
      <c r="R673">
        <f t="shared" si="951"/>
        <v>0</v>
      </c>
      <c r="S673">
        <f t="shared" si="952"/>
        <v>0</v>
      </c>
      <c r="T673">
        <f t="shared" si="953"/>
        <v>0</v>
      </c>
    </row>
    <row r="674" spans="1:20" x14ac:dyDescent="0.25">
      <c r="A674" s="5"/>
      <c r="C674" s="4"/>
      <c r="D674" s="4"/>
      <c r="P674">
        <f t="shared" si="949"/>
        <v>0</v>
      </c>
      <c r="Q674">
        <f t="shared" si="950"/>
        <v>0</v>
      </c>
      <c r="R674">
        <f t="shared" si="951"/>
        <v>0</v>
      </c>
      <c r="S674">
        <f t="shared" si="952"/>
        <v>0</v>
      </c>
      <c r="T674">
        <f t="shared" si="953"/>
        <v>0</v>
      </c>
    </row>
    <row r="675" spans="1:20" x14ac:dyDescent="0.25">
      <c r="A675" s="5"/>
      <c r="C675" s="4"/>
      <c r="D675" s="4"/>
      <c r="P675">
        <f t="shared" si="949"/>
        <v>0</v>
      </c>
      <c r="Q675">
        <f t="shared" si="950"/>
        <v>0</v>
      </c>
      <c r="R675">
        <f t="shared" si="951"/>
        <v>0</v>
      </c>
      <c r="S675">
        <f t="shared" si="952"/>
        <v>0</v>
      </c>
      <c r="T675">
        <f t="shared" si="953"/>
        <v>0</v>
      </c>
    </row>
    <row r="676" spans="1:20" x14ac:dyDescent="0.25">
      <c r="A676" s="5"/>
      <c r="C676" s="4"/>
      <c r="D676" s="4"/>
      <c r="P676">
        <f t="shared" si="949"/>
        <v>0</v>
      </c>
      <c r="Q676">
        <f t="shared" si="950"/>
        <v>0</v>
      </c>
      <c r="R676">
        <f t="shared" si="951"/>
        <v>0</v>
      </c>
      <c r="S676">
        <f t="shared" si="952"/>
        <v>0</v>
      </c>
      <c r="T676">
        <f t="shared" si="953"/>
        <v>0</v>
      </c>
    </row>
    <row r="677" spans="1:20" x14ac:dyDescent="0.25">
      <c r="A677" s="5"/>
      <c r="C677" s="4"/>
      <c r="D677" s="4"/>
      <c r="P677">
        <f t="shared" si="949"/>
        <v>0</v>
      </c>
      <c r="Q677">
        <f t="shared" si="950"/>
        <v>0</v>
      </c>
      <c r="R677">
        <f t="shared" si="951"/>
        <v>0</v>
      </c>
      <c r="S677">
        <f t="shared" si="952"/>
        <v>0</v>
      </c>
      <c r="T677">
        <f t="shared" si="953"/>
        <v>0</v>
      </c>
    </row>
    <row r="678" spans="1:20" x14ac:dyDescent="0.25">
      <c r="A678" s="5"/>
      <c r="C678" s="4"/>
      <c r="D678" s="4"/>
      <c r="P678">
        <f t="shared" si="949"/>
        <v>0</v>
      </c>
      <c r="Q678">
        <f t="shared" si="950"/>
        <v>0</v>
      </c>
      <c r="R678">
        <f t="shared" si="951"/>
        <v>0</v>
      </c>
      <c r="S678">
        <f t="shared" si="952"/>
        <v>0</v>
      </c>
      <c r="T678">
        <f t="shared" si="953"/>
        <v>0</v>
      </c>
    </row>
    <row r="679" spans="1:20" x14ac:dyDescent="0.25">
      <c r="A679" s="5"/>
      <c r="C679" s="4"/>
      <c r="D679" s="4"/>
      <c r="P679">
        <f t="shared" si="949"/>
        <v>0</v>
      </c>
      <c r="Q679">
        <f t="shared" si="950"/>
        <v>0</v>
      </c>
      <c r="R679">
        <f t="shared" si="951"/>
        <v>0</v>
      </c>
      <c r="S679">
        <f t="shared" si="952"/>
        <v>0</v>
      </c>
      <c r="T679">
        <f t="shared" si="953"/>
        <v>0</v>
      </c>
    </row>
    <row r="680" spans="1:20" x14ac:dyDescent="0.25">
      <c r="A680" s="5"/>
      <c r="C680" s="4"/>
      <c r="D680" s="4"/>
      <c r="P680">
        <f t="shared" si="949"/>
        <v>0</v>
      </c>
      <c r="Q680">
        <f t="shared" si="950"/>
        <v>0</v>
      </c>
      <c r="R680">
        <f t="shared" si="951"/>
        <v>0</v>
      </c>
      <c r="S680">
        <f t="shared" si="952"/>
        <v>0</v>
      </c>
      <c r="T680">
        <f t="shared" si="953"/>
        <v>0</v>
      </c>
    </row>
    <row r="681" spans="1:20" x14ac:dyDescent="0.25">
      <c r="A681" s="5"/>
      <c r="C681" s="4"/>
      <c r="D681" s="4"/>
      <c r="P681">
        <f t="shared" si="949"/>
        <v>0</v>
      </c>
      <c r="Q681">
        <f t="shared" si="950"/>
        <v>0</v>
      </c>
      <c r="R681">
        <f t="shared" si="951"/>
        <v>0</v>
      </c>
      <c r="S681">
        <f t="shared" si="952"/>
        <v>0</v>
      </c>
      <c r="T681">
        <f t="shared" si="953"/>
        <v>0</v>
      </c>
    </row>
    <row r="682" spans="1:20" x14ac:dyDescent="0.25">
      <c r="A682" s="5"/>
      <c r="C682" s="4"/>
      <c r="D682" s="4"/>
      <c r="P682">
        <f t="shared" si="949"/>
        <v>0</v>
      </c>
      <c r="Q682">
        <f t="shared" si="950"/>
        <v>0</v>
      </c>
      <c r="R682">
        <f t="shared" si="951"/>
        <v>0</v>
      </c>
      <c r="S682">
        <f t="shared" si="952"/>
        <v>0</v>
      </c>
      <c r="T682">
        <f t="shared" si="953"/>
        <v>0</v>
      </c>
    </row>
    <row r="683" spans="1:20" x14ac:dyDescent="0.25">
      <c r="A683" s="5"/>
      <c r="C683" s="4"/>
      <c r="D683" s="4"/>
      <c r="P683">
        <f t="shared" si="949"/>
        <v>0</v>
      </c>
      <c r="Q683">
        <f t="shared" si="950"/>
        <v>0</v>
      </c>
      <c r="R683">
        <f t="shared" si="951"/>
        <v>0</v>
      </c>
      <c r="S683">
        <f t="shared" si="952"/>
        <v>0</v>
      </c>
      <c r="T683">
        <f t="shared" si="953"/>
        <v>0</v>
      </c>
    </row>
    <row r="684" spans="1:20" x14ac:dyDescent="0.25">
      <c r="A684" s="5"/>
      <c r="C684" s="4"/>
      <c r="D684" s="4"/>
      <c r="P684">
        <f t="shared" si="949"/>
        <v>0</v>
      </c>
      <c r="Q684">
        <f t="shared" si="950"/>
        <v>0</v>
      </c>
      <c r="R684">
        <f t="shared" si="951"/>
        <v>0</v>
      </c>
      <c r="S684">
        <f t="shared" si="952"/>
        <v>0</v>
      </c>
      <c r="T684">
        <f t="shared" si="953"/>
        <v>0</v>
      </c>
    </row>
    <row r="685" spans="1:20" x14ac:dyDescent="0.25">
      <c r="A685" s="5"/>
      <c r="C685" s="4"/>
      <c r="D685" s="4"/>
      <c r="P685">
        <f t="shared" si="949"/>
        <v>0</v>
      </c>
      <c r="Q685">
        <f t="shared" si="950"/>
        <v>0</v>
      </c>
      <c r="R685">
        <f t="shared" si="951"/>
        <v>0</v>
      </c>
      <c r="S685">
        <f t="shared" si="952"/>
        <v>0</v>
      </c>
      <c r="T685">
        <f t="shared" si="953"/>
        <v>0</v>
      </c>
    </row>
    <row r="686" spans="1:20" x14ac:dyDescent="0.25">
      <c r="A686" s="5"/>
      <c r="C686" s="4"/>
      <c r="D686" s="4"/>
      <c r="P686">
        <f t="shared" si="949"/>
        <v>0</v>
      </c>
      <c r="Q686">
        <f t="shared" si="950"/>
        <v>0</v>
      </c>
      <c r="R686">
        <f t="shared" si="951"/>
        <v>0</v>
      </c>
      <c r="S686">
        <f t="shared" si="952"/>
        <v>0</v>
      </c>
      <c r="T686">
        <f t="shared" si="953"/>
        <v>0</v>
      </c>
    </row>
    <row r="687" spans="1:20" x14ac:dyDescent="0.25">
      <c r="A687" s="5"/>
      <c r="C687" s="4"/>
      <c r="D687" s="4"/>
      <c r="P687">
        <f t="shared" si="949"/>
        <v>0</v>
      </c>
      <c r="Q687">
        <f t="shared" si="950"/>
        <v>0</v>
      </c>
      <c r="R687">
        <f t="shared" si="951"/>
        <v>0</v>
      </c>
      <c r="S687">
        <f t="shared" si="952"/>
        <v>0</v>
      </c>
      <c r="T687">
        <f t="shared" si="953"/>
        <v>0</v>
      </c>
    </row>
    <row r="688" spans="1:20" x14ac:dyDescent="0.25">
      <c r="A688" s="5"/>
      <c r="C688" s="4"/>
      <c r="D688" s="4"/>
      <c r="P688">
        <f t="shared" si="949"/>
        <v>0</v>
      </c>
      <c r="Q688">
        <f t="shared" si="950"/>
        <v>0</v>
      </c>
      <c r="R688">
        <f t="shared" si="951"/>
        <v>0</v>
      </c>
      <c r="S688">
        <f t="shared" si="952"/>
        <v>0</v>
      </c>
      <c r="T688">
        <f t="shared" si="953"/>
        <v>0</v>
      </c>
    </row>
    <row r="689" spans="1:20" x14ac:dyDescent="0.25">
      <c r="A689" s="5"/>
      <c r="C689" s="4"/>
      <c r="D689" s="4"/>
      <c r="P689">
        <f t="shared" si="949"/>
        <v>0</v>
      </c>
      <c r="Q689">
        <f t="shared" si="950"/>
        <v>0</v>
      </c>
      <c r="R689">
        <f t="shared" si="951"/>
        <v>0</v>
      </c>
      <c r="S689">
        <f t="shared" si="952"/>
        <v>0</v>
      </c>
      <c r="T689">
        <f t="shared" si="953"/>
        <v>0</v>
      </c>
    </row>
    <row r="690" spans="1:20" x14ac:dyDescent="0.25">
      <c r="A690" s="5"/>
      <c r="C690" s="4"/>
      <c r="D690" s="4"/>
      <c r="P690">
        <f t="shared" si="949"/>
        <v>0</v>
      </c>
      <c r="Q690">
        <f t="shared" si="950"/>
        <v>0</v>
      </c>
      <c r="R690">
        <f t="shared" si="951"/>
        <v>0</v>
      </c>
      <c r="S690">
        <f t="shared" si="952"/>
        <v>0</v>
      </c>
      <c r="T690">
        <f t="shared" si="953"/>
        <v>0</v>
      </c>
    </row>
    <row r="691" spans="1:20" x14ac:dyDescent="0.25">
      <c r="A691" s="5"/>
      <c r="C691" s="4"/>
      <c r="D691" s="4"/>
      <c r="P691">
        <f t="shared" si="949"/>
        <v>0</v>
      </c>
      <c r="Q691">
        <f t="shared" si="950"/>
        <v>0</v>
      </c>
      <c r="R691">
        <f t="shared" si="951"/>
        <v>0</v>
      </c>
      <c r="S691">
        <f t="shared" si="952"/>
        <v>0</v>
      </c>
      <c r="T691">
        <f t="shared" si="953"/>
        <v>0</v>
      </c>
    </row>
    <row r="692" spans="1:20" x14ac:dyDescent="0.25">
      <c r="A692" s="5"/>
      <c r="C692" s="4"/>
      <c r="D692" s="4"/>
      <c r="P692">
        <f t="shared" si="949"/>
        <v>0</v>
      </c>
      <c r="Q692">
        <f t="shared" si="950"/>
        <v>0</v>
      </c>
      <c r="R692">
        <f t="shared" si="951"/>
        <v>0</v>
      </c>
      <c r="S692">
        <f t="shared" si="952"/>
        <v>0</v>
      </c>
      <c r="T692">
        <f t="shared" si="953"/>
        <v>0</v>
      </c>
    </row>
    <row r="693" spans="1:20" x14ac:dyDescent="0.25">
      <c r="A693" s="5"/>
      <c r="C693" s="4"/>
      <c r="D693" s="4"/>
      <c r="P693">
        <f t="shared" si="949"/>
        <v>0</v>
      </c>
      <c r="Q693">
        <f t="shared" si="950"/>
        <v>0</v>
      </c>
      <c r="R693">
        <f t="shared" si="951"/>
        <v>0</v>
      </c>
      <c r="S693">
        <f t="shared" si="952"/>
        <v>0</v>
      </c>
      <c r="T693">
        <f t="shared" si="953"/>
        <v>0</v>
      </c>
    </row>
    <row r="694" spans="1:20" x14ac:dyDescent="0.25">
      <c r="A694" s="5"/>
      <c r="C694" s="4"/>
      <c r="D694" s="4"/>
      <c r="P694">
        <f t="shared" si="949"/>
        <v>0</v>
      </c>
      <c r="Q694">
        <f t="shared" si="950"/>
        <v>0</v>
      </c>
      <c r="R694">
        <f t="shared" si="951"/>
        <v>0</v>
      </c>
      <c r="S694">
        <f t="shared" si="952"/>
        <v>0</v>
      </c>
      <c r="T694">
        <f t="shared" si="953"/>
        <v>0</v>
      </c>
    </row>
    <row r="695" spans="1:20" x14ac:dyDescent="0.25">
      <c r="A695" s="5"/>
      <c r="C695" s="4"/>
      <c r="D695" s="4"/>
      <c r="P695">
        <f t="shared" si="949"/>
        <v>0</v>
      </c>
      <c r="Q695">
        <f t="shared" si="950"/>
        <v>0</v>
      </c>
      <c r="R695">
        <f t="shared" si="951"/>
        <v>0</v>
      </c>
      <c r="S695">
        <f t="shared" si="952"/>
        <v>0</v>
      </c>
      <c r="T695">
        <f t="shared" si="953"/>
        <v>0</v>
      </c>
    </row>
    <row r="696" spans="1:20" x14ac:dyDescent="0.25">
      <c r="A696" s="5"/>
      <c r="C696" s="4"/>
      <c r="D696" s="4"/>
      <c r="P696">
        <f t="shared" si="949"/>
        <v>0</v>
      </c>
      <c r="Q696">
        <f t="shared" si="950"/>
        <v>0</v>
      </c>
      <c r="R696">
        <f t="shared" si="951"/>
        <v>0</v>
      </c>
      <c r="S696">
        <f t="shared" si="952"/>
        <v>0</v>
      </c>
      <c r="T696">
        <f t="shared" si="953"/>
        <v>0</v>
      </c>
    </row>
    <row r="697" spans="1:20" x14ac:dyDescent="0.25">
      <c r="A697" s="5"/>
      <c r="C697" s="4"/>
      <c r="D697" s="4"/>
      <c r="P697">
        <f t="shared" si="949"/>
        <v>0</v>
      </c>
      <c r="Q697">
        <f t="shared" si="950"/>
        <v>0</v>
      </c>
      <c r="R697">
        <f t="shared" si="951"/>
        <v>0</v>
      </c>
      <c r="S697">
        <f t="shared" si="952"/>
        <v>0</v>
      </c>
      <c r="T697">
        <f t="shared" si="953"/>
        <v>0</v>
      </c>
    </row>
    <row r="698" spans="1:20" x14ac:dyDescent="0.25">
      <c r="A698" s="5"/>
      <c r="C698" s="4"/>
      <c r="D698" s="4"/>
      <c r="P698">
        <f t="shared" si="949"/>
        <v>0</v>
      </c>
      <c r="Q698">
        <f t="shared" si="950"/>
        <v>0</v>
      </c>
      <c r="R698">
        <f t="shared" si="951"/>
        <v>0</v>
      </c>
      <c r="S698">
        <f t="shared" si="952"/>
        <v>0</v>
      </c>
      <c r="T698">
        <f t="shared" si="953"/>
        <v>0</v>
      </c>
    </row>
    <row r="699" spans="1:20" x14ac:dyDescent="0.25">
      <c r="A699" s="5"/>
      <c r="C699" s="4"/>
      <c r="D699" s="4"/>
      <c r="P699">
        <f t="shared" si="949"/>
        <v>0</v>
      </c>
      <c r="Q699">
        <f t="shared" si="950"/>
        <v>0</v>
      </c>
      <c r="R699">
        <f t="shared" si="951"/>
        <v>0</v>
      </c>
      <c r="S699">
        <f t="shared" si="952"/>
        <v>0</v>
      </c>
      <c r="T699">
        <f t="shared" si="953"/>
        <v>0</v>
      </c>
    </row>
    <row r="700" spans="1:20" x14ac:dyDescent="0.25">
      <c r="A700" s="5"/>
      <c r="C700" s="4"/>
      <c r="D700" s="4"/>
      <c r="P700">
        <f t="shared" si="949"/>
        <v>0</v>
      </c>
      <c r="Q700">
        <f t="shared" si="950"/>
        <v>0</v>
      </c>
      <c r="R700">
        <f t="shared" si="951"/>
        <v>0</v>
      </c>
      <c r="S700">
        <f t="shared" si="952"/>
        <v>0</v>
      </c>
      <c r="T700">
        <f t="shared" si="953"/>
        <v>0</v>
      </c>
    </row>
    <row r="701" spans="1:20" x14ac:dyDescent="0.25">
      <c r="A701" s="5"/>
      <c r="C701" s="4"/>
      <c r="D701" s="4"/>
      <c r="P701">
        <f t="shared" ref="P701:P757" si="954">IF(C701=D701,0,((E701-D701)-(C701-E701))/(C701-D701))</f>
        <v>0</v>
      </c>
      <c r="Q701">
        <f t="shared" ref="Q701:Q757" si="955">F701*P701</f>
        <v>0</v>
      </c>
      <c r="R701">
        <f t="shared" ref="R701:R757" si="956">R702+Q701</f>
        <v>0</v>
      </c>
      <c r="S701">
        <f t="shared" ref="S701:S757" si="957">R701/100000</f>
        <v>0</v>
      </c>
      <c r="T701">
        <f t="shared" ref="T701:T757" si="958">S701/1000</f>
        <v>0</v>
      </c>
    </row>
    <row r="702" spans="1:20" x14ac:dyDescent="0.25">
      <c r="A702" s="5"/>
      <c r="C702" s="4"/>
      <c r="D702" s="4"/>
      <c r="P702">
        <f t="shared" si="954"/>
        <v>0</v>
      </c>
      <c r="Q702">
        <f t="shared" si="955"/>
        <v>0</v>
      </c>
      <c r="R702">
        <f t="shared" si="956"/>
        <v>0</v>
      </c>
      <c r="S702">
        <f t="shared" si="957"/>
        <v>0</v>
      </c>
      <c r="T702">
        <f t="shared" si="958"/>
        <v>0</v>
      </c>
    </row>
    <row r="703" spans="1:20" x14ac:dyDescent="0.25">
      <c r="A703" s="5"/>
      <c r="C703" s="4"/>
      <c r="D703" s="4"/>
      <c r="P703">
        <f t="shared" si="954"/>
        <v>0</v>
      </c>
      <c r="Q703">
        <f t="shared" si="955"/>
        <v>0</v>
      </c>
      <c r="R703">
        <f t="shared" si="956"/>
        <v>0</v>
      </c>
      <c r="S703">
        <f t="shared" si="957"/>
        <v>0</v>
      </c>
      <c r="T703">
        <f t="shared" si="958"/>
        <v>0</v>
      </c>
    </row>
    <row r="704" spans="1:20" x14ac:dyDescent="0.25">
      <c r="A704" s="5"/>
      <c r="C704" s="4"/>
      <c r="D704" s="4"/>
      <c r="P704">
        <f t="shared" si="954"/>
        <v>0</v>
      </c>
      <c r="Q704">
        <f t="shared" si="955"/>
        <v>0</v>
      </c>
      <c r="R704">
        <f t="shared" si="956"/>
        <v>0</v>
      </c>
      <c r="S704">
        <f t="shared" si="957"/>
        <v>0</v>
      </c>
      <c r="T704">
        <f t="shared" si="958"/>
        <v>0</v>
      </c>
    </row>
    <row r="705" spans="1:20" x14ac:dyDescent="0.25">
      <c r="A705" s="5"/>
      <c r="C705" s="4"/>
      <c r="D705" s="4"/>
      <c r="P705">
        <f t="shared" si="954"/>
        <v>0</v>
      </c>
      <c r="Q705">
        <f t="shared" si="955"/>
        <v>0</v>
      </c>
      <c r="R705">
        <f t="shared" si="956"/>
        <v>0</v>
      </c>
      <c r="S705">
        <f t="shared" si="957"/>
        <v>0</v>
      </c>
      <c r="T705">
        <f t="shared" si="958"/>
        <v>0</v>
      </c>
    </row>
    <row r="706" spans="1:20" x14ac:dyDescent="0.25">
      <c r="A706" s="5"/>
      <c r="C706" s="4"/>
      <c r="D706" s="4"/>
      <c r="P706">
        <f t="shared" si="954"/>
        <v>0</v>
      </c>
      <c r="Q706">
        <f t="shared" si="955"/>
        <v>0</v>
      </c>
      <c r="R706">
        <f t="shared" si="956"/>
        <v>0</v>
      </c>
      <c r="S706">
        <f t="shared" si="957"/>
        <v>0</v>
      </c>
      <c r="T706">
        <f t="shared" si="958"/>
        <v>0</v>
      </c>
    </row>
    <row r="707" spans="1:20" x14ac:dyDescent="0.25">
      <c r="A707" s="5"/>
      <c r="C707" s="4"/>
      <c r="D707" s="4"/>
      <c r="P707">
        <f t="shared" si="954"/>
        <v>0</v>
      </c>
      <c r="Q707">
        <f t="shared" si="955"/>
        <v>0</v>
      </c>
      <c r="R707">
        <f t="shared" si="956"/>
        <v>0</v>
      </c>
      <c r="S707">
        <f t="shared" si="957"/>
        <v>0</v>
      </c>
      <c r="T707">
        <f t="shared" si="958"/>
        <v>0</v>
      </c>
    </row>
    <row r="708" spans="1:20" x14ac:dyDescent="0.25">
      <c r="A708" s="5"/>
      <c r="C708" s="4"/>
      <c r="D708" s="4"/>
      <c r="P708">
        <f t="shared" si="954"/>
        <v>0</v>
      </c>
      <c r="Q708">
        <f t="shared" si="955"/>
        <v>0</v>
      </c>
      <c r="R708">
        <f t="shared" si="956"/>
        <v>0</v>
      </c>
      <c r="S708">
        <f t="shared" si="957"/>
        <v>0</v>
      </c>
      <c r="T708">
        <f t="shared" si="958"/>
        <v>0</v>
      </c>
    </row>
    <row r="709" spans="1:20" x14ac:dyDescent="0.25">
      <c r="A709" s="5"/>
      <c r="C709" s="4"/>
      <c r="D709" s="4"/>
      <c r="P709">
        <f t="shared" si="954"/>
        <v>0</v>
      </c>
      <c r="Q709">
        <f t="shared" si="955"/>
        <v>0</v>
      </c>
      <c r="R709">
        <f t="shared" si="956"/>
        <v>0</v>
      </c>
      <c r="S709">
        <f t="shared" si="957"/>
        <v>0</v>
      </c>
      <c r="T709">
        <f t="shared" si="958"/>
        <v>0</v>
      </c>
    </row>
    <row r="710" spans="1:20" x14ac:dyDescent="0.25">
      <c r="A710" s="5"/>
      <c r="C710" s="4"/>
      <c r="D710" s="4"/>
      <c r="P710">
        <f t="shared" si="954"/>
        <v>0</v>
      </c>
      <c r="Q710">
        <f t="shared" si="955"/>
        <v>0</v>
      </c>
      <c r="R710">
        <f t="shared" si="956"/>
        <v>0</v>
      </c>
      <c r="S710">
        <f t="shared" si="957"/>
        <v>0</v>
      </c>
      <c r="T710">
        <f t="shared" si="958"/>
        <v>0</v>
      </c>
    </row>
    <row r="711" spans="1:20" x14ac:dyDescent="0.25">
      <c r="A711" s="5"/>
      <c r="C711" s="4"/>
      <c r="D711" s="4"/>
      <c r="P711">
        <f t="shared" si="954"/>
        <v>0</v>
      </c>
      <c r="Q711">
        <f t="shared" si="955"/>
        <v>0</v>
      </c>
      <c r="R711">
        <f t="shared" si="956"/>
        <v>0</v>
      </c>
      <c r="S711">
        <f t="shared" si="957"/>
        <v>0</v>
      </c>
      <c r="T711">
        <f t="shared" si="958"/>
        <v>0</v>
      </c>
    </row>
    <row r="712" spans="1:20" x14ac:dyDescent="0.25">
      <c r="A712" s="5"/>
      <c r="C712" s="4"/>
      <c r="D712" s="4"/>
      <c r="P712">
        <f t="shared" si="954"/>
        <v>0</v>
      </c>
      <c r="Q712">
        <f t="shared" si="955"/>
        <v>0</v>
      </c>
      <c r="R712">
        <f t="shared" si="956"/>
        <v>0</v>
      </c>
      <c r="S712">
        <f t="shared" si="957"/>
        <v>0</v>
      </c>
      <c r="T712">
        <f t="shared" si="958"/>
        <v>0</v>
      </c>
    </row>
    <row r="713" spans="1:20" x14ac:dyDescent="0.25">
      <c r="A713" s="5"/>
      <c r="C713" s="4"/>
      <c r="D713" s="4"/>
      <c r="P713">
        <f t="shared" si="954"/>
        <v>0</v>
      </c>
      <c r="Q713">
        <f t="shared" si="955"/>
        <v>0</v>
      </c>
      <c r="R713">
        <f t="shared" si="956"/>
        <v>0</v>
      </c>
      <c r="S713">
        <f t="shared" si="957"/>
        <v>0</v>
      </c>
      <c r="T713">
        <f t="shared" si="958"/>
        <v>0</v>
      </c>
    </row>
    <row r="714" spans="1:20" x14ac:dyDescent="0.25">
      <c r="A714" s="5"/>
      <c r="C714" s="4"/>
      <c r="D714" s="4"/>
      <c r="P714">
        <f t="shared" si="954"/>
        <v>0</v>
      </c>
      <c r="Q714">
        <f t="shared" si="955"/>
        <v>0</v>
      </c>
      <c r="R714">
        <f t="shared" si="956"/>
        <v>0</v>
      </c>
      <c r="S714">
        <f t="shared" si="957"/>
        <v>0</v>
      </c>
      <c r="T714">
        <f t="shared" si="958"/>
        <v>0</v>
      </c>
    </row>
    <row r="715" spans="1:20" x14ac:dyDescent="0.25">
      <c r="A715" s="5"/>
      <c r="C715" s="4"/>
      <c r="D715" s="4"/>
      <c r="P715">
        <f t="shared" si="954"/>
        <v>0</v>
      </c>
      <c r="Q715">
        <f t="shared" si="955"/>
        <v>0</v>
      </c>
      <c r="R715">
        <f t="shared" si="956"/>
        <v>0</v>
      </c>
      <c r="S715">
        <f t="shared" si="957"/>
        <v>0</v>
      </c>
      <c r="T715">
        <f t="shared" si="958"/>
        <v>0</v>
      </c>
    </row>
    <row r="716" spans="1:20" x14ac:dyDescent="0.25">
      <c r="A716" s="5"/>
      <c r="C716" s="4"/>
      <c r="D716" s="4"/>
      <c r="P716">
        <f t="shared" si="954"/>
        <v>0</v>
      </c>
      <c r="Q716">
        <f t="shared" si="955"/>
        <v>0</v>
      </c>
      <c r="R716">
        <f t="shared" si="956"/>
        <v>0</v>
      </c>
      <c r="S716">
        <f t="shared" si="957"/>
        <v>0</v>
      </c>
      <c r="T716">
        <f t="shared" si="958"/>
        <v>0</v>
      </c>
    </row>
    <row r="717" spans="1:20" x14ac:dyDescent="0.25">
      <c r="A717" s="5"/>
      <c r="C717" s="4"/>
      <c r="D717" s="4"/>
      <c r="P717">
        <f t="shared" si="954"/>
        <v>0</v>
      </c>
      <c r="Q717">
        <f t="shared" si="955"/>
        <v>0</v>
      </c>
      <c r="R717">
        <f t="shared" si="956"/>
        <v>0</v>
      </c>
      <c r="S717">
        <f t="shared" si="957"/>
        <v>0</v>
      </c>
      <c r="T717">
        <f t="shared" si="958"/>
        <v>0</v>
      </c>
    </row>
    <row r="718" spans="1:20" x14ac:dyDescent="0.25">
      <c r="A718" s="5"/>
      <c r="C718" s="4"/>
      <c r="D718" s="4"/>
      <c r="P718">
        <f t="shared" si="954"/>
        <v>0</v>
      </c>
      <c r="Q718">
        <f t="shared" si="955"/>
        <v>0</v>
      </c>
      <c r="R718">
        <f t="shared" si="956"/>
        <v>0</v>
      </c>
      <c r="S718">
        <f t="shared" si="957"/>
        <v>0</v>
      </c>
      <c r="T718">
        <f t="shared" si="958"/>
        <v>0</v>
      </c>
    </row>
    <row r="719" spans="1:20" x14ac:dyDescent="0.25">
      <c r="A719" s="5"/>
      <c r="C719" s="4"/>
      <c r="D719" s="4"/>
      <c r="P719">
        <f t="shared" si="954"/>
        <v>0</v>
      </c>
      <c r="Q719">
        <f t="shared" si="955"/>
        <v>0</v>
      </c>
      <c r="R719">
        <f t="shared" si="956"/>
        <v>0</v>
      </c>
      <c r="S719">
        <f t="shared" si="957"/>
        <v>0</v>
      </c>
      <c r="T719">
        <f t="shared" si="958"/>
        <v>0</v>
      </c>
    </row>
    <row r="720" spans="1:20" x14ac:dyDescent="0.25">
      <c r="A720" s="5"/>
      <c r="C720" s="4"/>
      <c r="D720" s="4"/>
      <c r="P720">
        <f t="shared" si="954"/>
        <v>0</v>
      </c>
      <c r="Q720">
        <f t="shared" si="955"/>
        <v>0</v>
      </c>
      <c r="R720">
        <f t="shared" si="956"/>
        <v>0</v>
      </c>
      <c r="S720">
        <f t="shared" si="957"/>
        <v>0</v>
      </c>
      <c r="T720">
        <f t="shared" si="958"/>
        <v>0</v>
      </c>
    </row>
    <row r="721" spans="1:20" x14ac:dyDescent="0.25">
      <c r="A721" s="5"/>
      <c r="C721" s="4"/>
      <c r="D721" s="4"/>
      <c r="P721">
        <f t="shared" si="954"/>
        <v>0</v>
      </c>
      <c r="Q721">
        <f t="shared" si="955"/>
        <v>0</v>
      </c>
      <c r="R721">
        <f t="shared" si="956"/>
        <v>0</v>
      </c>
      <c r="S721">
        <f t="shared" si="957"/>
        <v>0</v>
      </c>
      <c r="T721">
        <f t="shared" si="958"/>
        <v>0</v>
      </c>
    </row>
    <row r="722" spans="1:20" x14ac:dyDescent="0.25">
      <c r="A722" s="5"/>
      <c r="C722" s="4"/>
      <c r="D722" s="4"/>
      <c r="P722">
        <f t="shared" si="954"/>
        <v>0</v>
      </c>
      <c r="Q722">
        <f t="shared" si="955"/>
        <v>0</v>
      </c>
      <c r="R722">
        <f t="shared" si="956"/>
        <v>0</v>
      </c>
      <c r="S722">
        <f t="shared" si="957"/>
        <v>0</v>
      </c>
      <c r="T722">
        <f t="shared" si="958"/>
        <v>0</v>
      </c>
    </row>
    <row r="723" spans="1:20" x14ac:dyDescent="0.25">
      <c r="A723" s="5"/>
      <c r="C723" s="4"/>
      <c r="D723" s="4"/>
      <c r="P723">
        <f t="shared" si="954"/>
        <v>0</v>
      </c>
      <c r="Q723">
        <f t="shared" si="955"/>
        <v>0</v>
      </c>
      <c r="R723">
        <f t="shared" si="956"/>
        <v>0</v>
      </c>
      <c r="S723">
        <f t="shared" si="957"/>
        <v>0</v>
      </c>
      <c r="T723">
        <f t="shared" si="958"/>
        <v>0</v>
      </c>
    </row>
    <row r="724" spans="1:20" x14ac:dyDescent="0.25">
      <c r="A724" s="5"/>
      <c r="C724" s="4"/>
      <c r="D724" s="4"/>
      <c r="P724">
        <f t="shared" si="954"/>
        <v>0</v>
      </c>
      <c r="Q724">
        <f t="shared" si="955"/>
        <v>0</v>
      </c>
      <c r="R724">
        <f t="shared" si="956"/>
        <v>0</v>
      </c>
      <c r="S724">
        <f t="shared" si="957"/>
        <v>0</v>
      </c>
      <c r="T724">
        <f t="shared" si="958"/>
        <v>0</v>
      </c>
    </row>
    <row r="725" spans="1:20" x14ac:dyDescent="0.25">
      <c r="A725" s="5"/>
      <c r="C725" s="4"/>
      <c r="D725" s="4"/>
      <c r="P725">
        <f t="shared" si="954"/>
        <v>0</v>
      </c>
      <c r="Q725">
        <f t="shared" si="955"/>
        <v>0</v>
      </c>
      <c r="R725">
        <f t="shared" si="956"/>
        <v>0</v>
      </c>
      <c r="S725">
        <f t="shared" si="957"/>
        <v>0</v>
      </c>
      <c r="T725">
        <f t="shared" si="958"/>
        <v>0</v>
      </c>
    </row>
    <row r="726" spans="1:20" x14ac:dyDescent="0.25">
      <c r="A726" s="5"/>
      <c r="C726" s="4"/>
      <c r="D726" s="4"/>
      <c r="P726">
        <f t="shared" si="954"/>
        <v>0</v>
      </c>
      <c r="Q726">
        <f t="shared" si="955"/>
        <v>0</v>
      </c>
      <c r="R726">
        <f t="shared" si="956"/>
        <v>0</v>
      </c>
      <c r="S726">
        <f t="shared" si="957"/>
        <v>0</v>
      </c>
      <c r="T726">
        <f t="shared" si="958"/>
        <v>0</v>
      </c>
    </row>
    <row r="727" spans="1:20" x14ac:dyDescent="0.25">
      <c r="A727" s="5"/>
      <c r="C727" s="4"/>
      <c r="D727" s="4"/>
      <c r="P727">
        <f t="shared" si="954"/>
        <v>0</v>
      </c>
      <c r="Q727">
        <f t="shared" si="955"/>
        <v>0</v>
      </c>
      <c r="R727">
        <f t="shared" si="956"/>
        <v>0</v>
      </c>
      <c r="S727">
        <f t="shared" si="957"/>
        <v>0</v>
      </c>
      <c r="T727">
        <f t="shared" si="958"/>
        <v>0</v>
      </c>
    </row>
    <row r="728" spans="1:20" x14ac:dyDescent="0.25">
      <c r="A728" s="5"/>
      <c r="C728" s="4"/>
      <c r="D728" s="4"/>
      <c r="P728">
        <f t="shared" si="954"/>
        <v>0</v>
      </c>
      <c r="Q728">
        <f t="shared" si="955"/>
        <v>0</v>
      </c>
      <c r="R728">
        <f t="shared" si="956"/>
        <v>0</v>
      </c>
      <c r="S728">
        <f t="shared" si="957"/>
        <v>0</v>
      </c>
      <c r="T728">
        <f t="shared" si="958"/>
        <v>0</v>
      </c>
    </row>
    <row r="729" spans="1:20" x14ac:dyDescent="0.25">
      <c r="A729" s="5"/>
      <c r="C729" s="4"/>
      <c r="D729" s="4"/>
      <c r="P729">
        <f t="shared" si="954"/>
        <v>0</v>
      </c>
      <c r="Q729">
        <f t="shared" si="955"/>
        <v>0</v>
      </c>
      <c r="R729">
        <f t="shared" si="956"/>
        <v>0</v>
      </c>
      <c r="S729">
        <f t="shared" si="957"/>
        <v>0</v>
      </c>
      <c r="T729">
        <f t="shared" si="958"/>
        <v>0</v>
      </c>
    </row>
    <row r="730" spans="1:20" x14ac:dyDescent="0.25">
      <c r="A730" s="5"/>
      <c r="C730" s="4"/>
      <c r="D730" s="4"/>
      <c r="P730">
        <f t="shared" si="954"/>
        <v>0</v>
      </c>
      <c r="Q730">
        <f t="shared" si="955"/>
        <v>0</v>
      </c>
      <c r="R730">
        <f t="shared" si="956"/>
        <v>0</v>
      </c>
      <c r="S730">
        <f t="shared" si="957"/>
        <v>0</v>
      </c>
      <c r="T730">
        <f t="shared" si="958"/>
        <v>0</v>
      </c>
    </row>
    <row r="731" spans="1:20" x14ac:dyDescent="0.25">
      <c r="A731" s="5"/>
      <c r="C731" s="4"/>
      <c r="D731" s="4"/>
      <c r="P731">
        <f t="shared" si="954"/>
        <v>0</v>
      </c>
      <c r="Q731">
        <f t="shared" si="955"/>
        <v>0</v>
      </c>
      <c r="R731">
        <f t="shared" si="956"/>
        <v>0</v>
      </c>
      <c r="S731">
        <f t="shared" si="957"/>
        <v>0</v>
      </c>
      <c r="T731">
        <f t="shared" si="958"/>
        <v>0</v>
      </c>
    </row>
    <row r="732" spans="1:20" x14ac:dyDescent="0.25">
      <c r="A732" s="5"/>
      <c r="C732" s="4"/>
      <c r="D732" s="4"/>
      <c r="P732">
        <f t="shared" si="954"/>
        <v>0</v>
      </c>
      <c r="Q732">
        <f t="shared" si="955"/>
        <v>0</v>
      </c>
      <c r="R732">
        <f t="shared" si="956"/>
        <v>0</v>
      </c>
      <c r="S732">
        <f t="shared" si="957"/>
        <v>0</v>
      </c>
      <c r="T732">
        <f t="shared" si="958"/>
        <v>0</v>
      </c>
    </row>
    <row r="733" spans="1:20" x14ac:dyDescent="0.25">
      <c r="A733" s="5"/>
      <c r="C733" s="4"/>
      <c r="D733" s="4"/>
      <c r="P733">
        <f t="shared" si="954"/>
        <v>0</v>
      </c>
      <c r="Q733">
        <f t="shared" si="955"/>
        <v>0</v>
      </c>
      <c r="R733">
        <f t="shared" si="956"/>
        <v>0</v>
      </c>
      <c r="S733">
        <f t="shared" si="957"/>
        <v>0</v>
      </c>
      <c r="T733">
        <f t="shared" si="958"/>
        <v>0</v>
      </c>
    </row>
    <row r="734" spans="1:20" x14ac:dyDescent="0.25">
      <c r="A734" s="5"/>
      <c r="C734" s="4"/>
      <c r="D734" s="4"/>
      <c r="P734">
        <f t="shared" si="954"/>
        <v>0</v>
      </c>
      <c r="Q734">
        <f t="shared" si="955"/>
        <v>0</v>
      </c>
      <c r="R734">
        <f t="shared" si="956"/>
        <v>0</v>
      </c>
      <c r="S734">
        <f t="shared" si="957"/>
        <v>0</v>
      </c>
      <c r="T734">
        <f t="shared" si="958"/>
        <v>0</v>
      </c>
    </row>
    <row r="735" spans="1:20" x14ac:dyDescent="0.25">
      <c r="A735" s="5"/>
      <c r="C735" s="4"/>
      <c r="D735" s="4"/>
      <c r="P735">
        <f t="shared" si="954"/>
        <v>0</v>
      </c>
      <c r="Q735">
        <f t="shared" si="955"/>
        <v>0</v>
      </c>
      <c r="R735">
        <f t="shared" si="956"/>
        <v>0</v>
      </c>
      <c r="S735">
        <f t="shared" si="957"/>
        <v>0</v>
      </c>
      <c r="T735">
        <f t="shared" si="958"/>
        <v>0</v>
      </c>
    </row>
    <row r="736" spans="1:20" x14ac:dyDescent="0.25">
      <c r="A736" s="5"/>
      <c r="C736" s="4"/>
      <c r="D736" s="4"/>
      <c r="P736">
        <f t="shared" si="954"/>
        <v>0</v>
      </c>
      <c r="Q736">
        <f t="shared" si="955"/>
        <v>0</v>
      </c>
      <c r="R736">
        <f t="shared" si="956"/>
        <v>0</v>
      </c>
      <c r="S736">
        <f t="shared" si="957"/>
        <v>0</v>
      </c>
      <c r="T736">
        <f t="shared" si="958"/>
        <v>0</v>
      </c>
    </row>
    <row r="737" spans="1:20" x14ac:dyDescent="0.25">
      <c r="A737" s="5"/>
      <c r="C737" s="4"/>
      <c r="D737" s="4"/>
      <c r="P737">
        <f t="shared" si="954"/>
        <v>0</v>
      </c>
      <c r="Q737">
        <f t="shared" si="955"/>
        <v>0</v>
      </c>
      <c r="R737">
        <f t="shared" si="956"/>
        <v>0</v>
      </c>
      <c r="S737">
        <f t="shared" si="957"/>
        <v>0</v>
      </c>
      <c r="T737">
        <f t="shared" si="958"/>
        <v>0</v>
      </c>
    </row>
    <row r="738" spans="1:20" x14ac:dyDescent="0.25">
      <c r="A738" s="5"/>
      <c r="C738" s="4"/>
      <c r="D738" s="4"/>
      <c r="P738">
        <f t="shared" si="954"/>
        <v>0</v>
      </c>
      <c r="Q738">
        <f t="shared" si="955"/>
        <v>0</v>
      </c>
      <c r="R738">
        <f t="shared" si="956"/>
        <v>0</v>
      </c>
      <c r="S738">
        <f t="shared" si="957"/>
        <v>0</v>
      </c>
      <c r="T738">
        <f t="shared" si="958"/>
        <v>0</v>
      </c>
    </row>
    <row r="739" spans="1:20" x14ac:dyDescent="0.25">
      <c r="A739" s="5"/>
      <c r="C739" s="4"/>
      <c r="D739" s="4"/>
      <c r="P739">
        <f t="shared" si="954"/>
        <v>0</v>
      </c>
      <c r="Q739">
        <f t="shared" si="955"/>
        <v>0</v>
      </c>
      <c r="R739">
        <f t="shared" si="956"/>
        <v>0</v>
      </c>
      <c r="S739">
        <f t="shared" si="957"/>
        <v>0</v>
      </c>
      <c r="T739">
        <f t="shared" si="958"/>
        <v>0</v>
      </c>
    </row>
    <row r="740" spans="1:20" x14ac:dyDescent="0.25">
      <c r="A740" s="5"/>
      <c r="C740" s="4"/>
      <c r="D740" s="4"/>
      <c r="P740">
        <f t="shared" si="954"/>
        <v>0</v>
      </c>
      <c r="Q740">
        <f t="shared" si="955"/>
        <v>0</v>
      </c>
      <c r="R740">
        <f t="shared" si="956"/>
        <v>0</v>
      </c>
      <c r="S740">
        <f t="shared" si="957"/>
        <v>0</v>
      </c>
      <c r="T740">
        <f t="shared" si="958"/>
        <v>0</v>
      </c>
    </row>
    <row r="741" spans="1:20" x14ac:dyDescent="0.25">
      <c r="A741" s="5"/>
      <c r="C741" s="4"/>
      <c r="D741" s="4"/>
      <c r="P741">
        <f t="shared" si="954"/>
        <v>0</v>
      </c>
      <c r="Q741">
        <f t="shared" si="955"/>
        <v>0</v>
      </c>
      <c r="R741">
        <f t="shared" si="956"/>
        <v>0</v>
      </c>
      <c r="S741">
        <f t="shared" si="957"/>
        <v>0</v>
      </c>
      <c r="T741">
        <f t="shared" si="958"/>
        <v>0</v>
      </c>
    </row>
    <row r="742" spans="1:20" x14ac:dyDescent="0.25">
      <c r="A742" s="5"/>
      <c r="C742" s="4"/>
      <c r="D742" s="4"/>
      <c r="P742">
        <f t="shared" si="954"/>
        <v>0</v>
      </c>
      <c r="Q742">
        <f t="shared" si="955"/>
        <v>0</v>
      </c>
      <c r="R742">
        <f t="shared" si="956"/>
        <v>0</v>
      </c>
      <c r="S742">
        <f t="shared" si="957"/>
        <v>0</v>
      </c>
      <c r="T742">
        <f t="shared" si="958"/>
        <v>0</v>
      </c>
    </row>
    <row r="743" spans="1:20" x14ac:dyDescent="0.25">
      <c r="A743" s="5"/>
      <c r="C743" s="4"/>
      <c r="D743" s="4"/>
      <c r="P743">
        <f t="shared" si="954"/>
        <v>0</v>
      </c>
      <c r="Q743">
        <f t="shared" si="955"/>
        <v>0</v>
      </c>
      <c r="R743">
        <f t="shared" si="956"/>
        <v>0</v>
      </c>
      <c r="S743">
        <f t="shared" si="957"/>
        <v>0</v>
      </c>
      <c r="T743">
        <f t="shared" si="958"/>
        <v>0</v>
      </c>
    </row>
    <row r="744" spans="1:20" x14ac:dyDescent="0.25">
      <c r="A744" s="5"/>
      <c r="C744" s="4"/>
      <c r="D744" s="4"/>
      <c r="P744">
        <f t="shared" si="954"/>
        <v>0</v>
      </c>
      <c r="Q744">
        <f t="shared" si="955"/>
        <v>0</v>
      </c>
      <c r="R744">
        <f t="shared" si="956"/>
        <v>0</v>
      </c>
      <c r="S744">
        <f t="shared" si="957"/>
        <v>0</v>
      </c>
      <c r="T744">
        <f t="shared" si="958"/>
        <v>0</v>
      </c>
    </row>
    <row r="745" spans="1:20" x14ac:dyDescent="0.25">
      <c r="A745" s="5"/>
      <c r="C745" s="4"/>
      <c r="D745" s="4"/>
      <c r="P745">
        <f t="shared" si="954"/>
        <v>0</v>
      </c>
      <c r="Q745">
        <f t="shared" si="955"/>
        <v>0</v>
      </c>
      <c r="R745">
        <f t="shared" si="956"/>
        <v>0</v>
      </c>
      <c r="S745">
        <f t="shared" si="957"/>
        <v>0</v>
      </c>
      <c r="T745">
        <f t="shared" si="958"/>
        <v>0</v>
      </c>
    </row>
    <row r="746" spans="1:20" x14ac:dyDescent="0.25">
      <c r="A746" s="5"/>
      <c r="C746" s="4"/>
      <c r="D746" s="4"/>
      <c r="P746">
        <f t="shared" si="954"/>
        <v>0</v>
      </c>
      <c r="Q746">
        <f t="shared" si="955"/>
        <v>0</v>
      </c>
      <c r="R746">
        <f t="shared" si="956"/>
        <v>0</v>
      </c>
      <c r="S746">
        <f t="shared" si="957"/>
        <v>0</v>
      </c>
      <c r="T746">
        <f t="shared" si="958"/>
        <v>0</v>
      </c>
    </row>
    <row r="747" spans="1:20" x14ac:dyDescent="0.25">
      <c r="A747" s="5"/>
      <c r="C747" s="4"/>
      <c r="D747" s="4"/>
      <c r="P747">
        <f t="shared" si="954"/>
        <v>0</v>
      </c>
      <c r="Q747">
        <f t="shared" si="955"/>
        <v>0</v>
      </c>
      <c r="R747">
        <f t="shared" si="956"/>
        <v>0</v>
      </c>
      <c r="S747">
        <f t="shared" si="957"/>
        <v>0</v>
      </c>
      <c r="T747">
        <f t="shared" si="958"/>
        <v>0</v>
      </c>
    </row>
    <row r="748" spans="1:20" x14ac:dyDescent="0.25">
      <c r="A748" s="5"/>
      <c r="C748" s="4"/>
      <c r="D748" s="4"/>
      <c r="P748">
        <f t="shared" si="954"/>
        <v>0</v>
      </c>
      <c r="Q748">
        <f t="shared" si="955"/>
        <v>0</v>
      </c>
      <c r="R748">
        <f t="shared" si="956"/>
        <v>0</v>
      </c>
      <c r="S748">
        <f t="shared" si="957"/>
        <v>0</v>
      </c>
      <c r="T748">
        <f t="shared" si="958"/>
        <v>0</v>
      </c>
    </row>
    <row r="749" spans="1:20" x14ac:dyDescent="0.25">
      <c r="A749" s="5"/>
      <c r="C749" s="4"/>
      <c r="D749" s="4"/>
      <c r="P749">
        <f t="shared" si="954"/>
        <v>0</v>
      </c>
      <c r="Q749">
        <f t="shared" si="955"/>
        <v>0</v>
      </c>
      <c r="R749">
        <f t="shared" si="956"/>
        <v>0</v>
      </c>
      <c r="S749">
        <f t="shared" si="957"/>
        <v>0</v>
      </c>
      <c r="T749">
        <f t="shared" si="958"/>
        <v>0</v>
      </c>
    </row>
    <row r="750" spans="1:20" x14ac:dyDescent="0.25">
      <c r="A750" s="5"/>
      <c r="C750" s="4"/>
      <c r="D750" s="4"/>
      <c r="P750">
        <f t="shared" si="954"/>
        <v>0</v>
      </c>
      <c r="Q750">
        <f t="shared" si="955"/>
        <v>0</v>
      </c>
      <c r="R750">
        <f t="shared" si="956"/>
        <v>0</v>
      </c>
      <c r="S750">
        <f t="shared" si="957"/>
        <v>0</v>
      </c>
      <c r="T750">
        <f t="shared" si="958"/>
        <v>0</v>
      </c>
    </row>
    <row r="751" spans="1:20" x14ac:dyDescent="0.25">
      <c r="A751" s="5"/>
      <c r="C751" s="4"/>
      <c r="D751" s="4"/>
      <c r="P751">
        <f t="shared" si="954"/>
        <v>0</v>
      </c>
      <c r="Q751">
        <f t="shared" si="955"/>
        <v>0</v>
      </c>
      <c r="R751">
        <f t="shared" si="956"/>
        <v>0</v>
      </c>
      <c r="S751">
        <f t="shared" si="957"/>
        <v>0</v>
      </c>
      <c r="T751">
        <f t="shared" si="958"/>
        <v>0</v>
      </c>
    </row>
    <row r="752" spans="1:20" x14ac:dyDescent="0.25">
      <c r="A752" s="5"/>
      <c r="C752" s="4"/>
      <c r="D752" s="4"/>
      <c r="P752">
        <f t="shared" si="954"/>
        <v>0</v>
      </c>
      <c r="Q752">
        <f t="shared" si="955"/>
        <v>0</v>
      </c>
      <c r="R752">
        <f t="shared" si="956"/>
        <v>0</v>
      </c>
      <c r="S752">
        <f t="shared" si="957"/>
        <v>0</v>
      </c>
      <c r="T752">
        <f t="shared" si="958"/>
        <v>0</v>
      </c>
    </row>
    <row r="753" spans="1:20" x14ac:dyDescent="0.25">
      <c r="A753" s="5"/>
      <c r="C753" s="4"/>
      <c r="D753" s="4"/>
      <c r="P753">
        <f t="shared" si="954"/>
        <v>0</v>
      </c>
      <c r="Q753">
        <f t="shared" si="955"/>
        <v>0</v>
      </c>
      <c r="R753">
        <f t="shared" si="956"/>
        <v>0</v>
      </c>
      <c r="S753">
        <f t="shared" si="957"/>
        <v>0</v>
      </c>
      <c r="T753">
        <f t="shared" si="958"/>
        <v>0</v>
      </c>
    </row>
    <row r="754" spans="1:20" x14ac:dyDescent="0.25">
      <c r="A754" s="5"/>
      <c r="C754" s="4"/>
      <c r="D754" s="4"/>
      <c r="P754">
        <f t="shared" si="954"/>
        <v>0</v>
      </c>
      <c r="Q754">
        <f t="shared" si="955"/>
        <v>0</v>
      </c>
      <c r="R754">
        <f t="shared" si="956"/>
        <v>0</v>
      </c>
      <c r="S754">
        <f t="shared" si="957"/>
        <v>0</v>
      </c>
      <c r="T754">
        <f t="shared" si="958"/>
        <v>0</v>
      </c>
    </row>
    <row r="755" spans="1:20" x14ac:dyDescent="0.25">
      <c r="A755" s="5"/>
      <c r="C755" s="4"/>
      <c r="D755" s="4"/>
      <c r="P755">
        <f t="shared" si="954"/>
        <v>0</v>
      </c>
      <c r="Q755">
        <f t="shared" si="955"/>
        <v>0</v>
      </c>
      <c r="R755">
        <f t="shared" si="956"/>
        <v>0</v>
      </c>
      <c r="S755">
        <f t="shared" si="957"/>
        <v>0</v>
      </c>
      <c r="T755">
        <f t="shared" si="958"/>
        <v>0</v>
      </c>
    </row>
    <row r="756" spans="1:20" x14ac:dyDescent="0.25">
      <c r="A756" s="5"/>
      <c r="C756" s="4"/>
      <c r="D756" s="4"/>
      <c r="P756">
        <f t="shared" si="954"/>
        <v>0</v>
      </c>
      <c r="Q756">
        <f t="shared" si="955"/>
        <v>0</v>
      </c>
      <c r="R756">
        <f t="shared" si="956"/>
        <v>0</v>
      </c>
      <c r="S756">
        <f t="shared" si="957"/>
        <v>0</v>
      </c>
      <c r="T756">
        <f t="shared" si="958"/>
        <v>0</v>
      </c>
    </row>
    <row r="757" spans="1:20" x14ac:dyDescent="0.25">
      <c r="A757" s="5"/>
      <c r="C757" s="4"/>
      <c r="D757" s="4"/>
      <c r="P757">
        <f t="shared" si="954"/>
        <v>0</v>
      </c>
      <c r="Q757">
        <f t="shared" si="955"/>
        <v>0</v>
      </c>
      <c r="R757">
        <f t="shared" si="956"/>
        <v>0</v>
      </c>
      <c r="S757">
        <f t="shared" si="957"/>
        <v>0</v>
      </c>
      <c r="T757">
        <f t="shared" si="958"/>
        <v>0</v>
      </c>
    </row>
    <row r="758" spans="1:20" x14ac:dyDescent="0.25">
      <c r="A758" s="5"/>
      <c r="C758" s="4"/>
      <c r="D758" s="4"/>
    </row>
    <row r="759" spans="1:20" x14ac:dyDescent="0.25">
      <c r="A759" s="5"/>
      <c r="C759" s="4"/>
      <c r="D759" s="4"/>
    </row>
    <row r="760" spans="1:20" x14ac:dyDescent="0.25">
      <c r="A760" s="5"/>
      <c r="C760" s="4"/>
      <c r="D760" s="4"/>
    </row>
    <row r="761" spans="1:20" x14ac:dyDescent="0.25">
      <c r="A761" s="5"/>
      <c r="C761" s="4"/>
      <c r="D761" s="4"/>
    </row>
    <row r="762" spans="1:20" x14ac:dyDescent="0.25">
      <c r="A762" s="5"/>
      <c r="C762" s="4"/>
      <c r="D762" s="4"/>
    </row>
    <row r="763" spans="1:20" x14ac:dyDescent="0.25">
      <c r="A763" s="5"/>
      <c r="C763" s="4"/>
      <c r="D763" s="4"/>
    </row>
    <row r="764" spans="1:20" x14ac:dyDescent="0.25">
      <c r="A764" s="5"/>
      <c r="C764" s="4"/>
      <c r="D764" s="4"/>
    </row>
    <row r="765" spans="1:20" x14ac:dyDescent="0.25">
      <c r="A765" s="5"/>
      <c r="C765" s="4"/>
      <c r="D765" s="4"/>
    </row>
    <row r="766" spans="1:20" x14ac:dyDescent="0.25">
      <c r="A766" s="5"/>
      <c r="C766" s="4"/>
      <c r="D766" s="4"/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</row>
    <row r="945" spans="1:4" x14ac:dyDescent="0.25">
      <c r="A945" s="5"/>
    </row>
    <row r="946" spans="1:4" x14ac:dyDescent="0.25">
      <c r="A946" s="5"/>
    </row>
    <row r="947" spans="1:4" x14ac:dyDescent="0.25">
      <c r="A947" s="5"/>
    </row>
    <row r="948" spans="1:4" x14ac:dyDescent="0.25">
      <c r="A948" s="5"/>
    </row>
    <row r="949" spans="1:4" x14ac:dyDescent="0.25">
      <c r="A949" s="5"/>
    </row>
    <row r="950" spans="1:4" x14ac:dyDescent="0.25">
      <c r="A950" s="5"/>
    </row>
    <row r="951" spans="1:4" x14ac:dyDescent="0.25">
      <c r="A951" s="5"/>
    </row>
    <row r="952" spans="1:4" x14ac:dyDescent="0.25">
      <c r="A952" s="5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  <c r="C956"/>
      <c r="D956"/>
    </row>
    <row r="957" spans="1:4" x14ac:dyDescent="0.25">
      <c r="A957" s="5"/>
      <c r="C957"/>
      <c r="D957"/>
    </row>
    <row r="958" spans="1:4" x14ac:dyDescent="0.25">
      <c r="A958" s="5"/>
      <c r="C958"/>
      <c r="D958"/>
    </row>
    <row r="959" spans="1:4" x14ac:dyDescent="0.25">
      <c r="A959" s="5"/>
      <c r="C959"/>
      <c r="D959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</row>
    <row r="1708" spans="1:4" x14ac:dyDescent="0.25">
      <c r="A1708" s="5"/>
    </row>
    <row r="1709" spans="1:4" x14ac:dyDescent="0.25">
      <c r="A1709" s="5"/>
    </row>
    <row r="1710" spans="1:4" x14ac:dyDescent="0.25">
      <c r="A1710" s="5"/>
    </row>
    <row r="1711" spans="1:4" x14ac:dyDescent="0.25">
      <c r="A1711" s="5"/>
    </row>
    <row r="1712" spans="1:4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</sheetData>
  <conditionalFormatting sqref="D1:D4 D193:D1048576 C191:D192 D188:D190">
    <cfRule type="cellIs" dxfId="277" priority="184" operator="lessThan">
      <formula>$A$2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X615" sqref="GX61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$A$614</v>
      </c>
      <c r="D111" s="1" t="str">
        <f>ADDRESS(C121-1,D121,1,1)</f>
        <v>$GX$614</v>
      </c>
      <c r="E111"/>
    </row>
    <row r="112" spans="1:5" x14ac:dyDescent="0.25">
      <c r="A112" s="7">
        <v>12164.144957890772</v>
      </c>
      <c r="C112" s="1" t="str">
        <f>ADDRESS(C121,1,1,1)</f>
        <v>$A$615</v>
      </c>
      <c r="D112" s="1" t="str">
        <f>ADDRESS(C121,D121-1,1,1)</f>
        <v>$GW$615</v>
      </c>
      <c r="E112"/>
    </row>
    <row r="113" spans="1:5" x14ac:dyDescent="0.25">
      <c r="A113" s="7">
        <v>11925.63231165762</v>
      </c>
      <c r="C113" s="1" t="str">
        <f>ADDRESS(C121+1,1,1,1)</f>
        <v>$A$616</v>
      </c>
      <c r="D113" s="1" t="str">
        <f>ADDRESS(C121-1,D121+1,1,1)</f>
        <v>$GY$614</v>
      </c>
    </row>
    <row r="114" spans="1:5" x14ac:dyDescent="0.25">
      <c r="A114" s="7">
        <v>11691.796383978059</v>
      </c>
      <c r="C114" s="1" t="str">
        <f>ADDRESS(C121,D121,1,1)</f>
        <v>$GX$615</v>
      </c>
      <c r="D114" s="1" t="str">
        <f>ADDRESS(C121+1,D121+1,1,1)</f>
        <v>$GY$616</v>
      </c>
    </row>
    <row r="115" spans="1:5" x14ac:dyDescent="0.25">
      <c r="A115" s="7">
        <v>11462.545474488292</v>
      </c>
      <c r="C115" s="1" t="str">
        <f>ADDRESS(C121+1,D121,1,1)</f>
        <v>$GX$616</v>
      </c>
    </row>
    <row r="116" spans="1:5" x14ac:dyDescent="0.25">
      <c r="A116" s="7">
        <v>11237.789680870874</v>
      </c>
      <c r="C116" s="1">
        <f>C117-1</f>
        <v>614</v>
      </c>
    </row>
    <row r="117" spans="1:5" x14ac:dyDescent="0.25">
      <c r="A117" s="7">
        <v>11017.440863598895</v>
      </c>
      <c r="C117" s="1">
        <f>C121</f>
        <v>615</v>
      </c>
      <c r="D117" s="1">
        <f>D121</f>
        <v>206</v>
      </c>
    </row>
    <row r="118" spans="1:5" x14ac:dyDescent="0.25">
      <c r="A118" s="7">
        <v>10801.412611371465</v>
      </c>
      <c r="C118" s="1">
        <f>C117+1</f>
        <v>616</v>
      </c>
      <c r="D118" s="1">
        <f>D117+1</f>
        <v>207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615</v>
      </c>
      <c r="D121" s="19">
        <v>206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R615</v>
      </c>
      <c r="D123" s="1" t="str">
        <f>"C"&amp;D121</f>
        <v>C206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0.57437455289470052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8" x14ac:dyDescent="0.25">
      <c r="A497" s="7">
        <v>5.9431331263054545</v>
      </c>
      <c r="B497"/>
      <c r="C497"/>
      <c r="D497"/>
      <c r="E497"/>
    </row>
    <row r="498" spans="1:8" x14ac:dyDescent="0.25">
      <c r="A498" s="7">
        <v>5.8266011042210337</v>
      </c>
      <c r="B498"/>
      <c r="C498"/>
      <c r="D498"/>
      <c r="E498"/>
    </row>
    <row r="499" spans="1:8" x14ac:dyDescent="0.25">
      <c r="A499" s="7">
        <v>5.7123540237461112</v>
      </c>
      <c r="B499"/>
      <c r="C499"/>
      <c r="D499"/>
      <c r="E499"/>
    </row>
    <row r="500" spans="1:8" x14ac:dyDescent="0.25">
      <c r="A500" s="7">
        <v>5.6003470821040304</v>
      </c>
      <c r="B500"/>
      <c r="C500"/>
      <c r="D500"/>
      <c r="E500"/>
    </row>
    <row r="501" spans="1:8" x14ac:dyDescent="0.25">
      <c r="A501" s="7">
        <v>5.4905363550039512</v>
      </c>
      <c r="B501"/>
      <c r="C501"/>
      <c r="D501"/>
      <c r="E501"/>
    </row>
    <row r="502" spans="1:8" x14ac:dyDescent="0.25">
      <c r="A502" s="7">
        <v>5.3828787794156385</v>
      </c>
      <c r="B502"/>
      <c r="C502"/>
      <c r="D502"/>
      <c r="E502"/>
    </row>
    <row r="503" spans="1:8" x14ac:dyDescent="0.25">
      <c r="A503" s="7">
        <v>5.2773321366819985</v>
      </c>
      <c r="B503"/>
      <c r="C503"/>
      <c r="D503"/>
      <c r="E503"/>
    </row>
    <row r="504" spans="1:8" x14ac:dyDescent="0.25">
      <c r="A504" s="7">
        <v>5.1738550359627435</v>
      </c>
      <c r="B504"/>
      <c r="C504"/>
      <c r="D504"/>
      <c r="E504"/>
    </row>
    <row r="505" spans="1:8" x14ac:dyDescent="0.25">
      <c r="A505" s="7">
        <v>5.07240689800269</v>
      </c>
      <c r="B505"/>
      <c r="C505"/>
      <c r="D505"/>
      <c r="E505"/>
    </row>
    <row r="506" spans="1:8" x14ac:dyDescent="0.25">
      <c r="A506" s="7">
        <v>4.9729479392183231</v>
      </c>
      <c r="B506"/>
      <c r="C506"/>
      <c r="D506"/>
      <c r="E506" t="s">
        <v>8</v>
      </c>
    </row>
    <row r="507" spans="1:8" x14ac:dyDescent="0.25">
      <c r="A507" s="7">
        <v>4.8754391560963954</v>
      </c>
      <c r="B507"/>
      <c r="C507"/>
      <c r="D507"/>
      <c r="E507" t="s">
        <v>8</v>
      </c>
      <c r="F507" s="27" t="s">
        <v>7</v>
      </c>
    </row>
    <row r="508" spans="1:8" x14ac:dyDescent="0.25">
      <c r="A508" s="7">
        <v>4.7798423098984264</v>
      </c>
      <c r="B508"/>
      <c r="C508"/>
      <c r="D508"/>
      <c r="E508" t="s">
        <v>8</v>
      </c>
      <c r="F508" s="27" t="s">
        <v>7</v>
      </c>
      <c r="G508" s="27" t="s">
        <v>8</v>
      </c>
    </row>
    <row r="509" spans="1:8" x14ac:dyDescent="0.25">
      <c r="A509" s="7">
        <v>4.6861199116651235</v>
      </c>
      <c r="B509"/>
      <c r="C509"/>
      <c r="D509"/>
      <c r="E509" t="s">
        <v>8</v>
      </c>
      <c r="F509" s="27" t="s">
        <v>7</v>
      </c>
      <c r="G509" s="27" t="s">
        <v>8</v>
      </c>
      <c r="H509" s="27" t="s">
        <v>7</v>
      </c>
    </row>
    <row r="510" spans="1:8" x14ac:dyDescent="0.25">
      <c r="A510" s="7">
        <v>4.5942352075148269</v>
      </c>
      <c r="B510"/>
      <c r="C510"/>
      <c r="D510"/>
      <c r="E510" t="s">
        <v>8</v>
      </c>
      <c r="F510" s="27" t="s">
        <v>7</v>
      </c>
      <c r="G510" s="27" t="s">
        <v>8</v>
      </c>
      <c r="H510" s="27" t="s">
        <v>7</v>
      </c>
    </row>
    <row r="511" spans="1:8" x14ac:dyDescent="0.25">
      <c r="A511" s="7">
        <v>4.5041521642302227</v>
      </c>
      <c r="B511"/>
      <c r="C511"/>
      <c r="D511"/>
      <c r="E511" t="s">
        <v>8</v>
      </c>
      <c r="F511" s="27" t="s">
        <v>7</v>
      </c>
      <c r="G511" s="27" t="s">
        <v>8</v>
      </c>
      <c r="H511" s="27" t="s">
        <v>7</v>
      </c>
    </row>
    <row r="512" spans="1:8" x14ac:dyDescent="0.25">
      <c r="A512" s="7">
        <v>4.4158354551276693</v>
      </c>
      <c r="B512"/>
      <c r="C512"/>
      <c r="D512"/>
      <c r="E512" t="s">
        <v>8</v>
      </c>
      <c r="F512" s="27" t="s">
        <v>7</v>
      </c>
      <c r="G512" s="27" t="s">
        <v>8</v>
      </c>
      <c r="H512" s="27" t="s">
        <v>7</v>
      </c>
    </row>
    <row r="513" spans="1:128" x14ac:dyDescent="0.25">
      <c r="A513" s="7">
        <v>4.3292504462035977</v>
      </c>
      <c r="B513"/>
      <c r="C513"/>
      <c r="D513"/>
      <c r="E513" t="s">
        <v>8</v>
      </c>
      <c r="F513" s="27" t="s">
        <v>7</v>
      </c>
      <c r="G513" s="27" t="s">
        <v>8</v>
      </c>
      <c r="H513" s="27" t="s">
        <v>7</v>
      </c>
    </row>
    <row r="514" spans="1:128" x14ac:dyDescent="0.25">
      <c r="A514" s="7">
        <v>4.2443631825525463</v>
      </c>
      <c r="B514"/>
      <c r="C514"/>
      <c r="D514"/>
      <c r="E514" t="s">
        <v>8</v>
      </c>
      <c r="F514" s="27" t="s">
        <v>7</v>
      </c>
      <c r="G514" s="27" t="s">
        <v>8</v>
      </c>
      <c r="H514" s="27" t="s">
        <v>7</v>
      </c>
    </row>
    <row r="515" spans="1:128" x14ac:dyDescent="0.25">
      <c r="A515" s="7">
        <v>4.1611403750515157</v>
      </c>
      <c r="B515"/>
      <c r="C515"/>
      <c r="D515"/>
      <c r="E515" t="s">
        <v>8</v>
      </c>
      <c r="F515" s="27" t="s">
        <v>7</v>
      </c>
      <c r="G515" s="27" t="s">
        <v>8</v>
      </c>
      <c r="H515" s="27" t="s">
        <v>7</v>
      </c>
    </row>
    <row r="516" spans="1:128" x14ac:dyDescent="0.25">
      <c r="A516" s="7">
        <v>4.0795493873054074</v>
      </c>
      <c r="B516"/>
      <c r="C516"/>
      <c r="D516"/>
      <c r="E516" t="s">
        <v>8</v>
      </c>
      <c r="F516" s="27" t="s">
        <v>7</v>
      </c>
      <c r="G516" s="27" t="s">
        <v>8</v>
      </c>
      <c r="H516" s="27" t="s">
        <v>7</v>
      </c>
    </row>
    <row r="517" spans="1:128" x14ac:dyDescent="0.25">
      <c r="A517" s="7">
        <v>3.9995582228484383</v>
      </c>
      <c r="B517"/>
      <c r="C517"/>
      <c r="D517"/>
      <c r="E517" t="s">
        <v>8</v>
      </c>
      <c r="F517" s="27" t="s">
        <v>7</v>
      </c>
      <c r="G517" s="27" t="s">
        <v>8</v>
      </c>
      <c r="H517" s="27" t="s">
        <v>7</v>
      </c>
    </row>
    <row r="518" spans="1:128" x14ac:dyDescent="0.25">
      <c r="A518" s="7">
        <v>3.9211355125965079</v>
      </c>
      <c r="B518"/>
      <c r="C518"/>
      <c r="D518"/>
      <c r="E518" t="s">
        <v>8</v>
      </c>
      <c r="F518" s="27" t="s">
        <v>7</v>
      </c>
      <c r="G518" s="27" t="s">
        <v>8</v>
      </c>
      <c r="H518" s="27" t="s">
        <v>7</v>
      </c>
    </row>
    <row r="519" spans="1:128" x14ac:dyDescent="0.25">
      <c r="A519" s="7">
        <v>3.844250502545596</v>
      </c>
      <c r="B519"/>
      <c r="C519"/>
      <c r="D519"/>
      <c r="E519" t="s">
        <v>8</v>
      </c>
      <c r="F519" s="27" t="s">
        <v>7</v>
      </c>
      <c r="G519" s="27" t="s">
        <v>8</v>
      </c>
      <c r="H519" s="27" t="s">
        <v>7</v>
      </c>
      <c r="DW519" s="27" t="s">
        <v>8</v>
      </c>
    </row>
    <row r="520" spans="1:128" x14ac:dyDescent="0.25">
      <c r="A520" s="7">
        <v>3.7688730417113687</v>
      </c>
      <c r="B520"/>
      <c r="C520"/>
      <c r="D520"/>
      <c r="E520" t="s">
        <v>8</v>
      </c>
      <c r="F520" s="27" t="s">
        <v>7</v>
      </c>
      <c r="G520" s="27" t="s">
        <v>8</v>
      </c>
      <c r="H520" s="27" t="s">
        <v>7</v>
      </c>
      <c r="DW520" s="27" t="s">
        <v>8</v>
      </c>
      <c r="DX520" s="27" t="s">
        <v>7</v>
      </c>
    </row>
    <row r="521" spans="1:128" x14ac:dyDescent="0.25">
      <c r="A521" s="7">
        <v>3.6949735703052635</v>
      </c>
      <c r="B521"/>
      <c r="C521"/>
      <c r="D521"/>
      <c r="E521" t="s">
        <v>8</v>
      </c>
      <c r="F521" s="27" t="s">
        <v>7</v>
      </c>
      <c r="G521" s="27" t="s">
        <v>8</v>
      </c>
      <c r="H521" s="27" t="s">
        <v>7</v>
      </c>
      <c r="DW521" s="27" t="s">
        <v>8</v>
      </c>
      <c r="DX521" s="27" t="s">
        <v>7</v>
      </c>
    </row>
    <row r="522" spans="1:128" x14ac:dyDescent="0.25">
      <c r="A522" s="7">
        <v>3.6225231081424152</v>
      </c>
      <c r="B522"/>
      <c r="C522"/>
      <c r="D522"/>
      <c r="E522" t="s">
        <v>8</v>
      </c>
      <c r="F522" s="27" t="s">
        <v>7</v>
      </c>
      <c r="G522" s="27" t="s">
        <v>8</v>
      </c>
      <c r="H522" s="27" t="s">
        <v>7</v>
      </c>
      <c r="DW522" s="27" t="s">
        <v>8</v>
      </c>
      <c r="DX522" s="27" t="s">
        <v>7</v>
      </c>
    </row>
    <row r="523" spans="1:128" x14ac:dyDescent="0.25">
      <c r="A523" s="7">
        <v>3.5514932432768775</v>
      </c>
      <c r="B523"/>
      <c r="C523"/>
      <c r="D523"/>
      <c r="E523" t="s">
        <v>8</v>
      </c>
      <c r="F523" s="27" t="s">
        <v>7</v>
      </c>
      <c r="G523" s="27" t="s">
        <v>8</v>
      </c>
      <c r="H523" s="27" t="s">
        <v>7</v>
      </c>
      <c r="DW523" s="27" t="s">
        <v>8</v>
      </c>
      <c r="DX523" s="27" t="s">
        <v>7</v>
      </c>
    </row>
    <row r="524" spans="1:128" x14ac:dyDescent="0.25">
      <c r="A524" s="7">
        <v>3.4818561208596837</v>
      </c>
      <c r="B524"/>
      <c r="C524"/>
      <c r="D524"/>
      <c r="E524" t="s">
        <v>8</v>
      </c>
      <c r="F524" s="27" t="s">
        <v>7</v>
      </c>
      <c r="G524" s="27" t="s">
        <v>8</v>
      </c>
      <c r="H524" s="27" t="s">
        <v>7</v>
      </c>
      <c r="DW524" s="27" t="s">
        <v>8</v>
      </c>
      <c r="DX524" s="27" t="s">
        <v>7</v>
      </c>
    </row>
    <row r="525" spans="1:128" x14ac:dyDescent="0.25">
      <c r="A525" s="7">
        <v>3.4135844322153761</v>
      </c>
      <c r="B525"/>
      <c r="C525"/>
      <c r="D525"/>
      <c r="E525" t="s">
        <v>8</v>
      </c>
      <c r="F525" s="27" t="s">
        <v>7</v>
      </c>
      <c r="G525" s="27" t="s">
        <v>8</v>
      </c>
      <c r="H525" s="27" t="s">
        <v>7</v>
      </c>
      <c r="DW525" s="27" t="s">
        <v>8</v>
      </c>
      <c r="DX525" s="27" t="s">
        <v>7</v>
      </c>
    </row>
    <row r="526" spans="1:128" x14ac:dyDescent="0.25">
      <c r="A526" s="7">
        <v>3.3466514041327216</v>
      </c>
      <c r="B526"/>
      <c r="C526"/>
      <c r="D526"/>
      <c r="E526" t="s">
        <v>8</v>
      </c>
      <c r="F526" s="27" t="s">
        <v>7</v>
      </c>
      <c r="G526" s="27" t="s">
        <v>8</v>
      </c>
      <c r="H526" s="27" t="s">
        <v>7</v>
      </c>
      <c r="DW526" s="27" t="s">
        <v>8</v>
      </c>
      <c r="DX526" s="27" t="s">
        <v>7</v>
      </c>
    </row>
    <row r="527" spans="1:128" x14ac:dyDescent="0.25">
      <c r="A527" s="7">
        <v>3.2810307883654133</v>
      </c>
      <c r="B527"/>
      <c r="C527"/>
      <c r="D527"/>
      <c r="E527" t="s">
        <v>8</v>
      </c>
      <c r="F527" s="27" t="s">
        <v>7</v>
      </c>
      <c r="G527" s="27" t="s">
        <v>8</v>
      </c>
      <c r="H527" s="27" t="s">
        <v>7</v>
      </c>
      <c r="DM527" s="27" t="s">
        <v>8</v>
      </c>
      <c r="DW527" s="27" t="s">
        <v>8</v>
      </c>
      <c r="DX527" s="27" t="s">
        <v>7</v>
      </c>
    </row>
    <row r="528" spans="1:128" x14ac:dyDescent="0.25">
      <c r="A528" s="7">
        <v>3.2166968513386403</v>
      </c>
      <c r="B528"/>
      <c r="C528"/>
      <c r="D528"/>
      <c r="E528" t="s">
        <v>8</v>
      </c>
      <c r="F528" s="27" t="s">
        <v>7</v>
      </c>
      <c r="G528" s="27" t="s">
        <v>8</v>
      </c>
      <c r="H528" s="27" t="s">
        <v>7</v>
      </c>
      <c r="DM528" s="27" t="s">
        <v>8</v>
      </c>
      <c r="DN528" s="27" t="s">
        <v>7</v>
      </c>
      <c r="DW528" s="27" t="s">
        <v>8</v>
      </c>
      <c r="DX528" s="27" t="s">
        <v>7</v>
      </c>
    </row>
    <row r="529" spans="1:132" x14ac:dyDescent="0.25">
      <c r="A529" s="7">
        <v>3.1536243640574906</v>
      </c>
      <c r="B529"/>
      <c r="C529"/>
      <c r="D529"/>
      <c r="E529" t="s">
        <v>8</v>
      </c>
      <c r="F529" s="27" t="s">
        <v>7</v>
      </c>
      <c r="G529" s="27" t="s">
        <v>8</v>
      </c>
      <c r="H529" s="27" t="s">
        <v>7</v>
      </c>
      <c r="DM529" s="27" t="s">
        <v>8</v>
      </c>
      <c r="DN529" s="27" t="s">
        <v>7</v>
      </c>
      <c r="DW529" s="27" t="s">
        <v>8</v>
      </c>
      <c r="DX529" s="27" t="s">
        <v>7</v>
      </c>
    </row>
    <row r="530" spans="1:132" x14ac:dyDescent="0.25">
      <c r="A530" s="7">
        <v>3.0917885922132262</v>
      </c>
      <c r="B530"/>
      <c r="C530"/>
      <c r="D530"/>
      <c r="E530" t="s">
        <v>8</v>
      </c>
      <c r="F530" s="27" t="s">
        <v>7</v>
      </c>
      <c r="G530" s="27" t="s">
        <v>8</v>
      </c>
      <c r="H530" s="27" t="s">
        <v>7</v>
      </c>
      <c r="DM530" s="27" t="s">
        <v>8</v>
      </c>
      <c r="DN530" s="27" t="s">
        <v>7</v>
      </c>
      <c r="DW530" s="27" t="s">
        <v>8</v>
      </c>
      <c r="DX530" s="27" t="s">
        <v>7</v>
      </c>
    </row>
    <row r="531" spans="1:132" x14ac:dyDescent="0.25">
      <c r="A531" s="7">
        <v>3.0311652864835552</v>
      </c>
      <c r="B531"/>
      <c r="C531"/>
      <c r="D531"/>
      <c r="E531" t="s">
        <v>8</v>
      </c>
      <c r="F531" s="27" t="s">
        <v>7</v>
      </c>
      <c r="G531" s="27" t="s">
        <v>8</v>
      </c>
      <c r="H531" s="27" t="s">
        <v>7</v>
      </c>
      <c r="DM531" s="27" t="s">
        <v>8</v>
      </c>
      <c r="DN531" s="27" t="s">
        <v>7</v>
      </c>
      <c r="DW531" s="27" t="s">
        <v>8</v>
      </c>
      <c r="DX531" s="27" t="s">
        <v>7</v>
      </c>
    </row>
    <row r="532" spans="1:132" x14ac:dyDescent="0.25">
      <c r="A532" s="7">
        <v>2.9717306730230932</v>
      </c>
      <c r="B532"/>
      <c r="C532"/>
      <c r="D532"/>
      <c r="E532" t="s">
        <v>8</v>
      </c>
      <c r="F532" s="27" t="s">
        <v>7</v>
      </c>
      <c r="G532" s="27" t="s">
        <v>8</v>
      </c>
      <c r="H532" s="27" t="s">
        <v>7</v>
      </c>
      <c r="DM532" s="27" t="s">
        <v>8</v>
      </c>
      <c r="DN532" s="27" t="s">
        <v>7</v>
      </c>
      <c r="DW532" s="27" t="s">
        <v>8</v>
      </c>
      <c r="DX532" s="27" t="s">
        <v>7</v>
      </c>
    </row>
    <row r="533" spans="1:132" x14ac:dyDescent="0.25">
      <c r="A533" s="7">
        <v>2.9134614441402875</v>
      </c>
      <c r="B533"/>
      <c r="C533"/>
      <c r="D533"/>
      <c r="E533" t="s">
        <v>8</v>
      </c>
      <c r="F533" s="27" t="s">
        <v>7</v>
      </c>
      <c r="G533" s="27" t="s">
        <v>8</v>
      </c>
      <c r="H533" s="27" t="s">
        <v>7</v>
      </c>
      <c r="DM533" s="27" t="s">
        <v>8</v>
      </c>
      <c r="DN533" s="27" t="s">
        <v>7</v>
      </c>
      <c r="DW533" s="27" t="s">
        <v>8</v>
      </c>
      <c r="DX533" s="27" t="s">
        <v>7</v>
      </c>
    </row>
    <row r="534" spans="1:132" x14ac:dyDescent="0.25">
      <c r="A534" s="7">
        <v>2.8563347491571447</v>
      </c>
      <c r="B534"/>
      <c r="C534"/>
      <c r="D534"/>
      <c r="E534" t="s">
        <v>8</v>
      </c>
      <c r="F534" s="27" t="s">
        <v>7</v>
      </c>
      <c r="G534" s="27" t="s">
        <v>8</v>
      </c>
      <c r="H534" s="27" t="s">
        <v>7</v>
      </c>
      <c r="DM534" s="27" t="s">
        <v>8</v>
      </c>
      <c r="DN534" s="27" t="s">
        <v>7</v>
      </c>
      <c r="DW534" s="27" t="s">
        <v>8</v>
      </c>
      <c r="DX534" s="27" t="s">
        <v>7</v>
      </c>
      <c r="DY534" s="27" t="s">
        <v>8</v>
      </c>
    </row>
    <row r="535" spans="1:132" x14ac:dyDescent="0.25">
      <c r="A535" s="7">
        <v>2.8003281854481812</v>
      </c>
      <c r="B535"/>
      <c r="C535"/>
      <c r="D535"/>
      <c r="E535" t="s">
        <v>8</v>
      </c>
      <c r="F535" s="27" t="s">
        <v>7</v>
      </c>
      <c r="G535" s="27" t="s">
        <v>8</v>
      </c>
      <c r="H535" s="27" t="s">
        <v>7</v>
      </c>
      <c r="DM535" s="27" t="s">
        <v>8</v>
      </c>
      <c r="DN535" s="27" t="s">
        <v>7</v>
      </c>
      <c r="DO535" s="27" t="s">
        <v>8</v>
      </c>
      <c r="DW535" s="27" t="s">
        <v>8</v>
      </c>
      <c r="DX535" s="27" t="s">
        <v>7</v>
      </c>
      <c r="DY535" s="27" t="s">
        <v>8</v>
      </c>
      <c r="DZ535" s="27" t="s">
        <v>7</v>
      </c>
    </row>
    <row r="536" spans="1:132" x14ac:dyDescent="0.25">
      <c r="A536" s="7">
        <v>2.7454197896550796</v>
      </c>
      <c r="B536"/>
      <c r="C536"/>
      <c r="D536"/>
      <c r="E536" t="s">
        <v>8</v>
      </c>
      <c r="F536" s="27" t="s">
        <v>7</v>
      </c>
      <c r="G536" s="27" t="s">
        <v>8</v>
      </c>
      <c r="H536" s="27" t="s">
        <v>7</v>
      </c>
      <c r="DM536" s="27" t="s">
        <v>8</v>
      </c>
      <c r="DN536" s="27" t="s">
        <v>7</v>
      </c>
      <c r="DO536" s="27" t="s">
        <v>8</v>
      </c>
      <c r="DP536" s="27" t="s">
        <v>7</v>
      </c>
      <c r="DW536" s="27" t="s">
        <v>8</v>
      </c>
      <c r="DX536" s="27" t="s">
        <v>7</v>
      </c>
      <c r="DY536" s="27" t="s">
        <v>8</v>
      </c>
      <c r="DZ536" s="27" t="s">
        <v>7</v>
      </c>
    </row>
    <row r="537" spans="1:132" x14ac:dyDescent="0.25">
      <c r="A537" s="7">
        <v>2.6915880290736074</v>
      </c>
      <c r="B537"/>
      <c r="C537"/>
      <c r="D537"/>
      <c r="E537" t="s">
        <v>8</v>
      </c>
      <c r="F537" s="27" t="s">
        <v>7</v>
      </c>
      <c r="G537" s="27" t="s">
        <v>8</v>
      </c>
      <c r="H537" s="27" t="s">
        <v>7</v>
      </c>
      <c r="DM537" s="27" t="s">
        <v>8</v>
      </c>
      <c r="DN537" s="27" t="s">
        <v>7</v>
      </c>
      <c r="DO537" s="27" t="s">
        <v>8</v>
      </c>
      <c r="DP537" s="27" t="s">
        <v>7</v>
      </c>
      <c r="DW537" s="27" t="s">
        <v>8</v>
      </c>
      <c r="DX537" s="27" t="s">
        <v>7</v>
      </c>
      <c r="DY537" s="27" t="s">
        <v>8</v>
      </c>
      <c r="DZ537" s="27" t="s">
        <v>7</v>
      </c>
    </row>
    <row r="538" spans="1:132" x14ac:dyDescent="0.25">
      <c r="A538" s="7">
        <v>2.6388117932094191</v>
      </c>
      <c r="B538"/>
      <c r="C538"/>
      <c r="D538"/>
      <c r="E538" t="s">
        <v>8</v>
      </c>
      <c r="F538" s="27" t="s">
        <v>7</v>
      </c>
      <c r="G538" s="27" t="s">
        <v>8</v>
      </c>
      <c r="H538" s="27" t="s">
        <v>7</v>
      </c>
      <c r="DM538" s="27" t="s">
        <v>8</v>
      </c>
      <c r="DN538" s="27" t="s">
        <v>7</v>
      </c>
      <c r="DO538" s="27" t="s">
        <v>8</v>
      </c>
      <c r="DP538" s="27" t="s">
        <v>7</v>
      </c>
      <c r="DW538" s="27" t="s">
        <v>8</v>
      </c>
      <c r="DX538" s="27" t="s">
        <v>7</v>
      </c>
      <c r="DY538" s="27" t="s">
        <v>8</v>
      </c>
      <c r="DZ538" s="27" t="s">
        <v>7</v>
      </c>
    </row>
    <row r="539" spans="1:132" x14ac:dyDescent="0.25">
      <c r="A539" s="7">
        <v>2.5870703854994304</v>
      </c>
      <c r="B539"/>
      <c r="C539"/>
      <c r="D539"/>
      <c r="E539" t="s">
        <v>8</v>
      </c>
      <c r="F539" s="27" t="s">
        <v>7</v>
      </c>
      <c r="G539" s="27" t="s">
        <v>8</v>
      </c>
      <c r="H539" s="27" t="s">
        <v>7</v>
      </c>
      <c r="DM539" s="27" t="s">
        <v>8</v>
      </c>
      <c r="DN539" s="27" t="s">
        <v>7</v>
      </c>
      <c r="DO539" s="27" t="s">
        <v>8</v>
      </c>
      <c r="DP539" s="27" t="s">
        <v>7</v>
      </c>
      <c r="DW539" s="27" t="s">
        <v>8</v>
      </c>
      <c r="DX539" s="27" t="s">
        <v>7</v>
      </c>
      <c r="DY539" s="27" t="s">
        <v>8</v>
      </c>
      <c r="DZ539" s="27" t="s">
        <v>7</v>
      </c>
    </row>
    <row r="540" spans="1:132" x14ac:dyDescent="0.25">
      <c r="A540" s="7">
        <v>2.53634351519552</v>
      </c>
      <c r="B540"/>
      <c r="C540"/>
      <c r="D540"/>
      <c r="E540" t="s">
        <v>8</v>
      </c>
      <c r="F540" s="27" t="s">
        <v>7</v>
      </c>
      <c r="G540" s="27" t="s">
        <v>8</v>
      </c>
      <c r="H540" s="27" t="s">
        <v>7</v>
      </c>
      <c r="DM540" s="27" t="s">
        <v>8</v>
      </c>
      <c r="DN540" s="27" t="s">
        <v>7</v>
      </c>
      <c r="DO540" s="27" t="s">
        <v>8</v>
      </c>
      <c r="DP540" s="27" t="s">
        <v>7</v>
      </c>
      <c r="DW540" s="27" t="s">
        <v>8</v>
      </c>
      <c r="DX540" s="27" t="s">
        <v>7</v>
      </c>
      <c r="DY540" s="27" t="s">
        <v>8</v>
      </c>
      <c r="DZ540" s="27" t="s">
        <v>7</v>
      </c>
    </row>
    <row r="541" spans="1:132" x14ac:dyDescent="0.25">
      <c r="A541" s="7">
        <v>2.4866112894073726</v>
      </c>
      <c r="B541"/>
      <c r="C541"/>
      <c r="D541"/>
      <c r="E541" t="s">
        <v>8</v>
      </c>
      <c r="F541" s="27" t="s">
        <v>7</v>
      </c>
      <c r="H541" s="27" t="s">
        <v>7</v>
      </c>
      <c r="CE541" s="27" t="s">
        <v>8</v>
      </c>
      <c r="DM541" s="27" t="s">
        <v>8</v>
      </c>
      <c r="DN541" s="27" t="s">
        <v>7</v>
      </c>
      <c r="DO541" s="27" t="s">
        <v>8</v>
      </c>
      <c r="DP541" s="27" t="s">
        <v>7</v>
      </c>
      <c r="DW541" s="27" t="s">
        <v>8</v>
      </c>
      <c r="DX541" s="27" t="s">
        <v>7</v>
      </c>
      <c r="DY541" s="27" t="s">
        <v>8</v>
      </c>
      <c r="DZ541" s="27" t="s">
        <v>7</v>
      </c>
    </row>
    <row r="542" spans="1:132" x14ac:dyDescent="0.25">
      <c r="A542" s="7">
        <v>2.4378542053013459</v>
      </c>
      <c r="B542"/>
      <c r="C542"/>
      <c r="D542"/>
      <c r="E542" t="s">
        <v>8</v>
      </c>
      <c r="H542" s="27" t="s">
        <v>7</v>
      </c>
      <c r="CE542" s="27" t="s">
        <v>8</v>
      </c>
      <c r="CF542" s="27" t="s">
        <v>7</v>
      </c>
      <c r="DI542" s="27" t="s">
        <v>8</v>
      </c>
      <c r="DM542" s="27" t="s">
        <v>8</v>
      </c>
      <c r="DN542" s="27" t="s">
        <v>7</v>
      </c>
      <c r="DO542" s="27" t="s">
        <v>8</v>
      </c>
      <c r="DP542" s="27" t="s">
        <v>7</v>
      </c>
      <c r="DW542" s="27" t="s">
        <v>8</v>
      </c>
      <c r="DX542" s="27" t="s">
        <v>7</v>
      </c>
      <c r="DY542" s="27" t="s">
        <v>8</v>
      </c>
      <c r="DZ542" s="27" t="s">
        <v>7</v>
      </c>
      <c r="EA542" s="27" t="s">
        <v>8</v>
      </c>
    </row>
    <row r="543" spans="1:132" x14ac:dyDescent="0.25">
      <c r="A543" s="7">
        <v>2.3900531424522997</v>
      </c>
      <c r="B543"/>
      <c r="C543"/>
      <c r="D543"/>
      <c r="E543" t="s">
        <v>8</v>
      </c>
      <c r="H543" s="27" t="s">
        <v>7</v>
      </c>
      <c r="CE543" s="27" t="s">
        <v>8</v>
      </c>
      <c r="CF543" s="27" t="s">
        <v>7</v>
      </c>
      <c r="DI543" s="27" t="s">
        <v>8</v>
      </c>
      <c r="DJ543" s="27" t="s">
        <v>7</v>
      </c>
      <c r="DM543" s="27" t="s">
        <v>8</v>
      </c>
      <c r="DN543" s="27" t="s">
        <v>7</v>
      </c>
      <c r="DO543" s="27" t="s">
        <v>8</v>
      </c>
      <c r="DP543" s="27" t="s">
        <v>7</v>
      </c>
      <c r="DW543" s="27" t="s">
        <v>8</v>
      </c>
      <c r="DX543" s="27" t="s">
        <v>7</v>
      </c>
      <c r="DY543" s="27" t="s">
        <v>8</v>
      </c>
      <c r="DZ543" s="27" t="s">
        <v>7</v>
      </c>
      <c r="EA543" s="27" t="s">
        <v>8</v>
      </c>
      <c r="EB543" s="27" t="s">
        <v>7</v>
      </c>
    </row>
    <row r="544" spans="1:132" x14ac:dyDescent="0.25">
      <c r="A544" s="7">
        <v>2.343189355345392</v>
      </c>
      <c r="B544"/>
      <c r="C544"/>
      <c r="D544"/>
      <c r="E544" t="s">
        <v>8</v>
      </c>
      <c r="H544" s="27" t="s">
        <v>7</v>
      </c>
      <c r="CE544" s="27" t="s">
        <v>8</v>
      </c>
      <c r="CF544" s="27" t="s">
        <v>7</v>
      </c>
      <c r="DI544" s="27" t="s">
        <v>8</v>
      </c>
      <c r="DJ544" s="27" t="s">
        <v>7</v>
      </c>
      <c r="DM544" s="27" t="s">
        <v>8</v>
      </c>
      <c r="DN544" s="27" t="s">
        <v>7</v>
      </c>
      <c r="DP544" s="27" t="s">
        <v>7</v>
      </c>
      <c r="DW544" s="27" t="s">
        <v>8</v>
      </c>
      <c r="DX544" s="27" t="s">
        <v>7</v>
      </c>
      <c r="DY544" s="27" t="s">
        <v>8</v>
      </c>
      <c r="DZ544" s="27" t="s">
        <v>7</v>
      </c>
      <c r="EA544" s="27" t="s">
        <v>8</v>
      </c>
      <c r="EB544" s="27" t="s">
        <v>7</v>
      </c>
    </row>
    <row r="545" spans="1:200" x14ac:dyDescent="0.25">
      <c r="A545" s="7">
        <v>2.2972444660248938</v>
      </c>
      <c r="B545"/>
      <c r="C545"/>
      <c r="D545"/>
      <c r="E545" t="s">
        <v>8</v>
      </c>
      <c r="H545" s="27" t="s">
        <v>7</v>
      </c>
      <c r="CC545" s="27" t="s">
        <v>8</v>
      </c>
      <c r="CE545" s="27" t="s">
        <v>8</v>
      </c>
      <c r="CF545" s="27" t="s">
        <v>7</v>
      </c>
      <c r="DI545" s="27" t="s">
        <v>8</v>
      </c>
      <c r="DJ545" s="27" t="s">
        <v>7</v>
      </c>
      <c r="DM545" s="27" t="s">
        <v>8</v>
      </c>
      <c r="DP545" s="27" t="s">
        <v>7</v>
      </c>
      <c r="DW545" s="27" t="s">
        <v>8</v>
      </c>
      <c r="DX545" s="27" t="s">
        <v>7</v>
      </c>
      <c r="DY545" s="27" t="s">
        <v>8</v>
      </c>
      <c r="DZ545" s="27" t="s">
        <v>7</v>
      </c>
      <c r="EA545" s="27" t="s">
        <v>8</v>
      </c>
      <c r="EB545" s="27" t="s">
        <v>7</v>
      </c>
    </row>
    <row r="546" spans="1:200" x14ac:dyDescent="0.25">
      <c r="A546" s="7">
        <v>2.252200456887151</v>
      </c>
      <c r="B546"/>
      <c r="C546"/>
      <c r="D546"/>
      <c r="E546" t="s">
        <v>8</v>
      </c>
      <c r="H546" s="27" t="s">
        <v>7</v>
      </c>
      <c r="CC546" s="27" t="s">
        <v>8</v>
      </c>
      <c r="CD546" s="27" t="s">
        <v>7</v>
      </c>
      <c r="CE546" s="27" t="s">
        <v>8</v>
      </c>
      <c r="CF546" s="27" t="s">
        <v>7</v>
      </c>
      <c r="DI546" s="27" t="s">
        <v>8</v>
      </c>
      <c r="DJ546" s="27" t="s">
        <v>7</v>
      </c>
      <c r="DM546" s="27" t="s">
        <v>8</v>
      </c>
      <c r="DP546" s="27" t="s">
        <v>7</v>
      </c>
      <c r="DW546" s="27" t="s">
        <v>8</v>
      </c>
      <c r="DX546" s="27" t="s">
        <v>7</v>
      </c>
      <c r="DY546" s="27" t="s">
        <v>8</v>
      </c>
      <c r="DZ546" s="27" t="s">
        <v>7</v>
      </c>
      <c r="EA546" s="27" t="s">
        <v>8</v>
      </c>
      <c r="EB546" s="27" t="s">
        <v>7</v>
      </c>
    </row>
    <row r="547" spans="1:200" x14ac:dyDescent="0.25">
      <c r="A547" s="7">
        <v>2.208039663614854</v>
      </c>
      <c r="B547"/>
      <c r="C547"/>
      <c r="D547"/>
      <c r="E547" t="s">
        <v>8</v>
      </c>
      <c r="H547" s="27" t="s">
        <v>7</v>
      </c>
      <c r="CC547" s="27" t="s">
        <v>8</v>
      </c>
      <c r="CD547" s="27" t="s">
        <v>7</v>
      </c>
      <c r="CE547" s="27" t="s">
        <v>8</v>
      </c>
      <c r="CF547" s="27" t="s">
        <v>7</v>
      </c>
      <c r="DI547" s="27" t="s">
        <v>8</v>
      </c>
      <c r="DJ547" s="27" t="s">
        <v>7</v>
      </c>
      <c r="DM547" s="27" t="s">
        <v>8</v>
      </c>
      <c r="DP547" s="27" t="s">
        <v>7</v>
      </c>
      <c r="DW547" s="27" t="s">
        <v>8</v>
      </c>
      <c r="DX547" s="27" t="s">
        <v>7</v>
      </c>
      <c r="DY547" s="27" t="s">
        <v>8</v>
      </c>
      <c r="DZ547" s="27" t="s">
        <v>7</v>
      </c>
      <c r="EA547" s="27" t="s">
        <v>8</v>
      </c>
      <c r="EB547" s="27" t="s">
        <v>7</v>
      </c>
    </row>
    <row r="548" spans="1:200" x14ac:dyDescent="0.25">
      <c r="A548" s="7">
        <v>2.1647447682498568</v>
      </c>
      <c r="B548"/>
      <c r="C548"/>
      <c r="D548"/>
      <c r="E548" t="s">
        <v>8</v>
      </c>
      <c r="H548" s="27" t="s">
        <v>7</v>
      </c>
      <c r="CA548" s="27" t="s">
        <v>8</v>
      </c>
      <c r="CC548" s="27" t="s">
        <v>8</v>
      </c>
      <c r="CD548" s="27" t="s">
        <v>7</v>
      </c>
      <c r="CE548" s="27" t="s">
        <v>8</v>
      </c>
      <c r="CF548" s="27" t="s">
        <v>7</v>
      </c>
      <c r="DI548" s="27" t="s">
        <v>8</v>
      </c>
      <c r="DJ548" s="27" t="s">
        <v>7</v>
      </c>
      <c r="DM548" s="27" t="s">
        <v>8</v>
      </c>
      <c r="DP548" s="27" t="s">
        <v>7</v>
      </c>
      <c r="DW548" s="27" t="s">
        <v>8</v>
      </c>
      <c r="DX548" s="27" t="s">
        <v>7</v>
      </c>
      <c r="DY548" s="27" t="s">
        <v>8</v>
      </c>
      <c r="DZ548" s="27" t="s">
        <v>7</v>
      </c>
      <c r="EA548" s="27" t="s">
        <v>8</v>
      </c>
      <c r="EB548" s="27" t="s">
        <v>7</v>
      </c>
    </row>
    <row r="549" spans="1:200" x14ac:dyDescent="0.25">
      <c r="A549" s="7">
        <v>2.1222987924018204</v>
      </c>
      <c r="B549"/>
      <c r="C549"/>
      <c r="D549"/>
      <c r="E549" t="s">
        <v>8</v>
      </c>
      <c r="H549" s="27" t="s">
        <v>7</v>
      </c>
      <c r="CA549" s="27" t="s">
        <v>8</v>
      </c>
      <c r="CB549" s="27" t="s">
        <v>7</v>
      </c>
      <c r="CC549" s="27" t="s">
        <v>8</v>
      </c>
      <c r="CD549" s="27" t="s">
        <v>7</v>
      </c>
      <c r="CE549" s="27" t="s">
        <v>8</v>
      </c>
      <c r="CF549" s="27" t="s">
        <v>7</v>
      </c>
      <c r="DI549" s="27" t="s">
        <v>8</v>
      </c>
      <c r="DJ549" s="27" t="s">
        <v>7</v>
      </c>
      <c r="DM549" s="27" t="s">
        <v>8</v>
      </c>
      <c r="DP549" s="27" t="s">
        <v>7</v>
      </c>
      <c r="DW549" s="27" t="s">
        <v>8</v>
      </c>
      <c r="DX549" s="27" t="s">
        <v>7</v>
      </c>
      <c r="DY549" s="27" t="s">
        <v>8</v>
      </c>
      <c r="DZ549" s="27" t="s">
        <v>7</v>
      </c>
      <c r="EA549" s="27" t="s">
        <v>8</v>
      </c>
      <c r="EB549" s="27" t="s">
        <v>7</v>
      </c>
    </row>
    <row r="550" spans="1:200" x14ac:dyDescent="0.25">
      <c r="A550" s="7">
        <v>2.0806850905900198</v>
      </c>
      <c r="B550"/>
      <c r="C550"/>
      <c r="D550"/>
      <c r="E550" t="s">
        <v>8</v>
      </c>
      <c r="H550" s="27" t="s">
        <v>7</v>
      </c>
      <c r="CA550" s="27" t="s">
        <v>8</v>
      </c>
      <c r="CB550" s="27" t="s">
        <v>7</v>
      </c>
      <c r="CC550" s="27" t="s">
        <v>8</v>
      </c>
      <c r="CD550" s="27" t="s">
        <v>7</v>
      </c>
      <c r="CE550" s="27" t="s">
        <v>8</v>
      </c>
      <c r="CF550" s="27" t="s">
        <v>7</v>
      </c>
      <c r="DI550" s="27" t="s">
        <v>8</v>
      </c>
      <c r="DJ550" s="27" t="s">
        <v>7</v>
      </c>
      <c r="DM550" s="27" t="s">
        <v>8</v>
      </c>
      <c r="DP550" s="27" t="s">
        <v>7</v>
      </c>
      <c r="DQ550" s="27" t="s">
        <v>8</v>
      </c>
      <c r="DW550" s="27" t="s">
        <v>8</v>
      </c>
      <c r="DX550" s="27" t="s">
        <v>7</v>
      </c>
      <c r="DZ550" s="27" t="s">
        <v>7</v>
      </c>
      <c r="EA550" s="27" t="s">
        <v>8</v>
      </c>
      <c r="EB550" s="27" t="s">
        <v>7</v>
      </c>
    </row>
    <row r="551" spans="1:200" x14ac:dyDescent="0.25">
      <c r="A551" s="7">
        <v>2.0398873437157055</v>
      </c>
      <c r="B551"/>
      <c r="C551"/>
      <c r="D551"/>
      <c r="E551" t="s">
        <v>8</v>
      </c>
      <c r="H551" s="27" t="s">
        <v>7</v>
      </c>
      <c r="CA551" s="27" t="s">
        <v>8</v>
      </c>
      <c r="CB551" s="27" t="s">
        <v>7</v>
      </c>
      <c r="CC551" s="27" t="s">
        <v>8</v>
      </c>
      <c r="CD551" s="27" t="s">
        <v>7</v>
      </c>
      <c r="CE551" s="27" t="s">
        <v>8</v>
      </c>
      <c r="CF551" s="27" t="s">
        <v>7</v>
      </c>
      <c r="DI551" s="27" t="s">
        <v>8</v>
      </c>
      <c r="DJ551" s="27" t="s">
        <v>7</v>
      </c>
      <c r="DM551" s="27" t="s">
        <v>8</v>
      </c>
      <c r="DP551" s="27" t="s">
        <v>7</v>
      </c>
      <c r="DQ551" s="27" t="s">
        <v>8</v>
      </c>
      <c r="DR551" s="27" t="s">
        <v>7</v>
      </c>
      <c r="DW551" s="27" t="s">
        <v>8</v>
      </c>
      <c r="DZ551" s="27" t="s">
        <v>7</v>
      </c>
      <c r="EA551" s="27" t="s">
        <v>8</v>
      </c>
      <c r="EB551" s="27" t="s">
        <v>7</v>
      </c>
    </row>
    <row r="552" spans="1:200" x14ac:dyDescent="0.25">
      <c r="A552" s="7">
        <v>1.9998895526624565</v>
      </c>
      <c r="B552"/>
      <c r="C552"/>
      <c r="D552"/>
      <c r="E552" t="s">
        <v>8</v>
      </c>
      <c r="H552" s="27" t="s">
        <v>7</v>
      </c>
      <c r="CA552" s="27" t="s">
        <v>8</v>
      </c>
      <c r="CB552" s="27" t="s">
        <v>7</v>
      </c>
      <c r="CC552" s="27" t="s">
        <v>8</v>
      </c>
      <c r="CD552" s="27" t="s">
        <v>7</v>
      </c>
      <c r="CE552" s="27" t="s">
        <v>8</v>
      </c>
      <c r="CF552" s="27" t="s">
        <v>7</v>
      </c>
      <c r="DI552" s="27" t="s">
        <v>8</v>
      </c>
      <c r="DJ552" s="27" t="s">
        <v>7</v>
      </c>
      <c r="DM552" s="27" t="s">
        <v>8</v>
      </c>
      <c r="DP552" s="27" t="s">
        <v>7</v>
      </c>
      <c r="DQ552" s="27" t="s">
        <v>8</v>
      </c>
      <c r="DR552" s="27" t="s">
        <v>7</v>
      </c>
      <c r="DW552" s="27" t="s">
        <v>8</v>
      </c>
      <c r="DZ552" s="27" t="s">
        <v>7</v>
      </c>
      <c r="EB552" s="27" t="s">
        <v>7</v>
      </c>
    </row>
    <row r="553" spans="1:200" x14ac:dyDescent="0.25">
      <c r="A553" s="7">
        <v>1.9606760320220162</v>
      </c>
      <c r="B553"/>
      <c r="C553"/>
      <c r="D553"/>
      <c r="E553" t="s">
        <v>8</v>
      </c>
      <c r="H553" s="27" t="s">
        <v>7</v>
      </c>
      <c r="CA553" s="27" t="s">
        <v>8</v>
      </c>
      <c r="CB553" s="27" t="s">
        <v>7</v>
      </c>
      <c r="CC553" s="27" t="s">
        <v>8</v>
      </c>
      <c r="CD553" s="27" t="s">
        <v>7</v>
      </c>
      <c r="CE553" s="27" t="s">
        <v>8</v>
      </c>
      <c r="CF553" s="27" t="s">
        <v>7</v>
      </c>
      <c r="DI553" s="27" t="s">
        <v>8</v>
      </c>
      <c r="DJ553" s="27" t="s">
        <v>7</v>
      </c>
      <c r="DM553" s="27" t="s">
        <v>8</v>
      </c>
      <c r="DP553" s="27" t="s">
        <v>7</v>
      </c>
      <c r="DQ553" s="27" t="s">
        <v>8</v>
      </c>
      <c r="DR553" s="27" t="s">
        <v>7</v>
      </c>
      <c r="DW553" s="27" t="s">
        <v>8</v>
      </c>
      <c r="EB553" s="27" t="s">
        <v>7</v>
      </c>
      <c r="GK553" s="27" t="s">
        <v>8</v>
      </c>
    </row>
    <row r="554" spans="1:200" x14ac:dyDescent="0.25">
      <c r="A554" s="7">
        <v>1.9222314039431532</v>
      </c>
      <c r="B554"/>
      <c r="C554"/>
      <c r="D554"/>
      <c r="E554" t="s">
        <v>8</v>
      </c>
      <c r="H554" s="27" t="s">
        <v>7</v>
      </c>
      <c r="BY554" s="27" t="s">
        <v>8</v>
      </c>
      <c r="CA554" s="27" t="s">
        <v>8</v>
      </c>
      <c r="CB554" s="27" t="s">
        <v>7</v>
      </c>
      <c r="CC554" s="27" t="s">
        <v>8</v>
      </c>
      <c r="CD554" s="27" t="s">
        <v>7</v>
      </c>
      <c r="CE554" s="27" t="s">
        <v>8</v>
      </c>
      <c r="CF554" s="27" t="s">
        <v>7</v>
      </c>
      <c r="DI554" s="27" t="s">
        <v>8</v>
      </c>
      <c r="DJ554" s="27" t="s">
        <v>7</v>
      </c>
      <c r="DK554" s="27" t="s">
        <v>8</v>
      </c>
      <c r="DM554" s="27" t="s">
        <v>8</v>
      </c>
      <c r="DP554" s="27" t="s">
        <v>7</v>
      </c>
      <c r="DQ554" s="27" t="s">
        <v>8</v>
      </c>
      <c r="DR554" s="27" t="s">
        <v>7</v>
      </c>
      <c r="DW554" s="27" t="s">
        <v>8</v>
      </c>
      <c r="EB554" s="27" t="s">
        <v>7</v>
      </c>
      <c r="EC554" s="27" t="s">
        <v>8</v>
      </c>
      <c r="GK554" s="27" t="s">
        <v>8</v>
      </c>
      <c r="GL554" s="27" t="s">
        <v>7</v>
      </c>
    </row>
    <row r="555" spans="1:200" x14ac:dyDescent="0.25">
      <c r="A555" s="7">
        <v>1.8845405921011305</v>
      </c>
      <c r="B555"/>
      <c r="C555"/>
      <c r="D555"/>
      <c r="E555" t="s">
        <v>8</v>
      </c>
      <c r="H555" s="27" t="s">
        <v>7</v>
      </c>
      <c r="BY555" s="27" t="s">
        <v>8</v>
      </c>
      <c r="BZ555" s="27" t="s">
        <v>7</v>
      </c>
      <c r="CA555" s="27" t="s">
        <v>8</v>
      </c>
      <c r="CB555" s="27" t="s">
        <v>7</v>
      </c>
      <c r="CC555" s="27" t="s">
        <v>8</v>
      </c>
      <c r="CD555" s="27" t="s">
        <v>7</v>
      </c>
      <c r="CE555" s="27" t="s">
        <v>8</v>
      </c>
      <c r="CF555" s="27" t="s">
        <v>7</v>
      </c>
      <c r="DI555" s="27" t="s">
        <v>8</v>
      </c>
      <c r="DJ555" s="27" t="s">
        <v>7</v>
      </c>
      <c r="DK555" s="27" t="s">
        <v>8</v>
      </c>
      <c r="DL555" s="27" t="s">
        <v>7</v>
      </c>
      <c r="DM555" s="27" t="s">
        <v>8</v>
      </c>
      <c r="DP555" s="27" t="s">
        <v>7</v>
      </c>
      <c r="DQ555" s="27" t="s">
        <v>8</v>
      </c>
      <c r="DR555" s="27" t="s">
        <v>7</v>
      </c>
      <c r="DS555" s="27" t="s">
        <v>8</v>
      </c>
      <c r="DW555" s="27" t="s">
        <v>8</v>
      </c>
      <c r="EB555" s="27" t="s">
        <v>7</v>
      </c>
      <c r="EC555" s="27" t="s">
        <v>8</v>
      </c>
      <c r="ED555" s="27" t="s">
        <v>7</v>
      </c>
      <c r="GK555" s="27" t="s">
        <v>8</v>
      </c>
      <c r="GL555" s="27" t="s">
        <v>7</v>
      </c>
    </row>
    <row r="556" spans="1:200" x14ac:dyDescent="0.25">
      <c r="A556" s="7">
        <v>1.8475888157854219</v>
      </c>
      <c r="B556"/>
      <c r="C556"/>
      <c r="D556"/>
      <c r="E556" t="s">
        <v>8</v>
      </c>
      <c r="H556" s="27" t="s">
        <v>7</v>
      </c>
      <c r="BY556" s="27" t="s">
        <v>8</v>
      </c>
      <c r="BZ556" s="27" t="s">
        <v>7</v>
      </c>
      <c r="CA556" s="27" t="s">
        <v>8</v>
      </c>
      <c r="CB556" s="27" t="s">
        <v>7</v>
      </c>
      <c r="CC556" s="27" t="s">
        <v>8</v>
      </c>
      <c r="CD556" s="27" t="s">
        <v>7</v>
      </c>
      <c r="CE556" s="27" t="s">
        <v>8</v>
      </c>
      <c r="CF556" s="27" t="s">
        <v>7</v>
      </c>
      <c r="DI556" s="27" t="s">
        <v>8</v>
      </c>
      <c r="DJ556" s="27" t="s">
        <v>7</v>
      </c>
      <c r="DK556" s="27" t="s">
        <v>8</v>
      </c>
      <c r="DL556" s="27" t="s">
        <v>7</v>
      </c>
      <c r="DM556" s="27" t="s">
        <v>8</v>
      </c>
      <c r="DP556" s="27" t="s">
        <v>7</v>
      </c>
      <c r="DQ556" s="27" t="s">
        <v>8</v>
      </c>
      <c r="DR556" s="27" t="s">
        <v>7</v>
      </c>
      <c r="DS556" s="27" t="s">
        <v>8</v>
      </c>
      <c r="DT556" s="27" t="s">
        <v>7</v>
      </c>
      <c r="DW556" s="27" t="s">
        <v>8</v>
      </c>
      <c r="EB556" s="27" t="s">
        <v>7</v>
      </c>
      <c r="EC556" s="27" t="s">
        <v>8</v>
      </c>
      <c r="ED556" s="27" t="s">
        <v>7</v>
      </c>
      <c r="GK556" s="27" t="s">
        <v>8</v>
      </c>
      <c r="GL556" s="27" t="s">
        <v>7</v>
      </c>
    </row>
    <row r="557" spans="1:200" x14ac:dyDescent="0.25">
      <c r="A557" s="7">
        <v>1.8113615841033548</v>
      </c>
      <c r="B557"/>
      <c r="C557"/>
      <c r="D557"/>
      <c r="E557" t="s">
        <v>8</v>
      </c>
      <c r="H557" s="27" t="s">
        <v>7</v>
      </c>
      <c r="BY557" s="27" t="s">
        <v>8</v>
      </c>
      <c r="BZ557" s="27" t="s">
        <v>7</v>
      </c>
      <c r="CA557" s="27" t="s">
        <v>8</v>
      </c>
      <c r="CB557" s="27" t="s">
        <v>7</v>
      </c>
      <c r="CC557" s="27" t="s">
        <v>8</v>
      </c>
      <c r="CD557" s="27" t="s">
        <v>7</v>
      </c>
      <c r="CE557" s="27" t="s">
        <v>8</v>
      </c>
      <c r="CF557" s="27" t="s">
        <v>7</v>
      </c>
      <c r="DI557" s="27" t="s">
        <v>8</v>
      </c>
      <c r="DJ557" s="27" t="s">
        <v>7</v>
      </c>
      <c r="DK557" s="27" t="s">
        <v>8</v>
      </c>
      <c r="DL557" s="27" t="s">
        <v>7</v>
      </c>
      <c r="DP557" s="27" t="s">
        <v>7</v>
      </c>
      <c r="DQ557" s="27" t="s">
        <v>8</v>
      </c>
      <c r="DR557" s="27" t="s">
        <v>7</v>
      </c>
      <c r="DS557" s="27" t="s">
        <v>8</v>
      </c>
      <c r="DT557" s="27" t="s">
        <v>7</v>
      </c>
      <c r="DU557" s="27" t="s">
        <v>8</v>
      </c>
      <c r="DW557" s="27" t="s">
        <v>8</v>
      </c>
      <c r="EB557" s="27" t="s">
        <v>7</v>
      </c>
      <c r="EC557" s="27" t="s">
        <v>8</v>
      </c>
      <c r="ED557" s="27" t="s">
        <v>7</v>
      </c>
      <c r="GK557" s="27" t="s">
        <v>8</v>
      </c>
      <c r="GL557" s="27" t="s">
        <v>7</v>
      </c>
    </row>
    <row r="558" spans="1:200" x14ac:dyDescent="0.25">
      <c r="A558" s="7">
        <v>1.7758446902974065</v>
      </c>
      <c r="B558"/>
      <c r="C558"/>
      <c r="D558"/>
      <c r="E558" t="s">
        <v>8</v>
      </c>
      <c r="H558" s="27" t="s">
        <v>7</v>
      </c>
      <c r="BY558" s="27" t="s">
        <v>8</v>
      </c>
      <c r="BZ558" s="27" t="s">
        <v>7</v>
      </c>
      <c r="CA558" s="27" t="s">
        <v>8</v>
      </c>
      <c r="CB558" s="27" t="s">
        <v>7</v>
      </c>
      <c r="CC558" s="27" t="s">
        <v>8</v>
      </c>
      <c r="CD558" s="27" t="s">
        <v>7</v>
      </c>
      <c r="CE558" s="27" t="s">
        <v>8</v>
      </c>
      <c r="CF558" s="27" t="s">
        <v>7</v>
      </c>
      <c r="CY558" s="27" t="s">
        <v>8</v>
      </c>
      <c r="DI558" s="27" t="s">
        <v>8</v>
      </c>
      <c r="DJ558" s="27" t="s">
        <v>7</v>
      </c>
      <c r="DK558" s="27" t="s">
        <v>8</v>
      </c>
      <c r="DP558" s="27" t="s">
        <v>7</v>
      </c>
      <c r="DQ558" s="27" t="s">
        <v>8</v>
      </c>
      <c r="DR558" s="27" t="s">
        <v>7</v>
      </c>
      <c r="DS558" s="27" t="s">
        <v>8</v>
      </c>
      <c r="DT558" s="27" t="s">
        <v>7</v>
      </c>
      <c r="DU558" s="27" t="s">
        <v>8</v>
      </c>
      <c r="DV558" s="27" t="s">
        <v>7</v>
      </c>
      <c r="DW558" s="27" t="s">
        <v>8</v>
      </c>
      <c r="EB558" s="27" t="s">
        <v>7</v>
      </c>
      <c r="EC558" s="27" t="s">
        <v>8</v>
      </c>
      <c r="ED558" s="27" t="s">
        <v>7</v>
      </c>
      <c r="GK558" s="27" t="s">
        <v>8</v>
      </c>
      <c r="GL558" s="27" t="s">
        <v>7</v>
      </c>
    </row>
    <row r="559" spans="1:200" x14ac:dyDescent="0.25">
      <c r="A559" s="7">
        <v>1.7410242061739281</v>
      </c>
      <c r="B559"/>
      <c r="C559"/>
      <c r="D559"/>
      <c r="E559" t="s">
        <v>8</v>
      </c>
      <c r="H559" s="27" t="s">
        <v>7</v>
      </c>
      <c r="I559" s="27" t="s">
        <v>8</v>
      </c>
      <c r="BY559" s="27" t="s">
        <v>8</v>
      </c>
      <c r="BZ559" s="27" t="s">
        <v>7</v>
      </c>
      <c r="CA559" s="27" t="s">
        <v>8</v>
      </c>
      <c r="CB559" s="27" t="s">
        <v>7</v>
      </c>
      <c r="CC559" s="27" t="s">
        <v>8</v>
      </c>
      <c r="CD559" s="27" t="s">
        <v>7</v>
      </c>
      <c r="CE559" s="27" t="s">
        <v>8</v>
      </c>
      <c r="CF559" s="27" t="s">
        <v>7</v>
      </c>
      <c r="CY559" s="27" t="s">
        <v>8</v>
      </c>
      <c r="CZ559" s="27" t="s">
        <v>7</v>
      </c>
      <c r="DI559" s="27" t="s">
        <v>8</v>
      </c>
      <c r="DJ559" s="27" t="s">
        <v>7</v>
      </c>
      <c r="DK559" s="27" t="s">
        <v>8</v>
      </c>
      <c r="DP559" s="27" t="s">
        <v>7</v>
      </c>
      <c r="DQ559" s="27" t="s">
        <v>8</v>
      </c>
      <c r="DR559" s="27" t="s">
        <v>7</v>
      </c>
      <c r="DS559" s="27" t="s">
        <v>8</v>
      </c>
      <c r="DT559" s="27" t="s">
        <v>7</v>
      </c>
      <c r="DU559" s="27" t="s">
        <v>8</v>
      </c>
      <c r="DV559" s="27" t="s">
        <v>7</v>
      </c>
      <c r="DW559" s="27" t="s">
        <v>8</v>
      </c>
      <c r="EB559" s="27" t="s">
        <v>7</v>
      </c>
      <c r="EC559" s="27" t="s">
        <v>8</v>
      </c>
      <c r="ED559" s="27" t="s">
        <v>7</v>
      </c>
      <c r="GK559" s="27" t="s">
        <v>8</v>
      </c>
      <c r="GL559" s="27" t="s">
        <v>7</v>
      </c>
      <c r="GQ559" s="27" t="s">
        <v>8</v>
      </c>
    </row>
    <row r="560" spans="1:200" x14ac:dyDescent="0.25">
      <c r="A560" s="7">
        <v>1.7068864766411058</v>
      </c>
      <c r="B560"/>
      <c r="C560"/>
      <c r="D560"/>
      <c r="E560" t="s">
        <v>8</v>
      </c>
      <c r="H560" s="27" t="s">
        <v>7</v>
      </c>
      <c r="I560" s="27" t="s">
        <v>8</v>
      </c>
      <c r="J560" s="27" t="s">
        <v>7</v>
      </c>
      <c r="BY560" s="27" t="s">
        <v>8</v>
      </c>
      <c r="BZ560" s="27" t="s">
        <v>7</v>
      </c>
      <c r="CA560" s="27" t="s">
        <v>8</v>
      </c>
      <c r="CB560" s="27" t="s">
        <v>7</v>
      </c>
      <c r="CC560" s="27" t="s">
        <v>8</v>
      </c>
      <c r="CD560" s="27" t="s">
        <v>7</v>
      </c>
      <c r="CE560" s="27" t="s">
        <v>8</v>
      </c>
      <c r="CF560" s="27" t="s">
        <v>7</v>
      </c>
      <c r="CG560" s="27" t="s">
        <v>8</v>
      </c>
      <c r="CY560" s="27" t="s">
        <v>8</v>
      </c>
      <c r="CZ560" s="27" t="s">
        <v>7</v>
      </c>
      <c r="DI560" s="27" t="s">
        <v>8</v>
      </c>
      <c r="DJ560" s="27" t="s">
        <v>7</v>
      </c>
      <c r="DK560" s="27" t="s">
        <v>8</v>
      </c>
      <c r="DP560" s="27" t="s">
        <v>7</v>
      </c>
      <c r="DQ560" s="27" t="s">
        <v>8</v>
      </c>
      <c r="DR560" s="27" t="s">
        <v>7</v>
      </c>
      <c r="DS560" s="27" t="s">
        <v>8</v>
      </c>
      <c r="DT560" s="27" t="s">
        <v>7</v>
      </c>
      <c r="DU560" s="27" t="s">
        <v>8</v>
      </c>
      <c r="DV560" s="27" t="s">
        <v>7</v>
      </c>
      <c r="DW560" s="27" t="s">
        <v>8</v>
      </c>
      <c r="EB560" s="27" t="s">
        <v>7</v>
      </c>
      <c r="EC560" s="27" t="s">
        <v>8</v>
      </c>
      <c r="ED560" s="27" t="s">
        <v>7</v>
      </c>
      <c r="GK560" s="27" t="s">
        <v>8</v>
      </c>
      <c r="GL560" s="27" t="s">
        <v>7</v>
      </c>
      <c r="GQ560" s="27" t="s">
        <v>8</v>
      </c>
      <c r="GR560" s="27" t="s">
        <v>7</v>
      </c>
    </row>
    <row r="561" spans="1:201" x14ac:dyDescent="0.25">
      <c r="A561" s="7">
        <v>1.6734181143540252</v>
      </c>
      <c r="B561"/>
      <c r="C561"/>
      <c r="D561"/>
      <c r="E561" t="s">
        <v>8</v>
      </c>
      <c r="H561" s="27" t="s">
        <v>7</v>
      </c>
      <c r="I561" s="27" t="s">
        <v>8</v>
      </c>
      <c r="J561" s="27" t="s">
        <v>7</v>
      </c>
      <c r="BY561" s="27" t="s">
        <v>8</v>
      </c>
      <c r="BZ561" s="27" t="s">
        <v>7</v>
      </c>
      <c r="CA561" s="27" t="s">
        <v>8</v>
      </c>
      <c r="CB561" s="27" t="s">
        <v>7</v>
      </c>
      <c r="CC561" s="27" t="s">
        <v>8</v>
      </c>
      <c r="CD561" s="27" t="s">
        <v>7</v>
      </c>
      <c r="CE561" s="27" t="s">
        <v>8</v>
      </c>
      <c r="CF561" s="27" t="s">
        <v>7</v>
      </c>
      <c r="CG561" s="27" t="s">
        <v>8</v>
      </c>
      <c r="CH561" s="27" t="s">
        <v>7</v>
      </c>
      <c r="CY561" s="27" t="s">
        <v>8</v>
      </c>
      <c r="CZ561" s="27" t="s">
        <v>7</v>
      </c>
      <c r="DE561" s="27" t="s">
        <v>8</v>
      </c>
      <c r="DI561" s="27" t="s">
        <v>8</v>
      </c>
      <c r="DJ561" s="27" t="s">
        <v>7</v>
      </c>
      <c r="DK561" s="27" t="s">
        <v>8</v>
      </c>
      <c r="DP561" s="27" t="s">
        <v>7</v>
      </c>
      <c r="DQ561" s="27" t="s">
        <v>8</v>
      </c>
      <c r="DR561" s="27" t="s">
        <v>7</v>
      </c>
      <c r="DS561" s="27" t="s">
        <v>8</v>
      </c>
      <c r="DT561" s="27" t="s">
        <v>7</v>
      </c>
      <c r="DU561" s="27" t="s">
        <v>8</v>
      </c>
      <c r="DV561" s="27" t="s">
        <v>7</v>
      </c>
      <c r="DW561" s="27" t="s">
        <v>8</v>
      </c>
      <c r="EB561" s="27" t="s">
        <v>7</v>
      </c>
      <c r="EC561" s="27" t="s">
        <v>8</v>
      </c>
      <c r="ED561" s="27" t="s">
        <v>7</v>
      </c>
      <c r="GK561" s="27" t="s">
        <v>8</v>
      </c>
      <c r="GL561" s="27" t="s">
        <v>7</v>
      </c>
      <c r="GQ561" s="27" t="s">
        <v>8</v>
      </c>
      <c r="GR561" s="27" t="s">
        <v>7</v>
      </c>
    </row>
    <row r="562" spans="1:201" x14ac:dyDescent="0.25">
      <c r="A562" s="7">
        <v>1.6406059944647307</v>
      </c>
      <c r="B562"/>
      <c r="C562"/>
      <c r="D562"/>
      <c r="E562" t="s">
        <v>8</v>
      </c>
      <c r="H562" s="27" t="s">
        <v>7</v>
      </c>
      <c r="I562" s="27" t="s">
        <v>8</v>
      </c>
      <c r="J562" s="27" t="s">
        <v>7</v>
      </c>
      <c r="BY562" s="27" t="s">
        <v>8</v>
      </c>
      <c r="BZ562" s="27" t="s">
        <v>7</v>
      </c>
      <c r="CA562" s="27" t="s">
        <v>8</v>
      </c>
      <c r="CB562" s="27" t="s">
        <v>7</v>
      </c>
      <c r="CC562" s="27" t="s">
        <v>8</v>
      </c>
      <c r="CD562" s="27" t="s">
        <v>7</v>
      </c>
      <c r="CE562" s="27" t="s">
        <v>8</v>
      </c>
      <c r="CF562" s="27" t="s">
        <v>7</v>
      </c>
      <c r="CG562" s="27" t="s">
        <v>8</v>
      </c>
      <c r="CH562" s="27" t="s">
        <v>7</v>
      </c>
      <c r="CW562" s="27" t="s">
        <v>8</v>
      </c>
      <c r="CY562" s="27" t="s">
        <v>8</v>
      </c>
      <c r="CZ562" s="27" t="s">
        <v>7</v>
      </c>
      <c r="DA562" s="27" t="s">
        <v>8</v>
      </c>
      <c r="DE562" s="27" t="s">
        <v>8</v>
      </c>
      <c r="DF562" s="27" t="s">
        <v>7</v>
      </c>
      <c r="DG562" s="27" t="s">
        <v>8</v>
      </c>
      <c r="DI562" s="27" t="s">
        <v>8</v>
      </c>
      <c r="DJ562" s="27" t="s">
        <v>7</v>
      </c>
      <c r="DP562" s="27" t="s">
        <v>7</v>
      </c>
      <c r="DR562" s="27" t="s">
        <v>7</v>
      </c>
      <c r="DS562" s="27" t="s">
        <v>8</v>
      </c>
      <c r="DT562" s="27" t="s">
        <v>7</v>
      </c>
      <c r="DU562" s="27" t="s">
        <v>8</v>
      </c>
      <c r="DV562" s="27" t="s">
        <v>7</v>
      </c>
      <c r="DW562" s="27" t="s">
        <v>8</v>
      </c>
      <c r="EB562" s="27" t="s">
        <v>7</v>
      </c>
      <c r="EC562" s="27" t="s">
        <v>8</v>
      </c>
      <c r="ED562" s="27" t="s">
        <v>7</v>
      </c>
      <c r="EE562" s="27" t="s">
        <v>8</v>
      </c>
      <c r="GK562" s="27" t="s">
        <v>8</v>
      </c>
      <c r="GL562" s="27" t="s">
        <v>7</v>
      </c>
      <c r="GQ562" s="27" t="s">
        <v>8</v>
      </c>
      <c r="GR562" s="27" t="s">
        <v>7</v>
      </c>
    </row>
    <row r="563" spans="1:201" x14ac:dyDescent="0.25">
      <c r="A563" s="7">
        <v>1.6084372494752261</v>
      </c>
      <c r="B563"/>
      <c r="C563"/>
      <c r="D563"/>
      <c r="E563" t="s">
        <v>8</v>
      </c>
      <c r="H563" s="27" t="s">
        <v>7</v>
      </c>
      <c r="I563" s="27" t="s">
        <v>8</v>
      </c>
      <c r="J563" s="27" t="s">
        <v>7</v>
      </c>
      <c r="BY563" s="27" t="s">
        <v>8</v>
      </c>
      <c r="BZ563" s="27" t="s">
        <v>7</v>
      </c>
      <c r="CA563" s="27" t="s">
        <v>8</v>
      </c>
      <c r="CB563" s="27" t="s">
        <v>7</v>
      </c>
      <c r="CC563" s="27" t="s">
        <v>8</v>
      </c>
      <c r="CD563" s="27" t="s">
        <v>7</v>
      </c>
      <c r="CE563" s="27" t="s">
        <v>8</v>
      </c>
      <c r="CF563" s="27" t="s">
        <v>7</v>
      </c>
      <c r="CH563" s="27" t="s">
        <v>7</v>
      </c>
      <c r="CW563" s="27" t="s">
        <v>8</v>
      </c>
      <c r="CX563" s="27" t="s">
        <v>7</v>
      </c>
      <c r="CY563" s="27" t="s">
        <v>8</v>
      </c>
      <c r="CZ563" s="27" t="s">
        <v>7</v>
      </c>
      <c r="DA563" s="27" t="s">
        <v>8</v>
      </c>
      <c r="DB563" s="27" t="s">
        <v>7</v>
      </c>
      <c r="DE563" s="27" t="s">
        <v>8</v>
      </c>
      <c r="DF563" s="27" t="s">
        <v>7</v>
      </c>
      <c r="DG563" s="27" t="s">
        <v>8</v>
      </c>
      <c r="DH563" s="27" t="s">
        <v>7</v>
      </c>
      <c r="DI563" s="27" t="s">
        <v>8</v>
      </c>
      <c r="DR563" s="27" t="s">
        <v>7</v>
      </c>
      <c r="DS563" s="27" t="s">
        <v>8</v>
      </c>
      <c r="DT563" s="27" t="s">
        <v>7</v>
      </c>
      <c r="DU563" s="27" t="s">
        <v>8</v>
      </c>
      <c r="DV563" s="27" t="s">
        <v>7</v>
      </c>
      <c r="DW563" s="27" t="s">
        <v>8</v>
      </c>
      <c r="EB563" s="27" t="s">
        <v>7</v>
      </c>
      <c r="EC563" s="27" t="s">
        <v>8</v>
      </c>
      <c r="ED563" s="27" t="s">
        <v>7</v>
      </c>
      <c r="EE563" s="27" t="s">
        <v>8</v>
      </c>
      <c r="EF563" s="27" t="s">
        <v>7</v>
      </c>
      <c r="GK563" s="27" t="s">
        <v>8</v>
      </c>
      <c r="GL563" s="27" t="s">
        <v>7</v>
      </c>
      <c r="GQ563" s="27" t="s">
        <v>8</v>
      </c>
      <c r="GR563" s="27" t="s">
        <v>7</v>
      </c>
    </row>
    <row r="564" spans="1:201" x14ac:dyDescent="0.25">
      <c r="A564" s="7">
        <v>1.5768992641913981</v>
      </c>
      <c r="B564"/>
      <c r="C564"/>
      <c r="D564"/>
      <c r="E564" t="s">
        <v>8</v>
      </c>
      <c r="H564" s="27" t="s">
        <v>7</v>
      </c>
      <c r="I564" s="27" t="s">
        <v>8</v>
      </c>
      <c r="J564" s="27" t="s">
        <v>7</v>
      </c>
      <c r="AG564" s="27" t="s">
        <v>8</v>
      </c>
      <c r="BY564" s="27" t="s">
        <v>8</v>
      </c>
      <c r="BZ564" s="27" t="s">
        <v>7</v>
      </c>
      <c r="CA564" s="27" t="s">
        <v>8</v>
      </c>
      <c r="CB564" s="27" t="s">
        <v>7</v>
      </c>
      <c r="CC564" s="27" t="s">
        <v>8</v>
      </c>
      <c r="CD564" s="27" t="s">
        <v>7</v>
      </c>
      <c r="CE564" s="27" t="s">
        <v>8</v>
      </c>
      <c r="CH564" s="27" t="s">
        <v>7</v>
      </c>
      <c r="CW564" s="27" t="s">
        <v>8</v>
      </c>
      <c r="CX564" s="27" t="s">
        <v>7</v>
      </c>
      <c r="CY564" s="27" t="s">
        <v>8</v>
      </c>
      <c r="CZ564" s="27" t="s">
        <v>7</v>
      </c>
      <c r="DA564" s="27" t="s">
        <v>8</v>
      </c>
      <c r="DB564" s="27" t="s">
        <v>7</v>
      </c>
      <c r="DC564" s="27" t="s">
        <v>8</v>
      </c>
      <c r="DE564" s="27" t="s">
        <v>8</v>
      </c>
      <c r="DF564" s="27" t="s">
        <v>7</v>
      </c>
      <c r="DG564" s="27" t="s">
        <v>8</v>
      </c>
      <c r="DH564" s="27" t="s">
        <v>7</v>
      </c>
      <c r="DI564" s="27" t="s">
        <v>8</v>
      </c>
      <c r="DR564" s="27" t="s">
        <v>7</v>
      </c>
      <c r="DS564" s="27" t="s">
        <v>8</v>
      </c>
      <c r="DT564" s="27" t="s">
        <v>7</v>
      </c>
      <c r="DU564" s="27" t="s">
        <v>8</v>
      </c>
      <c r="DV564" s="27" t="s">
        <v>7</v>
      </c>
      <c r="DW564" s="27" t="s">
        <v>8</v>
      </c>
      <c r="EB564" s="27" t="s">
        <v>7</v>
      </c>
      <c r="EC564" s="27" t="s">
        <v>8</v>
      </c>
      <c r="ED564" s="27" t="s">
        <v>7</v>
      </c>
      <c r="EE564" s="27" t="s">
        <v>8</v>
      </c>
      <c r="EF564" s="27" t="s">
        <v>7</v>
      </c>
      <c r="GK564" s="27" t="s">
        <v>8</v>
      </c>
      <c r="GL564" s="27" t="s">
        <v>7</v>
      </c>
      <c r="GQ564" s="27" t="s">
        <v>8</v>
      </c>
      <c r="GR564" s="27" t="s">
        <v>7</v>
      </c>
    </row>
    <row r="565" spans="1:201" x14ac:dyDescent="0.25">
      <c r="A565" s="7">
        <v>1.5459796707758806</v>
      </c>
      <c r="B565"/>
      <c r="C565"/>
      <c r="D565"/>
      <c r="E565" t="s">
        <v>8</v>
      </c>
      <c r="H565" s="27" t="s">
        <v>7</v>
      </c>
      <c r="I565" s="27" t="s">
        <v>8</v>
      </c>
      <c r="J565" s="27" t="s">
        <v>7</v>
      </c>
      <c r="AG565" s="27" t="s">
        <v>8</v>
      </c>
      <c r="AH565" s="27" t="s">
        <v>7</v>
      </c>
      <c r="BY565" s="27" t="s">
        <v>8</v>
      </c>
      <c r="BZ565" s="27" t="s">
        <v>7</v>
      </c>
      <c r="CA565" s="27" t="s">
        <v>8</v>
      </c>
      <c r="CB565" s="27" t="s">
        <v>7</v>
      </c>
      <c r="CC565" s="27" t="s">
        <v>8</v>
      </c>
      <c r="CD565" s="27" t="s">
        <v>7</v>
      </c>
      <c r="CE565" s="27" t="s">
        <v>8</v>
      </c>
      <c r="CH565" s="27" t="s">
        <v>7</v>
      </c>
      <c r="CW565" s="27" t="s">
        <v>8</v>
      </c>
      <c r="CX565" s="27" t="s">
        <v>7</v>
      </c>
      <c r="CY565" s="27" t="s">
        <v>8</v>
      </c>
      <c r="CZ565" s="27" t="s">
        <v>7</v>
      </c>
      <c r="DA565" s="27" t="s">
        <v>8</v>
      </c>
      <c r="DB565" s="27" t="s">
        <v>7</v>
      </c>
      <c r="DC565" s="27" t="s">
        <v>8</v>
      </c>
      <c r="DD565" s="27" t="s">
        <v>7</v>
      </c>
      <c r="DE565" s="27" t="s">
        <v>8</v>
      </c>
      <c r="DF565" s="27" t="s">
        <v>7</v>
      </c>
      <c r="DG565" s="27" t="s">
        <v>8</v>
      </c>
      <c r="DH565" s="27" t="s">
        <v>7</v>
      </c>
      <c r="DI565" s="27" t="s">
        <v>8</v>
      </c>
      <c r="DR565" s="27" t="s">
        <v>7</v>
      </c>
      <c r="DS565" s="27" t="s">
        <v>8</v>
      </c>
      <c r="DT565" s="27" t="s">
        <v>7</v>
      </c>
      <c r="DU565" s="27" t="s">
        <v>8</v>
      </c>
      <c r="DV565" s="27" t="s">
        <v>7</v>
      </c>
      <c r="EB565" s="27" t="s">
        <v>7</v>
      </c>
      <c r="ED565" s="27" t="s">
        <v>7</v>
      </c>
      <c r="EE565" s="27" t="s">
        <v>8</v>
      </c>
      <c r="EF565" s="27" t="s">
        <v>7</v>
      </c>
      <c r="GK565" s="27" t="s">
        <v>8</v>
      </c>
      <c r="GL565" s="27" t="s">
        <v>7</v>
      </c>
      <c r="GQ565" s="27" t="s">
        <v>8</v>
      </c>
      <c r="GR565" s="27" t="s">
        <v>7</v>
      </c>
    </row>
    <row r="566" spans="1:201" x14ac:dyDescent="0.25">
      <c r="A566" s="7">
        <v>1.5156663438979221</v>
      </c>
      <c r="B566"/>
      <c r="C566"/>
      <c r="D566"/>
      <c r="E566" t="s">
        <v>8</v>
      </c>
      <c r="H566" s="27" t="s">
        <v>7</v>
      </c>
      <c r="I566" s="27" t="s">
        <v>8</v>
      </c>
      <c r="J566" s="27" t="s">
        <v>7</v>
      </c>
      <c r="AG566" s="27" t="s">
        <v>8</v>
      </c>
      <c r="AH566" s="27" t="s">
        <v>7</v>
      </c>
      <c r="BY566" s="27" t="s">
        <v>8</v>
      </c>
      <c r="BZ566" s="27" t="s">
        <v>7</v>
      </c>
      <c r="CA566" s="27" t="s">
        <v>8</v>
      </c>
      <c r="CB566" s="27" t="s">
        <v>7</v>
      </c>
      <c r="CC566" s="27" t="s">
        <v>8</v>
      </c>
      <c r="CD566" s="27" t="s">
        <v>7</v>
      </c>
      <c r="CE566" s="27" t="s">
        <v>8</v>
      </c>
      <c r="CH566" s="27" t="s">
        <v>7</v>
      </c>
      <c r="CU566" s="27" t="s">
        <v>8</v>
      </c>
      <c r="CW566" s="27" t="s">
        <v>8</v>
      </c>
      <c r="CX566" s="27" t="s">
        <v>7</v>
      </c>
      <c r="CY566" s="27" t="s">
        <v>8</v>
      </c>
      <c r="CZ566" s="27" t="s">
        <v>7</v>
      </c>
      <c r="DA566" s="27" t="s">
        <v>8</v>
      </c>
      <c r="DB566" s="27" t="s">
        <v>7</v>
      </c>
      <c r="DC566" s="27" t="s">
        <v>8</v>
      </c>
      <c r="DD566" s="27" t="s">
        <v>7</v>
      </c>
      <c r="DE566" s="27" t="s">
        <v>8</v>
      </c>
      <c r="DF566" s="27" t="s">
        <v>7</v>
      </c>
      <c r="DG566" s="27" t="s">
        <v>8</v>
      </c>
      <c r="DH566" s="27" t="s">
        <v>7</v>
      </c>
      <c r="DI566" s="27" t="s">
        <v>8</v>
      </c>
      <c r="DR566" s="27" t="s">
        <v>7</v>
      </c>
      <c r="DT566" s="27" t="s">
        <v>7</v>
      </c>
      <c r="DU566" s="27" t="s">
        <v>8</v>
      </c>
      <c r="ED566" s="27" t="s">
        <v>7</v>
      </c>
      <c r="EE566" s="27" t="s">
        <v>8</v>
      </c>
      <c r="EF566" s="27" t="s">
        <v>7</v>
      </c>
      <c r="GK566" s="27" t="s">
        <v>8</v>
      </c>
      <c r="GL566" s="27" t="s">
        <v>7</v>
      </c>
      <c r="GQ566" s="27" t="s">
        <v>8</v>
      </c>
      <c r="GR566" s="27" t="s">
        <v>7</v>
      </c>
    </row>
    <row r="567" spans="1:201" x14ac:dyDescent="0.25">
      <c r="A567" s="7">
        <v>1.4859473959783549</v>
      </c>
      <c r="B567"/>
      <c r="C567"/>
      <c r="D567"/>
      <c r="E567" t="s">
        <v>8</v>
      </c>
      <c r="H567" s="27" t="s">
        <v>7</v>
      </c>
      <c r="I567" s="27" t="s">
        <v>8</v>
      </c>
      <c r="J567" s="27" t="s">
        <v>7</v>
      </c>
      <c r="AG567" s="27" t="s">
        <v>8</v>
      </c>
      <c r="AH567" s="27" t="s">
        <v>7</v>
      </c>
      <c r="BY567" s="27" t="s">
        <v>8</v>
      </c>
      <c r="BZ567" s="27" t="s">
        <v>7</v>
      </c>
      <c r="CA567" s="27" t="s">
        <v>8</v>
      </c>
      <c r="CB567" s="27" t="s">
        <v>7</v>
      </c>
      <c r="CC567" s="27" t="s">
        <v>8</v>
      </c>
      <c r="CD567" s="27" t="s">
        <v>7</v>
      </c>
      <c r="CE567" s="27" t="s">
        <v>8</v>
      </c>
      <c r="CH567" s="27" t="s">
        <v>7</v>
      </c>
      <c r="CI567" s="27" t="s">
        <v>8</v>
      </c>
      <c r="CU567" s="27" t="s">
        <v>8</v>
      </c>
      <c r="CV567" s="27" t="s">
        <v>7</v>
      </c>
      <c r="CW567" s="27" t="s">
        <v>8</v>
      </c>
      <c r="CX567" s="27" t="s">
        <v>7</v>
      </c>
      <c r="CY567" s="27" t="s">
        <v>8</v>
      </c>
      <c r="CZ567" s="27" t="s">
        <v>7</v>
      </c>
      <c r="DA567" s="27" t="s">
        <v>8</v>
      </c>
      <c r="DB567" s="27" t="s">
        <v>7</v>
      </c>
      <c r="DC567" s="27" t="s">
        <v>8</v>
      </c>
      <c r="DD567" s="27" t="s">
        <v>7</v>
      </c>
      <c r="DF567" s="27" t="s">
        <v>7</v>
      </c>
      <c r="DH567" s="27" t="s">
        <v>7</v>
      </c>
      <c r="DI567" s="27" t="s">
        <v>8</v>
      </c>
      <c r="DT567" s="27" t="s">
        <v>7</v>
      </c>
      <c r="DU567" s="27" t="s">
        <v>8</v>
      </c>
      <c r="ED567" s="27" t="s">
        <v>7</v>
      </c>
      <c r="EF567" s="27" t="s">
        <v>7</v>
      </c>
      <c r="GK567" s="27" t="s">
        <v>8</v>
      </c>
      <c r="GL567" s="27" t="s">
        <v>7</v>
      </c>
      <c r="GQ567" s="27" t="s">
        <v>8</v>
      </c>
      <c r="GR567" s="27" t="s">
        <v>7</v>
      </c>
    </row>
    <row r="568" spans="1:201" x14ac:dyDescent="0.25">
      <c r="A568" s="7">
        <v>1.4568111725277988</v>
      </c>
      <c r="B568"/>
      <c r="C568"/>
      <c r="D568"/>
      <c r="E568" t="s">
        <v>8</v>
      </c>
      <c r="H568" s="27" t="s">
        <v>7</v>
      </c>
      <c r="I568" s="27" t="s">
        <v>8</v>
      </c>
      <c r="J568" s="27" t="s">
        <v>7</v>
      </c>
      <c r="AG568" s="27" t="s">
        <v>8</v>
      </c>
      <c r="AH568" s="27" t="s">
        <v>7</v>
      </c>
      <c r="BY568" s="27" t="s">
        <v>8</v>
      </c>
      <c r="BZ568" s="27" t="s">
        <v>7</v>
      </c>
      <c r="CA568" s="27" t="s">
        <v>8</v>
      </c>
      <c r="CB568" s="27" t="s">
        <v>7</v>
      </c>
      <c r="CD568" s="27" t="s">
        <v>7</v>
      </c>
      <c r="CE568" s="27" t="s">
        <v>8</v>
      </c>
      <c r="CH568" s="27" t="s">
        <v>7</v>
      </c>
      <c r="CI568" s="27" t="s">
        <v>8</v>
      </c>
      <c r="CJ568" s="27" t="s">
        <v>7</v>
      </c>
      <c r="CU568" s="27" t="s">
        <v>8</v>
      </c>
      <c r="CV568" s="27" t="s">
        <v>7</v>
      </c>
      <c r="CW568" s="27" t="s">
        <v>8</v>
      </c>
      <c r="CX568" s="27" t="s">
        <v>7</v>
      </c>
      <c r="CY568" s="27" t="s">
        <v>8</v>
      </c>
      <c r="CZ568" s="27" t="s">
        <v>7</v>
      </c>
      <c r="DA568" s="27" t="s">
        <v>8</v>
      </c>
      <c r="DB568" s="27" t="s">
        <v>7</v>
      </c>
      <c r="DC568" s="27" t="s">
        <v>8</v>
      </c>
      <c r="DH568" s="27" t="s">
        <v>7</v>
      </c>
      <c r="DI568" s="27" t="s">
        <v>8</v>
      </c>
      <c r="DT568" s="27" t="s">
        <v>7</v>
      </c>
      <c r="DU568" s="27" t="s">
        <v>8</v>
      </c>
      <c r="EF568" s="27" t="s">
        <v>7</v>
      </c>
      <c r="EG568" s="27" t="s">
        <v>8</v>
      </c>
      <c r="GK568" s="27" t="s">
        <v>8</v>
      </c>
      <c r="GL568" s="27" t="s">
        <v>7</v>
      </c>
      <c r="GQ568" s="27" t="s">
        <v>8</v>
      </c>
      <c r="GR568" s="27" t="s">
        <v>7</v>
      </c>
    </row>
    <row r="569" spans="1:201" x14ac:dyDescent="0.25">
      <c r="A569" s="7">
        <v>1.4282462475762734</v>
      </c>
      <c r="B569"/>
      <c r="C569"/>
      <c r="D569"/>
      <c r="E569" t="s">
        <v>8</v>
      </c>
      <c r="H569" s="27" t="s">
        <v>7</v>
      </c>
      <c r="I569" s="27" t="s">
        <v>8</v>
      </c>
      <c r="J569" s="27" t="s">
        <v>7</v>
      </c>
      <c r="K569" s="27" t="s">
        <v>8</v>
      </c>
      <c r="AG569" s="27" t="s">
        <v>8</v>
      </c>
      <c r="AH569" s="27" t="s">
        <v>7</v>
      </c>
      <c r="BY569" s="27" t="s">
        <v>8</v>
      </c>
      <c r="BZ569" s="27" t="s">
        <v>7</v>
      </c>
      <c r="CA569" s="27" t="s">
        <v>8</v>
      </c>
      <c r="CD569" s="27" t="s">
        <v>7</v>
      </c>
      <c r="CH569" s="27" t="s">
        <v>7</v>
      </c>
      <c r="CI569" s="27" t="s">
        <v>8</v>
      </c>
      <c r="CJ569" s="27" t="s">
        <v>7</v>
      </c>
      <c r="CU569" s="27" t="s">
        <v>8</v>
      </c>
      <c r="CV569" s="27" t="s">
        <v>7</v>
      </c>
      <c r="CW569" s="27" t="s">
        <v>8</v>
      </c>
      <c r="CX569" s="27" t="s">
        <v>7</v>
      </c>
      <c r="CY569" s="27" t="s">
        <v>8</v>
      </c>
      <c r="CZ569" s="27" t="s">
        <v>7</v>
      </c>
      <c r="DA569" s="27" t="s">
        <v>8</v>
      </c>
      <c r="DB569" s="27" t="s">
        <v>7</v>
      </c>
      <c r="DC569" s="27" t="s">
        <v>8</v>
      </c>
      <c r="DH569" s="27" t="s">
        <v>7</v>
      </c>
      <c r="DT569" s="27" t="s">
        <v>7</v>
      </c>
      <c r="DU569" s="27" t="s">
        <v>8</v>
      </c>
      <c r="EF569" s="27" t="s">
        <v>7</v>
      </c>
      <c r="EG569" s="27" t="s">
        <v>8</v>
      </c>
      <c r="EH569" s="27" t="s">
        <v>7</v>
      </c>
      <c r="GK569" s="27" t="s">
        <v>8</v>
      </c>
      <c r="GL569" s="27" t="s">
        <v>7</v>
      </c>
      <c r="GQ569" s="27" t="s">
        <v>8</v>
      </c>
      <c r="GR569" s="27" t="s">
        <v>7</v>
      </c>
    </row>
    <row r="570" spans="1:201" x14ac:dyDescent="0.25">
      <c r="A570" s="7">
        <v>1.4002414191924248</v>
      </c>
      <c r="B570"/>
      <c r="C570"/>
      <c r="D570"/>
      <c r="E570" t="s">
        <v>8</v>
      </c>
      <c r="H570" s="27" t="s">
        <v>7</v>
      </c>
      <c r="I570" s="27" t="s">
        <v>8</v>
      </c>
      <c r="J570" s="27" t="s">
        <v>7</v>
      </c>
      <c r="K570" s="27" t="s">
        <v>8</v>
      </c>
      <c r="L570" s="27" t="s">
        <v>7</v>
      </c>
      <c r="AG570" s="27" t="s">
        <v>8</v>
      </c>
      <c r="AH570" s="27" t="s">
        <v>7</v>
      </c>
      <c r="BY570" s="27" t="s">
        <v>8</v>
      </c>
      <c r="BZ570" s="27" t="s">
        <v>7</v>
      </c>
      <c r="CA570" s="27" t="s">
        <v>8</v>
      </c>
      <c r="CH570" s="27" t="s">
        <v>7</v>
      </c>
      <c r="CI570" s="27" t="s">
        <v>8</v>
      </c>
      <c r="CJ570" s="27" t="s">
        <v>7</v>
      </c>
      <c r="CU570" s="27" t="s">
        <v>8</v>
      </c>
      <c r="CV570" s="27" t="s">
        <v>7</v>
      </c>
      <c r="CW570" s="27" t="s">
        <v>8</v>
      </c>
      <c r="CX570" s="27" t="s">
        <v>7</v>
      </c>
      <c r="CY570" s="27" t="s">
        <v>8</v>
      </c>
      <c r="CZ570" s="27" t="s">
        <v>7</v>
      </c>
      <c r="DA570" s="27" t="s">
        <v>8</v>
      </c>
      <c r="DB570" s="27" t="s">
        <v>7</v>
      </c>
      <c r="DT570" s="27" t="s">
        <v>7</v>
      </c>
      <c r="DU570" s="27" t="s">
        <v>8</v>
      </c>
      <c r="EF570" s="27" t="s">
        <v>7</v>
      </c>
      <c r="EG570" s="27" t="s">
        <v>8</v>
      </c>
      <c r="EH570" s="27" t="s">
        <v>7</v>
      </c>
      <c r="GK570" s="27" t="s">
        <v>8</v>
      </c>
      <c r="GL570" s="27" t="s">
        <v>7</v>
      </c>
      <c r="GQ570" s="27" t="s">
        <v>8</v>
      </c>
      <c r="GR570" s="27" t="s">
        <v>7</v>
      </c>
    </row>
    <row r="571" spans="1:201" x14ac:dyDescent="0.25">
      <c r="A571" s="7">
        <v>1.3727857050906125</v>
      </c>
      <c r="B571"/>
      <c r="C571"/>
      <c r="D571"/>
      <c r="E571" t="s">
        <v>8</v>
      </c>
      <c r="H571" s="27" t="s">
        <v>7</v>
      </c>
      <c r="I571" s="27" t="s">
        <v>8</v>
      </c>
      <c r="J571" s="27" t="s">
        <v>7</v>
      </c>
      <c r="K571" s="27" t="s">
        <v>8</v>
      </c>
      <c r="L571" s="27" t="s">
        <v>7</v>
      </c>
      <c r="AG571" s="27" t="s">
        <v>8</v>
      </c>
      <c r="AH571" s="27" t="s">
        <v>7</v>
      </c>
      <c r="BY571" s="27" t="s">
        <v>8</v>
      </c>
      <c r="BZ571" s="27" t="s">
        <v>7</v>
      </c>
      <c r="CA571" s="27" t="s">
        <v>8</v>
      </c>
      <c r="CH571" s="27" t="s">
        <v>7</v>
      </c>
      <c r="CI571" s="27" t="s">
        <v>8</v>
      </c>
      <c r="CJ571" s="27" t="s">
        <v>7</v>
      </c>
      <c r="CU571" s="27" t="s">
        <v>8</v>
      </c>
      <c r="CV571" s="27" t="s">
        <v>7</v>
      </c>
      <c r="CW571" s="27" t="s">
        <v>8</v>
      </c>
      <c r="CX571" s="27" t="s">
        <v>7</v>
      </c>
      <c r="CY571" s="27" t="s">
        <v>8</v>
      </c>
      <c r="CZ571" s="27" t="s">
        <v>7</v>
      </c>
      <c r="DA571" s="27" t="s">
        <v>8</v>
      </c>
      <c r="DT571" s="27" t="s">
        <v>7</v>
      </c>
      <c r="DU571" s="27" t="s">
        <v>8</v>
      </c>
      <c r="EF571" s="27" t="s">
        <v>7</v>
      </c>
      <c r="EG571" s="27" t="s">
        <v>8</v>
      </c>
      <c r="EH571" s="27" t="s">
        <v>7</v>
      </c>
      <c r="GK571" s="27" t="s">
        <v>8</v>
      </c>
      <c r="GL571" s="27" t="s">
        <v>7</v>
      </c>
      <c r="GQ571" s="27" t="s">
        <v>8</v>
      </c>
      <c r="GR571" s="27" t="s">
        <v>7</v>
      </c>
    </row>
    <row r="572" spans="1:201" x14ac:dyDescent="0.25">
      <c r="A572" s="7">
        <v>1.3458683383241299</v>
      </c>
      <c r="B572"/>
      <c r="C572"/>
      <c r="D572"/>
      <c r="E572" t="s">
        <v>8</v>
      </c>
      <c r="H572" s="27" t="s">
        <v>7</v>
      </c>
      <c r="I572" s="27" t="s">
        <v>8</v>
      </c>
      <c r="J572" s="27" t="s">
        <v>7</v>
      </c>
      <c r="K572" s="27" t="s">
        <v>8</v>
      </c>
      <c r="L572" s="27" t="s">
        <v>7</v>
      </c>
      <c r="AG572" s="27" t="s">
        <v>8</v>
      </c>
      <c r="AH572" s="27" t="s">
        <v>7</v>
      </c>
      <c r="BY572" s="27" t="s">
        <v>8</v>
      </c>
      <c r="BZ572" s="27" t="s">
        <v>7</v>
      </c>
      <c r="CA572" s="27" t="s">
        <v>8</v>
      </c>
      <c r="CH572" s="27" t="s">
        <v>7</v>
      </c>
      <c r="CI572" s="27" t="s">
        <v>8</v>
      </c>
      <c r="CJ572" s="27" t="s">
        <v>7</v>
      </c>
      <c r="CU572" s="27" t="s">
        <v>8</v>
      </c>
      <c r="CV572" s="27" t="s">
        <v>7</v>
      </c>
      <c r="CW572" s="27" t="s">
        <v>8</v>
      </c>
      <c r="CX572" s="27" t="s">
        <v>7</v>
      </c>
      <c r="CZ572" s="27" t="s">
        <v>7</v>
      </c>
      <c r="DA572" s="27" t="s">
        <v>8</v>
      </c>
      <c r="DT572" s="27" t="s">
        <v>7</v>
      </c>
      <c r="DU572" s="27" t="s">
        <v>8</v>
      </c>
      <c r="EF572" s="27" t="s">
        <v>7</v>
      </c>
      <c r="EG572" s="27" t="s">
        <v>8</v>
      </c>
      <c r="EH572" s="27" t="s">
        <v>7</v>
      </c>
      <c r="EK572" s="27" t="s">
        <v>8</v>
      </c>
      <c r="GK572" s="27" t="s">
        <v>8</v>
      </c>
      <c r="GL572" s="27" t="s">
        <v>7</v>
      </c>
      <c r="GQ572" s="27" t="s">
        <v>8</v>
      </c>
      <c r="GR572" s="27" t="s">
        <v>7</v>
      </c>
    </row>
    <row r="573" spans="1:201" x14ac:dyDescent="0.25">
      <c r="A573" s="7">
        <v>1.3194787630628724</v>
      </c>
      <c r="B573"/>
      <c r="C573"/>
      <c r="D573"/>
      <c r="E573" t="s">
        <v>8</v>
      </c>
      <c r="H573" s="27" t="s">
        <v>7</v>
      </c>
      <c r="I573" s="27" t="s">
        <v>8</v>
      </c>
      <c r="J573" s="27" t="s">
        <v>7</v>
      </c>
      <c r="K573" s="27" t="s">
        <v>8</v>
      </c>
      <c r="L573" s="27" t="s">
        <v>7</v>
      </c>
      <c r="AG573" s="27" t="s">
        <v>8</v>
      </c>
      <c r="AH573" s="27" t="s">
        <v>7</v>
      </c>
      <c r="BY573" s="27" t="s">
        <v>8</v>
      </c>
      <c r="BZ573" s="27" t="s">
        <v>7</v>
      </c>
      <c r="CA573" s="27" t="s">
        <v>8</v>
      </c>
      <c r="CH573" s="27" t="s">
        <v>7</v>
      </c>
      <c r="CI573" s="27" t="s">
        <v>8</v>
      </c>
      <c r="CJ573" s="27" t="s">
        <v>7</v>
      </c>
      <c r="CU573" s="27" t="s">
        <v>8</v>
      </c>
      <c r="CV573" s="27" t="s">
        <v>7</v>
      </c>
      <c r="CW573" s="27" t="s">
        <v>8</v>
      </c>
      <c r="CZ573" s="27" t="s">
        <v>7</v>
      </c>
      <c r="DA573" s="27" t="s">
        <v>8</v>
      </c>
      <c r="DT573" s="27" t="s">
        <v>7</v>
      </c>
      <c r="DU573" s="27" t="s">
        <v>8</v>
      </c>
      <c r="EF573" s="27" t="s">
        <v>7</v>
      </c>
      <c r="EG573" s="27" t="s">
        <v>8</v>
      </c>
      <c r="EH573" s="27" t="s">
        <v>7</v>
      </c>
      <c r="EK573" s="27" t="s">
        <v>8</v>
      </c>
      <c r="EL573" s="27" t="s">
        <v>7</v>
      </c>
      <c r="GK573" s="27" t="s">
        <v>8</v>
      </c>
      <c r="GL573" s="27" t="s">
        <v>7</v>
      </c>
      <c r="GQ573" s="27" t="s">
        <v>8</v>
      </c>
      <c r="GR573" s="27" t="s">
        <v>7</v>
      </c>
    </row>
    <row r="574" spans="1:201" x14ac:dyDescent="0.25">
      <c r="A574" s="7">
        <v>1.2936066304537963</v>
      </c>
      <c r="B574"/>
      <c r="C574"/>
      <c r="D574"/>
      <c r="E574" t="s">
        <v>8</v>
      </c>
      <c r="H574" s="27" t="s">
        <v>7</v>
      </c>
      <c r="I574" s="27" t="s">
        <v>8</v>
      </c>
      <c r="J574" s="27" t="s">
        <v>7</v>
      </c>
      <c r="K574" s="27" t="s">
        <v>8</v>
      </c>
      <c r="L574" s="27" t="s">
        <v>7</v>
      </c>
      <c r="AG574" s="27" t="s">
        <v>8</v>
      </c>
      <c r="AH574" s="27" t="s">
        <v>7</v>
      </c>
      <c r="AI574" s="27" t="s">
        <v>8</v>
      </c>
      <c r="BY574" s="27" t="s">
        <v>8</v>
      </c>
      <c r="BZ574" s="27" t="s">
        <v>7</v>
      </c>
      <c r="CA574" s="27" t="s">
        <v>8</v>
      </c>
      <c r="CH574" s="27" t="s">
        <v>7</v>
      </c>
      <c r="CI574" s="27" t="s">
        <v>8</v>
      </c>
      <c r="CJ574" s="27" t="s">
        <v>7</v>
      </c>
      <c r="CM574" s="27" t="s">
        <v>8</v>
      </c>
      <c r="CU574" s="27" t="s">
        <v>8</v>
      </c>
      <c r="CV574" s="27" t="s">
        <v>7</v>
      </c>
      <c r="CW574" s="27" t="s">
        <v>8</v>
      </c>
      <c r="CZ574" s="27" t="s">
        <v>7</v>
      </c>
      <c r="DA574" s="27" t="s">
        <v>8</v>
      </c>
      <c r="DT574" s="27" t="s">
        <v>7</v>
      </c>
      <c r="DU574" s="27" t="s">
        <v>8</v>
      </c>
      <c r="EF574" s="27" t="s">
        <v>7</v>
      </c>
      <c r="EG574" s="27" t="s">
        <v>8</v>
      </c>
      <c r="EH574" s="27" t="s">
        <v>7</v>
      </c>
      <c r="EK574" s="27" t="s">
        <v>8</v>
      </c>
      <c r="EL574" s="27" t="s">
        <v>7</v>
      </c>
      <c r="GK574" s="27" t="s">
        <v>8</v>
      </c>
      <c r="GL574" s="27" t="s">
        <v>7</v>
      </c>
      <c r="GQ574" s="27" t="s">
        <v>8</v>
      </c>
      <c r="GR574" s="27" t="s">
        <v>7</v>
      </c>
    </row>
    <row r="575" spans="1:201" x14ac:dyDescent="0.25">
      <c r="A575" s="7">
        <v>1.2682417945625455</v>
      </c>
      <c r="B575"/>
      <c r="C575"/>
      <c r="D575"/>
      <c r="E575" t="s">
        <v>8</v>
      </c>
      <c r="H575" s="27" t="s">
        <v>7</v>
      </c>
      <c r="I575" s="27" t="s">
        <v>8</v>
      </c>
      <c r="J575" s="27" t="s">
        <v>7</v>
      </c>
      <c r="K575" s="27" t="s">
        <v>8</v>
      </c>
      <c r="L575" s="27" t="s">
        <v>7</v>
      </c>
      <c r="AG575" s="27" t="s">
        <v>8</v>
      </c>
      <c r="AH575" s="27" t="s">
        <v>7</v>
      </c>
      <c r="AI575" s="27" t="s">
        <v>8</v>
      </c>
      <c r="AJ575" s="27" t="s">
        <v>7</v>
      </c>
      <c r="BY575" s="27" t="s">
        <v>8</v>
      </c>
      <c r="BZ575" s="27" t="s">
        <v>7</v>
      </c>
      <c r="CA575" s="27" t="s">
        <v>8</v>
      </c>
      <c r="CH575" s="27" t="s">
        <v>7</v>
      </c>
      <c r="CI575" s="27" t="s">
        <v>8</v>
      </c>
      <c r="CJ575" s="27" t="s">
        <v>7</v>
      </c>
      <c r="CK575" s="27" t="s">
        <v>8</v>
      </c>
      <c r="CM575" s="27" t="s">
        <v>8</v>
      </c>
      <c r="CN575" s="27" t="s">
        <v>7</v>
      </c>
      <c r="CU575" s="27" t="s">
        <v>8</v>
      </c>
      <c r="CV575" s="27" t="s">
        <v>7</v>
      </c>
      <c r="CW575" s="27" t="s">
        <v>8</v>
      </c>
      <c r="CZ575" s="27" t="s">
        <v>7</v>
      </c>
      <c r="DA575" s="27" t="s">
        <v>8</v>
      </c>
      <c r="DT575" s="27" t="s">
        <v>7</v>
      </c>
      <c r="DU575" s="27" t="s">
        <v>8</v>
      </c>
      <c r="EF575" s="27" t="s">
        <v>7</v>
      </c>
      <c r="EG575" s="27" t="s">
        <v>8</v>
      </c>
      <c r="EH575" s="27" t="s">
        <v>7</v>
      </c>
      <c r="EK575" s="27" t="s">
        <v>8</v>
      </c>
      <c r="EL575" s="27" t="s">
        <v>7</v>
      </c>
      <c r="GK575" s="27" t="s">
        <v>8</v>
      </c>
      <c r="GL575" s="27" t="s">
        <v>7</v>
      </c>
      <c r="GQ575" s="27" t="s">
        <v>8</v>
      </c>
      <c r="GR575" s="27" t="s">
        <v>7</v>
      </c>
    </row>
    <row r="576" spans="1:201" x14ac:dyDescent="0.25">
      <c r="A576" s="7">
        <v>1.2433743083946525</v>
      </c>
      <c r="B576"/>
      <c r="C576"/>
      <c r="D576"/>
      <c r="E576" t="s">
        <v>8</v>
      </c>
      <c r="H576" s="27" t="s">
        <v>7</v>
      </c>
      <c r="I576" s="27" t="s">
        <v>8</v>
      </c>
      <c r="J576" s="27" t="s">
        <v>7</v>
      </c>
      <c r="K576" s="27" t="s">
        <v>8</v>
      </c>
      <c r="L576" s="27" t="s">
        <v>7</v>
      </c>
      <c r="AG576" s="27" t="s">
        <v>8</v>
      </c>
      <c r="AH576" s="27" t="s">
        <v>7</v>
      </c>
      <c r="AI576" s="27" t="s">
        <v>8</v>
      </c>
      <c r="AJ576" s="27" t="s">
        <v>7</v>
      </c>
      <c r="BY576" s="27" t="s">
        <v>8</v>
      </c>
      <c r="BZ576" s="27" t="s">
        <v>7</v>
      </c>
      <c r="CA576" s="27" t="s">
        <v>8</v>
      </c>
      <c r="CH576" s="27" t="s">
        <v>7</v>
      </c>
      <c r="CI576" s="27" t="s">
        <v>8</v>
      </c>
      <c r="CJ576" s="27" t="s">
        <v>7</v>
      </c>
      <c r="CK576" s="27" t="s">
        <v>8</v>
      </c>
      <c r="CL576" s="27" t="s">
        <v>7</v>
      </c>
      <c r="CM576" s="27" t="s">
        <v>8</v>
      </c>
      <c r="CN576" s="27" t="s">
        <v>7</v>
      </c>
      <c r="CU576" s="27" t="s">
        <v>8</v>
      </c>
      <c r="CV576" s="27" t="s">
        <v>7</v>
      </c>
      <c r="CW576" s="27" t="s">
        <v>8</v>
      </c>
      <c r="CZ576" s="27" t="s">
        <v>7</v>
      </c>
      <c r="DA576" s="27" t="s">
        <v>8</v>
      </c>
      <c r="DT576" s="27" t="s">
        <v>7</v>
      </c>
      <c r="DU576" s="27" t="s">
        <v>8</v>
      </c>
      <c r="EF576" s="27" t="s">
        <v>7</v>
      </c>
      <c r="EG576" s="27" t="s">
        <v>8</v>
      </c>
      <c r="EH576" s="27" t="s">
        <v>7</v>
      </c>
      <c r="EK576" s="27" t="s">
        <v>8</v>
      </c>
      <c r="EL576" s="27" t="s">
        <v>7</v>
      </c>
      <c r="EM576" s="27" t="s">
        <v>8</v>
      </c>
      <c r="GK576" s="27" t="s">
        <v>8</v>
      </c>
      <c r="GL576" s="27" t="s">
        <v>7</v>
      </c>
      <c r="GM576" s="27" t="s">
        <v>8</v>
      </c>
      <c r="GQ576" s="27" t="s">
        <v>8</v>
      </c>
      <c r="GR576" s="27" t="s">
        <v>7</v>
      </c>
      <c r="GS576" s="27" t="s">
        <v>8</v>
      </c>
    </row>
    <row r="577" spans="1:202" x14ac:dyDescent="0.25">
      <c r="A577" s="7">
        <v>1.2189944199947573</v>
      </c>
      <c r="B577"/>
      <c r="C577"/>
      <c r="D577"/>
      <c r="E577" t="s">
        <v>8</v>
      </c>
      <c r="H577" s="27" t="s">
        <v>7</v>
      </c>
      <c r="I577" s="27" t="s">
        <v>8</v>
      </c>
      <c r="J577" s="27" t="s">
        <v>7</v>
      </c>
      <c r="K577" s="27" t="s">
        <v>8</v>
      </c>
      <c r="L577" s="27" t="s">
        <v>7</v>
      </c>
      <c r="AG577" s="27" t="s">
        <v>8</v>
      </c>
      <c r="AH577" s="27" t="s">
        <v>7</v>
      </c>
      <c r="AI577" s="27" t="s">
        <v>8</v>
      </c>
      <c r="AJ577" s="27" t="s">
        <v>7</v>
      </c>
      <c r="BY577" s="27" t="s">
        <v>8</v>
      </c>
      <c r="BZ577" s="27" t="s">
        <v>7</v>
      </c>
      <c r="CA577" s="27" t="s">
        <v>8</v>
      </c>
      <c r="CH577" s="27" t="s">
        <v>7</v>
      </c>
      <c r="CI577" s="27" t="s">
        <v>8</v>
      </c>
      <c r="CJ577" s="27" t="s">
        <v>7</v>
      </c>
      <c r="CK577" s="27" t="s">
        <v>8</v>
      </c>
      <c r="CL577" s="27" t="s">
        <v>7</v>
      </c>
      <c r="CM577" s="27" t="s">
        <v>8</v>
      </c>
      <c r="CN577" s="27" t="s">
        <v>7</v>
      </c>
      <c r="CO577" s="27" t="s">
        <v>8</v>
      </c>
      <c r="CQ577" s="27" t="s">
        <v>8</v>
      </c>
      <c r="CS577" s="27" t="s">
        <v>8</v>
      </c>
      <c r="CU577" s="27" t="s">
        <v>8</v>
      </c>
      <c r="CV577" s="27" t="s">
        <v>7</v>
      </c>
      <c r="CW577" s="27" t="s">
        <v>8</v>
      </c>
      <c r="CZ577" s="27" t="s">
        <v>7</v>
      </c>
      <c r="DA577" s="27" t="s">
        <v>8</v>
      </c>
      <c r="DT577" s="27" t="s">
        <v>7</v>
      </c>
      <c r="DU577" s="27" t="s">
        <v>8</v>
      </c>
      <c r="EF577" s="27" t="s">
        <v>7</v>
      </c>
      <c r="EG577" s="27" t="s">
        <v>8</v>
      </c>
      <c r="EH577" s="27" t="s">
        <v>7</v>
      </c>
      <c r="EK577" s="27" t="s">
        <v>8</v>
      </c>
      <c r="EL577" s="27" t="s">
        <v>7</v>
      </c>
      <c r="EM577" s="27" t="s">
        <v>8</v>
      </c>
      <c r="EN577" s="27" t="s">
        <v>7</v>
      </c>
      <c r="GK577" s="27" t="s">
        <v>8</v>
      </c>
      <c r="GL577" s="27" t="s">
        <v>7</v>
      </c>
      <c r="GM577" s="27" t="s">
        <v>8</v>
      </c>
      <c r="GN577" s="27" t="s">
        <v>7</v>
      </c>
      <c r="GO577" s="27" t="s">
        <v>8</v>
      </c>
      <c r="GQ577" s="27" t="s">
        <v>8</v>
      </c>
      <c r="GR577" s="27" t="s">
        <v>7</v>
      </c>
      <c r="GS577" s="27" t="s">
        <v>8</v>
      </c>
      <c r="GT577" s="27" t="s">
        <v>7</v>
      </c>
    </row>
    <row r="578" spans="1:202" x14ac:dyDescent="0.25">
      <c r="A578" s="7">
        <v>1.1950925686223111</v>
      </c>
      <c r="B578"/>
      <c r="C578"/>
      <c r="D578"/>
      <c r="E578" t="s">
        <v>8</v>
      </c>
      <c r="H578" s="27" t="s">
        <v>7</v>
      </c>
      <c r="I578" s="27" t="s">
        <v>8</v>
      </c>
      <c r="J578" s="27" t="s">
        <v>7</v>
      </c>
      <c r="L578" s="27" t="s">
        <v>7</v>
      </c>
      <c r="AG578" s="27" t="s">
        <v>8</v>
      </c>
      <c r="AH578" s="27" t="s">
        <v>7</v>
      </c>
      <c r="AI578" s="27" t="s">
        <v>8</v>
      </c>
      <c r="AJ578" s="27" t="s">
        <v>7</v>
      </c>
      <c r="BY578" s="27" t="s">
        <v>8</v>
      </c>
      <c r="BZ578" s="27" t="s">
        <v>7</v>
      </c>
      <c r="CA578" s="27" t="s">
        <v>8</v>
      </c>
      <c r="CH578" s="27" t="s">
        <v>7</v>
      </c>
      <c r="CI578" s="27" t="s">
        <v>8</v>
      </c>
      <c r="CJ578" s="27" t="s">
        <v>7</v>
      </c>
      <c r="CK578" s="27" t="s">
        <v>8</v>
      </c>
      <c r="CL578" s="27" t="s">
        <v>7</v>
      </c>
      <c r="CM578" s="27" t="s">
        <v>8</v>
      </c>
      <c r="CN578" s="27" t="s">
        <v>7</v>
      </c>
      <c r="CO578" s="27" t="s">
        <v>8</v>
      </c>
      <c r="CP578" s="27" t="s">
        <v>7</v>
      </c>
      <c r="CQ578" s="27" t="s">
        <v>8</v>
      </c>
      <c r="CR578" s="27" t="s">
        <v>7</v>
      </c>
      <c r="CS578" s="27" t="s">
        <v>8</v>
      </c>
      <c r="CT578" s="27" t="s">
        <v>7</v>
      </c>
      <c r="CU578" s="27" t="s">
        <v>8</v>
      </c>
      <c r="CV578" s="27" t="s">
        <v>7</v>
      </c>
      <c r="CW578" s="27" t="s">
        <v>8</v>
      </c>
      <c r="CZ578" s="27" t="s">
        <v>7</v>
      </c>
      <c r="DA578" s="27" t="s">
        <v>8</v>
      </c>
      <c r="DT578" s="27" t="s">
        <v>7</v>
      </c>
      <c r="DU578" s="27" t="s">
        <v>8</v>
      </c>
      <c r="EF578" s="27" t="s">
        <v>7</v>
      </c>
      <c r="EG578" s="27" t="s">
        <v>8</v>
      </c>
      <c r="EH578" s="27" t="s">
        <v>7</v>
      </c>
      <c r="EK578" s="27" t="s">
        <v>8</v>
      </c>
      <c r="EL578" s="27" t="s">
        <v>7</v>
      </c>
      <c r="EM578" s="27" t="s">
        <v>8</v>
      </c>
      <c r="EN578" s="27" t="s">
        <v>7</v>
      </c>
      <c r="GK578" s="27" t="s">
        <v>8</v>
      </c>
      <c r="GL578" s="27" t="s">
        <v>7</v>
      </c>
      <c r="GM578" s="27" t="s">
        <v>8</v>
      </c>
      <c r="GN578" s="27" t="s">
        <v>7</v>
      </c>
      <c r="GO578" s="27" t="s">
        <v>8</v>
      </c>
      <c r="GP578" s="27" t="s">
        <v>7</v>
      </c>
      <c r="GQ578" s="27" t="s">
        <v>8</v>
      </c>
      <c r="GR578" s="27" t="s">
        <v>7</v>
      </c>
      <c r="GS578" s="27" t="s">
        <v>8</v>
      </c>
      <c r="GT578" s="27" t="s">
        <v>7</v>
      </c>
    </row>
    <row r="579" spans="1:202" x14ac:dyDescent="0.25">
      <c r="A579" s="7">
        <v>1.1716593810022657</v>
      </c>
      <c r="B579"/>
      <c r="C579"/>
      <c r="D579"/>
      <c r="E579" t="s">
        <v>8</v>
      </c>
      <c r="H579" s="27" t="s">
        <v>7</v>
      </c>
      <c r="I579" s="27" t="s">
        <v>8</v>
      </c>
      <c r="L579" s="27" t="s">
        <v>7</v>
      </c>
      <c r="M579" s="27" t="s">
        <v>8</v>
      </c>
      <c r="AG579" s="27" t="s">
        <v>8</v>
      </c>
      <c r="AH579" s="27" t="s">
        <v>7</v>
      </c>
      <c r="AI579" s="27" t="s">
        <v>8</v>
      </c>
      <c r="AJ579" s="27" t="s">
        <v>7</v>
      </c>
      <c r="BY579" s="27" t="s">
        <v>8</v>
      </c>
      <c r="BZ579" s="27" t="s">
        <v>7</v>
      </c>
      <c r="CH579" s="27" t="s">
        <v>7</v>
      </c>
      <c r="CI579" s="27" t="s">
        <v>8</v>
      </c>
      <c r="CJ579" s="27" t="s">
        <v>7</v>
      </c>
      <c r="CK579" s="27" t="s">
        <v>8</v>
      </c>
      <c r="CL579" s="27" t="s">
        <v>7</v>
      </c>
      <c r="CM579" s="27" t="s">
        <v>8</v>
      </c>
      <c r="CN579" s="27" t="s">
        <v>7</v>
      </c>
      <c r="CO579" s="27" t="s">
        <v>8</v>
      </c>
      <c r="CP579" s="27" t="s">
        <v>7</v>
      </c>
      <c r="CQ579" s="27" t="s">
        <v>8</v>
      </c>
      <c r="CR579" s="27" t="s">
        <v>7</v>
      </c>
      <c r="CS579" s="27" t="s">
        <v>8</v>
      </c>
      <c r="CT579" s="27" t="s">
        <v>7</v>
      </c>
      <c r="CU579" s="27" t="s">
        <v>8</v>
      </c>
      <c r="CV579" s="27" t="s">
        <v>7</v>
      </c>
      <c r="CZ579" s="27" t="s">
        <v>7</v>
      </c>
      <c r="DT579" s="27" t="s">
        <v>7</v>
      </c>
      <c r="EF579" s="27" t="s">
        <v>7</v>
      </c>
      <c r="EG579" s="27" t="s">
        <v>8</v>
      </c>
      <c r="EH579" s="27" t="s">
        <v>7</v>
      </c>
      <c r="EK579" s="27" t="s">
        <v>8</v>
      </c>
      <c r="EL579" s="27" t="s">
        <v>7</v>
      </c>
      <c r="EM579" s="27" t="s">
        <v>8</v>
      </c>
      <c r="EN579" s="27" t="s">
        <v>7</v>
      </c>
      <c r="GK579" s="27" t="s">
        <v>8</v>
      </c>
      <c r="GL579" s="27" t="s">
        <v>7</v>
      </c>
      <c r="GM579" s="27" t="s">
        <v>8</v>
      </c>
      <c r="GN579" s="27" t="s">
        <v>7</v>
      </c>
      <c r="GO579" s="27" t="s">
        <v>8</v>
      </c>
      <c r="GP579" s="27" t="s">
        <v>7</v>
      </c>
      <c r="GQ579" s="27" t="s">
        <v>8</v>
      </c>
      <c r="GR579" s="27" t="s">
        <v>7</v>
      </c>
      <c r="GS579" s="27" t="s">
        <v>8</v>
      </c>
      <c r="GT579" s="27" t="s">
        <v>7</v>
      </c>
    </row>
    <row r="580" spans="1:202" x14ac:dyDescent="0.25">
      <c r="A580" s="7">
        <v>1.14868566764928</v>
      </c>
      <c r="B580"/>
      <c r="C580"/>
      <c r="D580"/>
      <c r="E580" t="s">
        <v>8</v>
      </c>
      <c r="H580" s="27" t="s">
        <v>7</v>
      </c>
      <c r="I580" s="27" t="s">
        <v>8</v>
      </c>
      <c r="L580" s="27" t="s">
        <v>7</v>
      </c>
      <c r="M580" s="27" t="s">
        <v>8</v>
      </c>
      <c r="N580" s="27" t="s">
        <v>7</v>
      </c>
      <c r="AG580" s="27" t="s">
        <v>8</v>
      </c>
      <c r="AH580" s="27" t="s">
        <v>7</v>
      </c>
      <c r="AI580" s="27" t="s">
        <v>8</v>
      </c>
      <c r="AJ580" s="27" t="s">
        <v>7</v>
      </c>
      <c r="BY580" s="27" t="s">
        <v>8</v>
      </c>
      <c r="CH580" s="27" t="s">
        <v>7</v>
      </c>
      <c r="CI580" s="27" t="s">
        <v>8</v>
      </c>
      <c r="CJ580" s="27" t="s">
        <v>7</v>
      </c>
      <c r="CK580" s="27" t="s">
        <v>8</v>
      </c>
      <c r="CL580" s="27" t="s">
        <v>7</v>
      </c>
      <c r="CM580" s="27" t="s">
        <v>8</v>
      </c>
      <c r="CN580" s="27" t="s">
        <v>7</v>
      </c>
      <c r="CO580" s="27" t="s">
        <v>8</v>
      </c>
      <c r="CP580" s="27" t="s">
        <v>7</v>
      </c>
      <c r="CQ580" s="27" t="s">
        <v>8</v>
      </c>
      <c r="CR580" s="27" t="s">
        <v>7</v>
      </c>
      <c r="CS580" s="27" t="s">
        <v>8</v>
      </c>
      <c r="CT580" s="27" t="s">
        <v>7</v>
      </c>
      <c r="CU580" s="27" t="s">
        <v>8</v>
      </c>
      <c r="EF580" s="27" t="s">
        <v>7</v>
      </c>
      <c r="EG580" s="27" t="s">
        <v>8</v>
      </c>
      <c r="EH580" s="27" t="s">
        <v>7</v>
      </c>
      <c r="EK580" s="27" t="s">
        <v>8</v>
      </c>
      <c r="EL580" s="27" t="s">
        <v>7</v>
      </c>
      <c r="EM580" s="27" t="s">
        <v>8</v>
      </c>
      <c r="EN580" s="27" t="s">
        <v>7</v>
      </c>
      <c r="ES580" s="27" t="s">
        <v>8</v>
      </c>
      <c r="GK580" s="27" t="s">
        <v>8</v>
      </c>
      <c r="GL580" s="27" t="s">
        <v>7</v>
      </c>
      <c r="GM580" s="27" t="s">
        <v>8</v>
      </c>
      <c r="GN580" s="27" t="s">
        <v>7</v>
      </c>
      <c r="GO580" s="27" t="s">
        <v>8</v>
      </c>
      <c r="GP580" s="27" t="s">
        <v>7</v>
      </c>
      <c r="GQ580" s="27" t="s">
        <v>8</v>
      </c>
      <c r="GR580" s="27" t="s">
        <v>7</v>
      </c>
      <c r="GS580" s="27" t="s">
        <v>8</v>
      </c>
      <c r="GT580" s="27" t="s">
        <v>7</v>
      </c>
    </row>
    <row r="581" spans="1:202" x14ac:dyDescent="0.25">
      <c r="A581" s="7">
        <v>1.1261624192640001</v>
      </c>
      <c r="B581"/>
      <c r="C581"/>
      <c r="D581"/>
      <c r="E581" t="s">
        <v>8</v>
      </c>
      <c r="H581" s="27" t="s">
        <v>7</v>
      </c>
      <c r="L581" s="27" t="s">
        <v>7</v>
      </c>
      <c r="M581" s="27" t="s">
        <v>8</v>
      </c>
      <c r="N581" s="27" t="s">
        <v>7</v>
      </c>
      <c r="AG581" s="27" t="s">
        <v>8</v>
      </c>
      <c r="AH581" s="27" t="s">
        <v>7</v>
      </c>
      <c r="AI581" s="27" t="s">
        <v>8</v>
      </c>
      <c r="AJ581" s="27" t="s">
        <v>7</v>
      </c>
      <c r="BY581" s="27" t="s">
        <v>8</v>
      </c>
      <c r="CH581" s="27" t="s">
        <v>7</v>
      </c>
      <c r="CI581" s="27" t="s">
        <v>8</v>
      </c>
      <c r="CJ581" s="27" t="s">
        <v>7</v>
      </c>
      <c r="CK581" s="27" t="s">
        <v>8</v>
      </c>
      <c r="CL581" s="27" t="s">
        <v>7</v>
      </c>
      <c r="CM581" s="27" t="s">
        <v>8</v>
      </c>
      <c r="CN581" s="27" t="s">
        <v>7</v>
      </c>
      <c r="CO581" s="27" t="s">
        <v>8</v>
      </c>
      <c r="CP581" s="27" t="s">
        <v>7</v>
      </c>
      <c r="CQ581" s="27" t="s">
        <v>8</v>
      </c>
      <c r="CR581" s="27" t="s">
        <v>7</v>
      </c>
      <c r="CS581" s="27" t="s">
        <v>8</v>
      </c>
      <c r="CT581" s="27" t="s">
        <v>7</v>
      </c>
      <c r="CU581" s="27" t="s">
        <v>8</v>
      </c>
      <c r="EF581" s="27" t="s">
        <v>7</v>
      </c>
      <c r="EG581" s="27" t="s">
        <v>8</v>
      </c>
      <c r="EH581" s="27" t="s">
        <v>7</v>
      </c>
      <c r="EK581" s="27" t="s">
        <v>8</v>
      </c>
      <c r="EL581" s="27" t="s">
        <v>7</v>
      </c>
      <c r="EM581" s="27" t="s">
        <v>8</v>
      </c>
      <c r="EN581" s="27" t="s">
        <v>7</v>
      </c>
      <c r="ES581" s="27" t="s">
        <v>8</v>
      </c>
      <c r="ET581" s="27" t="s">
        <v>7</v>
      </c>
      <c r="FS581" s="27" t="s">
        <v>8</v>
      </c>
      <c r="GK581" s="27" t="s">
        <v>8</v>
      </c>
      <c r="GL581" s="27" t="s">
        <v>7</v>
      </c>
      <c r="GN581" s="27" t="s">
        <v>7</v>
      </c>
      <c r="GO581" s="27" t="s">
        <v>8</v>
      </c>
      <c r="GP581" s="27" t="s">
        <v>7</v>
      </c>
      <c r="GQ581" s="27" t="s">
        <v>8</v>
      </c>
      <c r="GR581" s="27" t="s">
        <v>7</v>
      </c>
      <c r="GS581" s="27" t="s">
        <v>8</v>
      </c>
      <c r="GT581" s="27" t="s">
        <v>7</v>
      </c>
    </row>
    <row r="582" spans="1:202" x14ac:dyDescent="0.25">
      <c r="A582" s="7">
        <v>1.1040808032</v>
      </c>
      <c r="B582"/>
      <c r="C582"/>
      <c r="D582"/>
      <c r="E582" t="s">
        <v>8</v>
      </c>
      <c r="L582" s="27" t="s">
        <v>7</v>
      </c>
      <c r="M582" s="27" t="s">
        <v>8</v>
      </c>
      <c r="N582" s="27" t="s">
        <v>7</v>
      </c>
      <c r="AG582" s="27" t="s">
        <v>8</v>
      </c>
      <c r="AH582" s="27" t="s">
        <v>7</v>
      </c>
      <c r="AI582" s="27" t="s">
        <v>8</v>
      </c>
      <c r="AJ582" s="27" t="s">
        <v>7</v>
      </c>
      <c r="BY582" s="27" t="s">
        <v>8</v>
      </c>
      <c r="CH582" s="27" t="s">
        <v>7</v>
      </c>
      <c r="CI582" s="27" t="s">
        <v>8</v>
      </c>
      <c r="CJ582" s="27" t="s">
        <v>7</v>
      </c>
      <c r="CK582" s="27" t="s">
        <v>8</v>
      </c>
      <c r="CL582" s="27" t="s">
        <v>7</v>
      </c>
      <c r="CM582" s="27" t="s">
        <v>8</v>
      </c>
      <c r="CN582" s="27" t="s">
        <v>7</v>
      </c>
      <c r="CP582" s="27" t="s">
        <v>7</v>
      </c>
      <c r="CQ582" s="27" t="s">
        <v>8</v>
      </c>
      <c r="CR582" s="27" t="s">
        <v>7</v>
      </c>
      <c r="CS582" s="27" t="s">
        <v>8</v>
      </c>
      <c r="CT582" s="27" t="s">
        <v>7</v>
      </c>
      <c r="CU582" s="27" t="s">
        <v>8</v>
      </c>
      <c r="EF582" s="27" t="s">
        <v>7</v>
      </c>
      <c r="EG582" s="27" t="s">
        <v>8</v>
      </c>
      <c r="EH582" s="27" t="s">
        <v>7</v>
      </c>
      <c r="EI582" s="27" t="s">
        <v>8</v>
      </c>
      <c r="EK582" s="27" t="s">
        <v>8</v>
      </c>
      <c r="EL582" s="27" t="s">
        <v>7</v>
      </c>
      <c r="EM582" s="27" t="s">
        <v>8</v>
      </c>
      <c r="EN582" s="27" t="s">
        <v>7</v>
      </c>
      <c r="ES582" s="27" t="s">
        <v>8</v>
      </c>
      <c r="ET582" s="27" t="s">
        <v>7</v>
      </c>
      <c r="FS582" s="27" t="s">
        <v>8</v>
      </c>
      <c r="FT582" s="27" t="s">
        <v>7</v>
      </c>
      <c r="GK582" s="27" t="s">
        <v>8</v>
      </c>
      <c r="GN582" s="27" t="s">
        <v>7</v>
      </c>
      <c r="GO582" s="27" t="s">
        <v>8</v>
      </c>
      <c r="GP582" s="27" t="s">
        <v>7</v>
      </c>
      <c r="GQ582" s="27" t="s">
        <v>8</v>
      </c>
      <c r="GR582" s="27" t="s">
        <v>7</v>
      </c>
      <c r="GS582" s="27" t="s">
        <v>8</v>
      </c>
      <c r="GT582" s="27" t="s">
        <v>7</v>
      </c>
    </row>
    <row r="583" spans="1:202" x14ac:dyDescent="0.25">
      <c r="A583" s="7">
        <v>1.08243216</v>
      </c>
      <c r="B583"/>
      <c r="C583"/>
      <c r="D583"/>
      <c r="E583" t="s">
        <v>8</v>
      </c>
      <c r="L583" s="27" t="s">
        <v>7</v>
      </c>
      <c r="M583" s="27" t="s">
        <v>8</v>
      </c>
      <c r="N583" s="27" t="s">
        <v>7</v>
      </c>
      <c r="AG583" s="27" t="s">
        <v>8</v>
      </c>
      <c r="AH583" s="27" t="s">
        <v>7</v>
      </c>
      <c r="AI583" s="27" t="s">
        <v>8</v>
      </c>
      <c r="AJ583" s="27" t="s">
        <v>7</v>
      </c>
      <c r="BO583" s="27" t="s">
        <v>8</v>
      </c>
      <c r="BY583" s="27" t="s">
        <v>8</v>
      </c>
      <c r="CH583" s="27" t="s">
        <v>7</v>
      </c>
      <c r="CI583" s="27" t="s">
        <v>8</v>
      </c>
      <c r="CJ583" s="27" t="s">
        <v>7</v>
      </c>
      <c r="CK583" s="27" t="s">
        <v>8</v>
      </c>
      <c r="CL583" s="27" t="s">
        <v>7</v>
      </c>
      <c r="CM583" s="27" t="s">
        <v>8</v>
      </c>
      <c r="CP583" s="27" t="s">
        <v>7</v>
      </c>
      <c r="CQ583" s="27" t="s">
        <v>8</v>
      </c>
      <c r="CR583" s="27" t="s">
        <v>7</v>
      </c>
      <c r="CT583" s="27" t="s">
        <v>7</v>
      </c>
      <c r="CU583" s="27" t="s">
        <v>8</v>
      </c>
      <c r="EF583" s="27" t="s">
        <v>7</v>
      </c>
      <c r="EG583" s="27" t="s">
        <v>8</v>
      </c>
      <c r="EH583" s="27" t="s">
        <v>7</v>
      </c>
      <c r="EI583" s="27" t="s">
        <v>8</v>
      </c>
      <c r="EJ583" s="27" t="s">
        <v>7</v>
      </c>
      <c r="EK583" s="27" t="s">
        <v>8</v>
      </c>
      <c r="EL583" s="27" t="s">
        <v>7</v>
      </c>
      <c r="EM583" s="27" t="s">
        <v>8</v>
      </c>
      <c r="EN583" s="27" t="s">
        <v>7</v>
      </c>
      <c r="EO583" s="27" t="s">
        <v>8</v>
      </c>
      <c r="EQ583" s="27" t="s">
        <v>8</v>
      </c>
      <c r="ES583" s="27" t="s">
        <v>8</v>
      </c>
      <c r="ET583" s="27" t="s">
        <v>7</v>
      </c>
      <c r="FS583" s="27" t="s">
        <v>8</v>
      </c>
      <c r="FT583" s="27" t="s">
        <v>7</v>
      </c>
      <c r="GG583" s="27" t="s">
        <v>8</v>
      </c>
      <c r="GK583" s="27" t="s">
        <v>8</v>
      </c>
      <c r="GN583" s="27" t="s">
        <v>7</v>
      </c>
      <c r="GO583" s="27" t="s">
        <v>8</v>
      </c>
      <c r="GP583" s="27" t="s">
        <v>7</v>
      </c>
      <c r="GQ583" s="27" t="s">
        <v>8</v>
      </c>
      <c r="GR583" s="27" t="s">
        <v>7</v>
      </c>
      <c r="GS583" s="27" t="s">
        <v>8</v>
      </c>
      <c r="GT583" s="27" t="s">
        <v>7</v>
      </c>
    </row>
    <row r="584" spans="1:202" x14ac:dyDescent="0.25">
      <c r="A584" s="7">
        <v>1.0612079999999999</v>
      </c>
      <c r="B584"/>
      <c r="C584"/>
      <c r="D584"/>
      <c r="E584" t="s">
        <v>8</v>
      </c>
      <c r="L584" s="27" t="s">
        <v>7</v>
      </c>
      <c r="M584" s="27" t="s">
        <v>8</v>
      </c>
      <c r="N584" s="27" t="s">
        <v>7</v>
      </c>
      <c r="AG584" s="27" t="s">
        <v>8</v>
      </c>
      <c r="AH584" s="27" t="s">
        <v>7</v>
      </c>
      <c r="AI584" s="27" t="s">
        <v>8</v>
      </c>
      <c r="AJ584" s="27" t="s">
        <v>7</v>
      </c>
      <c r="BO584" s="27" t="s">
        <v>8</v>
      </c>
      <c r="BP584" s="27" t="s">
        <v>7</v>
      </c>
      <c r="BU584" s="27" t="s">
        <v>8</v>
      </c>
      <c r="BY584" s="27" t="s">
        <v>8</v>
      </c>
      <c r="CH584" s="27" t="s">
        <v>7</v>
      </c>
      <c r="CI584" s="27" t="s">
        <v>8</v>
      </c>
      <c r="CJ584" s="27" t="s">
        <v>7</v>
      </c>
      <c r="CK584" s="27" t="s">
        <v>8</v>
      </c>
      <c r="CL584" s="27" t="s">
        <v>7</v>
      </c>
      <c r="CM584" s="27" t="s">
        <v>8</v>
      </c>
      <c r="CP584" s="27" t="s">
        <v>7</v>
      </c>
      <c r="CQ584" s="27" t="s">
        <v>8</v>
      </c>
      <c r="CT584" s="27" t="s">
        <v>7</v>
      </c>
      <c r="CU584" s="27" t="s">
        <v>8</v>
      </c>
      <c r="EF584" s="27" t="s">
        <v>7</v>
      </c>
      <c r="EG584" s="27" t="s">
        <v>8</v>
      </c>
      <c r="EH584" s="27" t="s">
        <v>7</v>
      </c>
      <c r="EI584" s="27" t="s">
        <v>8</v>
      </c>
      <c r="EJ584" s="27" t="s">
        <v>7</v>
      </c>
      <c r="EK584" s="27" t="s">
        <v>8</v>
      </c>
      <c r="EL584" s="27" t="s">
        <v>7</v>
      </c>
      <c r="EM584" s="27" t="s">
        <v>8</v>
      </c>
      <c r="EN584" s="27" t="s">
        <v>7</v>
      </c>
      <c r="EO584" s="27" t="s">
        <v>8</v>
      </c>
      <c r="EP584" s="27" t="s">
        <v>7</v>
      </c>
      <c r="EQ584" s="27" t="s">
        <v>8</v>
      </c>
      <c r="ER584" s="27" t="s">
        <v>7</v>
      </c>
      <c r="ES584" s="27" t="s">
        <v>8</v>
      </c>
      <c r="ET584" s="27" t="s">
        <v>7</v>
      </c>
      <c r="FS584" s="27" t="s">
        <v>8</v>
      </c>
      <c r="FT584" s="27" t="s">
        <v>7</v>
      </c>
      <c r="FY584" s="27" t="s">
        <v>8</v>
      </c>
      <c r="GG584" s="27" t="s">
        <v>8</v>
      </c>
      <c r="GH584" s="27" t="s">
        <v>7</v>
      </c>
      <c r="GK584" s="27" t="s">
        <v>8</v>
      </c>
      <c r="GN584" s="27" t="s">
        <v>7</v>
      </c>
      <c r="GO584" s="27" t="s">
        <v>8</v>
      </c>
      <c r="GP584" s="27" t="s">
        <v>7</v>
      </c>
      <c r="GQ584" s="27" t="s">
        <v>8</v>
      </c>
      <c r="GR584" s="27" t="s">
        <v>7</v>
      </c>
      <c r="GS584" s="27" t="s">
        <v>8</v>
      </c>
      <c r="GT584" s="27" t="s">
        <v>7</v>
      </c>
    </row>
    <row r="585" spans="1:202" x14ac:dyDescent="0.25">
      <c r="A585" s="7">
        <v>1.0404</v>
      </c>
      <c r="B585"/>
      <c r="C585"/>
      <c r="D585"/>
      <c r="E585" t="s">
        <v>8</v>
      </c>
      <c r="L585" s="27" t="s">
        <v>7</v>
      </c>
      <c r="M585" s="27" t="s">
        <v>8</v>
      </c>
      <c r="N585" s="27" t="s">
        <v>7</v>
      </c>
      <c r="AG585" s="27" t="s">
        <v>8</v>
      </c>
      <c r="AH585" s="27" t="s">
        <v>7</v>
      </c>
      <c r="AI585" s="27" t="s">
        <v>8</v>
      </c>
      <c r="AJ585" s="27" t="s">
        <v>7</v>
      </c>
      <c r="BO585" s="27" t="s">
        <v>8</v>
      </c>
      <c r="BP585" s="27" t="s">
        <v>7</v>
      </c>
      <c r="BU585" s="27" t="s">
        <v>8</v>
      </c>
      <c r="BV585" s="27" t="s">
        <v>7</v>
      </c>
      <c r="BY585" s="27" t="s">
        <v>8</v>
      </c>
      <c r="CH585" s="27" t="s">
        <v>7</v>
      </c>
      <c r="CI585" s="27" t="s">
        <v>8</v>
      </c>
      <c r="CJ585" s="27" t="s">
        <v>7</v>
      </c>
      <c r="CK585" s="27" t="s">
        <v>8</v>
      </c>
      <c r="CL585" s="27" t="s">
        <v>7</v>
      </c>
      <c r="CM585" s="27" t="s">
        <v>8</v>
      </c>
      <c r="CP585" s="27" t="s">
        <v>7</v>
      </c>
      <c r="CQ585" s="27" t="s">
        <v>8</v>
      </c>
      <c r="CT585" s="27" t="s">
        <v>7</v>
      </c>
      <c r="CU585" s="27" t="s">
        <v>8</v>
      </c>
      <c r="EF585" s="27" t="s">
        <v>7</v>
      </c>
      <c r="EG585" s="27" t="s">
        <v>8</v>
      </c>
      <c r="EH585" s="27" t="s">
        <v>7</v>
      </c>
      <c r="EI585" s="27" t="s">
        <v>8</v>
      </c>
      <c r="EJ585" s="27" t="s">
        <v>7</v>
      </c>
      <c r="EK585" s="27" t="s">
        <v>8</v>
      </c>
      <c r="EL585" s="27" t="s">
        <v>7</v>
      </c>
      <c r="EM585" s="27" t="s">
        <v>8</v>
      </c>
      <c r="EN585" s="27" t="s">
        <v>7</v>
      </c>
      <c r="EO585" s="27" t="s">
        <v>8</v>
      </c>
      <c r="EP585" s="27" t="s">
        <v>7</v>
      </c>
      <c r="EQ585" s="27" t="s">
        <v>8</v>
      </c>
      <c r="ER585" s="27" t="s">
        <v>7</v>
      </c>
      <c r="ES585" s="27" t="s">
        <v>8</v>
      </c>
      <c r="ET585" s="27" t="s">
        <v>7</v>
      </c>
      <c r="FS585" s="27" t="s">
        <v>8</v>
      </c>
      <c r="FT585" s="27" t="s">
        <v>7</v>
      </c>
      <c r="FY585" s="27" t="s">
        <v>8</v>
      </c>
      <c r="FZ585" s="27" t="s">
        <v>7</v>
      </c>
      <c r="GG585" s="27" t="s">
        <v>8</v>
      </c>
      <c r="GH585" s="27" t="s">
        <v>7</v>
      </c>
      <c r="GK585" s="27" t="s">
        <v>8</v>
      </c>
      <c r="GN585" s="27" t="s">
        <v>7</v>
      </c>
      <c r="GO585" s="27" t="s">
        <v>8</v>
      </c>
      <c r="GP585" s="27" t="s">
        <v>7</v>
      </c>
      <c r="GR585" s="27" t="s">
        <v>7</v>
      </c>
      <c r="GS585" s="27" t="s">
        <v>8</v>
      </c>
      <c r="GT585" s="27" t="s">
        <v>7</v>
      </c>
    </row>
    <row r="586" spans="1:202" x14ac:dyDescent="0.25">
      <c r="A586" s="7">
        <v>1.02</v>
      </c>
      <c r="B586"/>
      <c r="C586"/>
      <c r="D586"/>
      <c r="E586" t="s">
        <v>8</v>
      </c>
      <c r="L586" s="27" t="s">
        <v>7</v>
      </c>
      <c r="N586" s="27" t="s">
        <v>7</v>
      </c>
      <c r="AG586" s="27" t="s">
        <v>8</v>
      </c>
      <c r="AH586" s="27" t="s">
        <v>7</v>
      </c>
      <c r="AI586" s="27" t="s">
        <v>8</v>
      </c>
      <c r="AJ586" s="27" t="s">
        <v>7</v>
      </c>
      <c r="BO586" s="27" t="s">
        <v>8</v>
      </c>
      <c r="BP586" s="27" t="s">
        <v>7</v>
      </c>
      <c r="BU586" s="27" t="s">
        <v>8</v>
      </c>
      <c r="BV586" s="27" t="s">
        <v>7</v>
      </c>
      <c r="BY586" s="27" t="s">
        <v>8</v>
      </c>
      <c r="CH586" s="27" t="s">
        <v>7</v>
      </c>
      <c r="CI586" s="27" t="s">
        <v>8</v>
      </c>
      <c r="CJ586" s="27" t="s">
        <v>7</v>
      </c>
      <c r="CK586" s="27" t="s">
        <v>8</v>
      </c>
      <c r="CL586" s="27" t="s">
        <v>7</v>
      </c>
      <c r="CM586" s="27" t="s">
        <v>8</v>
      </c>
      <c r="CP586" s="27" t="s">
        <v>7</v>
      </c>
      <c r="CT586" s="27" t="s">
        <v>7</v>
      </c>
      <c r="EF586" s="27" t="s">
        <v>7</v>
      </c>
      <c r="EG586" s="27" t="s">
        <v>8</v>
      </c>
      <c r="EH586" s="27" t="s">
        <v>7</v>
      </c>
      <c r="EI586" s="27" t="s">
        <v>8</v>
      </c>
      <c r="EJ586" s="27" t="s">
        <v>7</v>
      </c>
      <c r="EK586" s="27" t="s">
        <v>8</v>
      </c>
      <c r="EL586" s="27" t="s">
        <v>7</v>
      </c>
      <c r="EM586" s="27" t="s">
        <v>8</v>
      </c>
      <c r="EN586" s="27" t="s">
        <v>7</v>
      </c>
      <c r="EO586" s="27" t="s">
        <v>8</v>
      </c>
      <c r="EP586" s="27" t="s">
        <v>7</v>
      </c>
      <c r="EQ586" s="27" t="s">
        <v>8</v>
      </c>
      <c r="ER586" s="27" t="s">
        <v>7</v>
      </c>
      <c r="ES586" s="27" t="s">
        <v>8</v>
      </c>
      <c r="ET586" s="27" t="s">
        <v>7</v>
      </c>
      <c r="FS586" s="27" t="s">
        <v>8</v>
      </c>
      <c r="FT586" s="27" t="s">
        <v>7</v>
      </c>
      <c r="FW586" s="27" t="s">
        <v>8</v>
      </c>
      <c r="FY586" s="27" t="s">
        <v>8</v>
      </c>
      <c r="FZ586" s="27" t="s">
        <v>7</v>
      </c>
      <c r="GG586" s="27" t="s">
        <v>8</v>
      </c>
      <c r="GH586" s="27" t="s">
        <v>7</v>
      </c>
      <c r="GK586" s="27" t="s">
        <v>8</v>
      </c>
      <c r="GN586" s="27" t="s">
        <v>7</v>
      </c>
      <c r="GR586" s="27" t="s">
        <v>7</v>
      </c>
      <c r="GT586" s="27" t="s">
        <v>7</v>
      </c>
    </row>
    <row r="587" spans="1:202" x14ac:dyDescent="0.25">
      <c r="A587" s="7">
        <v>1</v>
      </c>
      <c r="B587"/>
      <c r="C587"/>
      <c r="D587"/>
      <c r="E587" s="29" t="s">
        <v>8</v>
      </c>
      <c r="N587" s="27" t="s">
        <v>7</v>
      </c>
      <c r="AG587" s="27" t="s">
        <v>8</v>
      </c>
      <c r="AH587" s="27" t="s">
        <v>7</v>
      </c>
      <c r="AI587" s="27" t="s">
        <v>8</v>
      </c>
      <c r="AJ587" s="27" t="s">
        <v>7</v>
      </c>
      <c r="BO587" s="27" t="s">
        <v>8</v>
      </c>
      <c r="BP587" s="27" t="s">
        <v>7</v>
      </c>
      <c r="BU587" s="27" t="s">
        <v>8</v>
      </c>
      <c r="BV587" s="27" t="s">
        <v>7</v>
      </c>
      <c r="BY587" s="27" t="s">
        <v>8</v>
      </c>
      <c r="CH587" s="27" t="s">
        <v>7</v>
      </c>
      <c r="CI587" s="27" t="s">
        <v>8</v>
      </c>
      <c r="CJ587" s="27" t="s">
        <v>7</v>
      </c>
      <c r="CK587" s="27" t="s">
        <v>8</v>
      </c>
      <c r="CL587" s="27" t="s">
        <v>7</v>
      </c>
      <c r="CM587" s="27" t="s">
        <v>8</v>
      </c>
      <c r="EF587" s="27" t="s">
        <v>7</v>
      </c>
      <c r="EG587" s="27" t="s">
        <v>8</v>
      </c>
      <c r="EH587" s="27" t="s">
        <v>7</v>
      </c>
      <c r="EI587" s="27" t="s">
        <v>8</v>
      </c>
      <c r="EJ587" s="27" t="s">
        <v>7</v>
      </c>
      <c r="EK587" s="27" t="s">
        <v>8</v>
      </c>
      <c r="EL587" s="27" t="s">
        <v>7</v>
      </c>
      <c r="EM587" s="27" t="s">
        <v>8</v>
      </c>
      <c r="EN587" s="27" t="s">
        <v>7</v>
      </c>
      <c r="EO587" s="27" t="s">
        <v>8</v>
      </c>
      <c r="EP587" s="27" t="s">
        <v>7</v>
      </c>
      <c r="EQ587" s="27" t="s">
        <v>8</v>
      </c>
      <c r="ER587" s="27" t="s">
        <v>7</v>
      </c>
      <c r="ES587" s="27" t="s">
        <v>8</v>
      </c>
      <c r="ET587" s="27" t="s">
        <v>7</v>
      </c>
      <c r="FS587" s="27" t="s">
        <v>8</v>
      </c>
      <c r="FT587" s="27" t="s">
        <v>7</v>
      </c>
      <c r="FW587" s="27" t="s">
        <v>8</v>
      </c>
      <c r="FX587" s="27" t="s">
        <v>7</v>
      </c>
      <c r="FY587" s="27" t="s">
        <v>8</v>
      </c>
      <c r="FZ587" s="27" t="s">
        <v>7</v>
      </c>
      <c r="GG587" s="27" t="s">
        <v>8</v>
      </c>
      <c r="GH587" s="27" t="s">
        <v>7</v>
      </c>
      <c r="GK587" s="27" t="s">
        <v>8</v>
      </c>
      <c r="GT587" s="27" t="s">
        <v>7</v>
      </c>
    </row>
    <row r="588" spans="1:202" x14ac:dyDescent="0.25">
      <c r="A588" s="7">
        <v>0.98039215686274506</v>
      </c>
      <c r="B588"/>
      <c r="C588"/>
      <c r="D588"/>
      <c r="E588"/>
      <c r="N588" s="27" t="s">
        <v>7</v>
      </c>
      <c r="AG588" s="27" t="s">
        <v>8</v>
      </c>
      <c r="AH588" s="27" t="s">
        <v>7</v>
      </c>
      <c r="AI588" s="27" t="s">
        <v>8</v>
      </c>
      <c r="AJ588" s="27" t="s">
        <v>7</v>
      </c>
      <c r="BO588" s="27" t="s">
        <v>8</v>
      </c>
      <c r="BP588" s="27" t="s">
        <v>7</v>
      </c>
      <c r="BQ588" s="27" t="s">
        <v>8</v>
      </c>
      <c r="BU588" s="27" t="s">
        <v>8</v>
      </c>
      <c r="BV588" s="27" t="s">
        <v>7</v>
      </c>
      <c r="BY588" s="27" t="s">
        <v>8</v>
      </c>
      <c r="CH588" s="27" t="s">
        <v>7</v>
      </c>
      <c r="CI588" s="27" t="s">
        <v>8</v>
      </c>
      <c r="CJ588" s="27" t="s">
        <v>7</v>
      </c>
      <c r="CL588" s="27" t="s">
        <v>7</v>
      </c>
      <c r="CM588" s="27" t="s">
        <v>8</v>
      </c>
      <c r="EF588" s="27" t="s">
        <v>7</v>
      </c>
      <c r="EG588" s="27" t="s">
        <v>8</v>
      </c>
      <c r="EH588" s="27" t="s">
        <v>7</v>
      </c>
      <c r="EI588" s="27" t="s">
        <v>8</v>
      </c>
      <c r="EJ588" s="27" t="s">
        <v>7</v>
      </c>
      <c r="EK588" s="27" t="s">
        <v>8</v>
      </c>
      <c r="EL588" s="27" t="s">
        <v>7</v>
      </c>
      <c r="EN588" s="27" t="s">
        <v>7</v>
      </c>
      <c r="EO588" s="27" t="s">
        <v>8</v>
      </c>
      <c r="EP588" s="27" t="s">
        <v>7</v>
      </c>
      <c r="EQ588" s="27" t="s">
        <v>8</v>
      </c>
      <c r="ER588" s="27" t="s">
        <v>7</v>
      </c>
      <c r="ES588" s="27" t="s">
        <v>8</v>
      </c>
      <c r="ET588" s="27" t="s">
        <v>7</v>
      </c>
      <c r="FS588" s="27" t="s">
        <v>8</v>
      </c>
      <c r="FT588" s="27" t="s">
        <v>7</v>
      </c>
      <c r="FU588" s="27" t="s">
        <v>8</v>
      </c>
      <c r="FW588" s="27" t="s">
        <v>8</v>
      </c>
      <c r="FX588" s="27" t="s">
        <v>7</v>
      </c>
      <c r="FY588" s="27" t="s">
        <v>8</v>
      </c>
      <c r="FZ588" s="27" t="s">
        <v>7</v>
      </c>
      <c r="GA588" s="27" t="s">
        <v>8</v>
      </c>
      <c r="GG588" s="27" t="s">
        <v>8</v>
      </c>
      <c r="GH588" s="27" t="s">
        <v>7</v>
      </c>
      <c r="GK588" s="27" t="s">
        <v>8</v>
      </c>
      <c r="GT588" s="27" t="s">
        <v>7</v>
      </c>
    </row>
    <row r="589" spans="1:202" x14ac:dyDescent="0.25">
      <c r="A589" s="7">
        <v>0.96116878123798544</v>
      </c>
      <c r="B589"/>
      <c r="C589"/>
      <c r="D589"/>
      <c r="E589"/>
      <c r="N589" s="27" t="s">
        <v>7</v>
      </c>
      <c r="AG589" s="27" t="s">
        <v>8</v>
      </c>
      <c r="AH589" s="27" t="s">
        <v>7</v>
      </c>
      <c r="AI589" s="27" t="s">
        <v>8</v>
      </c>
      <c r="AJ589" s="27" t="s">
        <v>7</v>
      </c>
      <c r="AQ589" s="27" t="s">
        <v>8</v>
      </c>
      <c r="BO589" s="27" t="s">
        <v>8</v>
      </c>
      <c r="BP589" s="27" t="s">
        <v>7</v>
      </c>
      <c r="BQ589" s="27" t="s">
        <v>8</v>
      </c>
      <c r="BR589" s="27" t="s">
        <v>7</v>
      </c>
      <c r="BS589" s="27" t="s">
        <v>8</v>
      </c>
      <c r="BU589" s="27" t="s">
        <v>8</v>
      </c>
      <c r="BV589" s="27" t="s">
        <v>7</v>
      </c>
      <c r="BW589" s="27" t="s">
        <v>8</v>
      </c>
      <c r="BY589" s="27" t="s">
        <v>8</v>
      </c>
      <c r="CH589" s="27" t="s">
        <v>7</v>
      </c>
      <c r="CI589" s="27" t="s">
        <v>8</v>
      </c>
      <c r="CL589" s="27" t="s">
        <v>7</v>
      </c>
      <c r="CM589" s="27" t="s">
        <v>8</v>
      </c>
      <c r="EF589" s="27" t="s">
        <v>7</v>
      </c>
      <c r="EG589" s="27" t="s">
        <v>8</v>
      </c>
      <c r="EH589" s="27" t="s">
        <v>7</v>
      </c>
      <c r="EI589" s="27" t="s">
        <v>8</v>
      </c>
      <c r="EJ589" s="27" t="s">
        <v>7</v>
      </c>
      <c r="EK589" s="27" t="s">
        <v>8</v>
      </c>
      <c r="EN589" s="27" t="s">
        <v>7</v>
      </c>
      <c r="EO589" s="27" t="s">
        <v>8</v>
      </c>
      <c r="EP589" s="27" t="s">
        <v>7</v>
      </c>
      <c r="EQ589" s="27" t="s">
        <v>8</v>
      </c>
      <c r="ER589" s="27" t="s">
        <v>7</v>
      </c>
      <c r="ES589" s="27" t="s">
        <v>8</v>
      </c>
      <c r="ET589" s="27" t="s">
        <v>7</v>
      </c>
      <c r="FS589" s="27" t="s">
        <v>8</v>
      </c>
      <c r="FT589" s="27" t="s">
        <v>7</v>
      </c>
      <c r="FU589" s="27" t="s">
        <v>8</v>
      </c>
      <c r="FV589" s="27" t="s">
        <v>7</v>
      </c>
      <c r="FW589" s="27" t="s">
        <v>8</v>
      </c>
      <c r="FX589" s="27" t="s">
        <v>7</v>
      </c>
      <c r="FY589" s="27" t="s">
        <v>8</v>
      </c>
      <c r="FZ589" s="27" t="s">
        <v>7</v>
      </c>
      <c r="GA589" s="27" t="s">
        <v>8</v>
      </c>
      <c r="GB589" s="27" t="s">
        <v>7</v>
      </c>
      <c r="GE589" s="27" t="s">
        <v>8</v>
      </c>
      <c r="GG589" s="27" t="s">
        <v>8</v>
      </c>
      <c r="GH589" s="27" t="s">
        <v>7</v>
      </c>
      <c r="GK589" s="27" t="s">
        <v>8</v>
      </c>
      <c r="GT589" s="27" t="s">
        <v>7</v>
      </c>
    </row>
    <row r="590" spans="1:202" x14ac:dyDescent="0.25">
      <c r="A590" s="7">
        <v>0.94232233454704462</v>
      </c>
      <c r="B590"/>
      <c r="C590"/>
      <c r="D590"/>
      <c r="E590"/>
      <c r="N590" s="27" t="s">
        <v>7</v>
      </c>
      <c r="AG590" s="27" t="s">
        <v>8</v>
      </c>
      <c r="AH590" s="27" t="s">
        <v>7</v>
      </c>
      <c r="AI590" s="27" t="s">
        <v>8</v>
      </c>
      <c r="AJ590" s="27" t="s">
        <v>7</v>
      </c>
      <c r="AQ590" s="27" t="s">
        <v>8</v>
      </c>
      <c r="AR590" s="27" t="s">
        <v>7</v>
      </c>
      <c r="AS590" s="27" t="s">
        <v>8</v>
      </c>
      <c r="BO590" s="27" t="s">
        <v>8</v>
      </c>
      <c r="BP590" s="27" t="s">
        <v>7</v>
      </c>
      <c r="BQ590" s="27" t="s">
        <v>8</v>
      </c>
      <c r="BR590" s="27" t="s">
        <v>7</v>
      </c>
      <c r="BS590" s="27" t="s">
        <v>8</v>
      </c>
      <c r="BT590" s="27" t="s">
        <v>7</v>
      </c>
      <c r="BU590" s="27" t="s">
        <v>8</v>
      </c>
      <c r="BV590" s="27" t="s">
        <v>7</v>
      </c>
      <c r="BW590" s="27" t="s">
        <v>8</v>
      </c>
      <c r="BX590" s="27" t="s">
        <v>7</v>
      </c>
      <c r="BY590" s="27" t="s">
        <v>8</v>
      </c>
      <c r="CH590" s="27" t="s">
        <v>7</v>
      </c>
      <c r="CI590" s="27" t="s">
        <v>8</v>
      </c>
      <c r="CL590" s="27" t="s">
        <v>7</v>
      </c>
      <c r="CM590" s="27" t="s">
        <v>8</v>
      </c>
      <c r="EF590" s="27" t="s">
        <v>7</v>
      </c>
      <c r="EG590" s="27" t="s">
        <v>8</v>
      </c>
      <c r="EH590" s="27" t="s">
        <v>7</v>
      </c>
      <c r="EI590" s="27" t="s">
        <v>8</v>
      </c>
      <c r="EJ590" s="27" t="s">
        <v>7</v>
      </c>
      <c r="EN590" s="27" t="s">
        <v>7</v>
      </c>
      <c r="EO590" s="27" t="s">
        <v>8</v>
      </c>
      <c r="EP590" s="27" t="s">
        <v>7</v>
      </c>
      <c r="EQ590" s="27" t="s">
        <v>8</v>
      </c>
      <c r="ER590" s="27" t="s">
        <v>7</v>
      </c>
      <c r="ES590" s="27" t="s">
        <v>8</v>
      </c>
      <c r="ET590" s="27" t="s">
        <v>7</v>
      </c>
      <c r="FS590" s="27" t="s">
        <v>8</v>
      </c>
      <c r="FT590" s="27" t="s">
        <v>7</v>
      </c>
      <c r="FU590" s="27" t="s">
        <v>8</v>
      </c>
      <c r="FV590" s="27" t="s">
        <v>7</v>
      </c>
      <c r="FW590" s="27" t="s">
        <v>8</v>
      </c>
      <c r="FX590" s="27" t="s">
        <v>7</v>
      </c>
      <c r="FY590" s="27" t="s">
        <v>8</v>
      </c>
      <c r="FZ590" s="27" t="s">
        <v>7</v>
      </c>
      <c r="GA590" s="27" t="s">
        <v>8</v>
      </c>
      <c r="GB590" s="27" t="s">
        <v>7</v>
      </c>
      <c r="GE590" s="27" t="s">
        <v>8</v>
      </c>
      <c r="GF590" s="27" t="s">
        <v>7</v>
      </c>
      <c r="GG590" s="27" t="s">
        <v>8</v>
      </c>
      <c r="GH590" s="27" t="s">
        <v>7</v>
      </c>
      <c r="GI590" s="27" t="s">
        <v>8</v>
      </c>
      <c r="GK590" s="27" t="s">
        <v>8</v>
      </c>
      <c r="GT590" s="27" t="s">
        <v>7</v>
      </c>
    </row>
    <row r="591" spans="1:202" x14ac:dyDescent="0.25">
      <c r="A591" s="7">
        <v>0.92384542602651432</v>
      </c>
      <c r="B591"/>
      <c r="C591"/>
      <c r="D591"/>
      <c r="E591"/>
      <c r="N591" s="27" t="s">
        <v>7</v>
      </c>
      <c r="AG591" s="27" t="s">
        <v>8</v>
      </c>
      <c r="AH591" s="27" t="s">
        <v>7</v>
      </c>
      <c r="AI591" s="27" t="s">
        <v>8</v>
      </c>
      <c r="AJ591" s="27" t="s">
        <v>7</v>
      </c>
      <c r="AQ591" s="27" t="s">
        <v>8</v>
      </c>
      <c r="AR591" s="27" t="s">
        <v>7</v>
      </c>
      <c r="AS591" s="27" t="s">
        <v>8</v>
      </c>
      <c r="AT591" s="27" t="s">
        <v>7</v>
      </c>
      <c r="BO591" s="27" t="s">
        <v>8</v>
      </c>
      <c r="BP591" s="27" t="s">
        <v>7</v>
      </c>
      <c r="BQ591" s="27" t="s">
        <v>8</v>
      </c>
      <c r="BR591" s="27" t="s">
        <v>7</v>
      </c>
      <c r="BS591" s="27" t="s">
        <v>8</v>
      </c>
      <c r="BT591" s="27" t="s">
        <v>7</v>
      </c>
      <c r="BU591" s="27" t="s">
        <v>8</v>
      </c>
      <c r="BV591" s="27" t="s">
        <v>7</v>
      </c>
      <c r="BW591" s="27" t="s">
        <v>8</v>
      </c>
      <c r="BX591" s="27" t="s">
        <v>7</v>
      </c>
      <c r="BY591" s="27" t="s">
        <v>8</v>
      </c>
      <c r="CH591" s="27" t="s">
        <v>7</v>
      </c>
      <c r="CI591" s="27" t="s">
        <v>8</v>
      </c>
      <c r="CL591" s="27" t="s">
        <v>7</v>
      </c>
      <c r="CM591" s="27" t="s">
        <v>8</v>
      </c>
      <c r="EF591" s="27" t="s">
        <v>7</v>
      </c>
      <c r="EG591" s="27" t="s">
        <v>8</v>
      </c>
      <c r="EH591" s="27" t="s">
        <v>7</v>
      </c>
      <c r="EI591" s="27" t="s">
        <v>8</v>
      </c>
      <c r="EN591" s="27" t="s">
        <v>7</v>
      </c>
      <c r="EO591" s="27" t="s">
        <v>8</v>
      </c>
      <c r="EP591" s="27" t="s">
        <v>7</v>
      </c>
      <c r="EQ591" s="27" t="s">
        <v>8</v>
      </c>
      <c r="ER591" s="27" t="s">
        <v>7</v>
      </c>
      <c r="ES591" s="27" t="s">
        <v>8</v>
      </c>
      <c r="ET591" s="27" t="s">
        <v>7</v>
      </c>
      <c r="FS591" s="27" t="s">
        <v>8</v>
      </c>
      <c r="FT591" s="27" t="s">
        <v>7</v>
      </c>
      <c r="FU591" s="27" t="s">
        <v>8</v>
      </c>
      <c r="FV591" s="27" t="s">
        <v>7</v>
      </c>
      <c r="FW591" s="27" t="s">
        <v>8</v>
      </c>
      <c r="FX591" s="27" t="s">
        <v>7</v>
      </c>
      <c r="FY591" s="27" t="s">
        <v>8</v>
      </c>
      <c r="FZ591" s="27" t="s">
        <v>7</v>
      </c>
      <c r="GA591" s="27" t="s">
        <v>8</v>
      </c>
      <c r="GB591" s="27" t="s">
        <v>7</v>
      </c>
      <c r="GE591" s="27" t="s">
        <v>8</v>
      </c>
      <c r="GF591" s="27" t="s">
        <v>7</v>
      </c>
      <c r="GG591" s="27" t="s">
        <v>8</v>
      </c>
      <c r="GH591" s="27" t="s">
        <v>7</v>
      </c>
      <c r="GI591" s="27" t="s">
        <v>8</v>
      </c>
      <c r="GJ591" s="27" t="s">
        <v>7</v>
      </c>
      <c r="GK591" s="27" t="s">
        <v>8</v>
      </c>
      <c r="GT591" s="27" t="s">
        <v>7</v>
      </c>
    </row>
    <row r="592" spans="1:202" x14ac:dyDescent="0.25">
      <c r="A592" s="7">
        <v>0.90573080982991594</v>
      </c>
      <c r="B592"/>
      <c r="C592"/>
      <c r="D592"/>
      <c r="E592"/>
      <c r="N592" s="27" t="s">
        <v>7</v>
      </c>
      <c r="AG592" s="27" t="s">
        <v>8</v>
      </c>
      <c r="AH592" s="27" t="s">
        <v>7</v>
      </c>
      <c r="AI592" s="27" t="s">
        <v>8</v>
      </c>
      <c r="AJ592" s="27" t="s">
        <v>7</v>
      </c>
      <c r="AQ592" s="27" t="s">
        <v>8</v>
      </c>
      <c r="AR592" s="27" t="s">
        <v>7</v>
      </c>
      <c r="AS592" s="27" t="s">
        <v>8</v>
      </c>
      <c r="AT592" s="27" t="s">
        <v>7</v>
      </c>
      <c r="BO592" s="27" t="s">
        <v>8</v>
      </c>
      <c r="BP592" s="27" t="s">
        <v>7</v>
      </c>
      <c r="BQ592" s="27" t="s">
        <v>8</v>
      </c>
      <c r="BR592" s="27" t="s">
        <v>7</v>
      </c>
      <c r="BS592" s="27" t="s">
        <v>8</v>
      </c>
      <c r="BT592" s="27" t="s">
        <v>7</v>
      </c>
      <c r="BU592" s="27" t="s">
        <v>8</v>
      </c>
      <c r="BV592" s="27" t="s">
        <v>7</v>
      </c>
      <c r="BW592" s="27" t="s">
        <v>8</v>
      </c>
      <c r="BX592" s="27" t="s">
        <v>7</v>
      </c>
      <c r="BY592" s="27" t="s">
        <v>8</v>
      </c>
      <c r="CH592" s="27" t="s">
        <v>7</v>
      </c>
      <c r="CI592" s="27" t="s">
        <v>8</v>
      </c>
      <c r="CL592" s="27" t="s">
        <v>7</v>
      </c>
      <c r="EF592" s="27" t="s">
        <v>7</v>
      </c>
      <c r="EG592" s="27" t="s">
        <v>8</v>
      </c>
      <c r="EH592" s="27" t="s">
        <v>7</v>
      </c>
      <c r="EI592" s="27" t="s">
        <v>8</v>
      </c>
      <c r="EN592" s="27" t="s">
        <v>7</v>
      </c>
      <c r="EO592" s="27" t="s">
        <v>8</v>
      </c>
      <c r="EP592" s="27" t="s">
        <v>7</v>
      </c>
      <c r="EQ592" s="27" t="s">
        <v>8</v>
      </c>
      <c r="ER592" s="27" t="s">
        <v>7</v>
      </c>
      <c r="ES592" s="27" t="s">
        <v>8</v>
      </c>
      <c r="ET592" s="27" t="s">
        <v>7</v>
      </c>
      <c r="FS592" s="27" t="s">
        <v>8</v>
      </c>
      <c r="FT592" s="27" t="s">
        <v>7</v>
      </c>
      <c r="FU592" s="27" t="s">
        <v>8</v>
      </c>
      <c r="FV592" s="27" t="s">
        <v>7</v>
      </c>
      <c r="FW592" s="27" t="s">
        <v>8</v>
      </c>
      <c r="FX592" s="27" t="s">
        <v>7</v>
      </c>
      <c r="FY592" s="27" t="s">
        <v>8</v>
      </c>
      <c r="FZ592" s="27" t="s">
        <v>7</v>
      </c>
      <c r="GB592" s="27" t="s">
        <v>7</v>
      </c>
      <c r="GC592" s="27" t="s">
        <v>8</v>
      </c>
      <c r="GE592" s="27" t="s">
        <v>8</v>
      </c>
      <c r="GF592" s="27" t="s">
        <v>7</v>
      </c>
      <c r="GG592" s="27" t="s">
        <v>8</v>
      </c>
      <c r="GH592" s="27" t="s">
        <v>7</v>
      </c>
      <c r="GI592" s="27" t="s">
        <v>8</v>
      </c>
      <c r="GJ592" s="27" t="s">
        <v>7</v>
      </c>
      <c r="GK592" s="27" t="s">
        <v>8</v>
      </c>
      <c r="GT592" s="27" t="s">
        <v>7</v>
      </c>
    </row>
    <row r="593" spans="1:204" x14ac:dyDescent="0.25">
      <c r="A593" s="7">
        <v>0.8879713821861922</v>
      </c>
      <c r="B593"/>
      <c r="C593"/>
      <c r="D593"/>
      <c r="E593"/>
      <c r="N593" s="27" t="s">
        <v>7</v>
      </c>
      <c r="O593" s="27" t="s">
        <v>8</v>
      </c>
      <c r="AG593" s="27" t="s">
        <v>8</v>
      </c>
      <c r="AH593" s="27" t="s">
        <v>7</v>
      </c>
      <c r="AI593" s="27" t="s">
        <v>8</v>
      </c>
      <c r="AJ593" s="27" t="s">
        <v>7</v>
      </c>
      <c r="AQ593" s="27" t="s">
        <v>8</v>
      </c>
      <c r="AR593" s="27" t="s">
        <v>7</v>
      </c>
      <c r="AS593" s="27" t="s">
        <v>8</v>
      </c>
      <c r="AT593" s="27" t="s">
        <v>7</v>
      </c>
      <c r="BO593" s="27" t="s">
        <v>8</v>
      </c>
      <c r="BP593" s="27" t="s">
        <v>7</v>
      </c>
      <c r="BQ593" s="27" t="s">
        <v>8</v>
      </c>
      <c r="BR593" s="27" t="s">
        <v>7</v>
      </c>
      <c r="BS593" s="27" t="s">
        <v>8</v>
      </c>
      <c r="BT593" s="27" t="s">
        <v>7</v>
      </c>
      <c r="BU593" s="27" t="s">
        <v>8</v>
      </c>
      <c r="BV593" s="27" t="s">
        <v>7</v>
      </c>
      <c r="BW593" s="27" t="s">
        <v>8</v>
      </c>
      <c r="BX593" s="27" t="s">
        <v>7</v>
      </c>
      <c r="BY593" s="27" t="s">
        <v>8</v>
      </c>
      <c r="CH593" s="27" t="s">
        <v>7</v>
      </c>
      <c r="EF593" s="27" t="s">
        <v>7</v>
      </c>
      <c r="EG593" s="27" t="s">
        <v>8</v>
      </c>
      <c r="EH593" s="27" t="s">
        <v>7</v>
      </c>
      <c r="EI593" s="27" t="s">
        <v>8</v>
      </c>
      <c r="EN593" s="27" t="s">
        <v>7</v>
      </c>
      <c r="EO593" s="27" t="s">
        <v>8</v>
      </c>
      <c r="EP593" s="27" t="s">
        <v>7</v>
      </c>
      <c r="EQ593" s="27" t="s">
        <v>8</v>
      </c>
      <c r="ER593" s="27" t="s">
        <v>7</v>
      </c>
      <c r="ES593" s="27" t="s">
        <v>8</v>
      </c>
      <c r="ET593" s="27" t="s">
        <v>7</v>
      </c>
      <c r="FC593" s="27" t="s">
        <v>8</v>
      </c>
      <c r="FS593" s="27" t="s">
        <v>8</v>
      </c>
      <c r="FT593" s="27" t="s">
        <v>7</v>
      </c>
      <c r="FU593" s="27" t="s">
        <v>8</v>
      </c>
      <c r="FV593" s="27" t="s">
        <v>7</v>
      </c>
      <c r="FW593" s="27" t="s">
        <v>8</v>
      </c>
      <c r="FX593" s="27" t="s">
        <v>7</v>
      </c>
      <c r="FY593" s="27" t="s">
        <v>8</v>
      </c>
      <c r="GB593" s="27" t="s">
        <v>7</v>
      </c>
      <c r="GC593" s="27" t="s">
        <v>8</v>
      </c>
      <c r="GD593" s="27" t="s">
        <v>7</v>
      </c>
      <c r="GE593" s="27" t="s">
        <v>8</v>
      </c>
      <c r="GF593" s="27" t="s">
        <v>7</v>
      </c>
      <c r="GG593" s="27" t="s">
        <v>8</v>
      </c>
      <c r="GH593" s="27" t="s">
        <v>7</v>
      </c>
      <c r="GI593" s="27" t="s">
        <v>8</v>
      </c>
      <c r="GJ593" s="27" t="s">
        <v>7</v>
      </c>
      <c r="GK593" s="27" t="s">
        <v>8</v>
      </c>
      <c r="GT593" s="27" t="s">
        <v>7</v>
      </c>
    </row>
    <row r="594" spans="1:204" x14ac:dyDescent="0.25">
      <c r="A594" s="7">
        <v>0.87056017861391399</v>
      </c>
      <c r="B594"/>
      <c r="C594"/>
      <c r="D594"/>
      <c r="E594"/>
      <c r="N594" s="27" t="s">
        <v>7</v>
      </c>
      <c r="O594" s="27" t="s">
        <v>8</v>
      </c>
      <c r="P594" s="27" t="s">
        <v>7</v>
      </c>
      <c r="AG594" s="27" t="s">
        <v>8</v>
      </c>
      <c r="AH594" s="27" t="s">
        <v>7</v>
      </c>
      <c r="AI594" s="27" t="s">
        <v>8</v>
      </c>
      <c r="AJ594" s="27" t="s">
        <v>7</v>
      </c>
      <c r="AK594" s="27" t="s">
        <v>8</v>
      </c>
      <c r="AQ594" s="27" t="s">
        <v>8</v>
      </c>
      <c r="AR594" s="27" t="s">
        <v>7</v>
      </c>
      <c r="AS594" s="27" t="s">
        <v>8</v>
      </c>
      <c r="AT594" s="27" t="s">
        <v>7</v>
      </c>
      <c r="BO594" s="27" t="s">
        <v>8</v>
      </c>
      <c r="BP594" s="27" t="s">
        <v>7</v>
      </c>
      <c r="BQ594" s="27" t="s">
        <v>8</v>
      </c>
      <c r="BR594" s="27" t="s">
        <v>7</v>
      </c>
      <c r="BS594" s="27" t="s">
        <v>8</v>
      </c>
      <c r="BT594" s="27" t="s">
        <v>7</v>
      </c>
      <c r="BU594" s="27" t="s">
        <v>8</v>
      </c>
      <c r="BV594" s="27" t="s">
        <v>7</v>
      </c>
      <c r="BW594" s="27" t="s">
        <v>8</v>
      </c>
      <c r="BX594" s="27" t="s">
        <v>7</v>
      </c>
      <c r="BY594" s="27" t="s">
        <v>8</v>
      </c>
      <c r="EF594" s="27" t="s">
        <v>7</v>
      </c>
      <c r="EG594" s="27" t="s">
        <v>8</v>
      </c>
      <c r="EH594" s="27" t="s">
        <v>7</v>
      </c>
      <c r="EN594" s="27" t="s">
        <v>7</v>
      </c>
      <c r="EO594" s="27" t="s">
        <v>8</v>
      </c>
      <c r="EP594" s="27" t="s">
        <v>7</v>
      </c>
      <c r="EQ594" s="27" t="s">
        <v>8</v>
      </c>
      <c r="ER594" s="27" t="s">
        <v>7</v>
      </c>
      <c r="ES594" s="27" t="s">
        <v>8</v>
      </c>
      <c r="ET594" s="27" t="s">
        <v>7</v>
      </c>
      <c r="FC594" s="27" t="s">
        <v>8</v>
      </c>
      <c r="FD594" s="27" t="s">
        <v>7</v>
      </c>
      <c r="FS594" s="27" t="s">
        <v>8</v>
      </c>
      <c r="FT594" s="27" t="s">
        <v>7</v>
      </c>
      <c r="FU594" s="27" t="s">
        <v>8</v>
      </c>
      <c r="FV594" s="27" t="s">
        <v>7</v>
      </c>
      <c r="FW594" s="27" t="s">
        <v>8</v>
      </c>
      <c r="FX594" s="27" t="s">
        <v>7</v>
      </c>
      <c r="FY594" s="27" t="s">
        <v>8</v>
      </c>
      <c r="GB594" s="27" t="s">
        <v>7</v>
      </c>
      <c r="GC594" s="27" t="s">
        <v>8</v>
      </c>
      <c r="GD594" s="27" t="s">
        <v>7</v>
      </c>
      <c r="GE594" s="27" t="s">
        <v>8</v>
      </c>
      <c r="GF594" s="27" t="s">
        <v>7</v>
      </c>
      <c r="GH594" s="27" t="s">
        <v>7</v>
      </c>
      <c r="GJ594" s="27" t="s">
        <v>7</v>
      </c>
      <c r="GK594" s="27" t="s">
        <v>8</v>
      </c>
      <c r="GT594" s="27" t="s">
        <v>7</v>
      </c>
    </row>
    <row r="595" spans="1:204" x14ac:dyDescent="0.25">
      <c r="A595" s="7">
        <v>0.85349037119011173</v>
      </c>
      <c r="B595"/>
      <c r="C595"/>
      <c r="D595"/>
      <c r="E595"/>
      <c r="N595" s="27" t="s">
        <v>7</v>
      </c>
      <c r="O595" s="27" t="s">
        <v>8</v>
      </c>
      <c r="P595" s="27" t="s">
        <v>7</v>
      </c>
      <c r="AG595" s="27" t="s">
        <v>8</v>
      </c>
      <c r="AH595" s="27" t="s">
        <v>7</v>
      </c>
      <c r="AI595" s="27" t="s">
        <v>8</v>
      </c>
      <c r="AJ595" s="27" t="s">
        <v>7</v>
      </c>
      <c r="AK595" s="27" t="s">
        <v>8</v>
      </c>
      <c r="AL595" s="27" t="s">
        <v>7</v>
      </c>
      <c r="AQ595" s="27" t="s">
        <v>8</v>
      </c>
      <c r="AR595" s="27" t="s">
        <v>7</v>
      </c>
      <c r="AS595" s="27" t="s">
        <v>8</v>
      </c>
      <c r="AT595" s="27" t="s">
        <v>7</v>
      </c>
      <c r="BO595" s="27" t="s">
        <v>8</v>
      </c>
      <c r="BP595" s="27" t="s">
        <v>7</v>
      </c>
      <c r="BQ595" s="27" t="s">
        <v>8</v>
      </c>
      <c r="BR595" s="27" t="s">
        <v>7</v>
      </c>
      <c r="BS595" s="27" t="s">
        <v>8</v>
      </c>
      <c r="BT595" s="27" t="s">
        <v>7</v>
      </c>
      <c r="BU595" s="27" t="s">
        <v>8</v>
      </c>
      <c r="BV595" s="27" t="s">
        <v>7</v>
      </c>
      <c r="BW595" s="27" t="s">
        <v>8</v>
      </c>
      <c r="BX595" s="27" t="s">
        <v>7</v>
      </c>
      <c r="BY595" s="27" t="s">
        <v>8</v>
      </c>
      <c r="EF595" s="27" t="s">
        <v>7</v>
      </c>
      <c r="EG595" s="27" t="s">
        <v>8</v>
      </c>
      <c r="EN595" s="27" t="s">
        <v>7</v>
      </c>
      <c r="EO595" s="27" t="s">
        <v>8</v>
      </c>
      <c r="EP595" s="27" t="s">
        <v>7</v>
      </c>
      <c r="EQ595" s="27" t="s">
        <v>8</v>
      </c>
      <c r="ER595" s="27" t="s">
        <v>7</v>
      </c>
      <c r="ES595" s="27" t="s">
        <v>8</v>
      </c>
      <c r="ET595" s="27" t="s">
        <v>7</v>
      </c>
      <c r="FC595" s="27" t="s">
        <v>8</v>
      </c>
      <c r="FD595" s="27" t="s">
        <v>7</v>
      </c>
      <c r="FS595" s="27" t="s">
        <v>8</v>
      </c>
      <c r="FT595" s="27" t="s">
        <v>7</v>
      </c>
      <c r="FU595" s="27" t="s">
        <v>8</v>
      </c>
      <c r="FV595" s="27" t="s">
        <v>7</v>
      </c>
      <c r="FW595" s="27" t="s">
        <v>8</v>
      </c>
      <c r="FX595" s="27" t="s">
        <v>7</v>
      </c>
      <c r="FY595" s="27" t="s">
        <v>8</v>
      </c>
      <c r="GB595" s="27" t="s">
        <v>7</v>
      </c>
      <c r="GC595" s="27" t="s">
        <v>8</v>
      </c>
      <c r="GD595" s="27" t="s">
        <v>7</v>
      </c>
      <c r="GE595" s="27" t="s">
        <v>8</v>
      </c>
      <c r="GJ595" s="27" t="s">
        <v>7</v>
      </c>
      <c r="GT595" s="27" t="s">
        <v>7</v>
      </c>
    </row>
    <row r="596" spans="1:204" x14ac:dyDescent="0.25">
      <c r="A596" s="7">
        <v>0.83675526587265858</v>
      </c>
      <c r="B596"/>
      <c r="C596"/>
      <c r="D596"/>
      <c r="E596"/>
      <c r="N596" s="27" t="s">
        <v>7</v>
      </c>
      <c r="O596" s="27" t="s">
        <v>8</v>
      </c>
      <c r="P596" s="27" t="s">
        <v>7</v>
      </c>
      <c r="AG596" s="27" t="s">
        <v>8</v>
      </c>
      <c r="AH596" s="27" t="s">
        <v>7</v>
      </c>
      <c r="AI596" s="27" t="s">
        <v>8</v>
      </c>
      <c r="AJ596" s="27" t="s">
        <v>7</v>
      </c>
      <c r="AK596" s="27" t="s">
        <v>8</v>
      </c>
      <c r="AL596" s="27" t="s">
        <v>7</v>
      </c>
      <c r="AQ596" s="27" t="s">
        <v>8</v>
      </c>
      <c r="AR596" s="27" t="s">
        <v>7</v>
      </c>
      <c r="AS596" s="27" t="s">
        <v>8</v>
      </c>
      <c r="AT596" s="27" t="s">
        <v>7</v>
      </c>
      <c r="BO596" s="27" t="s">
        <v>8</v>
      </c>
      <c r="BP596" s="27" t="s">
        <v>7</v>
      </c>
      <c r="BQ596" s="27" t="s">
        <v>8</v>
      </c>
      <c r="BR596" s="27" t="s">
        <v>7</v>
      </c>
      <c r="BS596" s="27" t="s">
        <v>8</v>
      </c>
      <c r="BT596" s="27" t="s">
        <v>7</v>
      </c>
      <c r="BU596" s="27" t="s">
        <v>8</v>
      </c>
      <c r="BV596" s="27" t="s">
        <v>7</v>
      </c>
      <c r="BW596" s="27" t="s">
        <v>8</v>
      </c>
      <c r="BX596" s="27" t="s">
        <v>7</v>
      </c>
      <c r="BY596" s="27" t="s">
        <v>8</v>
      </c>
      <c r="EF596" s="27" t="s">
        <v>7</v>
      </c>
      <c r="EG596" s="27" t="s">
        <v>8</v>
      </c>
      <c r="EN596" s="27" t="s">
        <v>7</v>
      </c>
      <c r="EO596" s="27" t="s">
        <v>8</v>
      </c>
      <c r="EP596" s="27" t="s">
        <v>7</v>
      </c>
      <c r="EQ596" s="27" t="s">
        <v>8</v>
      </c>
      <c r="ER596" s="27" t="s">
        <v>7</v>
      </c>
      <c r="ES596" s="27" t="s">
        <v>8</v>
      </c>
      <c r="ET596" s="27" t="s">
        <v>7</v>
      </c>
      <c r="FC596" s="27" t="s">
        <v>8</v>
      </c>
      <c r="FD596" s="27" t="s">
        <v>7</v>
      </c>
      <c r="FQ596" s="27" t="s">
        <v>8</v>
      </c>
      <c r="FS596" s="27" t="s">
        <v>8</v>
      </c>
      <c r="FT596" s="27" t="s">
        <v>7</v>
      </c>
      <c r="FU596" s="27" t="s">
        <v>8</v>
      </c>
      <c r="FV596" s="27" t="s">
        <v>7</v>
      </c>
      <c r="FX596" s="27" t="s">
        <v>7</v>
      </c>
      <c r="GB596" s="27" t="s">
        <v>7</v>
      </c>
      <c r="GD596" s="27" t="s">
        <v>7</v>
      </c>
      <c r="GE596" s="27" t="s">
        <v>8</v>
      </c>
      <c r="GT596" s="27" t="s">
        <v>7</v>
      </c>
    </row>
    <row r="597" spans="1:204" x14ac:dyDescent="0.25">
      <c r="A597" s="7">
        <v>0.82034829987515545</v>
      </c>
      <c r="B597"/>
      <c r="C597"/>
      <c r="D597"/>
      <c r="E597"/>
      <c r="N597" s="27" t="s">
        <v>7</v>
      </c>
      <c r="O597" s="27" t="s">
        <v>8</v>
      </c>
      <c r="P597" s="27" t="s">
        <v>7</v>
      </c>
      <c r="AG597" s="27" t="s">
        <v>8</v>
      </c>
      <c r="AH597" s="27" t="s">
        <v>7</v>
      </c>
      <c r="AI597" s="27" t="s">
        <v>8</v>
      </c>
      <c r="AJ597" s="27" t="s">
        <v>7</v>
      </c>
      <c r="AK597" s="27" t="s">
        <v>8</v>
      </c>
      <c r="AL597" s="27" t="s">
        <v>7</v>
      </c>
      <c r="AQ597" s="27" t="s">
        <v>8</v>
      </c>
      <c r="AR597" s="27" t="s">
        <v>7</v>
      </c>
      <c r="AS597" s="27" t="s">
        <v>8</v>
      </c>
      <c r="AT597" s="27" t="s">
        <v>7</v>
      </c>
      <c r="BO597" s="27" t="s">
        <v>8</v>
      </c>
      <c r="BP597" s="27" t="s">
        <v>7</v>
      </c>
      <c r="BQ597" s="27" t="s">
        <v>8</v>
      </c>
      <c r="BR597" s="27" t="s">
        <v>7</v>
      </c>
      <c r="BS597" s="27" t="s">
        <v>8</v>
      </c>
      <c r="BT597" s="27" t="s">
        <v>7</v>
      </c>
      <c r="BU597" s="27" t="s">
        <v>8</v>
      </c>
      <c r="BV597" s="27" t="s">
        <v>7</v>
      </c>
      <c r="BW597" s="27" t="s">
        <v>8</v>
      </c>
      <c r="BX597" s="27" t="s">
        <v>7</v>
      </c>
      <c r="BY597" s="27" t="s">
        <v>8</v>
      </c>
      <c r="EF597" s="27" t="s">
        <v>7</v>
      </c>
      <c r="EG597" s="27" t="s">
        <v>8</v>
      </c>
      <c r="EN597" s="27" t="s">
        <v>7</v>
      </c>
      <c r="EP597" s="27" t="s">
        <v>7</v>
      </c>
      <c r="EQ597" s="27" t="s">
        <v>8</v>
      </c>
      <c r="ER597" s="27" t="s">
        <v>7</v>
      </c>
      <c r="ES597" s="27" t="s">
        <v>8</v>
      </c>
      <c r="ET597" s="27" t="s">
        <v>7</v>
      </c>
      <c r="FC597" s="27" t="s">
        <v>8</v>
      </c>
      <c r="FD597" s="27" t="s">
        <v>7</v>
      </c>
      <c r="FQ597" s="27" t="s">
        <v>8</v>
      </c>
      <c r="FR597" s="27" t="s">
        <v>7</v>
      </c>
      <c r="FS597" s="27" t="s">
        <v>8</v>
      </c>
      <c r="FT597" s="27" t="s">
        <v>7</v>
      </c>
      <c r="FU597" s="27" t="s">
        <v>8</v>
      </c>
      <c r="GD597" s="27" t="s">
        <v>7</v>
      </c>
      <c r="GE597" s="27" t="s">
        <v>8</v>
      </c>
      <c r="GT597" s="27" t="s">
        <v>7</v>
      </c>
    </row>
    <row r="598" spans="1:204" x14ac:dyDescent="0.25">
      <c r="A598" s="7">
        <v>0.80426303909328967</v>
      </c>
      <c r="B598"/>
      <c r="C598"/>
      <c r="D598"/>
      <c r="E598"/>
      <c r="N598" s="27" t="s">
        <v>7</v>
      </c>
      <c r="O598" s="27" t="s">
        <v>8</v>
      </c>
      <c r="P598" s="27" t="s">
        <v>7</v>
      </c>
      <c r="AG598" s="27" t="s">
        <v>8</v>
      </c>
      <c r="AH598" s="27" t="s">
        <v>7</v>
      </c>
      <c r="AI598" s="27" t="s">
        <v>8</v>
      </c>
      <c r="AJ598" s="27" t="s">
        <v>7</v>
      </c>
      <c r="AK598" s="27" t="s">
        <v>8</v>
      </c>
      <c r="AL598" s="27" t="s">
        <v>7</v>
      </c>
      <c r="AQ598" s="27" t="s">
        <v>8</v>
      </c>
      <c r="AR598" s="27" t="s">
        <v>7</v>
      </c>
      <c r="AS598" s="27" t="s">
        <v>8</v>
      </c>
      <c r="AT598" s="27" t="s">
        <v>7</v>
      </c>
      <c r="BO598" s="27" t="s">
        <v>8</v>
      </c>
      <c r="BP598" s="27" t="s">
        <v>7</v>
      </c>
      <c r="BQ598" s="27" t="s">
        <v>8</v>
      </c>
      <c r="BR598" s="27" t="s">
        <v>7</v>
      </c>
      <c r="BS598" s="27" t="s">
        <v>8</v>
      </c>
      <c r="BT598" s="27" t="s">
        <v>7</v>
      </c>
      <c r="BU598" s="27" t="s">
        <v>8</v>
      </c>
      <c r="BV598" s="27" t="s">
        <v>7</v>
      </c>
      <c r="BW598" s="27" t="s">
        <v>8</v>
      </c>
      <c r="BX598" s="27" t="s">
        <v>7</v>
      </c>
      <c r="EF598" s="27" t="s">
        <v>7</v>
      </c>
      <c r="EG598" s="27" t="s">
        <v>8</v>
      </c>
      <c r="EP598" s="27" t="s">
        <v>7</v>
      </c>
      <c r="EQ598" s="27" t="s">
        <v>8</v>
      </c>
      <c r="ER598" s="27" t="s">
        <v>7</v>
      </c>
      <c r="ES598" s="27" t="s">
        <v>8</v>
      </c>
      <c r="ET598" s="27" t="s">
        <v>7</v>
      </c>
      <c r="FC598" s="27" t="s">
        <v>8</v>
      </c>
      <c r="FD598" s="27" t="s">
        <v>7</v>
      </c>
      <c r="FQ598" s="27" t="s">
        <v>8</v>
      </c>
      <c r="FR598" s="27" t="s">
        <v>7</v>
      </c>
      <c r="FS598" s="27" t="s">
        <v>8</v>
      </c>
      <c r="FT598" s="27" t="s">
        <v>7</v>
      </c>
      <c r="GD598" s="27" t="s">
        <v>7</v>
      </c>
      <c r="GE598" s="27" t="s">
        <v>8</v>
      </c>
      <c r="GT598" s="27" t="s">
        <v>7</v>
      </c>
    </row>
    <row r="599" spans="1:204" x14ac:dyDescent="0.25">
      <c r="A599" s="7">
        <v>0.78849317558165644</v>
      </c>
      <c r="B599"/>
      <c r="C599"/>
      <c r="D599"/>
      <c r="E599"/>
      <c r="N599" s="27" t="s">
        <v>7</v>
      </c>
      <c r="O599" s="27" t="s">
        <v>8</v>
      </c>
      <c r="P599" s="27" t="s">
        <v>7</v>
      </c>
      <c r="AG599" s="27" t="s">
        <v>8</v>
      </c>
      <c r="AH599" s="27" t="s">
        <v>7</v>
      </c>
      <c r="AI599" s="27" t="s">
        <v>8</v>
      </c>
      <c r="AJ599" s="27" t="s">
        <v>7</v>
      </c>
      <c r="AK599" s="27" t="s">
        <v>8</v>
      </c>
      <c r="AL599" s="27" t="s">
        <v>7</v>
      </c>
      <c r="AM599" s="27" t="s">
        <v>8</v>
      </c>
      <c r="AQ599" s="27" t="s">
        <v>8</v>
      </c>
      <c r="AR599" s="27" t="s">
        <v>7</v>
      </c>
      <c r="AS599" s="27" t="s">
        <v>8</v>
      </c>
      <c r="AT599" s="27" t="s">
        <v>7</v>
      </c>
      <c r="BO599" s="27" t="s">
        <v>8</v>
      </c>
      <c r="BP599" s="27" t="s">
        <v>7</v>
      </c>
      <c r="BQ599" s="27" t="s">
        <v>8</v>
      </c>
      <c r="BR599" s="27" t="s">
        <v>7</v>
      </c>
      <c r="BS599" s="27" t="s">
        <v>8</v>
      </c>
      <c r="BT599" s="27" t="s">
        <v>7</v>
      </c>
      <c r="BU599" s="27" t="s">
        <v>8</v>
      </c>
      <c r="BV599" s="27" t="s">
        <v>7</v>
      </c>
      <c r="BW599" s="27" t="s">
        <v>8</v>
      </c>
      <c r="EF599" s="27" t="s">
        <v>7</v>
      </c>
      <c r="EG599" s="27" t="s">
        <v>8</v>
      </c>
      <c r="EP599" s="27" t="s">
        <v>7</v>
      </c>
      <c r="EQ599" s="27" t="s">
        <v>8</v>
      </c>
      <c r="ER599" s="27" t="s">
        <v>7</v>
      </c>
      <c r="ET599" s="27" t="s">
        <v>7</v>
      </c>
      <c r="FC599" s="27" t="s">
        <v>8</v>
      </c>
      <c r="FD599" s="27" t="s">
        <v>7</v>
      </c>
      <c r="FQ599" s="27" t="s">
        <v>8</v>
      </c>
      <c r="FR599" s="27" t="s">
        <v>7</v>
      </c>
      <c r="FS599" s="27" t="s">
        <v>8</v>
      </c>
      <c r="GD599" s="27" t="s">
        <v>7</v>
      </c>
      <c r="GT599" s="27" t="s">
        <v>7</v>
      </c>
      <c r="GU599" s="27" t="s">
        <v>8</v>
      </c>
    </row>
    <row r="600" spans="1:204" x14ac:dyDescent="0.25">
      <c r="A600" s="7">
        <v>0.77303252508005538</v>
      </c>
      <c r="B600"/>
      <c r="C600"/>
      <c r="D600"/>
      <c r="E600"/>
      <c r="N600" s="27" t="s">
        <v>7</v>
      </c>
      <c r="O600" s="27" t="s">
        <v>8</v>
      </c>
      <c r="P600" s="27" t="s">
        <v>7</v>
      </c>
      <c r="Q600" s="27" t="s">
        <v>8</v>
      </c>
      <c r="AG600" s="27" t="s">
        <v>8</v>
      </c>
      <c r="AH600" s="27" t="s">
        <v>7</v>
      </c>
      <c r="AI600" s="27" t="s">
        <v>8</v>
      </c>
      <c r="AJ600" s="27" t="s">
        <v>7</v>
      </c>
      <c r="AK600" s="27" t="s">
        <v>8</v>
      </c>
      <c r="AL600" s="27" t="s">
        <v>7</v>
      </c>
      <c r="AM600" s="27" t="s">
        <v>8</v>
      </c>
      <c r="AN600" s="27" t="s">
        <v>7</v>
      </c>
      <c r="AQ600" s="27" t="s">
        <v>8</v>
      </c>
      <c r="AR600" s="27" t="s">
        <v>7</v>
      </c>
      <c r="AS600" s="27" t="s">
        <v>8</v>
      </c>
      <c r="AT600" s="27" t="s">
        <v>7</v>
      </c>
      <c r="BO600" s="27" t="s">
        <v>8</v>
      </c>
      <c r="BP600" s="27" t="s">
        <v>7</v>
      </c>
      <c r="BQ600" s="27" t="s">
        <v>8</v>
      </c>
      <c r="BR600" s="27" t="s">
        <v>7</v>
      </c>
      <c r="BS600" s="27" t="s">
        <v>8</v>
      </c>
      <c r="BT600" s="27" t="s">
        <v>7</v>
      </c>
      <c r="BU600" s="27" t="s">
        <v>8</v>
      </c>
      <c r="BV600" s="27" t="s">
        <v>7</v>
      </c>
      <c r="BW600" s="27" t="s">
        <v>8</v>
      </c>
      <c r="EF600" s="27" t="s">
        <v>7</v>
      </c>
      <c r="EG600" s="27" t="s">
        <v>8</v>
      </c>
      <c r="EP600" s="27" t="s">
        <v>7</v>
      </c>
      <c r="EQ600" s="27" t="s">
        <v>8</v>
      </c>
      <c r="ET600" s="27" t="s">
        <v>7</v>
      </c>
      <c r="FC600" s="27" t="s">
        <v>8</v>
      </c>
      <c r="FD600" s="27" t="s">
        <v>7</v>
      </c>
      <c r="FG600" s="27" t="s">
        <v>8</v>
      </c>
      <c r="FM600" s="27" t="s">
        <v>8</v>
      </c>
      <c r="FQ600" s="27" t="s">
        <v>8</v>
      </c>
      <c r="FR600" s="27" t="s">
        <v>7</v>
      </c>
      <c r="FS600" s="27" t="s">
        <v>8</v>
      </c>
      <c r="GT600" s="27" t="s">
        <v>7</v>
      </c>
      <c r="GU600" s="27" t="s">
        <v>8</v>
      </c>
      <c r="GV600" s="27" t="s">
        <v>7</v>
      </c>
    </row>
    <row r="601" spans="1:204" x14ac:dyDescent="0.25">
      <c r="A601" s="7">
        <v>0.75787502458828959</v>
      </c>
      <c r="B601"/>
      <c r="C601"/>
      <c r="D601"/>
      <c r="E601"/>
      <c r="N601" s="27" t="s">
        <v>7</v>
      </c>
      <c r="O601" s="27" t="s">
        <v>8</v>
      </c>
      <c r="P601" s="27" t="s">
        <v>7</v>
      </c>
      <c r="Q601" s="27" t="s">
        <v>8</v>
      </c>
      <c r="R601" s="27" t="s">
        <v>7</v>
      </c>
      <c r="Y601" s="27" t="s">
        <v>8</v>
      </c>
      <c r="AG601" s="27" t="s">
        <v>8</v>
      </c>
      <c r="AH601" s="27" t="s">
        <v>7</v>
      </c>
      <c r="AJ601" s="27" t="s">
        <v>7</v>
      </c>
      <c r="AK601" s="27" t="s">
        <v>8</v>
      </c>
      <c r="AL601" s="27" t="s">
        <v>7</v>
      </c>
      <c r="AM601" s="27" t="s">
        <v>8</v>
      </c>
      <c r="AN601" s="27" t="s">
        <v>7</v>
      </c>
      <c r="AQ601" s="27" t="s">
        <v>8</v>
      </c>
      <c r="AR601" s="27" t="s">
        <v>7</v>
      </c>
      <c r="AS601" s="27" t="s">
        <v>8</v>
      </c>
      <c r="AT601" s="27" t="s">
        <v>7</v>
      </c>
      <c r="AU601" s="27" t="s">
        <v>8</v>
      </c>
      <c r="BO601" s="27" t="s">
        <v>8</v>
      </c>
      <c r="BP601" s="27" t="s">
        <v>7</v>
      </c>
      <c r="BQ601" s="27" t="s">
        <v>8</v>
      </c>
      <c r="BR601" s="27" t="s">
        <v>7</v>
      </c>
      <c r="BS601" s="27" t="s">
        <v>8</v>
      </c>
      <c r="BT601" s="27" t="s">
        <v>7</v>
      </c>
      <c r="BV601" s="27" t="s">
        <v>7</v>
      </c>
      <c r="BW601" s="27" t="s">
        <v>8</v>
      </c>
      <c r="EF601" s="27" t="s">
        <v>7</v>
      </c>
      <c r="EG601" s="27" t="s">
        <v>8</v>
      </c>
      <c r="EP601" s="27" t="s">
        <v>7</v>
      </c>
      <c r="ET601" s="27" t="s">
        <v>7</v>
      </c>
      <c r="EU601" s="27" t="s">
        <v>8</v>
      </c>
      <c r="FC601" s="27" t="s">
        <v>8</v>
      </c>
      <c r="FD601" s="27" t="s">
        <v>7</v>
      </c>
      <c r="FG601" s="27" t="s">
        <v>8</v>
      </c>
      <c r="FH601" s="27" t="s">
        <v>7</v>
      </c>
      <c r="FM601" s="27" t="s">
        <v>8</v>
      </c>
      <c r="FN601" s="27" t="s">
        <v>7</v>
      </c>
      <c r="FQ601" s="27" t="s">
        <v>8</v>
      </c>
      <c r="FR601" s="27" t="s">
        <v>7</v>
      </c>
      <c r="FS601" s="27" t="s">
        <v>8</v>
      </c>
      <c r="GT601" s="27" t="s">
        <v>7</v>
      </c>
      <c r="GU601" s="27" t="s">
        <v>8</v>
      </c>
      <c r="GV601" s="27" t="s">
        <v>7</v>
      </c>
    </row>
    <row r="602" spans="1:204" x14ac:dyDescent="0.25">
      <c r="A602" s="7">
        <v>0.74301472998851925</v>
      </c>
      <c r="B602"/>
      <c r="C602"/>
      <c r="D602"/>
      <c r="E602"/>
      <c r="N602" s="27" t="s">
        <v>7</v>
      </c>
      <c r="O602" s="27" t="s">
        <v>8</v>
      </c>
      <c r="P602" s="27" t="s">
        <v>7</v>
      </c>
      <c r="Q602" s="27" t="s">
        <v>8</v>
      </c>
      <c r="R602" s="27" t="s">
        <v>7</v>
      </c>
      <c r="Y602" s="27" t="s">
        <v>8</v>
      </c>
      <c r="Z602" s="27" t="s">
        <v>7</v>
      </c>
      <c r="AG602" s="27" t="s">
        <v>8</v>
      </c>
      <c r="AJ602" s="27" t="s">
        <v>7</v>
      </c>
      <c r="AK602" s="27" t="s">
        <v>8</v>
      </c>
      <c r="AL602" s="27" t="s">
        <v>7</v>
      </c>
      <c r="AM602" s="27" t="s">
        <v>8</v>
      </c>
      <c r="AN602" s="27" t="s">
        <v>7</v>
      </c>
      <c r="AQ602" s="27" t="s">
        <v>8</v>
      </c>
      <c r="AR602" s="27" t="s">
        <v>7</v>
      </c>
      <c r="AT602" s="27" t="s">
        <v>7</v>
      </c>
      <c r="AU602" s="27" t="s">
        <v>8</v>
      </c>
      <c r="AV602" s="27" t="s">
        <v>7</v>
      </c>
      <c r="BO602" s="27" t="s">
        <v>8</v>
      </c>
      <c r="BP602" s="27" t="s">
        <v>7</v>
      </c>
      <c r="BQ602" s="27" t="s">
        <v>8</v>
      </c>
      <c r="BR602" s="27" t="s">
        <v>7</v>
      </c>
      <c r="BS602" s="27" t="s">
        <v>8</v>
      </c>
      <c r="BV602" s="27" t="s">
        <v>7</v>
      </c>
      <c r="BW602" s="27" t="s">
        <v>8</v>
      </c>
      <c r="EF602" s="27" t="s">
        <v>7</v>
      </c>
      <c r="EG602" s="27" t="s">
        <v>8</v>
      </c>
      <c r="ET602" s="27" t="s">
        <v>7</v>
      </c>
      <c r="EU602" s="27" t="s">
        <v>8</v>
      </c>
      <c r="EV602" s="27" t="s">
        <v>7</v>
      </c>
      <c r="FC602" s="27" t="s">
        <v>8</v>
      </c>
      <c r="FD602" s="27" t="s">
        <v>7</v>
      </c>
      <c r="FG602" s="27" t="s">
        <v>8</v>
      </c>
      <c r="FH602" s="27" t="s">
        <v>7</v>
      </c>
      <c r="FM602" s="27" t="s">
        <v>8</v>
      </c>
      <c r="FN602" s="27" t="s">
        <v>7</v>
      </c>
      <c r="FQ602" s="27" t="s">
        <v>8</v>
      </c>
      <c r="FR602" s="27" t="s">
        <v>7</v>
      </c>
      <c r="FS602" s="27" t="s">
        <v>8</v>
      </c>
      <c r="GT602" s="27" t="s">
        <v>7</v>
      </c>
      <c r="GU602" s="27" t="s">
        <v>8</v>
      </c>
      <c r="GV602" s="27" t="s">
        <v>7</v>
      </c>
    </row>
    <row r="603" spans="1:204" x14ac:dyDescent="0.25">
      <c r="A603" s="7">
        <v>0.72844581371423456</v>
      </c>
      <c r="B603"/>
      <c r="C603"/>
      <c r="D603"/>
      <c r="E603"/>
      <c r="N603" s="27" t="s">
        <v>7</v>
      </c>
      <c r="O603" s="27" t="s">
        <v>8</v>
      </c>
      <c r="P603" s="27" t="s">
        <v>7</v>
      </c>
      <c r="Q603" s="27" t="s">
        <v>8</v>
      </c>
      <c r="R603" s="27" t="s">
        <v>7</v>
      </c>
      <c r="Y603" s="27" t="s">
        <v>8</v>
      </c>
      <c r="Z603" s="27" t="s">
        <v>7</v>
      </c>
      <c r="AG603" s="27" t="s">
        <v>8</v>
      </c>
      <c r="AJ603" s="27" t="s">
        <v>7</v>
      </c>
      <c r="AL603" s="27" t="s">
        <v>7</v>
      </c>
      <c r="AM603" s="27" t="s">
        <v>8</v>
      </c>
      <c r="AN603" s="27" t="s">
        <v>7</v>
      </c>
      <c r="AQ603" s="27" t="s">
        <v>8</v>
      </c>
      <c r="AT603" s="27" t="s">
        <v>7</v>
      </c>
      <c r="AU603" s="27" t="s">
        <v>8</v>
      </c>
      <c r="AV603" s="27" t="s">
        <v>7</v>
      </c>
      <c r="AY603" s="27" t="s">
        <v>8</v>
      </c>
      <c r="BA603" s="27" t="s">
        <v>8</v>
      </c>
      <c r="BO603" s="27" t="s">
        <v>8</v>
      </c>
      <c r="BP603" s="27" t="s">
        <v>7</v>
      </c>
      <c r="BQ603" s="27" t="s">
        <v>8</v>
      </c>
      <c r="BR603" s="27" t="s">
        <v>7</v>
      </c>
      <c r="BS603" s="27" t="s">
        <v>8</v>
      </c>
      <c r="BV603" s="27" t="s">
        <v>7</v>
      </c>
      <c r="BW603" s="27" t="s">
        <v>8</v>
      </c>
      <c r="EF603" s="27" t="s">
        <v>7</v>
      </c>
      <c r="EG603" s="27" t="s">
        <v>8</v>
      </c>
      <c r="ET603" s="27" t="s">
        <v>7</v>
      </c>
      <c r="EU603" s="27" t="s">
        <v>8</v>
      </c>
      <c r="EV603" s="27" t="s">
        <v>7</v>
      </c>
      <c r="FC603" s="27" t="s">
        <v>8</v>
      </c>
      <c r="FD603" s="27" t="s">
        <v>7</v>
      </c>
      <c r="FG603" s="27" t="s">
        <v>8</v>
      </c>
      <c r="FH603" s="27" t="s">
        <v>7</v>
      </c>
      <c r="FM603" s="27" t="s">
        <v>8</v>
      </c>
      <c r="FN603" s="27" t="s">
        <v>7</v>
      </c>
      <c r="FQ603" s="27" t="s">
        <v>8</v>
      </c>
      <c r="FR603" s="27" t="s">
        <v>7</v>
      </c>
      <c r="FS603" s="27" t="s">
        <v>8</v>
      </c>
      <c r="GT603" s="27" t="s">
        <v>7</v>
      </c>
      <c r="GU603" s="27" t="s">
        <v>8</v>
      </c>
      <c r="GV603" s="27" t="s">
        <v>7</v>
      </c>
    </row>
    <row r="604" spans="1:204" x14ac:dyDescent="0.25">
      <c r="A604" s="7">
        <v>0.71416256246493581</v>
      </c>
      <c r="B604"/>
      <c r="C604"/>
      <c r="D604"/>
      <c r="E604"/>
      <c r="N604" s="27" t="s">
        <v>7</v>
      </c>
      <c r="O604" s="27" t="s">
        <v>8</v>
      </c>
      <c r="P604" s="27" t="s">
        <v>7</v>
      </c>
      <c r="Q604" s="27" t="s">
        <v>8</v>
      </c>
      <c r="R604" s="27" t="s">
        <v>7</v>
      </c>
      <c r="Y604" s="27" t="s">
        <v>8</v>
      </c>
      <c r="Z604" s="27" t="s">
        <v>7</v>
      </c>
      <c r="AG604" s="27" t="s">
        <v>8</v>
      </c>
      <c r="AL604" s="27" t="s">
        <v>7</v>
      </c>
      <c r="AM604" s="27" t="s">
        <v>8</v>
      </c>
      <c r="AN604" s="27" t="s">
        <v>7</v>
      </c>
      <c r="AQ604" s="27" t="s">
        <v>8</v>
      </c>
      <c r="AT604" s="27" t="s">
        <v>7</v>
      </c>
      <c r="AU604" s="27" t="s">
        <v>8</v>
      </c>
      <c r="AV604" s="27" t="s">
        <v>7</v>
      </c>
      <c r="AW604" s="27" t="s">
        <v>8</v>
      </c>
      <c r="AY604" s="27" t="s">
        <v>8</v>
      </c>
      <c r="AZ604" s="27" t="s">
        <v>7</v>
      </c>
      <c r="BA604" s="27" t="s">
        <v>8</v>
      </c>
      <c r="BB604" s="27" t="s">
        <v>7</v>
      </c>
      <c r="BO604" s="27" t="s">
        <v>8</v>
      </c>
      <c r="BP604" s="27" t="s">
        <v>7</v>
      </c>
      <c r="BQ604" s="27" t="s">
        <v>8</v>
      </c>
      <c r="BR604" s="27" t="s">
        <v>7</v>
      </c>
      <c r="BS604" s="27" t="s">
        <v>8</v>
      </c>
      <c r="BV604" s="27" t="s">
        <v>7</v>
      </c>
      <c r="BW604" s="27" t="s">
        <v>8</v>
      </c>
      <c r="EF604" s="27" t="s">
        <v>7</v>
      </c>
      <c r="EG604" s="27" t="s">
        <v>8</v>
      </c>
      <c r="ET604" s="27" t="s">
        <v>7</v>
      </c>
      <c r="EU604" s="27" t="s">
        <v>8</v>
      </c>
      <c r="EV604" s="27" t="s">
        <v>7</v>
      </c>
      <c r="FC604" s="27" t="s">
        <v>8</v>
      </c>
      <c r="FD604" s="27" t="s">
        <v>7</v>
      </c>
      <c r="FE604" s="27" t="s">
        <v>8</v>
      </c>
      <c r="FG604" s="27" t="s">
        <v>8</v>
      </c>
      <c r="FH604" s="27" t="s">
        <v>7</v>
      </c>
      <c r="FM604" s="27" t="s">
        <v>8</v>
      </c>
      <c r="FN604" s="27" t="s">
        <v>7</v>
      </c>
      <c r="FQ604" s="27" t="s">
        <v>8</v>
      </c>
      <c r="FR604" s="27" t="s">
        <v>7</v>
      </c>
      <c r="FS604" s="27" t="s">
        <v>8</v>
      </c>
      <c r="GT604" s="27" t="s">
        <v>7</v>
      </c>
      <c r="GU604" s="27" t="s">
        <v>8</v>
      </c>
      <c r="GV604" s="27" t="s">
        <v>7</v>
      </c>
    </row>
    <row r="605" spans="1:204" x14ac:dyDescent="0.25">
      <c r="A605" s="7">
        <v>0.7001593749656233</v>
      </c>
      <c r="B605"/>
      <c r="C605"/>
      <c r="D605"/>
      <c r="E605"/>
      <c r="N605" s="27" t="s">
        <v>7</v>
      </c>
      <c r="O605" s="27" t="s">
        <v>8</v>
      </c>
      <c r="P605" s="27" t="s">
        <v>7</v>
      </c>
      <c r="R605" s="27" t="s">
        <v>7</v>
      </c>
      <c r="Y605" s="27" t="s">
        <v>8</v>
      </c>
      <c r="Z605" s="27" t="s">
        <v>7</v>
      </c>
      <c r="AG605" s="27" t="s">
        <v>8</v>
      </c>
      <c r="AL605" s="27" t="s">
        <v>7</v>
      </c>
      <c r="AM605" s="27" t="s">
        <v>8</v>
      </c>
      <c r="AN605" s="27" t="s">
        <v>7</v>
      </c>
      <c r="AQ605" s="27" t="s">
        <v>8</v>
      </c>
      <c r="AT605" s="27" t="s">
        <v>7</v>
      </c>
      <c r="AU605" s="27" t="s">
        <v>8</v>
      </c>
      <c r="AV605" s="27" t="s">
        <v>7</v>
      </c>
      <c r="AW605" s="27" t="s">
        <v>8</v>
      </c>
      <c r="AX605" s="27" t="s">
        <v>7</v>
      </c>
      <c r="AY605" s="27" t="s">
        <v>8</v>
      </c>
      <c r="AZ605" s="27" t="s">
        <v>7</v>
      </c>
      <c r="BA605" s="27" t="s">
        <v>8</v>
      </c>
      <c r="BB605" s="27" t="s">
        <v>7</v>
      </c>
      <c r="BO605" s="27" t="s">
        <v>8</v>
      </c>
      <c r="BP605" s="27" t="s">
        <v>7</v>
      </c>
      <c r="BQ605" s="27" t="s">
        <v>8</v>
      </c>
      <c r="BR605" s="27" t="s">
        <v>7</v>
      </c>
      <c r="BS605" s="27" t="s">
        <v>8</v>
      </c>
      <c r="BV605" s="27" t="s">
        <v>7</v>
      </c>
      <c r="BW605" s="27" t="s">
        <v>8</v>
      </c>
      <c r="EF605" s="27" t="s">
        <v>7</v>
      </c>
      <c r="EG605" s="27" t="s">
        <v>8</v>
      </c>
      <c r="ET605" s="27" t="s">
        <v>7</v>
      </c>
      <c r="EU605" s="27" t="s">
        <v>8</v>
      </c>
      <c r="EV605" s="27" t="s">
        <v>7</v>
      </c>
      <c r="EY605" s="27" t="s">
        <v>8</v>
      </c>
      <c r="FC605" s="27" t="s">
        <v>8</v>
      </c>
      <c r="FD605" s="27" t="s">
        <v>7</v>
      </c>
      <c r="FE605" s="27" t="s">
        <v>8</v>
      </c>
      <c r="FF605" s="27" t="s">
        <v>7</v>
      </c>
      <c r="FG605" s="27" t="s">
        <v>8</v>
      </c>
      <c r="FH605" s="27" t="s">
        <v>7</v>
      </c>
      <c r="FM605" s="27" t="s">
        <v>8</v>
      </c>
      <c r="FN605" s="27" t="s">
        <v>7</v>
      </c>
      <c r="FQ605" s="27" t="s">
        <v>8</v>
      </c>
      <c r="FR605" s="27" t="s">
        <v>7</v>
      </c>
      <c r="FS605" s="27" t="s">
        <v>8</v>
      </c>
      <c r="GT605" s="27" t="s">
        <v>7</v>
      </c>
      <c r="GU605" s="27" t="s">
        <v>8</v>
      </c>
      <c r="GV605" s="27" t="s">
        <v>7</v>
      </c>
    </row>
    <row r="606" spans="1:204" x14ac:dyDescent="0.25">
      <c r="A606" s="7">
        <v>0.68643075977021883</v>
      </c>
      <c r="B606"/>
      <c r="C606"/>
      <c r="D606"/>
      <c r="E606"/>
      <c r="N606" s="27" t="s">
        <v>7</v>
      </c>
      <c r="O606" s="27" t="s">
        <v>8</v>
      </c>
      <c r="R606" s="27" t="s">
        <v>7</v>
      </c>
      <c r="Y606" s="27" t="s">
        <v>8</v>
      </c>
      <c r="Z606" s="27" t="s">
        <v>7</v>
      </c>
      <c r="AG606" s="27" t="s">
        <v>8</v>
      </c>
      <c r="AL606" s="27" t="s">
        <v>7</v>
      </c>
      <c r="AM606" s="27" t="s">
        <v>8</v>
      </c>
      <c r="AN606" s="27" t="s">
        <v>7</v>
      </c>
      <c r="AQ606" s="27" t="s">
        <v>8</v>
      </c>
      <c r="AT606" s="27" t="s">
        <v>7</v>
      </c>
      <c r="AU606" s="27" t="s">
        <v>8</v>
      </c>
      <c r="AV606" s="27" t="s">
        <v>7</v>
      </c>
      <c r="AW606" s="27" t="s">
        <v>8</v>
      </c>
      <c r="AX606" s="27" t="s">
        <v>7</v>
      </c>
      <c r="AY606" s="27" t="s">
        <v>8</v>
      </c>
      <c r="AZ606" s="27" t="s">
        <v>7</v>
      </c>
      <c r="BA606" s="27" t="s">
        <v>8</v>
      </c>
      <c r="BB606" s="27" t="s">
        <v>7</v>
      </c>
      <c r="BC606" s="27" t="s">
        <v>8</v>
      </c>
      <c r="BO606" s="27" t="s">
        <v>8</v>
      </c>
      <c r="BP606" s="27" t="s">
        <v>7</v>
      </c>
      <c r="BQ606" s="27" t="s">
        <v>8</v>
      </c>
      <c r="BR606" s="27" t="s">
        <v>7</v>
      </c>
      <c r="BS606" s="27" t="s">
        <v>8</v>
      </c>
      <c r="BV606" s="27" t="s">
        <v>7</v>
      </c>
      <c r="BW606" s="27" t="s">
        <v>8</v>
      </c>
      <c r="EF606" s="27" t="s">
        <v>7</v>
      </c>
      <c r="EG606" s="27" t="s">
        <v>8</v>
      </c>
      <c r="ET606" s="27" t="s">
        <v>7</v>
      </c>
      <c r="EU606" s="27" t="s">
        <v>8</v>
      </c>
      <c r="EV606" s="27" t="s">
        <v>7</v>
      </c>
      <c r="EY606" s="27" t="s">
        <v>8</v>
      </c>
      <c r="EZ606" s="27" t="s">
        <v>7</v>
      </c>
      <c r="FC606" s="27" t="s">
        <v>8</v>
      </c>
      <c r="FD606" s="27" t="s">
        <v>7</v>
      </c>
      <c r="FE606" s="27" t="s">
        <v>8</v>
      </c>
      <c r="FF606" s="27" t="s">
        <v>7</v>
      </c>
      <c r="FG606" s="27" t="s">
        <v>8</v>
      </c>
      <c r="FH606" s="27" t="s">
        <v>7</v>
      </c>
      <c r="FK606" s="27" t="s">
        <v>8</v>
      </c>
      <c r="FM606" s="27" t="s">
        <v>8</v>
      </c>
      <c r="FN606" s="27" t="s">
        <v>7</v>
      </c>
      <c r="FQ606" s="27" t="s">
        <v>8</v>
      </c>
      <c r="FR606" s="27" t="s">
        <v>7</v>
      </c>
      <c r="FS606" s="27" t="s">
        <v>8</v>
      </c>
      <c r="GT606" s="27" t="s">
        <v>7</v>
      </c>
      <c r="GU606" s="27" t="s">
        <v>8</v>
      </c>
      <c r="GV606" s="27" t="s">
        <v>7</v>
      </c>
    </row>
    <row r="607" spans="1:204" x14ac:dyDescent="0.25">
      <c r="A607" s="7">
        <v>0.67297133310805768</v>
      </c>
      <c r="B607"/>
      <c r="C607"/>
      <c r="D607"/>
      <c r="E607"/>
      <c r="N607" s="27" t="s">
        <v>7</v>
      </c>
      <c r="O607" s="27" t="s">
        <v>8</v>
      </c>
      <c r="R607" s="27" t="s">
        <v>7</v>
      </c>
      <c r="S607" s="27" t="s">
        <v>8</v>
      </c>
      <c r="U607" s="27" t="s">
        <v>8</v>
      </c>
      <c r="W607" s="27" t="s">
        <v>8</v>
      </c>
      <c r="Y607" s="27" t="s">
        <v>8</v>
      </c>
      <c r="Z607" s="27" t="s">
        <v>7</v>
      </c>
      <c r="AG607" s="27" t="s">
        <v>8</v>
      </c>
      <c r="AL607" s="27" t="s">
        <v>7</v>
      </c>
      <c r="AM607" s="27" t="s">
        <v>8</v>
      </c>
      <c r="AN607" s="27" t="s">
        <v>7</v>
      </c>
      <c r="AQ607" s="27" t="s">
        <v>8</v>
      </c>
      <c r="AT607" s="27" t="s">
        <v>7</v>
      </c>
      <c r="AU607" s="27" t="s">
        <v>8</v>
      </c>
      <c r="AV607" s="27" t="s">
        <v>7</v>
      </c>
      <c r="AW607" s="27" t="s">
        <v>8</v>
      </c>
      <c r="AX607" s="27" t="s">
        <v>7</v>
      </c>
      <c r="AY607" s="27" t="s">
        <v>8</v>
      </c>
      <c r="AZ607" s="27" t="s">
        <v>7</v>
      </c>
      <c r="BA607" s="27" t="s">
        <v>8</v>
      </c>
      <c r="BB607" s="27" t="s">
        <v>7</v>
      </c>
      <c r="BC607" s="27" t="s">
        <v>8</v>
      </c>
      <c r="BD607" s="27" t="s">
        <v>7</v>
      </c>
      <c r="BO607" s="27" t="s">
        <v>8</v>
      </c>
      <c r="BP607" s="27" t="s">
        <v>7</v>
      </c>
      <c r="BQ607" s="27" t="s">
        <v>8</v>
      </c>
      <c r="BR607" s="27" t="s">
        <v>7</v>
      </c>
      <c r="BS607" s="27" t="s">
        <v>8</v>
      </c>
      <c r="BV607" s="27" t="s">
        <v>7</v>
      </c>
      <c r="EF607" s="27" t="s">
        <v>7</v>
      </c>
      <c r="EG607" s="27" t="s">
        <v>8</v>
      </c>
      <c r="ET607" s="27" t="s">
        <v>7</v>
      </c>
      <c r="EU607" s="27" t="s">
        <v>8</v>
      </c>
      <c r="EV607" s="27" t="s">
        <v>7</v>
      </c>
      <c r="EW607" s="27" t="s">
        <v>8</v>
      </c>
      <c r="EY607" s="27" t="s">
        <v>8</v>
      </c>
      <c r="EZ607" s="27" t="s">
        <v>7</v>
      </c>
      <c r="FA607" s="27" t="s">
        <v>8</v>
      </c>
      <c r="FC607" s="27" t="s">
        <v>8</v>
      </c>
      <c r="FD607" s="27" t="s">
        <v>7</v>
      </c>
      <c r="FF607" s="27" t="s">
        <v>7</v>
      </c>
      <c r="FG607" s="27" t="s">
        <v>8</v>
      </c>
      <c r="FH607" s="27" t="s">
        <v>7</v>
      </c>
      <c r="FK607" s="27" t="s">
        <v>8</v>
      </c>
      <c r="FL607" s="27" t="s">
        <v>7</v>
      </c>
      <c r="FM607" s="27" t="s">
        <v>8</v>
      </c>
      <c r="FN607" s="27" t="s">
        <v>7</v>
      </c>
      <c r="FO607" s="27" t="s">
        <v>8</v>
      </c>
      <c r="FQ607" s="27" t="s">
        <v>8</v>
      </c>
      <c r="FR607" s="27" t="s">
        <v>7</v>
      </c>
      <c r="FS607" s="27" t="s">
        <v>8</v>
      </c>
      <c r="GT607" s="27" t="s">
        <v>7</v>
      </c>
      <c r="GU607" s="27" t="s">
        <v>8</v>
      </c>
      <c r="GV607" s="27" t="s">
        <v>7</v>
      </c>
    </row>
    <row r="608" spans="1:204" x14ac:dyDescent="0.25">
      <c r="A608" s="7">
        <v>0.65977581677260566</v>
      </c>
      <c r="B608"/>
      <c r="C608"/>
      <c r="D608"/>
      <c r="E608"/>
      <c r="N608" s="27" t="s">
        <v>7</v>
      </c>
      <c r="O608" s="27" t="s">
        <v>8</v>
      </c>
      <c r="R608" s="27" t="s">
        <v>7</v>
      </c>
      <c r="S608" s="27" t="s">
        <v>8</v>
      </c>
      <c r="T608" s="27" t="s">
        <v>7</v>
      </c>
      <c r="U608" s="27" t="s">
        <v>8</v>
      </c>
      <c r="V608" s="27" t="s">
        <v>7</v>
      </c>
      <c r="W608" s="27" t="s">
        <v>8</v>
      </c>
      <c r="X608" s="27" t="s">
        <v>7</v>
      </c>
      <c r="Y608" s="27" t="s">
        <v>8</v>
      </c>
      <c r="Z608" s="27" t="s">
        <v>7</v>
      </c>
      <c r="AG608" s="27" t="s">
        <v>8</v>
      </c>
      <c r="AL608" s="27" t="s">
        <v>7</v>
      </c>
      <c r="AM608" s="27" t="s">
        <v>8</v>
      </c>
      <c r="AN608" s="27" t="s">
        <v>7</v>
      </c>
      <c r="AO608" s="27" t="s">
        <v>8</v>
      </c>
      <c r="AQ608" s="27" t="s">
        <v>8</v>
      </c>
      <c r="AT608" s="27" t="s">
        <v>7</v>
      </c>
      <c r="AU608" s="27" t="s">
        <v>8</v>
      </c>
      <c r="AV608" s="27" t="s">
        <v>7</v>
      </c>
      <c r="AW608" s="27" t="s">
        <v>8</v>
      </c>
      <c r="AX608" s="27" t="s">
        <v>7</v>
      </c>
      <c r="AY608" s="27" t="s">
        <v>8</v>
      </c>
      <c r="AZ608" s="27" t="s">
        <v>7</v>
      </c>
      <c r="BA608" s="27" t="s">
        <v>8</v>
      </c>
      <c r="BB608" s="27" t="s">
        <v>7</v>
      </c>
      <c r="BC608" s="27" t="s">
        <v>8</v>
      </c>
      <c r="BD608" s="27" t="s">
        <v>7</v>
      </c>
      <c r="BO608" s="27" t="s">
        <v>8</v>
      </c>
      <c r="BP608" s="27" t="s">
        <v>7</v>
      </c>
      <c r="BQ608" s="27" t="s">
        <v>8</v>
      </c>
      <c r="BR608" s="27" t="s">
        <v>7</v>
      </c>
      <c r="EF608" s="27" t="s">
        <v>7</v>
      </c>
      <c r="EG608" s="27" t="s">
        <v>8</v>
      </c>
      <c r="ET608" s="27" t="s">
        <v>7</v>
      </c>
      <c r="EU608" s="27" t="s">
        <v>8</v>
      </c>
      <c r="EV608" s="27" t="s">
        <v>7</v>
      </c>
      <c r="EW608" s="27" t="s">
        <v>8</v>
      </c>
      <c r="EX608" s="27" t="s">
        <v>7</v>
      </c>
      <c r="EY608" s="27" t="s">
        <v>8</v>
      </c>
      <c r="EZ608" s="27" t="s">
        <v>7</v>
      </c>
      <c r="FA608" s="27" t="s">
        <v>8</v>
      </c>
      <c r="FB608" s="27" t="s">
        <v>7</v>
      </c>
      <c r="FC608" s="27" t="s">
        <v>8</v>
      </c>
      <c r="FF608" s="27" t="s">
        <v>7</v>
      </c>
      <c r="FG608" s="27" t="s">
        <v>8</v>
      </c>
      <c r="FH608" s="27" t="s">
        <v>7</v>
      </c>
      <c r="FK608" s="27" t="s">
        <v>8</v>
      </c>
      <c r="FL608" s="27" t="s">
        <v>7</v>
      </c>
      <c r="FM608" s="27" t="s">
        <v>8</v>
      </c>
      <c r="FN608" s="27" t="s">
        <v>7</v>
      </c>
      <c r="FO608" s="27" t="s">
        <v>8</v>
      </c>
      <c r="FP608" s="27" t="s">
        <v>7</v>
      </c>
      <c r="FQ608" s="27" t="s">
        <v>8</v>
      </c>
      <c r="FR608" s="27" t="s">
        <v>7</v>
      </c>
      <c r="GT608" s="27" t="s">
        <v>7</v>
      </c>
      <c r="GU608" s="27" t="s">
        <v>8</v>
      </c>
      <c r="GV608" s="27" t="s">
        <v>7</v>
      </c>
    </row>
    <row r="609" spans="1:206" x14ac:dyDescent="0.25">
      <c r="A609" s="7">
        <v>0.64683903605157422</v>
      </c>
      <c r="B609"/>
      <c r="C609"/>
      <c r="D609"/>
      <c r="E609"/>
      <c r="N609" s="27" t="s">
        <v>7</v>
      </c>
      <c r="O609" s="27" t="s">
        <v>8</v>
      </c>
      <c r="R609" s="27" t="s">
        <v>7</v>
      </c>
      <c r="S609" s="27" t="s">
        <v>8</v>
      </c>
      <c r="T609" s="27" t="s">
        <v>7</v>
      </c>
      <c r="U609" s="27" t="s">
        <v>8</v>
      </c>
      <c r="V609" s="27" t="s">
        <v>7</v>
      </c>
      <c r="W609" s="27" t="s">
        <v>8</v>
      </c>
      <c r="X609" s="27" t="s">
        <v>7</v>
      </c>
      <c r="Y609" s="27" t="s">
        <v>8</v>
      </c>
      <c r="Z609" s="27" t="s">
        <v>7</v>
      </c>
      <c r="AG609" s="27" t="s">
        <v>8</v>
      </c>
      <c r="AL609" s="27" t="s">
        <v>7</v>
      </c>
      <c r="AM609" s="27" t="s">
        <v>8</v>
      </c>
      <c r="AN609" s="27" t="s">
        <v>7</v>
      </c>
      <c r="AO609" s="27" t="s">
        <v>8</v>
      </c>
      <c r="AP609" s="27" t="s">
        <v>7</v>
      </c>
      <c r="AQ609" s="27" t="s">
        <v>8</v>
      </c>
      <c r="AT609" s="27" t="s">
        <v>7</v>
      </c>
      <c r="AV609" s="27" t="s">
        <v>7</v>
      </c>
      <c r="AW609" s="27" t="s">
        <v>8</v>
      </c>
      <c r="AX609" s="27" t="s">
        <v>7</v>
      </c>
      <c r="AY609" s="27" t="s">
        <v>8</v>
      </c>
      <c r="AZ609" s="27" t="s">
        <v>7</v>
      </c>
      <c r="BA609" s="27" t="s">
        <v>8</v>
      </c>
      <c r="BB609" s="27" t="s">
        <v>7</v>
      </c>
      <c r="BC609" s="27" t="s">
        <v>8</v>
      </c>
      <c r="BD609" s="27" t="s">
        <v>7</v>
      </c>
      <c r="BO609" s="27" t="s">
        <v>8</v>
      </c>
      <c r="BP609" s="27" t="s">
        <v>7</v>
      </c>
      <c r="BQ609" s="27" t="s">
        <v>8</v>
      </c>
      <c r="EF609" s="27" t="s">
        <v>7</v>
      </c>
      <c r="EG609" s="27" t="s">
        <v>8</v>
      </c>
      <c r="ET609" s="27" t="s">
        <v>7</v>
      </c>
      <c r="EU609" s="27" t="s">
        <v>8</v>
      </c>
      <c r="EV609" s="27" t="s">
        <v>7</v>
      </c>
      <c r="EW609" s="27" t="s">
        <v>8</v>
      </c>
      <c r="EX609" s="27" t="s">
        <v>7</v>
      </c>
      <c r="EY609" s="27" t="s">
        <v>8</v>
      </c>
      <c r="EZ609" s="27" t="s">
        <v>7</v>
      </c>
      <c r="FA609" s="27" t="s">
        <v>8</v>
      </c>
      <c r="FB609" s="27" t="s">
        <v>7</v>
      </c>
      <c r="FC609" s="27" t="s">
        <v>8</v>
      </c>
      <c r="FF609" s="27" t="s">
        <v>7</v>
      </c>
      <c r="FH609" s="27" t="s">
        <v>7</v>
      </c>
      <c r="FI609" s="27" t="s">
        <v>8</v>
      </c>
      <c r="FK609" s="27" t="s">
        <v>8</v>
      </c>
      <c r="FL609" s="27" t="s">
        <v>7</v>
      </c>
      <c r="FM609" s="27" t="s">
        <v>8</v>
      </c>
      <c r="FN609" s="27" t="s">
        <v>7</v>
      </c>
      <c r="FO609" s="27" t="s">
        <v>8</v>
      </c>
      <c r="FP609" s="27" t="s">
        <v>7</v>
      </c>
      <c r="FQ609" s="27" t="s">
        <v>8</v>
      </c>
      <c r="GT609" s="27" t="s">
        <v>7</v>
      </c>
      <c r="GU609" s="27" t="s">
        <v>8</v>
      </c>
      <c r="GV609" s="27" t="s">
        <v>7</v>
      </c>
    </row>
    <row r="610" spans="1:206" x14ac:dyDescent="0.25">
      <c r="A610" s="7">
        <v>0.63415591769762181</v>
      </c>
      <c r="B610"/>
      <c r="C610"/>
      <c r="D610"/>
      <c r="E610"/>
      <c r="N610" s="27" t="s">
        <v>7</v>
      </c>
      <c r="O610" s="27" t="s">
        <v>8</v>
      </c>
      <c r="R610" s="27" t="s">
        <v>7</v>
      </c>
      <c r="S610" s="27" t="s">
        <v>8</v>
      </c>
      <c r="T610" s="27" t="s">
        <v>7</v>
      </c>
      <c r="U610" s="27" t="s">
        <v>8</v>
      </c>
      <c r="V610" s="27" t="s">
        <v>7</v>
      </c>
      <c r="W610" s="27" t="s">
        <v>8</v>
      </c>
      <c r="X610" s="27" t="s">
        <v>7</v>
      </c>
      <c r="Y610" s="27" t="s">
        <v>8</v>
      </c>
      <c r="Z610" s="27" t="s">
        <v>7</v>
      </c>
      <c r="AG610" s="27" t="s">
        <v>8</v>
      </c>
      <c r="AL610" s="27" t="s">
        <v>7</v>
      </c>
      <c r="AM610" s="27" t="s">
        <v>8</v>
      </c>
      <c r="AN610" s="27" t="s">
        <v>7</v>
      </c>
      <c r="AO610" s="27" t="s">
        <v>8</v>
      </c>
      <c r="AP610" s="27" t="s">
        <v>7</v>
      </c>
      <c r="AQ610" s="27" t="s">
        <v>8</v>
      </c>
      <c r="AV610" s="27" t="s">
        <v>7</v>
      </c>
      <c r="AW610" s="27" t="s">
        <v>8</v>
      </c>
      <c r="AX610" s="27" t="s">
        <v>7</v>
      </c>
      <c r="AY610" s="27" t="s">
        <v>8</v>
      </c>
      <c r="AZ610" s="27" t="s">
        <v>7</v>
      </c>
      <c r="BB610" s="27" t="s">
        <v>7</v>
      </c>
      <c r="BC610" s="27" t="s">
        <v>8</v>
      </c>
      <c r="BD610" s="27" t="s">
        <v>7</v>
      </c>
      <c r="BO610" s="27" t="s">
        <v>8</v>
      </c>
      <c r="BP610" s="27" t="s">
        <v>7</v>
      </c>
      <c r="BQ610" s="27" t="s">
        <v>8</v>
      </c>
      <c r="EF610" s="27" t="s">
        <v>7</v>
      </c>
      <c r="EG610" s="27" t="s">
        <v>8</v>
      </c>
      <c r="ET610" s="27" t="s">
        <v>7</v>
      </c>
      <c r="EU610" s="27" t="s">
        <v>8</v>
      </c>
      <c r="EV610" s="27" t="s">
        <v>7</v>
      </c>
      <c r="EW610" s="27" t="s">
        <v>8</v>
      </c>
      <c r="EX610" s="27" t="s">
        <v>7</v>
      </c>
      <c r="EY610" s="27" t="s">
        <v>8</v>
      </c>
      <c r="EZ610" s="27" t="s">
        <v>7</v>
      </c>
      <c r="FA610" s="27" t="s">
        <v>8</v>
      </c>
      <c r="FB610" s="27" t="s">
        <v>7</v>
      </c>
      <c r="FC610" s="27" t="s">
        <v>8</v>
      </c>
      <c r="FH610" s="27" t="s">
        <v>7</v>
      </c>
      <c r="FI610" s="27" t="s">
        <v>8</v>
      </c>
      <c r="FJ610" s="27" t="s">
        <v>7</v>
      </c>
      <c r="FK610" s="27" t="s">
        <v>8</v>
      </c>
      <c r="FL610" s="27" t="s">
        <v>7</v>
      </c>
      <c r="FM610" s="27" t="s">
        <v>8</v>
      </c>
      <c r="FN610" s="27" t="s">
        <v>7</v>
      </c>
      <c r="FO610" s="27" t="s">
        <v>8</v>
      </c>
      <c r="FP610" s="27" t="s">
        <v>7</v>
      </c>
      <c r="FQ610" s="27" t="s">
        <v>8</v>
      </c>
      <c r="GT610" s="27" t="s">
        <v>7</v>
      </c>
      <c r="GU610" s="27" t="s">
        <v>8</v>
      </c>
      <c r="GV610" s="27" t="s">
        <v>7</v>
      </c>
    </row>
    <row r="611" spans="1:206" x14ac:dyDescent="0.25">
      <c r="A611" s="7">
        <v>0.62172148793884496</v>
      </c>
      <c r="B611"/>
      <c r="C611"/>
      <c r="D611"/>
      <c r="E611"/>
      <c r="N611" s="27" t="s">
        <v>7</v>
      </c>
      <c r="O611" s="27" t="s">
        <v>8</v>
      </c>
      <c r="R611" s="27" t="s">
        <v>7</v>
      </c>
      <c r="S611" s="27" t="s">
        <v>8</v>
      </c>
      <c r="T611" s="27" t="s">
        <v>7</v>
      </c>
      <c r="U611" s="27" t="s">
        <v>8</v>
      </c>
      <c r="V611" s="27" t="s">
        <v>7</v>
      </c>
      <c r="W611" s="27" t="s">
        <v>8</v>
      </c>
      <c r="X611" s="27" t="s">
        <v>7</v>
      </c>
      <c r="Y611" s="27" t="s">
        <v>8</v>
      </c>
      <c r="Z611" s="27" t="s">
        <v>7</v>
      </c>
      <c r="AG611" s="27" t="s">
        <v>8</v>
      </c>
      <c r="AL611" s="27" t="s">
        <v>7</v>
      </c>
      <c r="AM611" s="27" t="s">
        <v>8</v>
      </c>
      <c r="AN611" s="27" t="s">
        <v>7</v>
      </c>
      <c r="AO611" s="27" t="s">
        <v>8</v>
      </c>
      <c r="AP611" s="27" t="s">
        <v>7</v>
      </c>
      <c r="AQ611" s="27" t="s">
        <v>8</v>
      </c>
      <c r="AV611" s="27" t="s">
        <v>7</v>
      </c>
      <c r="AW611" s="27" t="s">
        <v>8</v>
      </c>
      <c r="AX611" s="27" t="s">
        <v>7</v>
      </c>
      <c r="AY611" s="27" t="s">
        <v>8</v>
      </c>
      <c r="BB611" s="27" t="s">
        <v>7</v>
      </c>
      <c r="BC611" s="27" t="s">
        <v>8</v>
      </c>
      <c r="BD611" s="27" t="s">
        <v>7</v>
      </c>
      <c r="BO611" s="27" t="s">
        <v>8</v>
      </c>
      <c r="BP611" s="27" t="s">
        <v>7</v>
      </c>
      <c r="BQ611" s="27" t="s">
        <v>8</v>
      </c>
      <c r="EF611" s="27" t="s">
        <v>7</v>
      </c>
      <c r="EG611" s="27" t="s">
        <v>8</v>
      </c>
      <c r="ET611" s="27" t="s">
        <v>7</v>
      </c>
      <c r="EU611" s="27" t="s">
        <v>8</v>
      </c>
      <c r="EV611" s="27" t="s">
        <v>7</v>
      </c>
      <c r="EW611" s="27" t="s">
        <v>8</v>
      </c>
      <c r="EX611" s="27" t="s">
        <v>7</v>
      </c>
      <c r="EZ611" s="27" t="s">
        <v>7</v>
      </c>
      <c r="FB611" s="27" t="s">
        <v>7</v>
      </c>
      <c r="FH611" s="27" t="s">
        <v>7</v>
      </c>
      <c r="FI611" s="27" t="s">
        <v>8</v>
      </c>
      <c r="FJ611" s="27" t="s">
        <v>7</v>
      </c>
      <c r="FK611" s="27" t="s">
        <v>8</v>
      </c>
      <c r="FL611" s="27" t="s">
        <v>7</v>
      </c>
      <c r="FM611" s="27" t="s">
        <v>8</v>
      </c>
      <c r="FN611" s="27" t="s">
        <v>7</v>
      </c>
      <c r="FO611" s="27" t="s">
        <v>8</v>
      </c>
      <c r="FP611" s="27" t="s">
        <v>7</v>
      </c>
      <c r="GT611" s="27" t="s">
        <v>7</v>
      </c>
      <c r="GU611" s="27" t="s">
        <v>8</v>
      </c>
      <c r="GV611" s="27" t="s">
        <v>7</v>
      </c>
    </row>
    <row r="612" spans="1:206" x14ac:dyDescent="0.25">
      <c r="A612" s="7">
        <v>0.60953087052827937</v>
      </c>
      <c r="B612"/>
      <c r="C612"/>
      <c r="D612"/>
      <c r="E612"/>
      <c r="N612" s="27" t="s">
        <v>7</v>
      </c>
      <c r="R612" s="27" t="s">
        <v>7</v>
      </c>
      <c r="S612" s="27" t="s">
        <v>8</v>
      </c>
      <c r="T612" s="27" t="s">
        <v>7</v>
      </c>
      <c r="U612" s="27" t="s">
        <v>8</v>
      </c>
      <c r="V612" s="27" t="s">
        <v>7</v>
      </c>
      <c r="X612" s="27" t="s">
        <v>7</v>
      </c>
      <c r="Z612" s="27" t="s">
        <v>7</v>
      </c>
      <c r="AG612" s="27" t="s">
        <v>8</v>
      </c>
      <c r="AL612" s="27" t="s">
        <v>7</v>
      </c>
      <c r="AM612" s="27" t="s">
        <v>8</v>
      </c>
      <c r="AN612" s="27" t="s">
        <v>7</v>
      </c>
      <c r="AP612" s="27" t="s">
        <v>7</v>
      </c>
      <c r="AV612" s="27" t="s">
        <v>7</v>
      </c>
      <c r="AW612" s="27" t="s">
        <v>8</v>
      </c>
      <c r="AX612" s="27" t="s">
        <v>7</v>
      </c>
      <c r="AY612" s="27" t="s">
        <v>8</v>
      </c>
      <c r="BB612" s="27" t="s">
        <v>7</v>
      </c>
      <c r="BC612" s="27" t="s">
        <v>8</v>
      </c>
      <c r="BD612" s="27" t="s">
        <v>7</v>
      </c>
      <c r="BO612" s="27" t="s">
        <v>8</v>
      </c>
      <c r="BP612" s="27" t="s">
        <v>7</v>
      </c>
      <c r="EF612" s="27" t="s">
        <v>7</v>
      </c>
      <c r="EG612" s="27" t="s">
        <v>8</v>
      </c>
      <c r="ET612" s="27" t="s">
        <v>7</v>
      </c>
      <c r="EU612" s="27" t="s">
        <v>8</v>
      </c>
      <c r="EV612" s="27" t="s">
        <v>7</v>
      </c>
      <c r="EW612" s="27" t="s">
        <v>8</v>
      </c>
      <c r="FH612" s="27" t="s">
        <v>7</v>
      </c>
      <c r="FI612" s="27" t="s">
        <v>8</v>
      </c>
      <c r="FJ612" s="27" t="s">
        <v>7</v>
      </c>
      <c r="FK612" s="27" t="s">
        <v>8</v>
      </c>
      <c r="FL612" s="27" t="s">
        <v>7</v>
      </c>
      <c r="FM612" s="27" t="s">
        <v>8</v>
      </c>
      <c r="FN612" s="27" t="s">
        <v>7</v>
      </c>
      <c r="FO612" s="27" t="s">
        <v>8</v>
      </c>
      <c r="GT612" s="27" t="s">
        <v>7</v>
      </c>
      <c r="GU612" s="27" t="s">
        <v>8</v>
      </c>
      <c r="GV612" s="27" t="s">
        <v>7</v>
      </c>
      <c r="GW612" s="27" t="s">
        <v>8</v>
      </c>
    </row>
    <row r="613" spans="1:206" x14ac:dyDescent="0.25">
      <c r="A613" s="7">
        <v>0.59757928483164646</v>
      </c>
      <c r="B613"/>
      <c r="C613"/>
      <c r="D613"/>
      <c r="E613"/>
      <c r="R613" s="27" t="s">
        <v>7</v>
      </c>
      <c r="T613" s="27" t="s">
        <v>7</v>
      </c>
      <c r="U613" s="27" t="s">
        <v>8</v>
      </c>
      <c r="Z613" s="27" t="s">
        <v>7</v>
      </c>
      <c r="AE613" s="27" t="s">
        <v>8</v>
      </c>
      <c r="AG613" s="27" t="s">
        <v>8</v>
      </c>
      <c r="AL613" s="27" t="s">
        <v>7</v>
      </c>
      <c r="AM613" s="27" t="s">
        <v>8</v>
      </c>
      <c r="AV613" s="27" t="s">
        <v>7</v>
      </c>
      <c r="AW613" s="27" t="s">
        <v>8</v>
      </c>
      <c r="AX613" s="27" t="s">
        <v>7</v>
      </c>
      <c r="BB613" s="27" t="s">
        <v>7</v>
      </c>
      <c r="BC613" s="27" t="s">
        <v>8</v>
      </c>
      <c r="BD613" s="27" t="s">
        <v>7</v>
      </c>
      <c r="BO613" s="27" t="s">
        <v>8</v>
      </c>
      <c r="EF613" s="27" t="s">
        <v>7</v>
      </c>
      <c r="EG613" s="27" t="s">
        <v>8</v>
      </c>
      <c r="ET613" s="27" t="s">
        <v>7</v>
      </c>
      <c r="EU613" s="27" t="s">
        <v>8</v>
      </c>
      <c r="EV613" s="27" t="s">
        <v>7</v>
      </c>
      <c r="EW613" s="27" t="s">
        <v>8</v>
      </c>
      <c r="FH613" s="27" t="s">
        <v>7</v>
      </c>
      <c r="FI613" s="27" t="s">
        <v>8</v>
      </c>
      <c r="FJ613" s="27" t="s">
        <v>7</v>
      </c>
      <c r="FK613" s="27" t="s">
        <v>8</v>
      </c>
      <c r="FL613" s="27" t="s">
        <v>7</v>
      </c>
      <c r="FM613" s="27" t="s">
        <v>8</v>
      </c>
      <c r="FN613" s="27" t="s">
        <v>7</v>
      </c>
      <c r="GT613" s="27" t="s">
        <v>7</v>
      </c>
      <c r="GU613" s="27" t="s">
        <v>8</v>
      </c>
      <c r="GV613" s="27" t="s">
        <v>7</v>
      </c>
      <c r="GW613" s="27" t="s">
        <v>8</v>
      </c>
      <c r="GX613" s="27" t="s">
        <v>7</v>
      </c>
    </row>
    <row r="614" spans="1:206" x14ac:dyDescent="0.25">
      <c r="A614" s="7">
        <v>0.58586204395259456</v>
      </c>
      <c r="B614"/>
      <c r="C614"/>
      <c r="D614"/>
      <c r="E614"/>
      <c r="T614" s="27" t="s">
        <v>7</v>
      </c>
      <c r="Z614" s="27" t="s">
        <v>7</v>
      </c>
      <c r="AE614" s="27" t="s">
        <v>8</v>
      </c>
      <c r="AF614" s="27" t="s">
        <v>7</v>
      </c>
      <c r="AG614" s="27" t="s">
        <v>8</v>
      </c>
      <c r="AL614" s="27" t="s">
        <v>7</v>
      </c>
      <c r="AM614" s="27" t="s">
        <v>8</v>
      </c>
      <c r="AV614" s="27" t="s">
        <v>7</v>
      </c>
      <c r="AW614" s="27" t="s">
        <v>8</v>
      </c>
      <c r="BB614" s="27" t="s">
        <v>7</v>
      </c>
      <c r="BD614" s="27" t="s">
        <v>7</v>
      </c>
      <c r="BO614" s="27" t="s">
        <v>8</v>
      </c>
      <c r="EF614" s="27" t="s">
        <v>7</v>
      </c>
      <c r="EG614" s="27" t="s">
        <v>8</v>
      </c>
      <c r="ET614" s="27" t="s">
        <v>7</v>
      </c>
      <c r="EU614" s="27" t="s">
        <v>8</v>
      </c>
      <c r="EV614" s="27" t="s">
        <v>7</v>
      </c>
      <c r="EW614" s="27" t="s">
        <v>8</v>
      </c>
      <c r="FH614" s="27" t="s">
        <v>7</v>
      </c>
      <c r="FI614" s="27" t="s">
        <v>8</v>
      </c>
      <c r="FJ614" s="27" t="s">
        <v>7</v>
      </c>
      <c r="FK614" s="27" t="s">
        <v>8</v>
      </c>
      <c r="FL614" s="27" t="s">
        <v>7</v>
      </c>
      <c r="GT614" s="27" t="s">
        <v>7</v>
      </c>
      <c r="GU614" s="27" t="s">
        <v>8</v>
      </c>
      <c r="GV614" s="27" t="s">
        <v>7</v>
      </c>
      <c r="GW614" s="27" t="s">
        <v>8</v>
      </c>
      <c r="GX614" s="27" t="s">
        <v>7</v>
      </c>
    </row>
    <row r="615" spans="1:206" x14ac:dyDescent="0.25">
      <c r="A615" s="7">
        <v>0.57437455289470052</v>
      </c>
      <c r="B615"/>
      <c r="C615"/>
      <c r="D615"/>
      <c r="E615"/>
      <c r="Z615" s="27" t="s">
        <v>7</v>
      </c>
      <c r="AE615" s="27" t="s">
        <v>8</v>
      </c>
      <c r="AF615" s="27" t="s">
        <v>7</v>
      </c>
      <c r="AG615" s="27" t="s">
        <v>8</v>
      </c>
      <c r="AL615" s="27" t="s">
        <v>7</v>
      </c>
      <c r="AM615" s="27" t="s">
        <v>8</v>
      </c>
      <c r="AV615" s="27" t="s">
        <v>7</v>
      </c>
      <c r="AW615" s="27" t="s">
        <v>8</v>
      </c>
      <c r="BD615" s="27" t="s">
        <v>7</v>
      </c>
      <c r="BO615" s="27" t="s">
        <v>8</v>
      </c>
      <c r="EF615" s="27" t="s">
        <v>7</v>
      </c>
      <c r="EG615" s="27" t="s">
        <v>8</v>
      </c>
      <c r="ET615" s="27" t="s">
        <v>7</v>
      </c>
      <c r="EU615" s="27" t="s">
        <v>8</v>
      </c>
      <c r="EV615" s="27" t="s">
        <v>7</v>
      </c>
      <c r="EW615" s="27" t="s">
        <v>8</v>
      </c>
      <c r="FH615" s="27" t="s">
        <v>7</v>
      </c>
      <c r="FI615" s="27" t="s">
        <v>8</v>
      </c>
      <c r="FJ615" s="27" t="s">
        <v>7</v>
      </c>
      <c r="FK615" s="27" t="s">
        <v>8</v>
      </c>
      <c r="GT615" s="27" t="s">
        <v>7</v>
      </c>
      <c r="GU615" s="27" t="s">
        <v>8</v>
      </c>
      <c r="GV615" s="27" t="s">
        <v>7</v>
      </c>
      <c r="GW615" s="27" t="s">
        <v>8</v>
      </c>
      <c r="GX615" s="27" t="s">
        <v>7</v>
      </c>
    </row>
    <row r="616" spans="1:206" x14ac:dyDescent="0.25">
      <c r="A616" s="7">
        <v>0.56311230675951029</v>
      </c>
      <c r="B616"/>
      <c r="C616"/>
      <c r="D616"/>
      <c r="E616"/>
      <c r="Z616" s="27" t="s">
        <v>7</v>
      </c>
      <c r="AA616" s="27" t="s">
        <v>8</v>
      </c>
      <c r="AE616" s="27" t="s">
        <v>8</v>
      </c>
      <c r="AF616" s="27" t="s">
        <v>7</v>
      </c>
      <c r="AG616" s="27" t="s">
        <v>8</v>
      </c>
      <c r="AL616" s="27" t="s">
        <v>7</v>
      </c>
      <c r="AM616" s="27" t="s">
        <v>8</v>
      </c>
      <c r="AV616" s="27" t="s">
        <v>7</v>
      </c>
      <c r="AW616" s="27" t="s">
        <v>8</v>
      </c>
      <c r="BD616" s="27" t="s">
        <v>7</v>
      </c>
      <c r="BO616" s="27" t="s">
        <v>8</v>
      </c>
      <c r="EF616" s="27" t="s">
        <v>7</v>
      </c>
      <c r="EG616" s="27" t="s">
        <v>8</v>
      </c>
      <c r="ET616" s="27" t="s">
        <v>7</v>
      </c>
      <c r="EU616" s="27" t="s">
        <v>8</v>
      </c>
      <c r="EV616" s="27" t="s">
        <v>7</v>
      </c>
      <c r="EW616" s="27" t="s">
        <v>8</v>
      </c>
      <c r="FH616" s="27" t="s">
        <v>7</v>
      </c>
      <c r="FI616" s="27" t="s">
        <v>8</v>
      </c>
      <c r="FJ616" s="27" t="s">
        <v>7</v>
      </c>
      <c r="FK616" s="27" t="s">
        <v>8</v>
      </c>
      <c r="GT616" s="27" t="s">
        <v>7</v>
      </c>
      <c r="GV616" s="27" t="s">
        <v>7</v>
      </c>
    </row>
    <row r="617" spans="1:206" x14ac:dyDescent="0.25">
      <c r="A617" s="7">
        <v>0.55207088897991208</v>
      </c>
      <c r="B617"/>
      <c r="C617"/>
      <c r="D617"/>
      <c r="E617"/>
      <c r="Z617" s="27" t="s">
        <v>7</v>
      </c>
      <c r="AA617" s="27" t="s">
        <v>8</v>
      </c>
      <c r="AB617" s="27" t="s">
        <v>7</v>
      </c>
      <c r="AE617" s="27" t="s">
        <v>8</v>
      </c>
      <c r="AF617" s="27" t="s">
        <v>7</v>
      </c>
      <c r="AG617" s="27" t="s">
        <v>8</v>
      </c>
      <c r="AL617" s="27" t="s">
        <v>7</v>
      </c>
      <c r="AM617" s="27" t="s">
        <v>8</v>
      </c>
      <c r="AV617" s="27" t="s">
        <v>7</v>
      </c>
      <c r="BD617" s="27" t="s">
        <v>7</v>
      </c>
      <c r="BE617" s="27" t="s">
        <v>8</v>
      </c>
      <c r="BO617" s="27" t="s">
        <v>8</v>
      </c>
      <c r="EF617" s="27" t="s">
        <v>7</v>
      </c>
      <c r="EG617" s="27" t="s">
        <v>8</v>
      </c>
      <c r="ET617" s="27" t="s">
        <v>7</v>
      </c>
      <c r="EU617" s="27" t="s">
        <v>8</v>
      </c>
      <c r="EV617" s="27" t="s">
        <v>7</v>
      </c>
      <c r="EW617" s="27" t="s">
        <v>8</v>
      </c>
      <c r="FH617" s="27" t="s">
        <v>7</v>
      </c>
      <c r="FI617" s="27" t="s">
        <v>8</v>
      </c>
      <c r="FJ617" s="27" t="s">
        <v>7</v>
      </c>
      <c r="FK617" s="27" t="s">
        <v>8</v>
      </c>
    </row>
    <row r="618" spans="1:206" x14ac:dyDescent="0.25">
      <c r="A618" s="7">
        <v>0.54124596958814908</v>
      </c>
      <c r="B618"/>
      <c r="C618"/>
      <c r="D618"/>
      <c r="E618"/>
      <c r="Z618" s="27" t="s">
        <v>7</v>
      </c>
      <c r="AA618" s="27" t="s">
        <v>8</v>
      </c>
      <c r="AB618" s="27" t="s">
        <v>7</v>
      </c>
      <c r="AE618" s="27" t="s">
        <v>8</v>
      </c>
      <c r="AF618" s="27" t="s">
        <v>7</v>
      </c>
      <c r="AG618" s="27" t="s">
        <v>8</v>
      </c>
      <c r="AL618" s="27" t="s">
        <v>7</v>
      </c>
      <c r="AM618" s="27" t="s">
        <v>8</v>
      </c>
      <c r="BD618" s="27" t="s">
        <v>7</v>
      </c>
      <c r="BE618" s="27" t="s">
        <v>8</v>
      </c>
      <c r="BF618" s="27" t="s">
        <v>7</v>
      </c>
      <c r="BO618" s="27" t="s">
        <v>8</v>
      </c>
      <c r="EF618" s="27" t="s">
        <v>7</v>
      </c>
      <c r="EG618" s="27" t="s">
        <v>8</v>
      </c>
      <c r="ET618" s="27" t="s">
        <v>7</v>
      </c>
      <c r="EU618" s="27" t="s">
        <v>8</v>
      </c>
      <c r="EV618" s="27" t="s">
        <v>7</v>
      </c>
      <c r="FH618" s="27" t="s">
        <v>7</v>
      </c>
      <c r="FJ618" s="18" t="s">
        <v>7</v>
      </c>
      <c r="FK618" s="27" t="s">
        <v>8</v>
      </c>
    </row>
    <row r="619" spans="1:206" x14ac:dyDescent="0.25">
      <c r="A619" s="7">
        <v>0.53063330351779314</v>
      </c>
      <c r="B619"/>
      <c r="C619"/>
      <c r="D619"/>
      <c r="E619"/>
      <c r="Z619" s="27" t="s">
        <v>7</v>
      </c>
      <c r="AA619" s="27" t="s">
        <v>8</v>
      </c>
      <c r="AB619" s="27" t="s">
        <v>7</v>
      </c>
      <c r="AE619" s="27" t="s">
        <v>8</v>
      </c>
      <c r="AF619" s="27" t="s">
        <v>7</v>
      </c>
      <c r="AG619" s="27" t="s">
        <v>8</v>
      </c>
      <c r="AL619" s="27" t="s">
        <v>7</v>
      </c>
      <c r="AM619" s="27" t="s">
        <v>8</v>
      </c>
      <c r="BD619" s="27" t="s">
        <v>7</v>
      </c>
      <c r="BE619" s="27" t="s">
        <v>8</v>
      </c>
      <c r="BF619" s="27" t="s">
        <v>7</v>
      </c>
      <c r="BO619" s="27" t="s">
        <v>8</v>
      </c>
      <c r="EF619" s="27" t="s">
        <v>7</v>
      </c>
      <c r="ET619" s="27" t="s">
        <v>7</v>
      </c>
      <c r="EU619" s="27" t="s">
        <v>8</v>
      </c>
      <c r="FJ619" s="27" t="s">
        <v>7</v>
      </c>
      <c r="FK619" s="27" t="s">
        <v>8</v>
      </c>
    </row>
    <row r="620" spans="1:206" x14ac:dyDescent="0.25">
      <c r="A620" s="7">
        <v>0.52022872893901284</v>
      </c>
      <c r="B620"/>
      <c r="C620"/>
      <c r="D620"/>
      <c r="E620"/>
      <c r="Z620" s="27" t="s">
        <v>7</v>
      </c>
      <c r="AA620" s="27" t="s">
        <v>8</v>
      </c>
      <c r="AB620" s="27" t="s">
        <v>7</v>
      </c>
      <c r="AE620" s="27" t="s">
        <v>8</v>
      </c>
      <c r="AF620" s="27" t="s">
        <v>7</v>
      </c>
      <c r="AG620" s="27" t="s">
        <v>8</v>
      </c>
      <c r="AL620" s="27" t="s">
        <v>7</v>
      </c>
      <c r="AM620" s="27" t="s">
        <v>8</v>
      </c>
      <c r="BD620" s="27" t="s">
        <v>7</v>
      </c>
      <c r="BE620" s="27" t="s">
        <v>8</v>
      </c>
      <c r="BF620" s="27" t="s">
        <v>7</v>
      </c>
      <c r="BO620" s="27" t="s">
        <v>8</v>
      </c>
      <c r="ET620" s="27" t="s">
        <v>7</v>
      </c>
      <c r="EU620" s="27" t="s">
        <v>8</v>
      </c>
      <c r="FJ620" s="27" t="s">
        <v>7</v>
      </c>
      <c r="FK620" s="27" t="s">
        <v>8</v>
      </c>
    </row>
    <row r="621" spans="1:206" x14ac:dyDescent="0.25">
      <c r="A621" s="7">
        <v>0.51002816562648323</v>
      </c>
      <c r="B621"/>
      <c r="C621"/>
      <c r="D621"/>
      <c r="E621"/>
      <c r="Z621" s="27" t="s">
        <v>7</v>
      </c>
      <c r="AA621" s="27" t="s">
        <v>8</v>
      </c>
      <c r="AB621" s="27" t="s">
        <v>7</v>
      </c>
      <c r="AE621" s="27" t="s">
        <v>8</v>
      </c>
      <c r="AF621" s="27" t="s">
        <v>7</v>
      </c>
      <c r="AG621" s="27" t="s">
        <v>8</v>
      </c>
      <c r="AL621" s="27" t="s">
        <v>7</v>
      </c>
      <c r="BD621" s="27" t="s">
        <v>7</v>
      </c>
      <c r="BE621" s="27" t="s">
        <v>8</v>
      </c>
      <c r="BF621" s="27" t="s">
        <v>7</v>
      </c>
      <c r="BO621" s="27" t="s">
        <v>8</v>
      </c>
      <c r="ET621" s="27" t="s">
        <v>7</v>
      </c>
      <c r="FJ621" s="27" t="s">
        <v>7</v>
      </c>
      <c r="FK621" s="27" t="s">
        <v>8</v>
      </c>
    </row>
    <row r="622" spans="1:206" x14ac:dyDescent="0.25">
      <c r="A622" s="7">
        <v>0.50002761335929735</v>
      </c>
      <c r="B622"/>
      <c r="C622"/>
      <c r="D622"/>
      <c r="E622"/>
      <c r="Z622" s="27" t="s">
        <v>7</v>
      </c>
      <c r="AA622" s="27" t="s">
        <v>8</v>
      </c>
      <c r="AB622" s="27" t="s">
        <v>7</v>
      </c>
      <c r="AC622" s="27" t="s">
        <v>8</v>
      </c>
      <c r="AE622" s="27" t="s">
        <v>8</v>
      </c>
      <c r="AF622" s="27" t="s">
        <v>7</v>
      </c>
      <c r="AG622" s="27" t="s">
        <v>8</v>
      </c>
      <c r="BD622" s="27" t="s">
        <v>7</v>
      </c>
      <c r="BE622" s="27" t="s">
        <v>8</v>
      </c>
      <c r="BF622" s="27" t="s">
        <v>7</v>
      </c>
      <c r="BK622" s="27" t="s">
        <v>8</v>
      </c>
      <c r="BO622" s="27" t="s">
        <v>8</v>
      </c>
      <c r="FJ622" s="27" t="s">
        <v>7</v>
      </c>
      <c r="FK622" s="27" t="s">
        <v>8</v>
      </c>
    </row>
    <row r="623" spans="1:206" x14ac:dyDescent="0.25">
      <c r="A623" s="7">
        <v>0.49022315035225228</v>
      </c>
      <c r="B623"/>
      <c r="C623"/>
      <c r="D623"/>
      <c r="E623"/>
      <c r="Z623" s="27" t="s">
        <v>7</v>
      </c>
      <c r="AA623" s="27" t="s">
        <v>8</v>
      </c>
      <c r="AB623" s="27" t="s">
        <v>7</v>
      </c>
      <c r="AC623" s="27" t="s">
        <v>8</v>
      </c>
      <c r="AD623" s="27" t="s">
        <v>7</v>
      </c>
      <c r="AE623" s="27" t="s">
        <v>8</v>
      </c>
      <c r="AF623" s="27" t="s">
        <v>7</v>
      </c>
      <c r="AG623" s="27" t="s">
        <v>8</v>
      </c>
      <c r="BD623" s="27" t="s">
        <v>7</v>
      </c>
      <c r="BE623" s="27" t="s">
        <v>8</v>
      </c>
      <c r="BF623" s="27" t="s">
        <v>7</v>
      </c>
      <c r="BK623" s="27" t="s">
        <v>8</v>
      </c>
      <c r="BL623" s="27" t="s">
        <v>7</v>
      </c>
      <c r="BM623" s="27" t="s">
        <v>8</v>
      </c>
      <c r="BO623" s="27" t="s">
        <v>8</v>
      </c>
      <c r="FJ623" s="27" t="s">
        <v>7</v>
      </c>
      <c r="FK623" s="27" t="s">
        <v>8</v>
      </c>
    </row>
    <row r="624" spans="1:206" x14ac:dyDescent="0.25">
      <c r="A624" s="7">
        <v>0.48061093171789437</v>
      </c>
      <c r="B624"/>
      <c r="C624"/>
      <c r="D624"/>
      <c r="E624"/>
      <c r="Z624" s="27" t="s">
        <v>7</v>
      </c>
      <c r="AA624" s="27" t="s">
        <v>8</v>
      </c>
      <c r="AB624" s="27" t="s">
        <v>7</v>
      </c>
      <c r="AC624" s="27" t="s">
        <v>8</v>
      </c>
      <c r="AD624" s="27" t="s">
        <v>7</v>
      </c>
      <c r="AE624" s="27" t="s">
        <v>8</v>
      </c>
      <c r="AF624" s="27" t="s">
        <v>7</v>
      </c>
      <c r="AG624" s="27" t="s">
        <v>8</v>
      </c>
      <c r="BD624" s="27" t="s">
        <v>7</v>
      </c>
      <c r="BE624" s="27" t="s">
        <v>8</v>
      </c>
      <c r="BF624" s="27" t="s">
        <v>7</v>
      </c>
      <c r="BI624" s="27" t="s">
        <v>8</v>
      </c>
      <c r="BK624" s="27" t="s">
        <v>8</v>
      </c>
      <c r="BL624" s="27" t="s">
        <v>7</v>
      </c>
      <c r="BM624" s="27" t="s">
        <v>8</v>
      </c>
      <c r="BN624" s="27" t="s">
        <v>7</v>
      </c>
      <c r="BO624" s="27" t="s">
        <v>8</v>
      </c>
      <c r="FJ624" s="27" t="s">
        <v>7</v>
      </c>
    </row>
    <row r="625" spans="1:67" x14ac:dyDescent="0.25">
      <c r="A625" s="7">
        <v>0.47118718795871994</v>
      </c>
      <c r="B625"/>
      <c r="C625"/>
      <c r="D625"/>
      <c r="E625"/>
      <c r="Z625" s="27" t="s">
        <v>7</v>
      </c>
      <c r="AA625" s="27" t="s">
        <v>8</v>
      </c>
      <c r="AB625" s="27" t="s">
        <v>7</v>
      </c>
      <c r="AC625" s="27" t="s">
        <v>8</v>
      </c>
      <c r="AD625" s="27" t="s">
        <v>7</v>
      </c>
      <c r="AE625" s="27" t="s">
        <v>8</v>
      </c>
      <c r="AF625" s="27" t="s">
        <v>7</v>
      </c>
      <c r="AG625" s="27" t="s">
        <v>8</v>
      </c>
      <c r="BD625" s="27" t="s">
        <v>7</v>
      </c>
      <c r="BE625" s="27" t="s">
        <v>8</v>
      </c>
      <c r="BF625" s="27" t="s">
        <v>7</v>
      </c>
      <c r="BI625" s="27" t="s">
        <v>8</v>
      </c>
      <c r="BJ625" s="27" t="s">
        <v>7</v>
      </c>
      <c r="BK625" s="27" t="s">
        <v>8</v>
      </c>
      <c r="BL625" s="27" t="s">
        <v>7</v>
      </c>
      <c r="BM625" s="27" t="s">
        <v>8</v>
      </c>
      <c r="BN625" s="27" t="s">
        <v>7</v>
      </c>
      <c r="BO625" s="27" t="s">
        <v>8</v>
      </c>
    </row>
    <row r="626" spans="1:67" x14ac:dyDescent="0.25">
      <c r="A626" s="7">
        <v>0.46194822348894116</v>
      </c>
      <c r="B626"/>
      <c r="C626"/>
      <c r="D626"/>
      <c r="E626"/>
      <c r="Z626" s="27" t="s">
        <v>7</v>
      </c>
      <c r="AA626" s="27" t="s">
        <v>8</v>
      </c>
      <c r="AB626" s="27" t="s">
        <v>7</v>
      </c>
      <c r="AC626" s="27" t="s">
        <v>8</v>
      </c>
      <c r="AD626" s="27" t="s">
        <v>7</v>
      </c>
      <c r="AE626" s="27" t="s">
        <v>8</v>
      </c>
      <c r="AF626" s="27" t="s">
        <v>7</v>
      </c>
      <c r="BD626" s="27" t="s">
        <v>7</v>
      </c>
      <c r="BE626" s="27" t="s">
        <v>8</v>
      </c>
      <c r="BF626" s="27" t="s">
        <v>7</v>
      </c>
      <c r="BI626" s="27" t="s">
        <v>8</v>
      </c>
      <c r="BJ626" s="27" t="s">
        <v>7</v>
      </c>
      <c r="BK626" s="27" t="s">
        <v>8</v>
      </c>
      <c r="BL626" s="27" t="s">
        <v>7</v>
      </c>
      <c r="BM626" s="27" t="s">
        <v>8</v>
      </c>
      <c r="BN626" s="27" t="s">
        <v>7</v>
      </c>
      <c r="BO626" s="27" t="s">
        <v>8</v>
      </c>
    </row>
    <row r="627" spans="1:67" x14ac:dyDescent="0.25">
      <c r="A627" s="7">
        <v>0.45289041518523643</v>
      </c>
      <c r="B627"/>
      <c r="C627"/>
      <c r="D627"/>
      <c r="E627"/>
      <c r="Z627" s="27" t="s">
        <v>7</v>
      </c>
      <c r="AA627" s="27" t="s">
        <v>8</v>
      </c>
      <c r="AB627" s="27" t="s">
        <v>7</v>
      </c>
      <c r="AC627" s="27" t="s">
        <v>8</v>
      </c>
      <c r="AD627" s="27" t="s">
        <v>7</v>
      </c>
      <c r="AE627" s="27" t="s">
        <v>8</v>
      </c>
      <c r="BD627" s="27" t="s">
        <v>7</v>
      </c>
      <c r="BE627" s="27" t="s">
        <v>8</v>
      </c>
      <c r="BF627" s="27" t="s">
        <v>7</v>
      </c>
      <c r="BI627" s="27" t="s">
        <v>8</v>
      </c>
      <c r="BJ627" s="27" t="s">
        <v>7</v>
      </c>
      <c r="BK627" s="27" t="s">
        <v>8</v>
      </c>
      <c r="BL627" s="27" t="s">
        <v>7</v>
      </c>
      <c r="BM627" s="27" t="s">
        <v>8</v>
      </c>
      <c r="BN627" s="27" t="s">
        <v>7</v>
      </c>
      <c r="BO627" s="27" t="s">
        <v>8</v>
      </c>
    </row>
    <row r="628" spans="1:67" x14ac:dyDescent="0.25">
      <c r="A628" s="7">
        <v>0.44401021096591808</v>
      </c>
      <c r="B628"/>
      <c r="C628"/>
      <c r="D628"/>
      <c r="E628"/>
      <c r="Z628" s="27" t="s">
        <v>7</v>
      </c>
      <c r="AA628" s="27" t="s">
        <v>8</v>
      </c>
      <c r="AB628" s="27" t="s">
        <v>7</v>
      </c>
      <c r="AC628" s="27" t="s">
        <v>8</v>
      </c>
      <c r="AD628" s="27" t="s">
        <v>7</v>
      </c>
      <c r="AE628" s="27" t="s">
        <v>8</v>
      </c>
      <c r="BD628" s="27" t="s">
        <v>7</v>
      </c>
      <c r="BE628" s="27" t="s">
        <v>8</v>
      </c>
      <c r="BF628" s="27" t="s">
        <v>7</v>
      </c>
      <c r="BG628" s="27" t="s">
        <v>8</v>
      </c>
      <c r="BI628" s="27" t="s">
        <v>8</v>
      </c>
      <c r="BJ628" s="27" t="s">
        <v>7</v>
      </c>
      <c r="BK628" s="27" t="s">
        <v>8</v>
      </c>
      <c r="BL628" s="27" t="s">
        <v>7</v>
      </c>
      <c r="BM628" s="27" t="s">
        <v>8</v>
      </c>
      <c r="BN628" s="27" t="s">
        <v>7</v>
      </c>
      <c r="BO628" s="27" t="s">
        <v>8</v>
      </c>
    </row>
    <row r="629" spans="1:67" x14ac:dyDescent="0.25">
      <c r="A629" s="7">
        <v>0.4353041283979589</v>
      </c>
      <c r="B629"/>
      <c r="C629"/>
      <c r="D629"/>
      <c r="E629"/>
      <c r="Z629" s="27" t="s">
        <v>7</v>
      </c>
      <c r="AA629" s="27" t="s">
        <v>8</v>
      </c>
      <c r="AB629" s="27" t="s">
        <v>7</v>
      </c>
      <c r="AC629" s="27" t="s">
        <v>8</v>
      </c>
      <c r="AD629" s="27" t="s">
        <v>7</v>
      </c>
      <c r="AE629" s="27" t="s">
        <v>8</v>
      </c>
      <c r="BD629" s="27" t="s">
        <v>7</v>
      </c>
      <c r="BE629" s="27" t="s">
        <v>8</v>
      </c>
      <c r="BF629" s="27" t="s">
        <v>7</v>
      </c>
      <c r="BG629" s="27" t="s">
        <v>8</v>
      </c>
      <c r="BH629" s="27" t="s">
        <v>7</v>
      </c>
      <c r="BI629" s="27" t="s">
        <v>8</v>
      </c>
      <c r="BJ629" s="27" t="s">
        <v>7</v>
      </c>
      <c r="BK629" s="27" t="s">
        <v>8</v>
      </c>
      <c r="BL629" s="27" t="s">
        <v>7</v>
      </c>
      <c r="BM629" s="27" t="s">
        <v>8</v>
      </c>
      <c r="BN629" s="27" t="s">
        <v>7</v>
      </c>
      <c r="BO629" s="27" t="s">
        <v>8</v>
      </c>
    </row>
    <row r="630" spans="1:67" x14ac:dyDescent="0.25">
      <c r="A630" s="7">
        <v>0.4267687533313323</v>
      </c>
      <c r="B630"/>
      <c r="C630"/>
      <c r="D630"/>
      <c r="E630"/>
      <c r="Z630" s="27" t="s">
        <v>7</v>
      </c>
      <c r="AA630" s="27" t="s">
        <v>8</v>
      </c>
      <c r="AB630" s="27" t="s">
        <v>7</v>
      </c>
      <c r="AC630" s="27" t="s">
        <v>8</v>
      </c>
      <c r="AD630" s="27" t="s">
        <v>7</v>
      </c>
      <c r="AE630" s="27" t="s">
        <v>8</v>
      </c>
      <c r="BD630" s="27" t="s">
        <v>7</v>
      </c>
      <c r="BE630" s="27" t="s">
        <v>8</v>
      </c>
      <c r="BF630" s="27" t="s">
        <v>7</v>
      </c>
      <c r="BG630" s="27" t="s">
        <v>8</v>
      </c>
      <c r="BH630" s="27" t="s">
        <v>7</v>
      </c>
      <c r="BI630" s="27" t="s">
        <v>8</v>
      </c>
      <c r="BJ630" s="27" t="s">
        <v>7</v>
      </c>
      <c r="BK630" s="27" t="s">
        <v>8</v>
      </c>
      <c r="BL630" s="27" t="s">
        <v>7</v>
      </c>
      <c r="BM630" s="27" t="s">
        <v>8</v>
      </c>
      <c r="BN630" s="27" t="s">
        <v>7</v>
      </c>
      <c r="BO630" s="27" t="s">
        <v>8</v>
      </c>
    </row>
    <row r="631" spans="1:67" x14ac:dyDescent="0.25">
      <c r="A631" s="7">
        <v>0.41840073856012971</v>
      </c>
      <c r="B631"/>
      <c r="C631"/>
      <c r="D631"/>
      <c r="E631"/>
      <c r="Z631" s="27" t="s">
        <v>7</v>
      </c>
      <c r="AA631" s="27" t="s">
        <v>8</v>
      </c>
      <c r="AB631" s="27" t="s">
        <v>7</v>
      </c>
      <c r="AC631" s="27" t="s">
        <v>8</v>
      </c>
      <c r="AD631" s="27" t="s">
        <v>7</v>
      </c>
      <c r="BD631" s="27" t="s">
        <v>7</v>
      </c>
      <c r="BE631" s="27" t="s">
        <v>8</v>
      </c>
      <c r="BF631" s="27" t="s">
        <v>7</v>
      </c>
      <c r="BG631" s="27" t="s">
        <v>8</v>
      </c>
      <c r="BH631" s="27" t="s">
        <v>7</v>
      </c>
      <c r="BI631" s="27" t="s">
        <v>8</v>
      </c>
      <c r="BJ631" s="27" t="s">
        <v>7</v>
      </c>
      <c r="BK631" s="27" t="s">
        <v>8</v>
      </c>
      <c r="BL631" s="27" t="s">
        <v>7</v>
      </c>
      <c r="BM631" s="27" t="s">
        <v>8</v>
      </c>
      <c r="BN631" s="27" t="s">
        <v>7</v>
      </c>
      <c r="BO631" s="27" t="s">
        <v>8</v>
      </c>
    </row>
    <row r="632" spans="1:67" x14ac:dyDescent="0.25">
      <c r="A632" s="7">
        <v>0.41019680250993112</v>
      </c>
      <c r="B632"/>
      <c r="C632"/>
      <c r="D632"/>
      <c r="E632"/>
      <c r="Z632" s="27" t="s">
        <v>7</v>
      </c>
      <c r="AA632" s="27" t="s">
        <v>8</v>
      </c>
      <c r="AB632" s="27" t="s">
        <v>7</v>
      </c>
      <c r="AC632" s="27" t="s">
        <v>8</v>
      </c>
      <c r="BD632" s="27" t="s">
        <v>7</v>
      </c>
      <c r="BF632" s="27" t="s">
        <v>7</v>
      </c>
      <c r="BG632" s="27" t="s">
        <v>8</v>
      </c>
      <c r="BH632" s="27" t="s">
        <v>7</v>
      </c>
      <c r="BI632" s="27" t="s">
        <v>8</v>
      </c>
      <c r="BJ632" s="27" t="s">
        <v>7</v>
      </c>
      <c r="BK632" s="27" t="s">
        <v>8</v>
      </c>
      <c r="BL632" s="27" t="s">
        <v>7</v>
      </c>
      <c r="BM632" s="27" t="s">
        <v>8</v>
      </c>
      <c r="BN632" s="27" t="s">
        <v>7</v>
      </c>
      <c r="BO632" s="27" t="s">
        <v>8</v>
      </c>
    </row>
    <row r="633" spans="1:67" x14ac:dyDescent="0.25">
      <c r="A633" s="7">
        <v>0.40215372795091286</v>
      </c>
      <c r="B633"/>
      <c r="C633"/>
      <c r="D633"/>
      <c r="E633"/>
      <c r="Z633" s="27" t="s">
        <v>7</v>
      </c>
      <c r="AA633" s="27" t="s">
        <v>8</v>
      </c>
      <c r="AB633" s="27" t="s">
        <v>7</v>
      </c>
      <c r="BF633" s="27" t="s">
        <v>7</v>
      </c>
      <c r="BG633" s="27" t="s">
        <v>8</v>
      </c>
      <c r="BH633" s="27" t="s">
        <v>7</v>
      </c>
      <c r="BI633" s="27" t="s">
        <v>8</v>
      </c>
      <c r="BJ633" s="27" t="s">
        <v>7</v>
      </c>
      <c r="BK633" s="27" t="s">
        <v>8</v>
      </c>
      <c r="BL633" s="27" t="s">
        <v>7</v>
      </c>
      <c r="BN633" s="27" t="s">
        <v>7</v>
      </c>
      <c r="BO633" s="27" t="s">
        <v>8</v>
      </c>
    </row>
    <row r="634" spans="1:67" x14ac:dyDescent="0.25">
      <c r="A634" s="7">
        <v>0.39426836073618904</v>
      </c>
      <c r="B634"/>
      <c r="C634"/>
      <c r="D634"/>
      <c r="E634"/>
      <c r="Z634" s="27" t="s">
        <v>7</v>
      </c>
      <c r="AA634" s="27" t="s">
        <v>8</v>
      </c>
      <c r="BF634" s="27" t="s">
        <v>7</v>
      </c>
      <c r="BH634" s="27" t="s">
        <v>7</v>
      </c>
      <c r="BI634" s="27" t="s">
        <v>8</v>
      </c>
      <c r="BJ634" s="27" t="s">
        <v>7</v>
      </c>
      <c r="BK634" s="27" t="s">
        <v>8</v>
      </c>
      <c r="BN634" s="27" t="s">
        <v>7</v>
      </c>
      <c r="BO634" s="27" t="s">
        <v>8</v>
      </c>
    </row>
    <row r="635" spans="1:67" x14ac:dyDescent="0.25">
      <c r="A635" s="7">
        <v>0.38653760856489122</v>
      </c>
      <c r="B635"/>
      <c r="C635"/>
      <c r="D635"/>
      <c r="E635"/>
      <c r="Z635" s="27" t="s">
        <v>7</v>
      </c>
      <c r="BH635" s="27" t="s">
        <v>7</v>
      </c>
      <c r="BI635" s="27" t="s">
        <v>8</v>
      </c>
      <c r="BJ635" s="27" t="s">
        <v>7</v>
      </c>
      <c r="BK635" s="27" t="s">
        <v>8</v>
      </c>
      <c r="BN635" s="27" t="s">
        <v>7</v>
      </c>
      <c r="BO635" s="27" t="s">
        <v>8</v>
      </c>
    </row>
    <row r="636" spans="1:67" x14ac:dyDescent="0.25">
      <c r="A636" s="7">
        <v>0.37895843976950117</v>
      </c>
      <c r="B636"/>
      <c r="C636"/>
      <c r="D636"/>
      <c r="E636"/>
      <c r="BH636" s="27" t="s">
        <v>7</v>
      </c>
      <c r="BI636" s="27" t="s">
        <v>8</v>
      </c>
      <c r="BJ636" s="27" t="s">
        <v>7</v>
      </c>
      <c r="BN636" s="27" t="s">
        <v>7</v>
      </c>
      <c r="BO636" s="27" t="s">
        <v>8</v>
      </c>
    </row>
    <row r="637" spans="1:67" x14ac:dyDescent="0.25">
      <c r="A637" s="7">
        <v>0.37152788212696197</v>
      </c>
      <c r="B637"/>
      <c r="C637"/>
      <c r="D637"/>
      <c r="E637"/>
      <c r="BH637" s="27" t="s">
        <v>7</v>
      </c>
      <c r="BI637" s="27" t="s">
        <v>8</v>
      </c>
      <c r="BN637" s="27" t="s">
        <v>7</v>
      </c>
      <c r="BO637" s="27" t="s">
        <v>8</v>
      </c>
    </row>
    <row r="638" spans="1:67" x14ac:dyDescent="0.25">
      <c r="A638" s="7">
        <v>0.36424302169310002</v>
      </c>
      <c r="B638"/>
      <c r="C638"/>
      <c r="D638"/>
      <c r="E638"/>
      <c r="BH638" s="27" t="s">
        <v>7</v>
      </c>
      <c r="BI638" s="27" t="s">
        <v>8</v>
      </c>
      <c r="BN638" s="27" t="s">
        <v>7</v>
      </c>
      <c r="BO638" s="27" t="s">
        <v>8</v>
      </c>
    </row>
    <row r="639" spans="1:67" x14ac:dyDescent="0.25">
      <c r="A639" s="7">
        <v>0.35710100165990194</v>
      </c>
      <c r="B639"/>
      <c r="C639"/>
      <c r="D639"/>
      <c r="E639"/>
      <c r="BH639" s="27" t="s">
        <v>7</v>
      </c>
      <c r="BI639" s="27" t="s">
        <v>8</v>
      </c>
      <c r="BN639" s="27" t="s">
        <v>7</v>
      </c>
      <c r="BO639" s="27" t="s">
        <v>8</v>
      </c>
    </row>
    <row r="640" spans="1:67" x14ac:dyDescent="0.25">
      <c r="A640" s="7">
        <v>0.35009902123519804</v>
      </c>
      <c r="B640"/>
      <c r="C640"/>
      <c r="D640"/>
      <c r="E640"/>
      <c r="BH640" s="27" t="s">
        <v>7</v>
      </c>
      <c r="BI640" s="27" t="s">
        <v>8</v>
      </c>
      <c r="BN640" s="27" t="s">
        <v>7</v>
      </c>
    </row>
    <row r="641" spans="1:61" x14ac:dyDescent="0.25">
      <c r="A641" s="7">
        <v>0.34323433454431179</v>
      </c>
      <c r="B641"/>
      <c r="C641"/>
      <c r="D641"/>
      <c r="E641"/>
      <c r="BH641" s="27" t="s">
        <v>7</v>
      </c>
      <c r="BI641" s="27" t="s">
        <v>8</v>
      </c>
    </row>
    <row r="642" spans="1:61" x14ac:dyDescent="0.25">
      <c r="A642" s="7">
        <v>0.33650424955324681</v>
      </c>
      <c r="B642"/>
      <c r="C642"/>
      <c r="D642"/>
      <c r="E642"/>
      <c r="BH642" s="27" t="s">
        <v>7</v>
      </c>
    </row>
    <row r="643" spans="1:61" x14ac:dyDescent="0.25">
      <c r="A643" s="7">
        <v>0.3299061270129871</v>
      </c>
      <c r="B643"/>
      <c r="C643"/>
      <c r="D643"/>
      <c r="E643"/>
    </row>
    <row r="644" spans="1:61" x14ac:dyDescent="0.25">
      <c r="A644" s="7">
        <v>0.32343737942449713</v>
      </c>
      <c r="B644"/>
      <c r="C644"/>
      <c r="D644"/>
      <c r="E644"/>
    </row>
    <row r="645" spans="1:61" x14ac:dyDescent="0.25">
      <c r="A645" s="7">
        <v>0.31709547002401678</v>
      </c>
      <c r="B645"/>
      <c r="C645"/>
      <c r="D645"/>
      <c r="E645"/>
    </row>
    <row r="646" spans="1:61" x14ac:dyDescent="0.25">
      <c r="A646" s="7">
        <v>0.31087791178825175</v>
      </c>
      <c r="B646"/>
      <c r="C646"/>
      <c r="D646"/>
      <c r="E646"/>
    </row>
    <row r="647" spans="1:61" x14ac:dyDescent="0.25">
      <c r="A647" s="7">
        <v>0.30478226645907036</v>
      </c>
      <c r="B647"/>
      <c r="C647"/>
      <c r="D647"/>
      <c r="E647"/>
    </row>
    <row r="648" spans="1:61" x14ac:dyDescent="0.25">
      <c r="A648" s="7">
        <v>0.29880614358732388</v>
      </c>
      <c r="B648"/>
      <c r="C648"/>
      <c r="D648"/>
      <c r="E648"/>
    </row>
    <row r="649" spans="1:61" x14ac:dyDescent="0.25">
      <c r="A649" s="7">
        <v>0.2929471995954156</v>
      </c>
      <c r="B649"/>
      <c r="C649"/>
      <c r="D649"/>
      <c r="E649"/>
    </row>
    <row r="650" spans="1:61" x14ac:dyDescent="0.25">
      <c r="A650" s="7">
        <v>0.28720313685825055</v>
      </c>
      <c r="B650"/>
      <c r="C650"/>
      <c r="D650"/>
      <c r="E650"/>
    </row>
    <row r="651" spans="1:61" x14ac:dyDescent="0.25">
      <c r="A651" s="7">
        <v>0.28157170280220645</v>
      </c>
      <c r="B651"/>
      <c r="C651"/>
      <c r="D651"/>
      <c r="E651"/>
    </row>
    <row r="652" spans="1:61" x14ac:dyDescent="0.25">
      <c r="A652" s="7">
        <v>0.27605068902177105</v>
      </c>
      <c r="B652"/>
      <c r="C652"/>
      <c r="D652"/>
      <c r="E652"/>
    </row>
    <row r="653" spans="1:61" x14ac:dyDescent="0.25">
      <c r="A653" s="7">
        <v>0.27063793041350104</v>
      </c>
      <c r="B653"/>
      <c r="C653"/>
      <c r="D653"/>
      <c r="E653"/>
    </row>
    <row r="654" spans="1:61" x14ac:dyDescent="0.25">
      <c r="A654" s="7">
        <v>0.26533130432696184</v>
      </c>
      <c r="B654"/>
      <c r="C654"/>
      <c r="D654"/>
      <c r="E654"/>
    </row>
    <row r="655" spans="1:61" x14ac:dyDescent="0.25">
      <c r="A655" s="7">
        <v>0.26012872973231554</v>
      </c>
      <c r="B655"/>
      <c r="C655"/>
      <c r="D655"/>
      <c r="E655"/>
    </row>
    <row r="656" spans="1:61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78" operator="equal">
      <formula>$U$1</formula>
    </cfRule>
    <cfRule type="cellIs" dxfId="89" priority="879" operator="equal">
      <formula>$S$1</formula>
    </cfRule>
  </conditionalFormatting>
  <conditionalFormatting sqref="D27">
    <cfRule type="cellIs" dxfId="88" priority="876" operator="equal">
      <formula>$S$1</formula>
    </cfRule>
    <cfRule type="cellIs" dxfId="87" priority="877" operator="equal">
      <formula>$U$1</formula>
    </cfRule>
  </conditionalFormatting>
  <conditionalFormatting sqref="C164">
    <cfRule type="cellIs" dxfId="86" priority="874" operator="equal">
      <formula>$U$1</formula>
    </cfRule>
    <cfRule type="cellIs" dxfId="85" priority="875" operator="equal">
      <formula>$S$1</formula>
    </cfRule>
  </conditionalFormatting>
  <conditionalFormatting sqref="D164">
    <cfRule type="cellIs" dxfId="84" priority="872" operator="equal">
      <formula>$S$1</formula>
    </cfRule>
    <cfRule type="cellIs" dxfId="83" priority="873" operator="equal">
      <formula>$U$1</formula>
    </cfRule>
  </conditionalFormatting>
  <conditionalFormatting sqref="C55">
    <cfRule type="cellIs" dxfId="82" priority="870" operator="equal">
      <formula>$U$1</formula>
    </cfRule>
    <cfRule type="cellIs" dxfId="81" priority="871" operator="equal">
      <formula>$S$1</formula>
    </cfRule>
  </conditionalFormatting>
  <conditionalFormatting sqref="D55">
    <cfRule type="cellIs" dxfId="80" priority="868" operator="equal">
      <formula>$S$1</formula>
    </cfRule>
    <cfRule type="cellIs" dxfId="79" priority="869" operator="equal">
      <formula>$U$1</formula>
    </cfRule>
  </conditionalFormatting>
  <conditionalFormatting sqref="C89">
    <cfRule type="cellIs" dxfId="78" priority="866" operator="equal">
      <formula>$U$1</formula>
    </cfRule>
    <cfRule type="cellIs" dxfId="77" priority="867" operator="equal">
      <formula>$S$1</formula>
    </cfRule>
  </conditionalFormatting>
  <conditionalFormatting sqref="D89">
    <cfRule type="cellIs" dxfId="76" priority="864" operator="equal">
      <formula>$S$1</formula>
    </cfRule>
    <cfRule type="cellIs" dxfId="75" priority="865" operator="equal">
      <formula>$U$1</formula>
    </cfRule>
  </conditionalFormatting>
  <conditionalFormatting sqref="C136">
    <cfRule type="cellIs" dxfId="74" priority="862" operator="equal">
      <formula>$U$1</formula>
    </cfRule>
    <cfRule type="cellIs" dxfId="73" priority="863" operator="equal">
      <formula>$S$1</formula>
    </cfRule>
  </conditionalFormatting>
  <conditionalFormatting sqref="D136">
    <cfRule type="cellIs" dxfId="72" priority="860" operator="equal">
      <formula>$S$1</formula>
    </cfRule>
    <cfRule type="cellIs" dxfId="71" priority="861" operator="equal">
      <formula>$U$1</formula>
    </cfRule>
  </conditionalFormatting>
  <conditionalFormatting sqref="C1">
    <cfRule type="cellIs" dxfId="70" priority="85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22" zoomScale="90" zoomScaleNormal="90" workbookViewId="0">
      <pane xSplit="4" topLeftCell="CF1" activePane="topRight" state="frozen"/>
      <selection activeCell="A109" sqref="A109"/>
      <selection pane="topRight" activeCell="FB251" sqref="FB25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$A$250</v>
      </c>
      <c r="D111" s="1" t="str">
        <f>ADDRESS(C121-1,D121,1,1)</f>
        <v>$FB$250</v>
      </c>
      <c r="E111"/>
    </row>
    <row r="112" spans="1:5" x14ac:dyDescent="0.25">
      <c r="A112" s="30">
        <v>515.50191262726139</v>
      </c>
      <c r="C112" s="1" t="str">
        <f>ADDRESS(C121,1,1,1)</f>
        <v>$A$251</v>
      </c>
      <c r="D112" s="1" t="str">
        <f>ADDRESS(C121,D121-1,1,1)</f>
        <v>$FA$251</v>
      </c>
      <c r="E112"/>
    </row>
    <row r="113" spans="1:5" x14ac:dyDescent="0.25">
      <c r="A113" s="30">
        <v>490.95420250215363</v>
      </c>
      <c r="C113" s="1" t="str">
        <f>ADDRESS(C121+1,1,1,1)</f>
        <v>$A$252</v>
      </c>
      <c r="D113" s="1" t="str">
        <f>ADDRESS(C121-1,D121+1,1,1)</f>
        <v>$FC$250</v>
      </c>
    </row>
    <row r="114" spans="1:5" x14ac:dyDescent="0.25">
      <c r="A114" s="30">
        <v>467.57543095443202</v>
      </c>
      <c r="C114" s="1" t="str">
        <f>ADDRESS(C121,D121,1,1)</f>
        <v>$FB$251</v>
      </c>
      <c r="D114" s="1" t="str">
        <f>ADDRESS(C121+1,D121+1,1,1)</f>
        <v>$FC$252</v>
      </c>
    </row>
    <row r="115" spans="1:5" x14ac:dyDescent="0.25">
      <c r="A115" s="30">
        <v>445.30993424231622</v>
      </c>
      <c r="C115" s="1" t="str">
        <f>ADDRESS(C121+1,D121,1,1)</f>
        <v>$FB$252</v>
      </c>
    </row>
    <row r="116" spans="1:5" x14ac:dyDescent="0.25">
      <c r="A116" s="30">
        <v>424.10469927839637</v>
      </c>
      <c r="C116" s="1">
        <f>C117-1</f>
        <v>250</v>
      </c>
    </row>
    <row r="117" spans="1:5" x14ac:dyDescent="0.25">
      <c r="A117" s="30">
        <v>403.9092374079965</v>
      </c>
      <c r="C117" s="1">
        <f>C121</f>
        <v>251</v>
      </c>
      <c r="D117" s="1">
        <f>D121</f>
        <v>158</v>
      </c>
    </row>
    <row r="118" spans="1:5" x14ac:dyDescent="0.25">
      <c r="A118" s="30">
        <v>384.6754641980919</v>
      </c>
      <c r="C118" s="1">
        <f>C117+1</f>
        <v>252</v>
      </c>
      <c r="D118" s="1">
        <f>D117+1</f>
        <v>159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251</v>
      </c>
      <c r="D121" s="19">
        <v>158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R251</v>
      </c>
      <c r="D123" s="1" t="str">
        <f>"C"&amp;D121</f>
        <v>C158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0.58467928908643485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7" x14ac:dyDescent="0.25">
      <c r="A193" s="30">
        <v>9.9059710923258422</v>
      </c>
      <c r="E193"/>
    </row>
    <row r="194" spans="1:7" x14ac:dyDescent="0.25">
      <c r="A194" s="30">
        <v>9.4342581831674686</v>
      </c>
      <c r="E194"/>
    </row>
    <row r="195" spans="1:7" x14ac:dyDescent="0.25">
      <c r="A195" s="30">
        <v>8.9850077934928265</v>
      </c>
      <c r="E195"/>
    </row>
    <row r="196" spans="1:7" x14ac:dyDescent="0.25">
      <c r="A196" s="30">
        <v>8.5571502795169767</v>
      </c>
      <c r="E196"/>
    </row>
    <row r="197" spans="1:7" x14ac:dyDescent="0.25">
      <c r="A197" s="30">
        <v>8.1496669328733109</v>
      </c>
      <c r="E197"/>
    </row>
    <row r="198" spans="1:7" x14ac:dyDescent="0.25">
      <c r="A198" s="30">
        <v>7.7615875551174378</v>
      </c>
      <c r="E198"/>
    </row>
    <row r="199" spans="1:7" x14ac:dyDescent="0.25">
      <c r="A199" s="30">
        <v>7.3919881477308929</v>
      </c>
      <c r="E199"/>
    </row>
    <row r="200" spans="1:7" x14ac:dyDescent="0.25">
      <c r="A200" s="30">
        <v>7.0399887121246598</v>
      </c>
      <c r="E200"/>
    </row>
    <row r="201" spans="1:7" x14ac:dyDescent="0.25">
      <c r="A201" s="30">
        <v>6.7047511544044376</v>
      </c>
      <c r="E201"/>
    </row>
    <row r="202" spans="1:7" x14ac:dyDescent="0.25">
      <c r="A202" s="30">
        <v>6.3854772899089882</v>
      </c>
      <c r="E202"/>
    </row>
    <row r="203" spans="1:7" x14ac:dyDescent="0.25">
      <c r="A203" s="30">
        <v>6.0814069427704647</v>
      </c>
      <c r="C203" s="7"/>
      <c r="D203"/>
      <c r="E203"/>
    </row>
    <row r="204" spans="1:7" x14ac:dyDescent="0.25">
      <c r="A204" s="30">
        <v>5.7918161359718709</v>
      </c>
      <c r="E204"/>
    </row>
    <row r="205" spans="1:7" x14ac:dyDescent="0.25">
      <c r="A205" s="30">
        <v>5.5160153675922574</v>
      </c>
      <c r="E205"/>
    </row>
    <row r="206" spans="1:7" x14ac:dyDescent="0.25">
      <c r="A206" s="30">
        <v>5.2533479691354827</v>
      </c>
      <c r="C206"/>
      <c r="D206"/>
      <c r="E206"/>
    </row>
    <row r="207" spans="1:7" x14ac:dyDescent="0.25">
      <c r="A207" s="30">
        <v>5.0031885420337927</v>
      </c>
      <c r="E207"/>
    </row>
    <row r="208" spans="1:7" x14ac:dyDescent="0.25">
      <c r="A208" s="30">
        <v>4.7649414686036122</v>
      </c>
      <c r="E208" t="s">
        <v>8</v>
      </c>
      <c r="G208" s="27" t="s">
        <v>8</v>
      </c>
    </row>
    <row r="209" spans="1:114" x14ac:dyDescent="0.25">
      <c r="A209" s="30">
        <v>4.5380394939082018</v>
      </c>
      <c r="E209" t="s">
        <v>8</v>
      </c>
      <c r="F209" s="27" t="s">
        <v>7</v>
      </c>
      <c r="G209" s="27" t="s">
        <v>8</v>
      </c>
      <c r="H209" s="27" t="s">
        <v>7</v>
      </c>
    </row>
    <row r="210" spans="1:114" x14ac:dyDescent="0.25">
      <c r="A210" s="30">
        <v>4.3219423751506678</v>
      </c>
      <c r="C210"/>
      <c r="E210" t="s">
        <v>8</v>
      </c>
      <c r="F210" s="27" t="s">
        <v>7</v>
      </c>
      <c r="G210" s="27" t="s">
        <v>8</v>
      </c>
      <c r="H210" s="27" t="s">
        <v>7</v>
      </c>
    </row>
    <row r="211" spans="1:114" x14ac:dyDescent="0.25">
      <c r="A211" s="30">
        <v>4.1161355953815884</v>
      </c>
      <c r="E211" t="s">
        <v>8</v>
      </c>
      <c r="F211" s="27" t="s">
        <v>7</v>
      </c>
      <c r="G211" s="27" t="s">
        <v>8</v>
      </c>
      <c r="H211" s="27" t="s">
        <v>7</v>
      </c>
    </row>
    <row r="212" spans="1:114" x14ac:dyDescent="0.25">
      <c r="A212" s="30">
        <v>3.9201291384586554</v>
      </c>
      <c r="E212" t="s">
        <v>8</v>
      </c>
      <c r="F212" s="27" t="s">
        <v>7</v>
      </c>
      <c r="G212" s="27" t="s">
        <v>8</v>
      </c>
      <c r="H212" s="27" t="s">
        <v>7</v>
      </c>
    </row>
    <row r="213" spans="1:114" x14ac:dyDescent="0.25">
      <c r="A213" s="30">
        <v>3.7334563223415764</v>
      </c>
      <c r="E213" t="s">
        <v>8</v>
      </c>
      <c r="F213" s="27" t="s">
        <v>7</v>
      </c>
      <c r="G213" s="27" t="s">
        <v>8</v>
      </c>
      <c r="H213" s="27" t="s">
        <v>7</v>
      </c>
      <c r="CY213" s="31" t="s">
        <v>8</v>
      </c>
    </row>
    <row r="214" spans="1:114" x14ac:dyDescent="0.25">
      <c r="A214" s="30">
        <v>3.5556726879443583</v>
      </c>
      <c r="E214" t="s">
        <v>8</v>
      </c>
      <c r="F214" s="27" t="s">
        <v>7</v>
      </c>
      <c r="G214" s="27" t="s">
        <v>8</v>
      </c>
      <c r="H214" s="27" t="s">
        <v>7</v>
      </c>
      <c r="CY214" s="27" t="s">
        <v>8</v>
      </c>
      <c r="CZ214" s="31" t="s">
        <v>7</v>
      </c>
    </row>
    <row r="215" spans="1:114" x14ac:dyDescent="0.25">
      <c r="A215" s="30">
        <v>3.3863549408993889</v>
      </c>
      <c r="E215" t="s">
        <v>8</v>
      </c>
      <c r="F215" s="27" t="s">
        <v>7</v>
      </c>
      <c r="G215" s="27" t="s">
        <v>8</v>
      </c>
      <c r="H215" s="27" t="s">
        <v>7</v>
      </c>
      <c r="CY215" s="27" t="s">
        <v>8</v>
      </c>
      <c r="CZ215" s="27" t="s">
        <v>7</v>
      </c>
      <c r="DA215" s="31"/>
    </row>
    <row r="216" spans="1:114" x14ac:dyDescent="0.25">
      <c r="A216" s="30">
        <v>3.2250999437137038</v>
      </c>
      <c r="E216" t="s">
        <v>8</v>
      </c>
      <c r="F216" s="27" t="s">
        <v>7</v>
      </c>
      <c r="G216" s="27" t="s">
        <v>8</v>
      </c>
      <c r="H216" s="27" t="s">
        <v>7</v>
      </c>
      <c r="CO216" s="27" t="s">
        <v>8</v>
      </c>
      <c r="CY216" s="27" t="s">
        <v>8</v>
      </c>
      <c r="CZ216" s="27" t="s">
        <v>7</v>
      </c>
      <c r="DB216" s="31"/>
    </row>
    <row r="217" spans="1:114" x14ac:dyDescent="0.25">
      <c r="A217" s="30">
        <v>3.0715237559178128</v>
      </c>
      <c r="E217" t="s">
        <v>8</v>
      </c>
      <c r="F217" s="27" t="s">
        <v>7</v>
      </c>
      <c r="G217" s="27" t="s">
        <v>8</v>
      </c>
      <c r="H217" s="27" t="s">
        <v>7</v>
      </c>
      <c r="CO217" s="27" t="s">
        <v>8</v>
      </c>
      <c r="CP217" s="27" t="s">
        <v>7</v>
      </c>
      <c r="CY217" s="27" t="s">
        <v>8</v>
      </c>
      <c r="CZ217" s="27" t="s">
        <v>7</v>
      </c>
      <c r="DC217" s="31"/>
    </row>
    <row r="218" spans="1:114" x14ac:dyDescent="0.25">
      <c r="A218" s="30">
        <v>2.9252607199217264</v>
      </c>
      <c r="E218" t="s">
        <v>8</v>
      </c>
      <c r="F218" s="27" t="s">
        <v>7</v>
      </c>
      <c r="G218" s="27" t="s">
        <v>8</v>
      </c>
      <c r="H218" s="27" t="s">
        <v>7</v>
      </c>
      <c r="CO218" s="27" t="s">
        <v>8</v>
      </c>
      <c r="CP218" s="27" t="s">
        <v>7</v>
      </c>
      <c r="CY218" s="27" t="s">
        <v>8</v>
      </c>
      <c r="CZ218" s="27" t="s">
        <v>7</v>
      </c>
      <c r="DD218" s="31"/>
    </row>
    <row r="219" spans="1:114" x14ac:dyDescent="0.25">
      <c r="A219" s="30">
        <v>2.7859625904016441</v>
      </c>
      <c r="E219" t="s">
        <v>8</v>
      </c>
      <c r="F219" s="27" t="s">
        <v>7</v>
      </c>
      <c r="G219" s="27" t="s">
        <v>8</v>
      </c>
      <c r="H219" s="27" t="s">
        <v>7</v>
      </c>
      <c r="CO219" s="27" t="s">
        <v>8</v>
      </c>
      <c r="CP219" s="27" t="s">
        <v>7</v>
      </c>
      <c r="CQ219" s="27" t="s">
        <v>8</v>
      </c>
      <c r="CY219" s="27" t="s">
        <v>8</v>
      </c>
      <c r="CZ219" s="27" t="s">
        <v>7</v>
      </c>
      <c r="DA219" s="27" t="s">
        <v>8</v>
      </c>
      <c r="DE219" s="31"/>
    </row>
    <row r="220" spans="1:114" x14ac:dyDescent="0.25">
      <c r="A220" s="30">
        <v>2.6532977051444226</v>
      </c>
      <c r="E220" t="s">
        <v>8</v>
      </c>
      <c r="F220" s="27" t="s">
        <v>7</v>
      </c>
      <c r="G220" s="27" t="s">
        <v>8</v>
      </c>
      <c r="H220" s="27" t="s">
        <v>7</v>
      </c>
      <c r="CO220" s="27" t="s">
        <v>8</v>
      </c>
      <c r="CP220" s="27" t="s">
        <v>7</v>
      </c>
      <c r="CQ220" s="27" t="s">
        <v>8</v>
      </c>
      <c r="CR220" s="27" t="s">
        <v>7</v>
      </c>
      <c r="CY220" s="27" t="s">
        <v>8</v>
      </c>
      <c r="CZ220" s="27" t="s">
        <v>7</v>
      </c>
      <c r="DA220" s="27" t="s">
        <v>8</v>
      </c>
      <c r="DB220" s="27" t="s">
        <v>7</v>
      </c>
      <c r="DC220" s="27" t="s">
        <v>8</v>
      </c>
      <c r="DF220" s="31"/>
    </row>
    <row r="221" spans="1:114" x14ac:dyDescent="0.25">
      <c r="A221" s="30">
        <v>2.5269501953756404</v>
      </c>
      <c r="E221" t="s">
        <v>8</v>
      </c>
      <c r="F221" s="27" t="s">
        <v>7</v>
      </c>
      <c r="H221" s="27" t="s">
        <v>7</v>
      </c>
      <c r="CO221" s="27" t="s">
        <v>8</v>
      </c>
      <c r="CP221" s="27" t="s">
        <v>7</v>
      </c>
      <c r="CQ221" s="27" t="s">
        <v>8</v>
      </c>
      <c r="CR221" s="27" t="s">
        <v>7</v>
      </c>
      <c r="CY221" s="27" t="s">
        <v>8</v>
      </c>
      <c r="CZ221" s="27" t="s">
        <v>7</v>
      </c>
      <c r="DA221" s="27" t="s">
        <v>8</v>
      </c>
      <c r="DB221" s="27" t="s">
        <v>7</v>
      </c>
      <c r="DC221" s="27" t="s">
        <v>8</v>
      </c>
      <c r="DD221" s="27" t="s">
        <v>7</v>
      </c>
      <c r="DG221" s="31"/>
    </row>
    <row r="222" spans="1:114" x14ac:dyDescent="0.25">
      <c r="A222" s="30">
        <v>2.4066192336910861</v>
      </c>
      <c r="E222" t="s">
        <v>8</v>
      </c>
      <c r="H222" s="27" t="s">
        <v>7</v>
      </c>
      <c r="BS222" s="27" t="s">
        <v>8</v>
      </c>
      <c r="CM222" s="27" t="s">
        <v>8</v>
      </c>
      <c r="CO222" s="27" t="s">
        <v>8</v>
      </c>
      <c r="CP222" s="27" t="s">
        <v>7</v>
      </c>
      <c r="CR222" s="27" t="s">
        <v>7</v>
      </c>
      <c r="CY222" s="27" t="s">
        <v>8</v>
      </c>
      <c r="CZ222" s="27" t="s">
        <v>7</v>
      </c>
      <c r="DA222" s="27" t="s">
        <v>8</v>
      </c>
      <c r="DB222" s="27" t="s">
        <v>7</v>
      </c>
      <c r="DC222" s="27" t="s">
        <v>8</v>
      </c>
      <c r="DD222" s="27" t="s">
        <v>7</v>
      </c>
      <c r="DH222" s="31"/>
    </row>
    <row r="223" spans="1:114" x14ac:dyDescent="0.25">
      <c r="A223" s="30">
        <v>2.2920183178010345</v>
      </c>
      <c r="E223" t="s">
        <v>8</v>
      </c>
      <c r="H223" s="27" t="s">
        <v>7</v>
      </c>
      <c r="BQ223" s="27" t="s">
        <v>8</v>
      </c>
      <c r="BS223" s="27" t="s">
        <v>8</v>
      </c>
      <c r="BT223" s="27" t="s">
        <v>7</v>
      </c>
      <c r="CM223" s="27" t="s">
        <v>8</v>
      </c>
      <c r="CN223" s="27" t="s">
        <v>7</v>
      </c>
      <c r="CO223" s="27" t="s">
        <v>8</v>
      </c>
      <c r="CR223" s="27" t="s">
        <v>7</v>
      </c>
      <c r="CY223" s="27" t="s">
        <v>8</v>
      </c>
      <c r="CZ223" s="27" t="s">
        <v>7</v>
      </c>
      <c r="DA223" s="27" t="s">
        <v>8</v>
      </c>
      <c r="DB223" s="27" t="s">
        <v>7</v>
      </c>
      <c r="DC223" s="27" t="s">
        <v>8</v>
      </c>
      <c r="DD223" s="27" t="s">
        <v>7</v>
      </c>
      <c r="DI223" s="31"/>
    </row>
    <row r="224" spans="1:114" x14ac:dyDescent="0.25">
      <c r="A224" s="30">
        <v>2.1828745883819374</v>
      </c>
      <c r="E224" t="s">
        <v>8</v>
      </c>
      <c r="H224" s="27" t="s">
        <v>7</v>
      </c>
      <c r="BO224" s="27" t="s">
        <v>8</v>
      </c>
      <c r="BQ224" s="27" t="s">
        <v>8</v>
      </c>
      <c r="BR224" s="27" t="s">
        <v>7</v>
      </c>
      <c r="BS224" s="27" t="s">
        <v>8</v>
      </c>
      <c r="BT224" s="27" t="s">
        <v>7</v>
      </c>
      <c r="CM224" s="27" t="s">
        <v>8</v>
      </c>
      <c r="CN224" s="27" t="s">
        <v>7</v>
      </c>
      <c r="CO224" s="27" t="s">
        <v>8</v>
      </c>
      <c r="CR224" s="27" t="s">
        <v>7</v>
      </c>
      <c r="CY224" s="27" t="s">
        <v>8</v>
      </c>
      <c r="CZ224" s="27" t="s">
        <v>7</v>
      </c>
      <c r="DA224" s="27" t="s">
        <v>8</v>
      </c>
      <c r="DB224" s="27" t="s">
        <v>7</v>
      </c>
      <c r="DC224" s="27" t="s">
        <v>8</v>
      </c>
      <c r="DD224" s="27" t="s">
        <v>7</v>
      </c>
      <c r="DJ224" s="31"/>
    </row>
    <row r="225" spans="1:156" x14ac:dyDescent="0.25">
      <c r="A225" s="30">
        <v>2.0789281794113688</v>
      </c>
      <c r="E225" t="s">
        <v>8</v>
      </c>
      <c r="H225" s="27" t="s">
        <v>7</v>
      </c>
      <c r="BO225" s="27" t="s">
        <v>8</v>
      </c>
      <c r="BP225" s="27" t="s">
        <v>7</v>
      </c>
      <c r="BQ225" s="27" t="s">
        <v>8</v>
      </c>
      <c r="BR225" s="27" t="s">
        <v>7</v>
      </c>
      <c r="BS225" s="27" t="s">
        <v>8</v>
      </c>
      <c r="BT225" s="27" t="s">
        <v>7</v>
      </c>
      <c r="CM225" s="27" t="s">
        <v>8</v>
      </c>
      <c r="CN225" s="27" t="s">
        <v>7</v>
      </c>
      <c r="CO225" s="27" t="s">
        <v>8</v>
      </c>
      <c r="CR225" s="27" t="s">
        <v>7</v>
      </c>
      <c r="CS225" s="27" t="s">
        <v>8</v>
      </c>
      <c r="CY225" s="27" t="s">
        <v>8</v>
      </c>
      <c r="CZ225" s="27" t="s">
        <v>7</v>
      </c>
      <c r="DB225" s="27" t="s">
        <v>7</v>
      </c>
      <c r="DD225" s="27" t="s">
        <v>7</v>
      </c>
      <c r="DK225" s="31"/>
    </row>
    <row r="226" spans="1:156" x14ac:dyDescent="0.25">
      <c r="A226" s="30">
        <v>1.9799315994393987</v>
      </c>
      <c r="E226" t="s">
        <v>8</v>
      </c>
      <c r="H226" s="27" t="s">
        <v>7</v>
      </c>
      <c r="BO226" s="27" t="s">
        <v>8</v>
      </c>
      <c r="BP226" s="27" t="s">
        <v>7</v>
      </c>
      <c r="BQ226" s="27" t="s">
        <v>8</v>
      </c>
      <c r="BR226" s="27" t="s">
        <v>7</v>
      </c>
      <c r="BS226" s="27" t="s">
        <v>8</v>
      </c>
      <c r="BT226" s="27" t="s">
        <v>7</v>
      </c>
      <c r="CM226" s="27" t="s">
        <v>8</v>
      </c>
      <c r="CN226" s="27" t="s">
        <v>7</v>
      </c>
      <c r="CO226" s="27" t="s">
        <v>8</v>
      </c>
      <c r="CR226" s="27" t="s">
        <v>7</v>
      </c>
      <c r="CS226" s="27" t="s">
        <v>8</v>
      </c>
      <c r="CT226" s="27" t="s">
        <v>7</v>
      </c>
      <c r="CY226" s="27" t="s">
        <v>8</v>
      </c>
      <c r="DD226" s="27" t="s">
        <v>7</v>
      </c>
      <c r="DL226" s="31"/>
      <c r="EU226" s="27" t="s">
        <v>8</v>
      </c>
    </row>
    <row r="227" spans="1:156" x14ac:dyDescent="0.25">
      <c r="A227" s="30">
        <v>1.8856491423232367</v>
      </c>
      <c r="E227" t="s">
        <v>8</v>
      </c>
      <c r="H227" s="27" t="s">
        <v>7</v>
      </c>
      <c r="BM227" s="27" t="s">
        <v>8</v>
      </c>
      <c r="BO227" s="27" t="s">
        <v>8</v>
      </c>
      <c r="BP227" s="27" t="s">
        <v>7</v>
      </c>
      <c r="BQ227" s="27" t="s">
        <v>8</v>
      </c>
      <c r="BR227" s="27" t="s">
        <v>7</v>
      </c>
      <c r="BS227" s="27" t="s">
        <v>8</v>
      </c>
      <c r="BT227" s="27" t="s">
        <v>7</v>
      </c>
      <c r="CM227" s="27" t="s">
        <v>8</v>
      </c>
      <c r="CN227" s="27" t="s">
        <v>7</v>
      </c>
      <c r="CO227" s="27" t="s">
        <v>8</v>
      </c>
      <c r="CR227" s="27" t="s">
        <v>7</v>
      </c>
      <c r="CS227" s="27" t="s">
        <v>8</v>
      </c>
      <c r="CT227" s="27" t="s">
        <v>7</v>
      </c>
      <c r="CU227" s="27" t="s">
        <v>8</v>
      </c>
      <c r="CY227" s="27" t="s">
        <v>8</v>
      </c>
      <c r="DD227" s="27" t="s">
        <v>7</v>
      </c>
      <c r="DE227" s="27" t="s">
        <v>8</v>
      </c>
      <c r="DM227" s="31"/>
      <c r="EU227" s="27" t="s">
        <v>8</v>
      </c>
      <c r="EV227" s="27" t="s">
        <v>7</v>
      </c>
    </row>
    <row r="228" spans="1:156" x14ac:dyDescent="0.25">
      <c r="A228" s="30">
        <v>1.7958563260221301</v>
      </c>
      <c r="C228" s="7"/>
      <c r="D228"/>
      <c r="E228" t="s">
        <v>8</v>
      </c>
      <c r="H228" s="27" t="s">
        <v>7</v>
      </c>
      <c r="BM228" s="27" t="s">
        <v>8</v>
      </c>
      <c r="BN228" s="27" t="s">
        <v>7</v>
      </c>
      <c r="BO228" s="27" t="s">
        <v>8</v>
      </c>
      <c r="BP228" s="27" t="s">
        <v>7</v>
      </c>
      <c r="BQ228" s="27" t="s">
        <v>8</v>
      </c>
      <c r="BR228" s="27" t="s">
        <v>7</v>
      </c>
      <c r="BS228" s="27" t="s">
        <v>8</v>
      </c>
      <c r="BT228" s="27" t="s">
        <v>7</v>
      </c>
      <c r="CG228" s="27" t="s">
        <v>8</v>
      </c>
      <c r="CM228" s="27" t="s">
        <v>8</v>
      </c>
      <c r="CN228" s="27" t="s">
        <v>7</v>
      </c>
      <c r="CO228" s="27" t="s">
        <v>8</v>
      </c>
      <c r="CR228" s="27" t="s">
        <v>7</v>
      </c>
      <c r="CS228" s="27" t="s">
        <v>8</v>
      </c>
      <c r="CT228" s="27" t="s">
        <v>7</v>
      </c>
      <c r="CU228" s="27" t="s">
        <v>8</v>
      </c>
      <c r="CV228" s="27" t="s">
        <v>7</v>
      </c>
      <c r="CW228" s="27" t="s">
        <v>8</v>
      </c>
      <c r="CY228" s="27" t="s">
        <v>8</v>
      </c>
      <c r="DD228" s="27" t="s">
        <v>7</v>
      </c>
      <c r="DE228" s="27" t="s">
        <v>8</v>
      </c>
      <c r="DF228" s="27" t="s">
        <v>7</v>
      </c>
      <c r="DN228" s="31"/>
      <c r="EU228" s="27" t="s">
        <v>8</v>
      </c>
      <c r="EV228" s="27" t="s">
        <v>7</v>
      </c>
      <c r="EY228" s="27" t="s">
        <v>8</v>
      </c>
    </row>
    <row r="229" spans="1:156" x14ac:dyDescent="0.25">
      <c r="A229" s="30">
        <v>1.7103393581163142</v>
      </c>
      <c r="E229" t="s">
        <v>8</v>
      </c>
      <c r="H229" s="27" t="s">
        <v>7</v>
      </c>
      <c r="I229" s="27" t="s">
        <v>8</v>
      </c>
      <c r="BM229" s="27" t="s">
        <v>8</v>
      </c>
      <c r="BN229" s="27" t="s">
        <v>7</v>
      </c>
      <c r="BO229" s="27" t="s">
        <v>8</v>
      </c>
      <c r="BP229" s="27" t="s">
        <v>7</v>
      </c>
      <c r="BQ229" s="27" t="s">
        <v>8</v>
      </c>
      <c r="BR229" s="27" t="s">
        <v>7</v>
      </c>
      <c r="BS229" s="27" t="s">
        <v>8</v>
      </c>
      <c r="BT229" s="27" t="s">
        <v>7</v>
      </c>
      <c r="CG229" s="27" t="s">
        <v>8</v>
      </c>
      <c r="CH229" s="27" t="s">
        <v>7</v>
      </c>
      <c r="CM229" s="27" t="s">
        <v>8</v>
      </c>
      <c r="CN229" s="27" t="s">
        <v>7</v>
      </c>
      <c r="CO229" s="27" t="s">
        <v>8</v>
      </c>
      <c r="CR229" s="27" t="s">
        <v>7</v>
      </c>
      <c r="CS229" s="27" t="s">
        <v>8</v>
      </c>
      <c r="CT229" s="27" t="s">
        <v>7</v>
      </c>
      <c r="CU229" s="27" t="s">
        <v>8</v>
      </c>
      <c r="CV229" s="27" t="s">
        <v>7</v>
      </c>
      <c r="CW229" s="27" t="s">
        <v>8</v>
      </c>
      <c r="CX229" s="27" t="s">
        <v>7</v>
      </c>
      <c r="CY229" s="27" t="s">
        <v>8</v>
      </c>
      <c r="DD229" s="27" t="s">
        <v>7</v>
      </c>
      <c r="DE229" s="27" t="s">
        <v>8</v>
      </c>
      <c r="DF229" s="27" t="s">
        <v>7</v>
      </c>
      <c r="DO229" s="31"/>
      <c r="EU229" s="27" t="s">
        <v>8</v>
      </c>
      <c r="EV229" s="27" t="s">
        <v>7</v>
      </c>
      <c r="EY229" s="27" t="s">
        <v>8</v>
      </c>
      <c r="EZ229" s="27" t="s">
        <v>7</v>
      </c>
    </row>
    <row r="230" spans="1:156" x14ac:dyDescent="0.25">
      <c r="A230" s="30">
        <v>1.628894626777442</v>
      </c>
      <c r="E230" t="s">
        <v>8</v>
      </c>
      <c r="H230" s="27" t="s">
        <v>7</v>
      </c>
      <c r="I230" s="27" t="s">
        <v>8</v>
      </c>
      <c r="J230" s="27" t="s">
        <v>7</v>
      </c>
      <c r="BM230" s="27" t="s">
        <v>8</v>
      </c>
      <c r="BN230" s="27" t="s">
        <v>7</v>
      </c>
      <c r="BO230" s="27" t="s">
        <v>8</v>
      </c>
      <c r="BP230" s="27" t="s">
        <v>7</v>
      </c>
      <c r="BQ230" s="27" t="s">
        <v>8</v>
      </c>
      <c r="BR230" s="27" t="s">
        <v>7</v>
      </c>
      <c r="BS230" s="27" t="s">
        <v>8</v>
      </c>
      <c r="BT230" s="27" t="s">
        <v>7</v>
      </c>
      <c r="CE230" s="27" t="s">
        <v>8</v>
      </c>
      <c r="CG230" s="27" t="s">
        <v>8</v>
      </c>
      <c r="CH230" s="27" t="s">
        <v>7</v>
      </c>
      <c r="CI230" s="27" t="s">
        <v>8</v>
      </c>
      <c r="CK230" s="27" t="s">
        <v>8</v>
      </c>
      <c r="CM230" s="27" t="s">
        <v>8</v>
      </c>
      <c r="CN230" s="27" t="s">
        <v>7</v>
      </c>
      <c r="CR230" s="27" t="s">
        <v>7</v>
      </c>
      <c r="CT230" s="27" t="s">
        <v>7</v>
      </c>
      <c r="CU230" s="27" t="s">
        <v>8</v>
      </c>
      <c r="CV230" s="27" t="s">
        <v>7</v>
      </c>
      <c r="CW230" s="27" t="s">
        <v>8</v>
      </c>
      <c r="CX230" s="27" t="s">
        <v>7</v>
      </c>
      <c r="CY230" s="27" t="s">
        <v>8</v>
      </c>
      <c r="DD230" s="27" t="s">
        <v>7</v>
      </c>
      <c r="DE230" s="27" t="s">
        <v>8</v>
      </c>
      <c r="DF230" s="27" t="s">
        <v>7</v>
      </c>
      <c r="DP230" s="31"/>
      <c r="EU230" s="27" t="s">
        <v>8</v>
      </c>
      <c r="EV230" s="27" t="s">
        <v>7</v>
      </c>
      <c r="EY230" s="27" t="s">
        <v>8</v>
      </c>
      <c r="EZ230" s="27" t="s">
        <v>7</v>
      </c>
    </row>
    <row r="231" spans="1:156" x14ac:dyDescent="0.25">
      <c r="A231" s="30">
        <v>1.5513282159785162</v>
      </c>
      <c r="C231"/>
      <c r="D231"/>
      <c r="E231" t="s">
        <v>8</v>
      </c>
      <c r="H231" s="27" t="s">
        <v>7</v>
      </c>
      <c r="I231" s="27" t="s">
        <v>8</v>
      </c>
      <c r="J231" s="27" t="s">
        <v>7</v>
      </c>
      <c r="Y231" s="27" t="s">
        <v>8</v>
      </c>
      <c r="BM231" s="27" t="s">
        <v>8</v>
      </c>
      <c r="BN231" s="27" t="s">
        <v>7</v>
      </c>
      <c r="BO231" s="27" t="s">
        <v>8</v>
      </c>
      <c r="BP231" s="27" t="s">
        <v>7</v>
      </c>
      <c r="BQ231" s="27" t="s">
        <v>8</v>
      </c>
      <c r="BR231" s="27" t="s">
        <v>7</v>
      </c>
      <c r="BS231" s="27" t="s">
        <v>8</v>
      </c>
      <c r="BT231" s="27" t="s">
        <v>7</v>
      </c>
      <c r="CE231" s="27" t="s">
        <v>8</v>
      </c>
      <c r="CF231" s="27" t="s">
        <v>7</v>
      </c>
      <c r="CG231" s="27" t="s">
        <v>8</v>
      </c>
      <c r="CH231" s="27" t="s">
        <v>7</v>
      </c>
      <c r="CI231" s="27" t="s">
        <v>8</v>
      </c>
      <c r="CJ231" s="27" t="s">
        <v>7</v>
      </c>
      <c r="CK231" s="27" t="s">
        <v>8</v>
      </c>
      <c r="CL231" s="27" t="s">
        <v>7</v>
      </c>
      <c r="CM231" s="27" t="s">
        <v>8</v>
      </c>
      <c r="CT231" s="27" t="s">
        <v>7</v>
      </c>
      <c r="CV231" s="27" t="s">
        <v>7</v>
      </c>
      <c r="CW231" s="27" t="s">
        <v>8</v>
      </c>
      <c r="CX231" s="27" t="s">
        <v>7</v>
      </c>
      <c r="DD231" s="27" t="s">
        <v>7</v>
      </c>
      <c r="DF231" s="27" t="s">
        <v>7</v>
      </c>
      <c r="DQ231" s="31"/>
      <c r="EU231" s="27" t="s">
        <v>8</v>
      </c>
      <c r="EV231" s="27" t="s">
        <v>7</v>
      </c>
      <c r="EY231" s="27" t="s">
        <v>8</v>
      </c>
      <c r="EZ231" s="27" t="s">
        <v>7</v>
      </c>
    </row>
    <row r="232" spans="1:156" x14ac:dyDescent="0.25">
      <c r="A232" s="30">
        <v>1.477455443789063</v>
      </c>
      <c r="E232" t="s">
        <v>8</v>
      </c>
      <c r="H232" s="27" t="s">
        <v>7</v>
      </c>
      <c r="I232" s="27" t="s">
        <v>8</v>
      </c>
      <c r="J232" s="27" t="s">
        <v>7</v>
      </c>
      <c r="Y232" s="27" t="s">
        <v>8</v>
      </c>
      <c r="Z232" s="27" t="s">
        <v>7</v>
      </c>
      <c r="BM232" s="27" t="s">
        <v>8</v>
      </c>
      <c r="BN232" s="27" t="s">
        <v>7</v>
      </c>
      <c r="BO232" s="27" t="s">
        <v>8</v>
      </c>
      <c r="BP232" s="27" t="s">
        <v>7</v>
      </c>
      <c r="BR232" s="27" t="s">
        <v>7</v>
      </c>
      <c r="BS232" s="27" t="s">
        <v>8</v>
      </c>
      <c r="BT232" s="27" t="s">
        <v>7</v>
      </c>
      <c r="BU232" s="27" t="s">
        <v>8</v>
      </c>
      <c r="CC232" s="27" t="s">
        <v>8</v>
      </c>
      <c r="CE232" s="27" t="s">
        <v>8</v>
      </c>
      <c r="CF232" s="27" t="s">
        <v>7</v>
      </c>
      <c r="CG232" s="27" t="s">
        <v>8</v>
      </c>
      <c r="CH232" s="27" t="s">
        <v>7</v>
      </c>
      <c r="CI232" s="27" t="s">
        <v>8</v>
      </c>
      <c r="CJ232" s="27" t="s">
        <v>7</v>
      </c>
      <c r="CK232" s="27" t="s">
        <v>8</v>
      </c>
      <c r="CL232" s="27" t="s">
        <v>7</v>
      </c>
      <c r="CM232" s="27" t="s">
        <v>8</v>
      </c>
      <c r="CV232" s="27" t="s">
        <v>7</v>
      </c>
      <c r="CW232" s="27" t="s">
        <v>8</v>
      </c>
      <c r="DF232" s="27" t="s">
        <v>7</v>
      </c>
      <c r="DR232" s="31"/>
      <c r="EU232" s="27" t="s">
        <v>8</v>
      </c>
      <c r="EV232" s="27" t="s">
        <v>7</v>
      </c>
      <c r="EY232" s="27" t="s">
        <v>8</v>
      </c>
      <c r="EZ232" s="27" t="s">
        <v>7</v>
      </c>
    </row>
    <row r="233" spans="1:156" x14ac:dyDescent="0.25">
      <c r="A233" s="30">
        <v>1.4071004226562505</v>
      </c>
      <c r="E233" t="s">
        <v>8</v>
      </c>
      <c r="H233" s="27" t="s">
        <v>7</v>
      </c>
      <c r="I233" s="27" t="s">
        <v>8</v>
      </c>
      <c r="J233" s="27" t="s">
        <v>7</v>
      </c>
      <c r="K233" s="27" t="s">
        <v>8</v>
      </c>
      <c r="Y233" s="27" t="s">
        <v>8</v>
      </c>
      <c r="Z233" s="27" t="s">
        <v>7</v>
      </c>
      <c r="BM233" s="27" t="s">
        <v>8</v>
      </c>
      <c r="BN233" s="27" t="s">
        <v>7</v>
      </c>
      <c r="BO233" s="27" t="s">
        <v>8</v>
      </c>
      <c r="BR233" s="27" t="s">
        <v>7</v>
      </c>
      <c r="BT233" s="27" t="s">
        <v>7</v>
      </c>
      <c r="BU233" s="27" t="s">
        <v>8</v>
      </c>
      <c r="BV233" s="27" t="s">
        <v>7</v>
      </c>
      <c r="CC233" s="27" t="s">
        <v>8</v>
      </c>
      <c r="CD233" s="27" t="s">
        <v>7</v>
      </c>
      <c r="CE233" s="27" t="s">
        <v>8</v>
      </c>
      <c r="CF233" s="27" t="s">
        <v>7</v>
      </c>
      <c r="CG233" s="27" t="s">
        <v>8</v>
      </c>
      <c r="CH233" s="27" t="s">
        <v>7</v>
      </c>
      <c r="CI233" s="27" t="s">
        <v>8</v>
      </c>
      <c r="CJ233" s="27" t="s">
        <v>7</v>
      </c>
      <c r="CL233" s="27" t="s">
        <v>7</v>
      </c>
      <c r="CV233" s="27" t="s">
        <v>7</v>
      </c>
      <c r="CW233" s="27" t="s">
        <v>8</v>
      </c>
      <c r="DF233" s="27" t="s">
        <v>7</v>
      </c>
      <c r="DI233" s="27" t="s">
        <v>8</v>
      </c>
      <c r="DS233" s="31"/>
      <c r="EU233" s="27" t="s">
        <v>8</v>
      </c>
      <c r="EV233" s="27" t="s">
        <v>7</v>
      </c>
      <c r="EY233" s="27" t="s">
        <v>8</v>
      </c>
      <c r="EZ233" s="27" t="s">
        <v>7</v>
      </c>
    </row>
    <row r="234" spans="1:156" x14ac:dyDescent="0.25">
      <c r="A234" s="30">
        <v>1.3400956406250004</v>
      </c>
      <c r="E234" t="s">
        <v>8</v>
      </c>
      <c r="H234" s="27" t="s">
        <v>7</v>
      </c>
      <c r="I234" s="27" t="s">
        <v>8</v>
      </c>
      <c r="J234" s="27" t="s">
        <v>7</v>
      </c>
      <c r="K234" s="27" t="s">
        <v>8</v>
      </c>
      <c r="L234" s="27" t="s">
        <v>7</v>
      </c>
      <c r="Y234" s="27" t="s">
        <v>8</v>
      </c>
      <c r="Z234" s="27" t="s">
        <v>7</v>
      </c>
      <c r="BM234" s="27" t="s">
        <v>8</v>
      </c>
      <c r="BN234" s="27" t="s">
        <v>7</v>
      </c>
      <c r="BO234" s="27" t="s">
        <v>8</v>
      </c>
      <c r="BT234" s="27" t="s">
        <v>7</v>
      </c>
      <c r="BU234" s="27" t="s">
        <v>8</v>
      </c>
      <c r="BV234" s="27" t="s">
        <v>7</v>
      </c>
      <c r="CC234" s="27" t="s">
        <v>8</v>
      </c>
      <c r="CD234" s="27" t="s">
        <v>7</v>
      </c>
      <c r="CE234" s="27" t="s">
        <v>8</v>
      </c>
      <c r="CF234" s="27" t="s">
        <v>7</v>
      </c>
      <c r="CH234" s="27" t="s">
        <v>7</v>
      </c>
      <c r="CI234" s="27" t="s">
        <v>8</v>
      </c>
      <c r="CV234" s="27" t="s">
        <v>7</v>
      </c>
      <c r="CW234" s="27" t="s">
        <v>8</v>
      </c>
      <c r="DF234" s="27" t="s">
        <v>7</v>
      </c>
      <c r="DI234" s="27" t="s">
        <v>8</v>
      </c>
      <c r="DJ234" s="27" t="s">
        <v>7</v>
      </c>
      <c r="DM234" s="27" t="s">
        <v>8</v>
      </c>
      <c r="DT234" s="31"/>
      <c r="EU234" s="27" t="s">
        <v>8</v>
      </c>
      <c r="EV234" s="27" t="s">
        <v>7</v>
      </c>
      <c r="EW234" s="27" t="s">
        <v>8</v>
      </c>
      <c r="EY234" s="27" t="s">
        <v>8</v>
      </c>
      <c r="EZ234" s="27" t="s">
        <v>7</v>
      </c>
    </row>
    <row r="235" spans="1:156" x14ac:dyDescent="0.25">
      <c r="A235" s="30">
        <v>1.2762815625000004</v>
      </c>
      <c r="C235"/>
      <c r="E235" t="s">
        <v>8</v>
      </c>
      <c r="H235" s="27" t="s">
        <v>7</v>
      </c>
      <c r="I235" s="27" t="s">
        <v>8</v>
      </c>
      <c r="J235" s="27" t="s">
        <v>7</v>
      </c>
      <c r="K235" s="27" t="s">
        <v>8</v>
      </c>
      <c r="L235" s="27" t="s">
        <v>7</v>
      </c>
      <c r="Y235" s="27" t="s">
        <v>8</v>
      </c>
      <c r="Z235" s="27" t="s">
        <v>7</v>
      </c>
      <c r="AA235" s="27" t="s">
        <v>8</v>
      </c>
      <c r="BM235" s="27" t="s">
        <v>8</v>
      </c>
      <c r="BN235" s="27" t="s">
        <v>7</v>
      </c>
      <c r="BO235" s="27" t="s">
        <v>8</v>
      </c>
      <c r="BT235" s="27" t="s">
        <v>7</v>
      </c>
      <c r="BU235" s="27" t="s">
        <v>8</v>
      </c>
      <c r="BV235" s="27" t="s">
        <v>7</v>
      </c>
      <c r="BW235" s="27" t="s">
        <v>8</v>
      </c>
      <c r="BY235" s="27" t="s">
        <v>8</v>
      </c>
      <c r="CC235" s="27" t="s">
        <v>8</v>
      </c>
      <c r="CD235" s="27" t="s">
        <v>7</v>
      </c>
      <c r="CE235" s="27" t="s">
        <v>8</v>
      </c>
      <c r="CH235" s="27" t="s">
        <v>7</v>
      </c>
      <c r="CI235" s="27" t="s">
        <v>8</v>
      </c>
      <c r="CV235" s="27" t="s">
        <v>7</v>
      </c>
      <c r="CW235" s="27" t="s">
        <v>8</v>
      </c>
      <c r="DF235" s="27" t="s">
        <v>7</v>
      </c>
      <c r="DI235" s="27" t="s">
        <v>8</v>
      </c>
      <c r="DJ235" s="27" t="s">
        <v>7</v>
      </c>
      <c r="DM235" s="27" t="s">
        <v>8</v>
      </c>
      <c r="DN235" s="27" t="s">
        <v>7</v>
      </c>
      <c r="DU235" s="31"/>
      <c r="EU235" s="27" t="s">
        <v>8</v>
      </c>
      <c r="EV235" s="27" t="s">
        <v>7</v>
      </c>
      <c r="EW235" s="27" t="s">
        <v>8</v>
      </c>
      <c r="EX235" s="27" t="s">
        <v>7</v>
      </c>
      <c r="EY235" s="27" t="s">
        <v>8</v>
      </c>
      <c r="EZ235" s="27" t="s">
        <v>7</v>
      </c>
    </row>
    <row r="236" spans="1:156" x14ac:dyDescent="0.25">
      <c r="A236" s="30">
        <v>1.2155062500000002</v>
      </c>
      <c r="E236" t="s">
        <v>8</v>
      </c>
      <c r="H236" s="27" t="s">
        <v>7</v>
      </c>
      <c r="I236" s="27" t="s">
        <v>8</v>
      </c>
      <c r="J236" s="27" t="s">
        <v>7</v>
      </c>
      <c r="L236" s="27" t="s">
        <v>7</v>
      </c>
      <c r="Y236" s="27" t="s">
        <v>8</v>
      </c>
      <c r="Z236" s="27" t="s">
        <v>7</v>
      </c>
      <c r="AA236" s="27" t="s">
        <v>8</v>
      </c>
      <c r="AB236" s="27" t="s">
        <v>7</v>
      </c>
      <c r="BM236" s="27" t="s">
        <v>8</v>
      </c>
      <c r="BN236" s="27" t="s">
        <v>7</v>
      </c>
      <c r="BO236" s="27" t="s">
        <v>8</v>
      </c>
      <c r="BT236" s="27" t="s">
        <v>7</v>
      </c>
      <c r="BU236" s="27" t="s">
        <v>8</v>
      </c>
      <c r="BV236" s="27" t="s">
        <v>7</v>
      </c>
      <c r="BW236" s="27" t="s">
        <v>8</v>
      </c>
      <c r="BX236" s="27" t="s">
        <v>7</v>
      </c>
      <c r="BY236" s="27" t="s">
        <v>8</v>
      </c>
      <c r="BZ236" s="27" t="s">
        <v>7</v>
      </c>
      <c r="CA236" s="27" t="s">
        <v>8</v>
      </c>
      <c r="CC236" s="27" t="s">
        <v>8</v>
      </c>
      <c r="CD236" s="27" t="s">
        <v>7</v>
      </c>
      <c r="CE236" s="27" t="s">
        <v>8</v>
      </c>
      <c r="CH236" s="27" t="s">
        <v>7</v>
      </c>
      <c r="CV236" s="27" t="s">
        <v>7</v>
      </c>
      <c r="CW236" s="27" t="s">
        <v>8</v>
      </c>
      <c r="DF236" s="27" t="s">
        <v>7</v>
      </c>
      <c r="DI236" s="27" t="s">
        <v>8</v>
      </c>
      <c r="DJ236" s="27" t="s">
        <v>7</v>
      </c>
      <c r="DM236" s="27" t="s">
        <v>8</v>
      </c>
      <c r="DN236" s="27" t="s">
        <v>7</v>
      </c>
      <c r="DO236" s="27" t="s">
        <v>8</v>
      </c>
      <c r="DV236" s="31"/>
      <c r="EU236" s="27" t="s">
        <v>8</v>
      </c>
      <c r="EV236" s="27" t="s">
        <v>7</v>
      </c>
      <c r="EW236" s="27" t="s">
        <v>8</v>
      </c>
      <c r="EX236" s="27" t="s">
        <v>7</v>
      </c>
      <c r="EY236" s="27" t="s">
        <v>8</v>
      </c>
      <c r="EZ236" s="27" t="s">
        <v>7</v>
      </c>
    </row>
    <row r="237" spans="1:156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H237" s="27" t="s">
        <v>7</v>
      </c>
      <c r="L237" s="27" t="s">
        <v>7</v>
      </c>
      <c r="Y237" s="27" t="s">
        <v>8</v>
      </c>
      <c r="Z237" s="27" t="s">
        <v>7</v>
      </c>
      <c r="AA237" s="27" t="s">
        <v>8</v>
      </c>
      <c r="AB237" s="27" t="s">
        <v>7</v>
      </c>
      <c r="BM237" s="27" t="s">
        <v>8</v>
      </c>
      <c r="BN237" s="27" t="s">
        <v>7</v>
      </c>
      <c r="BT237" s="27" t="s">
        <v>7</v>
      </c>
      <c r="BU237" s="27" t="s">
        <v>8</v>
      </c>
      <c r="BV237" s="27" t="s">
        <v>7</v>
      </c>
      <c r="BW237" s="27" t="s">
        <v>8</v>
      </c>
      <c r="BX237" s="27" t="s">
        <v>7</v>
      </c>
      <c r="BY237" s="27" t="s">
        <v>8</v>
      </c>
      <c r="BZ237" s="27" t="s">
        <v>7</v>
      </c>
      <c r="CA237" s="27" t="s">
        <v>8</v>
      </c>
      <c r="CB237" s="27" t="s">
        <v>7</v>
      </c>
      <c r="CC237" s="27" t="s">
        <v>8</v>
      </c>
      <c r="CD237" s="27" t="s">
        <v>7</v>
      </c>
      <c r="CV237" s="27" t="s">
        <v>7</v>
      </c>
      <c r="DF237" s="27" t="s">
        <v>7</v>
      </c>
      <c r="DI237" s="27" t="s">
        <v>8</v>
      </c>
      <c r="DJ237" s="27" t="s">
        <v>7</v>
      </c>
      <c r="DM237" s="27" t="s">
        <v>8</v>
      </c>
      <c r="DN237" s="27" t="s">
        <v>7</v>
      </c>
      <c r="DO237" s="27" t="s">
        <v>8</v>
      </c>
      <c r="DP237" s="27" t="s">
        <v>7</v>
      </c>
      <c r="DU237" s="27" t="s">
        <v>8</v>
      </c>
      <c r="DW237" s="31"/>
      <c r="EU237" s="27" t="s">
        <v>8</v>
      </c>
      <c r="EV237" s="27" t="s">
        <v>7</v>
      </c>
      <c r="EX237" s="27" t="s">
        <v>7</v>
      </c>
      <c r="EY237" s="27" t="s">
        <v>8</v>
      </c>
      <c r="EZ237" s="27" t="s">
        <v>7</v>
      </c>
    </row>
    <row r="238" spans="1:156" x14ac:dyDescent="0.25">
      <c r="A238" s="30">
        <v>1.1025</v>
      </c>
      <c r="E238" t="s">
        <v>8</v>
      </c>
      <c r="L238" s="27" t="s">
        <v>7</v>
      </c>
      <c r="Y238" s="27" t="s">
        <v>8</v>
      </c>
      <c r="Z238" s="27" t="s">
        <v>7</v>
      </c>
      <c r="AA238" s="27" t="s">
        <v>8</v>
      </c>
      <c r="AB238" s="27" t="s">
        <v>7</v>
      </c>
      <c r="BM238" s="27" t="s">
        <v>8</v>
      </c>
      <c r="BT238" s="27" t="s">
        <v>7</v>
      </c>
      <c r="BU238" s="27" t="s">
        <v>8</v>
      </c>
      <c r="BV238" s="27" t="s">
        <v>7</v>
      </c>
      <c r="BW238" s="27" t="s">
        <v>8</v>
      </c>
      <c r="BX238" s="27" t="s">
        <v>7</v>
      </c>
      <c r="BY238" s="27" t="s">
        <v>8</v>
      </c>
      <c r="BZ238" s="27" t="s">
        <v>7</v>
      </c>
      <c r="CA238" s="27" t="s">
        <v>8</v>
      </c>
      <c r="CB238" s="27" t="s">
        <v>7</v>
      </c>
      <c r="CC238" s="27" t="s">
        <v>8</v>
      </c>
      <c r="DF238" s="27" t="s">
        <v>7</v>
      </c>
      <c r="DG238" s="27" t="s">
        <v>8</v>
      </c>
      <c r="DI238" s="27" t="s">
        <v>8</v>
      </c>
      <c r="DJ238" s="27" t="s">
        <v>7</v>
      </c>
      <c r="DK238" s="27" t="s">
        <v>8</v>
      </c>
      <c r="DM238" s="27" t="s">
        <v>8</v>
      </c>
      <c r="DN238" s="27" t="s">
        <v>7</v>
      </c>
      <c r="DO238" s="27" t="s">
        <v>8</v>
      </c>
      <c r="DP238" s="27" t="s">
        <v>7</v>
      </c>
      <c r="DU238" s="27" t="s">
        <v>8</v>
      </c>
      <c r="DV238" s="27" t="s">
        <v>7</v>
      </c>
      <c r="DX238" s="31"/>
      <c r="EM238" s="27" t="s">
        <v>8</v>
      </c>
      <c r="EU238" s="27" t="s">
        <v>8</v>
      </c>
      <c r="EX238" s="27" t="s">
        <v>7</v>
      </c>
      <c r="EY238" s="27" t="s">
        <v>8</v>
      </c>
      <c r="EZ238" s="27" t="s">
        <v>7</v>
      </c>
    </row>
    <row r="239" spans="1:156" x14ac:dyDescent="0.25">
      <c r="A239" s="30">
        <v>1.05</v>
      </c>
      <c r="E239" t="s">
        <v>8</v>
      </c>
      <c r="L239" s="27" t="s">
        <v>7</v>
      </c>
      <c r="Y239" s="27" t="s">
        <v>8</v>
      </c>
      <c r="Z239" s="27" t="s">
        <v>7</v>
      </c>
      <c r="AA239" s="27" t="s">
        <v>8</v>
      </c>
      <c r="AB239" s="27" t="s">
        <v>7</v>
      </c>
      <c r="BC239" s="27" t="s">
        <v>8</v>
      </c>
      <c r="BI239" s="27" t="s">
        <v>8</v>
      </c>
      <c r="BM239" s="27" t="s">
        <v>8</v>
      </c>
      <c r="BT239" s="27" t="s">
        <v>7</v>
      </c>
      <c r="BU239" s="27" t="s">
        <v>8</v>
      </c>
      <c r="BV239" s="27" t="s">
        <v>7</v>
      </c>
      <c r="BW239" s="27" t="s">
        <v>8</v>
      </c>
      <c r="BX239" s="27" t="s">
        <v>7</v>
      </c>
      <c r="BY239" s="27" t="s">
        <v>8</v>
      </c>
      <c r="BZ239" s="27" t="s">
        <v>7</v>
      </c>
      <c r="CB239" s="27" t="s">
        <v>7</v>
      </c>
      <c r="DF239" s="27" t="s">
        <v>7</v>
      </c>
      <c r="DG239" s="27" t="s">
        <v>8</v>
      </c>
      <c r="DH239" s="27" t="s">
        <v>7</v>
      </c>
      <c r="DI239" s="27" t="s">
        <v>8</v>
      </c>
      <c r="DJ239" s="27" t="s">
        <v>7</v>
      </c>
      <c r="DK239" s="27" t="s">
        <v>8</v>
      </c>
      <c r="DL239" s="27" t="s">
        <v>7</v>
      </c>
      <c r="DM239" s="27" t="s">
        <v>8</v>
      </c>
      <c r="DN239" s="27" t="s">
        <v>7</v>
      </c>
      <c r="DO239" s="27" t="s">
        <v>8</v>
      </c>
      <c r="DP239" s="27" t="s">
        <v>7</v>
      </c>
      <c r="DQ239" s="27" t="s">
        <v>8</v>
      </c>
      <c r="DS239" s="27" t="s">
        <v>8</v>
      </c>
      <c r="DU239" s="27" t="s">
        <v>8</v>
      </c>
      <c r="DV239" s="27" t="s">
        <v>7</v>
      </c>
      <c r="DY239" s="31"/>
      <c r="EM239" s="27" t="s">
        <v>8</v>
      </c>
      <c r="EN239" s="27" t="s">
        <v>7</v>
      </c>
      <c r="EQ239" s="27" t="s">
        <v>8</v>
      </c>
      <c r="ES239" s="27" t="s">
        <v>8</v>
      </c>
      <c r="EU239" s="27" t="s">
        <v>8</v>
      </c>
      <c r="EX239" s="27" t="s">
        <v>7</v>
      </c>
      <c r="EZ239" s="27" t="s">
        <v>7</v>
      </c>
    </row>
    <row r="240" spans="1:156" x14ac:dyDescent="0.25">
      <c r="A240" s="30">
        <v>1</v>
      </c>
      <c r="E240" s="29" t="s">
        <v>8</v>
      </c>
      <c r="L240" s="27" t="s">
        <v>7</v>
      </c>
      <c r="Y240" s="27" t="s">
        <v>8</v>
      </c>
      <c r="Z240" s="27" t="s">
        <v>7</v>
      </c>
      <c r="AA240" s="27" t="s">
        <v>8</v>
      </c>
      <c r="AB240" s="27" t="s">
        <v>7</v>
      </c>
      <c r="BC240" s="27" t="s">
        <v>8</v>
      </c>
      <c r="BD240" s="27" t="s">
        <v>7</v>
      </c>
      <c r="BI240" s="27" t="s">
        <v>8</v>
      </c>
      <c r="BJ240" s="27" t="s">
        <v>7</v>
      </c>
      <c r="BM240" s="27" t="s">
        <v>8</v>
      </c>
      <c r="BT240" s="27" t="s">
        <v>7</v>
      </c>
      <c r="BU240" s="27" t="s">
        <v>8</v>
      </c>
      <c r="BV240" s="27" t="s">
        <v>7</v>
      </c>
      <c r="BX240" s="27" t="s">
        <v>7</v>
      </c>
      <c r="BY240" s="27" t="s">
        <v>8</v>
      </c>
      <c r="DF240" s="27" t="s">
        <v>7</v>
      </c>
      <c r="DG240" s="27" t="s">
        <v>8</v>
      </c>
      <c r="DH240" s="27" t="s">
        <v>7</v>
      </c>
      <c r="DI240" s="27" t="s">
        <v>8</v>
      </c>
      <c r="DJ240" s="27" t="s">
        <v>7</v>
      </c>
      <c r="DK240" s="27" t="s">
        <v>8</v>
      </c>
      <c r="DL240" s="27" t="s">
        <v>7</v>
      </c>
      <c r="DM240" s="27" t="s">
        <v>8</v>
      </c>
      <c r="DN240" s="27" t="s">
        <v>7</v>
      </c>
      <c r="DP240" s="27" t="s">
        <v>7</v>
      </c>
      <c r="DQ240" s="27" t="s">
        <v>8</v>
      </c>
      <c r="DR240" s="27" t="s">
        <v>7</v>
      </c>
      <c r="DS240" s="27" t="s">
        <v>8</v>
      </c>
      <c r="DT240" s="27" t="s">
        <v>7</v>
      </c>
      <c r="DU240" s="27" t="s">
        <v>8</v>
      </c>
      <c r="DV240" s="27" t="s">
        <v>7</v>
      </c>
      <c r="DZ240" s="31"/>
      <c r="EM240" s="27" t="s">
        <v>8</v>
      </c>
      <c r="EN240" s="27" t="s">
        <v>7</v>
      </c>
      <c r="EO240" s="27" t="s">
        <v>8</v>
      </c>
      <c r="EQ240" s="27" t="s">
        <v>8</v>
      </c>
      <c r="ER240" s="27" t="s">
        <v>7</v>
      </c>
      <c r="ES240" s="27" t="s">
        <v>8</v>
      </c>
      <c r="ET240" s="27" t="s">
        <v>7</v>
      </c>
      <c r="EU240" s="27" t="s">
        <v>8</v>
      </c>
      <c r="EZ240" s="27" t="s">
        <v>7</v>
      </c>
    </row>
    <row r="241" spans="1:158" x14ac:dyDescent="0.25">
      <c r="A241" s="30">
        <v>0.952380952380952</v>
      </c>
      <c r="B241"/>
      <c r="C241"/>
      <c r="D241"/>
      <c r="E241"/>
      <c r="L241" s="27" t="s">
        <v>7</v>
      </c>
      <c r="Y241" s="27" t="s">
        <v>8</v>
      </c>
      <c r="Z241" s="27" t="s">
        <v>7</v>
      </c>
      <c r="AA241" s="27" t="s">
        <v>8</v>
      </c>
      <c r="AB241" s="27" t="s">
        <v>7</v>
      </c>
      <c r="AI241" s="27" t="s">
        <v>8</v>
      </c>
      <c r="BC241" s="27" t="s">
        <v>8</v>
      </c>
      <c r="BD241" s="27" t="s">
        <v>7</v>
      </c>
      <c r="BE241" s="27" t="s">
        <v>8</v>
      </c>
      <c r="BG241" s="27" t="s">
        <v>8</v>
      </c>
      <c r="BI241" s="27" t="s">
        <v>8</v>
      </c>
      <c r="BJ241" s="27" t="s">
        <v>7</v>
      </c>
      <c r="BK241" s="27" t="s">
        <v>8</v>
      </c>
      <c r="BM241" s="27" t="s">
        <v>8</v>
      </c>
      <c r="BT241" s="27" t="s">
        <v>7</v>
      </c>
      <c r="BU241" s="27" t="s">
        <v>8</v>
      </c>
      <c r="BX241" s="27" t="s">
        <v>7</v>
      </c>
      <c r="BY241" s="27" t="s">
        <v>8</v>
      </c>
      <c r="DF241" s="27" t="s">
        <v>7</v>
      </c>
      <c r="DG241" s="27" t="s">
        <v>8</v>
      </c>
      <c r="DH241" s="27" t="s">
        <v>7</v>
      </c>
      <c r="DI241" s="27" t="s">
        <v>8</v>
      </c>
      <c r="DJ241" s="27" t="s">
        <v>7</v>
      </c>
      <c r="DK241" s="27" t="s">
        <v>8</v>
      </c>
      <c r="DL241" s="27" t="s">
        <v>7</v>
      </c>
      <c r="DP241" s="27" t="s">
        <v>7</v>
      </c>
      <c r="DQ241" s="27" t="s">
        <v>8</v>
      </c>
      <c r="DR241" s="27" t="s">
        <v>7</v>
      </c>
      <c r="DS241" s="27" t="s">
        <v>8</v>
      </c>
      <c r="DT241" s="27" t="s">
        <v>7</v>
      </c>
      <c r="DU241" s="27" t="s">
        <v>8</v>
      </c>
      <c r="DV241" s="27" t="s">
        <v>7</v>
      </c>
      <c r="EA241" s="31"/>
      <c r="EM241" s="27" t="s">
        <v>8</v>
      </c>
      <c r="EN241" s="27" t="s">
        <v>7</v>
      </c>
      <c r="EO241" s="27" t="s">
        <v>8</v>
      </c>
      <c r="EP241" s="27" t="s">
        <v>7</v>
      </c>
      <c r="EQ241" s="27" t="s">
        <v>8</v>
      </c>
      <c r="ER241" s="27" t="s">
        <v>7</v>
      </c>
      <c r="ES241" s="27" t="s">
        <v>8</v>
      </c>
      <c r="ET241" s="27" t="s">
        <v>7</v>
      </c>
      <c r="EU241" s="27" t="s">
        <v>8</v>
      </c>
      <c r="EZ241" s="27" t="s">
        <v>7</v>
      </c>
    </row>
    <row r="242" spans="1:158" x14ac:dyDescent="0.25">
      <c r="A242" s="30">
        <v>0.90702947845804915</v>
      </c>
      <c r="B242"/>
      <c r="C242"/>
      <c r="D242"/>
      <c r="E242"/>
      <c r="L242" s="27" t="s">
        <v>7</v>
      </c>
      <c r="Y242" s="27" t="s">
        <v>8</v>
      </c>
      <c r="Z242" s="27" t="s">
        <v>7</v>
      </c>
      <c r="AA242" s="27" t="s">
        <v>8</v>
      </c>
      <c r="AB242" s="27" t="s">
        <v>7</v>
      </c>
      <c r="AI242" s="27" t="s">
        <v>8</v>
      </c>
      <c r="AJ242" s="27" t="s">
        <v>7</v>
      </c>
      <c r="AK242" s="27" t="s">
        <v>8</v>
      </c>
      <c r="BC242" s="27" t="s">
        <v>8</v>
      </c>
      <c r="BD242" s="27" t="s">
        <v>7</v>
      </c>
      <c r="BE242" s="27" t="s">
        <v>8</v>
      </c>
      <c r="BF242" s="27" t="s">
        <v>7</v>
      </c>
      <c r="BG242" s="27" t="s">
        <v>8</v>
      </c>
      <c r="BH242" s="27" t="s">
        <v>7</v>
      </c>
      <c r="BI242" s="27" t="s">
        <v>8</v>
      </c>
      <c r="BJ242" s="27" t="s">
        <v>7</v>
      </c>
      <c r="BK242" s="27" t="s">
        <v>8</v>
      </c>
      <c r="BL242" s="27" t="s">
        <v>7</v>
      </c>
      <c r="BM242" s="27" t="s">
        <v>8</v>
      </c>
      <c r="BT242" s="27" t="s">
        <v>7</v>
      </c>
      <c r="BX242" s="27" t="s">
        <v>7</v>
      </c>
      <c r="DF242" s="27" t="s">
        <v>7</v>
      </c>
      <c r="DG242" s="27" t="s">
        <v>8</v>
      </c>
      <c r="DH242" s="27" t="s">
        <v>7</v>
      </c>
      <c r="DI242" s="27" t="s">
        <v>8</v>
      </c>
      <c r="DJ242" s="27" t="s">
        <v>7</v>
      </c>
      <c r="DK242" s="27" t="s">
        <v>8</v>
      </c>
      <c r="DP242" s="27" t="s">
        <v>7</v>
      </c>
      <c r="DQ242" s="27" t="s">
        <v>8</v>
      </c>
      <c r="DR242" s="27" t="s">
        <v>7</v>
      </c>
      <c r="DS242" s="27" t="s">
        <v>8</v>
      </c>
      <c r="DT242" s="27" t="s">
        <v>7</v>
      </c>
      <c r="DU242" s="27" t="s">
        <v>8</v>
      </c>
      <c r="DV242" s="27" t="s">
        <v>7</v>
      </c>
      <c r="EB242" s="31"/>
      <c r="EM242" s="27" t="s">
        <v>8</v>
      </c>
      <c r="EN242" s="27" t="s">
        <v>7</v>
      </c>
      <c r="EO242" s="27" t="s">
        <v>8</v>
      </c>
      <c r="EP242" s="27" t="s">
        <v>7</v>
      </c>
      <c r="EQ242" s="27" t="s">
        <v>8</v>
      </c>
      <c r="ER242" s="27" t="s">
        <v>7</v>
      </c>
      <c r="ES242" s="27" t="s">
        <v>8</v>
      </c>
      <c r="ET242" s="27" t="s">
        <v>7</v>
      </c>
      <c r="EU242" s="27" t="s">
        <v>8</v>
      </c>
      <c r="EZ242" s="27" t="s">
        <v>7</v>
      </c>
    </row>
    <row r="243" spans="1:158" x14ac:dyDescent="0.25">
      <c r="A243" s="30">
        <v>0.86383759853147501</v>
      </c>
      <c r="B243"/>
      <c r="C243"/>
      <c r="D243"/>
      <c r="E243"/>
      <c r="L243" s="27" t="s">
        <v>7</v>
      </c>
      <c r="O243" s="27" t="s">
        <v>8</v>
      </c>
      <c r="Y243" s="27" t="s">
        <v>8</v>
      </c>
      <c r="Z243" s="27" t="s">
        <v>7</v>
      </c>
      <c r="AA243" s="27" t="s">
        <v>8</v>
      </c>
      <c r="AB243" s="27" t="s">
        <v>7</v>
      </c>
      <c r="AC243" s="27" t="s">
        <v>8</v>
      </c>
      <c r="AI243" s="27" t="s">
        <v>8</v>
      </c>
      <c r="AJ243" s="27" t="s">
        <v>7</v>
      </c>
      <c r="AK243" s="27" t="s">
        <v>8</v>
      </c>
      <c r="AL243" s="27" t="s">
        <v>7</v>
      </c>
      <c r="BC243" s="27" t="s">
        <v>8</v>
      </c>
      <c r="BD243" s="27" t="s">
        <v>7</v>
      </c>
      <c r="BE243" s="27" t="s">
        <v>8</v>
      </c>
      <c r="BF243" s="27" t="s">
        <v>7</v>
      </c>
      <c r="BG243" s="27" t="s">
        <v>8</v>
      </c>
      <c r="BH243" s="27" t="s">
        <v>7</v>
      </c>
      <c r="BI243" s="27" t="s">
        <v>8</v>
      </c>
      <c r="BJ243" s="27" t="s">
        <v>7</v>
      </c>
      <c r="BK243" s="27" t="s">
        <v>8</v>
      </c>
      <c r="BL243" s="27" t="s">
        <v>7</v>
      </c>
      <c r="BM243" s="27" t="s">
        <v>8</v>
      </c>
      <c r="DF243" s="27" t="s">
        <v>7</v>
      </c>
      <c r="DG243" s="27" t="s">
        <v>8</v>
      </c>
      <c r="DH243" s="27" t="s">
        <v>7</v>
      </c>
      <c r="DI243" s="27" t="s">
        <v>8</v>
      </c>
      <c r="DJ243" s="27" t="s">
        <v>7</v>
      </c>
      <c r="DP243" s="27" t="s">
        <v>7</v>
      </c>
      <c r="DQ243" s="27" t="s">
        <v>8</v>
      </c>
      <c r="DR243" s="27" t="s">
        <v>7</v>
      </c>
      <c r="DS243" s="27" t="s">
        <v>8</v>
      </c>
      <c r="DT243" s="27" t="s">
        <v>7</v>
      </c>
      <c r="DU243" s="27" t="s">
        <v>8</v>
      </c>
      <c r="DV243" s="27" t="s">
        <v>7</v>
      </c>
      <c r="EA243" s="27" t="s">
        <v>8</v>
      </c>
      <c r="EC243" s="31"/>
      <c r="EM243" s="27" t="s">
        <v>8</v>
      </c>
      <c r="EN243" s="27" t="s">
        <v>7</v>
      </c>
      <c r="EO243" s="27" t="s">
        <v>8</v>
      </c>
      <c r="EP243" s="27" t="s">
        <v>7</v>
      </c>
      <c r="EQ243" s="27" t="s">
        <v>8</v>
      </c>
      <c r="ER243" s="27" t="s">
        <v>7</v>
      </c>
      <c r="ES243" s="27" t="s">
        <v>8</v>
      </c>
      <c r="ET243" s="27" t="s">
        <v>7</v>
      </c>
      <c r="EZ243" s="27" t="s">
        <v>7</v>
      </c>
    </row>
    <row r="244" spans="1:158" x14ac:dyDescent="0.25">
      <c r="A244" s="30">
        <v>0.82270247479188063</v>
      </c>
      <c r="B244"/>
      <c r="C244"/>
      <c r="D244"/>
      <c r="E244"/>
      <c r="L244" s="27" t="s">
        <v>7</v>
      </c>
      <c r="O244" s="27" t="s">
        <v>8</v>
      </c>
      <c r="P244" s="27" t="s">
        <v>7</v>
      </c>
      <c r="Y244" s="27" t="s">
        <v>8</v>
      </c>
      <c r="Z244" s="27" t="s">
        <v>7</v>
      </c>
      <c r="AA244" s="27" t="s">
        <v>8</v>
      </c>
      <c r="AB244" s="27" t="s">
        <v>7</v>
      </c>
      <c r="AC244" s="27" t="s">
        <v>8</v>
      </c>
      <c r="AD244" s="27" t="s">
        <v>7</v>
      </c>
      <c r="AI244" s="27" t="s">
        <v>8</v>
      </c>
      <c r="AJ244" s="27" t="s">
        <v>7</v>
      </c>
      <c r="AK244" s="27" t="s">
        <v>8</v>
      </c>
      <c r="AL244" s="27" t="s">
        <v>7</v>
      </c>
      <c r="BC244" s="27" t="s">
        <v>8</v>
      </c>
      <c r="BD244" s="27" t="s">
        <v>7</v>
      </c>
      <c r="BE244" s="27" t="s">
        <v>8</v>
      </c>
      <c r="BF244" s="27" t="s">
        <v>7</v>
      </c>
      <c r="BG244" s="27" t="s">
        <v>8</v>
      </c>
      <c r="BH244" s="27" t="s">
        <v>7</v>
      </c>
      <c r="BI244" s="27" t="s">
        <v>8</v>
      </c>
      <c r="BJ244" s="27" t="s">
        <v>7</v>
      </c>
      <c r="BK244" s="27" t="s">
        <v>8</v>
      </c>
      <c r="BL244" s="27" t="s">
        <v>7</v>
      </c>
      <c r="DF244" s="27" t="s">
        <v>7</v>
      </c>
      <c r="DH244" s="27" t="s">
        <v>7</v>
      </c>
      <c r="DI244" s="27" t="s">
        <v>8</v>
      </c>
      <c r="DP244" s="27" t="s">
        <v>7</v>
      </c>
      <c r="DR244" s="27" t="s">
        <v>7</v>
      </c>
      <c r="DS244" s="27" t="s">
        <v>8</v>
      </c>
      <c r="DT244" s="27" t="s">
        <v>7</v>
      </c>
      <c r="DU244" s="27" t="s">
        <v>8</v>
      </c>
      <c r="DV244" s="27" t="s">
        <v>7</v>
      </c>
      <c r="EA244" s="27" t="s">
        <v>8</v>
      </c>
      <c r="EB244" s="27" t="s">
        <v>7</v>
      </c>
      <c r="ED244" s="31"/>
      <c r="EK244" s="27" t="s">
        <v>8</v>
      </c>
      <c r="EM244" s="27" t="s">
        <v>8</v>
      </c>
      <c r="EN244" s="27" t="s">
        <v>7</v>
      </c>
      <c r="EP244" s="27" t="s">
        <v>7</v>
      </c>
      <c r="ER244" s="27" t="s">
        <v>7</v>
      </c>
      <c r="EZ244" s="27" t="s">
        <v>7</v>
      </c>
    </row>
    <row r="245" spans="1:158" x14ac:dyDescent="0.25">
      <c r="A245" s="30">
        <v>0.78352616646845741</v>
      </c>
      <c r="B245"/>
      <c r="C245"/>
      <c r="D245"/>
      <c r="E245"/>
      <c r="L245" s="27" t="s">
        <v>7</v>
      </c>
      <c r="O245" s="27" t="s">
        <v>8</v>
      </c>
      <c r="P245" s="27" t="s">
        <v>7</v>
      </c>
      <c r="Y245" s="27" t="s">
        <v>8</v>
      </c>
      <c r="Z245" s="27" t="s">
        <v>7</v>
      </c>
      <c r="AB245" s="27" t="s">
        <v>7</v>
      </c>
      <c r="AC245" s="27" t="s">
        <v>8</v>
      </c>
      <c r="AD245" s="27" t="s">
        <v>7</v>
      </c>
      <c r="AE245" s="27" t="s">
        <v>8</v>
      </c>
      <c r="AG245" s="27" t="s">
        <v>8</v>
      </c>
      <c r="AI245" s="27" t="s">
        <v>8</v>
      </c>
      <c r="AJ245" s="27" t="s">
        <v>7</v>
      </c>
      <c r="AK245" s="27" t="s">
        <v>8</v>
      </c>
      <c r="AL245" s="27" t="s">
        <v>7</v>
      </c>
      <c r="BC245" s="27" t="s">
        <v>8</v>
      </c>
      <c r="BD245" s="27" t="s">
        <v>7</v>
      </c>
      <c r="BE245" s="27" t="s">
        <v>8</v>
      </c>
      <c r="BF245" s="27" t="s">
        <v>7</v>
      </c>
      <c r="BG245" s="27" t="s">
        <v>8</v>
      </c>
      <c r="BH245" s="27" t="s">
        <v>7</v>
      </c>
      <c r="BJ245" s="27" t="s">
        <v>7</v>
      </c>
      <c r="BK245" s="27" t="s">
        <v>8</v>
      </c>
      <c r="DH245" s="27" t="s">
        <v>7</v>
      </c>
      <c r="DI245" s="27" t="s">
        <v>8</v>
      </c>
      <c r="DR245" s="27" t="s">
        <v>7</v>
      </c>
      <c r="DT245" s="27" t="s">
        <v>7</v>
      </c>
      <c r="DV245" s="27" t="s">
        <v>7</v>
      </c>
      <c r="EA245" s="27" t="s">
        <v>8</v>
      </c>
      <c r="EB245" s="27" t="s">
        <v>7</v>
      </c>
      <c r="EE245" s="31"/>
      <c r="EK245" s="27" t="s">
        <v>8</v>
      </c>
      <c r="EL245" s="27" t="s">
        <v>7</v>
      </c>
      <c r="EM245" s="27" t="s">
        <v>8</v>
      </c>
      <c r="EZ245" s="27" t="s">
        <v>7</v>
      </c>
      <c r="FA245" s="27" t="s">
        <v>8</v>
      </c>
    </row>
    <row r="246" spans="1:158" x14ac:dyDescent="0.25">
      <c r="A246" s="30">
        <v>0.74621539663662584</v>
      </c>
      <c r="B246"/>
      <c r="C246"/>
      <c r="D246"/>
      <c r="E246"/>
      <c r="L246" s="27" t="s">
        <v>7</v>
      </c>
      <c r="M246" s="27" t="s">
        <v>8</v>
      </c>
      <c r="O246" s="27" t="s">
        <v>8</v>
      </c>
      <c r="P246" s="27" t="s">
        <v>7</v>
      </c>
      <c r="Q246" s="27" t="s">
        <v>8</v>
      </c>
      <c r="Y246" s="27" t="s">
        <v>8</v>
      </c>
      <c r="AB246" s="27" t="s">
        <v>7</v>
      </c>
      <c r="AD246" s="27" t="s">
        <v>7</v>
      </c>
      <c r="AE246" s="27" t="s">
        <v>8</v>
      </c>
      <c r="AF246" s="27" t="s">
        <v>7</v>
      </c>
      <c r="AG246" s="27" t="s">
        <v>8</v>
      </c>
      <c r="AH246" s="27" t="s">
        <v>7</v>
      </c>
      <c r="AI246" s="27" t="s">
        <v>8</v>
      </c>
      <c r="AJ246" s="27" t="s">
        <v>7</v>
      </c>
      <c r="AL246" s="27" t="s">
        <v>7</v>
      </c>
      <c r="AM246" s="27" t="s">
        <v>8</v>
      </c>
      <c r="BC246" s="27" t="s">
        <v>8</v>
      </c>
      <c r="BD246" s="27" t="s">
        <v>7</v>
      </c>
      <c r="BE246" s="27" t="s">
        <v>8</v>
      </c>
      <c r="BF246" s="27" t="s">
        <v>7</v>
      </c>
      <c r="BG246" s="27" t="s">
        <v>8</v>
      </c>
      <c r="BJ246" s="27" t="s">
        <v>7</v>
      </c>
      <c r="BK246" s="27" t="s">
        <v>8</v>
      </c>
      <c r="DH246" s="27" t="s">
        <v>7</v>
      </c>
      <c r="DI246" s="27" t="s">
        <v>8</v>
      </c>
      <c r="DV246" s="27" t="s">
        <v>7</v>
      </c>
      <c r="DW246" s="27" t="s">
        <v>8</v>
      </c>
      <c r="EA246" s="27" t="s">
        <v>8</v>
      </c>
      <c r="EB246" s="27" t="s">
        <v>7</v>
      </c>
      <c r="EC246" s="27" t="s">
        <v>8</v>
      </c>
      <c r="EF246" s="31"/>
      <c r="EI246" s="27" t="s">
        <v>8</v>
      </c>
      <c r="EK246" s="27" t="s">
        <v>8</v>
      </c>
      <c r="EL246" s="27" t="s">
        <v>7</v>
      </c>
      <c r="EM246" s="27" t="s">
        <v>8</v>
      </c>
      <c r="EZ246" s="27" t="s">
        <v>7</v>
      </c>
      <c r="FA246" s="27" t="s">
        <v>8</v>
      </c>
      <c r="FB246" s="27" t="s">
        <v>7</v>
      </c>
    </row>
    <row r="247" spans="1:158" x14ac:dyDescent="0.25">
      <c r="A247" s="30">
        <v>0.71068133013011958</v>
      </c>
      <c r="B247"/>
      <c r="C247"/>
      <c r="D247"/>
      <c r="E247"/>
      <c r="L247" s="27" t="s">
        <v>7</v>
      </c>
      <c r="M247" s="27" t="s">
        <v>8</v>
      </c>
      <c r="N247" s="27" t="s">
        <v>7</v>
      </c>
      <c r="O247" s="27" t="s">
        <v>8</v>
      </c>
      <c r="P247" s="27" t="s">
        <v>7</v>
      </c>
      <c r="Q247" s="27" t="s">
        <v>8</v>
      </c>
      <c r="R247" s="27" t="s">
        <v>7</v>
      </c>
      <c r="Y247" s="27" t="s">
        <v>8</v>
      </c>
      <c r="AD247" s="27" t="s">
        <v>7</v>
      </c>
      <c r="AE247" s="27" t="s">
        <v>8</v>
      </c>
      <c r="AF247" s="27" t="s">
        <v>7</v>
      </c>
      <c r="AG247" s="27" t="s">
        <v>8</v>
      </c>
      <c r="AH247" s="27" t="s">
        <v>7</v>
      </c>
      <c r="AI247" s="27" t="s">
        <v>8</v>
      </c>
      <c r="AL247" s="27" t="s">
        <v>7</v>
      </c>
      <c r="AM247" s="27" t="s">
        <v>8</v>
      </c>
      <c r="AN247" s="27" t="s">
        <v>7</v>
      </c>
      <c r="AO247" s="27" t="s">
        <v>8</v>
      </c>
      <c r="AQ247" s="27" t="s">
        <v>8</v>
      </c>
      <c r="BC247" s="27" t="s">
        <v>8</v>
      </c>
      <c r="BD247" s="27" t="s">
        <v>7</v>
      </c>
      <c r="BE247" s="27" t="s">
        <v>8</v>
      </c>
      <c r="BF247" s="27" t="s">
        <v>7</v>
      </c>
      <c r="BG247" s="27" t="s">
        <v>8</v>
      </c>
      <c r="BJ247" s="27" t="s">
        <v>7</v>
      </c>
      <c r="BK247" s="27" t="s">
        <v>8</v>
      </c>
      <c r="DH247" s="27" t="s">
        <v>7</v>
      </c>
      <c r="DI247" s="27" t="s">
        <v>8</v>
      </c>
      <c r="DV247" s="27" t="s">
        <v>7</v>
      </c>
      <c r="DW247" s="27" t="s">
        <v>8</v>
      </c>
      <c r="DX247" s="27" t="s">
        <v>7</v>
      </c>
      <c r="DY247" s="27" t="s">
        <v>8</v>
      </c>
      <c r="EA247" s="27" t="s">
        <v>8</v>
      </c>
      <c r="EB247" s="27" t="s">
        <v>7</v>
      </c>
      <c r="EC247" s="27" t="s">
        <v>8</v>
      </c>
      <c r="ED247" s="27" t="s">
        <v>7</v>
      </c>
      <c r="EG247" s="31"/>
      <c r="EI247" s="27" t="s">
        <v>8</v>
      </c>
      <c r="EJ247" s="27" t="s">
        <v>7</v>
      </c>
      <c r="EK247" s="27" t="s">
        <v>8</v>
      </c>
      <c r="EL247" s="27" t="s">
        <v>7</v>
      </c>
      <c r="EM247" s="27" t="s">
        <v>8</v>
      </c>
      <c r="EZ247" s="27" t="s">
        <v>7</v>
      </c>
      <c r="FA247" s="27" t="s">
        <v>8</v>
      </c>
      <c r="FB247" s="27" t="s">
        <v>7</v>
      </c>
    </row>
    <row r="248" spans="1:158" x14ac:dyDescent="0.25">
      <c r="A248" s="30">
        <v>0.676839362028685</v>
      </c>
      <c r="B248"/>
      <c r="C248"/>
      <c r="D248"/>
      <c r="E248"/>
      <c r="L248" s="27" t="s">
        <v>7</v>
      </c>
      <c r="M248" s="27" t="s">
        <v>8</v>
      </c>
      <c r="N248" s="27" t="s">
        <v>7</v>
      </c>
      <c r="O248" s="27" t="s">
        <v>8</v>
      </c>
      <c r="P248" s="27" t="s">
        <v>7</v>
      </c>
      <c r="Q248" s="27" t="s">
        <v>8</v>
      </c>
      <c r="R248" s="27" t="s">
        <v>7</v>
      </c>
      <c r="Y248" s="27" t="s">
        <v>8</v>
      </c>
      <c r="AD248" s="27" t="s">
        <v>7</v>
      </c>
      <c r="AE248" s="27" t="s">
        <v>8</v>
      </c>
      <c r="AF248" s="27" t="s">
        <v>7</v>
      </c>
      <c r="AG248" s="27" t="s">
        <v>8</v>
      </c>
      <c r="AH248" s="27" t="s">
        <v>7</v>
      </c>
      <c r="AI248" s="27" t="s">
        <v>8</v>
      </c>
      <c r="AL248" s="27" t="s">
        <v>7</v>
      </c>
      <c r="AM248" s="27" t="s">
        <v>8</v>
      </c>
      <c r="AN248" s="27" t="s">
        <v>7</v>
      </c>
      <c r="AO248" s="27" t="s">
        <v>8</v>
      </c>
      <c r="AP248" s="27" t="s">
        <v>7</v>
      </c>
      <c r="AQ248" s="27" t="s">
        <v>8</v>
      </c>
      <c r="AR248" s="27" t="s">
        <v>7</v>
      </c>
      <c r="BC248" s="27" t="s">
        <v>8</v>
      </c>
      <c r="BD248" s="27" t="s">
        <v>7</v>
      </c>
      <c r="BE248" s="27" t="s">
        <v>8</v>
      </c>
      <c r="BF248" s="27" t="s">
        <v>7</v>
      </c>
      <c r="BJ248" s="27" t="s">
        <v>7</v>
      </c>
      <c r="DH248" s="27" t="s">
        <v>7</v>
      </c>
      <c r="DI248" s="27" t="s">
        <v>8</v>
      </c>
      <c r="DV248" s="27" t="s">
        <v>7</v>
      </c>
      <c r="DW248" s="27" t="s">
        <v>8</v>
      </c>
      <c r="DX248" s="27" t="s">
        <v>7</v>
      </c>
      <c r="DY248" s="27" t="s">
        <v>8</v>
      </c>
      <c r="DZ248" s="27" t="s">
        <v>7</v>
      </c>
      <c r="EA248" s="27" t="s">
        <v>8</v>
      </c>
      <c r="EB248" s="27" t="s">
        <v>7</v>
      </c>
      <c r="EC248" s="27" t="s">
        <v>8</v>
      </c>
      <c r="ED248" s="27" t="s">
        <v>7</v>
      </c>
      <c r="EG248" s="27" t="s">
        <v>8</v>
      </c>
      <c r="EH248" s="31"/>
      <c r="EI248" s="27" t="s">
        <v>8</v>
      </c>
      <c r="EJ248" s="27" t="s">
        <v>7</v>
      </c>
      <c r="EK248" s="27" t="s">
        <v>8</v>
      </c>
      <c r="EL248" s="27" t="s">
        <v>7</v>
      </c>
      <c r="EM248" s="31"/>
      <c r="EZ248" s="27" t="s">
        <v>7</v>
      </c>
      <c r="FA248" s="27" t="s">
        <v>8</v>
      </c>
      <c r="FB248" s="27" t="s">
        <v>7</v>
      </c>
    </row>
    <row r="249" spans="1:158" x14ac:dyDescent="0.25">
      <c r="A249" s="30">
        <v>0.64460891621779492</v>
      </c>
      <c r="B249"/>
      <c r="C249"/>
      <c r="D249"/>
      <c r="E249"/>
      <c r="L249" s="27" t="s">
        <v>7</v>
      </c>
      <c r="M249" s="27" t="s">
        <v>8</v>
      </c>
      <c r="N249" s="27" t="s">
        <v>7</v>
      </c>
      <c r="P249" s="27" t="s">
        <v>7</v>
      </c>
      <c r="Q249" s="27" t="s">
        <v>8</v>
      </c>
      <c r="R249" s="27" t="s">
        <v>7</v>
      </c>
      <c r="Y249" s="27" t="s">
        <v>8</v>
      </c>
      <c r="AD249" s="27" t="s">
        <v>7</v>
      </c>
      <c r="AE249" s="27" t="s">
        <v>8</v>
      </c>
      <c r="AF249" s="27" t="s">
        <v>7</v>
      </c>
      <c r="AG249" s="27" t="s">
        <v>8</v>
      </c>
      <c r="AH249" s="27" t="s">
        <v>7</v>
      </c>
      <c r="AL249" s="27" t="s">
        <v>7</v>
      </c>
      <c r="AN249" s="27" t="s">
        <v>7</v>
      </c>
      <c r="AO249" s="27" t="s">
        <v>8</v>
      </c>
      <c r="AP249" s="27" t="s">
        <v>7</v>
      </c>
      <c r="AQ249" s="27" t="s">
        <v>8</v>
      </c>
      <c r="AR249" s="27" t="s">
        <v>7</v>
      </c>
      <c r="BC249" s="27" t="s">
        <v>8</v>
      </c>
      <c r="BD249" s="27" t="s">
        <v>7</v>
      </c>
      <c r="BE249" s="27" t="s">
        <v>8</v>
      </c>
      <c r="DH249" s="27" t="s">
        <v>7</v>
      </c>
      <c r="DI249" s="27" t="s">
        <v>8</v>
      </c>
      <c r="DV249" s="27" t="s">
        <v>7</v>
      </c>
      <c r="DW249" s="27" t="s">
        <v>8</v>
      </c>
      <c r="DX249" s="27" t="s">
        <v>7</v>
      </c>
      <c r="DY249" s="27" t="s">
        <v>8</v>
      </c>
      <c r="DZ249" s="27" t="s">
        <v>7</v>
      </c>
      <c r="EA249" s="27" t="s">
        <v>8</v>
      </c>
      <c r="EB249" s="27" t="s">
        <v>7</v>
      </c>
      <c r="ED249" s="27" t="s">
        <v>7</v>
      </c>
      <c r="EE249" s="27" t="s">
        <v>8</v>
      </c>
      <c r="EG249" s="27" t="s">
        <v>8</v>
      </c>
      <c r="EH249" s="27" t="s">
        <v>7</v>
      </c>
      <c r="EI249" s="31" t="s">
        <v>8</v>
      </c>
      <c r="EJ249" s="27" t="s">
        <v>7</v>
      </c>
      <c r="EK249" s="27" t="s">
        <v>8</v>
      </c>
      <c r="EL249" s="31"/>
      <c r="EZ249" s="27" t="s">
        <v>7</v>
      </c>
      <c r="FA249" s="27" t="s">
        <v>8</v>
      </c>
      <c r="FB249" s="27" t="s">
        <v>7</v>
      </c>
    </row>
    <row r="250" spans="1:158" x14ac:dyDescent="0.25">
      <c r="A250" s="30">
        <v>0.61391325354075688</v>
      </c>
      <c r="B250"/>
      <c r="C250"/>
      <c r="D250"/>
      <c r="E250"/>
      <c r="L250" s="27" t="s">
        <v>7</v>
      </c>
      <c r="P250" s="27" t="s">
        <v>7</v>
      </c>
      <c r="Q250" s="27" t="s">
        <v>8</v>
      </c>
      <c r="R250" s="27" t="s">
        <v>7</v>
      </c>
      <c r="Y250" s="27" t="s">
        <v>8</v>
      </c>
      <c r="AD250" s="27" t="s">
        <v>7</v>
      </c>
      <c r="AE250" s="27" t="s">
        <v>8</v>
      </c>
      <c r="AF250" s="27" t="s">
        <v>7</v>
      </c>
      <c r="AN250" s="27" t="s">
        <v>7</v>
      </c>
      <c r="AO250" s="27" t="s">
        <v>8</v>
      </c>
      <c r="AP250" s="27" t="s">
        <v>7</v>
      </c>
      <c r="AR250" s="27" t="s">
        <v>7</v>
      </c>
      <c r="BC250" s="27" t="s">
        <v>8</v>
      </c>
      <c r="BD250" s="27" t="s">
        <v>7</v>
      </c>
      <c r="DH250" s="27" t="s">
        <v>7</v>
      </c>
      <c r="DI250" s="27" t="s">
        <v>8</v>
      </c>
      <c r="DV250" s="27" t="s">
        <v>7</v>
      </c>
      <c r="DW250" s="27" t="s">
        <v>8</v>
      </c>
      <c r="DX250" s="27" t="s">
        <v>7</v>
      </c>
      <c r="DY250" s="27" t="s">
        <v>8</v>
      </c>
      <c r="DZ250" s="27" t="s">
        <v>7</v>
      </c>
      <c r="ED250" s="27" t="s">
        <v>7</v>
      </c>
      <c r="EE250" s="27" t="s">
        <v>8</v>
      </c>
      <c r="EF250" s="27" t="s">
        <v>7</v>
      </c>
      <c r="EG250" s="27" t="s">
        <v>8</v>
      </c>
      <c r="EH250" s="27" t="s">
        <v>7</v>
      </c>
      <c r="EI250" s="27" t="s">
        <v>8</v>
      </c>
      <c r="EJ250" s="27" t="s">
        <v>7</v>
      </c>
      <c r="EK250" s="31"/>
      <c r="EZ250" s="27" t="s">
        <v>7</v>
      </c>
      <c r="FA250" s="27" t="s">
        <v>8</v>
      </c>
      <c r="FB250" s="27" t="s">
        <v>7</v>
      </c>
    </row>
    <row r="251" spans="1:158" x14ac:dyDescent="0.25">
      <c r="A251" s="30">
        <v>0.58467928908643485</v>
      </c>
      <c r="B251"/>
      <c r="C251"/>
      <c r="D251"/>
      <c r="E251"/>
      <c r="P251" s="27" t="s">
        <v>7</v>
      </c>
      <c r="R251" s="27" t="s">
        <v>7</v>
      </c>
      <c r="W251" s="27" t="s">
        <v>8</v>
      </c>
      <c r="Y251" s="27" t="s">
        <v>8</v>
      </c>
      <c r="AD251" s="27" t="s">
        <v>7</v>
      </c>
      <c r="AE251" s="27" t="s">
        <v>8</v>
      </c>
      <c r="AN251" s="27" t="s">
        <v>7</v>
      </c>
      <c r="AO251" s="27" t="s">
        <v>8</v>
      </c>
      <c r="AR251" s="27" t="s">
        <v>7</v>
      </c>
      <c r="AS251" s="27" t="s">
        <v>8</v>
      </c>
      <c r="AU251" s="27" t="s">
        <v>8</v>
      </c>
      <c r="BC251" s="27" t="s">
        <v>8</v>
      </c>
      <c r="DH251" s="27" t="s">
        <v>7</v>
      </c>
      <c r="DI251" s="27" t="s">
        <v>8</v>
      </c>
      <c r="DV251" s="27" t="s">
        <v>7</v>
      </c>
      <c r="DW251" s="27" t="s">
        <v>8</v>
      </c>
      <c r="DX251" s="27" t="s">
        <v>7</v>
      </c>
      <c r="DY251" s="27" t="s">
        <v>8</v>
      </c>
      <c r="ED251" s="27" t="s">
        <v>7</v>
      </c>
      <c r="EE251" s="27" t="s">
        <v>8</v>
      </c>
      <c r="EF251" s="27" t="s">
        <v>7</v>
      </c>
      <c r="EG251" s="27" t="s">
        <v>8</v>
      </c>
      <c r="EH251" s="27" t="s">
        <v>7</v>
      </c>
      <c r="EJ251" s="31"/>
      <c r="EZ251" s="27" t="s">
        <v>7</v>
      </c>
      <c r="FB251" s="27" t="s">
        <v>7</v>
      </c>
    </row>
    <row r="252" spans="1:158" x14ac:dyDescent="0.25">
      <c r="A252" s="30">
        <v>0.55683741817755672</v>
      </c>
      <c r="B252"/>
      <c r="C252"/>
      <c r="D252"/>
      <c r="E252"/>
      <c r="R252" s="27" t="s">
        <v>7</v>
      </c>
      <c r="S252" s="27" t="s">
        <v>8</v>
      </c>
      <c r="W252" s="27" t="s">
        <v>8</v>
      </c>
      <c r="X252" s="27" t="s">
        <v>7</v>
      </c>
      <c r="Y252" s="27" t="s">
        <v>8</v>
      </c>
      <c r="AD252" s="27" t="s">
        <v>7</v>
      </c>
      <c r="AE252" s="27" t="s">
        <v>8</v>
      </c>
      <c r="AN252" s="27" t="s">
        <v>7</v>
      </c>
      <c r="AR252" s="27" t="s">
        <v>7</v>
      </c>
      <c r="AS252" s="27" t="s">
        <v>8</v>
      </c>
      <c r="AT252" s="27" t="s">
        <v>7</v>
      </c>
      <c r="AU252" s="27" t="s">
        <v>8</v>
      </c>
      <c r="AV252" s="27" t="s">
        <v>7</v>
      </c>
      <c r="BC252" s="27" t="s">
        <v>8</v>
      </c>
      <c r="DH252" s="27" t="s">
        <v>7</v>
      </c>
      <c r="DI252" s="27" t="s">
        <v>8</v>
      </c>
      <c r="DV252" s="27" t="s">
        <v>7</v>
      </c>
      <c r="DW252" s="27" t="s">
        <v>8</v>
      </c>
      <c r="DX252" s="27" t="s">
        <v>7</v>
      </c>
      <c r="ED252" s="27" t="s">
        <v>7</v>
      </c>
      <c r="EF252" s="18" t="s">
        <v>7</v>
      </c>
      <c r="EG252" s="27" t="s">
        <v>8</v>
      </c>
      <c r="EI252" s="31"/>
    </row>
    <row r="253" spans="1:158" x14ac:dyDescent="0.25">
      <c r="A253" s="30">
        <v>0.53032135064529184</v>
      </c>
      <c r="B253"/>
      <c r="C253"/>
      <c r="D253"/>
      <c r="E253"/>
      <c r="R253" s="27" t="s">
        <v>7</v>
      </c>
      <c r="S253" s="27" t="s">
        <v>8</v>
      </c>
      <c r="T253" s="27" t="s">
        <v>7</v>
      </c>
      <c r="W253" s="27" t="s">
        <v>8</v>
      </c>
      <c r="X253" s="27" t="s">
        <v>7</v>
      </c>
      <c r="Y253" s="27" t="s">
        <v>8</v>
      </c>
      <c r="AD253" s="27" t="s">
        <v>7</v>
      </c>
      <c r="AR253" s="27" t="s">
        <v>7</v>
      </c>
      <c r="AS253" s="27" t="s">
        <v>8</v>
      </c>
      <c r="AT253" s="27" t="s">
        <v>7</v>
      </c>
      <c r="AU253" s="27" t="s">
        <v>8</v>
      </c>
      <c r="AV253" s="27" t="s">
        <v>7</v>
      </c>
      <c r="BC253" s="27" t="s">
        <v>8</v>
      </c>
      <c r="DH253" s="27" t="s">
        <v>7</v>
      </c>
      <c r="DV253" s="27" t="s">
        <v>7</v>
      </c>
      <c r="EF253" s="27" t="s">
        <v>7</v>
      </c>
      <c r="EG253" s="27" t="s">
        <v>8</v>
      </c>
      <c r="EH253" s="31"/>
    </row>
    <row r="254" spans="1:158" x14ac:dyDescent="0.25">
      <c r="A254" s="30">
        <v>0.50506795299551588</v>
      </c>
      <c r="B254"/>
      <c r="C254"/>
      <c r="D254"/>
      <c r="E254"/>
      <c r="R254" s="27" t="s">
        <v>7</v>
      </c>
      <c r="S254" s="27" t="s">
        <v>8</v>
      </c>
      <c r="T254" s="27" t="s">
        <v>7</v>
      </c>
      <c r="U254" s="27" t="s">
        <v>8</v>
      </c>
      <c r="W254" s="27" t="s">
        <v>8</v>
      </c>
      <c r="X254" s="27" t="s">
        <v>7</v>
      </c>
      <c r="Y254" s="27" t="s">
        <v>8</v>
      </c>
      <c r="AR254" s="27" t="s">
        <v>7</v>
      </c>
      <c r="AT254" s="27" t="s">
        <v>7</v>
      </c>
      <c r="AU254" s="27" t="s">
        <v>8</v>
      </c>
      <c r="AV254" s="27" t="s">
        <v>7</v>
      </c>
      <c r="AY254" s="27" t="s">
        <v>8</v>
      </c>
      <c r="BC254" s="27" t="s">
        <v>8</v>
      </c>
      <c r="EF254" s="27" t="s">
        <v>7</v>
      </c>
      <c r="EG254" s="31" t="s">
        <v>8</v>
      </c>
    </row>
    <row r="255" spans="1:158" x14ac:dyDescent="0.25">
      <c r="A255" s="30">
        <v>0.48101709809096732</v>
      </c>
      <c r="E255"/>
      <c r="R255" s="27" t="s">
        <v>7</v>
      </c>
      <c r="S255" s="27" t="s">
        <v>8</v>
      </c>
      <c r="T255" s="27" t="s">
        <v>7</v>
      </c>
      <c r="U255" s="27" t="s">
        <v>8</v>
      </c>
      <c r="V255" s="27" t="s">
        <v>7</v>
      </c>
      <c r="W255" s="27" t="s">
        <v>8</v>
      </c>
      <c r="X255" s="27" t="s">
        <v>7</v>
      </c>
      <c r="Y255" s="27" t="s">
        <v>8</v>
      </c>
      <c r="AT255" s="27" t="s">
        <v>7</v>
      </c>
      <c r="AU255" s="27" t="s">
        <v>8</v>
      </c>
      <c r="AV255" s="27" t="s">
        <v>7</v>
      </c>
      <c r="AW255" s="27" t="s">
        <v>8</v>
      </c>
      <c r="AY255" s="27" t="s">
        <v>8</v>
      </c>
      <c r="AZ255" s="27" t="s">
        <v>7</v>
      </c>
      <c r="BA255" s="27" t="s">
        <v>8</v>
      </c>
      <c r="BC255" s="27" t="s">
        <v>8</v>
      </c>
      <c r="EF255" s="31" t="s">
        <v>7</v>
      </c>
    </row>
    <row r="256" spans="1:158" x14ac:dyDescent="0.25">
      <c r="A256" s="30">
        <v>0.45811152199139726</v>
      </c>
      <c r="E256"/>
      <c r="R256" s="27" t="s">
        <v>7</v>
      </c>
      <c r="S256" s="27" t="s">
        <v>8</v>
      </c>
      <c r="T256" s="27" t="s">
        <v>7</v>
      </c>
      <c r="U256" s="27" t="s">
        <v>8</v>
      </c>
      <c r="V256" s="27" t="s">
        <v>7</v>
      </c>
      <c r="W256" s="27" t="s">
        <v>8</v>
      </c>
      <c r="X256" s="27" t="s">
        <v>7</v>
      </c>
      <c r="AT256" s="27" t="s">
        <v>7</v>
      </c>
      <c r="AU256" s="27" t="s">
        <v>8</v>
      </c>
      <c r="AV256" s="27" t="s">
        <v>7</v>
      </c>
      <c r="AW256" s="27" t="s">
        <v>8</v>
      </c>
      <c r="AX256" s="27" t="s">
        <v>7</v>
      </c>
      <c r="AY256" s="27" t="s">
        <v>8</v>
      </c>
      <c r="AZ256" s="27" t="s">
        <v>7</v>
      </c>
      <c r="BA256" s="27" t="s">
        <v>8</v>
      </c>
      <c r="BB256" s="27" t="s">
        <v>7</v>
      </c>
      <c r="BC256" s="27" t="s">
        <v>8</v>
      </c>
    </row>
    <row r="257" spans="1:55" x14ac:dyDescent="0.25">
      <c r="A257" s="30">
        <v>0.43629668761085438</v>
      </c>
      <c r="B257"/>
      <c r="C257"/>
      <c r="D257"/>
      <c r="E257"/>
      <c r="R257" s="27" t="s">
        <v>7</v>
      </c>
      <c r="S257" s="27" t="s">
        <v>8</v>
      </c>
      <c r="T257" s="27" t="s">
        <v>7</v>
      </c>
      <c r="U257" s="27" t="s">
        <v>8</v>
      </c>
      <c r="V257" s="27" t="s">
        <v>7</v>
      </c>
      <c r="AT257" s="27" t="s">
        <v>7</v>
      </c>
      <c r="AU257" s="27" t="s">
        <v>8</v>
      </c>
      <c r="AV257" s="27" t="s">
        <v>7</v>
      </c>
      <c r="AW257" s="27" t="s">
        <v>8</v>
      </c>
      <c r="AX257" s="27" t="s">
        <v>7</v>
      </c>
      <c r="AY257" s="27" t="s">
        <v>8</v>
      </c>
      <c r="AZ257" s="27" t="s">
        <v>7</v>
      </c>
      <c r="BA257" s="27" t="s">
        <v>8</v>
      </c>
      <c r="BB257" s="27" t="s">
        <v>7</v>
      </c>
      <c r="BC257" s="27" t="s">
        <v>8</v>
      </c>
    </row>
    <row r="258" spans="1:55" x14ac:dyDescent="0.25">
      <c r="A258" s="30">
        <v>0.41552065486748019</v>
      </c>
      <c r="B258"/>
      <c r="C258"/>
      <c r="D258"/>
      <c r="E258"/>
      <c r="R258" s="27" t="s">
        <v>7</v>
      </c>
      <c r="S258" s="27" t="s">
        <v>8</v>
      </c>
      <c r="T258" s="27" t="s">
        <v>7</v>
      </c>
      <c r="AT258" s="27" t="s">
        <v>7</v>
      </c>
      <c r="AV258" s="27" t="s">
        <v>7</v>
      </c>
      <c r="AW258" s="27" t="s">
        <v>8</v>
      </c>
      <c r="AX258" s="27" t="s">
        <v>7</v>
      </c>
      <c r="AY258" s="27" t="s">
        <v>8</v>
      </c>
      <c r="AZ258" s="27" t="s">
        <v>7</v>
      </c>
      <c r="BB258" s="27" t="s">
        <v>7</v>
      </c>
      <c r="BC258" s="27" t="s">
        <v>8</v>
      </c>
    </row>
    <row r="259" spans="1:55" x14ac:dyDescent="0.25">
      <c r="A259" s="30">
        <v>0.39573395701664765</v>
      </c>
      <c r="B259"/>
      <c r="C259"/>
      <c r="D259"/>
      <c r="E259"/>
      <c r="R259" s="27" t="s">
        <v>7</v>
      </c>
      <c r="AV259" s="27" t="s">
        <v>7</v>
      </c>
      <c r="AW259" s="27" t="s">
        <v>8</v>
      </c>
      <c r="AX259" s="27" t="s">
        <v>7</v>
      </c>
      <c r="AY259" s="27" t="s">
        <v>8</v>
      </c>
      <c r="BB259" s="27" t="s">
        <v>7</v>
      </c>
      <c r="BC259" s="27" t="s">
        <v>8</v>
      </c>
    </row>
    <row r="260" spans="1:55" x14ac:dyDescent="0.25">
      <c r="A260" s="30">
        <v>0.37688948287299762</v>
      </c>
      <c r="B260"/>
      <c r="C260"/>
      <c r="D260"/>
      <c r="E260"/>
      <c r="AV260" s="27" t="s">
        <v>7</v>
      </c>
      <c r="AW260" s="27" t="s">
        <v>8</v>
      </c>
      <c r="AX260" s="27" t="s">
        <v>7</v>
      </c>
      <c r="BB260" s="27" t="s">
        <v>7</v>
      </c>
      <c r="BC260" s="27" t="s">
        <v>8</v>
      </c>
    </row>
    <row r="261" spans="1:55" x14ac:dyDescent="0.25">
      <c r="A261" s="30">
        <v>0.35894236464094997</v>
      </c>
      <c r="B261"/>
      <c r="C261"/>
      <c r="D261"/>
      <c r="E261"/>
      <c r="AV261" s="27" t="s">
        <v>7</v>
      </c>
      <c r="AW261" s="27" t="s">
        <v>8</v>
      </c>
      <c r="BB261" s="27" t="s">
        <v>7</v>
      </c>
    </row>
    <row r="262" spans="1:55" x14ac:dyDescent="0.25">
      <c r="A262" s="30">
        <v>0.34184987108661891</v>
      </c>
      <c r="B262"/>
      <c r="C262"/>
      <c r="D262"/>
      <c r="E262"/>
      <c r="AV262" s="27" t="s">
        <v>7</v>
      </c>
    </row>
    <row r="263" spans="1:55" x14ac:dyDescent="0.25">
      <c r="A263" s="30">
        <v>0.32557130579677979</v>
      </c>
      <c r="B263"/>
      <c r="C263"/>
      <c r="D263"/>
      <c r="E263"/>
    </row>
    <row r="264" spans="1:55" x14ac:dyDescent="0.25">
      <c r="A264" s="30">
        <v>0.3100679102826473</v>
      </c>
      <c r="B264"/>
      <c r="C264"/>
      <c r="D264"/>
      <c r="E264"/>
    </row>
    <row r="265" spans="1:55" x14ac:dyDescent="0.25">
      <c r="A265" s="30">
        <v>0.2953027716977592</v>
      </c>
      <c r="B265"/>
      <c r="C265"/>
      <c r="D265"/>
      <c r="E265"/>
    </row>
    <row r="266" spans="1:55" x14ac:dyDescent="0.25">
      <c r="A266" s="30">
        <v>0.28124073495024676</v>
      </c>
      <c r="B266"/>
      <c r="C266"/>
      <c r="D266"/>
      <c r="E266"/>
    </row>
    <row r="267" spans="1:55" x14ac:dyDescent="0.25">
      <c r="A267" s="30">
        <v>0.26784831900023492</v>
      </c>
      <c r="B267"/>
      <c r="C267"/>
      <c r="D267"/>
      <c r="E267"/>
    </row>
    <row r="268" spans="1:55" x14ac:dyDescent="0.25">
      <c r="A268" s="30">
        <v>0.25509363714308075</v>
      </c>
      <c r="B268"/>
      <c r="C268"/>
      <c r="D268"/>
      <c r="E268"/>
    </row>
    <row r="269" spans="1:55" x14ac:dyDescent="0.25">
      <c r="A269" s="30">
        <v>0.24294632108864825</v>
      </c>
      <c r="B269"/>
      <c r="C269"/>
      <c r="D269"/>
      <c r="E269"/>
    </row>
    <row r="270" spans="1:55" x14ac:dyDescent="0.25">
      <c r="A270" s="30">
        <v>0.23137744865585538</v>
      </c>
      <c r="B270"/>
      <c r="C270"/>
      <c r="D270"/>
      <c r="E270"/>
    </row>
    <row r="271" spans="1:55" x14ac:dyDescent="0.25">
      <c r="A271" s="30">
        <v>0.22035947491033836</v>
      </c>
      <c r="B271"/>
      <c r="C271"/>
      <c r="D271"/>
      <c r="E271"/>
    </row>
    <row r="272" spans="1:5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93" operator="equal">
      <formula>$U$1</formula>
    </cfRule>
    <cfRule type="cellIs" dxfId="67" priority="894" operator="equal">
      <formula>$S$1</formula>
    </cfRule>
  </conditionalFormatting>
  <conditionalFormatting sqref="D136">
    <cfRule type="cellIs" dxfId="66" priority="891" operator="equal">
      <formula>$S$1</formula>
    </cfRule>
    <cfRule type="cellIs" dxfId="65" priority="892" operator="equal">
      <formula>$U$1</formula>
    </cfRule>
  </conditionalFormatting>
  <conditionalFormatting sqref="C162">
    <cfRule type="cellIs" dxfId="64" priority="889" operator="equal">
      <formula>$U$1</formula>
    </cfRule>
    <cfRule type="cellIs" dxfId="63" priority="890" operator="equal">
      <formula>$S$1</formula>
    </cfRule>
  </conditionalFormatting>
  <conditionalFormatting sqref="D162">
    <cfRule type="cellIs" dxfId="62" priority="887" operator="equal">
      <formula>$S$1</formula>
    </cfRule>
    <cfRule type="cellIs" dxfId="61" priority="888" operator="equal">
      <formula>$U$1</formula>
    </cfRule>
  </conditionalFormatting>
  <conditionalFormatting sqref="C187">
    <cfRule type="cellIs" dxfId="60" priority="885" operator="equal">
      <formula>$U$1</formula>
    </cfRule>
    <cfRule type="cellIs" dxfId="59" priority="886" operator="equal">
      <formula>$S$1</formula>
    </cfRule>
  </conditionalFormatting>
  <conditionalFormatting sqref="D187">
    <cfRule type="cellIs" dxfId="58" priority="883" operator="equal">
      <formula>$S$1</formula>
    </cfRule>
    <cfRule type="cellIs" dxfId="57" priority="884" operator="equal">
      <formula>$U$1</formula>
    </cfRule>
  </conditionalFormatting>
  <conditionalFormatting sqref="C212">
    <cfRule type="cellIs" dxfId="56" priority="881" operator="equal">
      <formula>$U$1</formula>
    </cfRule>
    <cfRule type="cellIs" dxfId="55" priority="882" operator="equal">
      <formula>$S$1</formula>
    </cfRule>
  </conditionalFormatting>
  <conditionalFormatting sqref="D212">
    <cfRule type="cellIs" dxfId="54" priority="879" operator="equal">
      <formula>$S$1</formula>
    </cfRule>
    <cfRule type="cellIs" dxfId="53" priority="880" operator="equal">
      <formula>$U$1</formula>
    </cfRule>
  </conditionalFormatting>
  <conditionalFormatting sqref="C237">
    <cfRule type="cellIs" dxfId="52" priority="877" operator="equal">
      <formula>$U$1</formula>
    </cfRule>
    <cfRule type="cellIs" dxfId="51" priority="878" operator="equal">
      <formula>$S$1</formula>
    </cfRule>
  </conditionalFormatting>
  <conditionalFormatting sqref="D237">
    <cfRule type="cellIs" dxfId="50" priority="875" operator="equal">
      <formula>$S$1</formula>
    </cfRule>
    <cfRule type="cellIs" dxfId="49" priority="876" operator="equal">
      <formula>$U$1</formula>
    </cfRule>
  </conditionalFormatting>
  <conditionalFormatting sqref="C106">
    <cfRule type="cellIs" dxfId="48" priority="873" operator="equal">
      <formula>$U$1</formula>
    </cfRule>
    <cfRule type="cellIs" dxfId="47" priority="874" operator="equal">
      <formula>$S$1</formula>
    </cfRule>
  </conditionalFormatting>
  <conditionalFormatting sqref="D106">
    <cfRule type="cellIs" dxfId="46" priority="871" operator="equal">
      <formula>$S$1</formula>
    </cfRule>
    <cfRule type="cellIs" dxfId="45" priority="872" operator="equal">
      <formula>$U$1</formula>
    </cfRule>
  </conditionalFormatting>
  <conditionalFormatting sqref="C81">
    <cfRule type="cellIs" dxfId="44" priority="869" operator="equal">
      <formula>$U$1</formula>
    </cfRule>
    <cfRule type="cellIs" dxfId="43" priority="870" operator="equal">
      <formula>$S$1</formula>
    </cfRule>
  </conditionalFormatting>
  <conditionalFormatting sqref="D81">
    <cfRule type="cellIs" dxfId="42" priority="867" operator="equal">
      <formula>$S$1</formula>
    </cfRule>
    <cfRule type="cellIs" dxfId="41" priority="868" operator="equal">
      <formula>$U$1</formula>
    </cfRule>
  </conditionalFormatting>
  <conditionalFormatting sqref="C56">
    <cfRule type="cellIs" dxfId="40" priority="865" operator="equal">
      <formula>$U$1</formula>
    </cfRule>
    <cfRule type="cellIs" dxfId="39" priority="866" operator="equal">
      <formula>$S$1</formula>
    </cfRule>
  </conditionalFormatting>
  <conditionalFormatting sqref="D56">
    <cfRule type="cellIs" dxfId="38" priority="863" operator="equal">
      <formula>$S$1</formula>
    </cfRule>
    <cfRule type="cellIs" dxfId="37" priority="864" operator="equal">
      <formula>$U$1</formula>
    </cfRule>
  </conditionalFormatting>
  <conditionalFormatting sqref="C31">
    <cfRule type="cellIs" dxfId="36" priority="861" operator="equal">
      <formula>$U$1</formula>
    </cfRule>
    <cfRule type="cellIs" dxfId="35" priority="862" operator="equal">
      <formula>$S$1</formula>
    </cfRule>
  </conditionalFormatting>
  <conditionalFormatting sqref="D31">
    <cfRule type="cellIs" dxfId="34" priority="859" operator="equal">
      <formula>$S$1</formula>
    </cfRule>
    <cfRule type="cellIs" dxfId="33" priority="86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7" zoomScale="90" zoomScaleNormal="90" workbookViewId="0">
      <pane xSplit="4" topLeftCell="G1" activePane="topRight" state="frozen"/>
      <selection activeCell="A109" sqref="A109"/>
      <selection pane="topRight" activeCell="BR127" sqref="BR12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2" x14ac:dyDescent="0.25">
      <c r="A97" s="30">
        <v>9.849732675807628</v>
      </c>
      <c r="E97"/>
    </row>
    <row r="98" spans="1:52" x14ac:dyDescent="0.25">
      <c r="A98" s="30">
        <v>8.9543024325523888</v>
      </c>
      <c r="C98" s="1" t="s">
        <v>13</v>
      </c>
      <c r="E98"/>
    </row>
    <row r="99" spans="1:52" x14ac:dyDescent="0.25">
      <c r="A99" s="30">
        <v>8.140274938683989</v>
      </c>
      <c r="C99" s="1">
        <f>C88</f>
        <v>0</v>
      </c>
      <c r="E99"/>
    </row>
    <row r="100" spans="1:52" x14ac:dyDescent="0.25">
      <c r="A100" s="30">
        <v>7.4002499442581717</v>
      </c>
      <c r="C100"/>
      <c r="D100"/>
      <c r="E100"/>
    </row>
    <row r="101" spans="1:52" x14ac:dyDescent="0.25">
      <c r="A101" s="30">
        <v>6.72749994932561</v>
      </c>
      <c r="C101" s="1" t="s">
        <v>14</v>
      </c>
      <c r="E101"/>
    </row>
    <row r="102" spans="1:5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2" x14ac:dyDescent="0.25">
      <c r="A103" s="30">
        <v>5.5599173134922388</v>
      </c>
      <c r="E103"/>
    </row>
    <row r="104" spans="1:52" x14ac:dyDescent="0.25">
      <c r="A104" s="30">
        <v>5.0544702849929442</v>
      </c>
      <c r="E104"/>
    </row>
    <row r="105" spans="1:52" x14ac:dyDescent="0.25">
      <c r="A105" s="30">
        <v>4.594972986357222</v>
      </c>
      <c r="E105" t="s">
        <v>8</v>
      </c>
      <c r="G105" s="27" t="s">
        <v>8</v>
      </c>
    </row>
    <row r="106" spans="1:52" x14ac:dyDescent="0.25">
      <c r="A106" s="30">
        <v>4.1772481694156562</v>
      </c>
      <c r="E106" t="s">
        <v>8</v>
      </c>
      <c r="F106" s="27" t="s">
        <v>7</v>
      </c>
      <c r="G106" s="27" t="s">
        <v>8</v>
      </c>
      <c r="H106" s="27" t="s">
        <v>7</v>
      </c>
    </row>
    <row r="107" spans="1:52" x14ac:dyDescent="0.25">
      <c r="A107" s="30">
        <v>3.7974983358324148</v>
      </c>
      <c r="E107" t="s">
        <v>8</v>
      </c>
      <c r="F107" s="27" t="s">
        <v>7</v>
      </c>
      <c r="G107" s="27" t="s">
        <v>8</v>
      </c>
      <c r="H107" s="27" t="s">
        <v>7</v>
      </c>
      <c r="AU107" s="32" t="s">
        <v>8</v>
      </c>
    </row>
    <row r="108" spans="1:52" x14ac:dyDescent="0.25">
      <c r="A108" s="30">
        <v>3.4522712143931042</v>
      </c>
      <c r="E108" t="s">
        <v>8</v>
      </c>
      <c r="F108" s="27" t="s">
        <v>7</v>
      </c>
      <c r="G108" s="27" t="s">
        <v>8</v>
      </c>
      <c r="H108" s="27" t="s">
        <v>7</v>
      </c>
      <c r="AU108" s="27" t="s">
        <v>8</v>
      </c>
      <c r="AV108" s="32" t="s">
        <v>7</v>
      </c>
    </row>
    <row r="109" spans="1:52" x14ac:dyDescent="0.25">
      <c r="A109" s="30">
        <v>3.1384283767210035</v>
      </c>
      <c r="E109" t="s">
        <v>8</v>
      </c>
      <c r="F109" s="27" t="s">
        <v>7</v>
      </c>
      <c r="G109" s="27" t="s">
        <v>8</v>
      </c>
      <c r="H109" s="27" t="s">
        <v>7</v>
      </c>
      <c r="AS109" s="27" t="s">
        <v>8</v>
      </c>
      <c r="AU109" s="27" t="s">
        <v>8</v>
      </c>
      <c r="AV109" s="27" t="s">
        <v>7</v>
      </c>
      <c r="AW109" s="32"/>
    </row>
    <row r="110" spans="1:52" x14ac:dyDescent="0.25">
      <c r="A110" s="30">
        <v>2.8531167061100029</v>
      </c>
      <c r="E110" t="s">
        <v>8</v>
      </c>
      <c r="F110" s="27" t="s">
        <v>7</v>
      </c>
      <c r="G110" s="27" t="s">
        <v>8</v>
      </c>
      <c r="H110" s="27" t="s">
        <v>7</v>
      </c>
      <c r="AS110" s="27" t="s">
        <v>8</v>
      </c>
      <c r="AT110" s="27" t="s">
        <v>7</v>
      </c>
      <c r="AU110" s="27" t="s">
        <v>8</v>
      </c>
      <c r="AV110" s="27" t="s">
        <v>7</v>
      </c>
      <c r="AW110" s="27" t="s">
        <v>8</v>
      </c>
      <c r="AX110" s="32"/>
    </row>
    <row r="111" spans="1:52" x14ac:dyDescent="0.25">
      <c r="A111" s="30">
        <v>2.5937424601000023</v>
      </c>
      <c r="C111" s="1" t="str">
        <f>ADDRESS(C121-1,1,1,1)</f>
        <v>$A$126</v>
      </c>
      <c r="D111" s="1" t="str">
        <f>ADDRESS(C121-1,D121,1,1)</f>
        <v>$BR$126</v>
      </c>
      <c r="E111" t="s">
        <v>8</v>
      </c>
      <c r="F111" s="27" t="s">
        <v>7</v>
      </c>
      <c r="H111" s="27" t="s">
        <v>7</v>
      </c>
      <c r="AS111" s="27" t="s">
        <v>8</v>
      </c>
      <c r="AT111" s="27" t="s">
        <v>7</v>
      </c>
      <c r="AU111" s="27" t="s">
        <v>8</v>
      </c>
      <c r="AV111" s="27" t="s">
        <v>7</v>
      </c>
      <c r="AW111" s="27" t="s">
        <v>8</v>
      </c>
      <c r="AX111" s="27" t="s">
        <v>7</v>
      </c>
      <c r="AY111" s="32"/>
    </row>
    <row r="112" spans="1:52" x14ac:dyDescent="0.25">
      <c r="A112" s="30">
        <v>2.3579476910000019</v>
      </c>
      <c r="C112" s="1" t="str">
        <f>ADDRESS(C121,1,1,1)</f>
        <v>$A$127</v>
      </c>
      <c r="D112" s="1" t="str">
        <f>ADDRESS(C121,D121-1,1,1)</f>
        <v>$BQ$127</v>
      </c>
      <c r="E112" t="s">
        <v>8</v>
      </c>
      <c r="H112" s="27" t="s">
        <v>7</v>
      </c>
      <c r="AK112" s="27" t="s">
        <v>8</v>
      </c>
      <c r="AQ112" s="27" t="s">
        <v>8</v>
      </c>
      <c r="AS112" s="27" t="s">
        <v>8</v>
      </c>
      <c r="AT112" s="27" t="s">
        <v>7</v>
      </c>
      <c r="AU112" s="27" t="s">
        <v>8</v>
      </c>
      <c r="AV112" s="27" t="s">
        <v>7</v>
      </c>
      <c r="AW112" s="27" t="s">
        <v>8</v>
      </c>
      <c r="AX112" s="27" t="s">
        <v>7</v>
      </c>
      <c r="AZ112" s="32"/>
    </row>
    <row r="113" spans="1:70" x14ac:dyDescent="0.25">
      <c r="A113" s="30">
        <v>2.1435888100000016</v>
      </c>
      <c r="C113" s="1" t="str">
        <f>ADDRESS(C121+1,1,1,1)</f>
        <v>$A$128</v>
      </c>
      <c r="D113" s="1" t="str">
        <f>ADDRESS(C121-1,D121+1,1,1)</f>
        <v>$BS$126</v>
      </c>
      <c r="E113" s="1" t="s">
        <v>8</v>
      </c>
      <c r="H113" s="27" t="s">
        <v>7</v>
      </c>
      <c r="AG113" s="27" t="s">
        <v>8</v>
      </c>
      <c r="AI113" s="27" t="s">
        <v>8</v>
      </c>
      <c r="AK113" s="27" t="s">
        <v>8</v>
      </c>
      <c r="AL113" s="27" t="s">
        <v>7</v>
      </c>
      <c r="AQ113" s="27" t="s">
        <v>8</v>
      </c>
      <c r="AR113" s="27" t="s">
        <v>7</v>
      </c>
      <c r="AS113" s="27" t="s">
        <v>8</v>
      </c>
      <c r="AT113" s="27" t="s">
        <v>7</v>
      </c>
      <c r="AU113" s="27" t="s">
        <v>8</v>
      </c>
      <c r="AV113" s="27" t="s">
        <v>7</v>
      </c>
      <c r="AX113" s="27" t="s">
        <v>7</v>
      </c>
      <c r="BA113" s="32"/>
    </row>
    <row r="114" spans="1:70" x14ac:dyDescent="0.25">
      <c r="A114" s="30">
        <v>1.9487171000000014</v>
      </c>
      <c r="C114" s="1" t="str">
        <f>ADDRESS(C121,D121,1,1)</f>
        <v>$BR$127</v>
      </c>
      <c r="D114" s="1" t="str">
        <f>ADDRESS(C121+1,D121+1,1,1)</f>
        <v>$BS$128</v>
      </c>
      <c r="E114" s="1" t="s">
        <v>8</v>
      </c>
      <c r="H114" s="27" t="s">
        <v>7</v>
      </c>
      <c r="AE114" s="27" t="s">
        <v>8</v>
      </c>
      <c r="AG114" s="27" t="s">
        <v>8</v>
      </c>
      <c r="AH114" s="27" t="s">
        <v>7</v>
      </c>
      <c r="AI114" s="27" t="s">
        <v>8</v>
      </c>
      <c r="AJ114" s="27" t="s">
        <v>7</v>
      </c>
      <c r="AK114" s="27" t="s">
        <v>8</v>
      </c>
      <c r="AL114" s="27" t="s">
        <v>7</v>
      </c>
      <c r="AQ114" s="27" t="s">
        <v>8</v>
      </c>
      <c r="AR114" s="27" t="s">
        <v>7</v>
      </c>
      <c r="AS114" s="27" t="s">
        <v>8</v>
      </c>
      <c r="AT114" s="27" t="s">
        <v>7</v>
      </c>
      <c r="AU114" s="27" t="s">
        <v>8</v>
      </c>
      <c r="AX114" s="27" t="s">
        <v>7</v>
      </c>
      <c r="BB114" s="32"/>
      <c r="BM114" s="27" t="s">
        <v>8</v>
      </c>
    </row>
    <row r="115" spans="1:70" x14ac:dyDescent="0.25">
      <c r="A115" s="30">
        <v>1.7715610000000011</v>
      </c>
      <c r="C115" s="1" t="str">
        <f>ADDRESS(C121+1,D121,1,1)</f>
        <v>$BR$128</v>
      </c>
      <c r="E115" s="1" t="s">
        <v>8</v>
      </c>
      <c r="H115" s="27" t="s">
        <v>7</v>
      </c>
      <c r="AE115" s="27" t="s">
        <v>8</v>
      </c>
      <c r="AF115" s="27" t="s">
        <v>7</v>
      </c>
      <c r="AG115" s="27" t="s">
        <v>8</v>
      </c>
      <c r="AH115" s="27" t="s">
        <v>7</v>
      </c>
      <c r="AI115" s="27" t="s">
        <v>8</v>
      </c>
      <c r="AJ115" s="27" t="s">
        <v>7</v>
      </c>
      <c r="AK115" s="27" t="s">
        <v>8</v>
      </c>
      <c r="AL115" s="27" t="s">
        <v>7</v>
      </c>
      <c r="AO115" s="27" t="s">
        <v>8</v>
      </c>
      <c r="AQ115" s="27" t="s">
        <v>8</v>
      </c>
      <c r="AR115" s="27" t="s">
        <v>7</v>
      </c>
      <c r="AT115" s="27" t="s">
        <v>7</v>
      </c>
      <c r="AU115" s="27" t="s">
        <v>8</v>
      </c>
      <c r="AX115" s="27" t="s">
        <v>7</v>
      </c>
      <c r="BC115" s="32"/>
      <c r="BM115" s="27" t="s">
        <v>8</v>
      </c>
      <c r="BN115" s="27" t="s">
        <v>7</v>
      </c>
      <c r="BO115" s="27" t="s">
        <v>8</v>
      </c>
    </row>
    <row r="116" spans="1:70" x14ac:dyDescent="0.25">
      <c r="A116" s="30">
        <v>1.6105100000000008</v>
      </c>
      <c r="C116" s="1">
        <f>C117-1</f>
        <v>126</v>
      </c>
      <c r="E116" s="1" t="s">
        <v>8</v>
      </c>
      <c r="H116" s="27" t="s">
        <v>7</v>
      </c>
      <c r="I116" s="27" t="s">
        <v>8</v>
      </c>
      <c r="AE116" s="27" t="s">
        <v>8</v>
      </c>
      <c r="AF116" s="27" t="s">
        <v>7</v>
      </c>
      <c r="AG116" s="27" t="s">
        <v>8</v>
      </c>
      <c r="AH116" s="27" t="s">
        <v>7</v>
      </c>
      <c r="AI116" s="27" t="s">
        <v>8</v>
      </c>
      <c r="AJ116" s="27" t="s">
        <v>7</v>
      </c>
      <c r="AK116" s="27" t="s">
        <v>8</v>
      </c>
      <c r="AL116" s="27" t="s">
        <v>7</v>
      </c>
      <c r="AO116" s="27" t="s">
        <v>8</v>
      </c>
      <c r="AP116" s="27" t="s">
        <v>7</v>
      </c>
      <c r="AQ116" s="27" t="s">
        <v>8</v>
      </c>
      <c r="AT116" s="27" t="s">
        <v>7</v>
      </c>
      <c r="AU116" s="27" t="s">
        <v>8</v>
      </c>
      <c r="AX116" s="27" t="s">
        <v>7</v>
      </c>
      <c r="BD116" s="32"/>
      <c r="BM116" s="27" t="s">
        <v>8</v>
      </c>
      <c r="BN116" s="27" t="s">
        <v>7</v>
      </c>
      <c r="BO116" s="27" t="s">
        <v>8</v>
      </c>
      <c r="BP116" s="27" t="s">
        <v>7</v>
      </c>
    </row>
    <row r="117" spans="1:70" x14ac:dyDescent="0.25">
      <c r="A117" s="30">
        <v>1.4641000000000006</v>
      </c>
      <c r="C117" s="1">
        <f>C121</f>
        <v>127</v>
      </c>
      <c r="D117" s="1">
        <f>D121</f>
        <v>70</v>
      </c>
      <c r="E117" s="1" t="s">
        <v>8</v>
      </c>
      <c r="H117" s="27" t="s">
        <v>7</v>
      </c>
      <c r="I117" s="27" t="s">
        <v>8</v>
      </c>
      <c r="J117" s="27" t="s">
        <v>7</v>
      </c>
      <c r="O117" s="27" t="s">
        <v>8</v>
      </c>
      <c r="AE117" s="27" t="s">
        <v>8</v>
      </c>
      <c r="AF117" s="27" t="s">
        <v>7</v>
      </c>
      <c r="AG117" s="27" t="s">
        <v>8</v>
      </c>
      <c r="AH117" s="27" t="s">
        <v>7</v>
      </c>
      <c r="AJ117" s="27" t="s">
        <v>7</v>
      </c>
      <c r="AL117" s="27" t="s">
        <v>7</v>
      </c>
      <c r="AM117" s="27" t="s">
        <v>8</v>
      </c>
      <c r="AO117" s="27" t="s">
        <v>8</v>
      </c>
      <c r="AP117" s="27" t="s">
        <v>7</v>
      </c>
      <c r="AQ117" s="27" t="s">
        <v>8</v>
      </c>
      <c r="AT117" s="27" t="s">
        <v>7</v>
      </c>
      <c r="AU117" s="27" t="s">
        <v>8</v>
      </c>
      <c r="AX117" s="27" t="s">
        <v>7</v>
      </c>
      <c r="BE117" s="32"/>
      <c r="BM117" s="27" t="s">
        <v>8</v>
      </c>
      <c r="BN117" s="27" t="s">
        <v>7</v>
      </c>
      <c r="BO117" s="27" t="s">
        <v>8</v>
      </c>
      <c r="BP117" s="27" t="s">
        <v>7</v>
      </c>
    </row>
    <row r="118" spans="1:70" x14ac:dyDescent="0.25">
      <c r="A118" s="30">
        <v>1.3310000000000004</v>
      </c>
      <c r="C118" s="1">
        <f>C117+1</f>
        <v>128</v>
      </c>
      <c r="D118" s="1">
        <f>D117+1</f>
        <v>71</v>
      </c>
      <c r="E118" s="1" t="s">
        <v>8</v>
      </c>
      <c r="H118" s="27" t="s">
        <v>7</v>
      </c>
      <c r="I118" s="27" t="s">
        <v>8</v>
      </c>
      <c r="J118" s="27" t="s">
        <v>7</v>
      </c>
      <c r="O118" s="27" t="s">
        <v>8</v>
      </c>
      <c r="P118" s="27" t="s">
        <v>7</v>
      </c>
      <c r="AE118" s="27" t="s">
        <v>8</v>
      </c>
      <c r="AF118" s="27" t="s">
        <v>7</v>
      </c>
      <c r="AG118" s="27" t="s">
        <v>8</v>
      </c>
      <c r="AL118" s="27" t="s">
        <v>7</v>
      </c>
      <c r="AM118" s="27" t="s">
        <v>8</v>
      </c>
      <c r="AN118" s="27" t="s">
        <v>7</v>
      </c>
      <c r="AO118" s="27" t="s">
        <v>8</v>
      </c>
      <c r="AP118" s="27" t="s">
        <v>7</v>
      </c>
      <c r="AQ118" s="27" t="s">
        <v>8</v>
      </c>
      <c r="AT118" s="27" t="s">
        <v>7</v>
      </c>
      <c r="AU118" s="27" t="s">
        <v>8</v>
      </c>
      <c r="AX118" s="27" t="s">
        <v>7</v>
      </c>
      <c r="BA118" s="27" t="s">
        <v>8</v>
      </c>
      <c r="BC118" s="27" t="s">
        <v>8</v>
      </c>
      <c r="BF118" s="32"/>
      <c r="BM118" s="27" t="s">
        <v>8</v>
      </c>
      <c r="BN118" s="27" t="s">
        <v>7</v>
      </c>
      <c r="BO118" s="27" t="s">
        <v>8</v>
      </c>
      <c r="BP118" s="27" t="s">
        <v>7</v>
      </c>
    </row>
    <row r="119" spans="1:70" x14ac:dyDescent="0.25">
      <c r="A119" s="30">
        <v>1.2100000000000002</v>
      </c>
      <c r="E119" s="1" t="s">
        <v>8</v>
      </c>
      <c r="H119" s="27" t="s">
        <v>7</v>
      </c>
      <c r="J119" s="27" t="s">
        <v>7</v>
      </c>
      <c r="O119" s="27" t="s">
        <v>8</v>
      </c>
      <c r="P119" s="27" t="s">
        <v>7</v>
      </c>
      <c r="Q119" s="27" t="s">
        <v>8</v>
      </c>
      <c r="AE119" s="27" t="s">
        <v>8</v>
      </c>
      <c r="AF119" s="27" t="s">
        <v>7</v>
      </c>
      <c r="AL119" s="27" t="s">
        <v>7</v>
      </c>
      <c r="AM119" s="27" t="s">
        <v>8</v>
      </c>
      <c r="AN119" s="27" t="s">
        <v>7</v>
      </c>
      <c r="AO119" s="27" t="s">
        <v>8</v>
      </c>
      <c r="AP119" s="27" t="s">
        <v>7</v>
      </c>
      <c r="AT119" s="27" t="s">
        <v>7</v>
      </c>
      <c r="AX119" s="27" t="s">
        <v>7</v>
      </c>
      <c r="BA119" s="27" t="s">
        <v>8</v>
      </c>
      <c r="BB119" s="27" t="s">
        <v>7</v>
      </c>
      <c r="BC119" s="27" t="s">
        <v>8</v>
      </c>
      <c r="BD119" s="27" t="s">
        <v>7</v>
      </c>
      <c r="BG119" s="32"/>
      <c r="BM119" s="27" t="s">
        <v>8</v>
      </c>
      <c r="BN119" s="27" t="s">
        <v>7</v>
      </c>
      <c r="BO119" s="27" t="s">
        <v>8</v>
      </c>
      <c r="BP119" s="27" t="s">
        <v>7</v>
      </c>
    </row>
    <row r="120" spans="1:70" x14ac:dyDescent="0.25">
      <c r="A120" s="30">
        <v>1.1000000000000001</v>
      </c>
      <c r="C120" s="1" t="s">
        <v>9</v>
      </c>
      <c r="E120" s="1" t="s">
        <v>8</v>
      </c>
      <c r="J120" s="27" t="s">
        <v>7</v>
      </c>
      <c r="O120" s="27" t="s">
        <v>8</v>
      </c>
      <c r="P120" s="27" t="s">
        <v>7</v>
      </c>
      <c r="Q120" s="27" t="s">
        <v>8</v>
      </c>
      <c r="R120" s="27" t="s">
        <v>7</v>
      </c>
      <c r="AE120" s="27" t="s">
        <v>8</v>
      </c>
      <c r="AL120" s="27" t="s">
        <v>7</v>
      </c>
      <c r="AM120" s="27" t="s">
        <v>8</v>
      </c>
      <c r="AN120" s="27" t="s">
        <v>7</v>
      </c>
      <c r="AO120" s="27" t="s">
        <v>8</v>
      </c>
      <c r="AX120" s="27" t="s">
        <v>7</v>
      </c>
      <c r="AY120" s="27" t="s">
        <v>8</v>
      </c>
      <c r="BA120" s="27" t="s">
        <v>8</v>
      </c>
      <c r="BB120" s="27" t="s">
        <v>7</v>
      </c>
      <c r="BC120" s="27" t="s">
        <v>8</v>
      </c>
      <c r="BD120" s="27" t="s">
        <v>7</v>
      </c>
      <c r="BE120" s="27" t="s">
        <v>8</v>
      </c>
      <c r="BH120" s="32"/>
      <c r="BK120" s="27" t="s">
        <v>8</v>
      </c>
      <c r="BM120" s="27" t="s">
        <v>8</v>
      </c>
      <c r="BN120" s="27" t="s">
        <v>7</v>
      </c>
      <c r="BP120" s="27" t="s">
        <v>7</v>
      </c>
    </row>
    <row r="121" spans="1:70" x14ac:dyDescent="0.25">
      <c r="A121" s="30">
        <v>1</v>
      </c>
      <c r="C121" s="18">
        <v>127</v>
      </c>
      <c r="D121" s="19">
        <v>70</v>
      </c>
      <c r="E121" s="18" t="s">
        <v>8</v>
      </c>
      <c r="J121" s="27" t="s">
        <v>7</v>
      </c>
      <c r="O121" s="27" t="s">
        <v>8</v>
      </c>
      <c r="P121" s="27" t="s">
        <v>7</v>
      </c>
      <c r="Q121" s="27" t="s">
        <v>8</v>
      </c>
      <c r="R121" s="27" t="s">
        <v>7</v>
      </c>
      <c r="Y121" s="27" t="s">
        <v>8</v>
      </c>
      <c r="AC121" s="27" t="s">
        <v>8</v>
      </c>
      <c r="AE121" s="27" t="s">
        <v>8</v>
      </c>
      <c r="AL121" s="27" t="s">
        <v>7</v>
      </c>
      <c r="AM121" s="27" t="s">
        <v>8</v>
      </c>
      <c r="AN121" s="27" t="s">
        <v>7</v>
      </c>
      <c r="AO121" s="27" t="s">
        <v>8</v>
      </c>
      <c r="AX121" s="27" t="s">
        <v>7</v>
      </c>
      <c r="AY121" s="27" t="s">
        <v>8</v>
      </c>
      <c r="AZ121" s="27" t="s">
        <v>7</v>
      </c>
      <c r="BA121" s="27" t="s">
        <v>8</v>
      </c>
      <c r="BB121" s="27" t="s">
        <v>7</v>
      </c>
      <c r="BC121" s="27" t="s">
        <v>8</v>
      </c>
      <c r="BD121" s="27" t="s">
        <v>7</v>
      </c>
      <c r="BE121" s="27" t="s">
        <v>8</v>
      </c>
      <c r="BF121" s="27" t="s">
        <v>7</v>
      </c>
      <c r="BI121" s="32"/>
      <c r="BK121" s="27" t="s">
        <v>8</v>
      </c>
      <c r="BL121" s="27" t="s">
        <v>7</v>
      </c>
      <c r="BM121" s="27" t="s">
        <v>8</v>
      </c>
      <c r="BP121" s="27" t="s">
        <v>7</v>
      </c>
    </row>
    <row r="122" spans="1:70" x14ac:dyDescent="0.25">
      <c r="A122" s="30">
        <v>0.90909090909090895</v>
      </c>
      <c r="C122" s="1" t="str">
        <f>INDEX(1:1048576,C117,D117)</f>
        <v>O</v>
      </c>
      <c r="J122" s="27" t="s">
        <v>7</v>
      </c>
      <c r="O122" s="27" t="s">
        <v>8</v>
      </c>
      <c r="P122" s="27" t="s">
        <v>7</v>
      </c>
      <c r="Q122" s="27" t="s">
        <v>8</v>
      </c>
      <c r="R122" s="27" t="s">
        <v>7</v>
      </c>
      <c r="S122" s="27" t="s">
        <v>8</v>
      </c>
      <c r="Y122" s="27" t="s">
        <v>8</v>
      </c>
      <c r="Z122" s="27" t="s">
        <v>7</v>
      </c>
      <c r="AA122" s="27" t="s">
        <v>8</v>
      </c>
      <c r="AC122" s="27" t="s">
        <v>8</v>
      </c>
      <c r="AD122" s="27" t="s">
        <v>7</v>
      </c>
      <c r="AE122" s="27" t="s">
        <v>8</v>
      </c>
      <c r="AL122" s="27" t="s">
        <v>7</v>
      </c>
      <c r="AN122" s="27" t="s">
        <v>7</v>
      </c>
      <c r="AX122" s="27" t="s">
        <v>7</v>
      </c>
      <c r="AY122" s="27" t="s">
        <v>8</v>
      </c>
      <c r="AZ122" s="27" t="s">
        <v>7</v>
      </c>
      <c r="BA122" s="27" t="s">
        <v>8</v>
      </c>
      <c r="BB122" s="27" t="s">
        <v>7</v>
      </c>
      <c r="BD122" s="27" t="s">
        <v>7</v>
      </c>
      <c r="BE122" s="27" t="s">
        <v>8</v>
      </c>
      <c r="BF122" s="27" t="s">
        <v>7</v>
      </c>
      <c r="BJ122" s="32"/>
      <c r="BK122" s="27" t="s">
        <v>8</v>
      </c>
      <c r="BL122" s="27" t="s">
        <v>7</v>
      </c>
      <c r="BM122" s="27" t="s">
        <v>8</v>
      </c>
      <c r="BP122" s="27" t="s">
        <v>7</v>
      </c>
    </row>
    <row r="123" spans="1:70" x14ac:dyDescent="0.25">
      <c r="A123" s="30">
        <v>0.82644628099173523</v>
      </c>
      <c r="C123" s="1" t="str">
        <f>"R"&amp;C121</f>
        <v>R127</v>
      </c>
      <c r="D123" s="1" t="str">
        <f>"C"&amp;D121</f>
        <v>C70</v>
      </c>
      <c r="J123" s="27" t="s">
        <v>7</v>
      </c>
      <c r="K123" s="27" t="s">
        <v>8</v>
      </c>
      <c r="O123" s="27" t="s">
        <v>8</v>
      </c>
      <c r="P123" s="27" t="s">
        <v>7</v>
      </c>
      <c r="R123" s="27" t="s">
        <v>7</v>
      </c>
      <c r="S123" s="27" t="s">
        <v>8</v>
      </c>
      <c r="T123" s="27" t="s">
        <v>7</v>
      </c>
      <c r="Y123" s="27" t="s">
        <v>8</v>
      </c>
      <c r="Z123" s="27" t="s">
        <v>7</v>
      </c>
      <c r="AA123" s="27" t="s">
        <v>8</v>
      </c>
      <c r="AB123" s="27" t="s">
        <v>7</v>
      </c>
      <c r="AC123" s="27" t="s">
        <v>8</v>
      </c>
      <c r="AD123" s="27" t="s">
        <v>7</v>
      </c>
      <c r="AE123" s="27" t="s">
        <v>8</v>
      </c>
      <c r="AX123" s="27" t="s">
        <v>7</v>
      </c>
      <c r="AZ123" s="27" t="s">
        <v>7</v>
      </c>
      <c r="BA123" s="27" t="s">
        <v>8</v>
      </c>
      <c r="BD123" s="27" t="s">
        <v>7</v>
      </c>
      <c r="BE123" s="27" t="s">
        <v>8</v>
      </c>
      <c r="BF123" s="27" t="s">
        <v>7</v>
      </c>
      <c r="BI123" s="27" t="s">
        <v>8</v>
      </c>
      <c r="BK123" s="32" t="s">
        <v>8</v>
      </c>
      <c r="BL123" s="27" t="s">
        <v>7</v>
      </c>
      <c r="BP123" s="27" t="s">
        <v>7</v>
      </c>
    </row>
    <row r="124" spans="1:70" x14ac:dyDescent="0.25">
      <c r="A124" s="30">
        <v>0.75131480090157732</v>
      </c>
      <c r="C124" s="1">
        <f>SUM(C130:D130)</f>
        <v>0</v>
      </c>
      <c r="D124" s="1">
        <f>IF(C124=0,0,1)</f>
        <v>0</v>
      </c>
      <c r="J124" s="27" t="s">
        <v>7</v>
      </c>
      <c r="K124" s="27" t="s">
        <v>8</v>
      </c>
      <c r="L124" s="27" t="s">
        <v>7</v>
      </c>
      <c r="O124" s="27" t="s">
        <v>8</v>
      </c>
      <c r="R124" s="27" t="s">
        <v>7</v>
      </c>
      <c r="S124" s="27" t="s">
        <v>8</v>
      </c>
      <c r="T124" s="27" t="s">
        <v>7</v>
      </c>
      <c r="Y124" s="27" t="s">
        <v>8</v>
      </c>
      <c r="Z124" s="27" t="s">
        <v>7</v>
      </c>
      <c r="AA124" s="27" t="s">
        <v>8</v>
      </c>
      <c r="AB124" s="27" t="s">
        <v>7</v>
      </c>
      <c r="AC124" s="27" t="s">
        <v>8</v>
      </c>
      <c r="AD124" s="27" t="s">
        <v>7</v>
      </c>
      <c r="AE124" s="27" t="s">
        <v>8</v>
      </c>
      <c r="AZ124" s="27" t="s">
        <v>7</v>
      </c>
      <c r="BA124" s="27" t="s">
        <v>8</v>
      </c>
      <c r="BD124" s="27" t="s">
        <v>7</v>
      </c>
      <c r="BF124" s="27" t="s">
        <v>7</v>
      </c>
      <c r="BG124" s="27" t="s">
        <v>8</v>
      </c>
      <c r="BI124" s="27" t="s">
        <v>8</v>
      </c>
      <c r="BJ124" s="27" t="s">
        <v>7</v>
      </c>
      <c r="BK124" s="27" t="s">
        <v>8</v>
      </c>
      <c r="BL124" s="32"/>
      <c r="BP124" s="27" t="s">
        <v>7</v>
      </c>
      <c r="BQ124" s="27" t="s">
        <v>8</v>
      </c>
    </row>
    <row r="125" spans="1:70" x14ac:dyDescent="0.25">
      <c r="A125" s="30">
        <v>0.68301345536507019</v>
      </c>
      <c r="J125" s="27" t="s">
        <v>7</v>
      </c>
      <c r="K125" s="27" t="s">
        <v>8</v>
      </c>
      <c r="L125" s="27" t="s">
        <v>7</v>
      </c>
      <c r="O125" s="27" t="s">
        <v>8</v>
      </c>
      <c r="R125" s="27" t="s">
        <v>7</v>
      </c>
      <c r="S125" s="27" t="s">
        <v>8</v>
      </c>
      <c r="T125" s="27" t="s">
        <v>7</v>
      </c>
      <c r="Y125" s="27" t="s">
        <v>8</v>
      </c>
      <c r="Z125" s="27" t="s">
        <v>7</v>
      </c>
      <c r="AA125" s="27" t="s">
        <v>8</v>
      </c>
      <c r="AB125" s="27" t="s">
        <v>7</v>
      </c>
      <c r="AD125" s="27" t="s">
        <v>7</v>
      </c>
      <c r="AZ125" s="27" t="s">
        <v>7</v>
      </c>
      <c r="BA125" s="27" t="s">
        <v>8</v>
      </c>
      <c r="BF125" s="27" t="s">
        <v>7</v>
      </c>
      <c r="BG125" s="27" t="s">
        <v>8</v>
      </c>
      <c r="BH125" s="27" t="s">
        <v>7</v>
      </c>
      <c r="BI125" s="27" t="s">
        <v>8</v>
      </c>
      <c r="BJ125" s="27" t="s">
        <v>7</v>
      </c>
      <c r="BK125" s="27" t="s">
        <v>8</v>
      </c>
      <c r="BP125" s="27" t="s">
        <v>7</v>
      </c>
      <c r="BQ125" s="27" t="s">
        <v>8</v>
      </c>
      <c r="BR125" s="27" t="s">
        <v>7</v>
      </c>
    </row>
    <row r="126" spans="1:70" x14ac:dyDescent="0.25">
      <c r="A126" s="30">
        <v>0.6209213230591546</v>
      </c>
      <c r="C126" s="1" t="s">
        <v>10</v>
      </c>
      <c r="J126" s="27" t="s">
        <v>7</v>
      </c>
      <c r="L126" s="27" t="s">
        <v>7</v>
      </c>
      <c r="O126" s="27" t="s">
        <v>8</v>
      </c>
      <c r="R126" s="27" t="s">
        <v>7</v>
      </c>
      <c r="S126" s="27" t="s">
        <v>8</v>
      </c>
      <c r="T126" s="27" t="s">
        <v>7</v>
      </c>
      <c r="Y126" s="27" t="s">
        <v>8</v>
      </c>
      <c r="Z126" s="27" t="s">
        <v>7</v>
      </c>
      <c r="AZ126" s="27" t="s">
        <v>7</v>
      </c>
      <c r="BA126" s="27" t="s">
        <v>8</v>
      </c>
      <c r="BF126" s="27" t="s">
        <v>7</v>
      </c>
      <c r="BG126" s="27" t="s">
        <v>8</v>
      </c>
      <c r="BH126" s="27" t="s">
        <v>7</v>
      </c>
      <c r="BI126" s="27" t="s">
        <v>8</v>
      </c>
      <c r="BJ126" s="27" t="s">
        <v>7</v>
      </c>
      <c r="BK126" s="27" t="s">
        <v>8</v>
      </c>
      <c r="BP126" s="27" t="s">
        <v>7</v>
      </c>
      <c r="BQ126" s="27" t="s">
        <v>8</v>
      </c>
      <c r="BR126" s="27" t="s">
        <v>7</v>
      </c>
    </row>
    <row r="127" spans="1:70" x14ac:dyDescent="0.25">
      <c r="A127" s="30">
        <v>0.56447393005377677</v>
      </c>
      <c r="C127" s="30">
        <v>0.56447393005377677</v>
      </c>
      <c r="D127"/>
      <c r="L127" s="27" t="s">
        <v>7</v>
      </c>
      <c r="M127" s="27" t="s">
        <v>8</v>
      </c>
      <c r="O127" s="27" t="s">
        <v>8</v>
      </c>
      <c r="R127" s="27" t="s">
        <v>7</v>
      </c>
      <c r="S127" s="27" t="s">
        <v>8</v>
      </c>
      <c r="T127" s="27" t="s">
        <v>7</v>
      </c>
      <c r="U127" s="27" t="s">
        <v>8</v>
      </c>
      <c r="Y127" s="27" t="s">
        <v>8</v>
      </c>
      <c r="AZ127" s="27" t="s">
        <v>7</v>
      </c>
      <c r="BF127" s="27" t="s">
        <v>7</v>
      </c>
      <c r="BG127" s="27" t="s">
        <v>8</v>
      </c>
      <c r="BH127" s="27" t="s">
        <v>7</v>
      </c>
      <c r="BJ127" s="18" t="s">
        <v>7</v>
      </c>
      <c r="BK127" s="27" t="s">
        <v>8</v>
      </c>
      <c r="BP127" s="27" t="s">
        <v>7</v>
      </c>
      <c r="BR127" s="27" t="s">
        <v>7</v>
      </c>
    </row>
    <row r="128" spans="1:70" x14ac:dyDescent="0.25">
      <c r="A128" s="30">
        <v>0.51315811823070612</v>
      </c>
      <c r="L128" s="27" t="s">
        <v>7</v>
      </c>
      <c r="M128" s="27" t="s">
        <v>8</v>
      </c>
      <c r="N128" s="27" t="s">
        <v>7</v>
      </c>
      <c r="O128" s="27" t="s">
        <v>8</v>
      </c>
      <c r="R128" s="27" t="s">
        <v>7</v>
      </c>
      <c r="T128" s="27" t="s">
        <v>7</v>
      </c>
      <c r="U128" s="27" t="s">
        <v>8</v>
      </c>
      <c r="V128" s="27" t="s">
        <v>7</v>
      </c>
      <c r="Y128" s="27" t="s">
        <v>8</v>
      </c>
      <c r="BF128" s="27" t="s">
        <v>7</v>
      </c>
      <c r="BJ128" s="27" t="s">
        <v>7</v>
      </c>
    </row>
    <row r="129" spans="1:25" x14ac:dyDescent="0.25">
      <c r="A129" s="30">
        <v>0.46650738020973276</v>
      </c>
      <c r="C129" s="1" t="s">
        <v>11</v>
      </c>
      <c r="D129" s="1" t="s">
        <v>12</v>
      </c>
      <c r="E129"/>
      <c r="L129" s="27" t="s">
        <v>7</v>
      </c>
      <c r="M129" s="27" t="s">
        <v>8</v>
      </c>
      <c r="N129" s="27" t="s">
        <v>7</v>
      </c>
      <c r="O129" s="27" t="s">
        <v>8</v>
      </c>
      <c r="T129" s="27" t="s">
        <v>7</v>
      </c>
      <c r="U129" s="27" t="s">
        <v>8</v>
      </c>
      <c r="V129" s="27" t="s">
        <v>7</v>
      </c>
      <c r="W129" s="27" t="s">
        <v>8</v>
      </c>
      <c r="Y129" s="27" t="s">
        <v>8</v>
      </c>
    </row>
    <row r="130" spans="1:25" x14ac:dyDescent="0.25">
      <c r="A130" s="30">
        <v>0.42409761837248428</v>
      </c>
      <c r="C130" s="6"/>
      <c r="D130" s="6"/>
      <c r="E130"/>
      <c r="L130" s="27" t="s">
        <v>7</v>
      </c>
      <c r="M130" s="27" t="s">
        <v>8</v>
      </c>
      <c r="N130" s="27" t="s">
        <v>7</v>
      </c>
      <c r="T130" s="27" t="s">
        <v>7</v>
      </c>
      <c r="V130" s="27" t="s">
        <v>7</v>
      </c>
      <c r="W130" s="27" t="s">
        <v>8</v>
      </c>
      <c r="X130" s="27" t="s">
        <v>7</v>
      </c>
      <c r="Y130" s="27" t="s">
        <v>8</v>
      </c>
    </row>
    <row r="131" spans="1:25" x14ac:dyDescent="0.25">
      <c r="A131" s="30">
        <v>0.38554328942953109</v>
      </c>
      <c r="E131"/>
      <c r="L131" s="27" t="s">
        <v>7</v>
      </c>
      <c r="V131" s="27" t="s">
        <v>7</v>
      </c>
      <c r="W131" s="27" t="s">
        <v>8</v>
      </c>
      <c r="X131" s="27" t="s">
        <v>7</v>
      </c>
      <c r="Y131" s="27" t="s">
        <v>8</v>
      </c>
    </row>
    <row r="132" spans="1:25" x14ac:dyDescent="0.25">
      <c r="A132" s="30">
        <v>0.35049389948139187</v>
      </c>
      <c r="C132" s="1" t="s">
        <v>13</v>
      </c>
      <c r="E132"/>
      <c r="V132" s="27" t="s">
        <v>7</v>
      </c>
      <c r="X132" s="27" t="s">
        <v>7</v>
      </c>
    </row>
    <row r="133" spans="1:25" x14ac:dyDescent="0.25">
      <c r="A133" s="30">
        <v>0.31863081771035617</v>
      </c>
      <c r="C133" s="1" t="str">
        <f>C122</f>
        <v>O</v>
      </c>
      <c r="E133"/>
    </row>
    <row r="134" spans="1:25" x14ac:dyDescent="0.25">
      <c r="A134" s="30">
        <v>0.28966437973668741</v>
      </c>
      <c r="C134"/>
      <c r="D134"/>
      <c r="E134"/>
    </row>
    <row r="135" spans="1:25" x14ac:dyDescent="0.25">
      <c r="A135" s="30">
        <v>0.2633312543060794</v>
      </c>
      <c r="C135" s="1" t="s">
        <v>14</v>
      </c>
      <c r="E135"/>
    </row>
    <row r="136" spans="1:2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25" x14ac:dyDescent="0.25">
      <c r="A137" s="30">
        <v>0.2176291357901482</v>
      </c>
      <c r="E137"/>
    </row>
    <row r="138" spans="1:2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25" x14ac:dyDescent="0.25">
      <c r="A139" s="30">
        <v>0.17985878990921333</v>
      </c>
      <c r="E139"/>
    </row>
    <row r="140" spans="1:25" x14ac:dyDescent="0.25">
      <c r="A140" s="30">
        <v>0.16350799082655756</v>
      </c>
      <c r="C140" s="1">
        <v>0</v>
      </c>
      <c r="E140"/>
    </row>
    <row r="141" spans="1:25" x14ac:dyDescent="0.25">
      <c r="A141" s="30">
        <v>0.14864362802414322</v>
      </c>
      <c r="C141" s="1">
        <v>1</v>
      </c>
      <c r="E141"/>
    </row>
    <row r="142" spans="1:25" x14ac:dyDescent="0.25">
      <c r="A142" s="30">
        <v>0.13513057093103928</v>
      </c>
      <c r="C142" s="1">
        <v>2</v>
      </c>
      <c r="E142"/>
    </row>
    <row r="143" spans="1:25" x14ac:dyDescent="0.25">
      <c r="A143" s="30">
        <v>0.12284597357367205</v>
      </c>
      <c r="C143" s="1">
        <v>3</v>
      </c>
      <c r="E143"/>
    </row>
    <row r="144" spans="1:2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77" operator="equal">
      <formula>$U$1</formula>
    </cfRule>
    <cfRule type="cellIs" dxfId="30" priority="878" operator="equal">
      <formula>$S$1</formula>
    </cfRule>
  </conditionalFormatting>
  <conditionalFormatting sqref="D136">
    <cfRule type="cellIs" dxfId="29" priority="875" operator="equal">
      <formula>$S$1</formula>
    </cfRule>
    <cfRule type="cellIs" dxfId="28" priority="876" operator="equal">
      <formula>$U$1</formula>
    </cfRule>
  </conditionalFormatting>
  <conditionalFormatting sqref="C102">
    <cfRule type="cellIs" dxfId="27" priority="873" operator="equal">
      <formula>$U$1</formula>
    </cfRule>
    <cfRule type="cellIs" dxfId="26" priority="874" operator="equal">
      <formula>$S$1</formula>
    </cfRule>
  </conditionalFormatting>
  <conditionalFormatting sqref="D102">
    <cfRule type="cellIs" dxfId="25" priority="871" operator="equal">
      <formula>$S$1</formula>
    </cfRule>
    <cfRule type="cellIs" dxfId="24" priority="872" operator="equal">
      <formula>$U$1</formula>
    </cfRule>
  </conditionalFormatting>
  <conditionalFormatting sqref="C77">
    <cfRule type="cellIs" dxfId="23" priority="869" operator="equal">
      <formula>$U$1</formula>
    </cfRule>
    <cfRule type="cellIs" dxfId="22" priority="870" operator="equal">
      <formula>$S$1</formula>
    </cfRule>
  </conditionalFormatting>
  <conditionalFormatting sqref="D77">
    <cfRule type="cellIs" dxfId="21" priority="867" operator="equal">
      <formula>$S$1</formula>
    </cfRule>
    <cfRule type="cellIs" dxfId="20" priority="868" operator="equal">
      <formula>$U$1</formula>
    </cfRule>
  </conditionalFormatting>
  <conditionalFormatting sqref="C52">
    <cfRule type="cellIs" dxfId="19" priority="865" operator="equal">
      <formula>$U$1</formula>
    </cfRule>
    <cfRule type="cellIs" dxfId="18" priority="866" operator="equal">
      <formula>$S$1</formula>
    </cfRule>
  </conditionalFormatting>
  <conditionalFormatting sqref="D52">
    <cfRule type="cellIs" dxfId="17" priority="863" operator="equal">
      <formula>$S$1</formula>
    </cfRule>
    <cfRule type="cellIs" dxfId="16" priority="864" operator="equal">
      <formula>$U$1</formula>
    </cfRule>
  </conditionalFormatting>
  <conditionalFormatting sqref="C26">
    <cfRule type="cellIs" dxfId="15" priority="861" operator="equal">
      <formula>$U$1</formula>
    </cfRule>
    <cfRule type="cellIs" dxfId="14" priority="862" operator="equal">
      <formula>$S$1</formula>
    </cfRule>
  </conditionalFormatting>
  <conditionalFormatting sqref="D26">
    <cfRule type="cellIs" dxfId="13" priority="859" operator="equal">
      <formula>$S$1</formula>
    </cfRule>
    <cfRule type="cellIs" dxfId="12" priority="86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3" t="s">
        <v>17</v>
      </c>
      <c r="C1" s="33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2022-01-19T00:32:40Z</dcterms:modified>
</cp:coreProperties>
</file>